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BANK_RAW" sheetId="3" state="visible" r:id="rId3"/>
    <sheet name="GL_RAW" sheetId="4" state="visible" r:id="rId4"/>
    <sheet name="BANK_CLEAN" sheetId="5" state="visible" r:id="rId5"/>
    <sheet name="GL_CLEAN" sheetId="6" state="visible" r:id="rId6"/>
    <sheet name="MATCH_ENGINE" sheetId="7" state="visible" r:id="rId7"/>
    <sheet name="RECON_RESULTS" sheetId="8" state="visible" r:id="rId8"/>
    <sheet name="DASHBOARD" sheetId="9" state="visible" r:id="rId9"/>
    <sheet name="EXCEPTIONS" sheetId="10" state="visible" r:id="rId10"/>
    <sheet name="EXPORT_READY" sheetId="11" state="visible" r:id="rId11"/>
  </sheets>
  <definedNames>
    <definedName name="Tol_Amount">SETTINGS!$C$5</definedName>
    <definedName name="Tol_Days">SETTINGS!$C$6</definedName>
    <definedName name="Tol_NearPct">SETTINGS!$C$7</definedName>
    <definedName name="Rpt_Period">SETTINGS!$C$8</definedName>
    <definedName name="Co_Name">SETTINGS!$C$13</definedName>
    <definedName name="Co_BankAcct">SETTINGS!$C$14</definedName>
    <definedName name="Co_IBAN">SETTINGS!$C$15</definedName>
    <definedName name="Co_Currency">SETTINGS!$C$16</definedName>
    <definedName name="Co_BankName">SETTINGS!$C$17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#,##0.00 &quot;SAR&quot;"/>
    <numFmt numFmtId="167" formatCode="0.0%"/>
  </numFmts>
  <fonts count="40">
    <font>
      <name val="Calibri"/>
      <family val="2"/>
      <color theme="1"/>
      <sz val="11"/>
      <scheme val="minor"/>
    </font>
    <font>
      <name val="Calibri"/>
      <b val="1"/>
      <color rgb="001A3A7C"/>
      <sz val="18"/>
    </font>
    <font>
      <name val="Consolas"/>
      <color rgb="00A8B0C8"/>
      <sz val="10"/>
    </font>
    <font>
      <name val="Calibri"/>
      <b val="1"/>
      <color rgb="001A3A7C"/>
      <sz val="13"/>
    </font>
    <font>
      <name val="Calibri"/>
      <color rgb="003D4560"/>
      <sz val="10"/>
    </font>
    <font>
      <name val="Calibri"/>
      <b val="1"/>
      <color rgb="00FFFFFF"/>
      <sz val="10"/>
    </font>
    <font>
      <name val="Consolas"/>
      <b val="1"/>
      <color rgb="001A3A7C"/>
      <sz val="11"/>
    </font>
    <font>
      <name val="Consolas"/>
      <color rgb="003D4560"/>
      <sz val="10"/>
    </font>
    <font>
      <name val="Calibri"/>
      <b val="1"/>
      <color rgb="00FFFFFF"/>
      <sz val="16"/>
    </font>
    <font>
      <name val="Calibri"/>
      <color rgb="00FFFFFF"/>
      <sz val="12"/>
    </font>
    <font>
      <name val="Consolas"/>
      <color rgb="00A8B0C8"/>
      <sz val="9"/>
    </font>
    <font>
      <name val="Consolas"/>
      <color rgb="006B7694"/>
      <sz val="9"/>
    </font>
    <font>
      <name val="Calibri"/>
      <color rgb="006B7694"/>
      <sz val="10"/>
    </font>
    <font>
      <name val="Consolas"/>
      <color rgb="00A8B0C8"/>
      <sz val="8"/>
    </font>
    <font>
      <name val="Consolas"/>
      <b val="1"/>
      <color rgb="000D5C3A"/>
      <sz val="20"/>
    </font>
    <font>
      <name val="Consolas"/>
      <b val="1"/>
      <color rgb="00D46A00"/>
      <sz val="20"/>
    </font>
    <font>
      <name val="Consolas"/>
      <b val="1"/>
      <color rgb="00C0202E"/>
      <sz val="20"/>
    </font>
    <font>
      <name val="Consolas"/>
      <b val="1"/>
      <color rgb="001A3A7C"/>
      <sz val="20"/>
    </font>
    <font>
      <name val="Calibri"/>
      <color rgb="003D4560"/>
      <sz val="11"/>
    </font>
    <font>
      <name val="Consolas"/>
      <color rgb="000D5C3A"/>
      <sz val="12"/>
    </font>
    <font>
      <name val="Consolas"/>
      <color rgb="00C0202E"/>
      <sz val="12"/>
    </font>
    <font>
      <name val="Consolas"/>
      <color rgb="000F1117"/>
      <sz val="12"/>
    </font>
    <font>
      <name val="Calibri"/>
      <b val="1"/>
      <color rgb="003D4560"/>
      <sz val="11"/>
    </font>
    <font>
      <name val="Consolas"/>
      <b val="1"/>
      <color rgb="00C0202E"/>
      <sz val="12"/>
    </font>
    <font>
      <name val="Consolas"/>
      <b val="1"/>
      <color rgb="000D5C3A"/>
      <sz val="26"/>
    </font>
    <font>
      <name val="Consolas"/>
      <color rgb="000D5C3A"/>
      <sz val="8"/>
    </font>
    <font>
      <name val="Consolas"/>
      <b val="1"/>
      <color rgb="00D46A00"/>
      <sz val="26"/>
    </font>
    <font>
      <name val="Consolas"/>
      <color rgb="00D46A00"/>
      <sz val="8"/>
    </font>
    <font>
      <name val="Consolas"/>
      <b val="1"/>
      <color rgb="00C0202E"/>
      <sz val="26"/>
    </font>
    <font>
      <name val="Consolas"/>
      <color rgb="00C0202E"/>
      <sz val="8"/>
    </font>
    <font>
      <name val="Consolas"/>
      <b val="1"/>
      <color rgb="001A3A7C"/>
      <sz val="26"/>
    </font>
    <font>
      <name val="Consolas"/>
      <color rgb="001A3A7C"/>
      <sz val="8"/>
    </font>
    <font>
      <name val="Consolas"/>
      <b val="1"/>
      <color rgb="00D46A00"/>
      <sz val="12"/>
    </font>
    <font>
      <name val="Calibri"/>
      <b val="1"/>
      <color rgb="00FFFFFF"/>
      <sz val="12"/>
    </font>
    <font>
      <name val="Consolas"/>
      <b val="1"/>
      <color rgb="000D5C3A"/>
      <sz val="14"/>
    </font>
    <font>
      <name val="Consolas"/>
      <b val="1"/>
      <color rgb="00D46A00"/>
      <sz val="14"/>
    </font>
    <font>
      <name val="Consolas"/>
      <b val="1"/>
      <color rgb="00C0202E"/>
      <sz val="14"/>
    </font>
    <font>
      <name val="Consolas"/>
      <b val="1"/>
      <color rgb="001A3A7C"/>
      <sz val="14"/>
    </font>
    <font>
      <name val="Consolas"/>
      <b val="1"/>
      <color rgb="000F1117"/>
      <sz val="14"/>
    </font>
    <font>
      <name val="Calibri"/>
      <i val="1"/>
      <color rgb="00A8B0C8"/>
      <sz val="10"/>
    </font>
  </fonts>
  <fills count="11">
    <fill>
      <patternFill/>
    </fill>
    <fill>
      <patternFill patternType="gray125"/>
    </fill>
    <fill>
      <patternFill patternType="solid">
        <fgColor rgb="000F1117"/>
        <bgColor rgb="000F1117"/>
      </patternFill>
    </fill>
    <fill>
      <patternFill patternType="solid">
        <fgColor rgb="00FFFFF0"/>
        <bgColor rgb="00FFFFF0"/>
      </patternFill>
    </fill>
    <fill>
      <patternFill patternType="solid">
        <fgColor rgb="00F7F8FB"/>
        <bgColor rgb="00F7F8FB"/>
      </patternFill>
    </fill>
    <fill>
      <patternFill patternType="solid">
        <fgColor rgb="002651A8"/>
        <bgColor rgb="002651A8"/>
      </patternFill>
    </fill>
    <fill>
      <patternFill patternType="solid">
        <fgColor rgb="00FFFFFF"/>
        <bgColor rgb="00FFFFFF"/>
      </patternFill>
    </fill>
    <fill>
      <patternFill patternType="solid">
        <fgColor rgb="00D0F0E4"/>
        <bgColor rgb="00D0F0E4"/>
      </patternFill>
    </fill>
    <fill>
      <patternFill patternType="solid">
        <fgColor rgb="00FFF3E0"/>
        <bgColor rgb="00FFF3E0"/>
      </patternFill>
    </fill>
    <fill>
      <patternFill patternType="solid">
        <fgColor rgb="00FCE8EA"/>
        <bgColor rgb="00FCE8EA"/>
      </patternFill>
    </fill>
    <fill>
      <patternFill patternType="solid">
        <fgColor rgb="00D4DFF5"/>
        <bgColor rgb="00D4DFF5"/>
      </patternFill>
    </fill>
  </fills>
  <borders count="8">
    <border>
      <left/>
      <right/>
      <top/>
      <bottom/>
      <diagonal/>
    </border>
    <border>
      <left style="thin">
        <color rgb="00DDE2EF"/>
      </left>
      <right style="thin">
        <color rgb="00DDE2EF"/>
      </right>
      <top style="thin">
        <color rgb="00DDE2EF"/>
      </top>
      <bottom style="thin">
        <color rgb="00DDE2EF"/>
      </bottom>
    </border>
    <border>
      <left style="thin">
        <color rgb="00DDE2EF"/>
      </left>
      <right style="thin">
        <color rgb="00DDE2EF"/>
      </right>
      <top style="thin">
        <color rgb="00DDE2EF"/>
      </top>
      <bottom/>
    </border>
    <border>
      <left style="thin">
        <color rgb="00DDE2EF"/>
      </left>
      <right style="thin">
        <color rgb="00DDE2EF"/>
      </right>
      <top/>
      <bottom/>
    </border>
    <border>
      <left style="thin">
        <color rgb="00DDE2EF"/>
      </left>
      <right style="thin">
        <color rgb="00DDE2EF"/>
      </right>
      <top/>
      <bottom style="thin">
        <color rgb="00DDE2EF"/>
      </bottom>
    </border>
    <border>
      <top/>
      <bottom style="thin">
        <color rgb="00F0F2F8"/>
      </bottom>
    </border>
    <border>
      <top style="double">
        <color rgb="000F1117"/>
      </top>
      <bottom style="double">
        <color rgb="000F1117"/>
      </bottom>
    </border>
    <border>
      <bottom style="thin">
        <color rgb="00F0F2F8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4" fontId="4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7" fillId="0" borderId="1" pivotButton="0" quotePrefix="0" xfId="0"/>
    <xf numFmtId="4" fontId="7" fillId="0" borderId="1" pivotButton="0" quotePrefix="0" xfId="0"/>
    <xf numFmtId="165" fontId="7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0" fontId="0" fillId="4" borderId="0" pivotButton="0" quotePrefix="0" xfId="0"/>
    <xf numFmtId="0" fontId="0" fillId="2" borderId="0" pivotButton="0" quotePrefix="0" xfId="0"/>
    <xf numFmtId="0" fontId="8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0" fillId="5" borderId="0" pivotButton="0" quotePrefix="0" xfId="0"/>
    <xf numFmtId="0" fontId="11" fillId="4" borderId="0" applyAlignment="1" pivotButton="0" quotePrefix="0" xfId="0">
      <alignment horizontal="right"/>
    </xf>
    <xf numFmtId="0" fontId="12" fillId="6" borderId="2" applyAlignment="1" pivotButton="0" quotePrefix="0" xfId="0">
      <alignment horizontal="center"/>
    </xf>
    <xf numFmtId="0" fontId="13" fillId="6" borderId="3" applyAlignment="1" pivotButton="0" quotePrefix="0" xfId="0">
      <alignment horizontal="center"/>
    </xf>
    <xf numFmtId="167" fontId="14" fillId="6" borderId="4" applyAlignment="1" pivotButton="0" quotePrefix="0" xfId="0">
      <alignment horizontal="center" vertical="center"/>
    </xf>
    <xf numFmtId="3" fontId="14" fillId="6" borderId="4" applyAlignment="1" pivotButton="0" quotePrefix="0" xfId="0">
      <alignment horizontal="center" vertical="center"/>
    </xf>
    <xf numFmtId="3" fontId="15" fillId="6" borderId="4" applyAlignment="1" pivotButton="0" quotePrefix="0" xfId="0">
      <alignment horizontal="center" vertical="center"/>
    </xf>
    <xf numFmtId="3" fontId="16" fillId="6" borderId="4" applyAlignment="1" pivotButton="0" quotePrefix="0" xfId="0">
      <alignment horizontal="center" vertical="center"/>
    </xf>
    <xf numFmtId="3" fontId="17" fillId="6" borderId="4" applyAlignment="1" pivotButton="0" quotePrefix="0" xfId="0">
      <alignment horizontal="center" vertical="center"/>
    </xf>
    <xf numFmtId="166" fontId="19" fillId="6" borderId="5" applyAlignment="1" pivotButton="0" quotePrefix="0" xfId="0">
      <alignment horizontal="left"/>
    </xf>
    <xf numFmtId="0" fontId="18" fillId="6" borderId="5" applyAlignment="1" pivotButton="0" quotePrefix="0" xfId="0">
      <alignment horizontal="right"/>
    </xf>
    <xf numFmtId="0" fontId="10" fillId="6" borderId="5" applyAlignment="1" pivotButton="0" quotePrefix="0" xfId="0">
      <alignment horizontal="right"/>
    </xf>
    <xf numFmtId="166" fontId="20" fillId="6" borderId="5" applyAlignment="1" pivotButton="0" quotePrefix="0" xfId="0">
      <alignment horizontal="left"/>
    </xf>
    <xf numFmtId="0" fontId="18" fillId="6" borderId="5" applyAlignment="1" pivotButton="0" quotePrefix="0" xfId="0">
      <alignment horizontal="right" indent="2"/>
    </xf>
    <xf numFmtId="166" fontId="21" fillId="6" borderId="5" applyAlignment="1" pivotButton="0" quotePrefix="0" xfId="0">
      <alignment horizontal="left"/>
    </xf>
    <xf numFmtId="166" fontId="23" fillId="6" borderId="6" applyAlignment="1" pivotButton="0" quotePrefix="0" xfId="0">
      <alignment horizontal="left"/>
    </xf>
    <xf numFmtId="0" fontId="22" fillId="6" borderId="6" applyAlignment="1" pivotButton="0" quotePrefix="0" xfId="0">
      <alignment horizontal="right"/>
    </xf>
    <xf numFmtId="0" fontId="10" fillId="6" borderId="6" applyAlignment="1" pivotButton="0" quotePrefix="0" xfId="0">
      <alignment horizontal="right"/>
    </xf>
    <xf numFmtId="0" fontId="24" fillId="7" borderId="2" applyAlignment="1" pivotButton="0" quotePrefix="0" xfId="0">
      <alignment horizontal="center" vertical="center"/>
    </xf>
    <xf numFmtId="0" fontId="26" fillId="8" borderId="2" applyAlignment="1" pivotButton="0" quotePrefix="0" xfId="0">
      <alignment horizontal="center" vertical="center"/>
    </xf>
    <xf numFmtId="0" fontId="28" fillId="9" borderId="2" applyAlignment="1" pivotButton="0" quotePrefix="0" xfId="0">
      <alignment horizontal="center" vertical="center"/>
    </xf>
    <xf numFmtId="0" fontId="30" fillId="10" borderId="2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/>
    </xf>
    <xf numFmtId="0" fontId="12" fillId="8" borderId="3" applyAlignment="1" pivotButton="0" quotePrefix="0" xfId="0">
      <alignment horizontal="center"/>
    </xf>
    <xf numFmtId="0" fontId="12" fillId="9" borderId="3" applyAlignment="1" pivotButton="0" quotePrefix="0" xfId="0">
      <alignment horizontal="center"/>
    </xf>
    <xf numFmtId="0" fontId="12" fillId="10" borderId="3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7" fillId="8" borderId="4" applyAlignment="1" pivotButton="0" quotePrefix="0" xfId="0">
      <alignment horizontal="center"/>
    </xf>
    <xf numFmtId="0" fontId="29" fillId="9" borderId="4" applyAlignment="1" pivotButton="0" quotePrefix="0" xfId="0">
      <alignment horizontal="center"/>
    </xf>
    <xf numFmtId="0" fontId="31" fillId="10" borderId="4" applyAlignment="1" pivotButton="0" quotePrefix="0" xfId="0">
      <alignment horizontal="center"/>
    </xf>
    <xf numFmtId="166" fontId="23" fillId="6" borderId="7" applyAlignment="1" pivotButton="0" quotePrefix="0" xfId="0">
      <alignment horizontal="left"/>
    </xf>
    <xf numFmtId="0" fontId="18" fillId="6" borderId="7" applyAlignment="1" pivotButton="0" quotePrefix="0" xfId="0">
      <alignment horizontal="right"/>
    </xf>
    <xf numFmtId="0" fontId="10" fillId="6" borderId="7" applyAlignment="1" pivotButton="0" quotePrefix="0" xfId="0">
      <alignment horizontal="right"/>
    </xf>
    <xf numFmtId="166" fontId="32" fillId="6" borderId="7" applyAlignment="1" pivotButton="0" quotePrefix="0" xfId="0">
      <alignment horizontal="left"/>
    </xf>
    <xf numFmtId="0" fontId="33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wrapText="1"/>
    </xf>
    <xf numFmtId="0" fontId="22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5" fillId="2" borderId="1" pivotButton="0" quotePrefix="0" xfId="0"/>
    <xf numFmtId="0" fontId="18" fillId="6" borderId="1" pivotButton="0" quotePrefix="0" xfId="0"/>
    <xf numFmtId="0" fontId="34" fillId="6" borderId="1" applyAlignment="1" pivotButton="0" quotePrefix="0" xfId="0">
      <alignment horizontal="center"/>
    </xf>
    <xf numFmtId="0" fontId="35" fillId="6" borderId="1" applyAlignment="1" pivotButton="0" quotePrefix="0" xfId="0">
      <alignment horizontal="center"/>
    </xf>
    <xf numFmtId="0" fontId="36" fillId="6" borderId="1" applyAlignment="1" pivotButton="0" quotePrefix="0" xfId="0">
      <alignment horizontal="center"/>
    </xf>
    <xf numFmtId="0" fontId="37" fillId="6" borderId="1" applyAlignment="1" pivotButton="0" quotePrefix="0" xfId="0">
      <alignment horizontal="center"/>
    </xf>
    <xf numFmtId="0" fontId="38" fillId="6" borderId="1" applyAlignment="1" pivotButton="0" quotePrefix="0" xfId="0">
      <alignment horizontal="center"/>
    </xf>
    <xf numFmtId="0" fontId="39" fillId="0" borderId="0" pivotButton="0" quotePrefix="0" xfId="0"/>
  </cellXfs>
  <cellStyles count="1">
    <cellStyle name="Normal" xfId="0" builtinId="0" hidden="0"/>
  </cellStyles>
  <dxfs count="7">
    <dxf>
      <font>
        <name val="Calibri"/>
        <b val="1"/>
        <color rgb="000D5C3A"/>
        <sz val="10"/>
      </font>
      <fill>
        <patternFill patternType="solid">
          <fgColor rgb="00D0F0E4"/>
          <bgColor rgb="00D0F0E4"/>
        </patternFill>
      </fill>
    </dxf>
    <dxf>
      <font>
        <name val="Calibri"/>
        <b val="1"/>
        <color rgb="00D46A00"/>
        <sz val="10"/>
      </font>
      <fill>
        <patternFill patternType="solid">
          <fgColor rgb="00FFF3E0"/>
          <bgColor rgb="00FFF3E0"/>
        </patternFill>
      </fill>
    </dxf>
    <dxf>
      <font>
        <name val="Calibri"/>
        <b val="1"/>
        <color rgb="00C0202E"/>
        <sz val="10"/>
      </font>
      <fill>
        <patternFill patternType="solid">
          <fgColor rgb="00FCE8EA"/>
          <bgColor rgb="00FCE8EA"/>
        </patternFill>
      </fill>
    </dxf>
    <dxf>
      <font>
        <name val="Calibri"/>
        <b val="1"/>
        <color rgb="001A3A7C"/>
        <sz val="10"/>
      </font>
      <fill>
        <patternFill patternType="solid">
          <fgColor rgb="00D4DFF5"/>
          <bgColor rgb="00D4DFF5"/>
        </patternFill>
      </fill>
    </dxf>
    <dxf>
      <fill>
        <patternFill patternType="solid">
          <fgColor rgb="00D0F0E4"/>
          <bgColor rgb="00D0F0E4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FCE8EA"/>
          <bgColor rgb="00FCE8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_BankRaw" displayName="tbl_BankRaw" ref="A1:F1001" headerRowCount="1">
  <autoFilter ref="A1:F1001"/>
  <tableColumns count="6">
    <tableColumn id="1" name="التاريخ_x000a_Date"/>
    <tableColumn id="2" name="الوصف_x000a_Description"/>
    <tableColumn id="3" name="النوع_x000a_Type"/>
    <tableColumn id="4" name="الدائن_x000a_Credit"/>
    <tableColumn id="5" name="المدين_x000a_Debit"/>
    <tableColumn id="6" name="الرصيد_x000a_Balan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_GLRaw" displayName="tbl_GLRaw" ref="A1:G1001" headerRowCount="1">
  <autoFilter ref="A1:G1001"/>
  <tableColumns count="7">
    <tableColumn id="1" name="التاريخ_x000a_Date"/>
    <tableColumn id="2" name="رقم القيد_x000a_JE Number"/>
    <tableColumn id="3" name="مفتاح الترحيل_x000a_Posting Key"/>
    <tableColumn id="4" name="نوع القيد_x000a_JE Type"/>
    <tableColumn id="5" name="المبلغ_x000a_Amount"/>
    <tableColumn id="6" name="رقم الحساب_x000a_GL Account"/>
    <tableColumn id="7" name="اسم الحساب_x000a_GL Na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_BankClean" displayName="tbl_BankClean" ref="A1:M1001" headerRowCount="1">
  <autoFilter ref="A1:M1001"/>
  <tableColumns count="13">
    <tableColumn id="1" name="معرف_x000a_Row ID"/>
    <tableColumn id="2" name="التاريخ_x000a_Date"/>
    <tableColumn id="3" name="الوصف_x000a_Description"/>
    <tableColumn id="4" name="النوع_x000a_Type"/>
    <tableColumn id="5" name="الدائن_x000a_Credit"/>
    <tableColumn id="6" name="المدين_x000a_Debit"/>
    <tableColumn id="7" name="الرصيد_x000a_Balance"/>
    <tableColumn id="8" name="الجانب_x000a_Side"/>
    <tableColumn id="9" name="المبلغ_x000a_Amount"/>
    <tableColumn id="10" name="المبلغ المطلق_x000a_Abs Amount"/>
    <tableColumn id="11" name="نوع المطابقة_x000a_Match Key"/>
    <tableColumn id="12" name="مستخدم_x000a_Used"/>
    <tableColumn id="13" name="ملاحظات_x000a_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_GLClean" displayName="tbl_GLClean" ref="A1:K1001" headerRowCount="1">
  <autoFilter ref="A1:K1001"/>
  <tableColumns count="11">
    <tableColumn id="1" name="معرف_x000a_Row ID"/>
    <tableColumn id="2" name="التاريخ_x000a_Date"/>
    <tableColumn id="3" name="رقم القيد_x000a_JE Number"/>
    <tableColumn id="4" name="مفتاح الترحيل_x000a_Posting Key"/>
    <tableColumn id="5" name="نوع القيد_x000a_JE Type"/>
    <tableColumn id="6" name="رقم الحساب_x000a_GL Account"/>
    <tableColumn id="7" name="اسم الحساب_x000a_GL Name"/>
    <tableColumn id="8" name="المبلغ_x000a_Amount"/>
    <tableColumn id="9" name="المبلغ المطلق_x000a_Abs Amount"/>
    <tableColumn id="10" name="الاتجاه_x000a_Direction"/>
    <tableColumn id="11" name="ملاحظات_x000a_Not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_MatchEngine" displayName="tbl_MatchEngine" ref="A1:N1001" headerRowCount="1">
  <autoFilter ref="A1:N1001"/>
  <tableColumns count="14">
    <tableColumn id="1" name="GL Row_x000a_معرف GL"/>
    <tableColumn id="2" name="GL Date_x000a_تاريخ GL"/>
    <tableColumn id="3" name="GL JE_x000a_رقم القيد"/>
    <tableColumn id="4" name="GL Amount_x000a_مبلغ GL"/>
    <tableColumn id="5" name="GL Abs Amt_x000a_المبلغ المطلق"/>
    <tableColumn id="6" name="GL Direction_x000a_الاتجاه"/>
    <tableColumn id="7" name="Bank Pool_x000a_مجموعة البنك"/>
    <tableColumn id="8" name="Best Bank Row_x000a_أفضل صف بنك"/>
    <tableColumn id="9" name="Best Bank Date_x000a_تاريخ البنك"/>
    <tableColumn id="10" name="Best Bank Amt_x000a_مبلغ البنك"/>
    <tableColumn id="11" name="Amt Diff_x000a_فرق المبلغ"/>
    <tableColumn id="12" name="Days Diff_x000a_فرق الأيام"/>
    <tableColumn id="13" name="Match Score_x000a_نسبة التطابق"/>
    <tableColumn id="14" name="Status_x000a_الحالة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_ReconResults" displayName="tbl_ReconResults" ref="A1:P1001" headerRowCount="1">
  <autoFilter ref="A1:P1001"/>
  <tableColumns count="16">
    <tableColumn id="1" name="الحالة_x000a_Status"/>
    <tableColumn id="2" name="رقم القيد_x000a_GL JE"/>
    <tableColumn id="3" name="تاريخ GL_x000a_GL Date"/>
    <tableColumn id="4" name="مبلغ GL_x000a_GL Amount"/>
    <tableColumn id="5" name="الاتجاه_x000a_Direction"/>
    <tableColumn id="6" name="تاريخ البنك_x000a_Bank Date"/>
    <tableColumn id="7" name="الدائن_x000a_Bank Credit"/>
    <tableColumn id="8" name="المدين_x000a_Bank Debit"/>
    <tableColumn id="9" name="مبلغ البنك_x000a_Bank Amount"/>
    <tableColumn id="10" name="الفرق_x000a_Difference"/>
    <tableColumn id="11" name="الأيام_x000a_Days Apart"/>
    <tableColumn id="12" name="نسبة التطابق_x000a_Score"/>
    <tableColumn id="13" name="الحساب_x000a_GL Account"/>
    <tableColumn id="14" name="اسم الحساب_x000a_GL Name"/>
    <tableColumn id="15" name="وصف البنك_x000a_Bank Desc"/>
    <tableColumn id="16" name="ملاحظات المراجع_x000a_Reviewer 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1A3A7C"/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نظام مطابقة الحسابات البنكية</t>
        </is>
      </c>
    </row>
    <row r="3">
      <c r="B3" s="2" t="inlineStr">
        <is>
          <t>BANK RECONCILIATION SYSTEM</t>
        </is>
      </c>
    </row>
    <row r="4">
      <c r="B4" s="3" t="inlineStr"/>
    </row>
    <row r="5">
      <c r="B5" s="4" t="inlineStr">
        <is>
          <t>الغرض من هذا الملف</t>
        </is>
      </c>
    </row>
    <row r="6">
      <c r="B6" s="5" t="inlineStr">
        <is>
          <t>يقوم هذا الملف بمطابقة كشف الحساب البنكي مع قيود دفتر الأستاذ العام تلقائياً.</t>
        </is>
      </c>
    </row>
    <row r="7">
      <c r="B7" s="5" t="inlineStr">
        <is>
          <t>يتم احتساب حالة كل قيد: مطابق، قريب من المطابقة، أو غير مطابق.</t>
        </is>
      </c>
    </row>
    <row r="8">
      <c r="B8" s="3" t="inlineStr"/>
    </row>
    <row r="9">
      <c r="B9" s="4" t="inlineStr">
        <is>
          <t>خطوات الاستخدام</t>
        </is>
      </c>
    </row>
    <row r="10">
      <c r="B10" s="5" t="inlineStr">
        <is>
          <t>1. افتح ورقة SETTINGS واضبط إعدادات التسامح والشركة.</t>
        </is>
      </c>
    </row>
    <row r="11">
      <c r="B11" s="5" t="inlineStr">
        <is>
          <t>2. الصق بيانات كشف البنك في ورقة BANK_RAW (بدون عناوين الأعمدة).</t>
        </is>
      </c>
    </row>
    <row r="12">
      <c r="B12" s="5" t="inlineStr">
        <is>
          <t>3. الصق بيانات الأستاذ العام في ورقة GL_RAW (بدون عناوين الأعمدة).</t>
        </is>
      </c>
    </row>
    <row r="13">
      <c r="B13" s="5" t="inlineStr">
        <is>
          <t>4. ستقوم أوراق BANK_CLEAN و GL_CLEAN بتنظيف البيانات تلقائياً.</t>
        </is>
      </c>
    </row>
    <row r="14">
      <c r="B14" s="5" t="inlineStr">
        <is>
          <t>5. ورقة MATCH_ENGINE تنفذ المطابقة تلقائياً.</t>
        </is>
      </c>
    </row>
    <row r="15">
      <c r="B15" s="5" t="inlineStr">
        <is>
          <t>6. راجع النتائج في RECON_RESULTS.</t>
        </is>
      </c>
    </row>
    <row r="16">
      <c r="B16" s="5" t="inlineStr">
        <is>
          <t>7. راجع لوحة المعلومات في DASHBOARD.</t>
        </is>
      </c>
    </row>
    <row r="17">
      <c r="B17" s="5" t="inlineStr">
        <is>
          <t>8. راجع الاستثناءات في EXCEPTIONS.</t>
        </is>
      </c>
    </row>
    <row r="18">
      <c r="B18" s="5" t="inlineStr">
        <is>
          <t>9. استخدم EXPORT_READY لتصدير النتائج.</t>
        </is>
      </c>
    </row>
    <row r="19">
      <c r="B19" s="3" t="inlineStr"/>
    </row>
    <row r="20">
      <c r="B20" s="4" t="inlineStr">
        <is>
          <t>إعدادات التسامح</t>
        </is>
      </c>
    </row>
    <row r="21">
      <c r="B21" s="5" t="inlineStr">
        <is>
          <t>فرق المبلغ: الحد الأقصى المسموح للفرق بين مبلغ GL ومبلغ البنك (بالريال).</t>
        </is>
      </c>
    </row>
    <row r="22">
      <c r="B22" s="5" t="inlineStr">
        <is>
          <t>فرق الأيام: الحد الأقصى المسموح للفرق بين تاريخ GL وتاريخ البنك.</t>
        </is>
      </c>
    </row>
    <row r="23">
      <c r="B23" s="5" t="inlineStr">
        <is>
          <t>حد المطابقة القريبة: الحد الأدنى لنسبة التطابق لاعتبار القيد قريباً.</t>
        </is>
      </c>
    </row>
    <row r="24">
      <c r="B24" s="3" t="inlineStr"/>
    </row>
    <row r="25">
      <c r="B25" s="4" t="inlineStr">
        <is>
          <t>حالات المطابقة</t>
        </is>
      </c>
    </row>
    <row r="26">
      <c r="B26" s="5" t="inlineStr">
        <is>
          <t>Matched (مطابق): الفرق في المبلغ والتاريخ ضمن حدود التسامح.</t>
        </is>
      </c>
    </row>
    <row r="27">
      <c r="B27" s="5" t="inlineStr">
        <is>
          <t>Near Match (قريب): خارج حدود التسامح لكن ضمن حد المطابقة القريبة.</t>
        </is>
      </c>
    </row>
    <row r="28">
      <c r="B28" s="5" t="inlineStr">
        <is>
          <t>Unmatched GL (GL غير مطابق): قيد أستاذ عام بدون حركة بنكية مقابلة.</t>
        </is>
      </c>
    </row>
    <row r="29">
      <c r="B29" s="5" t="inlineStr">
        <is>
          <t>Unmatched Bank (بنك غير مطابق): حركة بنكية بدون قيد أستاذ عام مقابل.</t>
        </is>
      </c>
    </row>
    <row r="30">
      <c r="B30" s="3" t="inlineStr"/>
    </row>
    <row r="31">
      <c r="B31" s="4" t="inlineStr">
        <is>
          <t>ملاحظات مهمة</t>
        </is>
      </c>
    </row>
    <row r="32">
      <c r="B32" s="5" t="inlineStr">
        <is>
          <t>لا تعدل أوراق CLEAN أو MATCH_ENGINE أو RECON_RESULTS — تحتوي على صيغ.</t>
        </is>
      </c>
    </row>
    <row r="33">
      <c r="B33" s="5" t="inlineStr">
        <is>
          <t>عدل فقط: SETTINGS و BANK_RAW و GL_RAW.</t>
        </is>
      </c>
    </row>
    <row r="34">
      <c r="B34" s="5" t="inlineStr">
        <is>
          <t>الملف مصمم لـ Microsoft Excel 365.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6A00"/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35" customWidth="1" min="4" max="4"/>
  </cols>
  <sheetData>
    <row r="2">
      <c r="B2" s="6" t="inlineStr">
        <is>
          <t>إعدادات النظام — SYSTEM SETTINGS</t>
        </is>
      </c>
    </row>
    <row r="4">
      <c r="B4" s="7" t="inlineStr">
        <is>
          <t>الإعداد</t>
        </is>
      </c>
      <c r="C4" s="7" t="inlineStr">
        <is>
          <t>القيمة</t>
        </is>
      </c>
      <c r="D4" s="7" t="inlineStr">
        <is>
          <t>الوصف</t>
        </is>
      </c>
    </row>
    <row r="5">
      <c r="B5" s="8" t="inlineStr">
        <is>
          <t>فرق المبلغ المسموح (SAR)</t>
        </is>
      </c>
      <c r="C5" s="9" t="n">
        <v>1</v>
      </c>
      <c r="D5" s="8" t="inlineStr">
        <is>
          <t>Amount Tolerance — الحد الأقصى للفرق بالريال</t>
        </is>
      </c>
    </row>
    <row r="6">
      <c r="B6" s="8" t="inlineStr">
        <is>
          <t>فرق الأيام المسموح</t>
        </is>
      </c>
      <c r="C6" s="9" t="n">
        <v>1</v>
      </c>
      <c r="D6" s="8" t="inlineStr">
        <is>
          <t>Date Tolerance — الحد الأقصى للفرق بالأيام</t>
        </is>
      </c>
    </row>
    <row r="7">
      <c r="B7" s="8" t="inlineStr">
        <is>
          <t>حد المطابقة القريبة (%)</t>
        </is>
      </c>
      <c r="C7" s="9" t="n">
        <v>50</v>
      </c>
      <c r="D7" s="8" t="inlineStr">
        <is>
          <t>Near Match Threshold — أقل نسبة تطابق للمطابقة القريبة</t>
        </is>
      </c>
    </row>
    <row r="8">
      <c r="B8" s="8" t="inlineStr">
        <is>
          <t>فترة التقرير</t>
        </is>
      </c>
      <c r="C8" s="9" t="inlineStr">
        <is>
          <t>2025-Q1</t>
        </is>
      </c>
      <c r="D8" s="8" t="inlineStr">
        <is>
          <t>Reporting Period</t>
        </is>
      </c>
    </row>
    <row r="10">
      <c r="B10" s="6" t="inlineStr">
        <is>
          <t>معلومات الشركة — COMPANY INFO</t>
        </is>
      </c>
    </row>
    <row r="12">
      <c r="B12" s="7" t="inlineStr">
        <is>
          <t>الإعداد</t>
        </is>
      </c>
      <c r="C12" s="7" t="inlineStr">
        <is>
          <t>القيمة</t>
        </is>
      </c>
      <c r="D12" s="7" t="inlineStr">
        <is>
          <t>الوصف</t>
        </is>
      </c>
    </row>
    <row r="13">
      <c r="B13" s="8" t="inlineStr">
        <is>
          <t>اسم الشركة</t>
        </is>
      </c>
      <c r="C13" s="9" t="inlineStr">
        <is>
          <t>شركة المثال التجارية</t>
        </is>
      </c>
      <c r="D13" s="8" t="inlineStr">
        <is>
          <t>Company Name</t>
        </is>
      </c>
    </row>
    <row r="14">
      <c r="B14" s="8" t="inlineStr">
        <is>
          <t>اسم الحساب البنكي</t>
        </is>
      </c>
      <c r="C14" s="9" t="inlineStr">
        <is>
          <t>الحساب الجاري الرئيسي</t>
        </is>
      </c>
      <c r="D14" s="8" t="inlineStr">
        <is>
          <t>Bank Account Name</t>
        </is>
      </c>
    </row>
    <row r="15">
      <c r="B15" s="8" t="inlineStr">
        <is>
          <t>رقم الحساب البنكي</t>
        </is>
      </c>
      <c r="C15" s="9" t="inlineStr">
        <is>
          <t>SA0380000000608010167519</t>
        </is>
      </c>
      <c r="D15" s="8" t="inlineStr">
        <is>
          <t>Bank Account Number (IBAN)</t>
        </is>
      </c>
    </row>
    <row r="16">
      <c r="B16" s="8" t="inlineStr">
        <is>
          <t>العملة</t>
        </is>
      </c>
      <c r="C16" s="9" t="inlineStr">
        <is>
          <t>SAR</t>
        </is>
      </c>
      <c r="D16" s="8" t="inlineStr">
        <is>
          <t>Currency</t>
        </is>
      </c>
    </row>
    <row r="17">
      <c r="B17" s="8" t="inlineStr">
        <is>
          <t>اسم البنك</t>
        </is>
      </c>
      <c r="C17" s="9" t="inlineStr">
        <is>
          <t>البنك الأهلي السعودي</t>
        </is>
      </c>
      <c r="D17" s="8" t="inlineStr">
        <is>
          <t>Bank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5C3A"/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7" t="inlineStr">
        <is>
          <t>التاريخ
Date</t>
        </is>
      </c>
      <c r="B1" s="7" t="inlineStr">
        <is>
          <t>الوصف
Description</t>
        </is>
      </c>
      <c r="C1" s="7" t="inlineStr">
        <is>
          <t>النوع
Type</t>
        </is>
      </c>
      <c r="D1" s="7" t="inlineStr">
        <is>
          <t>الدائن
Credit</t>
        </is>
      </c>
      <c r="E1" s="7" t="inlineStr">
        <is>
          <t>المدين
Debit</t>
        </is>
      </c>
      <c r="F1" s="7" t="inlineStr">
        <is>
          <t>الرصيد
Balance</t>
        </is>
      </c>
    </row>
    <row r="2">
      <c r="A2" s="10" t="n"/>
      <c r="B2" s="11" t="n"/>
      <c r="C2" s="11" t="n"/>
      <c r="D2" s="12" t="n"/>
      <c r="E2" s="12" t="n"/>
      <c r="F2" s="12" t="n"/>
    </row>
    <row r="3">
      <c r="A3" s="10" t="n"/>
      <c r="B3" s="11" t="n"/>
      <c r="C3" s="11" t="n"/>
      <c r="D3" s="12" t="n"/>
      <c r="E3" s="12" t="n"/>
      <c r="F3" s="12" t="n"/>
    </row>
    <row r="4">
      <c r="A4" s="10" t="n"/>
      <c r="B4" s="11" t="n"/>
      <c r="C4" s="11" t="n"/>
      <c r="D4" s="12" t="n"/>
      <c r="E4" s="12" t="n"/>
      <c r="F4" s="12" t="n"/>
    </row>
    <row r="5">
      <c r="A5" s="10" t="n"/>
      <c r="B5" s="11" t="n"/>
      <c r="C5" s="11" t="n"/>
      <c r="D5" s="12" t="n"/>
      <c r="E5" s="12" t="n"/>
      <c r="F5" s="12" t="n"/>
    </row>
    <row r="6">
      <c r="A6" s="10" t="n"/>
      <c r="B6" s="11" t="n"/>
      <c r="C6" s="11" t="n"/>
      <c r="D6" s="12" t="n"/>
      <c r="E6" s="12" t="n"/>
      <c r="F6" s="12" t="n"/>
    </row>
    <row r="7">
      <c r="A7" s="10" t="n"/>
      <c r="B7" s="11" t="n"/>
      <c r="C7" s="11" t="n"/>
      <c r="D7" s="12" t="n"/>
      <c r="E7" s="12" t="n"/>
      <c r="F7" s="12" t="n"/>
    </row>
    <row r="8">
      <c r="A8" s="10" t="n"/>
      <c r="B8" s="11" t="n"/>
      <c r="C8" s="11" t="n"/>
      <c r="D8" s="12" t="n"/>
      <c r="E8" s="12" t="n"/>
      <c r="F8" s="12" t="n"/>
    </row>
    <row r="9">
      <c r="A9" s="10" t="n"/>
      <c r="B9" s="11" t="n"/>
      <c r="C9" s="11" t="n"/>
      <c r="D9" s="12" t="n"/>
      <c r="E9" s="12" t="n"/>
      <c r="F9" s="12" t="n"/>
    </row>
    <row r="10">
      <c r="A10" s="10" t="n"/>
      <c r="B10" s="11" t="n"/>
      <c r="C10" s="11" t="n"/>
      <c r="D10" s="12" t="n"/>
      <c r="E10" s="12" t="n"/>
      <c r="F10" s="12" t="n"/>
    </row>
    <row r="11">
      <c r="A11" s="10" t="n"/>
      <c r="B11" s="11" t="n"/>
      <c r="C11" s="11" t="n"/>
      <c r="D11" s="12" t="n"/>
      <c r="E11" s="12" t="n"/>
      <c r="F11" s="12" t="n"/>
    </row>
    <row r="12">
      <c r="A12" s="10" t="n"/>
      <c r="B12" s="11" t="n"/>
      <c r="C12" s="11" t="n"/>
      <c r="D12" s="12" t="n"/>
      <c r="E12" s="12" t="n"/>
      <c r="F12" s="12" t="n"/>
    </row>
    <row r="13">
      <c r="A13" s="10" t="n"/>
      <c r="B13" s="11" t="n"/>
      <c r="C13" s="11" t="n"/>
      <c r="D13" s="12" t="n"/>
      <c r="E13" s="12" t="n"/>
      <c r="F13" s="12" t="n"/>
    </row>
    <row r="14">
      <c r="A14" s="10" t="n"/>
      <c r="B14" s="11" t="n"/>
      <c r="C14" s="11" t="n"/>
      <c r="D14" s="12" t="n"/>
      <c r="E14" s="12" t="n"/>
      <c r="F14" s="12" t="n"/>
    </row>
    <row r="15">
      <c r="A15" s="10" t="n"/>
      <c r="B15" s="11" t="n"/>
      <c r="C15" s="11" t="n"/>
      <c r="D15" s="12" t="n"/>
      <c r="E15" s="12" t="n"/>
      <c r="F15" s="12" t="n"/>
    </row>
    <row r="16">
      <c r="A16" s="10" t="n"/>
      <c r="B16" s="11" t="n"/>
      <c r="C16" s="11" t="n"/>
      <c r="D16" s="12" t="n"/>
      <c r="E16" s="12" t="n"/>
      <c r="F16" s="12" t="n"/>
    </row>
    <row r="17">
      <c r="A17" s="10" t="n"/>
      <c r="B17" s="11" t="n"/>
      <c r="C17" s="11" t="n"/>
      <c r="D17" s="12" t="n"/>
      <c r="E17" s="12" t="n"/>
      <c r="F17" s="12" t="n"/>
    </row>
    <row r="18">
      <c r="A18" s="10" t="n"/>
      <c r="B18" s="11" t="n"/>
      <c r="C18" s="11" t="n"/>
      <c r="D18" s="12" t="n"/>
      <c r="E18" s="12" t="n"/>
      <c r="F18" s="12" t="n"/>
    </row>
    <row r="19">
      <c r="A19" s="10" t="n"/>
      <c r="B19" s="11" t="n"/>
      <c r="C19" s="11" t="n"/>
      <c r="D19" s="12" t="n"/>
      <c r="E19" s="12" t="n"/>
      <c r="F19" s="12" t="n"/>
    </row>
    <row r="20">
      <c r="A20" s="10" t="n"/>
      <c r="B20" s="11" t="n"/>
      <c r="C20" s="11" t="n"/>
      <c r="D20" s="12" t="n"/>
      <c r="E20" s="12" t="n"/>
      <c r="F20" s="12" t="n"/>
    </row>
    <row r="21">
      <c r="A21" s="10" t="n"/>
      <c r="B21" s="11" t="n"/>
      <c r="C21" s="11" t="n"/>
      <c r="D21" s="12" t="n"/>
      <c r="E21" s="12" t="n"/>
      <c r="F21" s="12" t="n"/>
    </row>
    <row r="22">
      <c r="A22" s="10" t="n"/>
      <c r="B22" s="11" t="n"/>
      <c r="C22" s="11" t="n"/>
      <c r="D22" s="12" t="n"/>
      <c r="E22" s="12" t="n"/>
      <c r="F22" s="12" t="n"/>
    </row>
    <row r="23">
      <c r="A23" s="10" t="n"/>
      <c r="B23" s="11" t="n"/>
      <c r="C23" s="11" t="n"/>
      <c r="D23" s="12" t="n"/>
      <c r="E23" s="12" t="n"/>
      <c r="F23" s="12" t="n"/>
    </row>
    <row r="24">
      <c r="A24" s="10" t="n"/>
      <c r="B24" s="11" t="n"/>
      <c r="C24" s="11" t="n"/>
      <c r="D24" s="12" t="n"/>
      <c r="E24" s="12" t="n"/>
      <c r="F24" s="12" t="n"/>
    </row>
    <row r="25">
      <c r="A25" s="10" t="n"/>
      <c r="B25" s="11" t="n"/>
      <c r="C25" s="11" t="n"/>
      <c r="D25" s="12" t="n"/>
      <c r="E25" s="12" t="n"/>
      <c r="F25" s="12" t="n"/>
    </row>
    <row r="26">
      <c r="A26" s="10" t="n"/>
      <c r="B26" s="11" t="n"/>
      <c r="C26" s="11" t="n"/>
      <c r="D26" s="12" t="n"/>
      <c r="E26" s="12" t="n"/>
      <c r="F26" s="12" t="n"/>
    </row>
    <row r="27">
      <c r="A27" s="10" t="n"/>
      <c r="B27" s="11" t="n"/>
      <c r="C27" s="11" t="n"/>
      <c r="D27" s="12" t="n"/>
      <c r="E27" s="12" t="n"/>
      <c r="F27" s="12" t="n"/>
    </row>
    <row r="28">
      <c r="A28" s="10" t="n"/>
      <c r="B28" s="11" t="n"/>
      <c r="C28" s="11" t="n"/>
      <c r="D28" s="12" t="n"/>
      <c r="E28" s="12" t="n"/>
      <c r="F28" s="12" t="n"/>
    </row>
    <row r="29">
      <c r="A29" s="10" t="n"/>
      <c r="B29" s="11" t="n"/>
      <c r="C29" s="11" t="n"/>
      <c r="D29" s="12" t="n"/>
      <c r="E29" s="12" t="n"/>
      <c r="F29" s="12" t="n"/>
    </row>
    <row r="30">
      <c r="A30" s="10" t="n"/>
      <c r="B30" s="11" t="n"/>
      <c r="C30" s="11" t="n"/>
      <c r="D30" s="12" t="n"/>
      <c r="E30" s="12" t="n"/>
      <c r="F30" s="12" t="n"/>
    </row>
    <row r="31">
      <c r="A31" s="10" t="n"/>
      <c r="B31" s="11" t="n"/>
      <c r="C31" s="11" t="n"/>
      <c r="D31" s="12" t="n"/>
      <c r="E31" s="12" t="n"/>
      <c r="F31" s="12" t="n"/>
    </row>
    <row r="32">
      <c r="A32" s="10" t="n"/>
      <c r="B32" s="11" t="n"/>
      <c r="C32" s="11" t="n"/>
      <c r="D32" s="12" t="n"/>
      <c r="E32" s="12" t="n"/>
      <c r="F32" s="12" t="n"/>
    </row>
    <row r="33">
      <c r="A33" s="10" t="n"/>
      <c r="B33" s="11" t="n"/>
      <c r="C33" s="11" t="n"/>
      <c r="D33" s="12" t="n"/>
      <c r="E33" s="12" t="n"/>
      <c r="F33" s="12" t="n"/>
    </row>
    <row r="34">
      <c r="A34" s="10" t="n"/>
      <c r="B34" s="11" t="n"/>
      <c r="C34" s="11" t="n"/>
      <c r="D34" s="12" t="n"/>
      <c r="E34" s="12" t="n"/>
      <c r="F34" s="12" t="n"/>
    </row>
    <row r="35">
      <c r="A35" s="10" t="n"/>
      <c r="B35" s="11" t="n"/>
      <c r="C35" s="11" t="n"/>
      <c r="D35" s="12" t="n"/>
      <c r="E35" s="12" t="n"/>
      <c r="F35" s="12" t="n"/>
    </row>
    <row r="36">
      <c r="A36" s="10" t="n"/>
      <c r="B36" s="11" t="n"/>
      <c r="C36" s="11" t="n"/>
      <c r="D36" s="12" t="n"/>
      <c r="E36" s="12" t="n"/>
      <c r="F36" s="12" t="n"/>
    </row>
    <row r="37">
      <c r="A37" s="10" t="n"/>
      <c r="B37" s="11" t="n"/>
      <c r="C37" s="11" t="n"/>
      <c r="D37" s="12" t="n"/>
      <c r="E37" s="12" t="n"/>
      <c r="F37" s="12" t="n"/>
    </row>
    <row r="38">
      <c r="A38" s="10" t="n"/>
      <c r="B38" s="11" t="n"/>
      <c r="C38" s="11" t="n"/>
      <c r="D38" s="12" t="n"/>
      <c r="E38" s="12" t="n"/>
      <c r="F38" s="12" t="n"/>
    </row>
    <row r="39">
      <c r="A39" s="10" t="n"/>
      <c r="B39" s="11" t="n"/>
      <c r="C39" s="11" t="n"/>
      <c r="D39" s="12" t="n"/>
      <c r="E39" s="12" t="n"/>
      <c r="F39" s="12" t="n"/>
    </row>
    <row r="40">
      <c r="A40" s="10" t="n"/>
      <c r="B40" s="11" t="n"/>
      <c r="C40" s="11" t="n"/>
      <c r="D40" s="12" t="n"/>
      <c r="E40" s="12" t="n"/>
      <c r="F40" s="12" t="n"/>
    </row>
    <row r="41">
      <c r="A41" s="10" t="n"/>
      <c r="B41" s="11" t="n"/>
      <c r="C41" s="11" t="n"/>
      <c r="D41" s="12" t="n"/>
      <c r="E41" s="12" t="n"/>
      <c r="F41" s="12" t="n"/>
    </row>
    <row r="42">
      <c r="A42" s="10" t="n"/>
      <c r="B42" s="11" t="n"/>
      <c r="C42" s="11" t="n"/>
      <c r="D42" s="12" t="n"/>
      <c r="E42" s="12" t="n"/>
      <c r="F42" s="12" t="n"/>
    </row>
    <row r="43">
      <c r="A43" s="10" t="n"/>
      <c r="B43" s="11" t="n"/>
      <c r="C43" s="11" t="n"/>
      <c r="D43" s="12" t="n"/>
      <c r="E43" s="12" t="n"/>
      <c r="F43" s="12" t="n"/>
    </row>
    <row r="44">
      <c r="A44" s="10" t="n"/>
      <c r="B44" s="11" t="n"/>
      <c r="C44" s="11" t="n"/>
      <c r="D44" s="12" t="n"/>
      <c r="E44" s="12" t="n"/>
      <c r="F44" s="12" t="n"/>
    </row>
    <row r="45">
      <c r="A45" s="10" t="n"/>
      <c r="B45" s="11" t="n"/>
      <c r="C45" s="11" t="n"/>
      <c r="D45" s="12" t="n"/>
      <c r="E45" s="12" t="n"/>
      <c r="F45" s="12" t="n"/>
    </row>
    <row r="46">
      <c r="A46" s="10" t="n"/>
      <c r="B46" s="11" t="n"/>
      <c r="C46" s="11" t="n"/>
      <c r="D46" s="12" t="n"/>
      <c r="E46" s="12" t="n"/>
      <c r="F46" s="12" t="n"/>
    </row>
    <row r="47">
      <c r="A47" s="10" t="n"/>
      <c r="B47" s="11" t="n"/>
      <c r="C47" s="11" t="n"/>
      <c r="D47" s="12" t="n"/>
      <c r="E47" s="12" t="n"/>
      <c r="F47" s="12" t="n"/>
    </row>
    <row r="48">
      <c r="A48" s="10" t="n"/>
      <c r="B48" s="11" t="n"/>
      <c r="C48" s="11" t="n"/>
      <c r="D48" s="12" t="n"/>
      <c r="E48" s="12" t="n"/>
      <c r="F48" s="12" t="n"/>
    </row>
    <row r="49">
      <c r="A49" s="10" t="n"/>
      <c r="B49" s="11" t="n"/>
      <c r="C49" s="11" t="n"/>
      <c r="D49" s="12" t="n"/>
      <c r="E49" s="12" t="n"/>
      <c r="F49" s="12" t="n"/>
    </row>
    <row r="50">
      <c r="A50" s="10" t="n"/>
      <c r="B50" s="11" t="n"/>
      <c r="C50" s="11" t="n"/>
      <c r="D50" s="12" t="n"/>
      <c r="E50" s="12" t="n"/>
      <c r="F50" s="12" t="n"/>
    </row>
    <row r="51">
      <c r="A51" s="10" t="n"/>
      <c r="B51" s="11" t="n"/>
      <c r="C51" s="11" t="n"/>
      <c r="D51" s="12" t="n"/>
      <c r="E51" s="12" t="n"/>
      <c r="F51" s="12" t="n"/>
    </row>
    <row r="52">
      <c r="A52" s="10" t="n"/>
      <c r="B52" s="11" t="n"/>
      <c r="C52" s="11" t="n"/>
      <c r="D52" s="12" t="n"/>
      <c r="E52" s="12" t="n"/>
      <c r="F52" s="12" t="n"/>
    </row>
    <row r="53">
      <c r="A53" s="10" t="n"/>
      <c r="B53" s="11" t="n"/>
      <c r="C53" s="11" t="n"/>
      <c r="D53" s="12" t="n"/>
      <c r="E53" s="12" t="n"/>
      <c r="F53" s="12" t="n"/>
    </row>
    <row r="54">
      <c r="A54" s="10" t="n"/>
      <c r="B54" s="11" t="n"/>
      <c r="C54" s="11" t="n"/>
      <c r="D54" s="12" t="n"/>
      <c r="E54" s="12" t="n"/>
      <c r="F54" s="12" t="n"/>
    </row>
    <row r="55">
      <c r="A55" s="10" t="n"/>
      <c r="B55" s="11" t="n"/>
      <c r="C55" s="11" t="n"/>
      <c r="D55" s="12" t="n"/>
      <c r="E55" s="12" t="n"/>
      <c r="F55" s="12" t="n"/>
    </row>
    <row r="56">
      <c r="A56" s="10" t="n"/>
      <c r="B56" s="11" t="n"/>
      <c r="C56" s="11" t="n"/>
      <c r="D56" s="12" t="n"/>
      <c r="E56" s="12" t="n"/>
      <c r="F56" s="12" t="n"/>
    </row>
    <row r="57">
      <c r="A57" s="10" t="n"/>
      <c r="B57" s="11" t="n"/>
      <c r="C57" s="11" t="n"/>
      <c r="D57" s="12" t="n"/>
      <c r="E57" s="12" t="n"/>
      <c r="F57" s="12" t="n"/>
    </row>
    <row r="58">
      <c r="A58" s="10" t="n"/>
      <c r="B58" s="11" t="n"/>
      <c r="C58" s="11" t="n"/>
      <c r="D58" s="12" t="n"/>
      <c r="E58" s="12" t="n"/>
      <c r="F58" s="12" t="n"/>
    </row>
    <row r="59">
      <c r="A59" s="10" t="n"/>
      <c r="B59" s="11" t="n"/>
      <c r="C59" s="11" t="n"/>
      <c r="D59" s="12" t="n"/>
      <c r="E59" s="12" t="n"/>
      <c r="F59" s="12" t="n"/>
    </row>
    <row r="60">
      <c r="A60" s="10" t="n"/>
      <c r="B60" s="11" t="n"/>
      <c r="C60" s="11" t="n"/>
      <c r="D60" s="12" t="n"/>
      <c r="E60" s="12" t="n"/>
      <c r="F60" s="12" t="n"/>
    </row>
    <row r="61">
      <c r="A61" s="10" t="n"/>
      <c r="B61" s="11" t="n"/>
      <c r="C61" s="11" t="n"/>
      <c r="D61" s="12" t="n"/>
      <c r="E61" s="12" t="n"/>
      <c r="F61" s="12" t="n"/>
    </row>
    <row r="62">
      <c r="A62" s="10" t="n"/>
      <c r="B62" s="11" t="n"/>
      <c r="C62" s="11" t="n"/>
      <c r="D62" s="12" t="n"/>
      <c r="E62" s="12" t="n"/>
      <c r="F62" s="12" t="n"/>
    </row>
    <row r="63">
      <c r="A63" s="10" t="n"/>
      <c r="B63" s="11" t="n"/>
      <c r="C63" s="11" t="n"/>
      <c r="D63" s="12" t="n"/>
      <c r="E63" s="12" t="n"/>
      <c r="F63" s="12" t="n"/>
    </row>
    <row r="64">
      <c r="A64" s="10" t="n"/>
      <c r="B64" s="11" t="n"/>
      <c r="C64" s="11" t="n"/>
      <c r="D64" s="12" t="n"/>
      <c r="E64" s="12" t="n"/>
      <c r="F64" s="12" t="n"/>
    </row>
    <row r="65">
      <c r="A65" s="10" t="n"/>
      <c r="B65" s="11" t="n"/>
      <c r="C65" s="11" t="n"/>
      <c r="D65" s="12" t="n"/>
      <c r="E65" s="12" t="n"/>
      <c r="F65" s="12" t="n"/>
    </row>
    <row r="66">
      <c r="A66" s="10" t="n"/>
      <c r="B66" s="11" t="n"/>
      <c r="C66" s="11" t="n"/>
      <c r="D66" s="12" t="n"/>
      <c r="E66" s="12" t="n"/>
      <c r="F66" s="12" t="n"/>
    </row>
    <row r="67">
      <c r="A67" s="10" t="n"/>
      <c r="B67" s="11" t="n"/>
      <c r="C67" s="11" t="n"/>
      <c r="D67" s="12" t="n"/>
      <c r="E67" s="12" t="n"/>
      <c r="F67" s="12" t="n"/>
    </row>
    <row r="68">
      <c r="A68" s="10" t="n"/>
      <c r="B68" s="11" t="n"/>
      <c r="C68" s="11" t="n"/>
      <c r="D68" s="12" t="n"/>
      <c r="E68" s="12" t="n"/>
      <c r="F68" s="12" t="n"/>
    </row>
    <row r="69">
      <c r="A69" s="10" t="n"/>
      <c r="B69" s="11" t="n"/>
      <c r="C69" s="11" t="n"/>
      <c r="D69" s="12" t="n"/>
      <c r="E69" s="12" t="n"/>
      <c r="F69" s="12" t="n"/>
    </row>
    <row r="70">
      <c r="A70" s="10" t="n"/>
      <c r="B70" s="11" t="n"/>
      <c r="C70" s="11" t="n"/>
      <c r="D70" s="12" t="n"/>
      <c r="E70" s="12" t="n"/>
      <c r="F70" s="12" t="n"/>
    </row>
    <row r="71">
      <c r="A71" s="10" t="n"/>
      <c r="B71" s="11" t="n"/>
      <c r="C71" s="11" t="n"/>
      <c r="D71" s="12" t="n"/>
      <c r="E71" s="12" t="n"/>
      <c r="F71" s="12" t="n"/>
    </row>
    <row r="72">
      <c r="A72" s="10" t="n"/>
      <c r="B72" s="11" t="n"/>
      <c r="C72" s="11" t="n"/>
      <c r="D72" s="12" t="n"/>
      <c r="E72" s="12" t="n"/>
      <c r="F72" s="12" t="n"/>
    </row>
    <row r="73">
      <c r="A73" s="10" t="n"/>
      <c r="B73" s="11" t="n"/>
      <c r="C73" s="11" t="n"/>
      <c r="D73" s="12" t="n"/>
      <c r="E73" s="12" t="n"/>
      <c r="F73" s="12" t="n"/>
    </row>
    <row r="74">
      <c r="A74" s="10" t="n"/>
      <c r="B74" s="11" t="n"/>
      <c r="C74" s="11" t="n"/>
      <c r="D74" s="12" t="n"/>
      <c r="E74" s="12" t="n"/>
      <c r="F74" s="12" t="n"/>
    </row>
    <row r="75">
      <c r="A75" s="10" t="n"/>
      <c r="B75" s="11" t="n"/>
      <c r="C75" s="11" t="n"/>
      <c r="D75" s="12" t="n"/>
      <c r="E75" s="12" t="n"/>
      <c r="F75" s="12" t="n"/>
    </row>
    <row r="76">
      <c r="A76" s="10" t="n"/>
      <c r="B76" s="11" t="n"/>
      <c r="C76" s="11" t="n"/>
      <c r="D76" s="12" t="n"/>
      <c r="E76" s="12" t="n"/>
      <c r="F76" s="12" t="n"/>
    </row>
    <row r="77">
      <c r="A77" s="10" t="n"/>
      <c r="B77" s="11" t="n"/>
      <c r="C77" s="11" t="n"/>
      <c r="D77" s="12" t="n"/>
      <c r="E77" s="12" t="n"/>
      <c r="F77" s="12" t="n"/>
    </row>
    <row r="78">
      <c r="A78" s="10" t="n"/>
      <c r="B78" s="11" t="n"/>
      <c r="C78" s="11" t="n"/>
      <c r="D78" s="12" t="n"/>
      <c r="E78" s="12" t="n"/>
      <c r="F78" s="12" t="n"/>
    </row>
    <row r="79">
      <c r="A79" s="10" t="n"/>
      <c r="B79" s="11" t="n"/>
      <c r="C79" s="11" t="n"/>
      <c r="D79" s="12" t="n"/>
      <c r="E79" s="12" t="n"/>
      <c r="F79" s="12" t="n"/>
    </row>
    <row r="80">
      <c r="A80" s="10" t="n"/>
      <c r="B80" s="11" t="n"/>
      <c r="C80" s="11" t="n"/>
      <c r="D80" s="12" t="n"/>
      <c r="E80" s="12" t="n"/>
      <c r="F80" s="12" t="n"/>
    </row>
    <row r="81">
      <c r="A81" s="10" t="n"/>
      <c r="B81" s="11" t="n"/>
      <c r="C81" s="11" t="n"/>
      <c r="D81" s="12" t="n"/>
      <c r="E81" s="12" t="n"/>
      <c r="F81" s="12" t="n"/>
    </row>
    <row r="82">
      <c r="A82" s="10" t="n"/>
      <c r="B82" s="11" t="n"/>
      <c r="C82" s="11" t="n"/>
      <c r="D82" s="12" t="n"/>
      <c r="E82" s="12" t="n"/>
      <c r="F82" s="12" t="n"/>
    </row>
    <row r="83">
      <c r="A83" s="10" t="n"/>
      <c r="B83" s="11" t="n"/>
      <c r="C83" s="11" t="n"/>
      <c r="D83" s="12" t="n"/>
      <c r="E83" s="12" t="n"/>
      <c r="F83" s="12" t="n"/>
    </row>
    <row r="84">
      <c r="A84" s="10" t="n"/>
      <c r="B84" s="11" t="n"/>
      <c r="C84" s="11" t="n"/>
      <c r="D84" s="12" t="n"/>
      <c r="E84" s="12" t="n"/>
      <c r="F84" s="12" t="n"/>
    </row>
    <row r="85">
      <c r="A85" s="10" t="n"/>
      <c r="B85" s="11" t="n"/>
      <c r="C85" s="11" t="n"/>
      <c r="D85" s="12" t="n"/>
      <c r="E85" s="12" t="n"/>
      <c r="F85" s="12" t="n"/>
    </row>
    <row r="86">
      <c r="A86" s="10" t="n"/>
      <c r="B86" s="11" t="n"/>
      <c r="C86" s="11" t="n"/>
      <c r="D86" s="12" t="n"/>
      <c r="E86" s="12" t="n"/>
      <c r="F86" s="12" t="n"/>
    </row>
    <row r="87">
      <c r="A87" s="10" t="n"/>
      <c r="B87" s="11" t="n"/>
      <c r="C87" s="11" t="n"/>
      <c r="D87" s="12" t="n"/>
      <c r="E87" s="12" t="n"/>
      <c r="F87" s="12" t="n"/>
    </row>
    <row r="88">
      <c r="A88" s="10" t="n"/>
      <c r="B88" s="11" t="n"/>
      <c r="C88" s="11" t="n"/>
      <c r="D88" s="12" t="n"/>
      <c r="E88" s="12" t="n"/>
      <c r="F88" s="12" t="n"/>
    </row>
    <row r="89">
      <c r="A89" s="10" t="n"/>
      <c r="B89" s="11" t="n"/>
      <c r="C89" s="11" t="n"/>
      <c r="D89" s="12" t="n"/>
      <c r="E89" s="12" t="n"/>
      <c r="F89" s="12" t="n"/>
    </row>
    <row r="90">
      <c r="A90" s="10" t="n"/>
      <c r="B90" s="11" t="n"/>
      <c r="C90" s="11" t="n"/>
      <c r="D90" s="12" t="n"/>
      <c r="E90" s="12" t="n"/>
      <c r="F90" s="12" t="n"/>
    </row>
    <row r="91">
      <c r="A91" s="10" t="n"/>
      <c r="B91" s="11" t="n"/>
      <c r="C91" s="11" t="n"/>
      <c r="D91" s="12" t="n"/>
      <c r="E91" s="12" t="n"/>
      <c r="F91" s="12" t="n"/>
    </row>
    <row r="92">
      <c r="A92" s="10" t="n"/>
      <c r="B92" s="11" t="n"/>
      <c r="C92" s="11" t="n"/>
      <c r="D92" s="12" t="n"/>
      <c r="E92" s="12" t="n"/>
      <c r="F92" s="12" t="n"/>
    </row>
    <row r="93">
      <c r="A93" s="10" t="n"/>
      <c r="B93" s="11" t="n"/>
      <c r="C93" s="11" t="n"/>
      <c r="D93" s="12" t="n"/>
      <c r="E93" s="12" t="n"/>
      <c r="F93" s="12" t="n"/>
    </row>
    <row r="94">
      <c r="A94" s="10" t="n"/>
      <c r="B94" s="11" t="n"/>
      <c r="C94" s="11" t="n"/>
      <c r="D94" s="12" t="n"/>
      <c r="E94" s="12" t="n"/>
      <c r="F94" s="12" t="n"/>
    </row>
    <row r="95">
      <c r="A95" s="10" t="n"/>
      <c r="B95" s="11" t="n"/>
      <c r="C95" s="11" t="n"/>
      <c r="D95" s="12" t="n"/>
      <c r="E95" s="12" t="n"/>
      <c r="F95" s="12" t="n"/>
    </row>
    <row r="96">
      <c r="A96" s="10" t="n"/>
      <c r="B96" s="11" t="n"/>
      <c r="C96" s="11" t="n"/>
      <c r="D96" s="12" t="n"/>
      <c r="E96" s="12" t="n"/>
      <c r="F96" s="12" t="n"/>
    </row>
    <row r="97">
      <c r="A97" s="10" t="n"/>
      <c r="B97" s="11" t="n"/>
      <c r="C97" s="11" t="n"/>
      <c r="D97" s="12" t="n"/>
      <c r="E97" s="12" t="n"/>
      <c r="F97" s="12" t="n"/>
    </row>
    <row r="98">
      <c r="A98" s="10" t="n"/>
      <c r="B98" s="11" t="n"/>
      <c r="C98" s="11" t="n"/>
      <c r="D98" s="12" t="n"/>
      <c r="E98" s="12" t="n"/>
      <c r="F98" s="12" t="n"/>
    </row>
    <row r="99">
      <c r="A99" s="10" t="n"/>
      <c r="B99" s="11" t="n"/>
      <c r="C99" s="11" t="n"/>
      <c r="D99" s="12" t="n"/>
      <c r="E99" s="12" t="n"/>
      <c r="F99" s="12" t="n"/>
    </row>
    <row r="100">
      <c r="A100" s="10" t="n"/>
      <c r="B100" s="11" t="n"/>
      <c r="C100" s="11" t="n"/>
      <c r="D100" s="12" t="n"/>
      <c r="E100" s="12" t="n"/>
      <c r="F100" s="12" t="n"/>
    </row>
    <row r="101">
      <c r="A101" s="10" t="n"/>
      <c r="B101" s="11" t="n"/>
      <c r="C101" s="11" t="n"/>
      <c r="D101" s="12" t="n"/>
      <c r="E101" s="12" t="n"/>
      <c r="F101" s="12" t="n"/>
    </row>
    <row r="102">
      <c r="A102" s="10" t="n"/>
      <c r="B102" s="11" t="n"/>
      <c r="C102" s="11" t="n"/>
      <c r="D102" s="12" t="n"/>
      <c r="E102" s="12" t="n"/>
      <c r="F102" s="12" t="n"/>
    </row>
    <row r="103">
      <c r="A103" s="10" t="n"/>
      <c r="B103" s="11" t="n"/>
      <c r="C103" s="11" t="n"/>
      <c r="D103" s="12" t="n"/>
      <c r="E103" s="12" t="n"/>
      <c r="F103" s="12" t="n"/>
    </row>
    <row r="104">
      <c r="A104" s="10" t="n"/>
      <c r="B104" s="11" t="n"/>
      <c r="C104" s="11" t="n"/>
      <c r="D104" s="12" t="n"/>
      <c r="E104" s="12" t="n"/>
      <c r="F104" s="12" t="n"/>
    </row>
    <row r="105">
      <c r="A105" s="10" t="n"/>
      <c r="B105" s="11" t="n"/>
      <c r="C105" s="11" t="n"/>
      <c r="D105" s="12" t="n"/>
      <c r="E105" s="12" t="n"/>
      <c r="F105" s="12" t="n"/>
    </row>
    <row r="106">
      <c r="A106" s="10" t="n"/>
      <c r="B106" s="11" t="n"/>
      <c r="C106" s="11" t="n"/>
      <c r="D106" s="12" t="n"/>
      <c r="E106" s="12" t="n"/>
      <c r="F106" s="12" t="n"/>
    </row>
    <row r="107">
      <c r="A107" s="10" t="n"/>
      <c r="B107" s="11" t="n"/>
      <c r="C107" s="11" t="n"/>
      <c r="D107" s="12" t="n"/>
      <c r="E107" s="12" t="n"/>
      <c r="F107" s="12" t="n"/>
    </row>
    <row r="108">
      <c r="A108" s="10" t="n"/>
      <c r="B108" s="11" t="n"/>
      <c r="C108" s="11" t="n"/>
      <c r="D108" s="12" t="n"/>
      <c r="E108" s="12" t="n"/>
      <c r="F108" s="12" t="n"/>
    </row>
    <row r="109">
      <c r="A109" s="10" t="n"/>
      <c r="B109" s="11" t="n"/>
      <c r="C109" s="11" t="n"/>
      <c r="D109" s="12" t="n"/>
      <c r="E109" s="12" t="n"/>
      <c r="F109" s="12" t="n"/>
    </row>
    <row r="110">
      <c r="A110" s="10" t="n"/>
      <c r="B110" s="11" t="n"/>
      <c r="C110" s="11" t="n"/>
      <c r="D110" s="12" t="n"/>
      <c r="E110" s="12" t="n"/>
      <c r="F110" s="12" t="n"/>
    </row>
    <row r="111">
      <c r="A111" s="10" t="n"/>
      <c r="B111" s="11" t="n"/>
      <c r="C111" s="11" t="n"/>
      <c r="D111" s="12" t="n"/>
      <c r="E111" s="12" t="n"/>
      <c r="F111" s="12" t="n"/>
    </row>
    <row r="112">
      <c r="A112" s="10" t="n"/>
      <c r="B112" s="11" t="n"/>
      <c r="C112" s="11" t="n"/>
      <c r="D112" s="12" t="n"/>
      <c r="E112" s="12" t="n"/>
      <c r="F112" s="12" t="n"/>
    </row>
    <row r="113">
      <c r="A113" s="10" t="n"/>
      <c r="B113" s="11" t="n"/>
      <c r="C113" s="11" t="n"/>
      <c r="D113" s="12" t="n"/>
      <c r="E113" s="12" t="n"/>
      <c r="F113" s="12" t="n"/>
    </row>
    <row r="114">
      <c r="A114" s="10" t="n"/>
      <c r="B114" s="11" t="n"/>
      <c r="C114" s="11" t="n"/>
      <c r="D114" s="12" t="n"/>
      <c r="E114" s="12" t="n"/>
      <c r="F114" s="12" t="n"/>
    </row>
    <row r="115">
      <c r="A115" s="10" t="n"/>
      <c r="B115" s="11" t="n"/>
      <c r="C115" s="11" t="n"/>
      <c r="D115" s="12" t="n"/>
      <c r="E115" s="12" t="n"/>
      <c r="F115" s="12" t="n"/>
    </row>
    <row r="116">
      <c r="A116" s="10" t="n"/>
      <c r="B116" s="11" t="n"/>
      <c r="C116" s="11" t="n"/>
      <c r="D116" s="12" t="n"/>
      <c r="E116" s="12" t="n"/>
      <c r="F116" s="12" t="n"/>
    </row>
    <row r="117">
      <c r="A117" s="10" t="n"/>
      <c r="B117" s="11" t="n"/>
      <c r="C117" s="11" t="n"/>
      <c r="D117" s="12" t="n"/>
      <c r="E117" s="12" t="n"/>
      <c r="F117" s="12" t="n"/>
    </row>
    <row r="118">
      <c r="A118" s="10" t="n"/>
      <c r="B118" s="11" t="n"/>
      <c r="C118" s="11" t="n"/>
      <c r="D118" s="12" t="n"/>
      <c r="E118" s="12" t="n"/>
      <c r="F118" s="12" t="n"/>
    </row>
    <row r="119">
      <c r="A119" s="10" t="n"/>
      <c r="B119" s="11" t="n"/>
      <c r="C119" s="11" t="n"/>
      <c r="D119" s="12" t="n"/>
      <c r="E119" s="12" t="n"/>
      <c r="F119" s="12" t="n"/>
    </row>
    <row r="120">
      <c r="A120" s="10" t="n"/>
      <c r="B120" s="11" t="n"/>
      <c r="C120" s="11" t="n"/>
      <c r="D120" s="12" t="n"/>
      <c r="E120" s="12" t="n"/>
      <c r="F120" s="12" t="n"/>
    </row>
    <row r="121">
      <c r="A121" s="10" t="n"/>
      <c r="B121" s="11" t="n"/>
      <c r="C121" s="11" t="n"/>
      <c r="D121" s="12" t="n"/>
      <c r="E121" s="12" t="n"/>
      <c r="F121" s="12" t="n"/>
    </row>
    <row r="122">
      <c r="A122" s="10" t="n"/>
      <c r="B122" s="11" t="n"/>
      <c r="C122" s="11" t="n"/>
      <c r="D122" s="12" t="n"/>
      <c r="E122" s="12" t="n"/>
      <c r="F122" s="12" t="n"/>
    </row>
    <row r="123">
      <c r="A123" s="10" t="n"/>
      <c r="B123" s="11" t="n"/>
      <c r="C123" s="11" t="n"/>
      <c r="D123" s="12" t="n"/>
      <c r="E123" s="12" t="n"/>
      <c r="F123" s="12" t="n"/>
    </row>
    <row r="124">
      <c r="A124" s="10" t="n"/>
      <c r="B124" s="11" t="n"/>
      <c r="C124" s="11" t="n"/>
      <c r="D124" s="12" t="n"/>
      <c r="E124" s="12" t="n"/>
      <c r="F124" s="12" t="n"/>
    </row>
    <row r="125">
      <c r="A125" s="10" t="n"/>
      <c r="B125" s="11" t="n"/>
      <c r="C125" s="11" t="n"/>
      <c r="D125" s="12" t="n"/>
      <c r="E125" s="12" t="n"/>
      <c r="F125" s="12" t="n"/>
    </row>
    <row r="126">
      <c r="A126" s="10" t="n"/>
      <c r="B126" s="11" t="n"/>
      <c r="C126" s="11" t="n"/>
      <c r="D126" s="12" t="n"/>
      <c r="E126" s="12" t="n"/>
      <c r="F126" s="12" t="n"/>
    </row>
    <row r="127">
      <c r="A127" s="10" t="n"/>
      <c r="B127" s="11" t="n"/>
      <c r="C127" s="11" t="n"/>
      <c r="D127" s="12" t="n"/>
      <c r="E127" s="12" t="n"/>
      <c r="F127" s="12" t="n"/>
    </row>
    <row r="128">
      <c r="A128" s="10" t="n"/>
      <c r="B128" s="11" t="n"/>
      <c r="C128" s="11" t="n"/>
      <c r="D128" s="12" t="n"/>
      <c r="E128" s="12" t="n"/>
      <c r="F128" s="12" t="n"/>
    </row>
    <row r="129">
      <c r="A129" s="10" t="n"/>
      <c r="B129" s="11" t="n"/>
      <c r="C129" s="11" t="n"/>
      <c r="D129" s="12" t="n"/>
      <c r="E129" s="12" t="n"/>
      <c r="F129" s="12" t="n"/>
    </row>
    <row r="130">
      <c r="A130" s="10" t="n"/>
      <c r="B130" s="11" t="n"/>
      <c r="C130" s="11" t="n"/>
      <c r="D130" s="12" t="n"/>
      <c r="E130" s="12" t="n"/>
      <c r="F130" s="12" t="n"/>
    </row>
    <row r="131">
      <c r="A131" s="10" t="n"/>
      <c r="B131" s="11" t="n"/>
      <c r="C131" s="11" t="n"/>
      <c r="D131" s="12" t="n"/>
      <c r="E131" s="12" t="n"/>
      <c r="F131" s="12" t="n"/>
    </row>
    <row r="132">
      <c r="A132" s="10" t="n"/>
      <c r="B132" s="11" t="n"/>
      <c r="C132" s="11" t="n"/>
      <c r="D132" s="12" t="n"/>
      <c r="E132" s="12" t="n"/>
      <c r="F132" s="12" t="n"/>
    </row>
    <row r="133">
      <c r="A133" s="10" t="n"/>
      <c r="B133" s="11" t="n"/>
      <c r="C133" s="11" t="n"/>
      <c r="D133" s="12" t="n"/>
      <c r="E133" s="12" t="n"/>
      <c r="F133" s="12" t="n"/>
    </row>
    <row r="134">
      <c r="A134" s="10" t="n"/>
      <c r="B134" s="11" t="n"/>
      <c r="C134" s="11" t="n"/>
      <c r="D134" s="12" t="n"/>
      <c r="E134" s="12" t="n"/>
      <c r="F134" s="12" t="n"/>
    </row>
    <row r="135">
      <c r="A135" s="10" t="n"/>
      <c r="B135" s="11" t="n"/>
      <c r="C135" s="11" t="n"/>
      <c r="D135" s="12" t="n"/>
      <c r="E135" s="12" t="n"/>
      <c r="F135" s="12" t="n"/>
    </row>
    <row r="136">
      <c r="A136" s="10" t="n"/>
      <c r="B136" s="11" t="n"/>
      <c r="C136" s="11" t="n"/>
      <c r="D136" s="12" t="n"/>
      <c r="E136" s="12" t="n"/>
      <c r="F136" s="12" t="n"/>
    </row>
    <row r="137">
      <c r="A137" s="10" t="n"/>
      <c r="B137" s="11" t="n"/>
      <c r="C137" s="11" t="n"/>
      <c r="D137" s="12" t="n"/>
      <c r="E137" s="12" t="n"/>
      <c r="F137" s="12" t="n"/>
    </row>
    <row r="138">
      <c r="A138" s="10" t="n"/>
      <c r="B138" s="11" t="n"/>
      <c r="C138" s="11" t="n"/>
      <c r="D138" s="12" t="n"/>
      <c r="E138" s="12" t="n"/>
      <c r="F138" s="12" t="n"/>
    </row>
    <row r="139">
      <c r="A139" s="10" t="n"/>
      <c r="B139" s="11" t="n"/>
      <c r="C139" s="11" t="n"/>
      <c r="D139" s="12" t="n"/>
      <c r="E139" s="12" t="n"/>
      <c r="F139" s="12" t="n"/>
    </row>
    <row r="140">
      <c r="A140" s="10" t="n"/>
      <c r="B140" s="11" t="n"/>
      <c r="C140" s="11" t="n"/>
      <c r="D140" s="12" t="n"/>
      <c r="E140" s="12" t="n"/>
      <c r="F140" s="12" t="n"/>
    </row>
    <row r="141">
      <c r="A141" s="10" t="n"/>
      <c r="B141" s="11" t="n"/>
      <c r="C141" s="11" t="n"/>
      <c r="D141" s="12" t="n"/>
      <c r="E141" s="12" t="n"/>
      <c r="F141" s="12" t="n"/>
    </row>
    <row r="142">
      <c r="A142" s="10" t="n"/>
      <c r="B142" s="11" t="n"/>
      <c r="C142" s="11" t="n"/>
      <c r="D142" s="12" t="n"/>
      <c r="E142" s="12" t="n"/>
      <c r="F142" s="12" t="n"/>
    </row>
    <row r="143">
      <c r="A143" s="10" t="n"/>
      <c r="B143" s="11" t="n"/>
      <c r="C143" s="11" t="n"/>
      <c r="D143" s="12" t="n"/>
      <c r="E143" s="12" t="n"/>
      <c r="F143" s="12" t="n"/>
    </row>
    <row r="144">
      <c r="A144" s="10" t="n"/>
      <c r="B144" s="11" t="n"/>
      <c r="C144" s="11" t="n"/>
      <c r="D144" s="12" t="n"/>
      <c r="E144" s="12" t="n"/>
      <c r="F144" s="12" t="n"/>
    </row>
    <row r="145">
      <c r="A145" s="10" t="n"/>
      <c r="B145" s="11" t="n"/>
      <c r="C145" s="11" t="n"/>
      <c r="D145" s="12" t="n"/>
      <c r="E145" s="12" t="n"/>
      <c r="F145" s="12" t="n"/>
    </row>
    <row r="146">
      <c r="A146" s="10" t="n"/>
      <c r="B146" s="11" t="n"/>
      <c r="C146" s="11" t="n"/>
      <c r="D146" s="12" t="n"/>
      <c r="E146" s="12" t="n"/>
      <c r="F146" s="12" t="n"/>
    </row>
    <row r="147">
      <c r="A147" s="10" t="n"/>
      <c r="B147" s="11" t="n"/>
      <c r="C147" s="11" t="n"/>
      <c r="D147" s="12" t="n"/>
      <c r="E147" s="12" t="n"/>
      <c r="F147" s="12" t="n"/>
    </row>
    <row r="148">
      <c r="A148" s="10" t="n"/>
      <c r="B148" s="11" t="n"/>
      <c r="C148" s="11" t="n"/>
      <c r="D148" s="12" t="n"/>
      <c r="E148" s="12" t="n"/>
      <c r="F148" s="12" t="n"/>
    </row>
    <row r="149">
      <c r="A149" s="10" t="n"/>
      <c r="B149" s="11" t="n"/>
      <c r="C149" s="11" t="n"/>
      <c r="D149" s="12" t="n"/>
      <c r="E149" s="12" t="n"/>
      <c r="F149" s="12" t="n"/>
    </row>
    <row r="150">
      <c r="A150" s="10" t="n"/>
      <c r="B150" s="11" t="n"/>
      <c r="C150" s="11" t="n"/>
      <c r="D150" s="12" t="n"/>
      <c r="E150" s="12" t="n"/>
      <c r="F150" s="12" t="n"/>
    </row>
    <row r="151">
      <c r="A151" s="10" t="n"/>
      <c r="B151" s="11" t="n"/>
      <c r="C151" s="11" t="n"/>
      <c r="D151" s="12" t="n"/>
      <c r="E151" s="12" t="n"/>
      <c r="F151" s="12" t="n"/>
    </row>
    <row r="152">
      <c r="A152" s="10" t="n"/>
      <c r="B152" s="11" t="n"/>
      <c r="C152" s="11" t="n"/>
      <c r="D152" s="12" t="n"/>
      <c r="E152" s="12" t="n"/>
      <c r="F152" s="12" t="n"/>
    </row>
    <row r="153">
      <c r="A153" s="10" t="n"/>
      <c r="B153" s="11" t="n"/>
      <c r="C153" s="11" t="n"/>
      <c r="D153" s="12" t="n"/>
      <c r="E153" s="12" t="n"/>
      <c r="F153" s="12" t="n"/>
    </row>
    <row r="154">
      <c r="A154" s="10" t="n"/>
      <c r="B154" s="11" t="n"/>
      <c r="C154" s="11" t="n"/>
      <c r="D154" s="12" t="n"/>
      <c r="E154" s="12" t="n"/>
      <c r="F154" s="12" t="n"/>
    </row>
    <row r="155">
      <c r="A155" s="10" t="n"/>
      <c r="B155" s="11" t="n"/>
      <c r="C155" s="11" t="n"/>
      <c r="D155" s="12" t="n"/>
      <c r="E155" s="12" t="n"/>
      <c r="F155" s="12" t="n"/>
    </row>
    <row r="156">
      <c r="A156" s="10" t="n"/>
      <c r="B156" s="11" t="n"/>
      <c r="C156" s="11" t="n"/>
      <c r="D156" s="12" t="n"/>
      <c r="E156" s="12" t="n"/>
      <c r="F156" s="12" t="n"/>
    </row>
    <row r="157">
      <c r="A157" s="10" t="n"/>
      <c r="B157" s="11" t="n"/>
      <c r="C157" s="11" t="n"/>
      <c r="D157" s="12" t="n"/>
      <c r="E157" s="12" t="n"/>
      <c r="F157" s="12" t="n"/>
    </row>
    <row r="158">
      <c r="A158" s="10" t="n"/>
      <c r="B158" s="11" t="n"/>
      <c r="C158" s="11" t="n"/>
      <c r="D158" s="12" t="n"/>
      <c r="E158" s="12" t="n"/>
      <c r="F158" s="12" t="n"/>
    </row>
    <row r="159">
      <c r="A159" s="10" t="n"/>
      <c r="B159" s="11" t="n"/>
      <c r="C159" s="11" t="n"/>
      <c r="D159" s="12" t="n"/>
      <c r="E159" s="12" t="n"/>
      <c r="F159" s="12" t="n"/>
    </row>
    <row r="160">
      <c r="A160" s="10" t="n"/>
      <c r="B160" s="11" t="n"/>
      <c r="C160" s="11" t="n"/>
      <c r="D160" s="12" t="n"/>
      <c r="E160" s="12" t="n"/>
      <c r="F160" s="12" t="n"/>
    </row>
    <row r="161">
      <c r="A161" s="10" t="n"/>
      <c r="B161" s="11" t="n"/>
      <c r="C161" s="11" t="n"/>
      <c r="D161" s="12" t="n"/>
      <c r="E161" s="12" t="n"/>
      <c r="F161" s="12" t="n"/>
    </row>
    <row r="162">
      <c r="A162" s="10" t="n"/>
      <c r="B162" s="11" t="n"/>
      <c r="C162" s="11" t="n"/>
      <c r="D162" s="12" t="n"/>
      <c r="E162" s="12" t="n"/>
      <c r="F162" s="12" t="n"/>
    </row>
    <row r="163">
      <c r="A163" s="10" t="n"/>
      <c r="B163" s="11" t="n"/>
      <c r="C163" s="11" t="n"/>
      <c r="D163" s="12" t="n"/>
      <c r="E163" s="12" t="n"/>
      <c r="F163" s="12" t="n"/>
    </row>
    <row r="164">
      <c r="A164" s="10" t="n"/>
      <c r="B164" s="11" t="n"/>
      <c r="C164" s="11" t="n"/>
      <c r="D164" s="12" t="n"/>
      <c r="E164" s="12" t="n"/>
      <c r="F164" s="12" t="n"/>
    </row>
    <row r="165">
      <c r="A165" s="10" t="n"/>
      <c r="B165" s="11" t="n"/>
      <c r="C165" s="11" t="n"/>
      <c r="D165" s="12" t="n"/>
      <c r="E165" s="12" t="n"/>
      <c r="F165" s="12" t="n"/>
    </row>
    <row r="166">
      <c r="A166" s="10" t="n"/>
      <c r="B166" s="11" t="n"/>
      <c r="C166" s="11" t="n"/>
      <c r="D166" s="12" t="n"/>
      <c r="E166" s="12" t="n"/>
      <c r="F166" s="12" t="n"/>
    </row>
    <row r="167">
      <c r="A167" s="10" t="n"/>
      <c r="B167" s="11" t="n"/>
      <c r="C167" s="11" t="n"/>
      <c r="D167" s="12" t="n"/>
      <c r="E167" s="12" t="n"/>
      <c r="F167" s="12" t="n"/>
    </row>
    <row r="168">
      <c r="A168" s="10" t="n"/>
      <c r="B168" s="11" t="n"/>
      <c r="C168" s="11" t="n"/>
      <c r="D168" s="12" t="n"/>
      <c r="E168" s="12" t="n"/>
      <c r="F168" s="12" t="n"/>
    </row>
    <row r="169">
      <c r="A169" s="10" t="n"/>
      <c r="B169" s="11" t="n"/>
      <c r="C169" s="11" t="n"/>
      <c r="D169" s="12" t="n"/>
      <c r="E169" s="12" t="n"/>
      <c r="F169" s="12" t="n"/>
    </row>
    <row r="170">
      <c r="A170" s="10" t="n"/>
      <c r="B170" s="11" t="n"/>
      <c r="C170" s="11" t="n"/>
      <c r="D170" s="12" t="n"/>
      <c r="E170" s="12" t="n"/>
      <c r="F170" s="12" t="n"/>
    </row>
    <row r="171">
      <c r="A171" s="10" t="n"/>
      <c r="B171" s="11" t="n"/>
      <c r="C171" s="11" t="n"/>
      <c r="D171" s="12" t="n"/>
      <c r="E171" s="12" t="n"/>
      <c r="F171" s="12" t="n"/>
    </row>
    <row r="172">
      <c r="A172" s="10" t="n"/>
      <c r="B172" s="11" t="n"/>
      <c r="C172" s="11" t="n"/>
      <c r="D172" s="12" t="n"/>
      <c r="E172" s="12" t="n"/>
      <c r="F172" s="12" t="n"/>
    </row>
    <row r="173">
      <c r="A173" s="10" t="n"/>
      <c r="B173" s="11" t="n"/>
      <c r="C173" s="11" t="n"/>
      <c r="D173" s="12" t="n"/>
      <c r="E173" s="12" t="n"/>
      <c r="F173" s="12" t="n"/>
    </row>
    <row r="174">
      <c r="A174" s="10" t="n"/>
      <c r="B174" s="11" t="n"/>
      <c r="C174" s="11" t="n"/>
      <c r="D174" s="12" t="n"/>
      <c r="E174" s="12" t="n"/>
      <c r="F174" s="12" t="n"/>
    </row>
    <row r="175">
      <c r="A175" s="10" t="n"/>
      <c r="B175" s="11" t="n"/>
      <c r="C175" s="11" t="n"/>
      <c r="D175" s="12" t="n"/>
      <c r="E175" s="12" t="n"/>
      <c r="F175" s="12" t="n"/>
    </row>
    <row r="176">
      <c r="A176" s="10" t="n"/>
      <c r="B176" s="11" t="n"/>
      <c r="C176" s="11" t="n"/>
      <c r="D176" s="12" t="n"/>
      <c r="E176" s="12" t="n"/>
      <c r="F176" s="12" t="n"/>
    </row>
    <row r="177">
      <c r="A177" s="10" t="n"/>
      <c r="B177" s="11" t="n"/>
      <c r="C177" s="11" t="n"/>
      <c r="D177" s="12" t="n"/>
      <c r="E177" s="12" t="n"/>
      <c r="F177" s="12" t="n"/>
    </row>
    <row r="178">
      <c r="A178" s="10" t="n"/>
      <c r="B178" s="11" t="n"/>
      <c r="C178" s="11" t="n"/>
      <c r="D178" s="12" t="n"/>
      <c r="E178" s="12" t="n"/>
      <c r="F178" s="12" t="n"/>
    </row>
    <row r="179">
      <c r="A179" s="10" t="n"/>
      <c r="B179" s="11" t="n"/>
      <c r="C179" s="11" t="n"/>
      <c r="D179" s="12" t="n"/>
      <c r="E179" s="12" t="n"/>
      <c r="F179" s="12" t="n"/>
    </row>
    <row r="180">
      <c r="A180" s="10" t="n"/>
      <c r="B180" s="11" t="n"/>
      <c r="C180" s="11" t="n"/>
      <c r="D180" s="12" t="n"/>
      <c r="E180" s="12" t="n"/>
      <c r="F180" s="12" t="n"/>
    </row>
    <row r="181">
      <c r="A181" s="10" t="n"/>
      <c r="B181" s="11" t="n"/>
      <c r="C181" s="11" t="n"/>
      <c r="D181" s="12" t="n"/>
      <c r="E181" s="12" t="n"/>
      <c r="F181" s="12" t="n"/>
    </row>
    <row r="182">
      <c r="A182" s="10" t="n"/>
      <c r="B182" s="11" t="n"/>
      <c r="C182" s="11" t="n"/>
      <c r="D182" s="12" t="n"/>
      <c r="E182" s="12" t="n"/>
      <c r="F182" s="12" t="n"/>
    </row>
    <row r="183">
      <c r="A183" s="10" t="n"/>
      <c r="B183" s="11" t="n"/>
      <c r="C183" s="11" t="n"/>
      <c r="D183" s="12" t="n"/>
      <c r="E183" s="12" t="n"/>
      <c r="F183" s="12" t="n"/>
    </row>
    <row r="184">
      <c r="A184" s="10" t="n"/>
      <c r="B184" s="11" t="n"/>
      <c r="C184" s="11" t="n"/>
      <c r="D184" s="12" t="n"/>
      <c r="E184" s="12" t="n"/>
      <c r="F184" s="12" t="n"/>
    </row>
    <row r="185">
      <c r="A185" s="10" t="n"/>
      <c r="B185" s="11" t="n"/>
      <c r="C185" s="11" t="n"/>
      <c r="D185" s="12" t="n"/>
      <c r="E185" s="12" t="n"/>
      <c r="F185" s="12" t="n"/>
    </row>
    <row r="186">
      <c r="A186" s="10" t="n"/>
      <c r="B186" s="11" t="n"/>
      <c r="C186" s="11" t="n"/>
      <c r="D186" s="12" t="n"/>
      <c r="E186" s="12" t="n"/>
      <c r="F186" s="12" t="n"/>
    </row>
    <row r="187">
      <c r="A187" s="10" t="n"/>
      <c r="B187" s="11" t="n"/>
      <c r="C187" s="11" t="n"/>
      <c r="D187" s="12" t="n"/>
      <c r="E187" s="12" t="n"/>
      <c r="F187" s="12" t="n"/>
    </row>
    <row r="188">
      <c r="A188" s="10" t="n"/>
      <c r="B188" s="11" t="n"/>
      <c r="C188" s="11" t="n"/>
      <c r="D188" s="12" t="n"/>
      <c r="E188" s="12" t="n"/>
      <c r="F188" s="12" t="n"/>
    </row>
    <row r="189">
      <c r="A189" s="10" t="n"/>
      <c r="B189" s="11" t="n"/>
      <c r="C189" s="11" t="n"/>
      <c r="D189" s="12" t="n"/>
      <c r="E189" s="12" t="n"/>
      <c r="F189" s="12" t="n"/>
    </row>
    <row r="190">
      <c r="A190" s="10" t="n"/>
      <c r="B190" s="11" t="n"/>
      <c r="C190" s="11" t="n"/>
      <c r="D190" s="12" t="n"/>
      <c r="E190" s="12" t="n"/>
      <c r="F190" s="12" t="n"/>
    </row>
    <row r="191">
      <c r="A191" s="10" t="n"/>
      <c r="B191" s="11" t="n"/>
      <c r="C191" s="11" t="n"/>
      <c r="D191" s="12" t="n"/>
      <c r="E191" s="12" t="n"/>
      <c r="F191" s="12" t="n"/>
    </row>
    <row r="192">
      <c r="A192" s="10" t="n"/>
      <c r="B192" s="11" t="n"/>
      <c r="C192" s="11" t="n"/>
      <c r="D192" s="12" t="n"/>
      <c r="E192" s="12" t="n"/>
      <c r="F192" s="12" t="n"/>
    </row>
    <row r="193">
      <c r="A193" s="10" t="n"/>
      <c r="B193" s="11" t="n"/>
      <c r="C193" s="11" t="n"/>
      <c r="D193" s="12" t="n"/>
      <c r="E193" s="12" t="n"/>
      <c r="F193" s="12" t="n"/>
    </row>
    <row r="194">
      <c r="A194" s="10" t="n"/>
      <c r="B194" s="11" t="n"/>
      <c r="C194" s="11" t="n"/>
      <c r="D194" s="12" t="n"/>
      <c r="E194" s="12" t="n"/>
      <c r="F194" s="12" t="n"/>
    </row>
    <row r="195">
      <c r="A195" s="10" t="n"/>
      <c r="B195" s="11" t="n"/>
      <c r="C195" s="11" t="n"/>
      <c r="D195" s="12" t="n"/>
      <c r="E195" s="12" t="n"/>
      <c r="F195" s="12" t="n"/>
    </row>
    <row r="196">
      <c r="A196" s="10" t="n"/>
      <c r="B196" s="11" t="n"/>
      <c r="C196" s="11" t="n"/>
      <c r="D196" s="12" t="n"/>
      <c r="E196" s="12" t="n"/>
      <c r="F196" s="12" t="n"/>
    </row>
    <row r="197">
      <c r="A197" s="10" t="n"/>
      <c r="B197" s="11" t="n"/>
      <c r="C197" s="11" t="n"/>
      <c r="D197" s="12" t="n"/>
      <c r="E197" s="12" t="n"/>
      <c r="F197" s="12" t="n"/>
    </row>
    <row r="198">
      <c r="A198" s="10" t="n"/>
      <c r="B198" s="11" t="n"/>
      <c r="C198" s="11" t="n"/>
      <c r="D198" s="12" t="n"/>
      <c r="E198" s="12" t="n"/>
      <c r="F198" s="12" t="n"/>
    </row>
    <row r="199">
      <c r="A199" s="10" t="n"/>
      <c r="B199" s="11" t="n"/>
      <c r="C199" s="11" t="n"/>
      <c r="D199" s="12" t="n"/>
      <c r="E199" s="12" t="n"/>
      <c r="F199" s="12" t="n"/>
    </row>
    <row r="200">
      <c r="A200" s="10" t="n"/>
      <c r="B200" s="11" t="n"/>
      <c r="C200" s="11" t="n"/>
      <c r="D200" s="12" t="n"/>
      <c r="E200" s="12" t="n"/>
      <c r="F200" s="12" t="n"/>
    </row>
    <row r="201">
      <c r="A201" s="10" t="n"/>
      <c r="B201" s="11" t="n"/>
      <c r="C201" s="11" t="n"/>
      <c r="D201" s="12" t="n"/>
      <c r="E201" s="12" t="n"/>
      <c r="F201" s="12" t="n"/>
    </row>
    <row r="202">
      <c r="A202" s="10" t="n"/>
      <c r="B202" s="11" t="n"/>
      <c r="C202" s="11" t="n"/>
      <c r="D202" s="12" t="n"/>
      <c r="E202" s="12" t="n"/>
      <c r="F202" s="12" t="n"/>
    </row>
    <row r="203">
      <c r="A203" s="10" t="n"/>
      <c r="B203" s="11" t="n"/>
      <c r="C203" s="11" t="n"/>
      <c r="D203" s="12" t="n"/>
      <c r="E203" s="12" t="n"/>
      <c r="F203" s="12" t="n"/>
    </row>
    <row r="204">
      <c r="A204" s="10" t="n"/>
      <c r="B204" s="11" t="n"/>
      <c r="C204" s="11" t="n"/>
      <c r="D204" s="12" t="n"/>
      <c r="E204" s="12" t="n"/>
      <c r="F204" s="12" t="n"/>
    </row>
    <row r="205">
      <c r="A205" s="10" t="n"/>
      <c r="B205" s="11" t="n"/>
      <c r="C205" s="11" t="n"/>
      <c r="D205" s="12" t="n"/>
      <c r="E205" s="12" t="n"/>
      <c r="F205" s="12" t="n"/>
    </row>
    <row r="206">
      <c r="A206" s="10" t="n"/>
      <c r="B206" s="11" t="n"/>
      <c r="C206" s="11" t="n"/>
      <c r="D206" s="12" t="n"/>
      <c r="E206" s="12" t="n"/>
      <c r="F206" s="12" t="n"/>
    </row>
    <row r="207">
      <c r="A207" s="10" t="n"/>
      <c r="B207" s="11" t="n"/>
      <c r="C207" s="11" t="n"/>
      <c r="D207" s="12" t="n"/>
      <c r="E207" s="12" t="n"/>
      <c r="F207" s="12" t="n"/>
    </row>
    <row r="208">
      <c r="A208" s="10" t="n"/>
      <c r="B208" s="11" t="n"/>
      <c r="C208" s="11" t="n"/>
      <c r="D208" s="12" t="n"/>
      <c r="E208" s="12" t="n"/>
      <c r="F208" s="12" t="n"/>
    </row>
    <row r="209">
      <c r="A209" s="10" t="n"/>
      <c r="B209" s="11" t="n"/>
      <c r="C209" s="11" t="n"/>
      <c r="D209" s="12" t="n"/>
      <c r="E209" s="12" t="n"/>
      <c r="F209" s="12" t="n"/>
    </row>
    <row r="210">
      <c r="A210" s="10" t="n"/>
      <c r="B210" s="11" t="n"/>
      <c r="C210" s="11" t="n"/>
      <c r="D210" s="12" t="n"/>
      <c r="E210" s="12" t="n"/>
      <c r="F210" s="12" t="n"/>
    </row>
    <row r="211">
      <c r="A211" s="10" t="n"/>
      <c r="B211" s="11" t="n"/>
      <c r="C211" s="11" t="n"/>
      <c r="D211" s="12" t="n"/>
      <c r="E211" s="12" t="n"/>
      <c r="F211" s="12" t="n"/>
    </row>
    <row r="212">
      <c r="A212" s="10" t="n"/>
      <c r="B212" s="11" t="n"/>
      <c r="C212" s="11" t="n"/>
      <c r="D212" s="12" t="n"/>
      <c r="E212" s="12" t="n"/>
      <c r="F212" s="12" t="n"/>
    </row>
    <row r="213">
      <c r="A213" s="10" t="n"/>
      <c r="B213" s="11" t="n"/>
      <c r="C213" s="11" t="n"/>
      <c r="D213" s="12" t="n"/>
      <c r="E213" s="12" t="n"/>
      <c r="F213" s="12" t="n"/>
    </row>
    <row r="214">
      <c r="A214" s="10" t="n"/>
      <c r="B214" s="11" t="n"/>
      <c r="C214" s="11" t="n"/>
      <c r="D214" s="12" t="n"/>
      <c r="E214" s="12" t="n"/>
      <c r="F214" s="12" t="n"/>
    </row>
    <row r="215">
      <c r="A215" s="10" t="n"/>
      <c r="B215" s="11" t="n"/>
      <c r="C215" s="11" t="n"/>
      <c r="D215" s="12" t="n"/>
      <c r="E215" s="12" t="n"/>
      <c r="F215" s="12" t="n"/>
    </row>
    <row r="216">
      <c r="A216" s="10" t="n"/>
      <c r="B216" s="11" t="n"/>
      <c r="C216" s="11" t="n"/>
      <c r="D216" s="12" t="n"/>
      <c r="E216" s="12" t="n"/>
      <c r="F216" s="12" t="n"/>
    </row>
    <row r="217">
      <c r="A217" s="10" t="n"/>
      <c r="B217" s="11" t="n"/>
      <c r="C217" s="11" t="n"/>
      <c r="D217" s="12" t="n"/>
      <c r="E217" s="12" t="n"/>
      <c r="F217" s="12" t="n"/>
    </row>
    <row r="218">
      <c r="A218" s="10" t="n"/>
      <c r="B218" s="11" t="n"/>
      <c r="C218" s="11" t="n"/>
      <c r="D218" s="12" t="n"/>
      <c r="E218" s="12" t="n"/>
      <c r="F218" s="12" t="n"/>
    </row>
    <row r="219">
      <c r="A219" s="10" t="n"/>
      <c r="B219" s="11" t="n"/>
      <c r="C219" s="11" t="n"/>
      <c r="D219" s="12" t="n"/>
      <c r="E219" s="12" t="n"/>
      <c r="F219" s="12" t="n"/>
    </row>
    <row r="220">
      <c r="A220" s="10" t="n"/>
      <c r="B220" s="11" t="n"/>
      <c r="C220" s="11" t="n"/>
      <c r="D220" s="12" t="n"/>
      <c r="E220" s="12" t="n"/>
      <c r="F220" s="12" t="n"/>
    </row>
    <row r="221">
      <c r="A221" s="10" t="n"/>
      <c r="B221" s="11" t="n"/>
      <c r="C221" s="11" t="n"/>
      <c r="D221" s="12" t="n"/>
      <c r="E221" s="12" t="n"/>
      <c r="F221" s="12" t="n"/>
    </row>
    <row r="222">
      <c r="A222" s="10" t="n"/>
      <c r="B222" s="11" t="n"/>
      <c r="C222" s="11" t="n"/>
      <c r="D222" s="12" t="n"/>
      <c r="E222" s="12" t="n"/>
      <c r="F222" s="12" t="n"/>
    </row>
    <row r="223">
      <c r="A223" s="10" t="n"/>
      <c r="B223" s="11" t="n"/>
      <c r="C223" s="11" t="n"/>
      <c r="D223" s="12" t="n"/>
      <c r="E223" s="12" t="n"/>
      <c r="F223" s="12" t="n"/>
    </row>
    <row r="224">
      <c r="A224" s="10" t="n"/>
      <c r="B224" s="11" t="n"/>
      <c r="C224" s="11" t="n"/>
      <c r="D224" s="12" t="n"/>
      <c r="E224" s="12" t="n"/>
      <c r="F224" s="12" t="n"/>
    </row>
    <row r="225">
      <c r="A225" s="10" t="n"/>
      <c r="B225" s="11" t="n"/>
      <c r="C225" s="11" t="n"/>
      <c r="D225" s="12" t="n"/>
      <c r="E225" s="12" t="n"/>
      <c r="F225" s="12" t="n"/>
    </row>
    <row r="226">
      <c r="A226" s="10" t="n"/>
      <c r="B226" s="11" t="n"/>
      <c r="C226" s="11" t="n"/>
      <c r="D226" s="12" t="n"/>
      <c r="E226" s="12" t="n"/>
      <c r="F226" s="12" t="n"/>
    </row>
    <row r="227">
      <c r="A227" s="10" t="n"/>
      <c r="B227" s="11" t="n"/>
      <c r="C227" s="11" t="n"/>
      <c r="D227" s="12" t="n"/>
      <c r="E227" s="12" t="n"/>
      <c r="F227" s="12" t="n"/>
    </row>
    <row r="228">
      <c r="A228" s="10" t="n"/>
      <c r="B228" s="11" t="n"/>
      <c r="C228" s="11" t="n"/>
      <c r="D228" s="12" t="n"/>
      <c r="E228" s="12" t="n"/>
      <c r="F228" s="12" t="n"/>
    </row>
    <row r="229">
      <c r="A229" s="10" t="n"/>
      <c r="B229" s="11" t="n"/>
      <c r="C229" s="11" t="n"/>
      <c r="D229" s="12" t="n"/>
      <c r="E229" s="12" t="n"/>
      <c r="F229" s="12" t="n"/>
    </row>
    <row r="230">
      <c r="A230" s="10" t="n"/>
      <c r="B230" s="11" t="n"/>
      <c r="C230" s="11" t="n"/>
      <c r="D230" s="12" t="n"/>
      <c r="E230" s="12" t="n"/>
      <c r="F230" s="12" t="n"/>
    </row>
    <row r="231">
      <c r="A231" s="10" t="n"/>
      <c r="B231" s="11" t="n"/>
      <c r="C231" s="11" t="n"/>
      <c r="D231" s="12" t="n"/>
      <c r="E231" s="12" t="n"/>
      <c r="F231" s="12" t="n"/>
    </row>
    <row r="232">
      <c r="A232" s="10" t="n"/>
      <c r="B232" s="11" t="n"/>
      <c r="C232" s="11" t="n"/>
      <c r="D232" s="12" t="n"/>
      <c r="E232" s="12" t="n"/>
      <c r="F232" s="12" t="n"/>
    </row>
    <row r="233">
      <c r="A233" s="10" t="n"/>
      <c r="B233" s="11" t="n"/>
      <c r="C233" s="11" t="n"/>
      <c r="D233" s="12" t="n"/>
      <c r="E233" s="12" t="n"/>
      <c r="F233" s="12" t="n"/>
    </row>
    <row r="234">
      <c r="A234" s="10" t="n"/>
      <c r="B234" s="11" t="n"/>
      <c r="C234" s="11" t="n"/>
      <c r="D234" s="12" t="n"/>
      <c r="E234" s="12" t="n"/>
      <c r="F234" s="12" t="n"/>
    </row>
    <row r="235">
      <c r="A235" s="10" t="n"/>
      <c r="B235" s="11" t="n"/>
      <c r="C235" s="11" t="n"/>
      <c r="D235" s="12" t="n"/>
      <c r="E235" s="12" t="n"/>
      <c r="F235" s="12" t="n"/>
    </row>
    <row r="236">
      <c r="A236" s="10" t="n"/>
      <c r="B236" s="11" t="n"/>
      <c r="C236" s="11" t="n"/>
      <c r="D236" s="12" t="n"/>
      <c r="E236" s="12" t="n"/>
      <c r="F236" s="12" t="n"/>
    </row>
    <row r="237">
      <c r="A237" s="10" t="n"/>
      <c r="B237" s="11" t="n"/>
      <c r="C237" s="11" t="n"/>
      <c r="D237" s="12" t="n"/>
      <c r="E237" s="12" t="n"/>
      <c r="F237" s="12" t="n"/>
    </row>
    <row r="238">
      <c r="A238" s="10" t="n"/>
      <c r="B238" s="11" t="n"/>
      <c r="C238" s="11" t="n"/>
      <c r="D238" s="12" t="n"/>
      <c r="E238" s="12" t="n"/>
      <c r="F238" s="12" t="n"/>
    </row>
    <row r="239">
      <c r="A239" s="10" t="n"/>
      <c r="B239" s="11" t="n"/>
      <c r="C239" s="11" t="n"/>
      <c r="D239" s="12" t="n"/>
      <c r="E239" s="12" t="n"/>
      <c r="F239" s="12" t="n"/>
    </row>
    <row r="240">
      <c r="A240" s="10" t="n"/>
      <c r="B240" s="11" t="n"/>
      <c r="C240" s="11" t="n"/>
      <c r="D240" s="12" t="n"/>
      <c r="E240" s="12" t="n"/>
      <c r="F240" s="12" t="n"/>
    </row>
    <row r="241">
      <c r="A241" s="10" t="n"/>
      <c r="B241" s="11" t="n"/>
      <c r="C241" s="11" t="n"/>
      <c r="D241" s="12" t="n"/>
      <c r="E241" s="12" t="n"/>
      <c r="F241" s="12" t="n"/>
    </row>
    <row r="242">
      <c r="A242" s="10" t="n"/>
      <c r="B242" s="11" t="n"/>
      <c r="C242" s="11" t="n"/>
      <c r="D242" s="12" t="n"/>
      <c r="E242" s="12" t="n"/>
      <c r="F242" s="12" t="n"/>
    </row>
    <row r="243">
      <c r="A243" s="10" t="n"/>
      <c r="B243" s="11" t="n"/>
      <c r="C243" s="11" t="n"/>
      <c r="D243" s="12" t="n"/>
      <c r="E243" s="12" t="n"/>
      <c r="F243" s="12" t="n"/>
    </row>
    <row r="244">
      <c r="A244" s="10" t="n"/>
      <c r="B244" s="11" t="n"/>
      <c r="C244" s="11" t="n"/>
      <c r="D244" s="12" t="n"/>
      <c r="E244" s="12" t="n"/>
      <c r="F244" s="12" t="n"/>
    </row>
    <row r="245">
      <c r="A245" s="10" t="n"/>
      <c r="B245" s="11" t="n"/>
      <c r="C245" s="11" t="n"/>
      <c r="D245" s="12" t="n"/>
      <c r="E245" s="12" t="n"/>
      <c r="F245" s="12" t="n"/>
    </row>
    <row r="246">
      <c r="A246" s="10" t="n"/>
      <c r="B246" s="11" t="n"/>
      <c r="C246" s="11" t="n"/>
      <c r="D246" s="12" t="n"/>
      <c r="E246" s="12" t="n"/>
      <c r="F246" s="12" t="n"/>
    </row>
    <row r="247">
      <c r="A247" s="10" t="n"/>
      <c r="B247" s="11" t="n"/>
      <c r="C247" s="11" t="n"/>
      <c r="D247" s="12" t="n"/>
      <c r="E247" s="12" t="n"/>
      <c r="F247" s="12" t="n"/>
    </row>
    <row r="248">
      <c r="A248" s="10" t="n"/>
      <c r="B248" s="11" t="n"/>
      <c r="C248" s="11" t="n"/>
      <c r="D248" s="12" t="n"/>
      <c r="E248" s="12" t="n"/>
      <c r="F248" s="12" t="n"/>
    </row>
    <row r="249">
      <c r="A249" s="10" t="n"/>
      <c r="B249" s="11" t="n"/>
      <c r="C249" s="11" t="n"/>
      <c r="D249" s="12" t="n"/>
      <c r="E249" s="12" t="n"/>
      <c r="F249" s="12" t="n"/>
    </row>
    <row r="250">
      <c r="A250" s="10" t="n"/>
      <c r="B250" s="11" t="n"/>
      <c r="C250" s="11" t="n"/>
      <c r="D250" s="12" t="n"/>
      <c r="E250" s="12" t="n"/>
      <c r="F250" s="12" t="n"/>
    </row>
    <row r="251">
      <c r="A251" s="10" t="n"/>
      <c r="B251" s="11" t="n"/>
      <c r="C251" s="11" t="n"/>
      <c r="D251" s="12" t="n"/>
      <c r="E251" s="12" t="n"/>
      <c r="F251" s="12" t="n"/>
    </row>
    <row r="252">
      <c r="A252" s="10" t="n"/>
      <c r="B252" s="11" t="n"/>
      <c r="C252" s="11" t="n"/>
      <c r="D252" s="12" t="n"/>
      <c r="E252" s="12" t="n"/>
      <c r="F252" s="12" t="n"/>
    </row>
    <row r="253">
      <c r="A253" s="10" t="n"/>
      <c r="B253" s="11" t="n"/>
      <c r="C253" s="11" t="n"/>
      <c r="D253" s="12" t="n"/>
      <c r="E253" s="12" t="n"/>
      <c r="F253" s="12" t="n"/>
    </row>
    <row r="254">
      <c r="A254" s="10" t="n"/>
      <c r="B254" s="11" t="n"/>
      <c r="C254" s="11" t="n"/>
      <c r="D254" s="12" t="n"/>
      <c r="E254" s="12" t="n"/>
      <c r="F254" s="12" t="n"/>
    </row>
    <row r="255">
      <c r="A255" s="10" t="n"/>
      <c r="B255" s="11" t="n"/>
      <c r="C255" s="11" t="n"/>
      <c r="D255" s="12" t="n"/>
      <c r="E255" s="12" t="n"/>
      <c r="F255" s="12" t="n"/>
    </row>
    <row r="256">
      <c r="A256" s="10" t="n"/>
      <c r="B256" s="11" t="n"/>
      <c r="C256" s="11" t="n"/>
      <c r="D256" s="12" t="n"/>
      <c r="E256" s="12" t="n"/>
      <c r="F256" s="12" t="n"/>
    </row>
    <row r="257">
      <c r="A257" s="10" t="n"/>
      <c r="B257" s="11" t="n"/>
      <c r="C257" s="11" t="n"/>
      <c r="D257" s="12" t="n"/>
      <c r="E257" s="12" t="n"/>
      <c r="F257" s="12" t="n"/>
    </row>
    <row r="258">
      <c r="A258" s="10" t="n"/>
      <c r="B258" s="11" t="n"/>
      <c r="C258" s="11" t="n"/>
      <c r="D258" s="12" t="n"/>
      <c r="E258" s="12" t="n"/>
      <c r="F258" s="12" t="n"/>
    </row>
    <row r="259">
      <c r="A259" s="10" t="n"/>
      <c r="B259" s="11" t="n"/>
      <c r="C259" s="11" t="n"/>
      <c r="D259" s="12" t="n"/>
      <c r="E259" s="12" t="n"/>
      <c r="F259" s="12" t="n"/>
    </row>
    <row r="260">
      <c r="A260" s="10" t="n"/>
      <c r="B260" s="11" t="n"/>
      <c r="C260" s="11" t="n"/>
      <c r="D260" s="12" t="n"/>
      <c r="E260" s="12" t="n"/>
      <c r="F260" s="12" t="n"/>
    </row>
    <row r="261">
      <c r="A261" s="10" t="n"/>
      <c r="B261" s="11" t="n"/>
      <c r="C261" s="11" t="n"/>
      <c r="D261" s="12" t="n"/>
      <c r="E261" s="12" t="n"/>
      <c r="F261" s="12" t="n"/>
    </row>
    <row r="262">
      <c r="A262" s="10" t="n"/>
      <c r="B262" s="11" t="n"/>
      <c r="C262" s="11" t="n"/>
      <c r="D262" s="12" t="n"/>
      <c r="E262" s="12" t="n"/>
      <c r="F262" s="12" t="n"/>
    </row>
    <row r="263">
      <c r="A263" s="10" t="n"/>
      <c r="B263" s="11" t="n"/>
      <c r="C263" s="11" t="n"/>
      <c r="D263" s="12" t="n"/>
      <c r="E263" s="12" t="n"/>
      <c r="F263" s="12" t="n"/>
    </row>
    <row r="264">
      <c r="A264" s="10" t="n"/>
      <c r="B264" s="11" t="n"/>
      <c r="C264" s="11" t="n"/>
      <c r="D264" s="12" t="n"/>
      <c r="E264" s="12" t="n"/>
      <c r="F264" s="12" t="n"/>
    </row>
    <row r="265">
      <c r="A265" s="10" t="n"/>
      <c r="B265" s="11" t="n"/>
      <c r="C265" s="11" t="n"/>
      <c r="D265" s="12" t="n"/>
      <c r="E265" s="12" t="n"/>
      <c r="F265" s="12" t="n"/>
    </row>
    <row r="266">
      <c r="A266" s="10" t="n"/>
      <c r="B266" s="11" t="n"/>
      <c r="C266" s="11" t="n"/>
      <c r="D266" s="12" t="n"/>
      <c r="E266" s="12" t="n"/>
      <c r="F266" s="12" t="n"/>
    </row>
    <row r="267">
      <c r="A267" s="10" t="n"/>
      <c r="B267" s="11" t="n"/>
      <c r="C267" s="11" t="n"/>
      <c r="D267" s="12" t="n"/>
      <c r="E267" s="12" t="n"/>
      <c r="F267" s="12" t="n"/>
    </row>
    <row r="268">
      <c r="A268" s="10" t="n"/>
      <c r="B268" s="11" t="n"/>
      <c r="C268" s="11" t="n"/>
      <c r="D268" s="12" t="n"/>
      <c r="E268" s="12" t="n"/>
      <c r="F268" s="12" t="n"/>
    </row>
    <row r="269">
      <c r="A269" s="10" t="n"/>
      <c r="B269" s="11" t="n"/>
      <c r="C269" s="11" t="n"/>
      <c r="D269" s="12" t="n"/>
      <c r="E269" s="12" t="n"/>
      <c r="F269" s="12" t="n"/>
    </row>
    <row r="270">
      <c r="A270" s="10" t="n"/>
      <c r="B270" s="11" t="n"/>
      <c r="C270" s="11" t="n"/>
      <c r="D270" s="12" t="n"/>
      <c r="E270" s="12" t="n"/>
      <c r="F270" s="12" t="n"/>
    </row>
    <row r="271">
      <c r="A271" s="10" t="n"/>
      <c r="B271" s="11" t="n"/>
      <c r="C271" s="11" t="n"/>
      <c r="D271" s="12" t="n"/>
      <c r="E271" s="12" t="n"/>
      <c r="F271" s="12" t="n"/>
    </row>
    <row r="272">
      <c r="A272" s="10" t="n"/>
      <c r="B272" s="11" t="n"/>
      <c r="C272" s="11" t="n"/>
      <c r="D272" s="12" t="n"/>
      <c r="E272" s="12" t="n"/>
      <c r="F272" s="12" t="n"/>
    </row>
    <row r="273">
      <c r="A273" s="10" t="n"/>
      <c r="B273" s="11" t="n"/>
      <c r="C273" s="11" t="n"/>
      <c r="D273" s="12" t="n"/>
      <c r="E273" s="12" t="n"/>
      <c r="F273" s="12" t="n"/>
    </row>
    <row r="274">
      <c r="A274" s="10" t="n"/>
      <c r="B274" s="11" t="n"/>
      <c r="C274" s="11" t="n"/>
      <c r="D274" s="12" t="n"/>
      <c r="E274" s="12" t="n"/>
      <c r="F274" s="12" t="n"/>
    </row>
    <row r="275">
      <c r="A275" s="10" t="n"/>
      <c r="B275" s="11" t="n"/>
      <c r="C275" s="11" t="n"/>
      <c r="D275" s="12" t="n"/>
      <c r="E275" s="12" t="n"/>
      <c r="F275" s="12" t="n"/>
    </row>
    <row r="276">
      <c r="A276" s="10" t="n"/>
      <c r="B276" s="11" t="n"/>
      <c r="C276" s="11" t="n"/>
      <c r="D276" s="12" t="n"/>
      <c r="E276" s="12" t="n"/>
      <c r="F276" s="12" t="n"/>
    </row>
    <row r="277">
      <c r="A277" s="10" t="n"/>
      <c r="B277" s="11" t="n"/>
      <c r="C277" s="11" t="n"/>
      <c r="D277" s="12" t="n"/>
      <c r="E277" s="12" t="n"/>
      <c r="F277" s="12" t="n"/>
    </row>
    <row r="278">
      <c r="A278" s="10" t="n"/>
      <c r="B278" s="11" t="n"/>
      <c r="C278" s="11" t="n"/>
      <c r="D278" s="12" t="n"/>
      <c r="E278" s="12" t="n"/>
      <c r="F278" s="12" t="n"/>
    </row>
    <row r="279">
      <c r="A279" s="10" t="n"/>
      <c r="B279" s="11" t="n"/>
      <c r="C279" s="11" t="n"/>
      <c r="D279" s="12" t="n"/>
      <c r="E279" s="12" t="n"/>
      <c r="F279" s="12" t="n"/>
    </row>
    <row r="280">
      <c r="A280" s="10" t="n"/>
      <c r="B280" s="11" t="n"/>
      <c r="C280" s="11" t="n"/>
      <c r="D280" s="12" t="n"/>
      <c r="E280" s="12" t="n"/>
      <c r="F280" s="12" t="n"/>
    </row>
    <row r="281">
      <c r="A281" s="10" t="n"/>
      <c r="B281" s="11" t="n"/>
      <c r="C281" s="11" t="n"/>
      <c r="D281" s="12" t="n"/>
      <c r="E281" s="12" t="n"/>
      <c r="F281" s="12" t="n"/>
    </row>
    <row r="282">
      <c r="A282" s="10" t="n"/>
      <c r="B282" s="11" t="n"/>
      <c r="C282" s="11" t="n"/>
      <c r="D282" s="12" t="n"/>
      <c r="E282" s="12" t="n"/>
      <c r="F282" s="12" t="n"/>
    </row>
    <row r="283">
      <c r="A283" s="10" t="n"/>
      <c r="B283" s="11" t="n"/>
      <c r="C283" s="11" t="n"/>
      <c r="D283" s="12" t="n"/>
      <c r="E283" s="12" t="n"/>
      <c r="F283" s="12" t="n"/>
    </row>
    <row r="284">
      <c r="A284" s="10" t="n"/>
      <c r="B284" s="11" t="n"/>
      <c r="C284" s="11" t="n"/>
      <c r="D284" s="12" t="n"/>
      <c r="E284" s="12" t="n"/>
      <c r="F284" s="12" t="n"/>
    </row>
    <row r="285">
      <c r="A285" s="10" t="n"/>
      <c r="B285" s="11" t="n"/>
      <c r="C285" s="11" t="n"/>
      <c r="D285" s="12" t="n"/>
      <c r="E285" s="12" t="n"/>
      <c r="F285" s="12" t="n"/>
    </row>
    <row r="286">
      <c r="A286" s="10" t="n"/>
      <c r="B286" s="11" t="n"/>
      <c r="C286" s="11" t="n"/>
      <c r="D286" s="12" t="n"/>
      <c r="E286" s="12" t="n"/>
      <c r="F286" s="12" t="n"/>
    </row>
    <row r="287">
      <c r="A287" s="10" t="n"/>
      <c r="B287" s="11" t="n"/>
      <c r="C287" s="11" t="n"/>
      <c r="D287" s="12" t="n"/>
      <c r="E287" s="12" t="n"/>
      <c r="F287" s="12" t="n"/>
    </row>
    <row r="288">
      <c r="A288" s="10" t="n"/>
      <c r="B288" s="11" t="n"/>
      <c r="C288" s="11" t="n"/>
      <c r="D288" s="12" t="n"/>
      <c r="E288" s="12" t="n"/>
      <c r="F288" s="12" t="n"/>
    </row>
    <row r="289">
      <c r="A289" s="10" t="n"/>
      <c r="B289" s="11" t="n"/>
      <c r="C289" s="11" t="n"/>
      <c r="D289" s="12" t="n"/>
      <c r="E289" s="12" t="n"/>
      <c r="F289" s="12" t="n"/>
    </row>
    <row r="290">
      <c r="A290" s="10" t="n"/>
      <c r="B290" s="11" t="n"/>
      <c r="C290" s="11" t="n"/>
      <c r="D290" s="12" t="n"/>
      <c r="E290" s="12" t="n"/>
      <c r="F290" s="12" t="n"/>
    </row>
    <row r="291">
      <c r="A291" s="10" t="n"/>
      <c r="B291" s="11" t="n"/>
      <c r="C291" s="11" t="n"/>
      <c r="D291" s="12" t="n"/>
      <c r="E291" s="12" t="n"/>
      <c r="F291" s="12" t="n"/>
    </row>
    <row r="292">
      <c r="A292" s="10" t="n"/>
      <c r="B292" s="11" t="n"/>
      <c r="C292" s="11" t="n"/>
      <c r="D292" s="12" t="n"/>
      <c r="E292" s="12" t="n"/>
      <c r="F292" s="12" t="n"/>
    </row>
    <row r="293">
      <c r="A293" s="10" t="n"/>
      <c r="B293" s="11" t="n"/>
      <c r="C293" s="11" t="n"/>
      <c r="D293" s="12" t="n"/>
      <c r="E293" s="12" t="n"/>
      <c r="F293" s="12" t="n"/>
    </row>
    <row r="294">
      <c r="A294" s="10" t="n"/>
      <c r="B294" s="11" t="n"/>
      <c r="C294" s="11" t="n"/>
      <c r="D294" s="12" t="n"/>
      <c r="E294" s="12" t="n"/>
      <c r="F294" s="12" t="n"/>
    </row>
    <row r="295">
      <c r="A295" s="10" t="n"/>
      <c r="B295" s="11" t="n"/>
      <c r="C295" s="11" t="n"/>
      <c r="D295" s="12" t="n"/>
      <c r="E295" s="12" t="n"/>
      <c r="F295" s="12" t="n"/>
    </row>
    <row r="296">
      <c r="A296" s="10" t="n"/>
      <c r="B296" s="11" t="n"/>
      <c r="C296" s="11" t="n"/>
      <c r="D296" s="12" t="n"/>
      <c r="E296" s="12" t="n"/>
      <c r="F296" s="12" t="n"/>
    </row>
    <row r="297">
      <c r="A297" s="10" t="n"/>
      <c r="B297" s="11" t="n"/>
      <c r="C297" s="11" t="n"/>
      <c r="D297" s="12" t="n"/>
      <c r="E297" s="12" t="n"/>
      <c r="F297" s="12" t="n"/>
    </row>
    <row r="298">
      <c r="A298" s="10" t="n"/>
      <c r="B298" s="11" t="n"/>
      <c r="C298" s="11" t="n"/>
      <c r="D298" s="12" t="n"/>
      <c r="E298" s="12" t="n"/>
      <c r="F298" s="12" t="n"/>
    </row>
    <row r="299">
      <c r="A299" s="10" t="n"/>
      <c r="B299" s="11" t="n"/>
      <c r="C299" s="11" t="n"/>
      <c r="D299" s="12" t="n"/>
      <c r="E299" s="12" t="n"/>
      <c r="F299" s="12" t="n"/>
    </row>
    <row r="300">
      <c r="A300" s="10" t="n"/>
      <c r="B300" s="11" t="n"/>
      <c r="C300" s="11" t="n"/>
      <c r="D300" s="12" t="n"/>
      <c r="E300" s="12" t="n"/>
      <c r="F300" s="12" t="n"/>
    </row>
    <row r="301">
      <c r="A301" s="10" t="n"/>
      <c r="B301" s="11" t="n"/>
      <c r="C301" s="11" t="n"/>
      <c r="D301" s="12" t="n"/>
      <c r="E301" s="12" t="n"/>
      <c r="F301" s="12" t="n"/>
    </row>
    <row r="302">
      <c r="A302" s="10" t="n"/>
      <c r="B302" s="11" t="n"/>
      <c r="C302" s="11" t="n"/>
      <c r="D302" s="12" t="n"/>
      <c r="E302" s="12" t="n"/>
      <c r="F302" s="12" t="n"/>
    </row>
    <row r="303">
      <c r="A303" s="10" t="n"/>
      <c r="B303" s="11" t="n"/>
      <c r="C303" s="11" t="n"/>
      <c r="D303" s="12" t="n"/>
      <c r="E303" s="12" t="n"/>
      <c r="F303" s="12" t="n"/>
    </row>
    <row r="304">
      <c r="A304" s="10" t="n"/>
      <c r="B304" s="11" t="n"/>
      <c r="C304" s="11" t="n"/>
      <c r="D304" s="12" t="n"/>
      <c r="E304" s="12" t="n"/>
      <c r="F304" s="12" t="n"/>
    </row>
    <row r="305">
      <c r="A305" s="10" t="n"/>
      <c r="B305" s="11" t="n"/>
      <c r="C305" s="11" t="n"/>
      <c r="D305" s="12" t="n"/>
      <c r="E305" s="12" t="n"/>
      <c r="F305" s="12" t="n"/>
    </row>
    <row r="306">
      <c r="A306" s="10" t="n"/>
      <c r="B306" s="11" t="n"/>
      <c r="C306" s="11" t="n"/>
      <c r="D306" s="12" t="n"/>
      <c r="E306" s="12" t="n"/>
      <c r="F306" s="12" t="n"/>
    </row>
    <row r="307">
      <c r="A307" s="10" t="n"/>
      <c r="B307" s="11" t="n"/>
      <c r="C307" s="11" t="n"/>
      <c r="D307" s="12" t="n"/>
      <c r="E307" s="12" t="n"/>
      <c r="F307" s="12" t="n"/>
    </row>
    <row r="308">
      <c r="A308" s="10" t="n"/>
      <c r="B308" s="11" t="n"/>
      <c r="C308" s="11" t="n"/>
      <c r="D308" s="12" t="n"/>
      <c r="E308" s="12" t="n"/>
      <c r="F308" s="12" t="n"/>
    </row>
    <row r="309">
      <c r="A309" s="10" t="n"/>
      <c r="B309" s="11" t="n"/>
      <c r="C309" s="11" t="n"/>
      <c r="D309" s="12" t="n"/>
      <c r="E309" s="12" t="n"/>
      <c r="F309" s="12" t="n"/>
    </row>
    <row r="310">
      <c r="A310" s="10" t="n"/>
      <c r="B310" s="11" t="n"/>
      <c r="C310" s="11" t="n"/>
      <c r="D310" s="12" t="n"/>
      <c r="E310" s="12" t="n"/>
      <c r="F310" s="12" t="n"/>
    </row>
    <row r="311">
      <c r="A311" s="10" t="n"/>
      <c r="B311" s="11" t="n"/>
      <c r="C311" s="11" t="n"/>
      <c r="D311" s="12" t="n"/>
      <c r="E311" s="12" t="n"/>
      <c r="F311" s="12" t="n"/>
    </row>
    <row r="312">
      <c r="A312" s="10" t="n"/>
      <c r="B312" s="11" t="n"/>
      <c r="C312" s="11" t="n"/>
      <c r="D312" s="12" t="n"/>
      <c r="E312" s="12" t="n"/>
      <c r="F312" s="12" t="n"/>
    </row>
    <row r="313">
      <c r="A313" s="10" t="n"/>
      <c r="B313" s="11" t="n"/>
      <c r="C313" s="11" t="n"/>
      <c r="D313" s="12" t="n"/>
      <c r="E313" s="12" t="n"/>
      <c r="F313" s="12" t="n"/>
    </row>
    <row r="314">
      <c r="A314" s="10" t="n"/>
      <c r="B314" s="11" t="n"/>
      <c r="C314" s="11" t="n"/>
      <c r="D314" s="12" t="n"/>
      <c r="E314" s="12" t="n"/>
      <c r="F314" s="12" t="n"/>
    </row>
    <row r="315">
      <c r="A315" s="10" t="n"/>
      <c r="B315" s="11" t="n"/>
      <c r="C315" s="11" t="n"/>
      <c r="D315" s="12" t="n"/>
      <c r="E315" s="12" t="n"/>
      <c r="F315" s="12" t="n"/>
    </row>
    <row r="316">
      <c r="A316" s="10" t="n"/>
      <c r="B316" s="11" t="n"/>
      <c r="C316" s="11" t="n"/>
      <c r="D316" s="12" t="n"/>
      <c r="E316" s="12" t="n"/>
      <c r="F316" s="12" t="n"/>
    </row>
    <row r="317">
      <c r="A317" s="10" t="n"/>
      <c r="B317" s="11" t="n"/>
      <c r="C317" s="11" t="n"/>
      <c r="D317" s="12" t="n"/>
      <c r="E317" s="12" t="n"/>
      <c r="F317" s="12" t="n"/>
    </row>
    <row r="318">
      <c r="A318" s="10" t="n"/>
      <c r="B318" s="11" t="n"/>
      <c r="C318" s="11" t="n"/>
      <c r="D318" s="12" t="n"/>
      <c r="E318" s="12" t="n"/>
      <c r="F318" s="12" t="n"/>
    </row>
    <row r="319">
      <c r="A319" s="10" t="n"/>
      <c r="B319" s="11" t="n"/>
      <c r="C319" s="11" t="n"/>
      <c r="D319" s="12" t="n"/>
      <c r="E319" s="12" t="n"/>
      <c r="F319" s="12" t="n"/>
    </row>
    <row r="320">
      <c r="A320" s="10" t="n"/>
      <c r="B320" s="11" t="n"/>
      <c r="C320" s="11" t="n"/>
      <c r="D320" s="12" t="n"/>
      <c r="E320" s="12" t="n"/>
      <c r="F320" s="12" t="n"/>
    </row>
    <row r="321">
      <c r="A321" s="10" t="n"/>
      <c r="B321" s="11" t="n"/>
      <c r="C321" s="11" t="n"/>
      <c r="D321" s="12" t="n"/>
      <c r="E321" s="12" t="n"/>
      <c r="F321" s="12" t="n"/>
    </row>
    <row r="322">
      <c r="A322" s="10" t="n"/>
      <c r="B322" s="11" t="n"/>
      <c r="C322" s="11" t="n"/>
      <c r="D322" s="12" t="n"/>
      <c r="E322" s="12" t="n"/>
      <c r="F322" s="12" t="n"/>
    </row>
    <row r="323">
      <c r="A323" s="10" t="n"/>
      <c r="B323" s="11" t="n"/>
      <c r="C323" s="11" t="n"/>
      <c r="D323" s="12" t="n"/>
      <c r="E323" s="12" t="n"/>
      <c r="F323" s="12" t="n"/>
    </row>
    <row r="324">
      <c r="A324" s="10" t="n"/>
      <c r="B324" s="11" t="n"/>
      <c r="C324" s="11" t="n"/>
      <c r="D324" s="12" t="n"/>
      <c r="E324" s="12" t="n"/>
      <c r="F324" s="12" t="n"/>
    </row>
    <row r="325">
      <c r="A325" s="10" t="n"/>
      <c r="B325" s="11" t="n"/>
      <c r="C325" s="11" t="n"/>
      <c r="D325" s="12" t="n"/>
      <c r="E325" s="12" t="n"/>
      <c r="F325" s="12" t="n"/>
    </row>
    <row r="326">
      <c r="A326" s="10" t="n"/>
      <c r="B326" s="11" t="n"/>
      <c r="C326" s="11" t="n"/>
      <c r="D326" s="12" t="n"/>
      <c r="E326" s="12" t="n"/>
      <c r="F326" s="12" t="n"/>
    </row>
    <row r="327">
      <c r="A327" s="10" t="n"/>
      <c r="B327" s="11" t="n"/>
      <c r="C327" s="11" t="n"/>
      <c r="D327" s="12" t="n"/>
      <c r="E327" s="12" t="n"/>
      <c r="F327" s="12" t="n"/>
    </row>
    <row r="328">
      <c r="A328" s="10" t="n"/>
      <c r="B328" s="11" t="n"/>
      <c r="C328" s="11" t="n"/>
      <c r="D328" s="12" t="n"/>
      <c r="E328" s="12" t="n"/>
      <c r="F328" s="12" t="n"/>
    </row>
    <row r="329">
      <c r="A329" s="10" t="n"/>
      <c r="B329" s="11" t="n"/>
      <c r="C329" s="11" t="n"/>
      <c r="D329" s="12" t="n"/>
      <c r="E329" s="12" t="n"/>
      <c r="F329" s="12" t="n"/>
    </row>
    <row r="330">
      <c r="A330" s="10" t="n"/>
      <c r="B330" s="11" t="n"/>
      <c r="C330" s="11" t="n"/>
      <c r="D330" s="12" t="n"/>
      <c r="E330" s="12" t="n"/>
      <c r="F330" s="12" t="n"/>
    </row>
    <row r="331">
      <c r="A331" s="10" t="n"/>
      <c r="B331" s="11" t="n"/>
      <c r="C331" s="11" t="n"/>
      <c r="D331" s="12" t="n"/>
      <c r="E331" s="12" t="n"/>
      <c r="F331" s="12" t="n"/>
    </row>
    <row r="332">
      <c r="A332" s="10" t="n"/>
      <c r="B332" s="11" t="n"/>
      <c r="C332" s="11" t="n"/>
      <c r="D332" s="12" t="n"/>
      <c r="E332" s="12" t="n"/>
      <c r="F332" s="12" t="n"/>
    </row>
    <row r="333">
      <c r="A333" s="10" t="n"/>
      <c r="B333" s="11" t="n"/>
      <c r="C333" s="11" t="n"/>
      <c r="D333" s="12" t="n"/>
      <c r="E333" s="12" t="n"/>
      <c r="F333" s="12" t="n"/>
    </row>
    <row r="334">
      <c r="A334" s="10" t="n"/>
      <c r="B334" s="11" t="n"/>
      <c r="C334" s="11" t="n"/>
      <c r="D334" s="12" t="n"/>
      <c r="E334" s="12" t="n"/>
      <c r="F334" s="12" t="n"/>
    </row>
    <row r="335">
      <c r="A335" s="10" t="n"/>
      <c r="B335" s="11" t="n"/>
      <c r="C335" s="11" t="n"/>
      <c r="D335" s="12" t="n"/>
      <c r="E335" s="12" t="n"/>
      <c r="F335" s="12" t="n"/>
    </row>
    <row r="336">
      <c r="A336" s="10" t="n"/>
      <c r="B336" s="11" t="n"/>
      <c r="C336" s="11" t="n"/>
      <c r="D336" s="12" t="n"/>
      <c r="E336" s="12" t="n"/>
      <c r="F336" s="12" t="n"/>
    </row>
    <row r="337">
      <c r="A337" s="10" t="n"/>
      <c r="B337" s="11" t="n"/>
      <c r="C337" s="11" t="n"/>
      <c r="D337" s="12" t="n"/>
      <c r="E337" s="12" t="n"/>
      <c r="F337" s="12" t="n"/>
    </row>
    <row r="338">
      <c r="A338" s="10" t="n"/>
      <c r="B338" s="11" t="n"/>
      <c r="C338" s="11" t="n"/>
      <c r="D338" s="12" t="n"/>
      <c r="E338" s="12" t="n"/>
      <c r="F338" s="12" t="n"/>
    </row>
    <row r="339">
      <c r="A339" s="10" t="n"/>
      <c r="B339" s="11" t="n"/>
      <c r="C339" s="11" t="n"/>
      <c r="D339" s="12" t="n"/>
      <c r="E339" s="12" t="n"/>
      <c r="F339" s="12" t="n"/>
    </row>
    <row r="340">
      <c r="A340" s="10" t="n"/>
      <c r="B340" s="11" t="n"/>
      <c r="C340" s="11" t="n"/>
      <c r="D340" s="12" t="n"/>
      <c r="E340" s="12" t="n"/>
      <c r="F340" s="12" t="n"/>
    </row>
    <row r="341">
      <c r="A341" s="10" t="n"/>
      <c r="B341" s="11" t="n"/>
      <c r="C341" s="11" t="n"/>
      <c r="D341" s="12" t="n"/>
      <c r="E341" s="12" t="n"/>
      <c r="F341" s="12" t="n"/>
    </row>
    <row r="342">
      <c r="A342" s="10" t="n"/>
      <c r="B342" s="11" t="n"/>
      <c r="C342" s="11" t="n"/>
      <c r="D342" s="12" t="n"/>
      <c r="E342" s="12" t="n"/>
      <c r="F342" s="12" t="n"/>
    </row>
    <row r="343">
      <c r="A343" s="10" t="n"/>
      <c r="B343" s="11" t="n"/>
      <c r="C343" s="11" t="n"/>
      <c r="D343" s="12" t="n"/>
      <c r="E343" s="12" t="n"/>
      <c r="F343" s="12" t="n"/>
    </row>
    <row r="344">
      <c r="A344" s="10" t="n"/>
      <c r="B344" s="11" t="n"/>
      <c r="C344" s="11" t="n"/>
      <c r="D344" s="12" t="n"/>
      <c r="E344" s="12" t="n"/>
      <c r="F344" s="12" t="n"/>
    </row>
    <row r="345">
      <c r="A345" s="10" t="n"/>
      <c r="B345" s="11" t="n"/>
      <c r="C345" s="11" t="n"/>
      <c r="D345" s="12" t="n"/>
      <c r="E345" s="12" t="n"/>
      <c r="F345" s="12" t="n"/>
    </row>
    <row r="346">
      <c r="A346" s="10" t="n"/>
      <c r="B346" s="11" t="n"/>
      <c r="C346" s="11" t="n"/>
      <c r="D346" s="12" t="n"/>
      <c r="E346" s="12" t="n"/>
      <c r="F346" s="12" t="n"/>
    </row>
    <row r="347">
      <c r="A347" s="10" t="n"/>
      <c r="B347" s="11" t="n"/>
      <c r="C347" s="11" t="n"/>
      <c r="D347" s="12" t="n"/>
      <c r="E347" s="12" t="n"/>
      <c r="F347" s="12" t="n"/>
    </row>
    <row r="348">
      <c r="A348" s="10" t="n"/>
      <c r="B348" s="11" t="n"/>
      <c r="C348" s="11" t="n"/>
      <c r="D348" s="12" t="n"/>
      <c r="E348" s="12" t="n"/>
      <c r="F348" s="12" t="n"/>
    </row>
    <row r="349">
      <c r="A349" s="10" t="n"/>
      <c r="B349" s="11" t="n"/>
      <c r="C349" s="11" t="n"/>
      <c r="D349" s="12" t="n"/>
      <c r="E349" s="12" t="n"/>
      <c r="F349" s="12" t="n"/>
    </row>
    <row r="350">
      <c r="A350" s="10" t="n"/>
      <c r="B350" s="11" t="n"/>
      <c r="C350" s="11" t="n"/>
      <c r="D350" s="12" t="n"/>
      <c r="E350" s="12" t="n"/>
      <c r="F350" s="12" t="n"/>
    </row>
    <row r="351">
      <c r="A351" s="10" t="n"/>
      <c r="B351" s="11" t="n"/>
      <c r="C351" s="11" t="n"/>
      <c r="D351" s="12" t="n"/>
      <c r="E351" s="12" t="n"/>
      <c r="F351" s="12" t="n"/>
    </row>
    <row r="352">
      <c r="A352" s="10" t="n"/>
      <c r="B352" s="11" t="n"/>
      <c r="C352" s="11" t="n"/>
      <c r="D352" s="12" t="n"/>
      <c r="E352" s="12" t="n"/>
      <c r="F352" s="12" t="n"/>
    </row>
    <row r="353">
      <c r="A353" s="10" t="n"/>
      <c r="B353" s="11" t="n"/>
      <c r="C353" s="11" t="n"/>
      <c r="D353" s="12" t="n"/>
      <c r="E353" s="12" t="n"/>
      <c r="F353" s="12" t="n"/>
    </row>
    <row r="354">
      <c r="A354" s="10" t="n"/>
      <c r="B354" s="11" t="n"/>
      <c r="C354" s="11" t="n"/>
      <c r="D354" s="12" t="n"/>
      <c r="E354" s="12" t="n"/>
      <c r="F354" s="12" t="n"/>
    </row>
    <row r="355">
      <c r="A355" s="10" t="n"/>
      <c r="B355" s="11" t="n"/>
      <c r="C355" s="11" t="n"/>
      <c r="D355" s="12" t="n"/>
      <c r="E355" s="12" t="n"/>
      <c r="F355" s="12" t="n"/>
    </row>
    <row r="356">
      <c r="A356" s="10" t="n"/>
      <c r="B356" s="11" t="n"/>
      <c r="C356" s="11" t="n"/>
      <c r="D356" s="12" t="n"/>
      <c r="E356" s="12" t="n"/>
      <c r="F356" s="12" t="n"/>
    </row>
    <row r="357">
      <c r="A357" s="10" t="n"/>
      <c r="B357" s="11" t="n"/>
      <c r="C357" s="11" t="n"/>
      <c r="D357" s="12" t="n"/>
      <c r="E357" s="12" t="n"/>
      <c r="F357" s="12" t="n"/>
    </row>
    <row r="358">
      <c r="A358" s="10" t="n"/>
      <c r="B358" s="11" t="n"/>
      <c r="C358" s="11" t="n"/>
      <c r="D358" s="12" t="n"/>
      <c r="E358" s="12" t="n"/>
      <c r="F358" s="12" t="n"/>
    </row>
    <row r="359">
      <c r="A359" s="10" t="n"/>
      <c r="B359" s="11" t="n"/>
      <c r="C359" s="11" t="n"/>
      <c r="D359" s="12" t="n"/>
      <c r="E359" s="12" t="n"/>
      <c r="F359" s="12" t="n"/>
    </row>
    <row r="360">
      <c r="A360" s="10" t="n"/>
      <c r="B360" s="11" t="n"/>
      <c r="C360" s="11" t="n"/>
      <c r="D360" s="12" t="n"/>
      <c r="E360" s="12" t="n"/>
      <c r="F360" s="12" t="n"/>
    </row>
    <row r="361">
      <c r="A361" s="10" t="n"/>
      <c r="B361" s="11" t="n"/>
      <c r="C361" s="11" t="n"/>
      <c r="D361" s="12" t="n"/>
      <c r="E361" s="12" t="n"/>
      <c r="F361" s="12" t="n"/>
    </row>
    <row r="362">
      <c r="A362" s="10" t="n"/>
      <c r="B362" s="11" t="n"/>
      <c r="C362" s="11" t="n"/>
      <c r="D362" s="12" t="n"/>
      <c r="E362" s="12" t="n"/>
      <c r="F362" s="12" t="n"/>
    </row>
    <row r="363">
      <c r="A363" s="10" t="n"/>
      <c r="B363" s="11" t="n"/>
      <c r="C363" s="11" t="n"/>
      <c r="D363" s="12" t="n"/>
      <c r="E363" s="12" t="n"/>
      <c r="F363" s="12" t="n"/>
    </row>
    <row r="364">
      <c r="A364" s="10" t="n"/>
      <c r="B364" s="11" t="n"/>
      <c r="C364" s="11" t="n"/>
      <c r="D364" s="12" t="n"/>
      <c r="E364" s="12" t="n"/>
      <c r="F364" s="12" t="n"/>
    </row>
    <row r="365">
      <c r="A365" s="10" t="n"/>
      <c r="B365" s="11" t="n"/>
      <c r="C365" s="11" t="n"/>
      <c r="D365" s="12" t="n"/>
      <c r="E365" s="12" t="n"/>
      <c r="F365" s="12" t="n"/>
    </row>
    <row r="366">
      <c r="A366" s="10" t="n"/>
      <c r="B366" s="11" t="n"/>
      <c r="C366" s="11" t="n"/>
      <c r="D366" s="12" t="n"/>
      <c r="E366" s="12" t="n"/>
      <c r="F366" s="12" t="n"/>
    </row>
    <row r="367">
      <c r="A367" s="10" t="n"/>
      <c r="B367" s="11" t="n"/>
      <c r="C367" s="11" t="n"/>
      <c r="D367" s="12" t="n"/>
      <c r="E367" s="12" t="n"/>
      <c r="F367" s="12" t="n"/>
    </row>
    <row r="368">
      <c r="A368" s="10" t="n"/>
      <c r="B368" s="11" t="n"/>
      <c r="C368" s="11" t="n"/>
      <c r="D368" s="12" t="n"/>
      <c r="E368" s="12" t="n"/>
      <c r="F368" s="12" t="n"/>
    </row>
    <row r="369">
      <c r="A369" s="10" t="n"/>
      <c r="B369" s="11" t="n"/>
      <c r="C369" s="11" t="n"/>
      <c r="D369" s="12" t="n"/>
      <c r="E369" s="12" t="n"/>
      <c r="F369" s="12" t="n"/>
    </row>
    <row r="370">
      <c r="A370" s="10" t="n"/>
      <c r="B370" s="11" t="n"/>
      <c r="C370" s="11" t="n"/>
      <c r="D370" s="12" t="n"/>
      <c r="E370" s="12" t="n"/>
      <c r="F370" s="12" t="n"/>
    </row>
    <row r="371">
      <c r="A371" s="10" t="n"/>
      <c r="B371" s="11" t="n"/>
      <c r="C371" s="11" t="n"/>
      <c r="D371" s="12" t="n"/>
      <c r="E371" s="12" t="n"/>
      <c r="F371" s="12" t="n"/>
    </row>
    <row r="372">
      <c r="A372" s="10" t="n"/>
      <c r="B372" s="11" t="n"/>
      <c r="C372" s="11" t="n"/>
      <c r="D372" s="12" t="n"/>
      <c r="E372" s="12" t="n"/>
      <c r="F372" s="12" t="n"/>
    </row>
    <row r="373">
      <c r="A373" s="10" t="n"/>
      <c r="B373" s="11" t="n"/>
      <c r="C373" s="11" t="n"/>
      <c r="D373" s="12" t="n"/>
      <c r="E373" s="12" t="n"/>
      <c r="F373" s="12" t="n"/>
    </row>
    <row r="374">
      <c r="A374" s="10" t="n"/>
      <c r="B374" s="11" t="n"/>
      <c r="C374" s="11" t="n"/>
      <c r="D374" s="12" t="n"/>
      <c r="E374" s="12" t="n"/>
      <c r="F374" s="12" t="n"/>
    </row>
    <row r="375">
      <c r="A375" s="10" t="n"/>
      <c r="B375" s="11" t="n"/>
      <c r="C375" s="11" t="n"/>
      <c r="D375" s="12" t="n"/>
      <c r="E375" s="12" t="n"/>
      <c r="F375" s="12" t="n"/>
    </row>
    <row r="376">
      <c r="A376" s="10" t="n"/>
      <c r="B376" s="11" t="n"/>
      <c r="C376" s="11" t="n"/>
      <c r="D376" s="12" t="n"/>
      <c r="E376" s="12" t="n"/>
      <c r="F376" s="12" t="n"/>
    </row>
    <row r="377">
      <c r="A377" s="10" t="n"/>
      <c r="B377" s="11" t="n"/>
      <c r="C377" s="11" t="n"/>
      <c r="D377" s="12" t="n"/>
      <c r="E377" s="12" t="n"/>
      <c r="F377" s="12" t="n"/>
    </row>
    <row r="378">
      <c r="A378" s="10" t="n"/>
      <c r="B378" s="11" t="n"/>
      <c r="C378" s="11" t="n"/>
      <c r="D378" s="12" t="n"/>
      <c r="E378" s="12" t="n"/>
      <c r="F378" s="12" t="n"/>
    </row>
    <row r="379">
      <c r="A379" s="10" t="n"/>
      <c r="B379" s="11" t="n"/>
      <c r="C379" s="11" t="n"/>
      <c r="D379" s="12" t="n"/>
      <c r="E379" s="12" t="n"/>
      <c r="F379" s="12" t="n"/>
    </row>
    <row r="380">
      <c r="A380" s="10" t="n"/>
      <c r="B380" s="11" t="n"/>
      <c r="C380" s="11" t="n"/>
      <c r="D380" s="12" t="n"/>
      <c r="E380" s="12" t="n"/>
      <c r="F380" s="12" t="n"/>
    </row>
    <row r="381">
      <c r="A381" s="10" t="n"/>
      <c r="B381" s="11" t="n"/>
      <c r="C381" s="11" t="n"/>
      <c r="D381" s="12" t="n"/>
      <c r="E381" s="12" t="n"/>
      <c r="F381" s="12" t="n"/>
    </row>
    <row r="382">
      <c r="A382" s="10" t="n"/>
      <c r="B382" s="11" t="n"/>
      <c r="C382" s="11" t="n"/>
      <c r="D382" s="12" t="n"/>
      <c r="E382" s="12" t="n"/>
      <c r="F382" s="12" t="n"/>
    </row>
    <row r="383">
      <c r="A383" s="10" t="n"/>
      <c r="B383" s="11" t="n"/>
      <c r="C383" s="11" t="n"/>
      <c r="D383" s="12" t="n"/>
      <c r="E383" s="12" t="n"/>
      <c r="F383" s="12" t="n"/>
    </row>
    <row r="384">
      <c r="A384" s="10" t="n"/>
      <c r="B384" s="11" t="n"/>
      <c r="C384" s="11" t="n"/>
      <c r="D384" s="12" t="n"/>
      <c r="E384" s="12" t="n"/>
      <c r="F384" s="12" t="n"/>
    </row>
    <row r="385">
      <c r="A385" s="10" t="n"/>
      <c r="B385" s="11" t="n"/>
      <c r="C385" s="11" t="n"/>
      <c r="D385" s="12" t="n"/>
      <c r="E385" s="12" t="n"/>
      <c r="F385" s="12" t="n"/>
    </row>
    <row r="386">
      <c r="A386" s="10" t="n"/>
      <c r="B386" s="11" t="n"/>
      <c r="C386" s="11" t="n"/>
      <c r="D386" s="12" t="n"/>
      <c r="E386" s="12" t="n"/>
      <c r="F386" s="12" t="n"/>
    </row>
    <row r="387">
      <c r="A387" s="10" t="n"/>
      <c r="B387" s="11" t="n"/>
      <c r="C387" s="11" t="n"/>
      <c r="D387" s="12" t="n"/>
      <c r="E387" s="12" t="n"/>
      <c r="F387" s="12" t="n"/>
    </row>
    <row r="388">
      <c r="A388" s="10" t="n"/>
      <c r="B388" s="11" t="n"/>
      <c r="C388" s="11" t="n"/>
      <c r="D388" s="12" t="n"/>
      <c r="E388" s="12" t="n"/>
      <c r="F388" s="12" t="n"/>
    </row>
    <row r="389">
      <c r="A389" s="10" t="n"/>
      <c r="B389" s="11" t="n"/>
      <c r="C389" s="11" t="n"/>
      <c r="D389" s="12" t="n"/>
      <c r="E389" s="12" t="n"/>
      <c r="F389" s="12" t="n"/>
    </row>
    <row r="390">
      <c r="A390" s="10" t="n"/>
      <c r="B390" s="11" t="n"/>
      <c r="C390" s="11" t="n"/>
      <c r="D390" s="12" t="n"/>
      <c r="E390" s="12" t="n"/>
      <c r="F390" s="12" t="n"/>
    </row>
    <row r="391">
      <c r="A391" s="10" t="n"/>
      <c r="B391" s="11" t="n"/>
      <c r="C391" s="11" t="n"/>
      <c r="D391" s="12" t="n"/>
      <c r="E391" s="12" t="n"/>
      <c r="F391" s="12" t="n"/>
    </row>
    <row r="392">
      <c r="A392" s="10" t="n"/>
      <c r="B392" s="11" t="n"/>
      <c r="C392" s="11" t="n"/>
      <c r="D392" s="12" t="n"/>
      <c r="E392" s="12" t="n"/>
      <c r="F392" s="12" t="n"/>
    </row>
    <row r="393">
      <c r="A393" s="10" t="n"/>
      <c r="B393" s="11" t="n"/>
      <c r="C393" s="11" t="n"/>
      <c r="D393" s="12" t="n"/>
      <c r="E393" s="12" t="n"/>
      <c r="F393" s="12" t="n"/>
    </row>
    <row r="394">
      <c r="A394" s="10" t="n"/>
      <c r="B394" s="11" t="n"/>
      <c r="C394" s="11" t="n"/>
      <c r="D394" s="12" t="n"/>
      <c r="E394" s="12" t="n"/>
      <c r="F394" s="12" t="n"/>
    </row>
    <row r="395">
      <c r="A395" s="10" t="n"/>
      <c r="B395" s="11" t="n"/>
      <c r="C395" s="11" t="n"/>
      <c r="D395" s="12" t="n"/>
      <c r="E395" s="12" t="n"/>
      <c r="F395" s="12" t="n"/>
    </row>
    <row r="396">
      <c r="A396" s="10" t="n"/>
      <c r="B396" s="11" t="n"/>
      <c r="C396" s="11" t="n"/>
      <c r="D396" s="12" t="n"/>
      <c r="E396" s="12" t="n"/>
      <c r="F396" s="12" t="n"/>
    </row>
    <row r="397">
      <c r="A397" s="10" t="n"/>
      <c r="B397" s="11" t="n"/>
      <c r="C397" s="11" t="n"/>
      <c r="D397" s="12" t="n"/>
      <c r="E397" s="12" t="n"/>
      <c r="F397" s="12" t="n"/>
    </row>
    <row r="398">
      <c r="A398" s="10" t="n"/>
      <c r="B398" s="11" t="n"/>
      <c r="C398" s="11" t="n"/>
      <c r="D398" s="12" t="n"/>
      <c r="E398" s="12" t="n"/>
      <c r="F398" s="12" t="n"/>
    </row>
    <row r="399">
      <c r="A399" s="10" t="n"/>
      <c r="B399" s="11" t="n"/>
      <c r="C399" s="11" t="n"/>
      <c r="D399" s="12" t="n"/>
      <c r="E399" s="12" t="n"/>
      <c r="F399" s="12" t="n"/>
    </row>
    <row r="400">
      <c r="A400" s="10" t="n"/>
      <c r="B400" s="11" t="n"/>
      <c r="C400" s="11" t="n"/>
      <c r="D400" s="12" t="n"/>
      <c r="E400" s="12" t="n"/>
      <c r="F400" s="12" t="n"/>
    </row>
    <row r="401">
      <c r="A401" s="10" t="n"/>
      <c r="B401" s="11" t="n"/>
      <c r="C401" s="11" t="n"/>
      <c r="D401" s="12" t="n"/>
      <c r="E401" s="12" t="n"/>
      <c r="F401" s="12" t="n"/>
    </row>
    <row r="402">
      <c r="A402" s="10" t="n"/>
      <c r="B402" s="11" t="n"/>
      <c r="C402" s="11" t="n"/>
      <c r="D402" s="12" t="n"/>
      <c r="E402" s="12" t="n"/>
      <c r="F402" s="12" t="n"/>
    </row>
    <row r="403">
      <c r="A403" s="10" t="n"/>
      <c r="B403" s="11" t="n"/>
      <c r="C403" s="11" t="n"/>
      <c r="D403" s="12" t="n"/>
      <c r="E403" s="12" t="n"/>
      <c r="F403" s="12" t="n"/>
    </row>
    <row r="404">
      <c r="A404" s="10" t="n"/>
      <c r="B404" s="11" t="n"/>
      <c r="C404" s="11" t="n"/>
      <c r="D404" s="12" t="n"/>
      <c r="E404" s="12" t="n"/>
      <c r="F404" s="12" t="n"/>
    </row>
    <row r="405">
      <c r="A405" s="10" t="n"/>
      <c r="B405" s="11" t="n"/>
      <c r="C405" s="11" t="n"/>
      <c r="D405" s="12" t="n"/>
      <c r="E405" s="12" t="n"/>
      <c r="F405" s="12" t="n"/>
    </row>
    <row r="406">
      <c r="A406" s="10" t="n"/>
      <c r="B406" s="11" t="n"/>
      <c r="C406" s="11" t="n"/>
      <c r="D406" s="12" t="n"/>
      <c r="E406" s="12" t="n"/>
      <c r="F406" s="12" t="n"/>
    </row>
    <row r="407">
      <c r="A407" s="10" t="n"/>
      <c r="B407" s="11" t="n"/>
      <c r="C407" s="11" t="n"/>
      <c r="D407" s="12" t="n"/>
      <c r="E407" s="12" t="n"/>
      <c r="F407" s="12" t="n"/>
    </row>
    <row r="408">
      <c r="A408" s="10" t="n"/>
      <c r="B408" s="11" t="n"/>
      <c r="C408" s="11" t="n"/>
      <c r="D408" s="12" t="n"/>
      <c r="E408" s="12" t="n"/>
      <c r="F408" s="12" t="n"/>
    </row>
    <row r="409">
      <c r="A409" s="10" t="n"/>
      <c r="B409" s="11" t="n"/>
      <c r="C409" s="11" t="n"/>
      <c r="D409" s="12" t="n"/>
      <c r="E409" s="12" t="n"/>
      <c r="F409" s="12" t="n"/>
    </row>
    <row r="410">
      <c r="A410" s="10" t="n"/>
      <c r="B410" s="11" t="n"/>
      <c r="C410" s="11" t="n"/>
      <c r="D410" s="12" t="n"/>
      <c r="E410" s="12" t="n"/>
      <c r="F410" s="12" t="n"/>
    </row>
    <row r="411">
      <c r="A411" s="10" t="n"/>
      <c r="B411" s="11" t="n"/>
      <c r="C411" s="11" t="n"/>
      <c r="D411" s="12" t="n"/>
      <c r="E411" s="12" t="n"/>
      <c r="F411" s="12" t="n"/>
    </row>
    <row r="412">
      <c r="A412" s="10" t="n"/>
      <c r="B412" s="11" t="n"/>
      <c r="C412" s="11" t="n"/>
      <c r="D412" s="12" t="n"/>
      <c r="E412" s="12" t="n"/>
      <c r="F412" s="12" t="n"/>
    </row>
    <row r="413">
      <c r="A413" s="10" t="n"/>
      <c r="B413" s="11" t="n"/>
      <c r="C413" s="11" t="n"/>
      <c r="D413" s="12" t="n"/>
      <c r="E413" s="12" t="n"/>
      <c r="F413" s="12" t="n"/>
    </row>
    <row r="414">
      <c r="A414" s="10" t="n"/>
      <c r="B414" s="11" t="n"/>
      <c r="C414" s="11" t="n"/>
      <c r="D414" s="12" t="n"/>
      <c r="E414" s="12" t="n"/>
      <c r="F414" s="12" t="n"/>
    </row>
    <row r="415">
      <c r="A415" s="10" t="n"/>
      <c r="B415" s="11" t="n"/>
      <c r="C415" s="11" t="n"/>
      <c r="D415" s="12" t="n"/>
      <c r="E415" s="12" t="n"/>
      <c r="F415" s="12" t="n"/>
    </row>
    <row r="416">
      <c r="A416" s="10" t="n"/>
      <c r="B416" s="11" t="n"/>
      <c r="C416" s="11" t="n"/>
      <c r="D416" s="12" t="n"/>
      <c r="E416" s="12" t="n"/>
      <c r="F416" s="12" t="n"/>
    </row>
    <row r="417">
      <c r="A417" s="10" t="n"/>
      <c r="B417" s="11" t="n"/>
      <c r="C417" s="11" t="n"/>
      <c r="D417" s="12" t="n"/>
      <c r="E417" s="12" t="n"/>
      <c r="F417" s="12" t="n"/>
    </row>
    <row r="418">
      <c r="A418" s="10" t="n"/>
      <c r="B418" s="11" t="n"/>
      <c r="C418" s="11" t="n"/>
      <c r="D418" s="12" t="n"/>
      <c r="E418" s="12" t="n"/>
      <c r="F418" s="12" t="n"/>
    </row>
    <row r="419">
      <c r="A419" s="10" t="n"/>
      <c r="B419" s="11" t="n"/>
      <c r="C419" s="11" t="n"/>
      <c r="D419" s="12" t="n"/>
      <c r="E419" s="12" t="n"/>
      <c r="F419" s="12" t="n"/>
    </row>
    <row r="420">
      <c r="A420" s="10" t="n"/>
      <c r="B420" s="11" t="n"/>
      <c r="C420" s="11" t="n"/>
      <c r="D420" s="12" t="n"/>
      <c r="E420" s="12" t="n"/>
      <c r="F420" s="12" t="n"/>
    </row>
    <row r="421">
      <c r="A421" s="10" t="n"/>
      <c r="B421" s="11" t="n"/>
      <c r="C421" s="11" t="n"/>
      <c r="D421" s="12" t="n"/>
      <c r="E421" s="12" t="n"/>
      <c r="F421" s="12" t="n"/>
    </row>
    <row r="422">
      <c r="A422" s="10" t="n"/>
      <c r="B422" s="11" t="n"/>
      <c r="C422" s="11" t="n"/>
      <c r="D422" s="12" t="n"/>
      <c r="E422" s="12" t="n"/>
      <c r="F422" s="12" t="n"/>
    </row>
    <row r="423">
      <c r="A423" s="10" t="n"/>
      <c r="B423" s="11" t="n"/>
      <c r="C423" s="11" t="n"/>
      <c r="D423" s="12" t="n"/>
      <c r="E423" s="12" t="n"/>
      <c r="F423" s="12" t="n"/>
    </row>
    <row r="424">
      <c r="A424" s="10" t="n"/>
      <c r="B424" s="11" t="n"/>
      <c r="C424" s="11" t="n"/>
      <c r="D424" s="12" t="n"/>
      <c r="E424" s="12" t="n"/>
      <c r="F424" s="12" t="n"/>
    </row>
    <row r="425">
      <c r="A425" s="10" t="n"/>
      <c r="B425" s="11" t="n"/>
      <c r="C425" s="11" t="n"/>
      <c r="D425" s="12" t="n"/>
      <c r="E425" s="12" t="n"/>
      <c r="F425" s="12" t="n"/>
    </row>
    <row r="426">
      <c r="A426" s="10" t="n"/>
      <c r="B426" s="11" t="n"/>
      <c r="C426" s="11" t="n"/>
      <c r="D426" s="12" t="n"/>
      <c r="E426" s="12" t="n"/>
      <c r="F426" s="12" t="n"/>
    </row>
    <row r="427">
      <c r="A427" s="10" t="n"/>
      <c r="B427" s="11" t="n"/>
      <c r="C427" s="11" t="n"/>
      <c r="D427" s="12" t="n"/>
      <c r="E427" s="12" t="n"/>
      <c r="F427" s="12" t="n"/>
    </row>
    <row r="428">
      <c r="A428" s="10" t="n"/>
      <c r="B428" s="11" t="n"/>
      <c r="C428" s="11" t="n"/>
      <c r="D428" s="12" t="n"/>
      <c r="E428" s="12" t="n"/>
      <c r="F428" s="12" t="n"/>
    </row>
    <row r="429">
      <c r="A429" s="10" t="n"/>
      <c r="B429" s="11" t="n"/>
      <c r="C429" s="11" t="n"/>
      <c r="D429" s="12" t="n"/>
      <c r="E429" s="12" t="n"/>
      <c r="F429" s="12" t="n"/>
    </row>
    <row r="430">
      <c r="A430" s="10" t="n"/>
      <c r="B430" s="11" t="n"/>
      <c r="C430" s="11" t="n"/>
      <c r="D430" s="12" t="n"/>
      <c r="E430" s="12" t="n"/>
      <c r="F430" s="12" t="n"/>
    </row>
    <row r="431">
      <c r="A431" s="10" t="n"/>
      <c r="B431" s="11" t="n"/>
      <c r="C431" s="11" t="n"/>
      <c r="D431" s="12" t="n"/>
      <c r="E431" s="12" t="n"/>
      <c r="F431" s="12" t="n"/>
    </row>
    <row r="432">
      <c r="A432" s="10" t="n"/>
      <c r="B432" s="11" t="n"/>
      <c r="C432" s="11" t="n"/>
      <c r="D432" s="12" t="n"/>
      <c r="E432" s="12" t="n"/>
      <c r="F432" s="12" t="n"/>
    </row>
    <row r="433">
      <c r="A433" s="10" t="n"/>
      <c r="B433" s="11" t="n"/>
      <c r="C433" s="11" t="n"/>
      <c r="D433" s="12" t="n"/>
      <c r="E433" s="12" t="n"/>
      <c r="F433" s="12" t="n"/>
    </row>
    <row r="434">
      <c r="A434" s="10" t="n"/>
      <c r="B434" s="11" t="n"/>
      <c r="C434" s="11" t="n"/>
      <c r="D434" s="12" t="n"/>
      <c r="E434" s="12" t="n"/>
      <c r="F434" s="12" t="n"/>
    </row>
    <row r="435">
      <c r="A435" s="10" t="n"/>
      <c r="B435" s="11" t="n"/>
      <c r="C435" s="11" t="n"/>
      <c r="D435" s="12" t="n"/>
      <c r="E435" s="12" t="n"/>
      <c r="F435" s="12" t="n"/>
    </row>
    <row r="436">
      <c r="A436" s="10" t="n"/>
      <c r="B436" s="11" t="n"/>
      <c r="C436" s="11" t="n"/>
      <c r="D436" s="12" t="n"/>
      <c r="E436" s="12" t="n"/>
      <c r="F436" s="12" t="n"/>
    </row>
    <row r="437">
      <c r="A437" s="10" t="n"/>
      <c r="B437" s="11" t="n"/>
      <c r="C437" s="11" t="n"/>
      <c r="D437" s="12" t="n"/>
      <c r="E437" s="12" t="n"/>
      <c r="F437" s="12" t="n"/>
    </row>
    <row r="438">
      <c r="A438" s="10" t="n"/>
      <c r="B438" s="11" t="n"/>
      <c r="C438" s="11" t="n"/>
      <c r="D438" s="12" t="n"/>
      <c r="E438" s="12" t="n"/>
      <c r="F438" s="12" t="n"/>
    </row>
    <row r="439">
      <c r="A439" s="10" t="n"/>
      <c r="B439" s="11" t="n"/>
      <c r="C439" s="11" t="n"/>
      <c r="D439" s="12" t="n"/>
      <c r="E439" s="12" t="n"/>
      <c r="F439" s="12" t="n"/>
    </row>
    <row r="440">
      <c r="A440" s="10" t="n"/>
      <c r="B440" s="11" t="n"/>
      <c r="C440" s="11" t="n"/>
      <c r="D440" s="12" t="n"/>
      <c r="E440" s="12" t="n"/>
      <c r="F440" s="12" t="n"/>
    </row>
    <row r="441">
      <c r="A441" s="10" t="n"/>
      <c r="B441" s="11" t="n"/>
      <c r="C441" s="11" t="n"/>
      <c r="D441" s="12" t="n"/>
      <c r="E441" s="12" t="n"/>
      <c r="F441" s="12" t="n"/>
    </row>
    <row r="442">
      <c r="A442" s="10" t="n"/>
      <c r="B442" s="11" t="n"/>
      <c r="C442" s="11" t="n"/>
      <c r="D442" s="12" t="n"/>
      <c r="E442" s="12" t="n"/>
      <c r="F442" s="12" t="n"/>
    </row>
    <row r="443">
      <c r="A443" s="10" t="n"/>
      <c r="B443" s="11" t="n"/>
      <c r="C443" s="11" t="n"/>
      <c r="D443" s="12" t="n"/>
      <c r="E443" s="12" t="n"/>
      <c r="F443" s="12" t="n"/>
    </row>
    <row r="444">
      <c r="A444" s="10" t="n"/>
      <c r="B444" s="11" t="n"/>
      <c r="C444" s="11" t="n"/>
      <c r="D444" s="12" t="n"/>
      <c r="E444" s="12" t="n"/>
      <c r="F444" s="12" t="n"/>
    </row>
    <row r="445">
      <c r="A445" s="10" t="n"/>
      <c r="B445" s="11" t="n"/>
      <c r="C445" s="11" t="n"/>
      <c r="D445" s="12" t="n"/>
      <c r="E445" s="12" t="n"/>
      <c r="F445" s="12" t="n"/>
    </row>
    <row r="446">
      <c r="A446" s="10" t="n"/>
      <c r="B446" s="11" t="n"/>
      <c r="C446" s="11" t="n"/>
      <c r="D446" s="12" t="n"/>
      <c r="E446" s="12" t="n"/>
      <c r="F446" s="12" t="n"/>
    </row>
    <row r="447">
      <c r="A447" s="10" t="n"/>
      <c r="B447" s="11" t="n"/>
      <c r="C447" s="11" t="n"/>
      <c r="D447" s="12" t="n"/>
      <c r="E447" s="12" t="n"/>
      <c r="F447" s="12" t="n"/>
    </row>
    <row r="448">
      <c r="A448" s="10" t="n"/>
      <c r="B448" s="11" t="n"/>
      <c r="C448" s="11" t="n"/>
      <c r="D448" s="12" t="n"/>
      <c r="E448" s="12" t="n"/>
      <c r="F448" s="12" t="n"/>
    </row>
    <row r="449">
      <c r="A449" s="10" t="n"/>
      <c r="B449" s="11" t="n"/>
      <c r="C449" s="11" t="n"/>
      <c r="D449" s="12" t="n"/>
      <c r="E449" s="12" t="n"/>
      <c r="F449" s="12" t="n"/>
    </row>
    <row r="450">
      <c r="A450" s="10" t="n"/>
      <c r="B450" s="11" t="n"/>
      <c r="C450" s="11" t="n"/>
      <c r="D450" s="12" t="n"/>
      <c r="E450" s="12" t="n"/>
      <c r="F450" s="12" t="n"/>
    </row>
    <row r="451">
      <c r="A451" s="10" t="n"/>
      <c r="B451" s="11" t="n"/>
      <c r="C451" s="11" t="n"/>
      <c r="D451" s="12" t="n"/>
      <c r="E451" s="12" t="n"/>
      <c r="F451" s="12" t="n"/>
    </row>
    <row r="452">
      <c r="A452" s="10" t="n"/>
      <c r="B452" s="11" t="n"/>
      <c r="C452" s="11" t="n"/>
      <c r="D452" s="12" t="n"/>
      <c r="E452" s="12" t="n"/>
      <c r="F452" s="12" t="n"/>
    </row>
    <row r="453">
      <c r="A453" s="10" t="n"/>
      <c r="B453" s="11" t="n"/>
      <c r="C453" s="11" t="n"/>
      <c r="D453" s="12" t="n"/>
      <c r="E453" s="12" t="n"/>
      <c r="F453" s="12" t="n"/>
    </row>
    <row r="454">
      <c r="A454" s="10" t="n"/>
      <c r="B454" s="11" t="n"/>
      <c r="C454" s="11" t="n"/>
      <c r="D454" s="12" t="n"/>
      <c r="E454" s="12" t="n"/>
      <c r="F454" s="12" t="n"/>
    </row>
    <row r="455">
      <c r="A455" s="10" t="n"/>
      <c r="B455" s="11" t="n"/>
      <c r="C455" s="11" t="n"/>
      <c r="D455" s="12" t="n"/>
      <c r="E455" s="12" t="n"/>
      <c r="F455" s="12" t="n"/>
    </row>
    <row r="456">
      <c r="A456" s="10" t="n"/>
      <c r="B456" s="11" t="n"/>
      <c r="C456" s="11" t="n"/>
      <c r="D456" s="12" t="n"/>
      <c r="E456" s="12" t="n"/>
      <c r="F456" s="12" t="n"/>
    </row>
    <row r="457">
      <c r="A457" s="10" t="n"/>
      <c r="B457" s="11" t="n"/>
      <c r="C457" s="11" t="n"/>
      <c r="D457" s="12" t="n"/>
      <c r="E457" s="12" t="n"/>
      <c r="F457" s="12" t="n"/>
    </row>
    <row r="458">
      <c r="A458" s="10" t="n"/>
      <c r="B458" s="11" t="n"/>
      <c r="C458" s="11" t="n"/>
      <c r="D458" s="12" t="n"/>
      <c r="E458" s="12" t="n"/>
      <c r="F458" s="12" t="n"/>
    </row>
    <row r="459">
      <c r="A459" s="10" t="n"/>
      <c r="B459" s="11" t="n"/>
      <c r="C459" s="11" t="n"/>
      <c r="D459" s="12" t="n"/>
      <c r="E459" s="12" t="n"/>
      <c r="F459" s="12" t="n"/>
    </row>
    <row r="460">
      <c r="A460" s="10" t="n"/>
      <c r="B460" s="11" t="n"/>
      <c r="C460" s="11" t="n"/>
      <c r="D460" s="12" t="n"/>
      <c r="E460" s="12" t="n"/>
      <c r="F460" s="12" t="n"/>
    </row>
    <row r="461">
      <c r="A461" s="10" t="n"/>
      <c r="B461" s="11" t="n"/>
      <c r="C461" s="11" t="n"/>
      <c r="D461" s="12" t="n"/>
      <c r="E461" s="12" t="n"/>
      <c r="F461" s="12" t="n"/>
    </row>
    <row r="462">
      <c r="A462" s="10" t="n"/>
      <c r="B462" s="11" t="n"/>
      <c r="C462" s="11" t="n"/>
      <c r="D462" s="12" t="n"/>
      <c r="E462" s="12" t="n"/>
      <c r="F462" s="12" t="n"/>
    </row>
    <row r="463">
      <c r="A463" s="10" t="n"/>
      <c r="B463" s="11" t="n"/>
      <c r="C463" s="11" t="n"/>
      <c r="D463" s="12" t="n"/>
      <c r="E463" s="12" t="n"/>
      <c r="F463" s="12" t="n"/>
    </row>
    <row r="464">
      <c r="A464" s="10" t="n"/>
      <c r="B464" s="11" t="n"/>
      <c r="C464" s="11" t="n"/>
      <c r="D464" s="12" t="n"/>
      <c r="E464" s="12" t="n"/>
      <c r="F464" s="12" t="n"/>
    </row>
    <row r="465">
      <c r="A465" s="10" t="n"/>
      <c r="B465" s="11" t="n"/>
      <c r="C465" s="11" t="n"/>
      <c r="D465" s="12" t="n"/>
      <c r="E465" s="12" t="n"/>
      <c r="F465" s="12" t="n"/>
    </row>
    <row r="466">
      <c r="A466" s="10" t="n"/>
      <c r="B466" s="11" t="n"/>
      <c r="C466" s="11" t="n"/>
      <c r="D466" s="12" t="n"/>
      <c r="E466" s="12" t="n"/>
      <c r="F466" s="12" t="n"/>
    </row>
    <row r="467">
      <c r="A467" s="10" t="n"/>
      <c r="B467" s="11" t="n"/>
      <c r="C467" s="11" t="n"/>
      <c r="D467" s="12" t="n"/>
      <c r="E467" s="12" t="n"/>
      <c r="F467" s="12" t="n"/>
    </row>
    <row r="468">
      <c r="A468" s="10" t="n"/>
      <c r="B468" s="11" t="n"/>
      <c r="C468" s="11" t="n"/>
      <c r="D468" s="12" t="n"/>
      <c r="E468" s="12" t="n"/>
      <c r="F468" s="12" t="n"/>
    </row>
    <row r="469">
      <c r="A469" s="10" t="n"/>
      <c r="B469" s="11" t="n"/>
      <c r="C469" s="11" t="n"/>
      <c r="D469" s="12" t="n"/>
      <c r="E469" s="12" t="n"/>
      <c r="F469" s="12" t="n"/>
    </row>
    <row r="470">
      <c r="A470" s="10" t="n"/>
      <c r="B470" s="11" t="n"/>
      <c r="C470" s="11" t="n"/>
      <c r="D470" s="12" t="n"/>
      <c r="E470" s="12" t="n"/>
      <c r="F470" s="12" t="n"/>
    </row>
    <row r="471">
      <c r="A471" s="10" t="n"/>
      <c r="B471" s="11" t="n"/>
      <c r="C471" s="11" t="n"/>
      <c r="D471" s="12" t="n"/>
      <c r="E471" s="12" t="n"/>
      <c r="F471" s="12" t="n"/>
    </row>
    <row r="472">
      <c r="A472" s="10" t="n"/>
      <c r="B472" s="11" t="n"/>
      <c r="C472" s="11" t="n"/>
      <c r="D472" s="12" t="n"/>
      <c r="E472" s="12" t="n"/>
      <c r="F472" s="12" t="n"/>
    </row>
    <row r="473">
      <c r="A473" s="10" t="n"/>
      <c r="B473" s="11" t="n"/>
      <c r="C473" s="11" t="n"/>
      <c r="D473" s="12" t="n"/>
      <c r="E473" s="12" t="n"/>
      <c r="F473" s="12" t="n"/>
    </row>
    <row r="474">
      <c r="A474" s="10" t="n"/>
      <c r="B474" s="11" t="n"/>
      <c r="C474" s="11" t="n"/>
      <c r="D474" s="12" t="n"/>
      <c r="E474" s="12" t="n"/>
      <c r="F474" s="12" t="n"/>
    </row>
    <row r="475">
      <c r="A475" s="10" t="n"/>
      <c r="B475" s="11" t="n"/>
      <c r="C475" s="11" t="n"/>
      <c r="D475" s="12" t="n"/>
      <c r="E475" s="12" t="n"/>
      <c r="F475" s="12" t="n"/>
    </row>
    <row r="476">
      <c r="A476" s="10" t="n"/>
      <c r="B476" s="11" t="n"/>
      <c r="C476" s="11" t="n"/>
      <c r="D476" s="12" t="n"/>
      <c r="E476" s="12" t="n"/>
      <c r="F476" s="12" t="n"/>
    </row>
    <row r="477">
      <c r="A477" s="10" t="n"/>
      <c r="B477" s="11" t="n"/>
      <c r="C477" s="11" t="n"/>
      <c r="D477" s="12" t="n"/>
      <c r="E477" s="12" t="n"/>
      <c r="F477" s="12" t="n"/>
    </row>
    <row r="478">
      <c r="A478" s="10" t="n"/>
      <c r="B478" s="11" t="n"/>
      <c r="C478" s="11" t="n"/>
      <c r="D478" s="12" t="n"/>
      <c r="E478" s="12" t="n"/>
      <c r="F478" s="12" t="n"/>
    </row>
    <row r="479">
      <c r="A479" s="10" t="n"/>
      <c r="B479" s="11" t="n"/>
      <c r="C479" s="11" t="n"/>
      <c r="D479" s="12" t="n"/>
      <c r="E479" s="12" t="n"/>
      <c r="F479" s="12" t="n"/>
    </row>
    <row r="480">
      <c r="A480" s="10" t="n"/>
      <c r="B480" s="11" t="n"/>
      <c r="C480" s="11" t="n"/>
      <c r="D480" s="12" t="n"/>
      <c r="E480" s="12" t="n"/>
      <c r="F480" s="12" t="n"/>
    </row>
    <row r="481">
      <c r="A481" s="10" t="n"/>
      <c r="B481" s="11" t="n"/>
      <c r="C481" s="11" t="n"/>
      <c r="D481" s="12" t="n"/>
      <c r="E481" s="12" t="n"/>
      <c r="F481" s="12" t="n"/>
    </row>
    <row r="482">
      <c r="A482" s="10" t="n"/>
      <c r="B482" s="11" t="n"/>
      <c r="C482" s="11" t="n"/>
      <c r="D482" s="12" t="n"/>
      <c r="E482" s="12" t="n"/>
      <c r="F482" s="12" t="n"/>
    </row>
    <row r="483">
      <c r="A483" s="10" t="n"/>
      <c r="B483" s="11" t="n"/>
      <c r="C483" s="11" t="n"/>
      <c r="D483" s="12" t="n"/>
      <c r="E483" s="12" t="n"/>
      <c r="F483" s="12" t="n"/>
    </row>
    <row r="484">
      <c r="A484" s="10" t="n"/>
      <c r="B484" s="11" t="n"/>
      <c r="C484" s="11" t="n"/>
      <c r="D484" s="12" t="n"/>
      <c r="E484" s="12" t="n"/>
      <c r="F484" s="12" t="n"/>
    </row>
    <row r="485">
      <c r="A485" s="10" t="n"/>
      <c r="B485" s="11" t="n"/>
      <c r="C485" s="11" t="n"/>
      <c r="D485" s="12" t="n"/>
      <c r="E485" s="12" t="n"/>
      <c r="F485" s="12" t="n"/>
    </row>
    <row r="486">
      <c r="A486" s="10" t="n"/>
      <c r="B486" s="11" t="n"/>
      <c r="C486" s="11" t="n"/>
      <c r="D486" s="12" t="n"/>
      <c r="E486" s="12" t="n"/>
      <c r="F486" s="12" t="n"/>
    </row>
    <row r="487">
      <c r="A487" s="10" t="n"/>
      <c r="B487" s="11" t="n"/>
      <c r="C487" s="11" t="n"/>
      <c r="D487" s="12" t="n"/>
      <c r="E487" s="12" t="n"/>
      <c r="F487" s="12" t="n"/>
    </row>
    <row r="488">
      <c r="A488" s="10" t="n"/>
      <c r="B488" s="11" t="n"/>
      <c r="C488" s="11" t="n"/>
      <c r="D488" s="12" t="n"/>
      <c r="E488" s="12" t="n"/>
      <c r="F488" s="12" t="n"/>
    </row>
    <row r="489">
      <c r="A489" s="10" t="n"/>
      <c r="B489" s="11" t="n"/>
      <c r="C489" s="11" t="n"/>
      <c r="D489" s="12" t="n"/>
      <c r="E489" s="12" t="n"/>
      <c r="F489" s="12" t="n"/>
    </row>
    <row r="490">
      <c r="A490" s="10" t="n"/>
      <c r="B490" s="11" t="n"/>
      <c r="C490" s="11" t="n"/>
      <c r="D490" s="12" t="n"/>
      <c r="E490" s="12" t="n"/>
      <c r="F490" s="12" t="n"/>
    </row>
    <row r="491">
      <c r="A491" s="10" t="n"/>
      <c r="B491" s="11" t="n"/>
      <c r="C491" s="11" t="n"/>
      <c r="D491" s="12" t="n"/>
      <c r="E491" s="12" t="n"/>
      <c r="F491" s="12" t="n"/>
    </row>
    <row r="492">
      <c r="A492" s="10" t="n"/>
      <c r="B492" s="11" t="n"/>
      <c r="C492" s="11" t="n"/>
      <c r="D492" s="12" t="n"/>
      <c r="E492" s="12" t="n"/>
      <c r="F492" s="12" t="n"/>
    </row>
    <row r="493">
      <c r="A493" s="10" t="n"/>
      <c r="B493" s="11" t="n"/>
      <c r="C493" s="11" t="n"/>
      <c r="D493" s="12" t="n"/>
      <c r="E493" s="12" t="n"/>
      <c r="F493" s="12" t="n"/>
    </row>
    <row r="494">
      <c r="A494" s="10" t="n"/>
      <c r="B494" s="11" t="n"/>
      <c r="C494" s="11" t="n"/>
      <c r="D494" s="12" t="n"/>
      <c r="E494" s="12" t="n"/>
      <c r="F494" s="12" t="n"/>
    </row>
    <row r="495">
      <c r="A495" s="10" t="n"/>
      <c r="B495" s="11" t="n"/>
      <c r="C495" s="11" t="n"/>
      <c r="D495" s="12" t="n"/>
      <c r="E495" s="12" t="n"/>
      <c r="F495" s="12" t="n"/>
    </row>
    <row r="496">
      <c r="A496" s="10" t="n"/>
      <c r="B496" s="11" t="n"/>
      <c r="C496" s="11" t="n"/>
      <c r="D496" s="12" t="n"/>
      <c r="E496" s="12" t="n"/>
      <c r="F496" s="12" t="n"/>
    </row>
    <row r="497">
      <c r="A497" s="10" t="n"/>
      <c r="B497" s="11" t="n"/>
      <c r="C497" s="11" t="n"/>
      <c r="D497" s="12" t="n"/>
      <c r="E497" s="12" t="n"/>
      <c r="F497" s="12" t="n"/>
    </row>
    <row r="498">
      <c r="A498" s="10" t="n"/>
      <c r="B498" s="11" t="n"/>
      <c r="C498" s="11" t="n"/>
      <c r="D498" s="12" t="n"/>
      <c r="E498" s="12" t="n"/>
      <c r="F498" s="12" t="n"/>
    </row>
    <row r="499">
      <c r="A499" s="10" t="n"/>
      <c r="B499" s="11" t="n"/>
      <c r="C499" s="11" t="n"/>
      <c r="D499" s="12" t="n"/>
      <c r="E499" s="12" t="n"/>
      <c r="F499" s="12" t="n"/>
    </row>
    <row r="500">
      <c r="A500" s="10" t="n"/>
      <c r="B500" s="11" t="n"/>
      <c r="C500" s="11" t="n"/>
      <c r="D500" s="12" t="n"/>
      <c r="E500" s="12" t="n"/>
      <c r="F500" s="12" t="n"/>
    </row>
    <row r="501">
      <c r="A501" s="10" t="n"/>
      <c r="B501" s="11" t="n"/>
      <c r="C501" s="11" t="n"/>
      <c r="D501" s="12" t="n"/>
      <c r="E501" s="12" t="n"/>
      <c r="F501" s="12" t="n"/>
    </row>
    <row r="502">
      <c r="A502" s="10" t="n"/>
      <c r="B502" s="11" t="n"/>
      <c r="C502" s="11" t="n"/>
      <c r="D502" s="12" t="n"/>
      <c r="E502" s="12" t="n"/>
      <c r="F502" s="12" t="n"/>
    </row>
    <row r="503">
      <c r="A503" s="10" t="n"/>
      <c r="B503" s="11" t="n"/>
      <c r="C503" s="11" t="n"/>
      <c r="D503" s="12" t="n"/>
      <c r="E503" s="12" t="n"/>
      <c r="F503" s="12" t="n"/>
    </row>
    <row r="504">
      <c r="A504" s="10" t="n"/>
      <c r="B504" s="11" t="n"/>
      <c r="C504" s="11" t="n"/>
      <c r="D504" s="12" t="n"/>
      <c r="E504" s="12" t="n"/>
      <c r="F504" s="12" t="n"/>
    </row>
    <row r="505">
      <c r="A505" s="10" t="n"/>
      <c r="B505" s="11" t="n"/>
      <c r="C505" s="11" t="n"/>
      <c r="D505" s="12" t="n"/>
      <c r="E505" s="12" t="n"/>
      <c r="F505" s="12" t="n"/>
    </row>
    <row r="506">
      <c r="A506" s="10" t="n"/>
      <c r="B506" s="11" t="n"/>
      <c r="C506" s="11" t="n"/>
      <c r="D506" s="12" t="n"/>
      <c r="E506" s="12" t="n"/>
      <c r="F506" s="12" t="n"/>
    </row>
    <row r="507">
      <c r="A507" s="10" t="n"/>
      <c r="B507" s="11" t="n"/>
      <c r="C507" s="11" t="n"/>
      <c r="D507" s="12" t="n"/>
      <c r="E507" s="12" t="n"/>
      <c r="F507" s="12" t="n"/>
    </row>
    <row r="508">
      <c r="A508" s="10" t="n"/>
      <c r="B508" s="11" t="n"/>
      <c r="C508" s="11" t="n"/>
      <c r="D508" s="12" t="n"/>
      <c r="E508" s="12" t="n"/>
      <c r="F508" s="12" t="n"/>
    </row>
    <row r="509">
      <c r="A509" s="10" t="n"/>
      <c r="B509" s="11" t="n"/>
      <c r="C509" s="11" t="n"/>
      <c r="D509" s="12" t="n"/>
      <c r="E509" s="12" t="n"/>
      <c r="F509" s="12" t="n"/>
    </row>
    <row r="510">
      <c r="A510" s="10" t="n"/>
      <c r="B510" s="11" t="n"/>
      <c r="C510" s="11" t="n"/>
      <c r="D510" s="12" t="n"/>
      <c r="E510" s="12" t="n"/>
      <c r="F510" s="12" t="n"/>
    </row>
    <row r="511">
      <c r="A511" s="10" t="n"/>
      <c r="B511" s="11" t="n"/>
      <c r="C511" s="11" t="n"/>
      <c r="D511" s="12" t="n"/>
      <c r="E511" s="12" t="n"/>
      <c r="F511" s="12" t="n"/>
    </row>
    <row r="512">
      <c r="A512" s="10" t="n"/>
      <c r="B512" s="11" t="n"/>
      <c r="C512" s="11" t="n"/>
      <c r="D512" s="12" t="n"/>
      <c r="E512" s="12" t="n"/>
      <c r="F512" s="12" t="n"/>
    </row>
    <row r="513">
      <c r="A513" s="10" t="n"/>
      <c r="B513" s="11" t="n"/>
      <c r="C513" s="11" t="n"/>
      <c r="D513" s="12" t="n"/>
      <c r="E513" s="12" t="n"/>
      <c r="F513" s="12" t="n"/>
    </row>
    <row r="514">
      <c r="A514" s="10" t="n"/>
      <c r="B514" s="11" t="n"/>
      <c r="C514" s="11" t="n"/>
      <c r="D514" s="12" t="n"/>
      <c r="E514" s="12" t="n"/>
      <c r="F514" s="12" t="n"/>
    </row>
    <row r="515">
      <c r="A515" s="10" t="n"/>
      <c r="B515" s="11" t="n"/>
      <c r="C515" s="11" t="n"/>
      <c r="D515" s="12" t="n"/>
      <c r="E515" s="12" t="n"/>
      <c r="F515" s="12" t="n"/>
    </row>
    <row r="516">
      <c r="A516" s="10" t="n"/>
      <c r="B516" s="11" t="n"/>
      <c r="C516" s="11" t="n"/>
      <c r="D516" s="12" t="n"/>
      <c r="E516" s="12" t="n"/>
      <c r="F516" s="12" t="n"/>
    </row>
    <row r="517">
      <c r="A517" s="10" t="n"/>
      <c r="B517" s="11" t="n"/>
      <c r="C517" s="11" t="n"/>
      <c r="D517" s="12" t="n"/>
      <c r="E517" s="12" t="n"/>
      <c r="F517" s="12" t="n"/>
    </row>
    <row r="518">
      <c r="A518" s="10" t="n"/>
      <c r="B518" s="11" t="n"/>
      <c r="C518" s="11" t="n"/>
      <c r="D518" s="12" t="n"/>
      <c r="E518" s="12" t="n"/>
      <c r="F518" s="12" t="n"/>
    </row>
    <row r="519">
      <c r="A519" s="10" t="n"/>
      <c r="B519" s="11" t="n"/>
      <c r="C519" s="11" t="n"/>
      <c r="D519" s="12" t="n"/>
      <c r="E519" s="12" t="n"/>
      <c r="F519" s="12" t="n"/>
    </row>
    <row r="520">
      <c r="A520" s="10" t="n"/>
      <c r="B520" s="11" t="n"/>
      <c r="C520" s="11" t="n"/>
      <c r="D520" s="12" t="n"/>
      <c r="E520" s="12" t="n"/>
      <c r="F520" s="12" t="n"/>
    </row>
    <row r="521">
      <c r="A521" s="10" t="n"/>
      <c r="B521" s="11" t="n"/>
      <c r="C521" s="11" t="n"/>
      <c r="D521" s="12" t="n"/>
      <c r="E521" s="12" t="n"/>
      <c r="F521" s="12" t="n"/>
    </row>
    <row r="522">
      <c r="A522" s="10" t="n"/>
      <c r="B522" s="11" t="n"/>
      <c r="C522" s="11" t="n"/>
      <c r="D522" s="12" t="n"/>
      <c r="E522" s="12" t="n"/>
      <c r="F522" s="12" t="n"/>
    </row>
    <row r="523">
      <c r="A523" s="10" t="n"/>
      <c r="B523" s="11" t="n"/>
      <c r="C523" s="11" t="n"/>
      <c r="D523" s="12" t="n"/>
      <c r="E523" s="12" t="n"/>
      <c r="F523" s="12" t="n"/>
    </row>
    <row r="524">
      <c r="A524" s="10" t="n"/>
      <c r="B524" s="11" t="n"/>
      <c r="C524" s="11" t="n"/>
      <c r="D524" s="12" t="n"/>
      <c r="E524" s="12" t="n"/>
      <c r="F524" s="12" t="n"/>
    </row>
    <row r="525">
      <c r="A525" s="10" t="n"/>
      <c r="B525" s="11" t="n"/>
      <c r="C525" s="11" t="n"/>
      <c r="D525" s="12" t="n"/>
      <c r="E525" s="12" t="n"/>
      <c r="F525" s="12" t="n"/>
    </row>
    <row r="526">
      <c r="A526" s="10" t="n"/>
      <c r="B526" s="11" t="n"/>
      <c r="C526" s="11" t="n"/>
      <c r="D526" s="12" t="n"/>
      <c r="E526" s="12" t="n"/>
      <c r="F526" s="12" t="n"/>
    </row>
    <row r="527">
      <c r="A527" s="10" t="n"/>
      <c r="B527" s="11" t="n"/>
      <c r="C527" s="11" t="n"/>
      <c r="D527" s="12" t="n"/>
      <c r="E527" s="12" t="n"/>
      <c r="F527" s="12" t="n"/>
    </row>
    <row r="528">
      <c r="A528" s="10" t="n"/>
      <c r="B528" s="11" t="n"/>
      <c r="C528" s="11" t="n"/>
      <c r="D528" s="12" t="n"/>
      <c r="E528" s="12" t="n"/>
      <c r="F528" s="12" t="n"/>
    </row>
    <row r="529">
      <c r="A529" s="10" t="n"/>
      <c r="B529" s="11" t="n"/>
      <c r="C529" s="11" t="n"/>
      <c r="D529" s="12" t="n"/>
      <c r="E529" s="12" t="n"/>
      <c r="F529" s="12" t="n"/>
    </row>
    <row r="530">
      <c r="A530" s="10" t="n"/>
      <c r="B530" s="11" t="n"/>
      <c r="C530" s="11" t="n"/>
      <c r="D530" s="12" t="n"/>
      <c r="E530" s="12" t="n"/>
      <c r="F530" s="12" t="n"/>
    </row>
    <row r="531">
      <c r="A531" s="10" t="n"/>
      <c r="B531" s="11" t="n"/>
      <c r="C531" s="11" t="n"/>
      <c r="D531" s="12" t="n"/>
      <c r="E531" s="12" t="n"/>
      <c r="F531" s="12" t="n"/>
    </row>
    <row r="532">
      <c r="A532" s="10" t="n"/>
      <c r="B532" s="11" t="n"/>
      <c r="C532" s="11" t="n"/>
      <c r="D532" s="12" t="n"/>
      <c r="E532" s="12" t="n"/>
      <c r="F532" s="12" t="n"/>
    </row>
    <row r="533">
      <c r="A533" s="10" t="n"/>
      <c r="B533" s="11" t="n"/>
      <c r="C533" s="11" t="n"/>
      <c r="D533" s="12" t="n"/>
      <c r="E533" s="12" t="n"/>
      <c r="F533" s="12" t="n"/>
    </row>
    <row r="534">
      <c r="A534" s="10" t="n"/>
      <c r="B534" s="11" t="n"/>
      <c r="C534" s="11" t="n"/>
      <c r="D534" s="12" t="n"/>
      <c r="E534" s="12" t="n"/>
      <c r="F534" s="12" t="n"/>
    </row>
    <row r="535">
      <c r="A535" s="10" t="n"/>
      <c r="B535" s="11" t="n"/>
      <c r="C535" s="11" t="n"/>
      <c r="D535" s="12" t="n"/>
      <c r="E535" s="12" t="n"/>
      <c r="F535" s="12" t="n"/>
    </row>
    <row r="536">
      <c r="A536" s="10" t="n"/>
      <c r="B536" s="11" t="n"/>
      <c r="C536" s="11" t="n"/>
      <c r="D536" s="12" t="n"/>
      <c r="E536" s="12" t="n"/>
      <c r="F536" s="12" t="n"/>
    </row>
    <row r="537">
      <c r="A537" s="10" t="n"/>
      <c r="B537" s="11" t="n"/>
      <c r="C537" s="11" t="n"/>
      <c r="D537" s="12" t="n"/>
      <c r="E537" s="12" t="n"/>
      <c r="F537" s="12" t="n"/>
    </row>
    <row r="538">
      <c r="A538" s="10" t="n"/>
      <c r="B538" s="11" t="n"/>
      <c r="C538" s="11" t="n"/>
      <c r="D538" s="12" t="n"/>
      <c r="E538" s="12" t="n"/>
      <c r="F538" s="12" t="n"/>
    </row>
    <row r="539">
      <c r="A539" s="10" t="n"/>
      <c r="B539" s="11" t="n"/>
      <c r="C539" s="11" t="n"/>
      <c r="D539" s="12" t="n"/>
      <c r="E539" s="12" t="n"/>
      <c r="F539" s="12" t="n"/>
    </row>
    <row r="540">
      <c r="A540" s="10" t="n"/>
      <c r="B540" s="11" t="n"/>
      <c r="C540" s="11" t="n"/>
      <c r="D540" s="12" t="n"/>
      <c r="E540" s="12" t="n"/>
      <c r="F540" s="12" t="n"/>
    </row>
    <row r="541">
      <c r="A541" s="10" t="n"/>
      <c r="B541" s="11" t="n"/>
      <c r="C541" s="11" t="n"/>
      <c r="D541" s="12" t="n"/>
      <c r="E541" s="12" t="n"/>
      <c r="F541" s="12" t="n"/>
    </row>
    <row r="542">
      <c r="A542" s="10" t="n"/>
      <c r="B542" s="11" t="n"/>
      <c r="C542" s="11" t="n"/>
      <c r="D542" s="12" t="n"/>
      <c r="E542" s="12" t="n"/>
      <c r="F542" s="12" t="n"/>
    </row>
    <row r="543">
      <c r="A543" s="10" t="n"/>
      <c r="B543" s="11" t="n"/>
      <c r="C543" s="11" t="n"/>
      <c r="D543" s="12" t="n"/>
      <c r="E543" s="12" t="n"/>
      <c r="F543" s="12" t="n"/>
    </row>
    <row r="544">
      <c r="A544" s="10" t="n"/>
      <c r="B544" s="11" t="n"/>
      <c r="C544" s="11" t="n"/>
      <c r="D544" s="12" t="n"/>
      <c r="E544" s="12" t="n"/>
      <c r="F544" s="12" t="n"/>
    </row>
    <row r="545">
      <c r="A545" s="10" t="n"/>
      <c r="B545" s="11" t="n"/>
      <c r="C545" s="11" t="n"/>
      <c r="D545" s="12" t="n"/>
      <c r="E545" s="12" t="n"/>
      <c r="F545" s="12" t="n"/>
    </row>
    <row r="546">
      <c r="A546" s="10" t="n"/>
      <c r="B546" s="11" t="n"/>
      <c r="C546" s="11" t="n"/>
      <c r="D546" s="12" t="n"/>
      <c r="E546" s="12" t="n"/>
      <c r="F546" s="12" t="n"/>
    </row>
    <row r="547">
      <c r="A547" s="10" t="n"/>
      <c r="B547" s="11" t="n"/>
      <c r="C547" s="11" t="n"/>
      <c r="D547" s="12" t="n"/>
      <c r="E547" s="12" t="n"/>
      <c r="F547" s="12" t="n"/>
    </row>
    <row r="548">
      <c r="A548" s="10" t="n"/>
      <c r="B548" s="11" t="n"/>
      <c r="C548" s="11" t="n"/>
      <c r="D548" s="12" t="n"/>
      <c r="E548" s="12" t="n"/>
      <c r="F548" s="12" t="n"/>
    </row>
    <row r="549">
      <c r="A549" s="10" t="n"/>
      <c r="B549" s="11" t="n"/>
      <c r="C549" s="11" t="n"/>
      <c r="D549" s="12" t="n"/>
      <c r="E549" s="12" t="n"/>
      <c r="F549" s="12" t="n"/>
    </row>
    <row r="550">
      <c r="A550" s="10" t="n"/>
      <c r="B550" s="11" t="n"/>
      <c r="C550" s="11" t="n"/>
      <c r="D550" s="12" t="n"/>
      <c r="E550" s="12" t="n"/>
      <c r="F550" s="12" t="n"/>
    </row>
    <row r="551">
      <c r="A551" s="10" t="n"/>
      <c r="B551" s="11" t="n"/>
      <c r="C551" s="11" t="n"/>
      <c r="D551" s="12" t="n"/>
      <c r="E551" s="12" t="n"/>
      <c r="F551" s="12" t="n"/>
    </row>
    <row r="552">
      <c r="A552" s="10" t="n"/>
      <c r="B552" s="11" t="n"/>
      <c r="C552" s="11" t="n"/>
      <c r="D552" s="12" t="n"/>
      <c r="E552" s="12" t="n"/>
      <c r="F552" s="12" t="n"/>
    </row>
    <row r="553">
      <c r="A553" s="10" t="n"/>
      <c r="B553" s="11" t="n"/>
      <c r="C553" s="11" t="n"/>
      <c r="D553" s="12" t="n"/>
      <c r="E553" s="12" t="n"/>
      <c r="F553" s="12" t="n"/>
    </row>
    <row r="554">
      <c r="A554" s="10" t="n"/>
      <c r="B554" s="11" t="n"/>
      <c r="C554" s="11" t="n"/>
      <c r="D554" s="12" t="n"/>
      <c r="E554" s="12" t="n"/>
      <c r="F554" s="12" t="n"/>
    </row>
    <row r="555">
      <c r="A555" s="10" t="n"/>
      <c r="B555" s="11" t="n"/>
      <c r="C555" s="11" t="n"/>
      <c r="D555" s="12" t="n"/>
      <c r="E555" s="12" t="n"/>
      <c r="F555" s="12" t="n"/>
    </row>
    <row r="556">
      <c r="A556" s="10" t="n"/>
      <c r="B556" s="11" t="n"/>
      <c r="C556" s="11" t="n"/>
      <c r="D556" s="12" t="n"/>
      <c r="E556" s="12" t="n"/>
      <c r="F556" s="12" t="n"/>
    </row>
    <row r="557">
      <c r="A557" s="10" t="n"/>
      <c r="B557" s="11" t="n"/>
      <c r="C557" s="11" t="n"/>
      <c r="D557" s="12" t="n"/>
      <c r="E557" s="12" t="n"/>
      <c r="F557" s="12" t="n"/>
    </row>
    <row r="558">
      <c r="A558" s="10" t="n"/>
      <c r="B558" s="11" t="n"/>
      <c r="C558" s="11" t="n"/>
      <c r="D558" s="12" t="n"/>
      <c r="E558" s="12" t="n"/>
      <c r="F558" s="12" t="n"/>
    </row>
    <row r="559">
      <c r="A559" s="10" t="n"/>
      <c r="B559" s="11" t="n"/>
      <c r="C559" s="11" t="n"/>
      <c r="D559" s="12" t="n"/>
      <c r="E559" s="12" t="n"/>
      <c r="F559" s="12" t="n"/>
    </row>
    <row r="560">
      <c r="A560" s="10" t="n"/>
      <c r="B560" s="11" t="n"/>
      <c r="C560" s="11" t="n"/>
      <c r="D560" s="12" t="n"/>
      <c r="E560" s="12" t="n"/>
      <c r="F560" s="12" t="n"/>
    </row>
    <row r="561">
      <c r="A561" s="10" t="n"/>
      <c r="B561" s="11" t="n"/>
      <c r="C561" s="11" t="n"/>
      <c r="D561" s="12" t="n"/>
      <c r="E561" s="12" t="n"/>
      <c r="F561" s="12" t="n"/>
    </row>
    <row r="562">
      <c r="A562" s="10" t="n"/>
      <c r="B562" s="11" t="n"/>
      <c r="C562" s="11" t="n"/>
      <c r="D562" s="12" t="n"/>
      <c r="E562" s="12" t="n"/>
      <c r="F562" s="12" t="n"/>
    </row>
    <row r="563">
      <c r="A563" s="10" t="n"/>
      <c r="B563" s="11" t="n"/>
      <c r="C563" s="11" t="n"/>
      <c r="D563" s="12" t="n"/>
      <c r="E563" s="12" t="n"/>
      <c r="F563" s="12" t="n"/>
    </row>
    <row r="564">
      <c r="A564" s="10" t="n"/>
      <c r="B564" s="11" t="n"/>
      <c r="C564" s="11" t="n"/>
      <c r="D564" s="12" t="n"/>
      <c r="E564" s="12" t="n"/>
      <c r="F564" s="12" t="n"/>
    </row>
    <row r="565">
      <c r="A565" s="10" t="n"/>
      <c r="B565" s="11" t="n"/>
      <c r="C565" s="11" t="n"/>
      <c r="D565" s="12" t="n"/>
      <c r="E565" s="12" t="n"/>
      <c r="F565" s="12" t="n"/>
    </row>
    <row r="566">
      <c r="A566" s="10" t="n"/>
      <c r="B566" s="11" t="n"/>
      <c r="C566" s="11" t="n"/>
      <c r="D566" s="12" t="n"/>
      <c r="E566" s="12" t="n"/>
      <c r="F566" s="12" t="n"/>
    </row>
    <row r="567">
      <c r="A567" s="10" t="n"/>
      <c r="B567" s="11" t="n"/>
      <c r="C567" s="11" t="n"/>
      <c r="D567" s="12" t="n"/>
      <c r="E567" s="12" t="n"/>
      <c r="F567" s="12" t="n"/>
    </row>
    <row r="568">
      <c r="A568" s="10" t="n"/>
      <c r="B568" s="11" t="n"/>
      <c r="C568" s="11" t="n"/>
      <c r="D568" s="12" t="n"/>
      <c r="E568" s="12" t="n"/>
      <c r="F568" s="12" t="n"/>
    </row>
    <row r="569">
      <c r="A569" s="10" t="n"/>
      <c r="B569" s="11" t="n"/>
      <c r="C569" s="11" t="n"/>
      <c r="D569" s="12" t="n"/>
      <c r="E569" s="12" t="n"/>
      <c r="F569" s="12" t="n"/>
    </row>
    <row r="570">
      <c r="A570" s="10" t="n"/>
      <c r="B570" s="11" t="n"/>
      <c r="C570" s="11" t="n"/>
      <c r="D570" s="12" t="n"/>
      <c r="E570" s="12" t="n"/>
      <c r="F570" s="12" t="n"/>
    </row>
    <row r="571">
      <c r="A571" s="10" t="n"/>
      <c r="B571" s="11" t="n"/>
      <c r="C571" s="11" t="n"/>
      <c r="D571" s="12" t="n"/>
      <c r="E571" s="12" t="n"/>
      <c r="F571" s="12" t="n"/>
    </row>
    <row r="572">
      <c r="A572" s="10" t="n"/>
      <c r="B572" s="11" t="n"/>
      <c r="C572" s="11" t="n"/>
      <c r="D572" s="12" t="n"/>
      <c r="E572" s="12" t="n"/>
      <c r="F572" s="12" t="n"/>
    </row>
    <row r="573">
      <c r="A573" s="10" t="n"/>
      <c r="B573" s="11" t="n"/>
      <c r="C573" s="11" t="n"/>
      <c r="D573" s="12" t="n"/>
      <c r="E573" s="12" t="n"/>
      <c r="F573" s="12" t="n"/>
    </row>
    <row r="574">
      <c r="A574" s="10" t="n"/>
      <c r="B574" s="11" t="n"/>
      <c r="C574" s="11" t="n"/>
      <c r="D574" s="12" t="n"/>
      <c r="E574" s="12" t="n"/>
      <c r="F574" s="12" t="n"/>
    </row>
    <row r="575">
      <c r="A575" s="10" t="n"/>
      <c r="B575" s="11" t="n"/>
      <c r="C575" s="11" t="n"/>
      <c r="D575" s="12" t="n"/>
      <c r="E575" s="12" t="n"/>
      <c r="F575" s="12" t="n"/>
    </row>
    <row r="576">
      <c r="A576" s="10" t="n"/>
      <c r="B576" s="11" t="n"/>
      <c r="C576" s="11" t="n"/>
      <c r="D576" s="12" t="n"/>
      <c r="E576" s="12" t="n"/>
      <c r="F576" s="12" t="n"/>
    </row>
    <row r="577">
      <c r="A577" s="10" t="n"/>
      <c r="B577" s="11" t="n"/>
      <c r="C577" s="11" t="n"/>
      <c r="D577" s="12" t="n"/>
      <c r="E577" s="12" t="n"/>
      <c r="F577" s="12" t="n"/>
    </row>
    <row r="578">
      <c r="A578" s="10" t="n"/>
      <c r="B578" s="11" t="n"/>
      <c r="C578" s="11" t="n"/>
      <c r="D578" s="12" t="n"/>
      <c r="E578" s="12" t="n"/>
      <c r="F578" s="12" t="n"/>
    </row>
    <row r="579">
      <c r="A579" s="10" t="n"/>
      <c r="B579" s="11" t="n"/>
      <c r="C579" s="11" t="n"/>
      <c r="D579" s="12" t="n"/>
      <c r="E579" s="12" t="n"/>
      <c r="F579" s="12" t="n"/>
    </row>
    <row r="580">
      <c r="A580" s="10" t="n"/>
      <c r="B580" s="11" t="n"/>
      <c r="C580" s="11" t="n"/>
      <c r="D580" s="12" t="n"/>
      <c r="E580" s="12" t="n"/>
      <c r="F580" s="12" t="n"/>
    </row>
    <row r="581">
      <c r="A581" s="10" t="n"/>
      <c r="B581" s="11" t="n"/>
      <c r="C581" s="11" t="n"/>
      <c r="D581" s="12" t="n"/>
      <c r="E581" s="12" t="n"/>
      <c r="F581" s="12" t="n"/>
    </row>
    <row r="582">
      <c r="A582" s="10" t="n"/>
      <c r="B582" s="11" t="n"/>
      <c r="C582" s="11" t="n"/>
      <c r="D582" s="12" t="n"/>
      <c r="E582" s="12" t="n"/>
      <c r="F582" s="12" t="n"/>
    </row>
    <row r="583">
      <c r="A583" s="10" t="n"/>
      <c r="B583" s="11" t="n"/>
      <c r="C583" s="11" t="n"/>
      <c r="D583" s="12" t="n"/>
      <c r="E583" s="12" t="n"/>
      <c r="F583" s="12" t="n"/>
    </row>
    <row r="584">
      <c r="A584" s="10" t="n"/>
      <c r="B584" s="11" t="n"/>
      <c r="C584" s="11" t="n"/>
      <c r="D584" s="12" t="n"/>
      <c r="E584" s="12" t="n"/>
      <c r="F584" s="12" t="n"/>
    </row>
    <row r="585">
      <c r="A585" s="10" t="n"/>
      <c r="B585" s="11" t="n"/>
      <c r="C585" s="11" t="n"/>
      <c r="D585" s="12" t="n"/>
      <c r="E585" s="12" t="n"/>
      <c r="F585" s="12" t="n"/>
    </row>
    <row r="586">
      <c r="A586" s="10" t="n"/>
      <c r="B586" s="11" t="n"/>
      <c r="C586" s="11" t="n"/>
      <c r="D586" s="12" t="n"/>
      <c r="E586" s="12" t="n"/>
      <c r="F586" s="12" t="n"/>
    </row>
    <row r="587">
      <c r="A587" s="10" t="n"/>
      <c r="B587" s="11" t="n"/>
      <c r="C587" s="11" t="n"/>
      <c r="D587" s="12" t="n"/>
      <c r="E587" s="12" t="n"/>
      <c r="F587" s="12" t="n"/>
    </row>
    <row r="588">
      <c r="A588" s="10" t="n"/>
      <c r="B588" s="11" t="n"/>
      <c r="C588" s="11" t="n"/>
      <c r="D588" s="12" t="n"/>
      <c r="E588" s="12" t="n"/>
      <c r="F588" s="12" t="n"/>
    </row>
    <row r="589">
      <c r="A589" s="10" t="n"/>
      <c r="B589" s="11" t="n"/>
      <c r="C589" s="11" t="n"/>
      <c r="D589" s="12" t="n"/>
      <c r="E589" s="12" t="n"/>
      <c r="F589" s="12" t="n"/>
    </row>
    <row r="590">
      <c r="A590" s="10" t="n"/>
      <c r="B590" s="11" t="n"/>
      <c r="C590" s="11" t="n"/>
      <c r="D590" s="12" t="n"/>
      <c r="E590" s="12" t="n"/>
      <c r="F590" s="12" t="n"/>
    </row>
    <row r="591">
      <c r="A591" s="10" t="n"/>
      <c r="B591" s="11" t="n"/>
      <c r="C591" s="11" t="n"/>
      <c r="D591" s="12" t="n"/>
      <c r="E591" s="12" t="n"/>
      <c r="F591" s="12" t="n"/>
    </row>
    <row r="592">
      <c r="A592" s="10" t="n"/>
      <c r="B592" s="11" t="n"/>
      <c r="C592" s="11" t="n"/>
      <c r="D592" s="12" t="n"/>
      <c r="E592" s="12" t="n"/>
      <c r="F592" s="12" t="n"/>
    </row>
    <row r="593">
      <c r="A593" s="10" t="n"/>
      <c r="B593" s="11" t="n"/>
      <c r="C593" s="11" t="n"/>
      <c r="D593" s="12" t="n"/>
      <c r="E593" s="12" t="n"/>
      <c r="F593" s="12" t="n"/>
    </row>
    <row r="594">
      <c r="A594" s="10" t="n"/>
      <c r="B594" s="11" t="n"/>
      <c r="C594" s="11" t="n"/>
      <c r="D594" s="12" t="n"/>
      <c r="E594" s="12" t="n"/>
      <c r="F594" s="12" t="n"/>
    </row>
    <row r="595">
      <c r="A595" s="10" t="n"/>
      <c r="B595" s="11" t="n"/>
      <c r="C595" s="11" t="n"/>
      <c r="D595" s="12" t="n"/>
      <c r="E595" s="12" t="n"/>
      <c r="F595" s="12" t="n"/>
    </row>
    <row r="596">
      <c r="A596" s="10" t="n"/>
      <c r="B596" s="11" t="n"/>
      <c r="C596" s="11" t="n"/>
      <c r="D596" s="12" t="n"/>
      <c r="E596" s="12" t="n"/>
      <c r="F596" s="12" t="n"/>
    </row>
    <row r="597">
      <c r="A597" s="10" t="n"/>
      <c r="B597" s="11" t="n"/>
      <c r="C597" s="11" t="n"/>
      <c r="D597" s="12" t="n"/>
      <c r="E597" s="12" t="n"/>
      <c r="F597" s="12" t="n"/>
    </row>
    <row r="598">
      <c r="A598" s="10" t="n"/>
      <c r="B598" s="11" t="n"/>
      <c r="C598" s="11" t="n"/>
      <c r="D598" s="12" t="n"/>
      <c r="E598" s="12" t="n"/>
      <c r="F598" s="12" t="n"/>
    </row>
    <row r="599">
      <c r="A599" s="10" t="n"/>
      <c r="B599" s="11" t="n"/>
      <c r="C599" s="11" t="n"/>
      <c r="D599" s="12" t="n"/>
      <c r="E599" s="12" t="n"/>
      <c r="F599" s="12" t="n"/>
    </row>
    <row r="600">
      <c r="A600" s="10" t="n"/>
      <c r="B600" s="11" t="n"/>
      <c r="C600" s="11" t="n"/>
      <c r="D600" s="12" t="n"/>
      <c r="E600" s="12" t="n"/>
      <c r="F600" s="12" t="n"/>
    </row>
    <row r="601">
      <c r="A601" s="10" t="n"/>
      <c r="B601" s="11" t="n"/>
      <c r="C601" s="11" t="n"/>
      <c r="D601" s="12" t="n"/>
      <c r="E601" s="12" t="n"/>
      <c r="F601" s="12" t="n"/>
    </row>
    <row r="602">
      <c r="A602" s="10" t="n"/>
      <c r="B602" s="11" t="n"/>
      <c r="C602" s="11" t="n"/>
      <c r="D602" s="12" t="n"/>
      <c r="E602" s="12" t="n"/>
      <c r="F602" s="12" t="n"/>
    </row>
    <row r="603">
      <c r="A603" s="10" t="n"/>
      <c r="B603" s="11" t="n"/>
      <c r="C603" s="11" t="n"/>
      <c r="D603" s="12" t="n"/>
      <c r="E603" s="12" t="n"/>
      <c r="F603" s="12" t="n"/>
    </row>
    <row r="604">
      <c r="A604" s="10" t="n"/>
      <c r="B604" s="11" t="n"/>
      <c r="C604" s="11" t="n"/>
      <c r="D604" s="12" t="n"/>
      <c r="E604" s="12" t="n"/>
      <c r="F604" s="12" t="n"/>
    </row>
    <row r="605">
      <c r="A605" s="10" t="n"/>
      <c r="B605" s="11" t="n"/>
      <c r="C605" s="11" t="n"/>
      <c r="D605" s="12" t="n"/>
      <c r="E605" s="12" t="n"/>
      <c r="F605" s="12" t="n"/>
    </row>
    <row r="606">
      <c r="A606" s="10" t="n"/>
      <c r="B606" s="11" t="n"/>
      <c r="C606" s="11" t="n"/>
      <c r="D606" s="12" t="n"/>
      <c r="E606" s="12" t="n"/>
      <c r="F606" s="12" t="n"/>
    </row>
    <row r="607">
      <c r="A607" s="10" t="n"/>
      <c r="B607" s="11" t="n"/>
      <c r="C607" s="11" t="n"/>
      <c r="D607" s="12" t="n"/>
      <c r="E607" s="12" t="n"/>
      <c r="F607" s="12" t="n"/>
    </row>
    <row r="608">
      <c r="A608" s="10" t="n"/>
      <c r="B608" s="11" t="n"/>
      <c r="C608" s="11" t="n"/>
      <c r="D608" s="12" t="n"/>
      <c r="E608" s="12" t="n"/>
      <c r="F608" s="12" t="n"/>
    </row>
    <row r="609">
      <c r="A609" s="10" t="n"/>
      <c r="B609" s="11" t="n"/>
      <c r="C609" s="11" t="n"/>
      <c r="D609" s="12" t="n"/>
      <c r="E609" s="12" t="n"/>
      <c r="F609" s="12" t="n"/>
    </row>
    <row r="610">
      <c r="A610" s="10" t="n"/>
      <c r="B610" s="11" t="n"/>
      <c r="C610" s="11" t="n"/>
      <c r="D610" s="12" t="n"/>
      <c r="E610" s="12" t="n"/>
      <c r="F610" s="12" t="n"/>
    </row>
    <row r="611">
      <c r="A611" s="10" t="n"/>
      <c r="B611" s="11" t="n"/>
      <c r="C611" s="11" t="n"/>
      <c r="D611" s="12" t="n"/>
      <c r="E611" s="12" t="n"/>
      <c r="F611" s="12" t="n"/>
    </row>
    <row r="612">
      <c r="A612" s="10" t="n"/>
      <c r="B612" s="11" t="n"/>
      <c r="C612" s="11" t="n"/>
      <c r="D612" s="12" t="n"/>
      <c r="E612" s="12" t="n"/>
      <c r="F612" s="12" t="n"/>
    </row>
    <row r="613">
      <c r="A613" s="10" t="n"/>
      <c r="B613" s="11" t="n"/>
      <c r="C613" s="11" t="n"/>
      <c r="D613" s="12" t="n"/>
      <c r="E613" s="12" t="n"/>
      <c r="F613" s="12" t="n"/>
    </row>
    <row r="614">
      <c r="A614" s="10" t="n"/>
      <c r="B614" s="11" t="n"/>
      <c r="C614" s="11" t="n"/>
      <c r="D614" s="12" t="n"/>
      <c r="E614" s="12" t="n"/>
      <c r="F614" s="12" t="n"/>
    </row>
    <row r="615">
      <c r="A615" s="10" t="n"/>
      <c r="B615" s="11" t="n"/>
      <c r="C615" s="11" t="n"/>
      <c r="D615" s="12" t="n"/>
      <c r="E615" s="12" t="n"/>
      <c r="F615" s="12" t="n"/>
    </row>
    <row r="616">
      <c r="A616" s="10" t="n"/>
      <c r="B616" s="11" t="n"/>
      <c r="C616" s="11" t="n"/>
      <c r="D616" s="12" t="n"/>
      <c r="E616" s="12" t="n"/>
      <c r="F616" s="12" t="n"/>
    </row>
    <row r="617">
      <c r="A617" s="10" t="n"/>
      <c r="B617" s="11" t="n"/>
      <c r="C617" s="11" t="n"/>
      <c r="D617" s="12" t="n"/>
      <c r="E617" s="12" t="n"/>
      <c r="F617" s="12" t="n"/>
    </row>
    <row r="618">
      <c r="A618" s="10" t="n"/>
      <c r="B618" s="11" t="n"/>
      <c r="C618" s="11" t="n"/>
      <c r="D618" s="12" t="n"/>
      <c r="E618" s="12" t="n"/>
      <c r="F618" s="12" t="n"/>
    </row>
    <row r="619">
      <c r="A619" s="10" t="n"/>
      <c r="B619" s="11" t="n"/>
      <c r="C619" s="11" t="n"/>
      <c r="D619" s="12" t="n"/>
      <c r="E619" s="12" t="n"/>
      <c r="F619" s="12" t="n"/>
    </row>
    <row r="620">
      <c r="A620" s="10" t="n"/>
      <c r="B620" s="11" t="n"/>
      <c r="C620" s="11" t="n"/>
      <c r="D620" s="12" t="n"/>
      <c r="E620" s="12" t="n"/>
      <c r="F620" s="12" t="n"/>
    </row>
    <row r="621">
      <c r="A621" s="10" t="n"/>
      <c r="B621" s="11" t="n"/>
      <c r="C621" s="11" t="n"/>
      <c r="D621" s="12" t="n"/>
      <c r="E621" s="12" t="n"/>
      <c r="F621" s="12" t="n"/>
    </row>
    <row r="622">
      <c r="A622" s="10" t="n"/>
      <c r="B622" s="11" t="n"/>
      <c r="C622" s="11" t="n"/>
      <c r="D622" s="12" t="n"/>
      <c r="E622" s="12" t="n"/>
      <c r="F622" s="12" t="n"/>
    </row>
    <row r="623">
      <c r="A623" s="10" t="n"/>
      <c r="B623" s="11" t="n"/>
      <c r="C623" s="11" t="n"/>
      <c r="D623" s="12" t="n"/>
      <c r="E623" s="12" t="n"/>
      <c r="F623" s="12" t="n"/>
    </row>
    <row r="624">
      <c r="A624" s="10" t="n"/>
      <c r="B624" s="11" t="n"/>
      <c r="C624" s="11" t="n"/>
      <c r="D624" s="12" t="n"/>
      <c r="E624" s="12" t="n"/>
      <c r="F624" s="12" t="n"/>
    </row>
    <row r="625">
      <c r="A625" s="10" t="n"/>
      <c r="B625" s="11" t="n"/>
      <c r="C625" s="11" t="n"/>
      <c r="D625" s="12" t="n"/>
      <c r="E625" s="12" t="n"/>
      <c r="F625" s="12" t="n"/>
    </row>
    <row r="626">
      <c r="A626" s="10" t="n"/>
      <c r="B626" s="11" t="n"/>
      <c r="C626" s="11" t="n"/>
      <c r="D626" s="12" t="n"/>
      <c r="E626" s="12" t="n"/>
      <c r="F626" s="12" t="n"/>
    </row>
    <row r="627">
      <c r="A627" s="10" t="n"/>
      <c r="B627" s="11" t="n"/>
      <c r="C627" s="11" t="n"/>
      <c r="D627" s="12" t="n"/>
      <c r="E627" s="12" t="n"/>
      <c r="F627" s="12" t="n"/>
    </row>
    <row r="628">
      <c r="A628" s="10" t="n"/>
      <c r="B628" s="11" t="n"/>
      <c r="C628" s="11" t="n"/>
      <c r="D628" s="12" t="n"/>
      <c r="E628" s="12" t="n"/>
      <c r="F628" s="12" t="n"/>
    </row>
    <row r="629">
      <c r="A629" s="10" t="n"/>
      <c r="B629" s="11" t="n"/>
      <c r="C629" s="11" t="n"/>
      <c r="D629" s="12" t="n"/>
      <c r="E629" s="12" t="n"/>
      <c r="F629" s="12" t="n"/>
    </row>
    <row r="630">
      <c r="A630" s="10" t="n"/>
      <c r="B630" s="11" t="n"/>
      <c r="C630" s="11" t="n"/>
      <c r="D630" s="12" t="n"/>
      <c r="E630" s="12" t="n"/>
      <c r="F630" s="12" t="n"/>
    </row>
    <row r="631">
      <c r="A631" s="10" t="n"/>
      <c r="B631" s="11" t="n"/>
      <c r="C631" s="11" t="n"/>
      <c r="D631" s="12" t="n"/>
      <c r="E631" s="12" t="n"/>
      <c r="F631" s="12" t="n"/>
    </row>
    <row r="632">
      <c r="A632" s="10" t="n"/>
      <c r="B632" s="11" t="n"/>
      <c r="C632" s="11" t="n"/>
      <c r="D632" s="12" t="n"/>
      <c r="E632" s="12" t="n"/>
      <c r="F632" s="12" t="n"/>
    </row>
    <row r="633">
      <c r="A633" s="10" t="n"/>
      <c r="B633" s="11" t="n"/>
      <c r="C633" s="11" t="n"/>
      <c r="D633" s="12" t="n"/>
      <c r="E633" s="12" t="n"/>
      <c r="F633" s="12" t="n"/>
    </row>
    <row r="634">
      <c r="A634" s="10" t="n"/>
      <c r="B634" s="11" t="n"/>
      <c r="C634" s="11" t="n"/>
      <c r="D634" s="12" t="n"/>
      <c r="E634" s="12" t="n"/>
      <c r="F634" s="12" t="n"/>
    </row>
    <row r="635">
      <c r="A635" s="10" t="n"/>
      <c r="B635" s="11" t="n"/>
      <c r="C635" s="11" t="n"/>
      <c r="D635" s="12" t="n"/>
      <c r="E635" s="12" t="n"/>
      <c r="F635" s="12" t="n"/>
    </row>
    <row r="636">
      <c r="A636" s="10" t="n"/>
      <c r="B636" s="11" t="n"/>
      <c r="C636" s="11" t="n"/>
      <c r="D636" s="12" t="n"/>
      <c r="E636" s="12" t="n"/>
      <c r="F636" s="12" t="n"/>
    </row>
    <row r="637">
      <c r="A637" s="10" t="n"/>
      <c r="B637" s="11" t="n"/>
      <c r="C637" s="11" t="n"/>
      <c r="D637" s="12" t="n"/>
      <c r="E637" s="12" t="n"/>
      <c r="F637" s="12" t="n"/>
    </row>
    <row r="638">
      <c r="A638" s="10" t="n"/>
      <c r="B638" s="11" t="n"/>
      <c r="C638" s="11" t="n"/>
      <c r="D638" s="12" t="n"/>
      <c r="E638" s="12" t="n"/>
      <c r="F638" s="12" t="n"/>
    </row>
    <row r="639">
      <c r="A639" s="10" t="n"/>
      <c r="B639" s="11" t="n"/>
      <c r="C639" s="11" t="n"/>
      <c r="D639" s="12" t="n"/>
      <c r="E639" s="12" t="n"/>
      <c r="F639" s="12" t="n"/>
    </row>
    <row r="640">
      <c r="A640" s="10" t="n"/>
      <c r="B640" s="11" t="n"/>
      <c r="C640" s="11" t="n"/>
      <c r="D640" s="12" t="n"/>
      <c r="E640" s="12" t="n"/>
      <c r="F640" s="12" t="n"/>
    </row>
    <row r="641">
      <c r="A641" s="10" t="n"/>
      <c r="B641" s="11" t="n"/>
      <c r="C641" s="11" t="n"/>
      <c r="D641" s="12" t="n"/>
      <c r="E641" s="12" t="n"/>
      <c r="F641" s="12" t="n"/>
    </row>
    <row r="642">
      <c r="A642" s="10" t="n"/>
      <c r="B642" s="11" t="n"/>
      <c r="C642" s="11" t="n"/>
      <c r="D642" s="12" t="n"/>
      <c r="E642" s="12" t="n"/>
      <c r="F642" s="12" t="n"/>
    </row>
    <row r="643">
      <c r="A643" s="10" t="n"/>
      <c r="B643" s="11" t="n"/>
      <c r="C643" s="11" t="n"/>
      <c r="D643" s="12" t="n"/>
      <c r="E643" s="12" t="n"/>
      <c r="F643" s="12" t="n"/>
    </row>
    <row r="644">
      <c r="A644" s="10" t="n"/>
      <c r="B644" s="11" t="n"/>
      <c r="C644" s="11" t="n"/>
      <c r="D644" s="12" t="n"/>
      <c r="E644" s="12" t="n"/>
      <c r="F644" s="12" t="n"/>
    </row>
    <row r="645">
      <c r="A645" s="10" t="n"/>
      <c r="B645" s="11" t="n"/>
      <c r="C645" s="11" t="n"/>
      <c r="D645" s="12" t="n"/>
      <c r="E645" s="12" t="n"/>
      <c r="F645" s="12" t="n"/>
    </row>
    <row r="646">
      <c r="A646" s="10" t="n"/>
      <c r="B646" s="11" t="n"/>
      <c r="C646" s="11" t="n"/>
      <c r="D646" s="12" t="n"/>
      <c r="E646" s="12" t="n"/>
      <c r="F646" s="12" t="n"/>
    </row>
    <row r="647">
      <c r="A647" s="10" t="n"/>
      <c r="B647" s="11" t="n"/>
      <c r="C647" s="11" t="n"/>
      <c r="D647" s="12" t="n"/>
      <c r="E647" s="12" t="n"/>
      <c r="F647" s="12" t="n"/>
    </row>
    <row r="648">
      <c r="A648" s="10" t="n"/>
      <c r="B648" s="11" t="n"/>
      <c r="C648" s="11" t="n"/>
      <c r="D648" s="12" t="n"/>
      <c r="E648" s="12" t="n"/>
      <c r="F648" s="12" t="n"/>
    </row>
    <row r="649">
      <c r="A649" s="10" t="n"/>
      <c r="B649" s="11" t="n"/>
      <c r="C649" s="11" t="n"/>
      <c r="D649" s="12" t="n"/>
      <c r="E649" s="12" t="n"/>
      <c r="F649" s="12" t="n"/>
    </row>
    <row r="650">
      <c r="A650" s="10" t="n"/>
      <c r="B650" s="11" t="n"/>
      <c r="C650" s="11" t="n"/>
      <c r="D650" s="12" t="n"/>
      <c r="E650" s="12" t="n"/>
      <c r="F650" s="12" t="n"/>
    </row>
    <row r="651">
      <c r="A651" s="10" t="n"/>
      <c r="B651" s="11" t="n"/>
      <c r="C651" s="11" t="n"/>
      <c r="D651" s="12" t="n"/>
      <c r="E651" s="12" t="n"/>
      <c r="F651" s="12" t="n"/>
    </row>
    <row r="652">
      <c r="A652" s="10" t="n"/>
      <c r="B652" s="11" t="n"/>
      <c r="C652" s="11" t="n"/>
      <c r="D652" s="12" t="n"/>
      <c r="E652" s="12" t="n"/>
      <c r="F652" s="12" t="n"/>
    </row>
    <row r="653">
      <c r="A653" s="10" t="n"/>
      <c r="B653" s="11" t="n"/>
      <c r="C653" s="11" t="n"/>
      <c r="D653" s="12" t="n"/>
      <c r="E653" s="12" t="n"/>
      <c r="F653" s="12" t="n"/>
    </row>
    <row r="654">
      <c r="A654" s="10" t="n"/>
      <c r="B654" s="11" t="n"/>
      <c r="C654" s="11" t="n"/>
      <c r="D654" s="12" t="n"/>
      <c r="E654" s="12" t="n"/>
      <c r="F654" s="12" t="n"/>
    </row>
    <row r="655">
      <c r="A655" s="10" t="n"/>
      <c r="B655" s="11" t="n"/>
      <c r="C655" s="11" t="n"/>
      <c r="D655" s="12" t="n"/>
      <c r="E655" s="12" t="n"/>
      <c r="F655" s="12" t="n"/>
    </row>
    <row r="656">
      <c r="A656" s="10" t="n"/>
      <c r="B656" s="11" t="n"/>
      <c r="C656" s="11" t="n"/>
      <c r="D656" s="12" t="n"/>
      <c r="E656" s="12" t="n"/>
      <c r="F656" s="12" t="n"/>
    </row>
    <row r="657">
      <c r="A657" s="10" t="n"/>
      <c r="B657" s="11" t="n"/>
      <c r="C657" s="11" t="n"/>
      <c r="D657" s="12" t="n"/>
      <c r="E657" s="12" t="n"/>
      <c r="F657" s="12" t="n"/>
    </row>
    <row r="658">
      <c r="A658" s="10" t="n"/>
      <c r="B658" s="11" t="n"/>
      <c r="C658" s="11" t="n"/>
      <c r="D658" s="12" t="n"/>
      <c r="E658" s="12" t="n"/>
      <c r="F658" s="12" t="n"/>
    </row>
    <row r="659">
      <c r="A659" s="10" t="n"/>
      <c r="B659" s="11" t="n"/>
      <c r="C659" s="11" t="n"/>
      <c r="D659" s="12" t="n"/>
      <c r="E659" s="12" t="n"/>
      <c r="F659" s="12" t="n"/>
    </row>
    <row r="660">
      <c r="A660" s="10" t="n"/>
      <c r="B660" s="11" t="n"/>
      <c r="C660" s="11" t="n"/>
      <c r="D660" s="12" t="n"/>
      <c r="E660" s="12" t="n"/>
      <c r="F660" s="12" t="n"/>
    </row>
    <row r="661">
      <c r="A661" s="10" t="n"/>
      <c r="B661" s="11" t="n"/>
      <c r="C661" s="11" t="n"/>
      <c r="D661" s="12" t="n"/>
      <c r="E661" s="12" t="n"/>
      <c r="F661" s="12" t="n"/>
    </row>
    <row r="662">
      <c r="A662" s="10" t="n"/>
      <c r="B662" s="11" t="n"/>
      <c r="C662" s="11" t="n"/>
      <c r="D662" s="12" t="n"/>
      <c r="E662" s="12" t="n"/>
      <c r="F662" s="12" t="n"/>
    </row>
    <row r="663">
      <c r="A663" s="10" t="n"/>
      <c r="B663" s="11" t="n"/>
      <c r="C663" s="11" t="n"/>
      <c r="D663" s="12" t="n"/>
      <c r="E663" s="12" t="n"/>
      <c r="F663" s="12" t="n"/>
    </row>
    <row r="664">
      <c r="A664" s="10" t="n"/>
      <c r="B664" s="11" t="n"/>
      <c r="C664" s="11" t="n"/>
      <c r="D664" s="12" t="n"/>
      <c r="E664" s="12" t="n"/>
      <c r="F664" s="12" t="n"/>
    </row>
    <row r="665">
      <c r="A665" s="10" t="n"/>
      <c r="B665" s="11" t="n"/>
      <c r="C665" s="11" t="n"/>
      <c r="D665" s="12" t="n"/>
      <c r="E665" s="12" t="n"/>
      <c r="F665" s="12" t="n"/>
    </row>
    <row r="666">
      <c r="A666" s="10" t="n"/>
      <c r="B666" s="11" t="n"/>
      <c r="C666" s="11" t="n"/>
      <c r="D666" s="12" t="n"/>
      <c r="E666" s="12" t="n"/>
      <c r="F666" s="12" t="n"/>
    </row>
    <row r="667">
      <c r="A667" s="10" t="n"/>
      <c r="B667" s="11" t="n"/>
      <c r="C667" s="11" t="n"/>
      <c r="D667" s="12" t="n"/>
      <c r="E667" s="12" t="n"/>
      <c r="F667" s="12" t="n"/>
    </row>
    <row r="668">
      <c r="A668" s="10" t="n"/>
      <c r="B668" s="11" t="n"/>
      <c r="C668" s="11" t="n"/>
      <c r="D668" s="12" t="n"/>
      <c r="E668" s="12" t="n"/>
      <c r="F668" s="12" t="n"/>
    </row>
    <row r="669">
      <c r="A669" s="10" t="n"/>
      <c r="B669" s="11" t="n"/>
      <c r="C669" s="11" t="n"/>
      <c r="D669" s="12" t="n"/>
      <c r="E669" s="12" t="n"/>
      <c r="F669" s="12" t="n"/>
    </row>
    <row r="670">
      <c r="A670" s="10" t="n"/>
      <c r="B670" s="11" t="n"/>
      <c r="C670" s="11" t="n"/>
      <c r="D670" s="12" t="n"/>
      <c r="E670" s="12" t="n"/>
      <c r="F670" s="12" t="n"/>
    </row>
    <row r="671">
      <c r="A671" s="10" t="n"/>
      <c r="B671" s="11" t="n"/>
      <c r="C671" s="11" t="n"/>
      <c r="D671" s="12" t="n"/>
      <c r="E671" s="12" t="n"/>
      <c r="F671" s="12" t="n"/>
    </row>
    <row r="672">
      <c r="A672" s="10" t="n"/>
      <c r="B672" s="11" t="n"/>
      <c r="C672" s="11" t="n"/>
      <c r="D672" s="12" t="n"/>
      <c r="E672" s="12" t="n"/>
      <c r="F672" s="12" t="n"/>
    </row>
    <row r="673">
      <c r="A673" s="10" t="n"/>
      <c r="B673" s="11" t="n"/>
      <c r="C673" s="11" t="n"/>
      <c r="D673" s="12" t="n"/>
      <c r="E673" s="12" t="n"/>
      <c r="F673" s="12" t="n"/>
    </row>
    <row r="674">
      <c r="A674" s="10" t="n"/>
      <c r="B674" s="11" t="n"/>
      <c r="C674" s="11" t="n"/>
      <c r="D674" s="12" t="n"/>
      <c r="E674" s="12" t="n"/>
      <c r="F674" s="12" t="n"/>
    </row>
    <row r="675">
      <c r="A675" s="10" t="n"/>
      <c r="B675" s="11" t="n"/>
      <c r="C675" s="11" t="n"/>
      <c r="D675" s="12" t="n"/>
      <c r="E675" s="12" t="n"/>
      <c r="F675" s="12" t="n"/>
    </row>
    <row r="676">
      <c r="A676" s="10" t="n"/>
      <c r="B676" s="11" t="n"/>
      <c r="C676" s="11" t="n"/>
      <c r="D676" s="12" t="n"/>
      <c r="E676" s="12" t="n"/>
      <c r="F676" s="12" t="n"/>
    </row>
    <row r="677">
      <c r="A677" s="10" t="n"/>
      <c r="B677" s="11" t="n"/>
      <c r="C677" s="11" t="n"/>
      <c r="D677" s="12" t="n"/>
      <c r="E677" s="12" t="n"/>
      <c r="F677" s="12" t="n"/>
    </row>
    <row r="678">
      <c r="A678" s="10" t="n"/>
      <c r="B678" s="11" t="n"/>
      <c r="C678" s="11" t="n"/>
      <c r="D678" s="12" t="n"/>
      <c r="E678" s="12" t="n"/>
      <c r="F678" s="12" t="n"/>
    </row>
    <row r="679">
      <c r="A679" s="10" t="n"/>
      <c r="B679" s="11" t="n"/>
      <c r="C679" s="11" t="n"/>
      <c r="D679" s="12" t="n"/>
      <c r="E679" s="12" t="n"/>
      <c r="F679" s="12" t="n"/>
    </row>
    <row r="680">
      <c r="A680" s="10" t="n"/>
      <c r="B680" s="11" t="n"/>
      <c r="C680" s="11" t="n"/>
      <c r="D680" s="12" t="n"/>
      <c r="E680" s="12" t="n"/>
      <c r="F680" s="12" t="n"/>
    </row>
    <row r="681">
      <c r="A681" s="10" t="n"/>
      <c r="B681" s="11" t="n"/>
      <c r="C681" s="11" t="n"/>
      <c r="D681" s="12" t="n"/>
      <c r="E681" s="12" t="n"/>
      <c r="F681" s="12" t="n"/>
    </row>
    <row r="682">
      <c r="A682" s="10" t="n"/>
      <c r="B682" s="11" t="n"/>
      <c r="C682" s="11" t="n"/>
      <c r="D682" s="12" t="n"/>
      <c r="E682" s="12" t="n"/>
      <c r="F682" s="12" t="n"/>
    </row>
    <row r="683">
      <c r="A683" s="10" t="n"/>
      <c r="B683" s="11" t="n"/>
      <c r="C683" s="11" t="n"/>
      <c r="D683" s="12" t="n"/>
      <c r="E683" s="12" t="n"/>
      <c r="F683" s="12" t="n"/>
    </row>
    <row r="684">
      <c r="A684" s="10" t="n"/>
      <c r="B684" s="11" t="n"/>
      <c r="C684" s="11" t="n"/>
      <c r="D684" s="12" t="n"/>
      <c r="E684" s="12" t="n"/>
      <c r="F684" s="12" t="n"/>
    </row>
    <row r="685">
      <c r="A685" s="10" t="n"/>
      <c r="B685" s="11" t="n"/>
      <c r="C685" s="11" t="n"/>
      <c r="D685" s="12" t="n"/>
      <c r="E685" s="12" t="n"/>
      <c r="F685" s="12" t="n"/>
    </row>
    <row r="686">
      <c r="A686" s="10" t="n"/>
      <c r="B686" s="11" t="n"/>
      <c r="C686" s="11" t="n"/>
      <c r="D686" s="12" t="n"/>
      <c r="E686" s="12" t="n"/>
      <c r="F686" s="12" t="n"/>
    </row>
    <row r="687">
      <c r="A687" s="10" t="n"/>
      <c r="B687" s="11" t="n"/>
      <c r="C687" s="11" t="n"/>
      <c r="D687" s="12" t="n"/>
      <c r="E687" s="12" t="n"/>
      <c r="F687" s="12" t="n"/>
    </row>
    <row r="688">
      <c r="A688" s="10" t="n"/>
      <c r="B688" s="11" t="n"/>
      <c r="C688" s="11" t="n"/>
      <c r="D688" s="12" t="n"/>
      <c r="E688" s="12" t="n"/>
      <c r="F688" s="12" t="n"/>
    </row>
    <row r="689">
      <c r="A689" s="10" t="n"/>
      <c r="B689" s="11" t="n"/>
      <c r="C689" s="11" t="n"/>
      <c r="D689" s="12" t="n"/>
      <c r="E689" s="12" t="n"/>
      <c r="F689" s="12" t="n"/>
    </row>
    <row r="690">
      <c r="A690" s="10" t="n"/>
      <c r="B690" s="11" t="n"/>
      <c r="C690" s="11" t="n"/>
      <c r="D690" s="12" t="n"/>
      <c r="E690" s="12" t="n"/>
      <c r="F690" s="12" t="n"/>
    </row>
    <row r="691">
      <c r="A691" s="10" t="n"/>
      <c r="B691" s="11" t="n"/>
      <c r="C691" s="11" t="n"/>
      <c r="D691" s="12" t="n"/>
      <c r="E691" s="12" t="n"/>
      <c r="F691" s="12" t="n"/>
    </row>
    <row r="692">
      <c r="A692" s="10" t="n"/>
      <c r="B692" s="11" t="n"/>
      <c r="C692" s="11" t="n"/>
      <c r="D692" s="12" t="n"/>
      <c r="E692" s="12" t="n"/>
      <c r="F692" s="12" t="n"/>
    </row>
    <row r="693">
      <c r="A693" s="10" t="n"/>
      <c r="B693" s="11" t="n"/>
      <c r="C693" s="11" t="n"/>
      <c r="D693" s="12" t="n"/>
      <c r="E693" s="12" t="n"/>
      <c r="F693" s="12" t="n"/>
    </row>
    <row r="694">
      <c r="A694" s="10" t="n"/>
      <c r="B694" s="11" t="n"/>
      <c r="C694" s="11" t="n"/>
      <c r="D694" s="12" t="n"/>
      <c r="E694" s="12" t="n"/>
      <c r="F694" s="12" t="n"/>
    </row>
    <row r="695">
      <c r="A695" s="10" t="n"/>
      <c r="B695" s="11" t="n"/>
      <c r="C695" s="11" t="n"/>
      <c r="D695" s="12" t="n"/>
      <c r="E695" s="12" t="n"/>
      <c r="F695" s="12" t="n"/>
    </row>
    <row r="696">
      <c r="A696" s="10" t="n"/>
      <c r="B696" s="11" t="n"/>
      <c r="C696" s="11" t="n"/>
      <c r="D696" s="12" t="n"/>
      <c r="E696" s="12" t="n"/>
      <c r="F696" s="12" t="n"/>
    </row>
    <row r="697">
      <c r="A697" s="10" t="n"/>
      <c r="B697" s="11" t="n"/>
      <c r="C697" s="11" t="n"/>
      <c r="D697" s="12" t="n"/>
      <c r="E697" s="12" t="n"/>
      <c r="F697" s="12" t="n"/>
    </row>
    <row r="698">
      <c r="A698" s="10" t="n"/>
      <c r="B698" s="11" t="n"/>
      <c r="C698" s="11" t="n"/>
      <c r="D698" s="12" t="n"/>
      <c r="E698" s="12" t="n"/>
      <c r="F698" s="12" t="n"/>
    </row>
    <row r="699">
      <c r="A699" s="10" t="n"/>
      <c r="B699" s="11" t="n"/>
      <c r="C699" s="11" t="n"/>
      <c r="D699" s="12" t="n"/>
      <c r="E699" s="12" t="n"/>
      <c r="F699" s="12" t="n"/>
    </row>
    <row r="700">
      <c r="A700" s="10" t="n"/>
      <c r="B700" s="11" t="n"/>
      <c r="C700" s="11" t="n"/>
      <c r="D700" s="12" t="n"/>
      <c r="E700" s="12" t="n"/>
      <c r="F700" s="12" t="n"/>
    </row>
    <row r="701">
      <c r="A701" s="10" t="n"/>
      <c r="B701" s="11" t="n"/>
      <c r="C701" s="11" t="n"/>
      <c r="D701" s="12" t="n"/>
      <c r="E701" s="12" t="n"/>
      <c r="F701" s="12" t="n"/>
    </row>
    <row r="702">
      <c r="A702" s="10" t="n"/>
      <c r="B702" s="11" t="n"/>
      <c r="C702" s="11" t="n"/>
      <c r="D702" s="12" t="n"/>
      <c r="E702" s="12" t="n"/>
      <c r="F702" s="12" t="n"/>
    </row>
    <row r="703">
      <c r="A703" s="10" t="n"/>
      <c r="B703" s="11" t="n"/>
      <c r="C703" s="11" t="n"/>
      <c r="D703" s="12" t="n"/>
      <c r="E703" s="12" t="n"/>
      <c r="F703" s="12" t="n"/>
    </row>
    <row r="704">
      <c r="A704" s="10" t="n"/>
      <c r="B704" s="11" t="n"/>
      <c r="C704" s="11" t="n"/>
      <c r="D704" s="12" t="n"/>
      <c r="E704" s="12" t="n"/>
      <c r="F704" s="12" t="n"/>
    </row>
    <row r="705">
      <c r="A705" s="10" t="n"/>
      <c r="B705" s="11" t="n"/>
      <c r="C705" s="11" t="n"/>
      <c r="D705" s="12" t="n"/>
      <c r="E705" s="12" t="n"/>
      <c r="F705" s="12" t="n"/>
    </row>
    <row r="706">
      <c r="A706" s="10" t="n"/>
      <c r="B706" s="11" t="n"/>
      <c r="C706" s="11" t="n"/>
      <c r="D706" s="12" t="n"/>
      <c r="E706" s="12" t="n"/>
      <c r="F706" s="12" t="n"/>
    </row>
    <row r="707">
      <c r="A707" s="10" t="n"/>
      <c r="B707" s="11" t="n"/>
      <c r="C707" s="11" t="n"/>
      <c r="D707" s="12" t="n"/>
      <c r="E707" s="12" t="n"/>
      <c r="F707" s="12" t="n"/>
    </row>
    <row r="708">
      <c r="A708" s="10" t="n"/>
      <c r="B708" s="11" t="n"/>
      <c r="C708" s="11" t="n"/>
      <c r="D708" s="12" t="n"/>
      <c r="E708" s="12" t="n"/>
      <c r="F708" s="12" t="n"/>
    </row>
    <row r="709">
      <c r="A709" s="10" t="n"/>
      <c r="B709" s="11" t="n"/>
      <c r="C709" s="11" t="n"/>
      <c r="D709" s="12" t="n"/>
      <c r="E709" s="12" t="n"/>
      <c r="F709" s="12" t="n"/>
    </row>
    <row r="710">
      <c r="A710" s="10" t="n"/>
      <c r="B710" s="11" t="n"/>
      <c r="C710" s="11" t="n"/>
      <c r="D710" s="12" t="n"/>
      <c r="E710" s="12" t="n"/>
      <c r="F710" s="12" t="n"/>
    </row>
    <row r="711">
      <c r="A711" s="10" t="n"/>
      <c r="B711" s="11" t="n"/>
      <c r="C711" s="11" t="n"/>
      <c r="D711" s="12" t="n"/>
      <c r="E711" s="12" t="n"/>
      <c r="F711" s="12" t="n"/>
    </row>
    <row r="712">
      <c r="A712" s="10" t="n"/>
      <c r="B712" s="11" t="n"/>
      <c r="C712" s="11" t="n"/>
      <c r="D712" s="12" t="n"/>
      <c r="E712" s="12" t="n"/>
      <c r="F712" s="12" t="n"/>
    </row>
    <row r="713">
      <c r="A713" s="10" t="n"/>
      <c r="B713" s="11" t="n"/>
      <c r="C713" s="11" t="n"/>
      <c r="D713" s="12" t="n"/>
      <c r="E713" s="12" t="n"/>
      <c r="F713" s="12" t="n"/>
    </row>
    <row r="714">
      <c r="A714" s="10" t="n"/>
      <c r="B714" s="11" t="n"/>
      <c r="C714" s="11" t="n"/>
      <c r="D714" s="12" t="n"/>
      <c r="E714" s="12" t="n"/>
      <c r="F714" s="12" t="n"/>
    </row>
    <row r="715">
      <c r="A715" s="10" t="n"/>
      <c r="B715" s="11" t="n"/>
      <c r="C715" s="11" t="n"/>
      <c r="D715" s="12" t="n"/>
      <c r="E715" s="12" t="n"/>
      <c r="F715" s="12" t="n"/>
    </row>
    <row r="716">
      <c r="A716" s="10" t="n"/>
      <c r="B716" s="11" t="n"/>
      <c r="C716" s="11" t="n"/>
      <c r="D716" s="12" t="n"/>
      <c r="E716" s="12" t="n"/>
      <c r="F716" s="12" t="n"/>
    </row>
    <row r="717">
      <c r="A717" s="10" t="n"/>
      <c r="B717" s="11" t="n"/>
      <c r="C717" s="11" t="n"/>
      <c r="D717" s="12" t="n"/>
      <c r="E717" s="12" t="n"/>
      <c r="F717" s="12" t="n"/>
    </row>
    <row r="718">
      <c r="A718" s="10" t="n"/>
      <c r="B718" s="11" t="n"/>
      <c r="C718" s="11" t="n"/>
      <c r="D718" s="12" t="n"/>
      <c r="E718" s="12" t="n"/>
      <c r="F718" s="12" t="n"/>
    </row>
    <row r="719">
      <c r="A719" s="10" t="n"/>
      <c r="B719" s="11" t="n"/>
      <c r="C719" s="11" t="n"/>
      <c r="D719" s="12" t="n"/>
      <c r="E719" s="12" t="n"/>
      <c r="F719" s="12" t="n"/>
    </row>
    <row r="720">
      <c r="A720" s="10" t="n"/>
      <c r="B720" s="11" t="n"/>
      <c r="C720" s="11" t="n"/>
      <c r="D720" s="12" t="n"/>
      <c r="E720" s="12" t="n"/>
      <c r="F720" s="12" t="n"/>
    </row>
    <row r="721">
      <c r="A721" s="10" t="n"/>
      <c r="B721" s="11" t="n"/>
      <c r="C721" s="11" t="n"/>
      <c r="D721" s="12" t="n"/>
      <c r="E721" s="12" t="n"/>
      <c r="F721" s="12" t="n"/>
    </row>
    <row r="722">
      <c r="A722" s="10" t="n"/>
      <c r="B722" s="11" t="n"/>
      <c r="C722" s="11" t="n"/>
      <c r="D722" s="12" t="n"/>
      <c r="E722" s="12" t="n"/>
      <c r="F722" s="12" t="n"/>
    </row>
    <row r="723">
      <c r="A723" s="10" t="n"/>
      <c r="B723" s="11" t="n"/>
      <c r="C723" s="11" t="n"/>
      <c r="D723" s="12" t="n"/>
      <c r="E723" s="12" t="n"/>
      <c r="F723" s="12" t="n"/>
    </row>
    <row r="724">
      <c r="A724" s="10" t="n"/>
      <c r="B724" s="11" t="n"/>
      <c r="C724" s="11" t="n"/>
      <c r="D724" s="12" t="n"/>
      <c r="E724" s="12" t="n"/>
      <c r="F724" s="12" t="n"/>
    </row>
    <row r="725">
      <c r="A725" s="10" t="n"/>
      <c r="B725" s="11" t="n"/>
      <c r="C725" s="11" t="n"/>
      <c r="D725" s="12" t="n"/>
      <c r="E725" s="12" t="n"/>
      <c r="F725" s="12" t="n"/>
    </row>
    <row r="726">
      <c r="A726" s="10" t="n"/>
      <c r="B726" s="11" t="n"/>
      <c r="C726" s="11" t="n"/>
      <c r="D726" s="12" t="n"/>
      <c r="E726" s="12" t="n"/>
      <c r="F726" s="12" t="n"/>
    </row>
    <row r="727">
      <c r="A727" s="10" t="n"/>
      <c r="B727" s="11" t="n"/>
      <c r="C727" s="11" t="n"/>
      <c r="D727" s="12" t="n"/>
      <c r="E727" s="12" t="n"/>
      <c r="F727" s="12" t="n"/>
    </row>
    <row r="728">
      <c r="A728" s="10" t="n"/>
      <c r="B728" s="11" t="n"/>
      <c r="C728" s="11" t="n"/>
      <c r="D728" s="12" t="n"/>
      <c r="E728" s="12" t="n"/>
      <c r="F728" s="12" t="n"/>
    </row>
    <row r="729">
      <c r="A729" s="10" t="n"/>
      <c r="B729" s="11" t="n"/>
      <c r="C729" s="11" t="n"/>
      <c r="D729" s="12" t="n"/>
      <c r="E729" s="12" t="n"/>
      <c r="F729" s="12" t="n"/>
    </row>
    <row r="730">
      <c r="A730" s="10" t="n"/>
      <c r="B730" s="11" t="n"/>
      <c r="C730" s="11" t="n"/>
      <c r="D730" s="12" t="n"/>
      <c r="E730" s="12" t="n"/>
      <c r="F730" s="12" t="n"/>
    </row>
    <row r="731">
      <c r="A731" s="10" t="n"/>
      <c r="B731" s="11" t="n"/>
      <c r="C731" s="11" t="n"/>
      <c r="D731" s="12" t="n"/>
      <c r="E731" s="12" t="n"/>
      <c r="F731" s="12" t="n"/>
    </row>
    <row r="732">
      <c r="A732" s="10" t="n"/>
      <c r="B732" s="11" t="n"/>
      <c r="C732" s="11" t="n"/>
      <c r="D732" s="12" t="n"/>
      <c r="E732" s="12" t="n"/>
      <c r="F732" s="12" t="n"/>
    </row>
    <row r="733">
      <c r="A733" s="10" t="n"/>
      <c r="B733" s="11" t="n"/>
      <c r="C733" s="11" t="n"/>
      <c r="D733" s="12" t="n"/>
      <c r="E733" s="12" t="n"/>
      <c r="F733" s="12" t="n"/>
    </row>
    <row r="734">
      <c r="A734" s="10" t="n"/>
      <c r="B734" s="11" t="n"/>
      <c r="C734" s="11" t="n"/>
      <c r="D734" s="12" t="n"/>
      <c r="E734" s="12" t="n"/>
      <c r="F734" s="12" t="n"/>
    </row>
    <row r="735">
      <c r="A735" s="10" t="n"/>
      <c r="B735" s="11" t="n"/>
      <c r="C735" s="11" t="n"/>
      <c r="D735" s="12" t="n"/>
      <c r="E735" s="12" t="n"/>
      <c r="F735" s="12" t="n"/>
    </row>
    <row r="736">
      <c r="A736" s="10" t="n"/>
      <c r="B736" s="11" t="n"/>
      <c r="C736" s="11" t="n"/>
      <c r="D736" s="12" t="n"/>
      <c r="E736" s="12" t="n"/>
      <c r="F736" s="12" t="n"/>
    </row>
    <row r="737">
      <c r="A737" s="10" t="n"/>
      <c r="B737" s="11" t="n"/>
      <c r="C737" s="11" t="n"/>
      <c r="D737" s="12" t="n"/>
      <c r="E737" s="12" t="n"/>
      <c r="F737" s="12" t="n"/>
    </row>
    <row r="738">
      <c r="A738" s="10" t="n"/>
      <c r="B738" s="11" t="n"/>
      <c r="C738" s="11" t="n"/>
      <c r="D738" s="12" t="n"/>
      <c r="E738" s="12" t="n"/>
      <c r="F738" s="12" t="n"/>
    </row>
    <row r="739">
      <c r="A739" s="10" t="n"/>
      <c r="B739" s="11" t="n"/>
      <c r="C739" s="11" t="n"/>
      <c r="D739" s="12" t="n"/>
      <c r="E739" s="12" t="n"/>
      <c r="F739" s="12" t="n"/>
    </row>
    <row r="740">
      <c r="A740" s="10" t="n"/>
      <c r="B740" s="11" t="n"/>
      <c r="C740" s="11" t="n"/>
      <c r="D740" s="12" t="n"/>
      <c r="E740" s="12" t="n"/>
      <c r="F740" s="12" t="n"/>
    </row>
    <row r="741">
      <c r="A741" s="10" t="n"/>
      <c r="B741" s="11" t="n"/>
      <c r="C741" s="11" t="n"/>
      <c r="D741" s="12" t="n"/>
      <c r="E741" s="12" t="n"/>
      <c r="F741" s="12" t="n"/>
    </row>
    <row r="742">
      <c r="A742" s="10" t="n"/>
      <c r="B742" s="11" t="n"/>
      <c r="C742" s="11" t="n"/>
      <c r="D742" s="12" t="n"/>
      <c r="E742" s="12" t="n"/>
      <c r="F742" s="12" t="n"/>
    </row>
    <row r="743">
      <c r="A743" s="10" t="n"/>
      <c r="B743" s="11" t="n"/>
      <c r="C743" s="11" t="n"/>
      <c r="D743" s="12" t="n"/>
      <c r="E743" s="12" t="n"/>
      <c r="F743" s="12" t="n"/>
    </row>
    <row r="744">
      <c r="A744" s="10" t="n"/>
      <c r="B744" s="11" t="n"/>
      <c r="C744" s="11" t="n"/>
      <c r="D744" s="12" t="n"/>
      <c r="E744" s="12" t="n"/>
      <c r="F744" s="12" t="n"/>
    </row>
    <row r="745">
      <c r="A745" s="10" t="n"/>
      <c r="B745" s="11" t="n"/>
      <c r="C745" s="11" t="n"/>
      <c r="D745" s="12" t="n"/>
      <c r="E745" s="12" t="n"/>
      <c r="F745" s="12" t="n"/>
    </row>
    <row r="746">
      <c r="A746" s="10" t="n"/>
      <c r="B746" s="11" t="n"/>
      <c r="C746" s="11" t="n"/>
      <c r="D746" s="12" t="n"/>
      <c r="E746" s="12" t="n"/>
      <c r="F746" s="12" t="n"/>
    </row>
    <row r="747">
      <c r="A747" s="10" t="n"/>
      <c r="B747" s="11" t="n"/>
      <c r="C747" s="11" t="n"/>
      <c r="D747" s="12" t="n"/>
      <c r="E747" s="12" t="n"/>
      <c r="F747" s="12" t="n"/>
    </row>
    <row r="748">
      <c r="A748" s="10" t="n"/>
      <c r="B748" s="11" t="n"/>
      <c r="C748" s="11" t="n"/>
      <c r="D748" s="12" t="n"/>
      <c r="E748" s="12" t="n"/>
      <c r="F748" s="12" t="n"/>
    </row>
    <row r="749">
      <c r="A749" s="10" t="n"/>
      <c r="B749" s="11" t="n"/>
      <c r="C749" s="11" t="n"/>
      <c r="D749" s="12" t="n"/>
      <c r="E749" s="12" t="n"/>
      <c r="F749" s="12" t="n"/>
    </row>
    <row r="750">
      <c r="A750" s="10" t="n"/>
      <c r="B750" s="11" t="n"/>
      <c r="C750" s="11" t="n"/>
      <c r="D750" s="12" t="n"/>
      <c r="E750" s="12" t="n"/>
      <c r="F750" s="12" t="n"/>
    </row>
    <row r="751">
      <c r="A751" s="10" t="n"/>
      <c r="B751" s="11" t="n"/>
      <c r="C751" s="11" t="n"/>
      <c r="D751" s="12" t="n"/>
      <c r="E751" s="12" t="n"/>
      <c r="F751" s="12" t="n"/>
    </row>
    <row r="752">
      <c r="A752" s="10" t="n"/>
      <c r="B752" s="11" t="n"/>
      <c r="C752" s="11" t="n"/>
      <c r="D752" s="12" t="n"/>
      <c r="E752" s="12" t="n"/>
      <c r="F752" s="12" t="n"/>
    </row>
    <row r="753">
      <c r="A753" s="10" t="n"/>
      <c r="B753" s="11" t="n"/>
      <c r="C753" s="11" t="n"/>
      <c r="D753" s="12" t="n"/>
      <c r="E753" s="12" t="n"/>
      <c r="F753" s="12" t="n"/>
    </row>
    <row r="754">
      <c r="A754" s="10" t="n"/>
      <c r="B754" s="11" t="n"/>
      <c r="C754" s="11" t="n"/>
      <c r="D754" s="12" t="n"/>
      <c r="E754" s="12" t="n"/>
      <c r="F754" s="12" t="n"/>
    </row>
    <row r="755">
      <c r="A755" s="10" t="n"/>
      <c r="B755" s="11" t="n"/>
      <c r="C755" s="11" t="n"/>
      <c r="D755" s="12" t="n"/>
      <c r="E755" s="12" t="n"/>
      <c r="F755" s="12" t="n"/>
    </row>
    <row r="756">
      <c r="A756" s="10" t="n"/>
      <c r="B756" s="11" t="n"/>
      <c r="C756" s="11" t="n"/>
      <c r="D756" s="12" t="n"/>
      <c r="E756" s="12" t="n"/>
      <c r="F756" s="12" t="n"/>
    </row>
    <row r="757">
      <c r="A757" s="10" t="n"/>
      <c r="B757" s="11" t="n"/>
      <c r="C757" s="11" t="n"/>
      <c r="D757" s="12" t="n"/>
      <c r="E757" s="12" t="n"/>
      <c r="F757" s="12" t="n"/>
    </row>
    <row r="758">
      <c r="A758" s="10" t="n"/>
      <c r="B758" s="11" t="n"/>
      <c r="C758" s="11" t="n"/>
      <c r="D758" s="12" t="n"/>
      <c r="E758" s="12" t="n"/>
      <c r="F758" s="12" t="n"/>
    </row>
    <row r="759">
      <c r="A759" s="10" t="n"/>
      <c r="B759" s="11" t="n"/>
      <c r="C759" s="11" t="n"/>
      <c r="D759" s="12" t="n"/>
      <c r="E759" s="12" t="n"/>
      <c r="F759" s="12" t="n"/>
    </row>
    <row r="760">
      <c r="A760" s="10" t="n"/>
      <c r="B760" s="11" t="n"/>
      <c r="C760" s="11" t="n"/>
      <c r="D760" s="12" t="n"/>
      <c r="E760" s="12" t="n"/>
      <c r="F760" s="12" t="n"/>
    </row>
    <row r="761">
      <c r="A761" s="10" t="n"/>
      <c r="B761" s="11" t="n"/>
      <c r="C761" s="11" t="n"/>
      <c r="D761" s="12" t="n"/>
      <c r="E761" s="12" t="n"/>
      <c r="F761" s="12" t="n"/>
    </row>
    <row r="762">
      <c r="A762" s="10" t="n"/>
      <c r="B762" s="11" t="n"/>
      <c r="C762" s="11" t="n"/>
      <c r="D762" s="12" t="n"/>
      <c r="E762" s="12" t="n"/>
      <c r="F762" s="12" t="n"/>
    </row>
    <row r="763">
      <c r="A763" s="10" t="n"/>
      <c r="B763" s="11" t="n"/>
      <c r="C763" s="11" t="n"/>
      <c r="D763" s="12" t="n"/>
      <c r="E763" s="12" t="n"/>
      <c r="F763" s="12" t="n"/>
    </row>
    <row r="764">
      <c r="A764" s="10" t="n"/>
      <c r="B764" s="11" t="n"/>
      <c r="C764" s="11" t="n"/>
      <c r="D764" s="12" t="n"/>
      <c r="E764" s="12" t="n"/>
      <c r="F764" s="12" t="n"/>
    </row>
    <row r="765">
      <c r="A765" s="10" t="n"/>
      <c r="B765" s="11" t="n"/>
      <c r="C765" s="11" t="n"/>
      <c r="D765" s="12" t="n"/>
      <c r="E765" s="12" t="n"/>
      <c r="F765" s="12" t="n"/>
    </row>
    <row r="766">
      <c r="A766" s="10" t="n"/>
      <c r="B766" s="11" t="n"/>
      <c r="C766" s="11" t="n"/>
      <c r="D766" s="12" t="n"/>
      <c r="E766" s="12" t="n"/>
      <c r="F766" s="12" t="n"/>
    </row>
    <row r="767">
      <c r="A767" s="10" t="n"/>
      <c r="B767" s="11" t="n"/>
      <c r="C767" s="11" t="n"/>
      <c r="D767" s="12" t="n"/>
      <c r="E767" s="12" t="n"/>
      <c r="F767" s="12" t="n"/>
    </row>
    <row r="768">
      <c r="A768" s="10" t="n"/>
      <c r="B768" s="11" t="n"/>
      <c r="C768" s="11" t="n"/>
      <c r="D768" s="12" t="n"/>
      <c r="E768" s="12" t="n"/>
      <c r="F768" s="12" t="n"/>
    </row>
    <row r="769">
      <c r="A769" s="10" t="n"/>
      <c r="B769" s="11" t="n"/>
      <c r="C769" s="11" t="n"/>
      <c r="D769" s="12" t="n"/>
      <c r="E769" s="12" t="n"/>
      <c r="F769" s="12" t="n"/>
    </row>
    <row r="770">
      <c r="A770" s="10" t="n"/>
      <c r="B770" s="11" t="n"/>
      <c r="C770" s="11" t="n"/>
      <c r="D770" s="12" t="n"/>
      <c r="E770" s="12" t="n"/>
      <c r="F770" s="12" t="n"/>
    </row>
    <row r="771">
      <c r="A771" s="10" t="n"/>
      <c r="B771" s="11" t="n"/>
      <c r="C771" s="11" t="n"/>
      <c r="D771" s="12" t="n"/>
      <c r="E771" s="12" t="n"/>
      <c r="F771" s="12" t="n"/>
    </row>
    <row r="772">
      <c r="A772" s="10" t="n"/>
      <c r="B772" s="11" t="n"/>
      <c r="C772" s="11" t="n"/>
      <c r="D772" s="12" t="n"/>
      <c r="E772" s="12" t="n"/>
      <c r="F772" s="12" t="n"/>
    </row>
    <row r="773">
      <c r="A773" s="10" t="n"/>
      <c r="B773" s="11" t="n"/>
      <c r="C773" s="11" t="n"/>
      <c r="D773" s="12" t="n"/>
      <c r="E773" s="12" t="n"/>
      <c r="F773" s="12" t="n"/>
    </row>
    <row r="774">
      <c r="A774" s="10" t="n"/>
      <c r="B774" s="11" t="n"/>
      <c r="C774" s="11" t="n"/>
      <c r="D774" s="12" t="n"/>
      <c r="E774" s="12" t="n"/>
      <c r="F774" s="12" t="n"/>
    </row>
    <row r="775">
      <c r="A775" s="10" t="n"/>
      <c r="B775" s="11" t="n"/>
      <c r="C775" s="11" t="n"/>
      <c r="D775" s="12" t="n"/>
      <c r="E775" s="12" t="n"/>
      <c r="F775" s="12" t="n"/>
    </row>
    <row r="776">
      <c r="A776" s="10" t="n"/>
      <c r="B776" s="11" t="n"/>
      <c r="C776" s="11" t="n"/>
      <c r="D776" s="12" t="n"/>
      <c r="E776" s="12" t="n"/>
      <c r="F776" s="12" t="n"/>
    </row>
    <row r="777">
      <c r="A777" s="10" t="n"/>
      <c r="B777" s="11" t="n"/>
      <c r="C777" s="11" t="n"/>
      <c r="D777" s="12" t="n"/>
      <c r="E777" s="12" t="n"/>
      <c r="F777" s="12" t="n"/>
    </row>
    <row r="778">
      <c r="A778" s="10" t="n"/>
      <c r="B778" s="11" t="n"/>
      <c r="C778" s="11" t="n"/>
      <c r="D778" s="12" t="n"/>
      <c r="E778" s="12" t="n"/>
      <c r="F778" s="12" t="n"/>
    </row>
    <row r="779">
      <c r="A779" s="10" t="n"/>
      <c r="B779" s="11" t="n"/>
      <c r="C779" s="11" t="n"/>
      <c r="D779" s="12" t="n"/>
      <c r="E779" s="12" t="n"/>
      <c r="F779" s="12" t="n"/>
    </row>
    <row r="780">
      <c r="A780" s="10" t="n"/>
      <c r="B780" s="11" t="n"/>
      <c r="C780" s="11" t="n"/>
      <c r="D780" s="12" t="n"/>
      <c r="E780" s="12" t="n"/>
      <c r="F780" s="12" t="n"/>
    </row>
    <row r="781">
      <c r="A781" s="10" t="n"/>
      <c r="B781" s="11" t="n"/>
      <c r="C781" s="11" t="n"/>
      <c r="D781" s="12" t="n"/>
      <c r="E781" s="12" t="n"/>
      <c r="F781" s="12" t="n"/>
    </row>
    <row r="782">
      <c r="A782" s="10" t="n"/>
      <c r="B782" s="11" t="n"/>
      <c r="C782" s="11" t="n"/>
      <c r="D782" s="12" t="n"/>
      <c r="E782" s="12" t="n"/>
      <c r="F782" s="12" t="n"/>
    </row>
    <row r="783">
      <c r="A783" s="10" t="n"/>
      <c r="B783" s="11" t="n"/>
      <c r="C783" s="11" t="n"/>
      <c r="D783" s="12" t="n"/>
      <c r="E783" s="12" t="n"/>
      <c r="F783" s="12" t="n"/>
    </row>
    <row r="784">
      <c r="A784" s="10" t="n"/>
      <c r="B784" s="11" t="n"/>
      <c r="C784" s="11" t="n"/>
      <c r="D784" s="12" t="n"/>
      <c r="E784" s="12" t="n"/>
      <c r="F784" s="12" t="n"/>
    </row>
    <row r="785">
      <c r="A785" s="10" t="n"/>
      <c r="B785" s="11" t="n"/>
      <c r="C785" s="11" t="n"/>
      <c r="D785" s="12" t="n"/>
      <c r="E785" s="12" t="n"/>
      <c r="F785" s="12" t="n"/>
    </row>
    <row r="786">
      <c r="A786" s="10" t="n"/>
      <c r="B786" s="11" t="n"/>
      <c r="C786" s="11" t="n"/>
      <c r="D786" s="12" t="n"/>
      <c r="E786" s="12" t="n"/>
      <c r="F786" s="12" t="n"/>
    </row>
    <row r="787">
      <c r="A787" s="10" t="n"/>
      <c r="B787" s="11" t="n"/>
      <c r="C787" s="11" t="n"/>
      <c r="D787" s="12" t="n"/>
      <c r="E787" s="12" t="n"/>
      <c r="F787" s="12" t="n"/>
    </row>
    <row r="788">
      <c r="A788" s="10" t="n"/>
      <c r="B788" s="11" t="n"/>
      <c r="C788" s="11" t="n"/>
      <c r="D788" s="12" t="n"/>
      <c r="E788" s="12" t="n"/>
      <c r="F788" s="12" t="n"/>
    </row>
    <row r="789">
      <c r="A789" s="10" t="n"/>
      <c r="B789" s="11" t="n"/>
      <c r="C789" s="11" t="n"/>
      <c r="D789" s="12" t="n"/>
      <c r="E789" s="12" t="n"/>
      <c r="F789" s="12" t="n"/>
    </row>
    <row r="790">
      <c r="A790" s="10" t="n"/>
      <c r="B790" s="11" t="n"/>
      <c r="C790" s="11" t="n"/>
      <c r="D790" s="12" t="n"/>
      <c r="E790" s="12" t="n"/>
      <c r="F790" s="12" t="n"/>
    </row>
    <row r="791">
      <c r="A791" s="10" t="n"/>
      <c r="B791" s="11" t="n"/>
      <c r="C791" s="11" t="n"/>
      <c r="D791" s="12" t="n"/>
      <c r="E791" s="12" t="n"/>
      <c r="F791" s="12" t="n"/>
    </row>
    <row r="792">
      <c r="A792" s="10" t="n"/>
      <c r="B792" s="11" t="n"/>
      <c r="C792" s="11" t="n"/>
      <c r="D792" s="12" t="n"/>
      <c r="E792" s="12" t="n"/>
      <c r="F792" s="12" t="n"/>
    </row>
    <row r="793">
      <c r="A793" s="10" t="n"/>
      <c r="B793" s="11" t="n"/>
      <c r="C793" s="11" t="n"/>
      <c r="D793" s="12" t="n"/>
      <c r="E793" s="12" t="n"/>
      <c r="F793" s="12" t="n"/>
    </row>
    <row r="794">
      <c r="A794" s="10" t="n"/>
      <c r="B794" s="11" t="n"/>
      <c r="C794" s="11" t="n"/>
      <c r="D794" s="12" t="n"/>
      <c r="E794" s="12" t="n"/>
      <c r="F794" s="12" t="n"/>
    </row>
    <row r="795">
      <c r="A795" s="10" t="n"/>
      <c r="B795" s="11" t="n"/>
      <c r="C795" s="11" t="n"/>
      <c r="D795" s="12" t="n"/>
      <c r="E795" s="12" t="n"/>
      <c r="F795" s="12" t="n"/>
    </row>
    <row r="796">
      <c r="A796" s="10" t="n"/>
      <c r="B796" s="11" t="n"/>
      <c r="C796" s="11" t="n"/>
      <c r="D796" s="12" t="n"/>
      <c r="E796" s="12" t="n"/>
      <c r="F796" s="12" t="n"/>
    </row>
    <row r="797">
      <c r="A797" s="10" t="n"/>
      <c r="B797" s="11" t="n"/>
      <c r="C797" s="11" t="n"/>
      <c r="D797" s="12" t="n"/>
      <c r="E797" s="12" t="n"/>
      <c r="F797" s="12" t="n"/>
    </row>
    <row r="798">
      <c r="A798" s="10" t="n"/>
      <c r="B798" s="11" t="n"/>
      <c r="C798" s="11" t="n"/>
      <c r="D798" s="12" t="n"/>
      <c r="E798" s="12" t="n"/>
      <c r="F798" s="12" t="n"/>
    </row>
    <row r="799">
      <c r="A799" s="10" t="n"/>
      <c r="B799" s="11" t="n"/>
      <c r="C799" s="11" t="n"/>
      <c r="D799" s="12" t="n"/>
      <c r="E799" s="12" t="n"/>
      <c r="F799" s="12" t="n"/>
    </row>
    <row r="800">
      <c r="A800" s="10" t="n"/>
      <c r="B800" s="11" t="n"/>
      <c r="C800" s="11" t="n"/>
      <c r="D800" s="12" t="n"/>
      <c r="E800" s="12" t="n"/>
      <c r="F800" s="12" t="n"/>
    </row>
    <row r="801">
      <c r="A801" s="10" t="n"/>
      <c r="B801" s="11" t="n"/>
      <c r="C801" s="11" t="n"/>
      <c r="D801" s="12" t="n"/>
      <c r="E801" s="12" t="n"/>
      <c r="F801" s="12" t="n"/>
    </row>
    <row r="802">
      <c r="A802" s="10" t="n"/>
      <c r="B802" s="11" t="n"/>
      <c r="C802" s="11" t="n"/>
      <c r="D802" s="12" t="n"/>
      <c r="E802" s="12" t="n"/>
      <c r="F802" s="12" t="n"/>
    </row>
    <row r="803">
      <c r="A803" s="10" t="n"/>
      <c r="B803" s="11" t="n"/>
      <c r="C803" s="11" t="n"/>
      <c r="D803" s="12" t="n"/>
      <c r="E803" s="12" t="n"/>
      <c r="F803" s="12" t="n"/>
    </row>
    <row r="804">
      <c r="A804" s="10" t="n"/>
      <c r="B804" s="11" t="n"/>
      <c r="C804" s="11" t="n"/>
      <c r="D804" s="12" t="n"/>
      <c r="E804" s="12" t="n"/>
      <c r="F804" s="12" t="n"/>
    </row>
    <row r="805">
      <c r="A805" s="10" t="n"/>
      <c r="B805" s="11" t="n"/>
      <c r="C805" s="11" t="n"/>
      <c r="D805" s="12" t="n"/>
      <c r="E805" s="12" t="n"/>
      <c r="F805" s="12" t="n"/>
    </row>
    <row r="806">
      <c r="A806" s="10" t="n"/>
      <c r="B806" s="11" t="n"/>
      <c r="C806" s="11" t="n"/>
      <c r="D806" s="12" t="n"/>
      <c r="E806" s="12" t="n"/>
      <c r="F806" s="12" t="n"/>
    </row>
    <row r="807">
      <c r="A807" s="10" t="n"/>
      <c r="B807" s="11" t="n"/>
      <c r="C807" s="11" t="n"/>
      <c r="D807" s="12" t="n"/>
      <c r="E807" s="12" t="n"/>
      <c r="F807" s="12" t="n"/>
    </row>
    <row r="808">
      <c r="A808" s="10" t="n"/>
      <c r="B808" s="11" t="n"/>
      <c r="C808" s="11" t="n"/>
      <c r="D808" s="12" t="n"/>
      <c r="E808" s="12" t="n"/>
      <c r="F808" s="12" t="n"/>
    </row>
    <row r="809">
      <c r="A809" s="10" t="n"/>
      <c r="B809" s="11" t="n"/>
      <c r="C809" s="11" t="n"/>
      <c r="D809" s="12" t="n"/>
      <c r="E809" s="12" t="n"/>
      <c r="F809" s="12" t="n"/>
    </row>
    <row r="810">
      <c r="A810" s="10" t="n"/>
      <c r="B810" s="11" t="n"/>
      <c r="C810" s="11" t="n"/>
      <c r="D810" s="12" t="n"/>
      <c r="E810" s="12" t="n"/>
      <c r="F810" s="12" t="n"/>
    </row>
    <row r="811">
      <c r="A811" s="10" t="n"/>
      <c r="B811" s="11" t="n"/>
      <c r="C811" s="11" t="n"/>
      <c r="D811" s="12" t="n"/>
      <c r="E811" s="12" t="n"/>
      <c r="F811" s="12" t="n"/>
    </row>
    <row r="812">
      <c r="A812" s="10" t="n"/>
      <c r="B812" s="11" t="n"/>
      <c r="C812" s="11" t="n"/>
      <c r="D812" s="12" t="n"/>
      <c r="E812" s="12" t="n"/>
      <c r="F812" s="12" t="n"/>
    </row>
    <row r="813">
      <c r="A813" s="10" t="n"/>
      <c r="B813" s="11" t="n"/>
      <c r="C813" s="11" t="n"/>
      <c r="D813" s="12" t="n"/>
      <c r="E813" s="12" t="n"/>
      <c r="F813" s="12" t="n"/>
    </row>
    <row r="814">
      <c r="A814" s="10" t="n"/>
      <c r="B814" s="11" t="n"/>
      <c r="C814" s="11" t="n"/>
      <c r="D814" s="12" t="n"/>
      <c r="E814" s="12" t="n"/>
      <c r="F814" s="12" t="n"/>
    </row>
    <row r="815">
      <c r="A815" s="10" t="n"/>
      <c r="B815" s="11" t="n"/>
      <c r="C815" s="11" t="n"/>
      <c r="D815" s="12" t="n"/>
      <c r="E815" s="12" t="n"/>
      <c r="F815" s="12" t="n"/>
    </row>
    <row r="816">
      <c r="A816" s="10" t="n"/>
      <c r="B816" s="11" t="n"/>
      <c r="C816" s="11" t="n"/>
      <c r="D816" s="12" t="n"/>
      <c r="E816" s="12" t="n"/>
      <c r="F816" s="12" t="n"/>
    </row>
    <row r="817">
      <c r="A817" s="10" t="n"/>
      <c r="B817" s="11" t="n"/>
      <c r="C817" s="11" t="n"/>
      <c r="D817" s="12" t="n"/>
      <c r="E817" s="12" t="n"/>
      <c r="F817" s="12" t="n"/>
    </row>
    <row r="818">
      <c r="A818" s="10" t="n"/>
      <c r="B818" s="11" t="n"/>
      <c r="C818" s="11" t="n"/>
      <c r="D818" s="12" t="n"/>
      <c r="E818" s="12" t="n"/>
      <c r="F818" s="12" t="n"/>
    </row>
    <row r="819">
      <c r="A819" s="10" t="n"/>
      <c r="B819" s="11" t="n"/>
      <c r="C819" s="11" t="n"/>
      <c r="D819" s="12" t="n"/>
      <c r="E819" s="12" t="n"/>
      <c r="F819" s="12" t="n"/>
    </row>
    <row r="820">
      <c r="A820" s="10" t="n"/>
      <c r="B820" s="11" t="n"/>
      <c r="C820" s="11" t="n"/>
      <c r="D820" s="12" t="n"/>
      <c r="E820" s="12" t="n"/>
      <c r="F820" s="12" t="n"/>
    </row>
    <row r="821">
      <c r="A821" s="10" t="n"/>
      <c r="B821" s="11" t="n"/>
      <c r="C821" s="11" t="n"/>
      <c r="D821" s="12" t="n"/>
      <c r="E821" s="12" t="n"/>
      <c r="F821" s="12" t="n"/>
    </row>
    <row r="822">
      <c r="A822" s="10" t="n"/>
      <c r="B822" s="11" t="n"/>
      <c r="C822" s="11" t="n"/>
      <c r="D822" s="12" t="n"/>
      <c r="E822" s="12" t="n"/>
      <c r="F822" s="12" t="n"/>
    </row>
    <row r="823">
      <c r="A823" s="10" t="n"/>
      <c r="B823" s="11" t="n"/>
      <c r="C823" s="11" t="n"/>
      <c r="D823" s="12" t="n"/>
      <c r="E823" s="12" t="n"/>
      <c r="F823" s="12" t="n"/>
    </row>
    <row r="824">
      <c r="A824" s="10" t="n"/>
      <c r="B824" s="11" t="n"/>
      <c r="C824" s="11" t="n"/>
      <c r="D824" s="12" t="n"/>
      <c r="E824" s="12" t="n"/>
      <c r="F824" s="12" t="n"/>
    </row>
    <row r="825">
      <c r="A825" s="10" t="n"/>
      <c r="B825" s="11" t="n"/>
      <c r="C825" s="11" t="n"/>
      <c r="D825" s="12" t="n"/>
      <c r="E825" s="12" t="n"/>
      <c r="F825" s="12" t="n"/>
    </row>
    <row r="826">
      <c r="A826" s="10" t="n"/>
      <c r="B826" s="11" t="n"/>
      <c r="C826" s="11" t="n"/>
      <c r="D826" s="12" t="n"/>
      <c r="E826" s="12" t="n"/>
      <c r="F826" s="12" t="n"/>
    </row>
    <row r="827">
      <c r="A827" s="10" t="n"/>
      <c r="B827" s="11" t="n"/>
      <c r="C827" s="11" t="n"/>
      <c r="D827" s="12" t="n"/>
      <c r="E827" s="12" t="n"/>
      <c r="F827" s="12" t="n"/>
    </row>
    <row r="828">
      <c r="A828" s="10" t="n"/>
      <c r="B828" s="11" t="n"/>
      <c r="C828" s="11" t="n"/>
      <c r="D828" s="12" t="n"/>
      <c r="E828" s="12" t="n"/>
      <c r="F828" s="12" t="n"/>
    </row>
    <row r="829">
      <c r="A829" s="10" t="n"/>
      <c r="B829" s="11" t="n"/>
      <c r="C829" s="11" t="n"/>
      <c r="D829" s="12" t="n"/>
      <c r="E829" s="12" t="n"/>
      <c r="F829" s="12" t="n"/>
    </row>
    <row r="830">
      <c r="A830" s="10" t="n"/>
      <c r="B830" s="11" t="n"/>
      <c r="C830" s="11" t="n"/>
      <c r="D830" s="12" t="n"/>
      <c r="E830" s="12" t="n"/>
      <c r="F830" s="12" t="n"/>
    </row>
    <row r="831">
      <c r="A831" s="10" t="n"/>
      <c r="B831" s="11" t="n"/>
      <c r="C831" s="11" t="n"/>
      <c r="D831" s="12" t="n"/>
      <c r="E831" s="12" t="n"/>
      <c r="F831" s="12" t="n"/>
    </row>
    <row r="832">
      <c r="A832" s="10" t="n"/>
      <c r="B832" s="11" t="n"/>
      <c r="C832" s="11" t="n"/>
      <c r="D832" s="12" t="n"/>
      <c r="E832" s="12" t="n"/>
      <c r="F832" s="12" t="n"/>
    </row>
    <row r="833">
      <c r="A833" s="10" t="n"/>
      <c r="B833" s="11" t="n"/>
      <c r="C833" s="11" t="n"/>
      <c r="D833" s="12" t="n"/>
      <c r="E833" s="12" t="n"/>
      <c r="F833" s="12" t="n"/>
    </row>
    <row r="834">
      <c r="A834" s="10" t="n"/>
      <c r="B834" s="11" t="n"/>
      <c r="C834" s="11" t="n"/>
      <c r="D834" s="12" t="n"/>
      <c r="E834" s="12" t="n"/>
      <c r="F834" s="12" t="n"/>
    </row>
    <row r="835">
      <c r="A835" s="10" t="n"/>
      <c r="B835" s="11" t="n"/>
      <c r="C835" s="11" t="n"/>
      <c r="D835" s="12" t="n"/>
      <c r="E835" s="12" t="n"/>
      <c r="F835" s="12" t="n"/>
    </row>
    <row r="836">
      <c r="A836" s="10" t="n"/>
      <c r="B836" s="11" t="n"/>
      <c r="C836" s="11" t="n"/>
      <c r="D836" s="12" t="n"/>
      <c r="E836" s="12" t="n"/>
      <c r="F836" s="12" t="n"/>
    </row>
    <row r="837">
      <c r="A837" s="10" t="n"/>
      <c r="B837" s="11" t="n"/>
      <c r="C837" s="11" t="n"/>
      <c r="D837" s="12" t="n"/>
      <c r="E837" s="12" t="n"/>
      <c r="F837" s="12" t="n"/>
    </row>
    <row r="838">
      <c r="A838" s="10" t="n"/>
      <c r="B838" s="11" t="n"/>
      <c r="C838" s="11" t="n"/>
      <c r="D838" s="12" t="n"/>
      <c r="E838" s="12" t="n"/>
      <c r="F838" s="12" t="n"/>
    </row>
    <row r="839">
      <c r="A839" s="10" t="n"/>
      <c r="B839" s="11" t="n"/>
      <c r="C839" s="11" t="n"/>
      <c r="D839" s="12" t="n"/>
      <c r="E839" s="12" t="n"/>
      <c r="F839" s="12" t="n"/>
    </row>
    <row r="840">
      <c r="A840" s="10" t="n"/>
      <c r="B840" s="11" t="n"/>
      <c r="C840" s="11" t="n"/>
      <c r="D840" s="12" t="n"/>
      <c r="E840" s="12" t="n"/>
      <c r="F840" s="12" t="n"/>
    </row>
    <row r="841">
      <c r="A841" s="10" t="n"/>
      <c r="B841" s="11" t="n"/>
      <c r="C841" s="11" t="n"/>
      <c r="D841" s="12" t="n"/>
      <c r="E841" s="12" t="n"/>
      <c r="F841" s="12" t="n"/>
    </row>
    <row r="842">
      <c r="A842" s="10" t="n"/>
      <c r="B842" s="11" t="n"/>
      <c r="C842" s="11" t="n"/>
      <c r="D842" s="12" t="n"/>
      <c r="E842" s="12" t="n"/>
      <c r="F842" s="12" t="n"/>
    </row>
    <row r="843">
      <c r="A843" s="10" t="n"/>
      <c r="B843" s="11" t="n"/>
      <c r="C843" s="11" t="n"/>
      <c r="D843" s="12" t="n"/>
      <c r="E843" s="12" t="n"/>
      <c r="F843" s="12" t="n"/>
    </row>
    <row r="844">
      <c r="A844" s="10" t="n"/>
      <c r="B844" s="11" t="n"/>
      <c r="C844" s="11" t="n"/>
      <c r="D844" s="12" t="n"/>
      <c r="E844" s="12" t="n"/>
      <c r="F844" s="12" t="n"/>
    </row>
    <row r="845">
      <c r="A845" s="10" t="n"/>
      <c r="B845" s="11" t="n"/>
      <c r="C845" s="11" t="n"/>
      <c r="D845" s="12" t="n"/>
      <c r="E845" s="12" t="n"/>
      <c r="F845" s="12" t="n"/>
    </row>
    <row r="846">
      <c r="A846" s="10" t="n"/>
      <c r="B846" s="11" t="n"/>
      <c r="C846" s="11" t="n"/>
      <c r="D846" s="12" t="n"/>
      <c r="E846" s="12" t="n"/>
      <c r="F846" s="12" t="n"/>
    </row>
    <row r="847">
      <c r="A847" s="10" t="n"/>
      <c r="B847" s="11" t="n"/>
      <c r="C847" s="11" t="n"/>
      <c r="D847" s="12" t="n"/>
      <c r="E847" s="12" t="n"/>
      <c r="F847" s="12" t="n"/>
    </row>
    <row r="848">
      <c r="A848" s="10" t="n"/>
      <c r="B848" s="11" t="n"/>
      <c r="C848" s="11" t="n"/>
      <c r="D848" s="12" t="n"/>
      <c r="E848" s="12" t="n"/>
      <c r="F848" s="12" t="n"/>
    </row>
    <row r="849">
      <c r="A849" s="10" t="n"/>
      <c r="B849" s="11" t="n"/>
      <c r="C849" s="11" t="n"/>
      <c r="D849" s="12" t="n"/>
      <c r="E849" s="12" t="n"/>
      <c r="F849" s="12" t="n"/>
    </row>
    <row r="850">
      <c r="A850" s="10" t="n"/>
      <c r="B850" s="11" t="n"/>
      <c r="C850" s="11" t="n"/>
      <c r="D850" s="12" t="n"/>
      <c r="E850" s="12" t="n"/>
      <c r="F850" s="12" t="n"/>
    </row>
    <row r="851">
      <c r="A851" s="10" t="n"/>
      <c r="B851" s="11" t="n"/>
      <c r="C851" s="11" t="n"/>
      <c r="D851" s="12" t="n"/>
      <c r="E851" s="12" t="n"/>
      <c r="F851" s="12" t="n"/>
    </row>
    <row r="852">
      <c r="A852" s="10" t="n"/>
      <c r="B852" s="11" t="n"/>
      <c r="C852" s="11" t="n"/>
      <c r="D852" s="12" t="n"/>
      <c r="E852" s="12" t="n"/>
      <c r="F852" s="12" t="n"/>
    </row>
    <row r="853">
      <c r="A853" s="10" t="n"/>
      <c r="B853" s="11" t="n"/>
      <c r="C853" s="11" t="n"/>
      <c r="D853" s="12" t="n"/>
      <c r="E853" s="12" t="n"/>
      <c r="F853" s="12" t="n"/>
    </row>
    <row r="854">
      <c r="A854" s="10" t="n"/>
      <c r="B854" s="11" t="n"/>
      <c r="C854" s="11" t="n"/>
      <c r="D854" s="12" t="n"/>
      <c r="E854" s="12" t="n"/>
      <c r="F854" s="12" t="n"/>
    </row>
    <row r="855">
      <c r="A855" s="10" t="n"/>
      <c r="B855" s="11" t="n"/>
      <c r="C855" s="11" t="n"/>
      <c r="D855" s="12" t="n"/>
      <c r="E855" s="12" t="n"/>
      <c r="F855" s="12" t="n"/>
    </row>
    <row r="856">
      <c r="A856" s="10" t="n"/>
      <c r="B856" s="11" t="n"/>
      <c r="C856" s="11" t="n"/>
      <c r="D856" s="12" t="n"/>
      <c r="E856" s="12" t="n"/>
      <c r="F856" s="12" t="n"/>
    </row>
    <row r="857">
      <c r="A857" s="10" t="n"/>
      <c r="B857" s="11" t="n"/>
      <c r="C857" s="11" t="n"/>
      <c r="D857" s="12" t="n"/>
      <c r="E857" s="12" t="n"/>
      <c r="F857" s="12" t="n"/>
    </row>
    <row r="858">
      <c r="A858" s="10" t="n"/>
      <c r="B858" s="11" t="n"/>
      <c r="C858" s="11" t="n"/>
      <c r="D858" s="12" t="n"/>
      <c r="E858" s="12" t="n"/>
      <c r="F858" s="12" t="n"/>
    </row>
    <row r="859">
      <c r="A859" s="10" t="n"/>
      <c r="B859" s="11" t="n"/>
      <c r="C859" s="11" t="n"/>
      <c r="D859" s="12" t="n"/>
      <c r="E859" s="12" t="n"/>
      <c r="F859" s="12" t="n"/>
    </row>
    <row r="860">
      <c r="A860" s="10" t="n"/>
      <c r="B860" s="11" t="n"/>
      <c r="C860" s="11" t="n"/>
      <c r="D860" s="12" t="n"/>
      <c r="E860" s="12" t="n"/>
      <c r="F860" s="12" t="n"/>
    </row>
    <row r="861">
      <c r="A861" s="10" t="n"/>
      <c r="B861" s="11" t="n"/>
      <c r="C861" s="11" t="n"/>
      <c r="D861" s="12" t="n"/>
      <c r="E861" s="12" t="n"/>
      <c r="F861" s="12" t="n"/>
    </row>
    <row r="862">
      <c r="A862" s="10" t="n"/>
      <c r="B862" s="11" t="n"/>
      <c r="C862" s="11" t="n"/>
      <c r="D862" s="12" t="n"/>
      <c r="E862" s="12" t="n"/>
      <c r="F862" s="12" t="n"/>
    </row>
    <row r="863">
      <c r="A863" s="10" t="n"/>
      <c r="B863" s="11" t="n"/>
      <c r="C863" s="11" t="n"/>
      <c r="D863" s="12" t="n"/>
      <c r="E863" s="12" t="n"/>
      <c r="F863" s="12" t="n"/>
    </row>
    <row r="864">
      <c r="A864" s="10" t="n"/>
      <c r="B864" s="11" t="n"/>
      <c r="C864" s="11" t="n"/>
      <c r="D864" s="12" t="n"/>
      <c r="E864" s="12" t="n"/>
      <c r="F864" s="12" t="n"/>
    </row>
    <row r="865">
      <c r="A865" s="10" t="n"/>
      <c r="B865" s="11" t="n"/>
      <c r="C865" s="11" t="n"/>
      <c r="D865" s="12" t="n"/>
      <c r="E865" s="12" t="n"/>
      <c r="F865" s="12" t="n"/>
    </row>
    <row r="866">
      <c r="A866" s="10" t="n"/>
      <c r="B866" s="11" t="n"/>
      <c r="C866" s="11" t="n"/>
      <c r="D866" s="12" t="n"/>
      <c r="E866" s="12" t="n"/>
      <c r="F866" s="12" t="n"/>
    </row>
    <row r="867">
      <c r="A867" s="10" t="n"/>
      <c r="B867" s="11" t="n"/>
      <c r="C867" s="11" t="n"/>
      <c r="D867" s="12" t="n"/>
      <c r="E867" s="12" t="n"/>
      <c r="F867" s="12" t="n"/>
    </row>
    <row r="868">
      <c r="A868" s="10" t="n"/>
      <c r="B868" s="11" t="n"/>
      <c r="C868" s="11" t="n"/>
      <c r="D868" s="12" t="n"/>
      <c r="E868" s="12" t="n"/>
      <c r="F868" s="12" t="n"/>
    </row>
    <row r="869">
      <c r="A869" s="10" t="n"/>
      <c r="B869" s="11" t="n"/>
      <c r="C869" s="11" t="n"/>
      <c r="D869" s="12" t="n"/>
      <c r="E869" s="12" t="n"/>
      <c r="F869" s="12" t="n"/>
    </row>
    <row r="870">
      <c r="A870" s="10" t="n"/>
      <c r="B870" s="11" t="n"/>
      <c r="C870" s="11" t="n"/>
      <c r="D870" s="12" t="n"/>
      <c r="E870" s="12" t="n"/>
      <c r="F870" s="12" t="n"/>
    </row>
    <row r="871">
      <c r="A871" s="10" t="n"/>
      <c r="B871" s="11" t="n"/>
      <c r="C871" s="11" t="n"/>
      <c r="D871" s="12" t="n"/>
      <c r="E871" s="12" t="n"/>
      <c r="F871" s="12" t="n"/>
    </row>
    <row r="872">
      <c r="A872" s="10" t="n"/>
      <c r="B872" s="11" t="n"/>
      <c r="C872" s="11" t="n"/>
      <c r="D872" s="12" t="n"/>
      <c r="E872" s="12" t="n"/>
      <c r="F872" s="12" t="n"/>
    </row>
    <row r="873">
      <c r="A873" s="10" t="n"/>
      <c r="B873" s="11" t="n"/>
      <c r="C873" s="11" t="n"/>
      <c r="D873" s="12" t="n"/>
      <c r="E873" s="12" t="n"/>
      <c r="F873" s="12" t="n"/>
    </row>
    <row r="874">
      <c r="A874" s="10" t="n"/>
      <c r="B874" s="11" t="n"/>
      <c r="C874" s="11" t="n"/>
      <c r="D874" s="12" t="n"/>
      <c r="E874" s="12" t="n"/>
      <c r="F874" s="12" t="n"/>
    </row>
    <row r="875">
      <c r="A875" s="10" t="n"/>
      <c r="B875" s="11" t="n"/>
      <c r="C875" s="11" t="n"/>
      <c r="D875" s="12" t="n"/>
      <c r="E875" s="12" t="n"/>
      <c r="F875" s="12" t="n"/>
    </row>
    <row r="876">
      <c r="A876" s="10" t="n"/>
      <c r="B876" s="11" t="n"/>
      <c r="C876" s="11" t="n"/>
      <c r="D876" s="12" t="n"/>
      <c r="E876" s="12" t="n"/>
      <c r="F876" s="12" t="n"/>
    </row>
    <row r="877">
      <c r="A877" s="10" t="n"/>
      <c r="B877" s="11" t="n"/>
      <c r="C877" s="11" t="n"/>
      <c r="D877" s="12" t="n"/>
      <c r="E877" s="12" t="n"/>
      <c r="F877" s="12" t="n"/>
    </row>
    <row r="878">
      <c r="A878" s="10" t="n"/>
      <c r="B878" s="11" t="n"/>
      <c r="C878" s="11" t="n"/>
      <c r="D878" s="12" t="n"/>
      <c r="E878" s="12" t="n"/>
      <c r="F878" s="12" t="n"/>
    </row>
    <row r="879">
      <c r="A879" s="10" t="n"/>
      <c r="B879" s="11" t="n"/>
      <c r="C879" s="11" t="n"/>
      <c r="D879" s="12" t="n"/>
      <c r="E879" s="12" t="n"/>
      <c r="F879" s="12" t="n"/>
    </row>
    <row r="880">
      <c r="A880" s="10" t="n"/>
      <c r="B880" s="11" t="n"/>
      <c r="C880" s="11" t="n"/>
      <c r="D880" s="12" t="n"/>
      <c r="E880" s="12" t="n"/>
      <c r="F880" s="12" t="n"/>
    </row>
    <row r="881">
      <c r="A881" s="10" t="n"/>
      <c r="B881" s="11" t="n"/>
      <c r="C881" s="11" t="n"/>
      <c r="D881" s="12" t="n"/>
      <c r="E881" s="12" t="n"/>
      <c r="F881" s="12" t="n"/>
    </row>
    <row r="882">
      <c r="A882" s="10" t="n"/>
      <c r="B882" s="11" t="n"/>
      <c r="C882" s="11" t="n"/>
      <c r="D882" s="12" t="n"/>
      <c r="E882" s="12" t="n"/>
      <c r="F882" s="12" t="n"/>
    </row>
    <row r="883">
      <c r="A883" s="10" t="n"/>
      <c r="B883" s="11" t="n"/>
      <c r="C883" s="11" t="n"/>
      <c r="D883" s="12" t="n"/>
      <c r="E883" s="12" t="n"/>
      <c r="F883" s="12" t="n"/>
    </row>
    <row r="884">
      <c r="A884" s="10" t="n"/>
      <c r="B884" s="11" t="n"/>
      <c r="C884" s="11" t="n"/>
      <c r="D884" s="12" t="n"/>
      <c r="E884" s="12" t="n"/>
      <c r="F884" s="12" t="n"/>
    </row>
    <row r="885">
      <c r="A885" s="10" t="n"/>
      <c r="B885" s="11" t="n"/>
      <c r="C885" s="11" t="n"/>
      <c r="D885" s="12" t="n"/>
      <c r="E885" s="12" t="n"/>
      <c r="F885" s="12" t="n"/>
    </row>
    <row r="886">
      <c r="A886" s="10" t="n"/>
      <c r="B886" s="11" t="n"/>
      <c r="C886" s="11" t="n"/>
      <c r="D886" s="12" t="n"/>
      <c r="E886" s="12" t="n"/>
      <c r="F886" s="12" t="n"/>
    </row>
    <row r="887">
      <c r="A887" s="10" t="n"/>
      <c r="B887" s="11" t="n"/>
      <c r="C887" s="11" t="n"/>
      <c r="D887" s="12" t="n"/>
      <c r="E887" s="12" t="n"/>
      <c r="F887" s="12" t="n"/>
    </row>
    <row r="888">
      <c r="A888" s="10" t="n"/>
      <c r="B888" s="11" t="n"/>
      <c r="C888" s="11" t="n"/>
      <c r="D888" s="12" t="n"/>
      <c r="E888" s="12" t="n"/>
      <c r="F888" s="12" t="n"/>
    </row>
    <row r="889">
      <c r="A889" s="10" t="n"/>
      <c r="B889" s="11" t="n"/>
      <c r="C889" s="11" t="n"/>
      <c r="D889" s="12" t="n"/>
      <c r="E889" s="12" t="n"/>
      <c r="F889" s="12" t="n"/>
    </row>
    <row r="890">
      <c r="A890" s="10" t="n"/>
      <c r="B890" s="11" t="n"/>
      <c r="C890" s="11" t="n"/>
      <c r="D890" s="12" t="n"/>
      <c r="E890" s="12" t="n"/>
      <c r="F890" s="12" t="n"/>
    </row>
    <row r="891">
      <c r="A891" s="10" t="n"/>
      <c r="B891" s="11" t="n"/>
      <c r="C891" s="11" t="n"/>
      <c r="D891" s="12" t="n"/>
      <c r="E891" s="12" t="n"/>
      <c r="F891" s="12" t="n"/>
    </row>
    <row r="892">
      <c r="A892" s="10" t="n"/>
      <c r="B892" s="11" t="n"/>
      <c r="C892" s="11" t="n"/>
      <c r="D892" s="12" t="n"/>
      <c r="E892" s="12" t="n"/>
      <c r="F892" s="12" t="n"/>
    </row>
    <row r="893">
      <c r="A893" s="10" t="n"/>
      <c r="B893" s="11" t="n"/>
      <c r="C893" s="11" t="n"/>
      <c r="D893" s="12" t="n"/>
      <c r="E893" s="12" t="n"/>
      <c r="F893" s="12" t="n"/>
    </row>
    <row r="894">
      <c r="A894" s="10" t="n"/>
      <c r="B894" s="11" t="n"/>
      <c r="C894" s="11" t="n"/>
      <c r="D894" s="12" t="n"/>
      <c r="E894" s="12" t="n"/>
      <c r="F894" s="12" t="n"/>
    </row>
    <row r="895">
      <c r="A895" s="10" t="n"/>
      <c r="B895" s="11" t="n"/>
      <c r="C895" s="11" t="n"/>
      <c r="D895" s="12" t="n"/>
      <c r="E895" s="12" t="n"/>
      <c r="F895" s="12" t="n"/>
    </row>
    <row r="896">
      <c r="A896" s="10" t="n"/>
      <c r="B896" s="11" t="n"/>
      <c r="C896" s="11" t="n"/>
      <c r="D896" s="12" t="n"/>
      <c r="E896" s="12" t="n"/>
      <c r="F896" s="12" t="n"/>
    </row>
    <row r="897">
      <c r="A897" s="10" t="n"/>
      <c r="B897" s="11" t="n"/>
      <c r="C897" s="11" t="n"/>
      <c r="D897" s="12" t="n"/>
      <c r="E897" s="12" t="n"/>
      <c r="F897" s="12" t="n"/>
    </row>
    <row r="898">
      <c r="A898" s="10" t="n"/>
      <c r="B898" s="11" t="n"/>
      <c r="C898" s="11" t="n"/>
      <c r="D898" s="12" t="n"/>
      <c r="E898" s="12" t="n"/>
      <c r="F898" s="12" t="n"/>
    </row>
    <row r="899">
      <c r="A899" s="10" t="n"/>
      <c r="B899" s="11" t="n"/>
      <c r="C899" s="11" t="n"/>
      <c r="D899" s="12" t="n"/>
      <c r="E899" s="12" t="n"/>
      <c r="F899" s="12" t="n"/>
    </row>
    <row r="900">
      <c r="A900" s="10" t="n"/>
      <c r="B900" s="11" t="n"/>
      <c r="C900" s="11" t="n"/>
      <c r="D900" s="12" t="n"/>
      <c r="E900" s="12" t="n"/>
      <c r="F900" s="12" t="n"/>
    </row>
    <row r="901">
      <c r="A901" s="10" t="n"/>
      <c r="B901" s="11" t="n"/>
      <c r="C901" s="11" t="n"/>
      <c r="D901" s="12" t="n"/>
      <c r="E901" s="12" t="n"/>
      <c r="F901" s="12" t="n"/>
    </row>
    <row r="902">
      <c r="A902" s="10" t="n"/>
      <c r="B902" s="11" t="n"/>
      <c r="C902" s="11" t="n"/>
      <c r="D902" s="12" t="n"/>
      <c r="E902" s="12" t="n"/>
      <c r="F902" s="12" t="n"/>
    </row>
    <row r="903">
      <c r="A903" s="10" t="n"/>
      <c r="B903" s="11" t="n"/>
      <c r="C903" s="11" t="n"/>
      <c r="D903" s="12" t="n"/>
      <c r="E903" s="12" t="n"/>
      <c r="F903" s="12" t="n"/>
    </row>
    <row r="904">
      <c r="A904" s="10" t="n"/>
      <c r="B904" s="11" t="n"/>
      <c r="C904" s="11" t="n"/>
      <c r="D904" s="12" t="n"/>
      <c r="E904" s="12" t="n"/>
      <c r="F904" s="12" t="n"/>
    </row>
    <row r="905">
      <c r="A905" s="10" t="n"/>
      <c r="B905" s="11" t="n"/>
      <c r="C905" s="11" t="n"/>
      <c r="D905" s="12" t="n"/>
      <c r="E905" s="12" t="n"/>
      <c r="F905" s="12" t="n"/>
    </row>
    <row r="906">
      <c r="A906" s="10" t="n"/>
      <c r="B906" s="11" t="n"/>
      <c r="C906" s="11" t="n"/>
      <c r="D906" s="12" t="n"/>
      <c r="E906" s="12" t="n"/>
      <c r="F906" s="12" t="n"/>
    </row>
    <row r="907">
      <c r="A907" s="10" t="n"/>
      <c r="B907" s="11" t="n"/>
      <c r="C907" s="11" t="n"/>
      <c r="D907" s="12" t="n"/>
      <c r="E907" s="12" t="n"/>
      <c r="F907" s="12" t="n"/>
    </row>
    <row r="908">
      <c r="A908" s="10" t="n"/>
      <c r="B908" s="11" t="n"/>
      <c r="C908" s="11" t="n"/>
      <c r="D908" s="12" t="n"/>
      <c r="E908" s="12" t="n"/>
      <c r="F908" s="12" t="n"/>
    </row>
    <row r="909">
      <c r="A909" s="10" t="n"/>
      <c r="B909" s="11" t="n"/>
      <c r="C909" s="11" t="n"/>
      <c r="D909" s="12" t="n"/>
      <c r="E909" s="12" t="n"/>
      <c r="F909" s="12" t="n"/>
    </row>
    <row r="910">
      <c r="A910" s="10" t="n"/>
      <c r="B910" s="11" t="n"/>
      <c r="C910" s="11" t="n"/>
      <c r="D910" s="12" t="n"/>
      <c r="E910" s="12" t="n"/>
      <c r="F910" s="12" t="n"/>
    </row>
    <row r="911">
      <c r="A911" s="10" t="n"/>
      <c r="B911" s="11" t="n"/>
      <c r="C911" s="11" t="n"/>
      <c r="D911" s="12" t="n"/>
      <c r="E911" s="12" t="n"/>
      <c r="F911" s="12" t="n"/>
    </row>
    <row r="912">
      <c r="A912" s="10" t="n"/>
      <c r="B912" s="11" t="n"/>
      <c r="C912" s="11" t="n"/>
      <c r="D912" s="12" t="n"/>
      <c r="E912" s="12" t="n"/>
      <c r="F912" s="12" t="n"/>
    </row>
    <row r="913">
      <c r="A913" s="10" t="n"/>
      <c r="B913" s="11" t="n"/>
      <c r="C913" s="11" t="n"/>
      <c r="D913" s="12" t="n"/>
      <c r="E913" s="12" t="n"/>
      <c r="F913" s="12" t="n"/>
    </row>
    <row r="914">
      <c r="A914" s="10" t="n"/>
      <c r="B914" s="11" t="n"/>
      <c r="C914" s="11" t="n"/>
      <c r="D914" s="12" t="n"/>
      <c r="E914" s="12" t="n"/>
      <c r="F914" s="12" t="n"/>
    </row>
    <row r="915">
      <c r="A915" s="10" t="n"/>
      <c r="B915" s="11" t="n"/>
      <c r="C915" s="11" t="n"/>
      <c r="D915" s="12" t="n"/>
      <c r="E915" s="12" t="n"/>
      <c r="F915" s="12" t="n"/>
    </row>
    <row r="916">
      <c r="A916" s="10" t="n"/>
      <c r="B916" s="11" t="n"/>
      <c r="C916" s="11" t="n"/>
      <c r="D916" s="12" t="n"/>
      <c r="E916" s="12" t="n"/>
      <c r="F916" s="12" t="n"/>
    </row>
    <row r="917">
      <c r="A917" s="10" t="n"/>
      <c r="B917" s="11" t="n"/>
      <c r="C917" s="11" t="n"/>
      <c r="D917" s="12" t="n"/>
      <c r="E917" s="12" t="n"/>
      <c r="F917" s="12" t="n"/>
    </row>
    <row r="918">
      <c r="A918" s="10" t="n"/>
      <c r="B918" s="11" t="n"/>
      <c r="C918" s="11" t="n"/>
      <c r="D918" s="12" t="n"/>
      <c r="E918" s="12" t="n"/>
      <c r="F918" s="12" t="n"/>
    </row>
    <row r="919">
      <c r="A919" s="10" t="n"/>
      <c r="B919" s="11" t="n"/>
      <c r="C919" s="11" t="n"/>
      <c r="D919" s="12" t="n"/>
      <c r="E919" s="12" t="n"/>
      <c r="F919" s="12" t="n"/>
    </row>
    <row r="920">
      <c r="A920" s="10" t="n"/>
      <c r="B920" s="11" t="n"/>
      <c r="C920" s="11" t="n"/>
      <c r="D920" s="12" t="n"/>
      <c r="E920" s="12" t="n"/>
      <c r="F920" s="12" t="n"/>
    </row>
    <row r="921">
      <c r="A921" s="10" t="n"/>
      <c r="B921" s="11" t="n"/>
      <c r="C921" s="11" t="n"/>
      <c r="D921" s="12" t="n"/>
      <c r="E921" s="12" t="n"/>
      <c r="F921" s="12" t="n"/>
    </row>
    <row r="922">
      <c r="A922" s="10" t="n"/>
      <c r="B922" s="11" t="n"/>
      <c r="C922" s="11" t="n"/>
      <c r="D922" s="12" t="n"/>
      <c r="E922" s="12" t="n"/>
      <c r="F922" s="12" t="n"/>
    </row>
    <row r="923">
      <c r="A923" s="10" t="n"/>
      <c r="B923" s="11" t="n"/>
      <c r="C923" s="11" t="n"/>
      <c r="D923" s="12" t="n"/>
      <c r="E923" s="12" t="n"/>
      <c r="F923" s="12" t="n"/>
    </row>
    <row r="924">
      <c r="A924" s="10" t="n"/>
      <c r="B924" s="11" t="n"/>
      <c r="C924" s="11" t="n"/>
      <c r="D924" s="12" t="n"/>
      <c r="E924" s="12" t="n"/>
      <c r="F924" s="12" t="n"/>
    </row>
    <row r="925">
      <c r="A925" s="10" t="n"/>
      <c r="B925" s="11" t="n"/>
      <c r="C925" s="11" t="n"/>
      <c r="D925" s="12" t="n"/>
      <c r="E925" s="12" t="n"/>
      <c r="F925" s="12" t="n"/>
    </row>
    <row r="926">
      <c r="A926" s="10" t="n"/>
      <c r="B926" s="11" t="n"/>
      <c r="C926" s="11" t="n"/>
      <c r="D926" s="12" t="n"/>
      <c r="E926" s="12" t="n"/>
      <c r="F926" s="12" t="n"/>
    </row>
    <row r="927">
      <c r="A927" s="10" t="n"/>
      <c r="B927" s="11" t="n"/>
      <c r="C927" s="11" t="n"/>
      <c r="D927" s="12" t="n"/>
      <c r="E927" s="12" t="n"/>
      <c r="F927" s="12" t="n"/>
    </row>
    <row r="928">
      <c r="A928" s="10" t="n"/>
      <c r="B928" s="11" t="n"/>
      <c r="C928" s="11" t="n"/>
      <c r="D928" s="12" t="n"/>
      <c r="E928" s="12" t="n"/>
      <c r="F928" s="12" t="n"/>
    </row>
    <row r="929">
      <c r="A929" s="10" t="n"/>
      <c r="B929" s="11" t="n"/>
      <c r="C929" s="11" t="n"/>
      <c r="D929" s="12" t="n"/>
      <c r="E929" s="12" t="n"/>
      <c r="F929" s="12" t="n"/>
    </row>
    <row r="930">
      <c r="A930" s="10" t="n"/>
      <c r="B930" s="11" t="n"/>
      <c r="C930" s="11" t="n"/>
      <c r="D930" s="12" t="n"/>
      <c r="E930" s="12" t="n"/>
      <c r="F930" s="12" t="n"/>
    </row>
    <row r="931">
      <c r="A931" s="10" t="n"/>
      <c r="B931" s="11" t="n"/>
      <c r="C931" s="11" t="n"/>
      <c r="D931" s="12" t="n"/>
      <c r="E931" s="12" t="n"/>
      <c r="F931" s="12" t="n"/>
    </row>
    <row r="932">
      <c r="A932" s="10" t="n"/>
      <c r="B932" s="11" t="n"/>
      <c r="C932" s="11" t="n"/>
      <c r="D932" s="12" t="n"/>
      <c r="E932" s="12" t="n"/>
      <c r="F932" s="12" t="n"/>
    </row>
    <row r="933">
      <c r="A933" s="10" t="n"/>
      <c r="B933" s="11" t="n"/>
      <c r="C933" s="11" t="n"/>
      <c r="D933" s="12" t="n"/>
      <c r="E933" s="12" t="n"/>
      <c r="F933" s="12" t="n"/>
    </row>
    <row r="934">
      <c r="A934" s="10" t="n"/>
      <c r="B934" s="11" t="n"/>
      <c r="C934" s="11" t="n"/>
      <c r="D934" s="12" t="n"/>
      <c r="E934" s="12" t="n"/>
      <c r="F934" s="12" t="n"/>
    </row>
    <row r="935">
      <c r="A935" s="10" t="n"/>
      <c r="B935" s="11" t="n"/>
      <c r="C935" s="11" t="n"/>
      <c r="D935" s="12" t="n"/>
      <c r="E935" s="12" t="n"/>
      <c r="F935" s="12" t="n"/>
    </row>
    <row r="936">
      <c r="A936" s="10" t="n"/>
      <c r="B936" s="11" t="n"/>
      <c r="C936" s="11" t="n"/>
      <c r="D936" s="12" t="n"/>
      <c r="E936" s="12" t="n"/>
      <c r="F936" s="12" t="n"/>
    </row>
    <row r="937">
      <c r="A937" s="10" t="n"/>
      <c r="B937" s="11" t="n"/>
      <c r="C937" s="11" t="n"/>
      <c r="D937" s="12" t="n"/>
      <c r="E937" s="12" t="n"/>
      <c r="F937" s="12" t="n"/>
    </row>
    <row r="938">
      <c r="A938" s="10" t="n"/>
      <c r="B938" s="11" t="n"/>
      <c r="C938" s="11" t="n"/>
      <c r="D938" s="12" t="n"/>
      <c r="E938" s="12" t="n"/>
      <c r="F938" s="12" t="n"/>
    </row>
    <row r="939">
      <c r="A939" s="10" t="n"/>
      <c r="B939" s="11" t="n"/>
      <c r="C939" s="11" t="n"/>
      <c r="D939" s="12" t="n"/>
      <c r="E939" s="12" t="n"/>
      <c r="F939" s="12" t="n"/>
    </row>
    <row r="940">
      <c r="A940" s="10" t="n"/>
      <c r="B940" s="11" t="n"/>
      <c r="C940" s="11" t="n"/>
      <c r="D940" s="12" t="n"/>
      <c r="E940" s="12" t="n"/>
      <c r="F940" s="12" t="n"/>
    </row>
    <row r="941">
      <c r="A941" s="10" t="n"/>
      <c r="B941" s="11" t="n"/>
      <c r="C941" s="11" t="n"/>
      <c r="D941" s="12" t="n"/>
      <c r="E941" s="12" t="n"/>
      <c r="F941" s="12" t="n"/>
    </row>
    <row r="942">
      <c r="A942" s="10" t="n"/>
      <c r="B942" s="11" t="n"/>
      <c r="C942" s="11" t="n"/>
      <c r="D942" s="12" t="n"/>
      <c r="E942" s="12" t="n"/>
      <c r="F942" s="12" t="n"/>
    </row>
    <row r="943">
      <c r="A943" s="10" t="n"/>
      <c r="B943" s="11" t="n"/>
      <c r="C943" s="11" t="n"/>
      <c r="D943" s="12" t="n"/>
      <c r="E943" s="12" t="n"/>
      <c r="F943" s="12" t="n"/>
    </row>
    <row r="944">
      <c r="A944" s="10" t="n"/>
      <c r="B944" s="11" t="n"/>
      <c r="C944" s="11" t="n"/>
      <c r="D944" s="12" t="n"/>
      <c r="E944" s="12" t="n"/>
      <c r="F944" s="12" t="n"/>
    </row>
    <row r="945">
      <c r="A945" s="10" t="n"/>
      <c r="B945" s="11" t="n"/>
      <c r="C945" s="11" t="n"/>
      <c r="D945" s="12" t="n"/>
      <c r="E945" s="12" t="n"/>
      <c r="F945" s="12" t="n"/>
    </row>
    <row r="946">
      <c r="A946" s="10" t="n"/>
      <c r="B946" s="11" t="n"/>
      <c r="C946" s="11" t="n"/>
      <c r="D946" s="12" t="n"/>
      <c r="E946" s="12" t="n"/>
      <c r="F946" s="12" t="n"/>
    </row>
    <row r="947">
      <c r="A947" s="10" t="n"/>
      <c r="B947" s="11" t="n"/>
      <c r="C947" s="11" t="n"/>
      <c r="D947" s="12" t="n"/>
      <c r="E947" s="12" t="n"/>
      <c r="F947" s="12" t="n"/>
    </row>
    <row r="948">
      <c r="A948" s="10" t="n"/>
      <c r="B948" s="11" t="n"/>
      <c r="C948" s="11" t="n"/>
      <c r="D948" s="12" t="n"/>
      <c r="E948" s="12" t="n"/>
      <c r="F948" s="12" t="n"/>
    </row>
    <row r="949">
      <c r="A949" s="10" t="n"/>
      <c r="B949" s="11" t="n"/>
      <c r="C949" s="11" t="n"/>
      <c r="D949" s="12" t="n"/>
      <c r="E949" s="12" t="n"/>
      <c r="F949" s="12" t="n"/>
    </row>
    <row r="950">
      <c r="A950" s="10" t="n"/>
      <c r="B950" s="11" t="n"/>
      <c r="C950" s="11" t="n"/>
      <c r="D950" s="12" t="n"/>
      <c r="E950" s="12" t="n"/>
      <c r="F950" s="12" t="n"/>
    </row>
    <row r="951">
      <c r="A951" s="10" t="n"/>
      <c r="B951" s="11" t="n"/>
      <c r="C951" s="11" t="n"/>
      <c r="D951" s="12" t="n"/>
      <c r="E951" s="12" t="n"/>
      <c r="F951" s="12" t="n"/>
    </row>
    <row r="952">
      <c r="A952" s="10" t="n"/>
      <c r="B952" s="11" t="n"/>
      <c r="C952" s="11" t="n"/>
      <c r="D952" s="12" t="n"/>
      <c r="E952" s="12" t="n"/>
      <c r="F952" s="12" t="n"/>
    </row>
    <row r="953">
      <c r="A953" s="10" t="n"/>
      <c r="B953" s="11" t="n"/>
      <c r="C953" s="11" t="n"/>
      <c r="D953" s="12" t="n"/>
      <c r="E953" s="12" t="n"/>
      <c r="F953" s="12" t="n"/>
    </row>
    <row r="954">
      <c r="A954" s="10" t="n"/>
      <c r="B954" s="11" t="n"/>
      <c r="C954" s="11" t="n"/>
      <c r="D954" s="12" t="n"/>
      <c r="E954" s="12" t="n"/>
      <c r="F954" s="12" t="n"/>
    </row>
    <row r="955">
      <c r="A955" s="10" t="n"/>
      <c r="B955" s="11" t="n"/>
      <c r="C955" s="11" t="n"/>
      <c r="D955" s="12" t="n"/>
      <c r="E955" s="12" t="n"/>
      <c r="F955" s="12" t="n"/>
    </row>
    <row r="956">
      <c r="A956" s="10" t="n"/>
      <c r="B956" s="11" t="n"/>
      <c r="C956" s="11" t="n"/>
      <c r="D956" s="12" t="n"/>
      <c r="E956" s="12" t="n"/>
      <c r="F956" s="12" t="n"/>
    </row>
    <row r="957">
      <c r="A957" s="10" t="n"/>
      <c r="B957" s="11" t="n"/>
      <c r="C957" s="11" t="n"/>
      <c r="D957" s="12" t="n"/>
      <c r="E957" s="12" t="n"/>
      <c r="F957" s="12" t="n"/>
    </row>
    <row r="958">
      <c r="A958" s="10" t="n"/>
      <c r="B958" s="11" t="n"/>
      <c r="C958" s="11" t="n"/>
      <c r="D958" s="12" t="n"/>
      <c r="E958" s="12" t="n"/>
      <c r="F958" s="12" t="n"/>
    </row>
    <row r="959">
      <c r="A959" s="10" t="n"/>
      <c r="B959" s="11" t="n"/>
      <c r="C959" s="11" t="n"/>
      <c r="D959" s="12" t="n"/>
      <c r="E959" s="12" t="n"/>
      <c r="F959" s="12" t="n"/>
    </row>
    <row r="960">
      <c r="A960" s="10" t="n"/>
      <c r="B960" s="11" t="n"/>
      <c r="C960" s="11" t="n"/>
      <c r="D960" s="12" t="n"/>
      <c r="E960" s="12" t="n"/>
      <c r="F960" s="12" t="n"/>
    </row>
    <row r="961">
      <c r="A961" s="10" t="n"/>
      <c r="B961" s="11" t="n"/>
      <c r="C961" s="11" t="n"/>
      <c r="D961" s="12" t="n"/>
      <c r="E961" s="12" t="n"/>
      <c r="F961" s="12" t="n"/>
    </row>
    <row r="962">
      <c r="A962" s="10" t="n"/>
      <c r="B962" s="11" t="n"/>
      <c r="C962" s="11" t="n"/>
      <c r="D962" s="12" t="n"/>
      <c r="E962" s="12" t="n"/>
      <c r="F962" s="12" t="n"/>
    </row>
    <row r="963">
      <c r="A963" s="10" t="n"/>
      <c r="B963" s="11" t="n"/>
      <c r="C963" s="11" t="n"/>
      <c r="D963" s="12" t="n"/>
      <c r="E963" s="12" t="n"/>
      <c r="F963" s="12" t="n"/>
    </row>
    <row r="964">
      <c r="A964" s="10" t="n"/>
      <c r="B964" s="11" t="n"/>
      <c r="C964" s="11" t="n"/>
      <c r="D964" s="12" t="n"/>
      <c r="E964" s="12" t="n"/>
      <c r="F964" s="12" t="n"/>
    </row>
    <row r="965">
      <c r="A965" s="10" t="n"/>
      <c r="B965" s="11" t="n"/>
      <c r="C965" s="11" t="n"/>
      <c r="D965" s="12" t="n"/>
      <c r="E965" s="12" t="n"/>
      <c r="F965" s="12" t="n"/>
    </row>
    <row r="966">
      <c r="A966" s="10" t="n"/>
      <c r="B966" s="11" t="n"/>
      <c r="C966" s="11" t="n"/>
      <c r="D966" s="12" t="n"/>
      <c r="E966" s="12" t="n"/>
      <c r="F966" s="12" t="n"/>
    </row>
    <row r="967">
      <c r="A967" s="10" t="n"/>
      <c r="B967" s="11" t="n"/>
      <c r="C967" s="11" t="n"/>
      <c r="D967" s="12" t="n"/>
      <c r="E967" s="12" t="n"/>
      <c r="F967" s="12" t="n"/>
    </row>
    <row r="968">
      <c r="A968" s="10" t="n"/>
      <c r="B968" s="11" t="n"/>
      <c r="C968" s="11" t="n"/>
      <c r="D968" s="12" t="n"/>
      <c r="E968" s="12" t="n"/>
      <c r="F968" s="12" t="n"/>
    </row>
    <row r="969">
      <c r="A969" s="10" t="n"/>
      <c r="B969" s="11" t="n"/>
      <c r="C969" s="11" t="n"/>
      <c r="D969" s="12" t="n"/>
      <c r="E969" s="12" t="n"/>
      <c r="F969" s="12" t="n"/>
    </row>
    <row r="970">
      <c r="A970" s="10" t="n"/>
      <c r="B970" s="11" t="n"/>
      <c r="C970" s="11" t="n"/>
      <c r="D970" s="12" t="n"/>
      <c r="E970" s="12" t="n"/>
      <c r="F970" s="12" t="n"/>
    </row>
    <row r="971">
      <c r="A971" s="10" t="n"/>
      <c r="B971" s="11" t="n"/>
      <c r="C971" s="11" t="n"/>
      <c r="D971" s="12" t="n"/>
      <c r="E971" s="12" t="n"/>
      <c r="F971" s="12" t="n"/>
    </row>
    <row r="972">
      <c r="A972" s="10" t="n"/>
      <c r="B972" s="11" t="n"/>
      <c r="C972" s="11" t="n"/>
      <c r="D972" s="12" t="n"/>
      <c r="E972" s="12" t="n"/>
      <c r="F972" s="12" t="n"/>
    </row>
    <row r="973">
      <c r="A973" s="10" t="n"/>
      <c r="B973" s="11" t="n"/>
      <c r="C973" s="11" t="n"/>
      <c r="D973" s="12" t="n"/>
      <c r="E973" s="12" t="n"/>
      <c r="F973" s="12" t="n"/>
    </row>
    <row r="974">
      <c r="A974" s="10" t="n"/>
      <c r="B974" s="11" t="n"/>
      <c r="C974" s="11" t="n"/>
      <c r="D974" s="12" t="n"/>
      <c r="E974" s="12" t="n"/>
      <c r="F974" s="12" t="n"/>
    </row>
    <row r="975">
      <c r="A975" s="10" t="n"/>
      <c r="B975" s="11" t="n"/>
      <c r="C975" s="11" t="n"/>
      <c r="D975" s="12" t="n"/>
      <c r="E975" s="12" t="n"/>
      <c r="F975" s="12" t="n"/>
    </row>
    <row r="976">
      <c r="A976" s="10" t="n"/>
      <c r="B976" s="11" t="n"/>
      <c r="C976" s="11" t="n"/>
      <c r="D976" s="12" t="n"/>
      <c r="E976" s="12" t="n"/>
      <c r="F976" s="12" t="n"/>
    </row>
    <row r="977">
      <c r="A977" s="10" t="n"/>
      <c r="B977" s="11" t="n"/>
      <c r="C977" s="11" t="n"/>
      <c r="D977" s="12" t="n"/>
      <c r="E977" s="12" t="n"/>
      <c r="F977" s="12" t="n"/>
    </row>
    <row r="978">
      <c r="A978" s="10" t="n"/>
      <c r="B978" s="11" t="n"/>
      <c r="C978" s="11" t="n"/>
      <c r="D978" s="12" t="n"/>
      <c r="E978" s="12" t="n"/>
      <c r="F978" s="12" t="n"/>
    </row>
    <row r="979">
      <c r="A979" s="10" t="n"/>
      <c r="B979" s="11" t="n"/>
      <c r="C979" s="11" t="n"/>
      <c r="D979" s="12" t="n"/>
      <c r="E979" s="12" t="n"/>
      <c r="F979" s="12" t="n"/>
    </row>
    <row r="980">
      <c r="A980" s="10" t="n"/>
      <c r="B980" s="11" t="n"/>
      <c r="C980" s="11" t="n"/>
      <c r="D980" s="12" t="n"/>
      <c r="E980" s="12" t="n"/>
      <c r="F980" s="12" t="n"/>
    </row>
    <row r="981">
      <c r="A981" s="10" t="n"/>
      <c r="B981" s="11" t="n"/>
      <c r="C981" s="11" t="n"/>
      <c r="D981" s="12" t="n"/>
      <c r="E981" s="12" t="n"/>
      <c r="F981" s="12" t="n"/>
    </row>
    <row r="982">
      <c r="A982" s="10" t="n"/>
      <c r="B982" s="11" t="n"/>
      <c r="C982" s="11" t="n"/>
      <c r="D982" s="12" t="n"/>
      <c r="E982" s="12" t="n"/>
      <c r="F982" s="12" t="n"/>
    </row>
    <row r="983">
      <c r="A983" s="10" t="n"/>
      <c r="B983" s="11" t="n"/>
      <c r="C983" s="11" t="n"/>
      <c r="D983" s="12" t="n"/>
      <c r="E983" s="12" t="n"/>
      <c r="F983" s="12" t="n"/>
    </row>
    <row r="984">
      <c r="A984" s="10" t="n"/>
      <c r="B984" s="11" t="n"/>
      <c r="C984" s="11" t="n"/>
      <c r="D984" s="12" t="n"/>
      <c r="E984" s="12" t="n"/>
      <c r="F984" s="12" t="n"/>
    </row>
    <row r="985">
      <c r="A985" s="10" t="n"/>
      <c r="B985" s="11" t="n"/>
      <c r="C985" s="11" t="n"/>
      <c r="D985" s="12" t="n"/>
      <c r="E985" s="12" t="n"/>
      <c r="F985" s="12" t="n"/>
    </row>
    <row r="986">
      <c r="A986" s="10" t="n"/>
      <c r="B986" s="11" t="n"/>
      <c r="C986" s="11" t="n"/>
      <c r="D986" s="12" t="n"/>
      <c r="E986" s="12" t="n"/>
      <c r="F986" s="12" t="n"/>
    </row>
    <row r="987">
      <c r="A987" s="10" t="n"/>
      <c r="B987" s="11" t="n"/>
      <c r="C987" s="11" t="n"/>
      <c r="D987" s="12" t="n"/>
      <c r="E987" s="12" t="n"/>
      <c r="F987" s="12" t="n"/>
    </row>
    <row r="988">
      <c r="A988" s="10" t="n"/>
      <c r="B988" s="11" t="n"/>
      <c r="C988" s="11" t="n"/>
      <c r="D988" s="12" t="n"/>
      <c r="E988" s="12" t="n"/>
      <c r="F988" s="12" t="n"/>
    </row>
    <row r="989">
      <c r="A989" s="10" t="n"/>
      <c r="B989" s="11" t="n"/>
      <c r="C989" s="11" t="n"/>
      <c r="D989" s="12" t="n"/>
      <c r="E989" s="12" t="n"/>
      <c r="F989" s="12" t="n"/>
    </row>
    <row r="990">
      <c r="A990" s="10" t="n"/>
      <c r="B990" s="11" t="n"/>
      <c r="C990" s="11" t="n"/>
      <c r="D990" s="12" t="n"/>
      <c r="E990" s="12" t="n"/>
      <c r="F990" s="12" t="n"/>
    </row>
    <row r="991">
      <c r="A991" s="10" t="n"/>
      <c r="B991" s="11" t="n"/>
      <c r="C991" s="11" t="n"/>
      <c r="D991" s="12" t="n"/>
      <c r="E991" s="12" t="n"/>
      <c r="F991" s="12" t="n"/>
    </row>
    <row r="992">
      <c r="A992" s="10" t="n"/>
      <c r="B992" s="11" t="n"/>
      <c r="C992" s="11" t="n"/>
      <c r="D992" s="12" t="n"/>
      <c r="E992" s="12" t="n"/>
      <c r="F992" s="12" t="n"/>
    </row>
    <row r="993">
      <c r="A993" s="10" t="n"/>
      <c r="B993" s="11" t="n"/>
      <c r="C993" s="11" t="n"/>
      <c r="D993" s="12" t="n"/>
      <c r="E993" s="12" t="n"/>
      <c r="F993" s="12" t="n"/>
    </row>
    <row r="994">
      <c r="A994" s="10" t="n"/>
      <c r="B994" s="11" t="n"/>
      <c r="C994" s="11" t="n"/>
      <c r="D994" s="12" t="n"/>
      <c r="E994" s="12" t="n"/>
      <c r="F994" s="12" t="n"/>
    </row>
    <row r="995">
      <c r="A995" s="10" t="n"/>
      <c r="B995" s="11" t="n"/>
      <c r="C995" s="11" t="n"/>
      <c r="D995" s="12" t="n"/>
      <c r="E995" s="12" t="n"/>
      <c r="F995" s="12" t="n"/>
    </row>
    <row r="996">
      <c r="A996" s="10" t="n"/>
      <c r="B996" s="11" t="n"/>
      <c r="C996" s="11" t="n"/>
      <c r="D996" s="12" t="n"/>
      <c r="E996" s="12" t="n"/>
      <c r="F996" s="12" t="n"/>
    </row>
    <row r="997">
      <c r="A997" s="10" t="n"/>
      <c r="B997" s="11" t="n"/>
      <c r="C997" s="11" t="n"/>
      <c r="D997" s="12" t="n"/>
      <c r="E997" s="12" t="n"/>
      <c r="F997" s="12" t="n"/>
    </row>
    <row r="998">
      <c r="A998" s="10" t="n"/>
      <c r="B998" s="11" t="n"/>
      <c r="C998" s="11" t="n"/>
      <c r="D998" s="12" t="n"/>
      <c r="E998" s="12" t="n"/>
      <c r="F998" s="12" t="n"/>
    </row>
    <row r="999">
      <c r="A999" s="10" t="n"/>
      <c r="B999" s="11" t="n"/>
      <c r="C999" s="11" t="n"/>
      <c r="D999" s="12" t="n"/>
      <c r="E999" s="12" t="n"/>
      <c r="F999" s="12" t="n"/>
    </row>
    <row r="1000">
      <c r="A1000" s="10" t="n"/>
      <c r="B1000" s="11" t="n"/>
      <c r="C1000" s="11" t="n"/>
      <c r="D1000" s="12" t="n"/>
      <c r="E1000" s="12" t="n"/>
      <c r="F1000" s="12" t="n"/>
    </row>
    <row r="1001">
      <c r="A1001" s="10" t="n"/>
      <c r="B1001" s="11" t="n"/>
      <c r="C1001" s="11" t="n"/>
      <c r="D1001" s="12" t="n"/>
      <c r="E1001" s="12" t="n"/>
      <c r="F1001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651A8"/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6" customWidth="1" min="4" max="4"/>
    <col width="16" customWidth="1" min="5" max="5"/>
    <col width="22" customWidth="1" min="6" max="6"/>
    <col width="30" customWidth="1" min="7" max="7"/>
  </cols>
  <sheetData>
    <row r="1" ht="36" customHeight="1">
      <c r="A1" s="7" t="inlineStr">
        <is>
          <t>التاريخ
Date</t>
        </is>
      </c>
      <c r="B1" s="7" t="inlineStr">
        <is>
          <t>رقم القيد
JE Number</t>
        </is>
      </c>
      <c r="C1" s="7" t="inlineStr">
        <is>
          <t>مفتاح الترحيل
Posting Key</t>
        </is>
      </c>
      <c r="D1" s="7" t="inlineStr">
        <is>
          <t>نوع القيد
JE Type</t>
        </is>
      </c>
      <c r="E1" s="7" t="inlineStr">
        <is>
          <t>المبلغ
Amount</t>
        </is>
      </c>
      <c r="F1" s="7" t="inlineStr">
        <is>
          <t>رقم الحساب
GL Account</t>
        </is>
      </c>
      <c r="G1" s="7" t="inlineStr">
        <is>
          <t>اسم الحساب
GL Name</t>
        </is>
      </c>
    </row>
    <row r="2">
      <c r="A2" s="10" t="n"/>
      <c r="B2" s="11" t="n"/>
      <c r="C2" s="11" t="n"/>
      <c r="D2" s="11" t="n"/>
      <c r="E2" s="12" t="n"/>
      <c r="F2" s="11" t="n"/>
      <c r="G2" s="11" t="n"/>
    </row>
    <row r="3">
      <c r="A3" s="10" t="n"/>
      <c r="B3" s="11" t="n"/>
      <c r="C3" s="11" t="n"/>
      <c r="D3" s="11" t="n"/>
      <c r="E3" s="12" t="n"/>
      <c r="F3" s="11" t="n"/>
      <c r="G3" s="11" t="n"/>
    </row>
    <row r="4">
      <c r="A4" s="10" t="n"/>
      <c r="B4" s="11" t="n"/>
      <c r="C4" s="11" t="n"/>
      <c r="D4" s="11" t="n"/>
      <c r="E4" s="12" t="n"/>
      <c r="F4" s="11" t="n"/>
      <c r="G4" s="11" t="n"/>
    </row>
    <row r="5">
      <c r="A5" s="10" t="n"/>
      <c r="B5" s="11" t="n"/>
      <c r="C5" s="11" t="n"/>
      <c r="D5" s="11" t="n"/>
      <c r="E5" s="12" t="n"/>
      <c r="F5" s="11" t="n"/>
      <c r="G5" s="11" t="n"/>
    </row>
    <row r="6">
      <c r="A6" s="10" t="n"/>
      <c r="B6" s="11" t="n"/>
      <c r="C6" s="11" t="n"/>
      <c r="D6" s="11" t="n"/>
      <c r="E6" s="12" t="n"/>
      <c r="F6" s="11" t="n"/>
      <c r="G6" s="11" t="n"/>
    </row>
    <row r="7">
      <c r="A7" s="10" t="n"/>
      <c r="B7" s="11" t="n"/>
      <c r="C7" s="11" t="n"/>
      <c r="D7" s="11" t="n"/>
      <c r="E7" s="12" t="n"/>
      <c r="F7" s="11" t="n"/>
      <c r="G7" s="11" t="n"/>
    </row>
    <row r="8">
      <c r="A8" s="10" t="n"/>
      <c r="B8" s="11" t="n"/>
      <c r="C8" s="11" t="n"/>
      <c r="D8" s="11" t="n"/>
      <c r="E8" s="12" t="n"/>
      <c r="F8" s="11" t="n"/>
      <c r="G8" s="11" t="n"/>
    </row>
    <row r="9">
      <c r="A9" s="10" t="n"/>
      <c r="B9" s="11" t="n"/>
      <c r="C9" s="11" t="n"/>
      <c r="D9" s="11" t="n"/>
      <c r="E9" s="12" t="n"/>
      <c r="F9" s="11" t="n"/>
      <c r="G9" s="11" t="n"/>
    </row>
    <row r="10">
      <c r="A10" s="10" t="n"/>
      <c r="B10" s="11" t="n"/>
      <c r="C10" s="11" t="n"/>
      <c r="D10" s="11" t="n"/>
      <c r="E10" s="12" t="n"/>
      <c r="F10" s="11" t="n"/>
      <c r="G10" s="11" t="n"/>
    </row>
    <row r="11">
      <c r="A11" s="10" t="n"/>
      <c r="B11" s="11" t="n"/>
      <c r="C11" s="11" t="n"/>
      <c r="D11" s="11" t="n"/>
      <c r="E11" s="12" t="n"/>
      <c r="F11" s="11" t="n"/>
      <c r="G11" s="11" t="n"/>
    </row>
    <row r="12">
      <c r="A12" s="10" t="n"/>
      <c r="B12" s="11" t="n"/>
      <c r="C12" s="11" t="n"/>
      <c r="D12" s="11" t="n"/>
      <c r="E12" s="12" t="n"/>
      <c r="F12" s="11" t="n"/>
      <c r="G12" s="11" t="n"/>
    </row>
    <row r="13">
      <c r="A13" s="10" t="n"/>
      <c r="B13" s="11" t="n"/>
      <c r="C13" s="11" t="n"/>
      <c r="D13" s="11" t="n"/>
      <c r="E13" s="12" t="n"/>
      <c r="F13" s="11" t="n"/>
      <c r="G13" s="11" t="n"/>
    </row>
    <row r="14">
      <c r="A14" s="10" t="n"/>
      <c r="B14" s="11" t="n"/>
      <c r="C14" s="11" t="n"/>
      <c r="D14" s="11" t="n"/>
      <c r="E14" s="12" t="n"/>
      <c r="F14" s="11" t="n"/>
      <c r="G14" s="11" t="n"/>
    </row>
    <row r="15">
      <c r="A15" s="10" t="n"/>
      <c r="B15" s="11" t="n"/>
      <c r="C15" s="11" t="n"/>
      <c r="D15" s="11" t="n"/>
      <c r="E15" s="12" t="n"/>
      <c r="F15" s="11" t="n"/>
      <c r="G15" s="11" t="n"/>
    </row>
    <row r="16">
      <c r="A16" s="10" t="n"/>
      <c r="B16" s="11" t="n"/>
      <c r="C16" s="11" t="n"/>
      <c r="D16" s="11" t="n"/>
      <c r="E16" s="12" t="n"/>
      <c r="F16" s="11" t="n"/>
      <c r="G16" s="11" t="n"/>
    </row>
    <row r="17">
      <c r="A17" s="10" t="n"/>
      <c r="B17" s="11" t="n"/>
      <c r="C17" s="11" t="n"/>
      <c r="D17" s="11" t="n"/>
      <c r="E17" s="12" t="n"/>
      <c r="F17" s="11" t="n"/>
      <c r="G17" s="11" t="n"/>
    </row>
    <row r="18">
      <c r="A18" s="10" t="n"/>
      <c r="B18" s="11" t="n"/>
      <c r="C18" s="11" t="n"/>
      <c r="D18" s="11" t="n"/>
      <c r="E18" s="12" t="n"/>
      <c r="F18" s="11" t="n"/>
      <c r="G18" s="11" t="n"/>
    </row>
    <row r="19">
      <c r="A19" s="10" t="n"/>
      <c r="B19" s="11" t="n"/>
      <c r="C19" s="11" t="n"/>
      <c r="D19" s="11" t="n"/>
      <c r="E19" s="12" t="n"/>
      <c r="F19" s="11" t="n"/>
      <c r="G19" s="11" t="n"/>
    </row>
    <row r="20">
      <c r="A20" s="10" t="n"/>
      <c r="B20" s="11" t="n"/>
      <c r="C20" s="11" t="n"/>
      <c r="D20" s="11" t="n"/>
      <c r="E20" s="12" t="n"/>
      <c r="F20" s="11" t="n"/>
      <c r="G20" s="11" t="n"/>
    </row>
    <row r="21">
      <c r="A21" s="10" t="n"/>
      <c r="B21" s="11" t="n"/>
      <c r="C21" s="11" t="n"/>
      <c r="D21" s="11" t="n"/>
      <c r="E21" s="12" t="n"/>
      <c r="F21" s="11" t="n"/>
      <c r="G21" s="11" t="n"/>
    </row>
    <row r="22">
      <c r="A22" s="10" t="n"/>
      <c r="B22" s="11" t="n"/>
      <c r="C22" s="11" t="n"/>
      <c r="D22" s="11" t="n"/>
      <c r="E22" s="12" t="n"/>
      <c r="F22" s="11" t="n"/>
      <c r="G22" s="11" t="n"/>
    </row>
    <row r="23">
      <c r="A23" s="10" t="n"/>
      <c r="B23" s="11" t="n"/>
      <c r="C23" s="11" t="n"/>
      <c r="D23" s="11" t="n"/>
      <c r="E23" s="12" t="n"/>
      <c r="F23" s="11" t="n"/>
      <c r="G23" s="11" t="n"/>
    </row>
    <row r="24">
      <c r="A24" s="10" t="n"/>
      <c r="B24" s="11" t="n"/>
      <c r="C24" s="11" t="n"/>
      <c r="D24" s="11" t="n"/>
      <c r="E24" s="12" t="n"/>
      <c r="F24" s="11" t="n"/>
      <c r="G24" s="11" t="n"/>
    </row>
    <row r="25">
      <c r="A25" s="10" t="n"/>
      <c r="B25" s="11" t="n"/>
      <c r="C25" s="11" t="n"/>
      <c r="D25" s="11" t="n"/>
      <c r="E25" s="12" t="n"/>
      <c r="F25" s="11" t="n"/>
      <c r="G25" s="11" t="n"/>
    </row>
    <row r="26">
      <c r="A26" s="10" t="n"/>
      <c r="B26" s="11" t="n"/>
      <c r="C26" s="11" t="n"/>
      <c r="D26" s="11" t="n"/>
      <c r="E26" s="12" t="n"/>
      <c r="F26" s="11" t="n"/>
      <c r="G26" s="11" t="n"/>
    </row>
    <row r="27">
      <c r="A27" s="10" t="n"/>
      <c r="B27" s="11" t="n"/>
      <c r="C27" s="11" t="n"/>
      <c r="D27" s="11" t="n"/>
      <c r="E27" s="12" t="n"/>
      <c r="F27" s="11" t="n"/>
      <c r="G27" s="11" t="n"/>
    </row>
    <row r="28">
      <c r="A28" s="10" t="n"/>
      <c r="B28" s="11" t="n"/>
      <c r="C28" s="11" t="n"/>
      <c r="D28" s="11" t="n"/>
      <c r="E28" s="12" t="n"/>
      <c r="F28" s="11" t="n"/>
      <c r="G28" s="11" t="n"/>
    </row>
    <row r="29">
      <c r="A29" s="10" t="n"/>
      <c r="B29" s="11" t="n"/>
      <c r="C29" s="11" t="n"/>
      <c r="D29" s="11" t="n"/>
      <c r="E29" s="12" t="n"/>
      <c r="F29" s="11" t="n"/>
      <c r="G29" s="11" t="n"/>
    </row>
    <row r="30">
      <c r="A30" s="10" t="n"/>
      <c r="B30" s="11" t="n"/>
      <c r="C30" s="11" t="n"/>
      <c r="D30" s="11" t="n"/>
      <c r="E30" s="12" t="n"/>
      <c r="F30" s="11" t="n"/>
      <c r="G30" s="11" t="n"/>
    </row>
    <row r="31">
      <c r="A31" s="10" t="n"/>
      <c r="B31" s="11" t="n"/>
      <c r="C31" s="11" t="n"/>
      <c r="D31" s="11" t="n"/>
      <c r="E31" s="12" t="n"/>
      <c r="F31" s="11" t="n"/>
      <c r="G31" s="11" t="n"/>
    </row>
    <row r="32">
      <c r="A32" s="10" t="n"/>
      <c r="B32" s="11" t="n"/>
      <c r="C32" s="11" t="n"/>
      <c r="D32" s="11" t="n"/>
      <c r="E32" s="12" t="n"/>
      <c r="F32" s="11" t="n"/>
      <c r="G32" s="11" t="n"/>
    </row>
    <row r="33">
      <c r="A33" s="10" t="n"/>
      <c r="B33" s="11" t="n"/>
      <c r="C33" s="11" t="n"/>
      <c r="D33" s="11" t="n"/>
      <c r="E33" s="12" t="n"/>
      <c r="F33" s="11" t="n"/>
      <c r="G33" s="11" t="n"/>
    </row>
    <row r="34">
      <c r="A34" s="10" t="n"/>
      <c r="B34" s="11" t="n"/>
      <c r="C34" s="11" t="n"/>
      <c r="D34" s="11" t="n"/>
      <c r="E34" s="12" t="n"/>
      <c r="F34" s="11" t="n"/>
      <c r="G34" s="11" t="n"/>
    </row>
    <row r="35">
      <c r="A35" s="10" t="n"/>
      <c r="B35" s="11" t="n"/>
      <c r="C35" s="11" t="n"/>
      <c r="D35" s="11" t="n"/>
      <c r="E35" s="12" t="n"/>
      <c r="F35" s="11" t="n"/>
      <c r="G35" s="11" t="n"/>
    </row>
    <row r="36">
      <c r="A36" s="10" t="n"/>
      <c r="B36" s="11" t="n"/>
      <c r="C36" s="11" t="n"/>
      <c r="D36" s="11" t="n"/>
      <c r="E36" s="12" t="n"/>
      <c r="F36" s="11" t="n"/>
      <c r="G36" s="11" t="n"/>
    </row>
    <row r="37">
      <c r="A37" s="10" t="n"/>
      <c r="B37" s="11" t="n"/>
      <c r="C37" s="11" t="n"/>
      <c r="D37" s="11" t="n"/>
      <c r="E37" s="12" t="n"/>
      <c r="F37" s="11" t="n"/>
      <c r="G37" s="11" t="n"/>
    </row>
    <row r="38">
      <c r="A38" s="10" t="n"/>
      <c r="B38" s="11" t="n"/>
      <c r="C38" s="11" t="n"/>
      <c r="D38" s="11" t="n"/>
      <c r="E38" s="12" t="n"/>
      <c r="F38" s="11" t="n"/>
      <c r="G38" s="11" t="n"/>
    </row>
    <row r="39">
      <c r="A39" s="10" t="n"/>
      <c r="B39" s="11" t="n"/>
      <c r="C39" s="11" t="n"/>
      <c r="D39" s="11" t="n"/>
      <c r="E39" s="12" t="n"/>
      <c r="F39" s="11" t="n"/>
      <c r="G39" s="11" t="n"/>
    </row>
    <row r="40">
      <c r="A40" s="10" t="n"/>
      <c r="B40" s="11" t="n"/>
      <c r="C40" s="11" t="n"/>
      <c r="D40" s="11" t="n"/>
      <c r="E40" s="12" t="n"/>
      <c r="F40" s="11" t="n"/>
      <c r="G40" s="11" t="n"/>
    </row>
    <row r="41">
      <c r="A41" s="10" t="n"/>
      <c r="B41" s="11" t="n"/>
      <c r="C41" s="11" t="n"/>
      <c r="D41" s="11" t="n"/>
      <c r="E41" s="12" t="n"/>
      <c r="F41" s="11" t="n"/>
      <c r="G41" s="11" t="n"/>
    </row>
    <row r="42">
      <c r="A42" s="10" t="n"/>
      <c r="B42" s="11" t="n"/>
      <c r="C42" s="11" t="n"/>
      <c r="D42" s="11" t="n"/>
      <c r="E42" s="12" t="n"/>
      <c r="F42" s="11" t="n"/>
      <c r="G42" s="11" t="n"/>
    </row>
    <row r="43">
      <c r="A43" s="10" t="n"/>
      <c r="B43" s="11" t="n"/>
      <c r="C43" s="11" t="n"/>
      <c r="D43" s="11" t="n"/>
      <c r="E43" s="12" t="n"/>
      <c r="F43" s="11" t="n"/>
      <c r="G43" s="11" t="n"/>
    </row>
    <row r="44">
      <c r="A44" s="10" t="n"/>
      <c r="B44" s="11" t="n"/>
      <c r="C44" s="11" t="n"/>
      <c r="D44" s="11" t="n"/>
      <c r="E44" s="12" t="n"/>
      <c r="F44" s="11" t="n"/>
      <c r="G44" s="11" t="n"/>
    </row>
    <row r="45">
      <c r="A45" s="10" t="n"/>
      <c r="B45" s="11" t="n"/>
      <c r="C45" s="11" t="n"/>
      <c r="D45" s="11" t="n"/>
      <c r="E45" s="12" t="n"/>
      <c r="F45" s="11" t="n"/>
      <c r="G45" s="11" t="n"/>
    </row>
    <row r="46">
      <c r="A46" s="10" t="n"/>
      <c r="B46" s="11" t="n"/>
      <c r="C46" s="11" t="n"/>
      <c r="D46" s="11" t="n"/>
      <c r="E46" s="12" t="n"/>
      <c r="F46" s="11" t="n"/>
      <c r="G46" s="11" t="n"/>
    </row>
    <row r="47">
      <c r="A47" s="10" t="n"/>
      <c r="B47" s="11" t="n"/>
      <c r="C47" s="11" t="n"/>
      <c r="D47" s="11" t="n"/>
      <c r="E47" s="12" t="n"/>
      <c r="F47" s="11" t="n"/>
      <c r="G47" s="11" t="n"/>
    </row>
    <row r="48">
      <c r="A48" s="10" t="n"/>
      <c r="B48" s="11" t="n"/>
      <c r="C48" s="11" t="n"/>
      <c r="D48" s="11" t="n"/>
      <c r="E48" s="12" t="n"/>
      <c r="F48" s="11" t="n"/>
      <c r="G48" s="11" t="n"/>
    </row>
    <row r="49">
      <c r="A49" s="10" t="n"/>
      <c r="B49" s="11" t="n"/>
      <c r="C49" s="11" t="n"/>
      <c r="D49" s="11" t="n"/>
      <c r="E49" s="12" t="n"/>
      <c r="F49" s="11" t="n"/>
      <c r="G49" s="11" t="n"/>
    </row>
    <row r="50">
      <c r="A50" s="10" t="n"/>
      <c r="B50" s="11" t="n"/>
      <c r="C50" s="11" t="n"/>
      <c r="D50" s="11" t="n"/>
      <c r="E50" s="12" t="n"/>
      <c r="F50" s="11" t="n"/>
      <c r="G50" s="11" t="n"/>
    </row>
    <row r="51">
      <c r="A51" s="10" t="n"/>
      <c r="B51" s="11" t="n"/>
      <c r="C51" s="11" t="n"/>
      <c r="D51" s="11" t="n"/>
      <c r="E51" s="12" t="n"/>
      <c r="F51" s="11" t="n"/>
      <c r="G51" s="11" t="n"/>
    </row>
    <row r="52">
      <c r="A52" s="10" t="n"/>
      <c r="B52" s="11" t="n"/>
      <c r="C52" s="11" t="n"/>
      <c r="D52" s="11" t="n"/>
      <c r="E52" s="12" t="n"/>
      <c r="F52" s="11" t="n"/>
      <c r="G52" s="11" t="n"/>
    </row>
    <row r="53">
      <c r="A53" s="10" t="n"/>
      <c r="B53" s="11" t="n"/>
      <c r="C53" s="11" t="n"/>
      <c r="D53" s="11" t="n"/>
      <c r="E53" s="12" t="n"/>
      <c r="F53" s="11" t="n"/>
      <c r="G53" s="11" t="n"/>
    </row>
    <row r="54">
      <c r="A54" s="10" t="n"/>
      <c r="B54" s="11" t="n"/>
      <c r="C54" s="11" t="n"/>
      <c r="D54" s="11" t="n"/>
      <c r="E54" s="12" t="n"/>
      <c r="F54" s="11" t="n"/>
      <c r="G54" s="11" t="n"/>
    </row>
    <row r="55">
      <c r="A55" s="10" t="n"/>
      <c r="B55" s="11" t="n"/>
      <c r="C55" s="11" t="n"/>
      <c r="D55" s="11" t="n"/>
      <c r="E55" s="12" t="n"/>
      <c r="F55" s="11" t="n"/>
      <c r="G55" s="11" t="n"/>
    </row>
    <row r="56">
      <c r="A56" s="10" t="n"/>
      <c r="B56" s="11" t="n"/>
      <c r="C56" s="11" t="n"/>
      <c r="D56" s="11" t="n"/>
      <c r="E56" s="12" t="n"/>
      <c r="F56" s="11" t="n"/>
      <c r="G56" s="11" t="n"/>
    </row>
    <row r="57">
      <c r="A57" s="10" t="n"/>
      <c r="B57" s="11" t="n"/>
      <c r="C57" s="11" t="n"/>
      <c r="D57" s="11" t="n"/>
      <c r="E57" s="12" t="n"/>
      <c r="F57" s="11" t="n"/>
      <c r="G57" s="11" t="n"/>
    </row>
    <row r="58">
      <c r="A58" s="10" t="n"/>
      <c r="B58" s="11" t="n"/>
      <c r="C58" s="11" t="n"/>
      <c r="D58" s="11" t="n"/>
      <c r="E58" s="12" t="n"/>
      <c r="F58" s="11" t="n"/>
      <c r="G58" s="11" t="n"/>
    </row>
    <row r="59">
      <c r="A59" s="10" t="n"/>
      <c r="B59" s="11" t="n"/>
      <c r="C59" s="11" t="n"/>
      <c r="D59" s="11" t="n"/>
      <c r="E59" s="12" t="n"/>
      <c r="F59" s="11" t="n"/>
      <c r="G59" s="11" t="n"/>
    </row>
    <row r="60">
      <c r="A60" s="10" t="n"/>
      <c r="B60" s="11" t="n"/>
      <c r="C60" s="11" t="n"/>
      <c r="D60" s="11" t="n"/>
      <c r="E60" s="12" t="n"/>
      <c r="F60" s="11" t="n"/>
      <c r="G60" s="11" t="n"/>
    </row>
    <row r="61">
      <c r="A61" s="10" t="n"/>
      <c r="B61" s="11" t="n"/>
      <c r="C61" s="11" t="n"/>
      <c r="D61" s="11" t="n"/>
      <c r="E61" s="12" t="n"/>
      <c r="F61" s="11" t="n"/>
      <c r="G61" s="11" t="n"/>
    </row>
    <row r="62">
      <c r="A62" s="10" t="n"/>
      <c r="B62" s="11" t="n"/>
      <c r="C62" s="11" t="n"/>
      <c r="D62" s="11" t="n"/>
      <c r="E62" s="12" t="n"/>
      <c r="F62" s="11" t="n"/>
      <c r="G62" s="11" t="n"/>
    </row>
    <row r="63">
      <c r="A63" s="10" t="n"/>
      <c r="B63" s="11" t="n"/>
      <c r="C63" s="11" t="n"/>
      <c r="D63" s="11" t="n"/>
      <c r="E63" s="12" t="n"/>
      <c r="F63" s="11" t="n"/>
      <c r="G63" s="11" t="n"/>
    </row>
    <row r="64">
      <c r="A64" s="10" t="n"/>
      <c r="B64" s="11" t="n"/>
      <c r="C64" s="11" t="n"/>
      <c r="D64" s="11" t="n"/>
      <c r="E64" s="12" t="n"/>
      <c r="F64" s="11" t="n"/>
      <c r="G64" s="11" t="n"/>
    </row>
    <row r="65">
      <c r="A65" s="10" t="n"/>
      <c r="B65" s="11" t="n"/>
      <c r="C65" s="11" t="n"/>
      <c r="D65" s="11" t="n"/>
      <c r="E65" s="12" t="n"/>
      <c r="F65" s="11" t="n"/>
      <c r="G65" s="11" t="n"/>
    </row>
    <row r="66">
      <c r="A66" s="10" t="n"/>
      <c r="B66" s="11" t="n"/>
      <c r="C66" s="11" t="n"/>
      <c r="D66" s="11" t="n"/>
      <c r="E66" s="12" t="n"/>
      <c r="F66" s="11" t="n"/>
      <c r="G66" s="11" t="n"/>
    </row>
    <row r="67">
      <c r="A67" s="10" t="n"/>
      <c r="B67" s="11" t="n"/>
      <c r="C67" s="11" t="n"/>
      <c r="D67" s="11" t="n"/>
      <c r="E67" s="12" t="n"/>
      <c r="F67" s="11" t="n"/>
      <c r="G67" s="11" t="n"/>
    </row>
    <row r="68">
      <c r="A68" s="10" t="n"/>
      <c r="B68" s="11" t="n"/>
      <c r="C68" s="11" t="n"/>
      <c r="D68" s="11" t="n"/>
      <c r="E68" s="12" t="n"/>
      <c r="F68" s="11" t="n"/>
      <c r="G68" s="11" t="n"/>
    </row>
    <row r="69">
      <c r="A69" s="10" t="n"/>
      <c r="B69" s="11" t="n"/>
      <c r="C69" s="11" t="n"/>
      <c r="D69" s="11" t="n"/>
      <c r="E69" s="12" t="n"/>
      <c r="F69" s="11" t="n"/>
      <c r="G69" s="11" t="n"/>
    </row>
    <row r="70">
      <c r="A70" s="10" t="n"/>
      <c r="B70" s="11" t="n"/>
      <c r="C70" s="11" t="n"/>
      <c r="D70" s="11" t="n"/>
      <c r="E70" s="12" t="n"/>
      <c r="F70" s="11" t="n"/>
      <c r="G70" s="11" t="n"/>
    </row>
    <row r="71">
      <c r="A71" s="10" t="n"/>
      <c r="B71" s="11" t="n"/>
      <c r="C71" s="11" t="n"/>
      <c r="D71" s="11" t="n"/>
      <c r="E71" s="12" t="n"/>
      <c r="F71" s="11" t="n"/>
      <c r="G71" s="11" t="n"/>
    </row>
    <row r="72">
      <c r="A72" s="10" t="n"/>
      <c r="B72" s="11" t="n"/>
      <c r="C72" s="11" t="n"/>
      <c r="D72" s="11" t="n"/>
      <c r="E72" s="12" t="n"/>
      <c r="F72" s="11" t="n"/>
      <c r="G72" s="11" t="n"/>
    </row>
    <row r="73">
      <c r="A73" s="10" t="n"/>
      <c r="B73" s="11" t="n"/>
      <c r="C73" s="11" t="n"/>
      <c r="D73" s="11" t="n"/>
      <c r="E73" s="12" t="n"/>
      <c r="F73" s="11" t="n"/>
      <c r="G73" s="11" t="n"/>
    </row>
    <row r="74">
      <c r="A74" s="10" t="n"/>
      <c r="B74" s="11" t="n"/>
      <c r="C74" s="11" t="n"/>
      <c r="D74" s="11" t="n"/>
      <c r="E74" s="12" t="n"/>
      <c r="F74" s="11" t="n"/>
      <c r="G74" s="11" t="n"/>
    </row>
    <row r="75">
      <c r="A75" s="10" t="n"/>
      <c r="B75" s="11" t="n"/>
      <c r="C75" s="11" t="n"/>
      <c r="D75" s="11" t="n"/>
      <c r="E75" s="12" t="n"/>
      <c r="F75" s="11" t="n"/>
      <c r="G75" s="11" t="n"/>
    </row>
    <row r="76">
      <c r="A76" s="10" t="n"/>
      <c r="B76" s="11" t="n"/>
      <c r="C76" s="11" t="n"/>
      <c r="D76" s="11" t="n"/>
      <c r="E76" s="12" t="n"/>
      <c r="F76" s="11" t="n"/>
      <c r="G76" s="11" t="n"/>
    </row>
    <row r="77">
      <c r="A77" s="10" t="n"/>
      <c r="B77" s="11" t="n"/>
      <c r="C77" s="11" t="n"/>
      <c r="D77" s="11" t="n"/>
      <c r="E77" s="12" t="n"/>
      <c r="F77" s="11" t="n"/>
      <c r="G77" s="11" t="n"/>
    </row>
    <row r="78">
      <c r="A78" s="10" t="n"/>
      <c r="B78" s="11" t="n"/>
      <c r="C78" s="11" t="n"/>
      <c r="D78" s="11" t="n"/>
      <c r="E78" s="12" t="n"/>
      <c r="F78" s="11" t="n"/>
      <c r="G78" s="11" t="n"/>
    </row>
    <row r="79">
      <c r="A79" s="10" t="n"/>
      <c r="B79" s="11" t="n"/>
      <c r="C79" s="11" t="n"/>
      <c r="D79" s="11" t="n"/>
      <c r="E79" s="12" t="n"/>
      <c r="F79" s="11" t="n"/>
      <c r="G79" s="11" t="n"/>
    </row>
    <row r="80">
      <c r="A80" s="10" t="n"/>
      <c r="B80" s="11" t="n"/>
      <c r="C80" s="11" t="n"/>
      <c r="D80" s="11" t="n"/>
      <c r="E80" s="12" t="n"/>
      <c r="F80" s="11" t="n"/>
      <c r="G80" s="11" t="n"/>
    </row>
    <row r="81">
      <c r="A81" s="10" t="n"/>
      <c r="B81" s="11" t="n"/>
      <c r="C81" s="11" t="n"/>
      <c r="D81" s="11" t="n"/>
      <c r="E81" s="12" t="n"/>
      <c r="F81" s="11" t="n"/>
      <c r="G81" s="11" t="n"/>
    </row>
    <row r="82">
      <c r="A82" s="10" t="n"/>
      <c r="B82" s="11" t="n"/>
      <c r="C82" s="11" t="n"/>
      <c r="D82" s="11" t="n"/>
      <c r="E82" s="12" t="n"/>
      <c r="F82" s="11" t="n"/>
      <c r="G82" s="11" t="n"/>
    </row>
    <row r="83">
      <c r="A83" s="10" t="n"/>
      <c r="B83" s="11" t="n"/>
      <c r="C83" s="11" t="n"/>
      <c r="D83" s="11" t="n"/>
      <c r="E83" s="12" t="n"/>
      <c r="F83" s="11" t="n"/>
      <c r="G83" s="11" t="n"/>
    </row>
    <row r="84">
      <c r="A84" s="10" t="n"/>
      <c r="B84" s="11" t="n"/>
      <c r="C84" s="11" t="n"/>
      <c r="D84" s="11" t="n"/>
      <c r="E84" s="12" t="n"/>
      <c r="F84" s="11" t="n"/>
      <c r="G84" s="11" t="n"/>
    </row>
    <row r="85">
      <c r="A85" s="10" t="n"/>
      <c r="B85" s="11" t="n"/>
      <c r="C85" s="11" t="n"/>
      <c r="D85" s="11" t="n"/>
      <c r="E85" s="12" t="n"/>
      <c r="F85" s="11" t="n"/>
      <c r="G85" s="11" t="n"/>
    </row>
    <row r="86">
      <c r="A86" s="10" t="n"/>
      <c r="B86" s="11" t="n"/>
      <c r="C86" s="11" t="n"/>
      <c r="D86" s="11" t="n"/>
      <c r="E86" s="12" t="n"/>
      <c r="F86" s="11" t="n"/>
      <c r="G86" s="11" t="n"/>
    </row>
    <row r="87">
      <c r="A87" s="10" t="n"/>
      <c r="B87" s="11" t="n"/>
      <c r="C87" s="11" t="n"/>
      <c r="D87" s="11" t="n"/>
      <c r="E87" s="12" t="n"/>
      <c r="F87" s="11" t="n"/>
      <c r="G87" s="11" t="n"/>
    </row>
    <row r="88">
      <c r="A88" s="10" t="n"/>
      <c r="B88" s="11" t="n"/>
      <c r="C88" s="11" t="n"/>
      <c r="D88" s="11" t="n"/>
      <c r="E88" s="12" t="n"/>
      <c r="F88" s="11" t="n"/>
      <c r="G88" s="11" t="n"/>
    </row>
    <row r="89">
      <c r="A89" s="10" t="n"/>
      <c r="B89" s="11" t="n"/>
      <c r="C89" s="11" t="n"/>
      <c r="D89" s="11" t="n"/>
      <c r="E89" s="12" t="n"/>
      <c r="F89" s="11" t="n"/>
      <c r="G89" s="11" t="n"/>
    </row>
    <row r="90">
      <c r="A90" s="10" t="n"/>
      <c r="B90" s="11" t="n"/>
      <c r="C90" s="11" t="n"/>
      <c r="D90" s="11" t="n"/>
      <c r="E90" s="12" t="n"/>
      <c r="F90" s="11" t="n"/>
      <c r="G90" s="11" t="n"/>
    </row>
    <row r="91">
      <c r="A91" s="10" t="n"/>
      <c r="B91" s="11" t="n"/>
      <c r="C91" s="11" t="n"/>
      <c r="D91" s="11" t="n"/>
      <c r="E91" s="12" t="n"/>
      <c r="F91" s="11" t="n"/>
      <c r="G91" s="11" t="n"/>
    </row>
    <row r="92">
      <c r="A92" s="10" t="n"/>
      <c r="B92" s="11" t="n"/>
      <c r="C92" s="11" t="n"/>
      <c r="D92" s="11" t="n"/>
      <c r="E92" s="12" t="n"/>
      <c r="F92" s="11" t="n"/>
      <c r="G92" s="11" t="n"/>
    </row>
    <row r="93">
      <c r="A93" s="10" t="n"/>
      <c r="B93" s="11" t="n"/>
      <c r="C93" s="11" t="n"/>
      <c r="D93" s="11" t="n"/>
      <c r="E93" s="12" t="n"/>
      <c r="F93" s="11" t="n"/>
      <c r="G93" s="11" t="n"/>
    </row>
    <row r="94">
      <c r="A94" s="10" t="n"/>
      <c r="B94" s="11" t="n"/>
      <c r="C94" s="11" t="n"/>
      <c r="D94" s="11" t="n"/>
      <c r="E94" s="12" t="n"/>
      <c r="F94" s="11" t="n"/>
      <c r="G94" s="11" t="n"/>
    </row>
    <row r="95">
      <c r="A95" s="10" t="n"/>
      <c r="B95" s="11" t="n"/>
      <c r="C95" s="11" t="n"/>
      <c r="D95" s="11" t="n"/>
      <c r="E95" s="12" t="n"/>
      <c r="F95" s="11" t="n"/>
      <c r="G95" s="11" t="n"/>
    </row>
    <row r="96">
      <c r="A96" s="10" t="n"/>
      <c r="B96" s="11" t="n"/>
      <c r="C96" s="11" t="n"/>
      <c r="D96" s="11" t="n"/>
      <c r="E96" s="12" t="n"/>
      <c r="F96" s="11" t="n"/>
      <c r="G96" s="11" t="n"/>
    </row>
    <row r="97">
      <c r="A97" s="10" t="n"/>
      <c r="B97" s="11" t="n"/>
      <c r="C97" s="11" t="n"/>
      <c r="D97" s="11" t="n"/>
      <c r="E97" s="12" t="n"/>
      <c r="F97" s="11" t="n"/>
      <c r="G97" s="11" t="n"/>
    </row>
    <row r="98">
      <c r="A98" s="10" t="n"/>
      <c r="B98" s="11" t="n"/>
      <c r="C98" s="11" t="n"/>
      <c r="D98" s="11" t="n"/>
      <c r="E98" s="12" t="n"/>
      <c r="F98" s="11" t="n"/>
      <c r="G98" s="11" t="n"/>
    </row>
    <row r="99">
      <c r="A99" s="10" t="n"/>
      <c r="B99" s="11" t="n"/>
      <c r="C99" s="11" t="n"/>
      <c r="D99" s="11" t="n"/>
      <c r="E99" s="12" t="n"/>
      <c r="F99" s="11" t="n"/>
      <c r="G99" s="11" t="n"/>
    </row>
    <row r="100">
      <c r="A100" s="10" t="n"/>
      <c r="B100" s="11" t="n"/>
      <c r="C100" s="11" t="n"/>
      <c r="D100" s="11" t="n"/>
      <c r="E100" s="12" t="n"/>
      <c r="F100" s="11" t="n"/>
      <c r="G100" s="11" t="n"/>
    </row>
    <row r="101">
      <c r="A101" s="10" t="n"/>
      <c r="B101" s="11" t="n"/>
      <c r="C101" s="11" t="n"/>
      <c r="D101" s="11" t="n"/>
      <c r="E101" s="12" t="n"/>
      <c r="F101" s="11" t="n"/>
      <c r="G101" s="11" t="n"/>
    </row>
    <row r="102">
      <c r="A102" s="10" t="n"/>
      <c r="B102" s="11" t="n"/>
      <c r="C102" s="11" t="n"/>
      <c r="D102" s="11" t="n"/>
      <c r="E102" s="12" t="n"/>
      <c r="F102" s="11" t="n"/>
      <c r="G102" s="11" t="n"/>
    </row>
    <row r="103">
      <c r="A103" s="10" t="n"/>
      <c r="B103" s="11" t="n"/>
      <c r="C103" s="11" t="n"/>
      <c r="D103" s="11" t="n"/>
      <c r="E103" s="12" t="n"/>
      <c r="F103" s="11" t="n"/>
      <c r="G103" s="11" t="n"/>
    </row>
    <row r="104">
      <c r="A104" s="10" t="n"/>
      <c r="B104" s="11" t="n"/>
      <c r="C104" s="11" t="n"/>
      <c r="D104" s="11" t="n"/>
      <c r="E104" s="12" t="n"/>
      <c r="F104" s="11" t="n"/>
      <c r="G104" s="11" t="n"/>
    </row>
    <row r="105">
      <c r="A105" s="10" t="n"/>
      <c r="B105" s="11" t="n"/>
      <c r="C105" s="11" t="n"/>
      <c r="D105" s="11" t="n"/>
      <c r="E105" s="12" t="n"/>
      <c r="F105" s="11" t="n"/>
      <c r="G105" s="11" t="n"/>
    </row>
    <row r="106">
      <c r="A106" s="10" t="n"/>
      <c r="B106" s="11" t="n"/>
      <c r="C106" s="11" t="n"/>
      <c r="D106" s="11" t="n"/>
      <c r="E106" s="12" t="n"/>
      <c r="F106" s="11" t="n"/>
      <c r="G106" s="11" t="n"/>
    </row>
    <row r="107">
      <c r="A107" s="10" t="n"/>
      <c r="B107" s="11" t="n"/>
      <c r="C107" s="11" t="n"/>
      <c r="D107" s="11" t="n"/>
      <c r="E107" s="12" t="n"/>
      <c r="F107" s="11" t="n"/>
      <c r="G107" s="11" t="n"/>
    </row>
    <row r="108">
      <c r="A108" s="10" t="n"/>
      <c r="B108" s="11" t="n"/>
      <c r="C108" s="11" t="n"/>
      <c r="D108" s="11" t="n"/>
      <c r="E108" s="12" t="n"/>
      <c r="F108" s="11" t="n"/>
      <c r="G108" s="11" t="n"/>
    </row>
    <row r="109">
      <c r="A109" s="10" t="n"/>
      <c r="B109" s="11" t="n"/>
      <c r="C109" s="11" t="n"/>
      <c r="D109" s="11" t="n"/>
      <c r="E109" s="12" t="n"/>
      <c r="F109" s="11" t="n"/>
      <c r="G109" s="11" t="n"/>
    </row>
    <row r="110">
      <c r="A110" s="10" t="n"/>
      <c r="B110" s="11" t="n"/>
      <c r="C110" s="11" t="n"/>
      <c r="D110" s="11" t="n"/>
      <c r="E110" s="12" t="n"/>
      <c r="F110" s="11" t="n"/>
      <c r="G110" s="11" t="n"/>
    </row>
    <row r="111">
      <c r="A111" s="10" t="n"/>
      <c r="B111" s="11" t="n"/>
      <c r="C111" s="11" t="n"/>
      <c r="D111" s="11" t="n"/>
      <c r="E111" s="12" t="n"/>
      <c r="F111" s="11" t="n"/>
      <c r="G111" s="11" t="n"/>
    </row>
    <row r="112">
      <c r="A112" s="10" t="n"/>
      <c r="B112" s="11" t="n"/>
      <c r="C112" s="11" t="n"/>
      <c r="D112" s="11" t="n"/>
      <c r="E112" s="12" t="n"/>
      <c r="F112" s="11" t="n"/>
      <c r="G112" s="11" t="n"/>
    </row>
    <row r="113">
      <c r="A113" s="10" t="n"/>
      <c r="B113" s="11" t="n"/>
      <c r="C113" s="11" t="n"/>
      <c r="D113" s="11" t="n"/>
      <c r="E113" s="12" t="n"/>
      <c r="F113" s="11" t="n"/>
      <c r="G113" s="11" t="n"/>
    </row>
    <row r="114">
      <c r="A114" s="10" t="n"/>
      <c r="B114" s="11" t="n"/>
      <c r="C114" s="11" t="n"/>
      <c r="D114" s="11" t="n"/>
      <c r="E114" s="12" t="n"/>
      <c r="F114" s="11" t="n"/>
      <c r="G114" s="11" t="n"/>
    </row>
    <row r="115">
      <c r="A115" s="10" t="n"/>
      <c r="B115" s="11" t="n"/>
      <c r="C115" s="11" t="n"/>
      <c r="D115" s="11" t="n"/>
      <c r="E115" s="12" t="n"/>
      <c r="F115" s="11" t="n"/>
      <c r="G115" s="11" t="n"/>
    </row>
    <row r="116">
      <c r="A116" s="10" t="n"/>
      <c r="B116" s="11" t="n"/>
      <c r="C116" s="11" t="n"/>
      <c r="D116" s="11" t="n"/>
      <c r="E116" s="12" t="n"/>
      <c r="F116" s="11" t="n"/>
      <c r="G116" s="11" t="n"/>
    </row>
    <row r="117">
      <c r="A117" s="10" t="n"/>
      <c r="B117" s="11" t="n"/>
      <c r="C117" s="11" t="n"/>
      <c r="D117" s="11" t="n"/>
      <c r="E117" s="12" t="n"/>
      <c r="F117" s="11" t="n"/>
      <c r="G117" s="11" t="n"/>
    </row>
    <row r="118">
      <c r="A118" s="10" t="n"/>
      <c r="B118" s="11" t="n"/>
      <c r="C118" s="11" t="n"/>
      <c r="D118" s="11" t="n"/>
      <c r="E118" s="12" t="n"/>
      <c r="F118" s="11" t="n"/>
      <c r="G118" s="11" t="n"/>
    </row>
    <row r="119">
      <c r="A119" s="10" t="n"/>
      <c r="B119" s="11" t="n"/>
      <c r="C119" s="11" t="n"/>
      <c r="D119" s="11" t="n"/>
      <c r="E119" s="12" t="n"/>
      <c r="F119" s="11" t="n"/>
      <c r="G119" s="11" t="n"/>
    </row>
    <row r="120">
      <c r="A120" s="10" t="n"/>
      <c r="B120" s="11" t="n"/>
      <c r="C120" s="11" t="n"/>
      <c r="D120" s="11" t="n"/>
      <c r="E120" s="12" t="n"/>
      <c r="F120" s="11" t="n"/>
      <c r="G120" s="11" t="n"/>
    </row>
    <row r="121">
      <c r="A121" s="10" t="n"/>
      <c r="B121" s="11" t="n"/>
      <c r="C121" s="11" t="n"/>
      <c r="D121" s="11" t="n"/>
      <c r="E121" s="12" t="n"/>
      <c r="F121" s="11" t="n"/>
      <c r="G121" s="11" t="n"/>
    </row>
    <row r="122">
      <c r="A122" s="10" t="n"/>
      <c r="B122" s="11" t="n"/>
      <c r="C122" s="11" t="n"/>
      <c r="D122" s="11" t="n"/>
      <c r="E122" s="12" t="n"/>
      <c r="F122" s="11" t="n"/>
      <c r="G122" s="11" t="n"/>
    </row>
    <row r="123">
      <c r="A123" s="10" t="n"/>
      <c r="B123" s="11" t="n"/>
      <c r="C123" s="11" t="n"/>
      <c r="D123" s="11" t="n"/>
      <c r="E123" s="12" t="n"/>
      <c r="F123" s="11" t="n"/>
      <c r="G123" s="11" t="n"/>
    </row>
    <row r="124">
      <c r="A124" s="10" t="n"/>
      <c r="B124" s="11" t="n"/>
      <c r="C124" s="11" t="n"/>
      <c r="D124" s="11" t="n"/>
      <c r="E124" s="12" t="n"/>
      <c r="F124" s="11" t="n"/>
      <c r="G124" s="11" t="n"/>
    </row>
    <row r="125">
      <c r="A125" s="10" t="n"/>
      <c r="B125" s="11" t="n"/>
      <c r="C125" s="11" t="n"/>
      <c r="D125" s="11" t="n"/>
      <c r="E125" s="12" t="n"/>
      <c r="F125" s="11" t="n"/>
      <c r="G125" s="11" t="n"/>
    </row>
    <row r="126">
      <c r="A126" s="10" t="n"/>
      <c r="B126" s="11" t="n"/>
      <c r="C126" s="11" t="n"/>
      <c r="D126" s="11" t="n"/>
      <c r="E126" s="12" t="n"/>
      <c r="F126" s="11" t="n"/>
      <c r="G126" s="11" t="n"/>
    </row>
    <row r="127">
      <c r="A127" s="10" t="n"/>
      <c r="B127" s="11" t="n"/>
      <c r="C127" s="11" t="n"/>
      <c r="D127" s="11" t="n"/>
      <c r="E127" s="12" t="n"/>
      <c r="F127" s="11" t="n"/>
      <c r="G127" s="11" t="n"/>
    </row>
    <row r="128">
      <c r="A128" s="10" t="n"/>
      <c r="B128" s="11" t="n"/>
      <c r="C128" s="11" t="n"/>
      <c r="D128" s="11" t="n"/>
      <c r="E128" s="12" t="n"/>
      <c r="F128" s="11" t="n"/>
      <c r="G128" s="11" t="n"/>
    </row>
    <row r="129">
      <c r="A129" s="10" t="n"/>
      <c r="B129" s="11" t="n"/>
      <c r="C129" s="11" t="n"/>
      <c r="D129" s="11" t="n"/>
      <c r="E129" s="12" t="n"/>
      <c r="F129" s="11" t="n"/>
      <c r="G129" s="11" t="n"/>
    </row>
    <row r="130">
      <c r="A130" s="10" t="n"/>
      <c r="B130" s="11" t="n"/>
      <c r="C130" s="11" t="n"/>
      <c r="D130" s="11" t="n"/>
      <c r="E130" s="12" t="n"/>
      <c r="F130" s="11" t="n"/>
      <c r="G130" s="11" t="n"/>
    </row>
    <row r="131">
      <c r="A131" s="10" t="n"/>
      <c r="B131" s="11" t="n"/>
      <c r="C131" s="11" t="n"/>
      <c r="D131" s="11" t="n"/>
      <c r="E131" s="12" t="n"/>
      <c r="F131" s="11" t="n"/>
      <c r="G131" s="11" t="n"/>
    </row>
    <row r="132">
      <c r="A132" s="10" t="n"/>
      <c r="B132" s="11" t="n"/>
      <c r="C132" s="11" t="n"/>
      <c r="D132" s="11" t="n"/>
      <c r="E132" s="12" t="n"/>
      <c r="F132" s="11" t="n"/>
      <c r="G132" s="11" t="n"/>
    </row>
    <row r="133">
      <c r="A133" s="10" t="n"/>
      <c r="B133" s="11" t="n"/>
      <c r="C133" s="11" t="n"/>
      <c r="D133" s="11" t="n"/>
      <c r="E133" s="12" t="n"/>
      <c r="F133" s="11" t="n"/>
      <c r="G133" s="11" t="n"/>
    </row>
    <row r="134">
      <c r="A134" s="10" t="n"/>
      <c r="B134" s="11" t="n"/>
      <c r="C134" s="11" t="n"/>
      <c r="D134" s="11" t="n"/>
      <c r="E134" s="12" t="n"/>
      <c r="F134" s="11" t="n"/>
      <c r="G134" s="11" t="n"/>
    </row>
    <row r="135">
      <c r="A135" s="10" t="n"/>
      <c r="B135" s="11" t="n"/>
      <c r="C135" s="11" t="n"/>
      <c r="D135" s="11" t="n"/>
      <c r="E135" s="12" t="n"/>
      <c r="F135" s="11" t="n"/>
      <c r="G135" s="11" t="n"/>
    </row>
    <row r="136">
      <c r="A136" s="10" t="n"/>
      <c r="B136" s="11" t="n"/>
      <c r="C136" s="11" t="n"/>
      <c r="D136" s="11" t="n"/>
      <c r="E136" s="12" t="n"/>
      <c r="F136" s="11" t="n"/>
      <c r="G136" s="11" t="n"/>
    </row>
    <row r="137">
      <c r="A137" s="10" t="n"/>
      <c r="B137" s="11" t="n"/>
      <c r="C137" s="11" t="n"/>
      <c r="D137" s="11" t="n"/>
      <c r="E137" s="12" t="n"/>
      <c r="F137" s="11" t="n"/>
      <c r="G137" s="11" t="n"/>
    </row>
    <row r="138">
      <c r="A138" s="10" t="n"/>
      <c r="B138" s="11" t="n"/>
      <c r="C138" s="11" t="n"/>
      <c r="D138" s="11" t="n"/>
      <c r="E138" s="12" t="n"/>
      <c r="F138" s="11" t="n"/>
      <c r="G138" s="11" t="n"/>
    </row>
    <row r="139">
      <c r="A139" s="10" t="n"/>
      <c r="B139" s="11" t="n"/>
      <c r="C139" s="11" t="n"/>
      <c r="D139" s="11" t="n"/>
      <c r="E139" s="12" t="n"/>
      <c r="F139" s="11" t="n"/>
      <c r="G139" s="11" t="n"/>
    </row>
    <row r="140">
      <c r="A140" s="10" t="n"/>
      <c r="B140" s="11" t="n"/>
      <c r="C140" s="11" t="n"/>
      <c r="D140" s="11" t="n"/>
      <c r="E140" s="12" t="n"/>
      <c r="F140" s="11" t="n"/>
      <c r="G140" s="11" t="n"/>
    </row>
    <row r="141">
      <c r="A141" s="10" t="n"/>
      <c r="B141" s="11" t="n"/>
      <c r="C141" s="11" t="n"/>
      <c r="D141" s="11" t="n"/>
      <c r="E141" s="12" t="n"/>
      <c r="F141" s="11" t="n"/>
      <c r="G141" s="11" t="n"/>
    </row>
    <row r="142">
      <c r="A142" s="10" t="n"/>
      <c r="B142" s="11" t="n"/>
      <c r="C142" s="11" t="n"/>
      <c r="D142" s="11" t="n"/>
      <c r="E142" s="12" t="n"/>
      <c r="F142" s="11" t="n"/>
      <c r="G142" s="11" t="n"/>
    </row>
    <row r="143">
      <c r="A143" s="10" t="n"/>
      <c r="B143" s="11" t="n"/>
      <c r="C143" s="11" t="n"/>
      <c r="D143" s="11" t="n"/>
      <c r="E143" s="12" t="n"/>
      <c r="F143" s="11" t="n"/>
      <c r="G143" s="11" t="n"/>
    </row>
    <row r="144">
      <c r="A144" s="10" t="n"/>
      <c r="B144" s="11" t="n"/>
      <c r="C144" s="11" t="n"/>
      <c r="D144" s="11" t="n"/>
      <c r="E144" s="12" t="n"/>
      <c r="F144" s="11" t="n"/>
      <c r="G144" s="11" t="n"/>
    </row>
    <row r="145">
      <c r="A145" s="10" t="n"/>
      <c r="B145" s="11" t="n"/>
      <c r="C145" s="11" t="n"/>
      <c r="D145" s="11" t="n"/>
      <c r="E145" s="12" t="n"/>
      <c r="F145" s="11" t="n"/>
      <c r="G145" s="11" t="n"/>
    </row>
    <row r="146">
      <c r="A146" s="10" t="n"/>
      <c r="B146" s="11" t="n"/>
      <c r="C146" s="11" t="n"/>
      <c r="D146" s="11" t="n"/>
      <c r="E146" s="12" t="n"/>
      <c r="F146" s="11" t="n"/>
      <c r="G146" s="11" t="n"/>
    </row>
    <row r="147">
      <c r="A147" s="10" t="n"/>
      <c r="B147" s="11" t="n"/>
      <c r="C147" s="11" t="n"/>
      <c r="D147" s="11" t="n"/>
      <c r="E147" s="12" t="n"/>
      <c r="F147" s="11" t="n"/>
      <c r="G147" s="11" t="n"/>
    </row>
    <row r="148">
      <c r="A148" s="10" t="n"/>
      <c r="B148" s="11" t="n"/>
      <c r="C148" s="11" t="n"/>
      <c r="D148" s="11" t="n"/>
      <c r="E148" s="12" t="n"/>
      <c r="F148" s="11" t="n"/>
      <c r="G148" s="11" t="n"/>
    </row>
    <row r="149">
      <c r="A149" s="10" t="n"/>
      <c r="B149" s="11" t="n"/>
      <c r="C149" s="11" t="n"/>
      <c r="D149" s="11" t="n"/>
      <c r="E149" s="12" t="n"/>
      <c r="F149" s="11" t="n"/>
      <c r="G149" s="11" t="n"/>
    </row>
    <row r="150">
      <c r="A150" s="10" t="n"/>
      <c r="B150" s="11" t="n"/>
      <c r="C150" s="11" t="n"/>
      <c r="D150" s="11" t="n"/>
      <c r="E150" s="12" t="n"/>
      <c r="F150" s="11" t="n"/>
      <c r="G150" s="11" t="n"/>
    </row>
    <row r="151">
      <c r="A151" s="10" t="n"/>
      <c r="B151" s="11" t="n"/>
      <c r="C151" s="11" t="n"/>
      <c r="D151" s="11" t="n"/>
      <c r="E151" s="12" t="n"/>
      <c r="F151" s="11" t="n"/>
      <c r="G151" s="11" t="n"/>
    </row>
    <row r="152">
      <c r="A152" s="10" t="n"/>
      <c r="B152" s="11" t="n"/>
      <c r="C152" s="11" t="n"/>
      <c r="D152" s="11" t="n"/>
      <c r="E152" s="12" t="n"/>
      <c r="F152" s="11" t="n"/>
      <c r="G152" s="11" t="n"/>
    </row>
    <row r="153">
      <c r="A153" s="10" t="n"/>
      <c r="B153" s="11" t="n"/>
      <c r="C153" s="11" t="n"/>
      <c r="D153" s="11" t="n"/>
      <c r="E153" s="12" t="n"/>
      <c r="F153" s="11" t="n"/>
      <c r="G153" s="11" t="n"/>
    </row>
    <row r="154">
      <c r="A154" s="10" t="n"/>
      <c r="B154" s="11" t="n"/>
      <c r="C154" s="11" t="n"/>
      <c r="D154" s="11" t="n"/>
      <c r="E154" s="12" t="n"/>
      <c r="F154" s="11" t="n"/>
      <c r="G154" s="11" t="n"/>
    </row>
    <row r="155">
      <c r="A155" s="10" t="n"/>
      <c r="B155" s="11" t="n"/>
      <c r="C155" s="11" t="n"/>
      <c r="D155" s="11" t="n"/>
      <c r="E155" s="12" t="n"/>
      <c r="F155" s="11" t="n"/>
      <c r="G155" s="11" t="n"/>
    </row>
    <row r="156">
      <c r="A156" s="10" t="n"/>
      <c r="B156" s="11" t="n"/>
      <c r="C156" s="11" t="n"/>
      <c r="D156" s="11" t="n"/>
      <c r="E156" s="12" t="n"/>
      <c r="F156" s="11" t="n"/>
      <c r="G156" s="11" t="n"/>
    </row>
    <row r="157">
      <c r="A157" s="10" t="n"/>
      <c r="B157" s="11" t="n"/>
      <c r="C157" s="11" t="n"/>
      <c r="D157" s="11" t="n"/>
      <c r="E157" s="12" t="n"/>
      <c r="F157" s="11" t="n"/>
      <c r="G157" s="11" t="n"/>
    </row>
    <row r="158">
      <c r="A158" s="10" t="n"/>
      <c r="B158" s="11" t="n"/>
      <c r="C158" s="11" t="n"/>
      <c r="D158" s="11" t="n"/>
      <c r="E158" s="12" t="n"/>
      <c r="F158" s="11" t="n"/>
      <c r="G158" s="11" t="n"/>
    </row>
    <row r="159">
      <c r="A159" s="10" t="n"/>
      <c r="B159" s="11" t="n"/>
      <c r="C159" s="11" t="n"/>
      <c r="D159" s="11" t="n"/>
      <c r="E159" s="12" t="n"/>
      <c r="F159" s="11" t="n"/>
      <c r="G159" s="11" t="n"/>
    </row>
    <row r="160">
      <c r="A160" s="10" t="n"/>
      <c r="B160" s="11" t="n"/>
      <c r="C160" s="11" t="n"/>
      <c r="D160" s="11" t="n"/>
      <c r="E160" s="12" t="n"/>
      <c r="F160" s="11" t="n"/>
      <c r="G160" s="11" t="n"/>
    </row>
    <row r="161">
      <c r="A161" s="10" t="n"/>
      <c r="B161" s="11" t="n"/>
      <c r="C161" s="11" t="n"/>
      <c r="D161" s="11" t="n"/>
      <c r="E161" s="12" t="n"/>
      <c r="F161" s="11" t="n"/>
      <c r="G161" s="11" t="n"/>
    </row>
    <row r="162">
      <c r="A162" s="10" t="n"/>
      <c r="B162" s="11" t="n"/>
      <c r="C162" s="11" t="n"/>
      <c r="D162" s="11" t="n"/>
      <c r="E162" s="12" t="n"/>
      <c r="F162" s="11" t="n"/>
      <c r="G162" s="11" t="n"/>
    </row>
    <row r="163">
      <c r="A163" s="10" t="n"/>
      <c r="B163" s="11" t="n"/>
      <c r="C163" s="11" t="n"/>
      <c r="D163" s="11" t="n"/>
      <c r="E163" s="12" t="n"/>
      <c r="F163" s="11" t="n"/>
      <c r="G163" s="11" t="n"/>
    </row>
    <row r="164">
      <c r="A164" s="10" t="n"/>
      <c r="B164" s="11" t="n"/>
      <c r="C164" s="11" t="n"/>
      <c r="D164" s="11" t="n"/>
      <c r="E164" s="12" t="n"/>
      <c r="F164" s="11" t="n"/>
      <c r="G164" s="11" t="n"/>
    </row>
    <row r="165">
      <c r="A165" s="10" t="n"/>
      <c r="B165" s="11" t="n"/>
      <c r="C165" s="11" t="n"/>
      <c r="D165" s="11" t="n"/>
      <c r="E165" s="12" t="n"/>
      <c r="F165" s="11" t="n"/>
      <c r="G165" s="11" t="n"/>
    </row>
    <row r="166">
      <c r="A166" s="10" t="n"/>
      <c r="B166" s="11" t="n"/>
      <c r="C166" s="11" t="n"/>
      <c r="D166" s="11" t="n"/>
      <c r="E166" s="12" t="n"/>
      <c r="F166" s="11" t="n"/>
      <c r="G166" s="11" t="n"/>
    </row>
    <row r="167">
      <c r="A167" s="10" t="n"/>
      <c r="B167" s="11" t="n"/>
      <c r="C167" s="11" t="n"/>
      <c r="D167" s="11" t="n"/>
      <c r="E167" s="12" t="n"/>
      <c r="F167" s="11" t="n"/>
      <c r="G167" s="11" t="n"/>
    </row>
    <row r="168">
      <c r="A168" s="10" t="n"/>
      <c r="B168" s="11" t="n"/>
      <c r="C168" s="11" t="n"/>
      <c r="D168" s="11" t="n"/>
      <c r="E168" s="12" t="n"/>
      <c r="F168" s="11" t="n"/>
      <c r="G168" s="11" t="n"/>
    </row>
    <row r="169">
      <c r="A169" s="10" t="n"/>
      <c r="B169" s="11" t="n"/>
      <c r="C169" s="11" t="n"/>
      <c r="D169" s="11" t="n"/>
      <c r="E169" s="12" t="n"/>
      <c r="F169" s="11" t="n"/>
      <c r="G169" s="11" t="n"/>
    </row>
    <row r="170">
      <c r="A170" s="10" t="n"/>
      <c r="B170" s="11" t="n"/>
      <c r="C170" s="11" t="n"/>
      <c r="D170" s="11" t="n"/>
      <c r="E170" s="12" t="n"/>
      <c r="F170" s="11" t="n"/>
      <c r="G170" s="11" t="n"/>
    </row>
    <row r="171">
      <c r="A171" s="10" t="n"/>
      <c r="B171" s="11" t="n"/>
      <c r="C171" s="11" t="n"/>
      <c r="D171" s="11" t="n"/>
      <c r="E171" s="12" t="n"/>
      <c r="F171" s="11" t="n"/>
      <c r="G171" s="11" t="n"/>
    </row>
    <row r="172">
      <c r="A172" s="10" t="n"/>
      <c r="B172" s="11" t="n"/>
      <c r="C172" s="11" t="n"/>
      <c r="D172" s="11" t="n"/>
      <c r="E172" s="12" t="n"/>
      <c r="F172" s="11" t="n"/>
      <c r="G172" s="11" t="n"/>
    </row>
    <row r="173">
      <c r="A173" s="10" t="n"/>
      <c r="B173" s="11" t="n"/>
      <c r="C173" s="11" t="n"/>
      <c r="D173" s="11" t="n"/>
      <c r="E173" s="12" t="n"/>
      <c r="F173" s="11" t="n"/>
      <c r="G173" s="11" t="n"/>
    </row>
    <row r="174">
      <c r="A174" s="10" t="n"/>
      <c r="B174" s="11" t="n"/>
      <c r="C174" s="11" t="n"/>
      <c r="D174" s="11" t="n"/>
      <c r="E174" s="12" t="n"/>
      <c r="F174" s="11" t="n"/>
      <c r="G174" s="11" t="n"/>
    </row>
    <row r="175">
      <c r="A175" s="10" t="n"/>
      <c r="B175" s="11" t="n"/>
      <c r="C175" s="11" t="n"/>
      <c r="D175" s="11" t="n"/>
      <c r="E175" s="12" t="n"/>
      <c r="F175" s="11" t="n"/>
      <c r="G175" s="11" t="n"/>
    </row>
    <row r="176">
      <c r="A176" s="10" t="n"/>
      <c r="B176" s="11" t="n"/>
      <c r="C176" s="11" t="n"/>
      <c r="D176" s="11" t="n"/>
      <c r="E176" s="12" t="n"/>
      <c r="F176" s="11" t="n"/>
      <c r="G176" s="11" t="n"/>
    </row>
    <row r="177">
      <c r="A177" s="10" t="n"/>
      <c r="B177" s="11" t="n"/>
      <c r="C177" s="11" t="n"/>
      <c r="D177" s="11" t="n"/>
      <c r="E177" s="12" t="n"/>
      <c r="F177" s="11" t="n"/>
      <c r="G177" s="11" t="n"/>
    </row>
    <row r="178">
      <c r="A178" s="10" t="n"/>
      <c r="B178" s="11" t="n"/>
      <c r="C178" s="11" t="n"/>
      <c r="D178" s="11" t="n"/>
      <c r="E178" s="12" t="n"/>
      <c r="F178" s="11" t="n"/>
      <c r="G178" s="11" t="n"/>
    </row>
    <row r="179">
      <c r="A179" s="10" t="n"/>
      <c r="B179" s="11" t="n"/>
      <c r="C179" s="11" t="n"/>
      <c r="D179" s="11" t="n"/>
      <c r="E179" s="12" t="n"/>
      <c r="F179" s="11" t="n"/>
      <c r="G179" s="11" t="n"/>
    </row>
    <row r="180">
      <c r="A180" s="10" t="n"/>
      <c r="B180" s="11" t="n"/>
      <c r="C180" s="11" t="n"/>
      <c r="D180" s="11" t="n"/>
      <c r="E180" s="12" t="n"/>
      <c r="F180" s="11" t="n"/>
      <c r="G180" s="11" t="n"/>
    </row>
    <row r="181">
      <c r="A181" s="10" t="n"/>
      <c r="B181" s="11" t="n"/>
      <c r="C181" s="11" t="n"/>
      <c r="D181" s="11" t="n"/>
      <c r="E181" s="12" t="n"/>
      <c r="F181" s="11" t="n"/>
      <c r="G181" s="11" t="n"/>
    </row>
    <row r="182">
      <c r="A182" s="10" t="n"/>
      <c r="B182" s="11" t="n"/>
      <c r="C182" s="11" t="n"/>
      <c r="D182" s="11" t="n"/>
      <c r="E182" s="12" t="n"/>
      <c r="F182" s="11" t="n"/>
      <c r="G182" s="11" t="n"/>
    </row>
    <row r="183">
      <c r="A183" s="10" t="n"/>
      <c r="B183" s="11" t="n"/>
      <c r="C183" s="11" t="n"/>
      <c r="D183" s="11" t="n"/>
      <c r="E183" s="12" t="n"/>
      <c r="F183" s="11" t="n"/>
      <c r="G183" s="11" t="n"/>
    </row>
    <row r="184">
      <c r="A184" s="10" t="n"/>
      <c r="B184" s="11" t="n"/>
      <c r="C184" s="11" t="n"/>
      <c r="D184" s="11" t="n"/>
      <c r="E184" s="12" t="n"/>
      <c r="F184" s="11" t="n"/>
      <c r="G184" s="11" t="n"/>
    </row>
    <row r="185">
      <c r="A185" s="10" t="n"/>
      <c r="B185" s="11" t="n"/>
      <c r="C185" s="11" t="n"/>
      <c r="D185" s="11" t="n"/>
      <c r="E185" s="12" t="n"/>
      <c r="F185" s="11" t="n"/>
      <c r="G185" s="11" t="n"/>
    </row>
    <row r="186">
      <c r="A186" s="10" t="n"/>
      <c r="B186" s="11" t="n"/>
      <c r="C186" s="11" t="n"/>
      <c r="D186" s="11" t="n"/>
      <c r="E186" s="12" t="n"/>
      <c r="F186" s="11" t="n"/>
      <c r="G186" s="11" t="n"/>
    </row>
    <row r="187">
      <c r="A187" s="10" t="n"/>
      <c r="B187" s="11" t="n"/>
      <c r="C187" s="11" t="n"/>
      <c r="D187" s="11" t="n"/>
      <c r="E187" s="12" t="n"/>
      <c r="F187" s="11" t="n"/>
      <c r="G187" s="11" t="n"/>
    </row>
    <row r="188">
      <c r="A188" s="10" t="n"/>
      <c r="B188" s="11" t="n"/>
      <c r="C188" s="11" t="n"/>
      <c r="D188" s="11" t="n"/>
      <c r="E188" s="12" t="n"/>
      <c r="F188" s="11" t="n"/>
      <c r="G188" s="11" t="n"/>
    </row>
    <row r="189">
      <c r="A189" s="10" t="n"/>
      <c r="B189" s="11" t="n"/>
      <c r="C189" s="11" t="n"/>
      <c r="D189" s="11" t="n"/>
      <c r="E189" s="12" t="n"/>
      <c r="F189" s="11" t="n"/>
      <c r="G189" s="11" t="n"/>
    </row>
    <row r="190">
      <c r="A190" s="10" t="n"/>
      <c r="B190" s="11" t="n"/>
      <c r="C190" s="11" t="n"/>
      <c r="D190" s="11" t="n"/>
      <c r="E190" s="12" t="n"/>
      <c r="F190" s="11" t="n"/>
      <c r="G190" s="11" t="n"/>
    </row>
    <row r="191">
      <c r="A191" s="10" t="n"/>
      <c r="B191" s="11" t="n"/>
      <c r="C191" s="11" t="n"/>
      <c r="D191" s="11" t="n"/>
      <c r="E191" s="12" t="n"/>
      <c r="F191" s="11" t="n"/>
      <c r="G191" s="11" t="n"/>
    </row>
    <row r="192">
      <c r="A192" s="10" t="n"/>
      <c r="B192" s="11" t="n"/>
      <c r="C192" s="11" t="n"/>
      <c r="D192" s="11" t="n"/>
      <c r="E192" s="12" t="n"/>
      <c r="F192" s="11" t="n"/>
      <c r="G192" s="11" t="n"/>
    </row>
    <row r="193">
      <c r="A193" s="10" t="n"/>
      <c r="B193" s="11" t="n"/>
      <c r="C193" s="11" t="n"/>
      <c r="D193" s="11" t="n"/>
      <c r="E193" s="12" t="n"/>
      <c r="F193" s="11" t="n"/>
      <c r="G193" s="11" t="n"/>
    </row>
    <row r="194">
      <c r="A194" s="10" t="n"/>
      <c r="B194" s="11" t="n"/>
      <c r="C194" s="11" t="n"/>
      <c r="D194" s="11" t="n"/>
      <c r="E194" s="12" t="n"/>
      <c r="F194" s="11" t="n"/>
      <c r="G194" s="11" t="n"/>
    </row>
    <row r="195">
      <c r="A195" s="10" t="n"/>
      <c r="B195" s="11" t="n"/>
      <c r="C195" s="11" t="n"/>
      <c r="D195" s="11" t="n"/>
      <c r="E195" s="12" t="n"/>
      <c r="F195" s="11" t="n"/>
      <c r="G195" s="11" t="n"/>
    </row>
    <row r="196">
      <c r="A196" s="10" t="n"/>
      <c r="B196" s="11" t="n"/>
      <c r="C196" s="11" t="n"/>
      <c r="D196" s="11" t="n"/>
      <c r="E196" s="12" t="n"/>
      <c r="F196" s="11" t="n"/>
      <c r="G196" s="11" t="n"/>
    </row>
    <row r="197">
      <c r="A197" s="10" t="n"/>
      <c r="B197" s="11" t="n"/>
      <c r="C197" s="11" t="n"/>
      <c r="D197" s="11" t="n"/>
      <c r="E197" s="12" t="n"/>
      <c r="F197" s="11" t="n"/>
      <c r="G197" s="11" t="n"/>
    </row>
    <row r="198">
      <c r="A198" s="10" t="n"/>
      <c r="B198" s="11" t="n"/>
      <c r="C198" s="11" t="n"/>
      <c r="D198" s="11" t="n"/>
      <c r="E198" s="12" t="n"/>
      <c r="F198" s="11" t="n"/>
      <c r="G198" s="11" t="n"/>
    </row>
    <row r="199">
      <c r="A199" s="10" t="n"/>
      <c r="B199" s="11" t="n"/>
      <c r="C199" s="11" t="n"/>
      <c r="D199" s="11" t="n"/>
      <c r="E199" s="12" t="n"/>
      <c r="F199" s="11" t="n"/>
      <c r="G199" s="11" t="n"/>
    </row>
    <row r="200">
      <c r="A200" s="10" t="n"/>
      <c r="B200" s="11" t="n"/>
      <c r="C200" s="11" t="n"/>
      <c r="D200" s="11" t="n"/>
      <c r="E200" s="12" t="n"/>
      <c r="F200" s="11" t="n"/>
      <c r="G200" s="11" t="n"/>
    </row>
    <row r="201">
      <c r="A201" s="10" t="n"/>
      <c r="B201" s="11" t="n"/>
      <c r="C201" s="11" t="n"/>
      <c r="D201" s="11" t="n"/>
      <c r="E201" s="12" t="n"/>
      <c r="F201" s="11" t="n"/>
      <c r="G201" s="11" t="n"/>
    </row>
    <row r="202">
      <c r="A202" s="10" t="n"/>
      <c r="B202" s="11" t="n"/>
      <c r="C202" s="11" t="n"/>
      <c r="D202" s="11" t="n"/>
      <c r="E202" s="12" t="n"/>
      <c r="F202" s="11" t="n"/>
      <c r="G202" s="11" t="n"/>
    </row>
    <row r="203">
      <c r="A203" s="10" t="n"/>
      <c r="B203" s="11" t="n"/>
      <c r="C203" s="11" t="n"/>
      <c r="D203" s="11" t="n"/>
      <c r="E203" s="12" t="n"/>
      <c r="F203" s="11" t="n"/>
      <c r="G203" s="11" t="n"/>
    </row>
    <row r="204">
      <c r="A204" s="10" t="n"/>
      <c r="B204" s="11" t="n"/>
      <c r="C204" s="11" t="n"/>
      <c r="D204" s="11" t="n"/>
      <c r="E204" s="12" t="n"/>
      <c r="F204" s="11" t="n"/>
      <c r="G204" s="11" t="n"/>
    </row>
    <row r="205">
      <c r="A205" s="10" t="n"/>
      <c r="B205" s="11" t="n"/>
      <c r="C205" s="11" t="n"/>
      <c r="D205" s="11" t="n"/>
      <c r="E205" s="12" t="n"/>
      <c r="F205" s="11" t="n"/>
      <c r="G205" s="11" t="n"/>
    </row>
    <row r="206">
      <c r="A206" s="10" t="n"/>
      <c r="B206" s="11" t="n"/>
      <c r="C206" s="11" t="n"/>
      <c r="D206" s="11" t="n"/>
      <c r="E206" s="12" t="n"/>
      <c r="F206" s="11" t="n"/>
      <c r="G206" s="11" t="n"/>
    </row>
    <row r="207">
      <c r="A207" s="10" t="n"/>
      <c r="B207" s="11" t="n"/>
      <c r="C207" s="11" t="n"/>
      <c r="D207" s="11" t="n"/>
      <c r="E207" s="12" t="n"/>
      <c r="F207" s="11" t="n"/>
      <c r="G207" s="11" t="n"/>
    </row>
    <row r="208">
      <c r="A208" s="10" t="n"/>
      <c r="B208" s="11" t="n"/>
      <c r="C208" s="11" t="n"/>
      <c r="D208" s="11" t="n"/>
      <c r="E208" s="12" t="n"/>
      <c r="F208" s="11" t="n"/>
      <c r="G208" s="11" t="n"/>
    </row>
    <row r="209">
      <c r="A209" s="10" t="n"/>
      <c r="B209" s="11" t="n"/>
      <c r="C209" s="11" t="n"/>
      <c r="D209" s="11" t="n"/>
      <c r="E209" s="12" t="n"/>
      <c r="F209" s="11" t="n"/>
      <c r="G209" s="11" t="n"/>
    </row>
    <row r="210">
      <c r="A210" s="10" t="n"/>
      <c r="B210" s="11" t="n"/>
      <c r="C210" s="11" t="n"/>
      <c r="D210" s="11" t="n"/>
      <c r="E210" s="12" t="n"/>
      <c r="F210" s="11" t="n"/>
      <c r="G210" s="11" t="n"/>
    </row>
    <row r="211">
      <c r="A211" s="10" t="n"/>
      <c r="B211" s="11" t="n"/>
      <c r="C211" s="11" t="n"/>
      <c r="D211" s="11" t="n"/>
      <c r="E211" s="12" t="n"/>
      <c r="F211" s="11" t="n"/>
      <c r="G211" s="11" t="n"/>
    </row>
    <row r="212">
      <c r="A212" s="10" t="n"/>
      <c r="B212" s="11" t="n"/>
      <c r="C212" s="11" t="n"/>
      <c r="D212" s="11" t="n"/>
      <c r="E212" s="12" t="n"/>
      <c r="F212" s="11" t="n"/>
      <c r="G212" s="11" t="n"/>
    </row>
    <row r="213">
      <c r="A213" s="10" t="n"/>
      <c r="B213" s="11" t="n"/>
      <c r="C213" s="11" t="n"/>
      <c r="D213" s="11" t="n"/>
      <c r="E213" s="12" t="n"/>
      <c r="F213" s="11" t="n"/>
      <c r="G213" s="11" t="n"/>
    </row>
    <row r="214">
      <c r="A214" s="10" t="n"/>
      <c r="B214" s="11" t="n"/>
      <c r="C214" s="11" t="n"/>
      <c r="D214" s="11" t="n"/>
      <c r="E214" s="12" t="n"/>
      <c r="F214" s="11" t="n"/>
      <c r="G214" s="11" t="n"/>
    </row>
    <row r="215">
      <c r="A215" s="10" t="n"/>
      <c r="B215" s="11" t="n"/>
      <c r="C215" s="11" t="n"/>
      <c r="D215" s="11" t="n"/>
      <c r="E215" s="12" t="n"/>
      <c r="F215" s="11" t="n"/>
      <c r="G215" s="11" t="n"/>
    </row>
    <row r="216">
      <c r="A216" s="10" t="n"/>
      <c r="B216" s="11" t="n"/>
      <c r="C216" s="11" t="n"/>
      <c r="D216" s="11" t="n"/>
      <c r="E216" s="12" t="n"/>
      <c r="F216" s="11" t="n"/>
      <c r="G216" s="11" t="n"/>
    </row>
    <row r="217">
      <c r="A217" s="10" t="n"/>
      <c r="B217" s="11" t="n"/>
      <c r="C217" s="11" t="n"/>
      <c r="D217" s="11" t="n"/>
      <c r="E217" s="12" t="n"/>
      <c r="F217" s="11" t="n"/>
      <c r="G217" s="11" t="n"/>
    </row>
    <row r="218">
      <c r="A218" s="10" t="n"/>
      <c r="B218" s="11" t="n"/>
      <c r="C218" s="11" t="n"/>
      <c r="D218" s="11" t="n"/>
      <c r="E218" s="12" t="n"/>
      <c r="F218" s="11" t="n"/>
      <c r="G218" s="11" t="n"/>
    </row>
    <row r="219">
      <c r="A219" s="10" t="n"/>
      <c r="B219" s="11" t="n"/>
      <c r="C219" s="11" t="n"/>
      <c r="D219" s="11" t="n"/>
      <c r="E219" s="12" t="n"/>
      <c r="F219" s="11" t="n"/>
      <c r="G219" s="11" t="n"/>
    </row>
    <row r="220">
      <c r="A220" s="10" t="n"/>
      <c r="B220" s="11" t="n"/>
      <c r="C220" s="11" t="n"/>
      <c r="D220" s="11" t="n"/>
      <c r="E220" s="12" t="n"/>
      <c r="F220" s="11" t="n"/>
      <c r="G220" s="11" t="n"/>
    </row>
    <row r="221">
      <c r="A221" s="10" t="n"/>
      <c r="B221" s="11" t="n"/>
      <c r="C221" s="11" t="n"/>
      <c r="D221" s="11" t="n"/>
      <c r="E221" s="12" t="n"/>
      <c r="F221" s="11" t="n"/>
      <c r="G221" s="11" t="n"/>
    </row>
    <row r="222">
      <c r="A222" s="10" t="n"/>
      <c r="B222" s="11" t="n"/>
      <c r="C222" s="11" t="n"/>
      <c r="D222" s="11" t="n"/>
      <c r="E222" s="12" t="n"/>
      <c r="F222" s="11" t="n"/>
      <c r="G222" s="11" t="n"/>
    </row>
    <row r="223">
      <c r="A223" s="10" t="n"/>
      <c r="B223" s="11" t="n"/>
      <c r="C223" s="11" t="n"/>
      <c r="D223" s="11" t="n"/>
      <c r="E223" s="12" t="n"/>
      <c r="F223" s="11" t="n"/>
      <c r="G223" s="11" t="n"/>
    </row>
    <row r="224">
      <c r="A224" s="10" t="n"/>
      <c r="B224" s="11" t="n"/>
      <c r="C224" s="11" t="n"/>
      <c r="D224" s="11" t="n"/>
      <c r="E224" s="12" t="n"/>
      <c r="F224" s="11" t="n"/>
      <c r="G224" s="11" t="n"/>
    </row>
    <row r="225">
      <c r="A225" s="10" t="n"/>
      <c r="B225" s="11" t="n"/>
      <c r="C225" s="11" t="n"/>
      <c r="D225" s="11" t="n"/>
      <c r="E225" s="12" t="n"/>
      <c r="F225" s="11" t="n"/>
      <c r="G225" s="11" t="n"/>
    </row>
    <row r="226">
      <c r="A226" s="10" t="n"/>
      <c r="B226" s="11" t="n"/>
      <c r="C226" s="11" t="n"/>
      <c r="D226" s="11" t="n"/>
      <c r="E226" s="12" t="n"/>
      <c r="F226" s="11" t="n"/>
      <c r="G226" s="11" t="n"/>
    </row>
    <row r="227">
      <c r="A227" s="10" t="n"/>
      <c r="B227" s="11" t="n"/>
      <c r="C227" s="11" t="n"/>
      <c r="D227" s="11" t="n"/>
      <c r="E227" s="12" t="n"/>
      <c r="F227" s="11" t="n"/>
      <c r="G227" s="11" t="n"/>
    </row>
    <row r="228">
      <c r="A228" s="10" t="n"/>
      <c r="B228" s="11" t="n"/>
      <c r="C228" s="11" t="n"/>
      <c r="D228" s="11" t="n"/>
      <c r="E228" s="12" t="n"/>
      <c r="F228" s="11" t="n"/>
      <c r="G228" s="11" t="n"/>
    </row>
    <row r="229">
      <c r="A229" s="10" t="n"/>
      <c r="B229" s="11" t="n"/>
      <c r="C229" s="11" t="n"/>
      <c r="D229" s="11" t="n"/>
      <c r="E229" s="12" t="n"/>
      <c r="F229" s="11" t="n"/>
      <c r="G229" s="11" t="n"/>
    </row>
    <row r="230">
      <c r="A230" s="10" t="n"/>
      <c r="B230" s="11" t="n"/>
      <c r="C230" s="11" t="n"/>
      <c r="D230" s="11" t="n"/>
      <c r="E230" s="12" t="n"/>
      <c r="F230" s="11" t="n"/>
      <c r="G230" s="11" t="n"/>
    </row>
    <row r="231">
      <c r="A231" s="10" t="n"/>
      <c r="B231" s="11" t="n"/>
      <c r="C231" s="11" t="n"/>
      <c r="D231" s="11" t="n"/>
      <c r="E231" s="12" t="n"/>
      <c r="F231" s="11" t="n"/>
      <c r="G231" s="11" t="n"/>
    </row>
    <row r="232">
      <c r="A232" s="10" t="n"/>
      <c r="B232" s="11" t="n"/>
      <c r="C232" s="11" t="n"/>
      <c r="D232" s="11" t="n"/>
      <c r="E232" s="12" t="n"/>
      <c r="F232" s="11" t="n"/>
      <c r="G232" s="11" t="n"/>
    </row>
    <row r="233">
      <c r="A233" s="10" t="n"/>
      <c r="B233" s="11" t="n"/>
      <c r="C233" s="11" t="n"/>
      <c r="D233" s="11" t="n"/>
      <c r="E233" s="12" t="n"/>
      <c r="F233" s="11" t="n"/>
      <c r="G233" s="11" t="n"/>
    </row>
    <row r="234">
      <c r="A234" s="10" t="n"/>
      <c r="B234" s="11" t="n"/>
      <c r="C234" s="11" t="n"/>
      <c r="D234" s="11" t="n"/>
      <c r="E234" s="12" t="n"/>
      <c r="F234" s="11" t="n"/>
      <c r="G234" s="11" t="n"/>
    </row>
    <row r="235">
      <c r="A235" s="10" t="n"/>
      <c r="B235" s="11" t="n"/>
      <c r="C235" s="11" t="n"/>
      <c r="D235" s="11" t="n"/>
      <c r="E235" s="12" t="n"/>
      <c r="F235" s="11" t="n"/>
      <c r="G235" s="11" t="n"/>
    </row>
    <row r="236">
      <c r="A236" s="10" t="n"/>
      <c r="B236" s="11" t="n"/>
      <c r="C236" s="11" t="n"/>
      <c r="D236" s="11" t="n"/>
      <c r="E236" s="12" t="n"/>
      <c r="F236" s="11" t="n"/>
      <c r="G236" s="11" t="n"/>
    </row>
    <row r="237">
      <c r="A237" s="10" t="n"/>
      <c r="B237" s="11" t="n"/>
      <c r="C237" s="11" t="n"/>
      <c r="D237" s="11" t="n"/>
      <c r="E237" s="12" t="n"/>
      <c r="F237" s="11" t="n"/>
      <c r="G237" s="11" t="n"/>
    </row>
    <row r="238">
      <c r="A238" s="10" t="n"/>
      <c r="B238" s="11" t="n"/>
      <c r="C238" s="11" t="n"/>
      <c r="D238" s="11" t="n"/>
      <c r="E238" s="12" t="n"/>
      <c r="F238" s="11" t="n"/>
      <c r="G238" s="11" t="n"/>
    </row>
    <row r="239">
      <c r="A239" s="10" t="n"/>
      <c r="B239" s="11" t="n"/>
      <c r="C239" s="11" t="n"/>
      <c r="D239" s="11" t="n"/>
      <c r="E239" s="12" t="n"/>
      <c r="F239" s="11" t="n"/>
      <c r="G239" s="11" t="n"/>
    </row>
    <row r="240">
      <c r="A240" s="10" t="n"/>
      <c r="B240" s="11" t="n"/>
      <c r="C240" s="11" t="n"/>
      <c r="D240" s="11" t="n"/>
      <c r="E240" s="12" t="n"/>
      <c r="F240" s="11" t="n"/>
      <c r="G240" s="11" t="n"/>
    </row>
    <row r="241">
      <c r="A241" s="10" t="n"/>
      <c r="B241" s="11" t="n"/>
      <c r="C241" s="11" t="n"/>
      <c r="D241" s="11" t="n"/>
      <c r="E241" s="12" t="n"/>
      <c r="F241" s="11" t="n"/>
      <c r="G241" s="11" t="n"/>
    </row>
    <row r="242">
      <c r="A242" s="10" t="n"/>
      <c r="B242" s="11" t="n"/>
      <c r="C242" s="11" t="n"/>
      <c r="D242" s="11" t="n"/>
      <c r="E242" s="12" t="n"/>
      <c r="F242" s="11" t="n"/>
      <c r="G242" s="11" t="n"/>
    </row>
    <row r="243">
      <c r="A243" s="10" t="n"/>
      <c r="B243" s="11" t="n"/>
      <c r="C243" s="11" t="n"/>
      <c r="D243" s="11" t="n"/>
      <c r="E243" s="12" t="n"/>
      <c r="F243" s="11" t="n"/>
      <c r="G243" s="11" t="n"/>
    </row>
    <row r="244">
      <c r="A244" s="10" t="n"/>
      <c r="B244" s="11" t="n"/>
      <c r="C244" s="11" t="n"/>
      <c r="D244" s="11" t="n"/>
      <c r="E244" s="12" t="n"/>
      <c r="F244" s="11" t="n"/>
      <c r="G244" s="11" t="n"/>
    </row>
    <row r="245">
      <c r="A245" s="10" t="n"/>
      <c r="B245" s="11" t="n"/>
      <c r="C245" s="11" t="n"/>
      <c r="D245" s="11" t="n"/>
      <c r="E245" s="12" t="n"/>
      <c r="F245" s="11" t="n"/>
      <c r="G245" s="11" t="n"/>
    </row>
    <row r="246">
      <c r="A246" s="10" t="n"/>
      <c r="B246" s="11" t="n"/>
      <c r="C246" s="11" t="n"/>
      <c r="D246" s="11" t="n"/>
      <c r="E246" s="12" t="n"/>
      <c r="F246" s="11" t="n"/>
      <c r="G246" s="11" t="n"/>
    </row>
    <row r="247">
      <c r="A247" s="10" t="n"/>
      <c r="B247" s="11" t="n"/>
      <c r="C247" s="11" t="n"/>
      <c r="D247" s="11" t="n"/>
      <c r="E247" s="12" t="n"/>
      <c r="F247" s="11" t="n"/>
      <c r="G247" s="11" t="n"/>
    </row>
    <row r="248">
      <c r="A248" s="10" t="n"/>
      <c r="B248" s="11" t="n"/>
      <c r="C248" s="11" t="n"/>
      <c r="D248" s="11" t="n"/>
      <c r="E248" s="12" t="n"/>
      <c r="F248" s="11" t="n"/>
      <c r="G248" s="11" t="n"/>
    </row>
    <row r="249">
      <c r="A249" s="10" t="n"/>
      <c r="B249" s="11" t="n"/>
      <c r="C249" s="11" t="n"/>
      <c r="D249" s="11" t="n"/>
      <c r="E249" s="12" t="n"/>
      <c r="F249" s="11" t="n"/>
      <c r="G249" s="11" t="n"/>
    </row>
    <row r="250">
      <c r="A250" s="10" t="n"/>
      <c r="B250" s="11" t="n"/>
      <c r="C250" s="11" t="n"/>
      <c r="D250" s="11" t="n"/>
      <c r="E250" s="12" t="n"/>
      <c r="F250" s="11" t="n"/>
      <c r="G250" s="11" t="n"/>
    </row>
    <row r="251">
      <c r="A251" s="10" t="n"/>
      <c r="B251" s="11" t="n"/>
      <c r="C251" s="11" t="n"/>
      <c r="D251" s="11" t="n"/>
      <c r="E251" s="12" t="n"/>
      <c r="F251" s="11" t="n"/>
      <c r="G251" s="11" t="n"/>
    </row>
    <row r="252">
      <c r="A252" s="10" t="n"/>
      <c r="B252" s="11" t="n"/>
      <c r="C252" s="11" t="n"/>
      <c r="D252" s="11" t="n"/>
      <c r="E252" s="12" t="n"/>
      <c r="F252" s="11" t="n"/>
      <c r="G252" s="11" t="n"/>
    </row>
    <row r="253">
      <c r="A253" s="10" t="n"/>
      <c r="B253" s="11" t="n"/>
      <c r="C253" s="11" t="n"/>
      <c r="D253" s="11" t="n"/>
      <c r="E253" s="12" t="n"/>
      <c r="F253" s="11" t="n"/>
      <c r="G253" s="11" t="n"/>
    </row>
    <row r="254">
      <c r="A254" s="10" t="n"/>
      <c r="B254" s="11" t="n"/>
      <c r="C254" s="11" t="n"/>
      <c r="D254" s="11" t="n"/>
      <c r="E254" s="12" t="n"/>
      <c r="F254" s="11" t="n"/>
      <c r="G254" s="11" t="n"/>
    </row>
    <row r="255">
      <c r="A255" s="10" t="n"/>
      <c r="B255" s="11" t="n"/>
      <c r="C255" s="11" t="n"/>
      <c r="D255" s="11" t="n"/>
      <c r="E255" s="12" t="n"/>
      <c r="F255" s="11" t="n"/>
      <c r="G255" s="11" t="n"/>
    </row>
    <row r="256">
      <c r="A256" s="10" t="n"/>
      <c r="B256" s="11" t="n"/>
      <c r="C256" s="11" t="n"/>
      <c r="D256" s="11" t="n"/>
      <c r="E256" s="12" t="n"/>
      <c r="F256" s="11" t="n"/>
      <c r="G256" s="11" t="n"/>
    </row>
    <row r="257">
      <c r="A257" s="10" t="n"/>
      <c r="B257" s="11" t="n"/>
      <c r="C257" s="11" t="n"/>
      <c r="D257" s="11" t="n"/>
      <c r="E257" s="12" t="n"/>
      <c r="F257" s="11" t="n"/>
      <c r="G257" s="11" t="n"/>
    </row>
    <row r="258">
      <c r="A258" s="10" t="n"/>
      <c r="B258" s="11" t="n"/>
      <c r="C258" s="11" t="n"/>
      <c r="D258" s="11" t="n"/>
      <c r="E258" s="12" t="n"/>
      <c r="F258" s="11" t="n"/>
      <c r="G258" s="11" t="n"/>
    </row>
    <row r="259">
      <c r="A259" s="10" t="n"/>
      <c r="B259" s="11" t="n"/>
      <c r="C259" s="11" t="n"/>
      <c r="D259" s="11" t="n"/>
      <c r="E259" s="12" t="n"/>
      <c r="F259" s="11" t="n"/>
      <c r="G259" s="11" t="n"/>
    </row>
    <row r="260">
      <c r="A260" s="10" t="n"/>
      <c r="B260" s="11" t="n"/>
      <c r="C260" s="11" t="n"/>
      <c r="D260" s="11" t="n"/>
      <c r="E260" s="12" t="n"/>
      <c r="F260" s="11" t="n"/>
      <c r="G260" s="11" t="n"/>
    </row>
    <row r="261">
      <c r="A261" s="10" t="n"/>
      <c r="B261" s="11" t="n"/>
      <c r="C261" s="11" t="n"/>
      <c r="D261" s="11" t="n"/>
      <c r="E261" s="12" t="n"/>
      <c r="F261" s="11" t="n"/>
      <c r="G261" s="11" t="n"/>
    </row>
    <row r="262">
      <c r="A262" s="10" t="n"/>
      <c r="B262" s="11" t="n"/>
      <c r="C262" s="11" t="n"/>
      <c r="D262" s="11" t="n"/>
      <c r="E262" s="12" t="n"/>
      <c r="F262" s="11" t="n"/>
      <c r="G262" s="11" t="n"/>
    </row>
    <row r="263">
      <c r="A263" s="10" t="n"/>
      <c r="B263" s="11" t="n"/>
      <c r="C263" s="11" t="n"/>
      <c r="D263" s="11" t="n"/>
      <c r="E263" s="12" t="n"/>
      <c r="F263" s="11" t="n"/>
      <c r="G263" s="11" t="n"/>
    </row>
    <row r="264">
      <c r="A264" s="10" t="n"/>
      <c r="B264" s="11" t="n"/>
      <c r="C264" s="11" t="n"/>
      <c r="D264" s="11" t="n"/>
      <c r="E264" s="12" t="n"/>
      <c r="F264" s="11" t="n"/>
      <c r="G264" s="11" t="n"/>
    </row>
    <row r="265">
      <c r="A265" s="10" t="n"/>
      <c r="B265" s="11" t="n"/>
      <c r="C265" s="11" t="n"/>
      <c r="D265" s="11" t="n"/>
      <c r="E265" s="12" t="n"/>
      <c r="F265" s="11" t="n"/>
      <c r="G265" s="11" t="n"/>
    </row>
    <row r="266">
      <c r="A266" s="10" t="n"/>
      <c r="B266" s="11" t="n"/>
      <c r="C266" s="11" t="n"/>
      <c r="D266" s="11" t="n"/>
      <c r="E266" s="12" t="n"/>
      <c r="F266" s="11" t="n"/>
      <c r="G266" s="11" t="n"/>
    </row>
    <row r="267">
      <c r="A267" s="10" t="n"/>
      <c r="B267" s="11" t="n"/>
      <c r="C267" s="11" t="n"/>
      <c r="D267" s="11" t="n"/>
      <c r="E267" s="12" t="n"/>
      <c r="F267" s="11" t="n"/>
      <c r="G267" s="11" t="n"/>
    </row>
    <row r="268">
      <c r="A268" s="10" t="n"/>
      <c r="B268" s="11" t="n"/>
      <c r="C268" s="11" t="n"/>
      <c r="D268" s="11" t="n"/>
      <c r="E268" s="12" t="n"/>
      <c r="F268" s="11" t="n"/>
      <c r="G268" s="11" t="n"/>
    </row>
    <row r="269">
      <c r="A269" s="10" t="n"/>
      <c r="B269" s="11" t="n"/>
      <c r="C269" s="11" t="n"/>
      <c r="D269" s="11" t="n"/>
      <c r="E269" s="12" t="n"/>
      <c r="F269" s="11" t="n"/>
      <c r="G269" s="11" t="n"/>
    </row>
    <row r="270">
      <c r="A270" s="10" t="n"/>
      <c r="B270" s="11" t="n"/>
      <c r="C270" s="11" t="n"/>
      <c r="D270" s="11" t="n"/>
      <c r="E270" s="12" t="n"/>
      <c r="F270" s="11" t="n"/>
      <c r="G270" s="11" t="n"/>
    </row>
    <row r="271">
      <c r="A271" s="10" t="n"/>
      <c r="B271" s="11" t="n"/>
      <c r="C271" s="11" t="n"/>
      <c r="D271" s="11" t="n"/>
      <c r="E271" s="12" t="n"/>
      <c r="F271" s="11" t="n"/>
      <c r="G271" s="11" t="n"/>
    </row>
    <row r="272">
      <c r="A272" s="10" t="n"/>
      <c r="B272" s="11" t="n"/>
      <c r="C272" s="11" t="n"/>
      <c r="D272" s="11" t="n"/>
      <c r="E272" s="12" t="n"/>
      <c r="F272" s="11" t="n"/>
      <c r="G272" s="11" t="n"/>
    </row>
    <row r="273">
      <c r="A273" s="10" t="n"/>
      <c r="B273" s="11" t="n"/>
      <c r="C273" s="11" t="n"/>
      <c r="D273" s="11" t="n"/>
      <c r="E273" s="12" t="n"/>
      <c r="F273" s="11" t="n"/>
      <c r="G273" s="11" t="n"/>
    </row>
    <row r="274">
      <c r="A274" s="10" t="n"/>
      <c r="B274" s="11" t="n"/>
      <c r="C274" s="11" t="n"/>
      <c r="D274" s="11" t="n"/>
      <c r="E274" s="12" t="n"/>
      <c r="F274" s="11" t="n"/>
      <c r="G274" s="11" t="n"/>
    </row>
    <row r="275">
      <c r="A275" s="10" t="n"/>
      <c r="B275" s="11" t="n"/>
      <c r="C275" s="11" t="n"/>
      <c r="D275" s="11" t="n"/>
      <c r="E275" s="12" t="n"/>
      <c r="F275" s="11" t="n"/>
      <c r="G275" s="11" t="n"/>
    </row>
    <row r="276">
      <c r="A276" s="10" t="n"/>
      <c r="B276" s="11" t="n"/>
      <c r="C276" s="11" t="n"/>
      <c r="D276" s="11" t="n"/>
      <c r="E276" s="12" t="n"/>
      <c r="F276" s="11" t="n"/>
      <c r="G276" s="11" t="n"/>
    </row>
    <row r="277">
      <c r="A277" s="10" t="n"/>
      <c r="B277" s="11" t="n"/>
      <c r="C277" s="11" t="n"/>
      <c r="D277" s="11" t="n"/>
      <c r="E277" s="12" t="n"/>
      <c r="F277" s="11" t="n"/>
      <c r="G277" s="11" t="n"/>
    </row>
    <row r="278">
      <c r="A278" s="10" t="n"/>
      <c r="B278" s="11" t="n"/>
      <c r="C278" s="11" t="n"/>
      <c r="D278" s="11" t="n"/>
      <c r="E278" s="12" t="n"/>
      <c r="F278" s="11" t="n"/>
      <c r="G278" s="11" t="n"/>
    </row>
    <row r="279">
      <c r="A279" s="10" t="n"/>
      <c r="B279" s="11" t="n"/>
      <c r="C279" s="11" t="n"/>
      <c r="D279" s="11" t="n"/>
      <c r="E279" s="12" t="n"/>
      <c r="F279" s="11" t="n"/>
      <c r="G279" s="11" t="n"/>
    </row>
    <row r="280">
      <c r="A280" s="10" t="n"/>
      <c r="B280" s="11" t="n"/>
      <c r="C280" s="11" t="n"/>
      <c r="D280" s="11" t="n"/>
      <c r="E280" s="12" t="n"/>
      <c r="F280" s="11" t="n"/>
      <c r="G280" s="11" t="n"/>
    </row>
    <row r="281">
      <c r="A281" s="10" t="n"/>
      <c r="B281" s="11" t="n"/>
      <c r="C281" s="11" t="n"/>
      <c r="D281" s="11" t="n"/>
      <c r="E281" s="12" t="n"/>
      <c r="F281" s="11" t="n"/>
      <c r="G281" s="11" t="n"/>
    </row>
    <row r="282">
      <c r="A282" s="10" t="n"/>
      <c r="B282" s="11" t="n"/>
      <c r="C282" s="11" t="n"/>
      <c r="D282" s="11" t="n"/>
      <c r="E282" s="12" t="n"/>
      <c r="F282" s="11" t="n"/>
      <c r="G282" s="11" t="n"/>
    </row>
    <row r="283">
      <c r="A283" s="10" t="n"/>
      <c r="B283" s="11" t="n"/>
      <c r="C283" s="11" t="n"/>
      <c r="D283" s="11" t="n"/>
      <c r="E283" s="12" t="n"/>
      <c r="F283" s="11" t="n"/>
      <c r="G283" s="11" t="n"/>
    </row>
    <row r="284">
      <c r="A284" s="10" t="n"/>
      <c r="B284" s="11" t="n"/>
      <c r="C284" s="11" t="n"/>
      <c r="D284" s="11" t="n"/>
      <c r="E284" s="12" t="n"/>
      <c r="F284" s="11" t="n"/>
      <c r="G284" s="11" t="n"/>
    </row>
    <row r="285">
      <c r="A285" s="10" t="n"/>
      <c r="B285" s="11" t="n"/>
      <c r="C285" s="11" t="n"/>
      <c r="D285" s="11" t="n"/>
      <c r="E285" s="12" t="n"/>
      <c r="F285" s="11" t="n"/>
      <c r="G285" s="11" t="n"/>
    </row>
    <row r="286">
      <c r="A286" s="10" t="n"/>
      <c r="B286" s="11" t="n"/>
      <c r="C286" s="11" t="n"/>
      <c r="D286" s="11" t="n"/>
      <c r="E286" s="12" t="n"/>
      <c r="F286" s="11" t="n"/>
      <c r="G286" s="11" t="n"/>
    </row>
    <row r="287">
      <c r="A287" s="10" t="n"/>
      <c r="B287" s="11" t="n"/>
      <c r="C287" s="11" t="n"/>
      <c r="D287" s="11" t="n"/>
      <c r="E287" s="12" t="n"/>
      <c r="F287" s="11" t="n"/>
      <c r="G287" s="11" t="n"/>
    </row>
    <row r="288">
      <c r="A288" s="10" t="n"/>
      <c r="B288" s="11" t="n"/>
      <c r="C288" s="11" t="n"/>
      <c r="D288" s="11" t="n"/>
      <c r="E288" s="12" t="n"/>
      <c r="F288" s="11" t="n"/>
      <c r="G288" s="11" t="n"/>
    </row>
    <row r="289">
      <c r="A289" s="10" t="n"/>
      <c r="B289" s="11" t="n"/>
      <c r="C289" s="11" t="n"/>
      <c r="D289" s="11" t="n"/>
      <c r="E289" s="12" t="n"/>
      <c r="F289" s="11" t="n"/>
      <c r="G289" s="11" t="n"/>
    </row>
    <row r="290">
      <c r="A290" s="10" t="n"/>
      <c r="B290" s="11" t="n"/>
      <c r="C290" s="11" t="n"/>
      <c r="D290" s="11" t="n"/>
      <c r="E290" s="12" t="n"/>
      <c r="F290" s="11" t="n"/>
      <c r="G290" s="11" t="n"/>
    </row>
    <row r="291">
      <c r="A291" s="10" t="n"/>
      <c r="B291" s="11" t="n"/>
      <c r="C291" s="11" t="n"/>
      <c r="D291" s="11" t="n"/>
      <c r="E291" s="12" t="n"/>
      <c r="F291" s="11" t="n"/>
      <c r="G291" s="11" t="n"/>
    </row>
    <row r="292">
      <c r="A292" s="10" t="n"/>
      <c r="B292" s="11" t="n"/>
      <c r="C292" s="11" t="n"/>
      <c r="D292" s="11" t="n"/>
      <c r="E292" s="12" t="n"/>
      <c r="F292" s="11" t="n"/>
      <c r="G292" s="11" t="n"/>
    </row>
    <row r="293">
      <c r="A293" s="10" t="n"/>
      <c r="B293" s="11" t="n"/>
      <c r="C293" s="11" t="n"/>
      <c r="D293" s="11" t="n"/>
      <c r="E293" s="12" t="n"/>
      <c r="F293" s="11" t="n"/>
      <c r="G293" s="11" t="n"/>
    </row>
    <row r="294">
      <c r="A294" s="10" t="n"/>
      <c r="B294" s="11" t="n"/>
      <c r="C294" s="11" t="n"/>
      <c r="D294" s="11" t="n"/>
      <c r="E294" s="12" t="n"/>
      <c r="F294" s="11" t="n"/>
      <c r="G294" s="11" t="n"/>
    </row>
    <row r="295">
      <c r="A295" s="10" t="n"/>
      <c r="B295" s="11" t="n"/>
      <c r="C295" s="11" t="n"/>
      <c r="D295" s="11" t="n"/>
      <c r="E295" s="12" t="n"/>
      <c r="F295" s="11" t="n"/>
      <c r="G295" s="11" t="n"/>
    </row>
    <row r="296">
      <c r="A296" s="10" t="n"/>
      <c r="B296" s="11" t="n"/>
      <c r="C296" s="11" t="n"/>
      <c r="D296" s="11" t="n"/>
      <c r="E296" s="12" t="n"/>
      <c r="F296" s="11" t="n"/>
      <c r="G296" s="11" t="n"/>
    </row>
    <row r="297">
      <c r="A297" s="10" t="n"/>
      <c r="B297" s="11" t="n"/>
      <c r="C297" s="11" t="n"/>
      <c r="D297" s="11" t="n"/>
      <c r="E297" s="12" t="n"/>
      <c r="F297" s="11" t="n"/>
      <c r="G297" s="11" t="n"/>
    </row>
    <row r="298">
      <c r="A298" s="10" t="n"/>
      <c r="B298" s="11" t="n"/>
      <c r="C298" s="11" t="n"/>
      <c r="D298" s="11" t="n"/>
      <c r="E298" s="12" t="n"/>
      <c r="F298" s="11" t="n"/>
      <c r="G298" s="11" t="n"/>
    </row>
    <row r="299">
      <c r="A299" s="10" t="n"/>
      <c r="B299" s="11" t="n"/>
      <c r="C299" s="11" t="n"/>
      <c r="D299" s="11" t="n"/>
      <c r="E299" s="12" t="n"/>
      <c r="F299" s="11" t="n"/>
      <c r="G299" s="11" t="n"/>
    </row>
    <row r="300">
      <c r="A300" s="10" t="n"/>
      <c r="B300" s="11" t="n"/>
      <c r="C300" s="11" t="n"/>
      <c r="D300" s="11" t="n"/>
      <c r="E300" s="12" t="n"/>
      <c r="F300" s="11" t="n"/>
      <c r="G300" s="11" t="n"/>
    </row>
    <row r="301">
      <c r="A301" s="10" t="n"/>
      <c r="B301" s="11" t="n"/>
      <c r="C301" s="11" t="n"/>
      <c r="D301" s="11" t="n"/>
      <c r="E301" s="12" t="n"/>
      <c r="F301" s="11" t="n"/>
      <c r="G301" s="11" t="n"/>
    </row>
    <row r="302">
      <c r="A302" s="10" t="n"/>
      <c r="B302" s="11" t="n"/>
      <c r="C302" s="11" t="n"/>
      <c r="D302" s="11" t="n"/>
      <c r="E302" s="12" t="n"/>
      <c r="F302" s="11" t="n"/>
      <c r="G302" s="11" t="n"/>
    </row>
    <row r="303">
      <c r="A303" s="10" t="n"/>
      <c r="B303" s="11" t="n"/>
      <c r="C303" s="11" t="n"/>
      <c r="D303" s="11" t="n"/>
      <c r="E303" s="12" t="n"/>
      <c r="F303" s="11" t="n"/>
      <c r="G303" s="11" t="n"/>
    </row>
    <row r="304">
      <c r="A304" s="10" t="n"/>
      <c r="B304" s="11" t="n"/>
      <c r="C304" s="11" t="n"/>
      <c r="D304" s="11" t="n"/>
      <c r="E304" s="12" t="n"/>
      <c r="F304" s="11" t="n"/>
      <c r="G304" s="11" t="n"/>
    </row>
    <row r="305">
      <c r="A305" s="10" t="n"/>
      <c r="B305" s="11" t="n"/>
      <c r="C305" s="11" t="n"/>
      <c r="D305" s="11" t="n"/>
      <c r="E305" s="12" t="n"/>
      <c r="F305" s="11" t="n"/>
      <c r="G305" s="11" t="n"/>
    </row>
    <row r="306">
      <c r="A306" s="10" t="n"/>
      <c r="B306" s="11" t="n"/>
      <c r="C306" s="11" t="n"/>
      <c r="D306" s="11" t="n"/>
      <c r="E306" s="12" t="n"/>
      <c r="F306" s="11" t="n"/>
      <c r="G306" s="11" t="n"/>
    </row>
    <row r="307">
      <c r="A307" s="10" t="n"/>
      <c r="B307" s="11" t="n"/>
      <c r="C307" s="11" t="n"/>
      <c r="D307" s="11" t="n"/>
      <c r="E307" s="12" t="n"/>
      <c r="F307" s="11" t="n"/>
      <c r="G307" s="11" t="n"/>
    </row>
    <row r="308">
      <c r="A308" s="10" t="n"/>
      <c r="B308" s="11" t="n"/>
      <c r="C308" s="11" t="n"/>
      <c r="D308" s="11" t="n"/>
      <c r="E308" s="12" t="n"/>
      <c r="F308" s="11" t="n"/>
      <c r="G308" s="11" t="n"/>
    </row>
    <row r="309">
      <c r="A309" s="10" t="n"/>
      <c r="B309" s="11" t="n"/>
      <c r="C309" s="11" t="n"/>
      <c r="D309" s="11" t="n"/>
      <c r="E309" s="12" t="n"/>
      <c r="F309" s="11" t="n"/>
      <c r="G309" s="11" t="n"/>
    </row>
    <row r="310">
      <c r="A310" s="10" t="n"/>
      <c r="B310" s="11" t="n"/>
      <c r="C310" s="11" t="n"/>
      <c r="D310" s="11" t="n"/>
      <c r="E310" s="12" t="n"/>
      <c r="F310" s="11" t="n"/>
      <c r="G310" s="11" t="n"/>
    </row>
    <row r="311">
      <c r="A311" s="10" t="n"/>
      <c r="B311" s="11" t="n"/>
      <c r="C311" s="11" t="n"/>
      <c r="D311" s="11" t="n"/>
      <c r="E311" s="12" t="n"/>
      <c r="F311" s="11" t="n"/>
      <c r="G311" s="11" t="n"/>
    </row>
    <row r="312">
      <c r="A312" s="10" t="n"/>
      <c r="B312" s="11" t="n"/>
      <c r="C312" s="11" t="n"/>
      <c r="D312" s="11" t="n"/>
      <c r="E312" s="12" t="n"/>
      <c r="F312" s="11" t="n"/>
      <c r="G312" s="11" t="n"/>
    </row>
    <row r="313">
      <c r="A313" s="10" t="n"/>
      <c r="B313" s="11" t="n"/>
      <c r="C313" s="11" t="n"/>
      <c r="D313" s="11" t="n"/>
      <c r="E313" s="12" t="n"/>
      <c r="F313" s="11" t="n"/>
      <c r="G313" s="11" t="n"/>
    </row>
    <row r="314">
      <c r="A314" s="10" t="n"/>
      <c r="B314" s="11" t="n"/>
      <c r="C314" s="11" t="n"/>
      <c r="D314" s="11" t="n"/>
      <c r="E314" s="12" t="n"/>
      <c r="F314" s="11" t="n"/>
      <c r="G314" s="11" t="n"/>
    </row>
    <row r="315">
      <c r="A315" s="10" t="n"/>
      <c r="B315" s="11" t="n"/>
      <c r="C315" s="11" t="n"/>
      <c r="D315" s="11" t="n"/>
      <c r="E315" s="12" t="n"/>
      <c r="F315" s="11" t="n"/>
      <c r="G315" s="11" t="n"/>
    </row>
    <row r="316">
      <c r="A316" s="10" t="n"/>
      <c r="B316" s="11" t="n"/>
      <c r="C316" s="11" t="n"/>
      <c r="D316" s="11" t="n"/>
      <c r="E316" s="12" t="n"/>
      <c r="F316" s="11" t="n"/>
      <c r="G316" s="11" t="n"/>
    </row>
    <row r="317">
      <c r="A317" s="10" t="n"/>
      <c r="B317" s="11" t="n"/>
      <c r="C317" s="11" t="n"/>
      <c r="D317" s="11" t="n"/>
      <c r="E317" s="12" t="n"/>
      <c r="F317" s="11" t="n"/>
      <c r="G317" s="11" t="n"/>
    </row>
    <row r="318">
      <c r="A318" s="10" t="n"/>
      <c r="B318" s="11" t="n"/>
      <c r="C318" s="11" t="n"/>
      <c r="D318" s="11" t="n"/>
      <c r="E318" s="12" t="n"/>
      <c r="F318" s="11" t="n"/>
      <c r="G318" s="11" t="n"/>
    </row>
    <row r="319">
      <c r="A319" s="10" t="n"/>
      <c r="B319" s="11" t="n"/>
      <c r="C319" s="11" t="n"/>
      <c r="D319" s="11" t="n"/>
      <c r="E319" s="12" t="n"/>
      <c r="F319" s="11" t="n"/>
      <c r="G319" s="11" t="n"/>
    </row>
    <row r="320">
      <c r="A320" s="10" t="n"/>
      <c r="B320" s="11" t="n"/>
      <c r="C320" s="11" t="n"/>
      <c r="D320" s="11" t="n"/>
      <c r="E320" s="12" t="n"/>
      <c r="F320" s="11" t="n"/>
      <c r="G320" s="11" t="n"/>
    </row>
    <row r="321">
      <c r="A321" s="10" t="n"/>
      <c r="B321" s="11" t="n"/>
      <c r="C321" s="11" t="n"/>
      <c r="D321" s="11" t="n"/>
      <c r="E321" s="12" t="n"/>
      <c r="F321" s="11" t="n"/>
      <c r="G321" s="11" t="n"/>
    </row>
    <row r="322">
      <c r="A322" s="10" t="n"/>
      <c r="B322" s="11" t="n"/>
      <c r="C322" s="11" t="n"/>
      <c r="D322" s="11" t="n"/>
      <c r="E322" s="12" t="n"/>
      <c r="F322" s="11" t="n"/>
      <c r="G322" s="11" t="n"/>
    </row>
    <row r="323">
      <c r="A323" s="10" t="n"/>
      <c r="B323" s="11" t="n"/>
      <c r="C323" s="11" t="n"/>
      <c r="D323" s="11" t="n"/>
      <c r="E323" s="12" t="n"/>
      <c r="F323" s="11" t="n"/>
      <c r="G323" s="11" t="n"/>
    </row>
    <row r="324">
      <c r="A324" s="10" t="n"/>
      <c r="B324" s="11" t="n"/>
      <c r="C324" s="11" t="n"/>
      <c r="D324" s="11" t="n"/>
      <c r="E324" s="12" t="n"/>
      <c r="F324" s="11" t="n"/>
      <c r="G324" s="11" t="n"/>
    </row>
    <row r="325">
      <c r="A325" s="10" t="n"/>
      <c r="B325" s="11" t="n"/>
      <c r="C325" s="11" t="n"/>
      <c r="D325" s="11" t="n"/>
      <c r="E325" s="12" t="n"/>
      <c r="F325" s="11" t="n"/>
      <c r="G325" s="11" t="n"/>
    </row>
    <row r="326">
      <c r="A326" s="10" t="n"/>
      <c r="B326" s="11" t="n"/>
      <c r="C326" s="11" t="n"/>
      <c r="D326" s="11" t="n"/>
      <c r="E326" s="12" t="n"/>
      <c r="F326" s="11" t="n"/>
      <c r="G326" s="11" t="n"/>
    </row>
    <row r="327">
      <c r="A327" s="10" t="n"/>
      <c r="B327" s="11" t="n"/>
      <c r="C327" s="11" t="n"/>
      <c r="D327" s="11" t="n"/>
      <c r="E327" s="12" t="n"/>
      <c r="F327" s="11" t="n"/>
      <c r="G327" s="11" t="n"/>
    </row>
    <row r="328">
      <c r="A328" s="10" t="n"/>
      <c r="B328" s="11" t="n"/>
      <c r="C328" s="11" t="n"/>
      <c r="D328" s="11" t="n"/>
      <c r="E328" s="12" t="n"/>
      <c r="F328" s="11" t="n"/>
      <c r="G328" s="11" t="n"/>
    </row>
    <row r="329">
      <c r="A329" s="10" t="n"/>
      <c r="B329" s="11" t="n"/>
      <c r="C329" s="11" t="n"/>
      <c r="D329" s="11" t="n"/>
      <c r="E329" s="12" t="n"/>
      <c r="F329" s="11" t="n"/>
      <c r="G329" s="11" t="n"/>
    </row>
    <row r="330">
      <c r="A330" s="10" t="n"/>
      <c r="B330" s="11" t="n"/>
      <c r="C330" s="11" t="n"/>
      <c r="D330" s="11" t="n"/>
      <c r="E330" s="12" t="n"/>
      <c r="F330" s="11" t="n"/>
      <c r="G330" s="11" t="n"/>
    </row>
    <row r="331">
      <c r="A331" s="10" t="n"/>
      <c r="B331" s="11" t="n"/>
      <c r="C331" s="11" t="n"/>
      <c r="D331" s="11" t="n"/>
      <c r="E331" s="12" t="n"/>
      <c r="F331" s="11" t="n"/>
      <c r="G331" s="11" t="n"/>
    </row>
    <row r="332">
      <c r="A332" s="10" t="n"/>
      <c r="B332" s="11" t="n"/>
      <c r="C332" s="11" t="n"/>
      <c r="D332" s="11" t="n"/>
      <c r="E332" s="12" t="n"/>
      <c r="F332" s="11" t="n"/>
      <c r="G332" s="11" t="n"/>
    </row>
    <row r="333">
      <c r="A333" s="10" t="n"/>
      <c r="B333" s="11" t="n"/>
      <c r="C333" s="11" t="n"/>
      <c r="D333" s="11" t="n"/>
      <c r="E333" s="12" t="n"/>
      <c r="F333" s="11" t="n"/>
      <c r="G333" s="11" t="n"/>
    </row>
    <row r="334">
      <c r="A334" s="10" t="n"/>
      <c r="B334" s="11" t="n"/>
      <c r="C334" s="11" t="n"/>
      <c r="D334" s="11" t="n"/>
      <c r="E334" s="12" t="n"/>
      <c r="F334" s="11" t="n"/>
      <c r="G334" s="11" t="n"/>
    </row>
    <row r="335">
      <c r="A335" s="10" t="n"/>
      <c r="B335" s="11" t="n"/>
      <c r="C335" s="11" t="n"/>
      <c r="D335" s="11" t="n"/>
      <c r="E335" s="12" t="n"/>
      <c r="F335" s="11" t="n"/>
      <c r="G335" s="11" t="n"/>
    </row>
    <row r="336">
      <c r="A336" s="10" t="n"/>
      <c r="B336" s="11" t="n"/>
      <c r="C336" s="11" t="n"/>
      <c r="D336" s="11" t="n"/>
      <c r="E336" s="12" t="n"/>
      <c r="F336" s="11" t="n"/>
      <c r="G336" s="11" t="n"/>
    </row>
    <row r="337">
      <c r="A337" s="10" t="n"/>
      <c r="B337" s="11" t="n"/>
      <c r="C337" s="11" t="n"/>
      <c r="D337" s="11" t="n"/>
      <c r="E337" s="12" t="n"/>
      <c r="F337" s="11" t="n"/>
      <c r="G337" s="11" t="n"/>
    </row>
    <row r="338">
      <c r="A338" s="10" t="n"/>
      <c r="B338" s="11" t="n"/>
      <c r="C338" s="11" t="n"/>
      <c r="D338" s="11" t="n"/>
      <c r="E338" s="12" t="n"/>
      <c r="F338" s="11" t="n"/>
      <c r="G338" s="11" t="n"/>
    </row>
    <row r="339">
      <c r="A339" s="10" t="n"/>
      <c r="B339" s="11" t="n"/>
      <c r="C339" s="11" t="n"/>
      <c r="D339" s="11" t="n"/>
      <c r="E339" s="12" t="n"/>
      <c r="F339" s="11" t="n"/>
      <c r="G339" s="11" t="n"/>
    </row>
    <row r="340">
      <c r="A340" s="10" t="n"/>
      <c r="B340" s="11" t="n"/>
      <c r="C340" s="11" t="n"/>
      <c r="D340" s="11" t="n"/>
      <c r="E340" s="12" t="n"/>
      <c r="F340" s="11" t="n"/>
      <c r="G340" s="11" t="n"/>
    </row>
    <row r="341">
      <c r="A341" s="10" t="n"/>
      <c r="B341" s="11" t="n"/>
      <c r="C341" s="11" t="n"/>
      <c r="D341" s="11" t="n"/>
      <c r="E341" s="12" t="n"/>
      <c r="F341" s="11" t="n"/>
      <c r="G341" s="11" t="n"/>
    </row>
    <row r="342">
      <c r="A342" s="10" t="n"/>
      <c r="B342" s="11" t="n"/>
      <c r="C342" s="11" t="n"/>
      <c r="D342" s="11" t="n"/>
      <c r="E342" s="12" t="n"/>
      <c r="F342" s="11" t="n"/>
      <c r="G342" s="11" t="n"/>
    </row>
    <row r="343">
      <c r="A343" s="10" t="n"/>
      <c r="B343" s="11" t="n"/>
      <c r="C343" s="11" t="n"/>
      <c r="D343" s="11" t="n"/>
      <c r="E343" s="12" t="n"/>
      <c r="F343" s="11" t="n"/>
      <c r="G343" s="11" t="n"/>
    </row>
    <row r="344">
      <c r="A344" s="10" t="n"/>
      <c r="B344" s="11" t="n"/>
      <c r="C344" s="11" t="n"/>
      <c r="D344" s="11" t="n"/>
      <c r="E344" s="12" t="n"/>
      <c r="F344" s="11" t="n"/>
      <c r="G344" s="11" t="n"/>
    </row>
    <row r="345">
      <c r="A345" s="10" t="n"/>
      <c r="B345" s="11" t="n"/>
      <c r="C345" s="11" t="n"/>
      <c r="D345" s="11" t="n"/>
      <c r="E345" s="12" t="n"/>
      <c r="F345" s="11" t="n"/>
      <c r="G345" s="11" t="n"/>
    </row>
    <row r="346">
      <c r="A346" s="10" t="n"/>
      <c r="B346" s="11" t="n"/>
      <c r="C346" s="11" t="n"/>
      <c r="D346" s="11" t="n"/>
      <c r="E346" s="12" t="n"/>
      <c r="F346" s="11" t="n"/>
      <c r="G346" s="11" t="n"/>
    </row>
    <row r="347">
      <c r="A347" s="10" t="n"/>
      <c r="B347" s="11" t="n"/>
      <c r="C347" s="11" t="n"/>
      <c r="D347" s="11" t="n"/>
      <c r="E347" s="12" t="n"/>
      <c r="F347" s="11" t="n"/>
      <c r="G347" s="11" t="n"/>
    </row>
    <row r="348">
      <c r="A348" s="10" t="n"/>
      <c r="B348" s="11" t="n"/>
      <c r="C348" s="11" t="n"/>
      <c r="D348" s="11" t="n"/>
      <c r="E348" s="12" t="n"/>
      <c r="F348" s="11" t="n"/>
      <c r="G348" s="11" t="n"/>
    </row>
    <row r="349">
      <c r="A349" s="10" t="n"/>
      <c r="B349" s="11" t="n"/>
      <c r="C349" s="11" t="n"/>
      <c r="D349" s="11" t="n"/>
      <c r="E349" s="12" t="n"/>
      <c r="F349" s="11" t="n"/>
      <c r="G349" s="11" t="n"/>
    </row>
    <row r="350">
      <c r="A350" s="10" t="n"/>
      <c r="B350" s="11" t="n"/>
      <c r="C350" s="11" t="n"/>
      <c r="D350" s="11" t="n"/>
      <c r="E350" s="12" t="n"/>
      <c r="F350" s="11" t="n"/>
      <c r="G350" s="11" t="n"/>
    </row>
    <row r="351">
      <c r="A351" s="10" t="n"/>
      <c r="B351" s="11" t="n"/>
      <c r="C351" s="11" t="n"/>
      <c r="D351" s="11" t="n"/>
      <c r="E351" s="12" t="n"/>
      <c r="F351" s="11" t="n"/>
      <c r="G351" s="11" t="n"/>
    </row>
    <row r="352">
      <c r="A352" s="10" t="n"/>
      <c r="B352" s="11" t="n"/>
      <c r="C352" s="11" t="n"/>
      <c r="D352" s="11" t="n"/>
      <c r="E352" s="12" t="n"/>
      <c r="F352" s="11" t="n"/>
      <c r="G352" s="11" t="n"/>
    </row>
    <row r="353">
      <c r="A353" s="10" t="n"/>
      <c r="B353" s="11" t="n"/>
      <c r="C353" s="11" t="n"/>
      <c r="D353" s="11" t="n"/>
      <c r="E353" s="12" t="n"/>
      <c r="F353" s="11" t="n"/>
      <c r="G353" s="11" t="n"/>
    </row>
    <row r="354">
      <c r="A354" s="10" t="n"/>
      <c r="B354" s="11" t="n"/>
      <c r="C354" s="11" t="n"/>
      <c r="D354" s="11" t="n"/>
      <c r="E354" s="12" t="n"/>
      <c r="F354" s="11" t="n"/>
      <c r="G354" s="11" t="n"/>
    </row>
    <row r="355">
      <c r="A355" s="10" t="n"/>
      <c r="B355" s="11" t="n"/>
      <c r="C355" s="11" t="n"/>
      <c r="D355" s="11" t="n"/>
      <c r="E355" s="12" t="n"/>
      <c r="F355" s="11" t="n"/>
      <c r="G355" s="11" t="n"/>
    </row>
    <row r="356">
      <c r="A356" s="10" t="n"/>
      <c r="B356" s="11" t="n"/>
      <c r="C356" s="11" t="n"/>
      <c r="D356" s="11" t="n"/>
      <c r="E356" s="12" t="n"/>
      <c r="F356" s="11" t="n"/>
      <c r="G356" s="11" t="n"/>
    </row>
    <row r="357">
      <c r="A357" s="10" t="n"/>
      <c r="B357" s="11" t="n"/>
      <c r="C357" s="11" t="n"/>
      <c r="D357" s="11" t="n"/>
      <c r="E357" s="12" t="n"/>
      <c r="F357" s="11" t="n"/>
      <c r="G357" s="11" t="n"/>
    </row>
    <row r="358">
      <c r="A358" s="10" t="n"/>
      <c r="B358" s="11" t="n"/>
      <c r="C358" s="11" t="n"/>
      <c r="D358" s="11" t="n"/>
      <c r="E358" s="12" t="n"/>
      <c r="F358" s="11" t="n"/>
      <c r="G358" s="11" t="n"/>
    </row>
    <row r="359">
      <c r="A359" s="10" t="n"/>
      <c r="B359" s="11" t="n"/>
      <c r="C359" s="11" t="n"/>
      <c r="D359" s="11" t="n"/>
      <c r="E359" s="12" t="n"/>
      <c r="F359" s="11" t="n"/>
      <c r="G359" s="11" t="n"/>
    </row>
    <row r="360">
      <c r="A360" s="10" t="n"/>
      <c r="B360" s="11" t="n"/>
      <c r="C360" s="11" t="n"/>
      <c r="D360" s="11" t="n"/>
      <c r="E360" s="12" t="n"/>
      <c r="F360" s="11" t="n"/>
      <c r="G360" s="11" t="n"/>
    </row>
    <row r="361">
      <c r="A361" s="10" t="n"/>
      <c r="B361" s="11" t="n"/>
      <c r="C361" s="11" t="n"/>
      <c r="D361" s="11" t="n"/>
      <c r="E361" s="12" t="n"/>
      <c r="F361" s="11" t="n"/>
      <c r="G361" s="11" t="n"/>
    </row>
    <row r="362">
      <c r="A362" s="10" t="n"/>
      <c r="B362" s="11" t="n"/>
      <c r="C362" s="11" t="n"/>
      <c r="D362" s="11" t="n"/>
      <c r="E362" s="12" t="n"/>
      <c r="F362" s="11" t="n"/>
      <c r="G362" s="11" t="n"/>
    </row>
    <row r="363">
      <c r="A363" s="10" t="n"/>
      <c r="B363" s="11" t="n"/>
      <c r="C363" s="11" t="n"/>
      <c r="D363" s="11" t="n"/>
      <c r="E363" s="12" t="n"/>
      <c r="F363" s="11" t="n"/>
      <c r="G363" s="11" t="n"/>
    </row>
    <row r="364">
      <c r="A364" s="10" t="n"/>
      <c r="B364" s="11" t="n"/>
      <c r="C364" s="11" t="n"/>
      <c r="D364" s="11" t="n"/>
      <c r="E364" s="12" t="n"/>
      <c r="F364" s="11" t="n"/>
      <c r="G364" s="11" t="n"/>
    </row>
    <row r="365">
      <c r="A365" s="10" t="n"/>
      <c r="B365" s="11" t="n"/>
      <c r="C365" s="11" t="n"/>
      <c r="D365" s="11" t="n"/>
      <c r="E365" s="12" t="n"/>
      <c r="F365" s="11" t="n"/>
      <c r="G365" s="11" t="n"/>
    </row>
    <row r="366">
      <c r="A366" s="10" t="n"/>
      <c r="B366" s="11" t="n"/>
      <c r="C366" s="11" t="n"/>
      <c r="D366" s="11" t="n"/>
      <c r="E366" s="12" t="n"/>
      <c r="F366" s="11" t="n"/>
      <c r="G366" s="11" t="n"/>
    </row>
    <row r="367">
      <c r="A367" s="10" t="n"/>
      <c r="B367" s="11" t="n"/>
      <c r="C367" s="11" t="n"/>
      <c r="D367" s="11" t="n"/>
      <c r="E367" s="12" t="n"/>
      <c r="F367" s="11" t="n"/>
      <c r="G367" s="11" t="n"/>
    </row>
    <row r="368">
      <c r="A368" s="10" t="n"/>
      <c r="B368" s="11" t="n"/>
      <c r="C368" s="11" t="n"/>
      <c r="D368" s="11" t="n"/>
      <c r="E368" s="12" t="n"/>
      <c r="F368" s="11" t="n"/>
      <c r="G368" s="11" t="n"/>
    </row>
    <row r="369">
      <c r="A369" s="10" t="n"/>
      <c r="B369" s="11" t="n"/>
      <c r="C369" s="11" t="n"/>
      <c r="D369" s="11" t="n"/>
      <c r="E369" s="12" t="n"/>
      <c r="F369" s="11" t="n"/>
      <c r="G369" s="11" t="n"/>
    </row>
    <row r="370">
      <c r="A370" s="10" t="n"/>
      <c r="B370" s="11" t="n"/>
      <c r="C370" s="11" t="n"/>
      <c r="D370" s="11" t="n"/>
      <c r="E370" s="12" t="n"/>
      <c r="F370" s="11" t="n"/>
      <c r="G370" s="11" t="n"/>
    </row>
    <row r="371">
      <c r="A371" s="10" t="n"/>
      <c r="B371" s="11" t="n"/>
      <c r="C371" s="11" t="n"/>
      <c r="D371" s="11" t="n"/>
      <c r="E371" s="12" t="n"/>
      <c r="F371" s="11" t="n"/>
      <c r="G371" s="11" t="n"/>
    </row>
    <row r="372">
      <c r="A372" s="10" t="n"/>
      <c r="B372" s="11" t="n"/>
      <c r="C372" s="11" t="n"/>
      <c r="D372" s="11" t="n"/>
      <c r="E372" s="12" t="n"/>
      <c r="F372" s="11" t="n"/>
      <c r="G372" s="11" t="n"/>
    </row>
    <row r="373">
      <c r="A373" s="10" t="n"/>
      <c r="B373" s="11" t="n"/>
      <c r="C373" s="11" t="n"/>
      <c r="D373" s="11" t="n"/>
      <c r="E373" s="12" t="n"/>
      <c r="F373" s="11" t="n"/>
      <c r="G373" s="11" t="n"/>
    </row>
    <row r="374">
      <c r="A374" s="10" t="n"/>
      <c r="B374" s="11" t="n"/>
      <c r="C374" s="11" t="n"/>
      <c r="D374" s="11" t="n"/>
      <c r="E374" s="12" t="n"/>
      <c r="F374" s="11" t="n"/>
      <c r="G374" s="11" t="n"/>
    </row>
    <row r="375">
      <c r="A375" s="10" t="n"/>
      <c r="B375" s="11" t="n"/>
      <c r="C375" s="11" t="n"/>
      <c r="D375" s="11" t="n"/>
      <c r="E375" s="12" t="n"/>
      <c r="F375" s="11" t="n"/>
      <c r="G375" s="11" t="n"/>
    </row>
    <row r="376">
      <c r="A376" s="10" t="n"/>
      <c r="B376" s="11" t="n"/>
      <c r="C376" s="11" t="n"/>
      <c r="D376" s="11" t="n"/>
      <c r="E376" s="12" t="n"/>
      <c r="F376" s="11" t="n"/>
      <c r="G376" s="11" t="n"/>
    </row>
    <row r="377">
      <c r="A377" s="10" t="n"/>
      <c r="B377" s="11" t="n"/>
      <c r="C377" s="11" t="n"/>
      <c r="D377" s="11" t="n"/>
      <c r="E377" s="12" t="n"/>
      <c r="F377" s="11" t="n"/>
      <c r="G377" s="11" t="n"/>
    </row>
    <row r="378">
      <c r="A378" s="10" t="n"/>
      <c r="B378" s="11" t="n"/>
      <c r="C378" s="11" t="n"/>
      <c r="D378" s="11" t="n"/>
      <c r="E378" s="12" t="n"/>
      <c r="F378" s="11" t="n"/>
      <c r="G378" s="11" t="n"/>
    </row>
    <row r="379">
      <c r="A379" s="10" t="n"/>
      <c r="B379" s="11" t="n"/>
      <c r="C379" s="11" t="n"/>
      <c r="D379" s="11" t="n"/>
      <c r="E379" s="12" t="n"/>
      <c r="F379" s="11" t="n"/>
      <c r="G379" s="11" t="n"/>
    </row>
    <row r="380">
      <c r="A380" s="10" t="n"/>
      <c r="B380" s="11" t="n"/>
      <c r="C380" s="11" t="n"/>
      <c r="D380" s="11" t="n"/>
      <c r="E380" s="12" t="n"/>
      <c r="F380" s="11" t="n"/>
      <c r="G380" s="11" t="n"/>
    </row>
    <row r="381">
      <c r="A381" s="10" t="n"/>
      <c r="B381" s="11" t="n"/>
      <c r="C381" s="11" t="n"/>
      <c r="D381" s="11" t="n"/>
      <c r="E381" s="12" t="n"/>
      <c r="F381" s="11" t="n"/>
      <c r="G381" s="11" t="n"/>
    </row>
    <row r="382">
      <c r="A382" s="10" t="n"/>
      <c r="B382" s="11" t="n"/>
      <c r="C382" s="11" t="n"/>
      <c r="D382" s="11" t="n"/>
      <c r="E382" s="12" t="n"/>
      <c r="F382" s="11" t="n"/>
      <c r="G382" s="11" t="n"/>
    </row>
    <row r="383">
      <c r="A383" s="10" t="n"/>
      <c r="B383" s="11" t="n"/>
      <c r="C383" s="11" t="n"/>
      <c r="D383" s="11" t="n"/>
      <c r="E383" s="12" t="n"/>
      <c r="F383" s="11" t="n"/>
      <c r="G383" s="11" t="n"/>
    </row>
    <row r="384">
      <c r="A384" s="10" t="n"/>
      <c r="B384" s="11" t="n"/>
      <c r="C384" s="11" t="n"/>
      <c r="D384" s="11" t="n"/>
      <c r="E384" s="12" t="n"/>
      <c r="F384" s="11" t="n"/>
      <c r="G384" s="11" t="n"/>
    </row>
    <row r="385">
      <c r="A385" s="10" t="n"/>
      <c r="B385" s="11" t="n"/>
      <c r="C385" s="11" t="n"/>
      <c r="D385" s="11" t="n"/>
      <c r="E385" s="12" t="n"/>
      <c r="F385" s="11" t="n"/>
      <c r="G385" s="11" t="n"/>
    </row>
    <row r="386">
      <c r="A386" s="10" t="n"/>
      <c r="B386" s="11" t="n"/>
      <c r="C386" s="11" t="n"/>
      <c r="D386" s="11" t="n"/>
      <c r="E386" s="12" t="n"/>
      <c r="F386" s="11" t="n"/>
      <c r="G386" s="11" t="n"/>
    </row>
    <row r="387">
      <c r="A387" s="10" t="n"/>
      <c r="B387" s="11" t="n"/>
      <c r="C387" s="11" t="n"/>
      <c r="D387" s="11" t="n"/>
      <c r="E387" s="12" t="n"/>
      <c r="F387" s="11" t="n"/>
      <c r="G387" s="11" t="n"/>
    </row>
    <row r="388">
      <c r="A388" s="10" t="n"/>
      <c r="B388" s="11" t="n"/>
      <c r="C388" s="11" t="n"/>
      <c r="D388" s="11" t="n"/>
      <c r="E388" s="12" t="n"/>
      <c r="F388" s="11" t="n"/>
      <c r="G388" s="11" t="n"/>
    </row>
    <row r="389">
      <c r="A389" s="10" t="n"/>
      <c r="B389" s="11" t="n"/>
      <c r="C389" s="11" t="n"/>
      <c r="D389" s="11" t="n"/>
      <c r="E389" s="12" t="n"/>
      <c r="F389" s="11" t="n"/>
      <c r="G389" s="11" t="n"/>
    </row>
    <row r="390">
      <c r="A390" s="10" t="n"/>
      <c r="B390" s="11" t="n"/>
      <c r="C390" s="11" t="n"/>
      <c r="D390" s="11" t="n"/>
      <c r="E390" s="12" t="n"/>
      <c r="F390" s="11" t="n"/>
      <c r="G390" s="11" t="n"/>
    </row>
    <row r="391">
      <c r="A391" s="10" t="n"/>
      <c r="B391" s="11" t="n"/>
      <c r="C391" s="11" t="n"/>
      <c r="D391" s="11" t="n"/>
      <c r="E391" s="12" t="n"/>
      <c r="F391" s="11" t="n"/>
      <c r="G391" s="11" t="n"/>
    </row>
    <row r="392">
      <c r="A392" s="10" t="n"/>
      <c r="B392" s="11" t="n"/>
      <c r="C392" s="11" t="n"/>
      <c r="D392" s="11" t="n"/>
      <c r="E392" s="12" t="n"/>
      <c r="F392" s="11" t="n"/>
      <c r="G392" s="11" t="n"/>
    </row>
    <row r="393">
      <c r="A393" s="10" t="n"/>
      <c r="B393" s="11" t="n"/>
      <c r="C393" s="11" t="n"/>
      <c r="D393" s="11" t="n"/>
      <c r="E393" s="12" t="n"/>
      <c r="F393" s="11" t="n"/>
      <c r="G393" s="11" t="n"/>
    </row>
    <row r="394">
      <c r="A394" s="10" t="n"/>
      <c r="B394" s="11" t="n"/>
      <c r="C394" s="11" t="n"/>
      <c r="D394" s="11" t="n"/>
      <c r="E394" s="12" t="n"/>
      <c r="F394" s="11" t="n"/>
      <c r="G394" s="11" t="n"/>
    </row>
    <row r="395">
      <c r="A395" s="10" t="n"/>
      <c r="B395" s="11" t="n"/>
      <c r="C395" s="11" t="n"/>
      <c r="D395" s="11" t="n"/>
      <c r="E395" s="12" t="n"/>
      <c r="F395" s="11" t="n"/>
      <c r="G395" s="11" t="n"/>
    </row>
    <row r="396">
      <c r="A396" s="10" t="n"/>
      <c r="B396" s="11" t="n"/>
      <c r="C396" s="11" t="n"/>
      <c r="D396" s="11" t="n"/>
      <c r="E396" s="12" t="n"/>
      <c r="F396" s="11" t="n"/>
      <c r="G396" s="11" t="n"/>
    </row>
    <row r="397">
      <c r="A397" s="10" t="n"/>
      <c r="B397" s="11" t="n"/>
      <c r="C397" s="11" t="n"/>
      <c r="D397" s="11" t="n"/>
      <c r="E397" s="12" t="n"/>
      <c r="F397" s="11" t="n"/>
      <c r="G397" s="11" t="n"/>
    </row>
    <row r="398">
      <c r="A398" s="10" t="n"/>
      <c r="B398" s="11" t="n"/>
      <c r="C398" s="11" t="n"/>
      <c r="D398" s="11" t="n"/>
      <c r="E398" s="12" t="n"/>
      <c r="F398" s="11" t="n"/>
      <c r="G398" s="11" t="n"/>
    </row>
    <row r="399">
      <c r="A399" s="10" t="n"/>
      <c r="B399" s="11" t="n"/>
      <c r="C399" s="11" t="n"/>
      <c r="D399" s="11" t="n"/>
      <c r="E399" s="12" t="n"/>
      <c r="F399" s="11" t="n"/>
      <c r="G399" s="11" t="n"/>
    </row>
    <row r="400">
      <c r="A400" s="10" t="n"/>
      <c r="B400" s="11" t="n"/>
      <c r="C400" s="11" t="n"/>
      <c r="D400" s="11" t="n"/>
      <c r="E400" s="12" t="n"/>
      <c r="F400" s="11" t="n"/>
      <c r="G400" s="11" t="n"/>
    </row>
    <row r="401">
      <c r="A401" s="10" t="n"/>
      <c r="B401" s="11" t="n"/>
      <c r="C401" s="11" t="n"/>
      <c r="D401" s="11" t="n"/>
      <c r="E401" s="12" t="n"/>
      <c r="F401" s="11" t="n"/>
      <c r="G401" s="11" t="n"/>
    </row>
    <row r="402">
      <c r="A402" s="10" t="n"/>
      <c r="B402" s="11" t="n"/>
      <c r="C402" s="11" t="n"/>
      <c r="D402" s="11" t="n"/>
      <c r="E402" s="12" t="n"/>
      <c r="F402" s="11" t="n"/>
      <c r="G402" s="11" t="n"/>
    </row>
    <row r="403">
      <c r="A403" s="10" t="n"/>
      <c r="B403" s="11" t="n"/>
      <c r="C403" s="11" t="n"/>
      <c r="D403" s="11" t="n"/>
      <c r="E403" s="12" t="n"/>
      <c r="F403" s="11" t="n"/>
      <c r="G403" s="11" t="n"/>
    </row>
    <row r="404">
      <c r="A404" s="10" t="n"/>
      <c r="B404" s="11" t="n"/>
      <c r="C404" s="11" t="n"/>
      <c r="D404" s="11" t="n"/>
      <c r="E404" s="12" t="n"/>
      <c r="F404" s="11" t="n"/>
      <c r="G404" s="11" t="n"/>
    </row>
    <row r="405">
      <c r="A405" s="10" t="n"/>
      <c r="B405" s="11" t="n"/>
      <c r="C405" s="11" t="n"/>
      <c r="D405" s="11" t="n"/>
      <c r="E405" s="12" t="n"/>
      <c r="F405" s="11" t="n"/>
      <c r="G405" s="11" t="n"/>
    </row>
    <row r="406">
      <c r="A406" s="10" t="n"/>
      <c r="B406" s="11" t="n"/>
      <c r="C406" s="11" t="n"/>
      <c r="D406" s="11" t="n"/>
      <c r="E406" s="12" t="n"/>
      <c r="F406" s="11" t="n"/>
      <c r="G406" s="11" t="n"/>
    </row>
    <row r="407">
      <c r="A407" s="10" t="n"/>
      <c r="B407" s="11" t="n"/>
      <c r="C407" s="11" t="n"/>
      <c r="D407" s="11" t="n"/>
      <c r="E407" s="12" t="n"/>
      <c r="F407" s="11" t="n"/>
      <c r="G407" s="11" t="n"/>
    </row>
    <row r="408">
      <c r="A408" s="10" t="n"/>
      <c r="B408" s="11" t="n"/>
      <c r="C408" s="11" t="n"/>
      <c r="D408" s="11" t="n"/>
      <c r="E408" s="12" t="n"/>
      <c r="F408" s="11" t="n"/>
      <c r="G408" s="11" t="n"/>
    </row>
    <row r="409">
      <c r="A409" s="10" t="n"/>
      <c r="B409" s="11" t="n"/>
      <c r="C409" s="11" t="n"/>
      <c r="D409" s="11" t="n"/>
      <c r="E409" s="12" t="n"/>
      <c r="F409" s="11" t="n"/>
      <c r="G409" s="11" t="n"/>
    </row>
    <row r="410">
      <c r="A410" s="10" t="n"/>
      <c r="B410" s="11" t="n"/>
      <c r="C410" s="11" t="n"/>
      <c r="D410" s="11" t="n"/>
      <c r="E410" s="12" t="n"/>
      <c r="F410" s="11" t="n"/>
      <c r="G410" s="11" t="n"/>
    </row>
    <row r="411">
      <c r="A411" s="10" t="n"/>
      <c r="B411" s="11" t="n"/>
      <c r="C411" s="11" t="n"/>
      <c r="D411" s="11" t="n"/>
      <c r="E411" s="12" t="n"/>
      <c r="F411" s="11" t="n"/>
      <c r="G411" s="11" t="n"/>
    </row>
    <row r="412">
      <c r="A412" s="10" t="n"/>
      <c r="B412" s="11" t="n"/>
      <c r="C412" s="11" t="n"/>
      <c r="D412" s="11" t="n"/>
      <c r="E412" s="12" t="n"/>
      <c r="F412" s="11" t="n"/>
      <c r="G412" s="11" t="n"/>
    </row>
    <row r="413">
      <c r="A413" s="10" t="n"/>
      <c r="B413" s="11" t="n"/>
      <c r="C413" s="11" t="n"/>
      <c r="D413" s="11" t="n"/>
      <c r="E413" s="12" t="n"/>
      <c r="F413" s="11" t="n"/>
      <c r="G413" s="11" t="n"/>
    </row>
    <row r="414">
      <c r="A414" s="10" t="n"/>
      <c r="B414" s="11" t="n"/>
      <c r="C414" s="11" t="n"/>
      <c r="D414" s="11" t="n"/>
      <c r="E414" s="12" t="n"/>
      <c r="F414" s="11" t="n"/>
      <c r="G414" s="11" t="n"/>
    </row>
    <row r="415">
      <c r="A415" s="10" t="n"/>
      <c r="B415" s="11" t="n"/>
      <c r="C415" s="11" t="n"/>
      <c r="D415" s="11" t="n"/>
      <c r="E415" s="12" t="n"/>
      <c r="F415" s="11" t="n"/>
      <c r="G415" s="11" t="n"/>
    </row>
    <row r="416">
      <c r="A416" s="10" t="n"/>
      <c r="B416" s="11" t="n"/>
      <c r="C416" s="11" t="n"/>
      <c r="D416" s="11" t="n"/>
      <c r="E416" s="12" t="n"/>
      <c r="F416" s="11" t="n"/>
      <c r="G416" s="11" t="n"/>
    </row>
    <row r="417">
      <c r="A417" s="10" t="n"/>
      <c r="B417" s="11" t="n"/>
      <c r="C417" s="11" t="n"/>
      <c r="D417" s="11" t="n"/>
      <c r="E417" s="12" t="n"/>
      <c r="F417" s="11" t="n"/>
      <c r="G417" s="11" t="n"/>
    </row>
    <row r="418">
      <c r="A418" s="10" t="n"/>
      <c r="B418" s="11" t="n"/>
      <c r="C418" s="11" t="n"/>
      <c r="D418" s="11" t="n"/>
      <c r="E418" s="12" t="n"/>
      <c r="F418" s="11" t="n"/>
      <c r="G418" s="11" t="n"/>
    </row>
    <row r="419">
      <c r="A419" s="10" t="n"/>
      <c r="B419" s="11" t="n"/>
      <c r="C419" s="11" t="n"/>
      <c r="D419" s="11" t="n"/>
      <c r="E419" s="12" t="n"/>
      <c r="F419" s="11" t="n"/>
      <c r="G419" s="11" t="n"/>
    </row>
    <row r="420">
      <c r="A420" s="10" t="n"/>
      <c r="B420" s="11" t="n"/>
      <c r="C420" s="11" t="n"/>
      <c r="D420" s="11" t="n"/>
      <c r="E420" s="12" t="n"/>
      <c r="F420" s="11" t="n"/>
      <c r="G420" s="11" t="n"/>
    </row>
    <row r="421">
      <c r="A421" s="10" t="n"/>
      <c r="B421" s="11" t="n"/>
      <c r="C421" s="11" t="n"/>
      <c r="D421" s="11" t="n"/>
      <c r="E421" s="12" t="n"/>
      <c r="F421" s="11" t="n"/>
      <c r="G421" s="11" t="n"/>
    </row>
    <row r="422">
      <c r="A422" s="10" t="n"/>
      <c r="B422" s="11" t="n"/>
      <c r="C422" s="11" t="n"/>
      <c r="D422" s="11" t="n"/>
      <c r="E422" s="12" t="n"/>
      <c r="F422" s="11" t="n"/>
      <c r="G422" s="11" t="n"/>
    </row>
    <row r="423">
      <c r="A423" s="10" t="n"/>
      <c r="B423" s="11" t="n"/>
      <c r="C423" s="11" t="n"/>
      <c r="D423" s="11" t="n"/>
      <c r="E423" s="12" t="n"/>
      <c r="F423" s="11" t="n"/>
      <c r="G423" s="11" t="n"/>
    </row>
    <row r="424">
      <c r="A424" s="10" t="n"/>
      <c r="B424" s="11" t="n"/>
      <c r="C424" s="11" t="n"/>
      <c r="D424" s="11" t="n"/>
      <c r="E424" s="12" t="n"/>
      <c r="F424" s="11" t="n"/>
      <c r="G424" s="11" t="n"/>
    </row>
    <row r="425">
      <c r="A425" s="10" t="n"/>
      <c r="B425" s="11" t="n"/>
      <c r="C425" s="11" t="n"/>
      <c r="D425" s="11" t="n"/>
      <c r="E425" s="12" t="n"/>
      <c r="F425" s="11" t="n"/>
      <c r="G425" s="11" t="n"/>
    </row>
    <row r="426">
      <c r="A426" s="10" t="n"/>
      <c r="B426" s="11" t="n"/>
      <c r="C426" s="11" t="n"/>
      <c r="D426" s="11" t="n"/>
      <c r="E426" s="12" t="n"/>
      <c r="F426" s="11" t="n"/>
      <c r="G426" s="11" t="n"/>
    </row>
    <row r="427">
      <c r="A427" s="10" t="n"/>
      <c r="B427" s="11" t="n"/>
      <c r="C427" s="11" t="n"/>
      <c r="D427" s="11" t="n"/>
      <c r="E427" s="12" t="n"/>
      <c r="F427" s="11" t="n"/>
      <c r="G427" s="11" t="n"/>
    </row>
    <row r="428">
      <c r="A428" s="10" t="n"/>
      <c r="B428" s="11" t="n"/>
      <c r="C428" s="11" t="n"/>
      <c r="D428" s="11" t="n"/>
      <c r="E428" s="12" t="n"/>
      <c r="F428" s="11" t="n"/>
      <c r="G428" s="11" t="n"/>
    </row>
    <row r="429">
      <c r="A429" s="10" t="n"/>
      <c r="B429" s="11" t="n"/>
      <c r="C429" s="11" t="n"/>
      <c r="D429" s="11" t="n"/>
      <c r="E429" s="12" t="n"/>
      <c r="F429" s="11" t="n"/>
      <c r="G429" s="11" t="n"/>
    </row>
    <row r="430">
      <c r="A430" s="10" t="n"/>
      <c r="B430" s="11" t="n"/>
      <c r="C430" s="11" t="n"/>
      <c r="D430" s="11" t="n"/>
      <c r="E430" s="12" t="n"/>
      <c r="F430" s="11" t="n"/>
      <c r="G430" s="11" t="n"/>
    </row>
    <row r="431">
      <c r="A431" s="10" t="n"/>
      <c r="B431" s="11" t="n"/>
      <c r="C431" s="11" t="n"/>
      <c r="D431" s="11" t="n"/>
      <c r="E431" s="12" t="n"/>
      <c r="F431" s="11" t="n"/>
      <c r="G431" s="11" t="n"/>
    </row>
    <row r="432">
      <c r="A432" s="10" t="n"/>
      <c r="B432" s="11" t="n"/>
      <c r="C432" s="11" t="n"/>
      <c r="D432" s="11" t="n"/>
      <c r="E432" s="12" t="n"/>
      <c r="F432" s="11" t="n"/>
      <c r="G432" s="11" t="n"/>
    </row>
    <row r="433">
      <c r="A433" s="10" t="n"/>
      <c r="B433" s="11" t="n"/>
      <c r="C433" s="11" t="n"/>
      <c r="D433" s="11" t="n"/>
      <c r="E433" s="12" t="n"/>
      <c r="F433" s="11" t="n"/>
      <c r="G433" s="11" t="n"/>
    </row>
    <row r="434">
      <c r="A434" s="10" t="n"/>
      <c r="B434" s="11" t="n"/>
      <c r="C434" s="11" t="n"/>
      <c r="D434" s="11" t="n"/>
      <c r="E434" s="12" t="n"/>
      <c r="F434" s="11" t="n"/>
      <c r="G434" s="11" t="n"/>
    </row>
    <row r="435">
      <c r="A435" s="10" t="n"/>
      <c r="B435" s="11" t="n"/>
      <c r="C435" s="11" t="n"/>
      <c r="D435" s="11" t="n"/>
      <c r="E435" s="12" t="n"/>
      <c r="F435" s="11" t="n"/>
      <c r="G435" s="11" t="n"/>
    </row>
    <row r="436">
      <c r="A436" s="10" t="n"/>
      <c r="B436" s="11" t="n"/>
      <c r="C436" s="11" t="n"/>
      <c r="D436" s="11" t="n"/>
      <c r="E436" s="12" t="n"/>
      <c r="F436" s="11" t="n"/>
      <c r="G436" s="11" t="n"/>
    </row>
    <row r="437">
      <c r="A437" s="10" t="n"/>
      <c r="B437" s="11" t="n"/>
      <c r="C437" s="11" t="n"/>
      <c r="D437" s="11" t="n"/>
      <c r="E437" s="12" t="n"/>
      <c r="F437" s="11" t="n"/>
      <c r="G437" s="11" t="n"/>
    </row>
    <row r="438">
      <c r="A438" s="10" t="n"/>
      <c r="B438" s="11" t="n"/>
      <c r="C438" s="11" t="n"/>
      <c r="D438" s="11" t="n"/>
      <c r="E438" s="12" t="n"/>
      <c r="F438" s="11" t="n"/>
      <c r="G438" s="11" t="n"/>
    </row>
    <row r="439">
      <c r="A439" s="10" t="n"/>
      <c r="B439" s="11" t="n"/>
      <c r="C439" s="11" t="n"/>
      <c r="D439" s="11" t="n"/>
      <c r="E439" s="12" t="n"/>
      <c r="F439" s="11" t="n"/>
      <c r="G439" s="11" t="n"/>
    </row>
    <row r="440">
      <c r="A440" s="10" t="n"/>
      <c r="B440" s="11" t="n"/>
      <c r="C440" s="11" t="n"/>
      <c r="D440" s="11" t="n"/>
      <c r="E440" s="12" t="n"/>
      <c r="F440" s="11" t="n"/>
      <c r="G440" s="11" t="n"/>
    </row>
    <row r="441">
      <c r="A441" s="10" t="n"/>
      <c r="B441" s="11" t="n"/>
      <c r="C441" s="11" t="n"/>
      <c r="D441" s="11" t="n"/>
      <c r="E441" s="12" t="n"/>
      <c r="F441" s="11" t="n"/>
      <c r="G441" s="11" t="n"/>
    </row>
    <row r="442">
      <c r="A442" s="10" t="n"/>
      <c r="B442" s="11" t="n"/>
      <c r="C442" s="11" t="n"/>
      <c r="D442" s="11" t="n"/>
      <c r="E442" s="12" t="n"/>
      <c r="F442" s="11" t="n"/>
      <c r="G442" s="11" t="n"/>
    </row>
    <row r="443">
      <c r="A443" s="10" t="n"/>
      <c r="B443" s="11" t="n"/>
      <c r="C443" s="11" t="n"/>
      <c r="D443" s="11" t="n"/>
      <c r="E443" s="12" t="n"/>
      <c r="F443" s="11" t="n"/>
      <c r="G443" s="11" t="n"/>
    </row>
    <row r="444">
      <c r="A444" s="10" t="n"/>
      <c r="B444" s="11" t="n"/>
      <c r="C444" s="11" t="n"/>
      <c r="D444" s="11" t="n"/>
      <c r="E444" s="12" t="n"/>
      <c r="F444" s="11" t="n"/>
      <c r="G444" s="11" t="n"/>
    </row>
    <row r="445">
      <c r="A445" s="10" t="n"/>
      <c r="B445" s="11" t="n"/>
      <c r="C445" s="11" t="n"/>
      <c r="D445" s="11" t="n"/>
      <c r="E445" s="12" t="n"/>
      <c r="F445" s="11" t="n"/>
      <c r="G445" s="11" t="n"/>
    </row>
    <row r="446">
      <c r="A446" s="10" t="n"/>
      <c r="B446" s="11" t="n"/>
      <c r="C446" s="11" t="n"/>
      <c r="D446" s="11" t="n"/>
      <c r="E446" s="12" t="n"/>
      <c r="F446" s="11" t="n"/>
      <c r="G446" s="11" t="n"/>
    </row>
    <row r="447">
      <c r="A447" s="10" t="n"/>
      <c r="B447" s="11" t="n"/>
      <c r="C447" s="11" t="n"/>
      <c r="D447" s="11" t="n"/>
      <c r="E447" s="12" t="n"/>
      <c r="F447" s="11" t="n"/>
      <c r="G447" s="11" t="n"/>
    </row>
    <row r="448">
      <c r="A448" s="10" t="n"/>
      <c r="B448" s="11" t="n"/>
      <c r="C448" s="11" t="n"/>
      <c r="D448" s="11" t="n"/>
      <c r="E448" s="12" t="n"/>
      <c r="F448" s="11" t="n"/>
      <c r="G448" s="11" t="n"/>
    </row>
    <row r="449">
      <c r="A449" s="10" t="n"/>
      <c r="B449" s="11" t="n"/>
      <c r="C449" s="11" t="n"/>
      <c r="D449" s="11" t="n"/>
      <c r="E449" s="12" t="n"/>
      <c r="F449" s="11" t="n"/>
      <c r="G449" s="11" t="n"/>
    </row>
    <row r="450">
      <c r="A450" s="10" t="n"/>
      <c r="B450" s="11" t="n"/>
      <c r="C450" s="11" t="n"/>
      <c r="D450" s="11" t="n"/>
      <c r="E450" s="12" t="n"/>
      <c r="F450" s="11" t="n"/>
      <c r="G450" s="11" t="n"/>
    </row>
    <row r="451">
      <c r="A451" s="10" t="n"/>
      <c r="B451" s="11" t="n"/>
      <c r="C451" s="11" t="n"/>
      <c r="D451" s="11" t="n"/>
      <c r="E451" s="12" t="n"/>
      <c r="F451" s="11" t="n"/>
      <c r="G451" s="11" t="n"/>
    </row>
    <row r="452">
      <c r="A452" s="10" t="n"/>
      <c r="B452" s="11" t="n"/>
      <c r="C452" s="11" t="n"/>
      <c r="D452" s="11" t="n"/>
      <c r="E452" s="12" t="n"/>
      <c r="F452" s="11" t="n"/>
      <c r="G452" s="11" t="n"/>
    </row>
    <row r="453">
      <c r="A453" s="10" t="n"/>
      <c r="B453" s="11" t="n"/>
      <c r="C453" s="11" t="n"/>
      <c r="D453" s="11" t="n"/>
      <c r="E453" s="12" t="n"/>
      <c r="F453" s="11" t="n"/>
      <c r="G453" s="11" t="n"/>
    </row>
    <row r="454">
      <c r="A454" s="10" t="n"/>
      <c r="B454" s="11" t="n"/>
      <c r="C454" s="11" t="n"/>
      <c r="D454" s="11" t="n"/>
      <c r="E454" s="12" t="n"/>
      <c r="F454" s="11" t="n"/>
      <c r="G454" s="11" t="n"/>
    </row>
    <row r="455">
      <c r="A455" s="10" t="n"/>
      <c r="B455" s="11" t="n"/>
      <c r="C455" s="11" t="n"/>
      <c r="D455" s="11" t="n"/>
      <c r="E455" s="12" t="n"/>
      <c r="F455" s="11" t="n"/>
      <c r="G455" s="11" t="n"/>
    </row>
    <row r="456">
      <c r="A456" s="10" t="n"/>
      <c r="B456" s="11" t="n"/>
      <c r="C456" s="11" t="n"/>
      <c r="D456" s="11" t="n"/>
      <c r="E456" s="12" t="n"/>
      <c r="F456" s="11" t="n"/>
      <c r="G456" s="11" t="n"/>
    </row>
    <row r="457">
      <c r="A457" s="10" t="n"/>
      <c r="B457" s="11" t="n"/>
      <c r="C457" s="11" t="n"/>
      <c r="D457" s="11" t="n"/>
      <c r="E457" s="12" t="n"/>
      <c r="F457" s="11" t="n"/>
      <c r="G457" s="11" t="n"/>
    </row>
    <row r="458">
      <c r="A458" s="10" t="n"/>
      <c r="B458" s="11" t="n"/>
      <c r="C458" s="11" t="n"/>
      <c r="D458" s="11" t="n"/>
      <c r="E458" s="12" t="n"/>
      <c r="F458" s="11" t="n"/>
      <c r="G458" s="11" t="n"/>
    </row>
    <row r="459">
      <c r="A459" s="10" t="n"/>
      <c r="B459" s="11" t="n"/>
      <c r="C459" s="11" t="n"/>
      <c r="D459" s="11" t="n"/>
      <c r="E459" s="12" t="n"/>
      <c r="F459" s="11" t="n"/>
      <c r="G459" s="11" t="n"/>
    </row>
    <row r="460">
      <c r="A460" s="10" t="n"/>
      <c r="B460" s="11" t="n"/>
      <c r="C460" s="11" t="n"/>
      <c r="D460" s="11" t="n"/>
      <c r="E460" s="12" t="n"/>
      <c r="F460" s="11" t="n"/>
      <c r="G460" s="11" t="n"/>
    </row>
    <row r="461">
      <c r="A461" s="10" t="n"/>
      <c r="B461" s="11" t="n"/>
      <c r="C461" s="11" t="n"/>
      <c r="D461" s="11" t="n"/>
      <c r="E461" s="12" t="n"/>
      <c r="F461" s="11" t="n"/>
      <c r="G461" s="11" t="n"/>
    </row>
    <row r="462">
      <c r="A462" s="10" t="n"/>
      <c r="B462" s="11" t="n"/>
      <c r="C462" s="11" t="n"/>
      <c r="D462" s="11" t="n"/>
      <c r="E462" s="12" t="n"/>
      <c r="F462" s="11" t="n"/>
      <c r="G462" s="11" t="n"/>
    </row>
    <row r="463">
      <c r="A463" s="10" t="n"/>
      <c r="B463" s="11" t="n"/>
      <c r="C463" s="11" t="n"/>
      <c r="D463" s="11" t="n"/>
      <c r="E463" s="12" t="n"/>
      <c r="F463" s="11" t="n"/>
      <c r="G463" s="11" t="n"/>
    </row>
    <row r="464">
      <c r="A464" s="10" t="n"/>
      <c r="B464" s="11" t="n"/>
      <c r="C464" s="11" t="n"/>
      <c r="D464" s="11" t="n"/>
      <c r="E464" s="12" t="n"/>
      <c r="F464" s="11" t="n"/>
      <c r="G464" s="11" t="n"/>
    </row>
    <row r="465">
      <c r="A465" s="10" t="n"/>
      <c r="B465" s="11" t="n"/>
      <c r="C465" s="11" t="n"/>
      <c r="D465" s="11" t="n"/>
      <c r="E465" s="12" t="n"/>
      <c r="F465" s="11" t="n"/>
      <c r="G465" s="11" t="n"/>
    </row>
    <row r="466">
      <c r="A466" s="10" t="n"/>
      <c r="B466" s="11" t="n"/>
      <c r="C466" s="11" t="n"/>
      <c r="D466" s="11" t="n"/>
      <c r="E466" s="12" t="n"/>
      <c r="F466" s="11" t="n"/>
      <c r="G466" s="11" t="n"/>
    </row>
    <row r="467">
      <c r="A467" s="10" t="n"/>
      <c r="B467" s="11" t="n"/>
      <c r="C467" s="11" t="n"/>
      <c r="D467" s="11" t="n"/>
      <c r="E467" s="12" t="n"/>
      <c r="F467" s="11" t="n"/>
      <c r="G467" s="11" t="n"/>
    </row>
    <row r="468">
      <c r="A468" s="10" t="n"/>
      <c r="B468" s="11" t="n"/>
      <c r="C468" s="11" t="n"/>
      <c r="D468" s="11" t="n"/>
      <c r="E468" s="12" t="n"/>
      <c r="F468" s="11" t="n"/>
      <c r="G468" s="11" t="n"/>
    </row>
    <row r="469">
      <c r="A469" s="10" t="n"/>
      <c r="B469" s="11" t="n"/>
      <c r="C469" s="11" t="n"/>
      <c r="D469" s="11" t="n"/>
      <c r="E469" s="12" t="n"/>
      <c r="F469" s="11" t="n"/>
      <c r="G469" s="11" t="n"/>
    </row>
    <row r="470">
      <c r="A470" s="10" t="n"/>
      <c r="B470" s="11" t="n"/>
      <c r="C470" s="11" t="n"/>
      <c r="D470" s="11" t="n"/>
      <c r="E470" s="12" t="n"/>
      <c r="F470" s="11" t="n"/>
      <c r="G470" s="11" t="n"/>
    </row>
    <row r="471">
      <c r="A471" s="10" t="n"/>
      <c r="B471" s="11" t="n"/>
      <c r="C471" s="11" t="n"/>
      <c r="D471" s="11" t="n"/>
      <c r="E471" s="12" t="n"/>
      <c r="F471" s="11" t="n"/>
      <c r="G471" s="11" t="n"/>
    </row>
    <row r="472">
      <c r="A472" s="10" t="n"/>
      <c r="B472" s="11" t="n"/>
      <c r="C472" s="11" t="n"/>
      <c r="D472" s="11" t="n"/>
      <c r="E472" s="12" t="n"/>
      <c r="F472" s="11" t="n"/>
      <c r="G472" s="11" t="n"/>
    </row>
    <row r="473">
      <c r="A473" s="10" t="n"/>
      <c r="B473" s="11" t="n"/>
      <c r="C473" s="11" t="n"/>
      <c r="D473" s="11" t="n"/>
      <c r="E473" s="12" t="n"/>
      <c r="F473" s="11" t="n"/>
      <c r="G473" s="11" t="n"/>
    </row>
    <row r="474">
      <c r="A474" s="10" t="n"/>
      <c r="B474" s="11" t="n"/>
      <c r="C474" s="11" t="n"/>
      <c r="D474" s="11" t="n"/>
      <c r="E474" s="12" t="n"/>
      <c r="F474" s="11" t="n"/>
      <c r="G474" s="11" t="n"/>
    </row>
    <row r="475">
      <c r="A475" s="10" t="n"/>
      <c r="B475" s="11" t="n"/>
      <c r="C475" s="11" t="n"/>
      <c r="D475" s="11" t="n"/>
      <c r="E475" s="12" t="n"/>
      <c r="F475" s="11" t="n"/>
      <c r="G475" s="11" t="n"/>
    </row>
    <row r="476">
      <c r="A476" s="10" t="n"/>
      <c r="B476" s="11" t="n"/>
      <c r="C476" s="11" t="n"/>
      <c r="D476" s="11" t="n"/>
      <c r="E476" s="12" t="n"/>
      <c r="F476" s="11" t="n"/>
      <c r="G476" s="11" t="n"/>
    </row>
    <row r="477">
      <c r="A477" s="10" t="n"/>
      <c r="B477" s="11" t="n"/>
      <c r="C477" s="11" t="n"/>
      <c r="D477" s="11" t="n"/>
      <c r="E477" s="12" t="n"/>
      <c r="F477" s="11" t="n"/>
      <c r="G477" s="11" t="n"/>
    </row>
    <row r="478">
      <c r="A478" s="10" t="n"/>
      <c r="B478" s="11" t="n"/>
      <c r="C478" s="11" t="n"/>
      <c r="D478" s="11" t="n"/>
      <c r="E478" s="12" t="n"/>
      <c r="F478" s="11" t="n"/>
      <c r="G478" s="11" t="n"/>
    </row>
    <row r="479">
      <c r="A479" s="10" t="n"/>
      <c r="B479" s="11" t="n"/>
      <c r="C479" s="11" t="n"/>
      <c r="D479" s="11" t="n"/>
      <c r="E479" s="12" t="n"/>
      <c r="F479" s="11" t="n"/>
      <c r="G479" s="11" t="n"/>
    </row>
    <row r="480">
      <c r="A480" s="10" t="n"/>
      <c r="B480" s="11" t="n"/>
      <c r="C480" s="11" t="n"/>
      <c r="D480" s="11" t="n"/>
      <c r="E480" s="12" t="n"/>
      <c r="F480" s="11" t="n"/>
      <c r="G480" s="11" t="n"/>
    </row>
    <row r="481">
      <c r="A481" s="10" t="n"/>
      <c r="B481" s="11" t="n"/>
      <c r="C481" s="11" t="n"/>
      <c r="D481" s="11" t="n"/>
      <c r="E481" s="12" t="n"/>
      <c r="F481" s="11" t="n"/>
      <c r="G481" s="11" t="n"/>
    </row>
    <row r="482">
      <c r="A482" s="10" t="n"/>
      <c r="B482" s="11" t="n"/>
      <c r="C482" s="11" t="n"/>
      <c r="D482" s="11" t="n"/>
      <c r="E482" s="12" t="n"/>
      <c r="F482" s="11" t="n"/>
      <c r="G482" s="11" t="n"/>
    </row>
    <row r="483">
      <c r="A483" s="10" t="n"/>
      <c r="B483" s="11" t="n"/>
      <c r="C483" s="11" t="n"/>
      <c r="D483" s="11" t="n"/>
      <c r="E483" s="12" t="n"/>
      <c r="F483" s="11" t="n"/>
      <c r="G483" s="11" t="n"/>
    </row>
    <row r="484">
      <c r="A484" s="10" t="n"/>
      <c r="B484" s="11" t="n"/>
      <c r="C484" s="11" t="n"/>
      <c r="D484" s="11" t="n"/>
      <c r="E484" s="12" t="n"/>
      <c r="F484" s="11" t="n"/>
      <c r="G484" s="11" t="n"/>
    </row>
    <row r="485">
      <c r="A485" s="10" t="n"/>
      <c r="B485" s="11" t="n"/>
      <c r="C485" s="11" t="n"/>
      <c r="D485" s="11" t="n"/>
      <c r="E485" s="12" t="n"/>
      <c r="F485" s="11" t="n"/>
      <c r="G485" s="11" t="n"/>
    </row>
    <row r="486">
      <c r="A486" s="10" t="n"/>
      <c r="B486" s="11" t="n"/>
      <c r="C486" s="11" t="n"/>
      <c r="D486" s="11" t="n"/>
      <c r="E486" s="12" t="n"/>
      <c r="F486" s="11" t="n"/>
      <c r="G486" s="11" t="n"/>
    </row>
    <row r="487">
      <c r="A487" s="10" t="n"/>
      <c r="B487" s="11" t="n"/>
      <c r="C487" s="11" t="n"/>
      <c r="D487" s="11" t="n"/>
      <c r="E487" s="12" t="n"/>
      <c r="F487" s="11" t="n"/>
      <c r="G487" s="11" t="n"/>
    </row>
    <row r="488">
      <c r="A488" s="10" t="n"/>
      <c r="B488" s="11" t="n"/>
      <c r="C488" s="11" t="n"/>
      <c r="D488" s="11" t="n"/>
      <c r="E488" s="12" t="n"/>
      <c r="F488" s="11" t="n"/>
      <c r="G488" s="11" t="n"/>
    </row>
    <row r="489">
      <c r="A489" s="10" t="n"/>
      <c r="B489" s="11" t="n"/>
      <c r="C489" s="11" t="n"/>
      <c r="D489" s="11" t="n"/>
      <c r="E489" s="12" t="n"/>
      <c r="F489" s="11" t="n"/>
      <c r="G489" s="11" t="n"/>
    </row>
    <row r="490">
      <c r="A490" s="10" t="n"/>
      <c r="B490" s="11" t="n"/>
      <c r="C490" s="11" t="n"/>
      <c r="D490" s="11" t="n"/>
      <c r="E490" s="12" t="n"/>
      <c r="F490" s="11" t="n"/>
      <c r="G490" s="11" t="n"/>
    </row>
    <row r="491">
      <c r="A491" s="10" t="n"/>
      <c r="B491" s="11" t="n"/>
      <c r="C491" s="11" t="n"/>
      <c r="D491" s="11" t="n"/>
      <c r="E491" s="12" t="n"/>
      <c r="F491" s="11" t="n"/>
      <c r="G491" s="11" t="n"/>
    </row>
    <row r="492">
      <c r="A492" s="10" t="n"/>
      <c r="B492" s="11" t="n"/>
      <c r="C492" s="11" t="n"/>
      <c r="D492" s="11" t="n"/>
      <c r="E492" s="12" t="n"/>
      <c r="F492" s="11" t="n"/>
      <c r="G492" s="11" t="n"/>
    </row>
    <row r="493">
      <c r="A493" s="10" t="n"/>
      <c r="B493" s="11" t="n"/>
      <c r="C493" s="11" t="n"/>
      <c r="D493" s="11" t="n"/>
      <c r="E493" s="12" t="n"/>
      <c r="F493" s="11" t="n"/>
      <c r="G493" s="11" t="n"/>
    </row>
    <row r="494">
      <c r="A494" s="10" t="n"/>
      <c r="B494" s="11" t="n"/>
      <c r="C494" s="11" t="n"/>
      <c r="D494" s="11" t="n"/>
      <c r="E494" s="12" t="n"/>
      <c r="F494" s="11" t="n"/>
      <c r="G494" s="11" t="n"/>
    </row>
    <row r="495">
      <c r="A495" s="10" t="n"/>
      <c r="B495" s="11" t="n"/>
      <c r="C495" s="11" t="n"/>
      <c r="D495" s="11" t="n"/>
      <c r="E495" s="12" t="n"/>
      <c r="F495" s="11" t="n"/>
      <c r="G495" s="11" t="n"/>
    </row>
    <row r="496">
      <c r="A496" s="10" t="n"/>
      <c r="B496" s="11" t="n"/>
      <c r="C496" s="11" t="n"/>
      <c r="D496" s="11" t="n"/>
      <c r="E496" s="12" t="n"/>
      <c r="F496" s="11" t="n"/>
      <c r="G496" s="11" t="n"/>
    </row>
    <row r="497">
      <c r="A497" s="10" t="n"/>
      <c r="B497" s="11" t="n"/>
      <c r="C497" s="11" t="n"/>
      <c r="D497" s="11" t="n"/>
      <c r="E497" s="12" t="n"/>
      <c r="F497" s="11" t="n"/>
      <c r="G497" s="11" t="n"/>
    </row>
    <row r="498">
      <c r="A498" s="10" t="n"/>
      <c r="B498" s="11" t="n"/>
      <c r="C498" s="11" t="n"/>
      <c r="D498" s="11" t="n"/>
      <c r="E498" s="12" t="n"/>
      <c r="F498" s="11" t="n"/>
      <c r="G498" s="11" t="n"/>
    </row>
    <row r="499">
      <c r="A499" s="10" t="n"/>
      <c r="B499" s="11" t="n"/>
      <c r="C499" s="11" t="n"/>
      <c r="D499" s="11" t="n"/>
      <c r="E499" s="12" t="n"/>
      <c r="F499" s="11" t="n"/>
      <c r="G499" s="11" t="n"/>
    </row>
    <row r="500">
      <c r="A500" s="10" t="n"/>
      <c r="B500" s="11" t="n"/>
      <c r="C500" s="11" t="n"/>
      <c r="D500" s="11" t="n"/>
      <c r="E500" s="12" t="n"/>
      <c r="F500" s="11" t="n"/>
      <c r="G500" s="11" t="n"/>
    </row>
    <row r="501">
      <c r="A501" s="10" t="n"/>
      <c r="B501" s="11" t="n"/>
      <c r="C501" s="11" t="n"/>
      <c r="D501" s="11" t="n"/>
      <c r="E501" s="12" t="n"/>
      <c r="F501" s="11" t="n"/>
      <c r="G501" s="11" t="n"/>
    </row>
    <row r="502">
      <c r="A502" s="10" t="n"/>
      <c r="B502" s="11" t="n"/>
      <c r="C502" s="11" t="n"/>
      <c r="D502" s="11" t="n"/>
      <c r="E502" s="12" t="n"/>
      <c r="F502" s="11" t="n"/>
      <c r="G502" s="11" t="n"/>
    </row>
    <row r="503">
      <c r="A503" s="10" t="n"/>
      <c r="B503" s="11" t="n"/>
      <c r="C503" s="11" t="n"/>
      <c r="D503" s="11" t="n"/>
      <c r="E503" s="12" t="n"/>
      <c r="F503" s="11" t="n"/>
      <c r="G503" s="11" t="n"/>
    </row>
    <row r="504">
      <c r="A504" s="10" t="n"/>
      <c r="B504" s="11" t="n"/>
      <c r="C504" s="11" t="n"/>
      <c r="D504" s="11" t="n"/>
      <c r="E504" s="12" t="n"/>
      <c r="F504" s="11" t="n"/>
      <c r="G504" s="11" t="n"/>
    </row>
    <row r="505">
      <c r="A505" s="10" t="n"/>
      <c r="B505" s="11" t="n"/>
      <c r="C505" s="11" t="n"/>
      <c r="D505" s="11" t="n"/>
      <c r="E505" s="12" t="n"/>
      <c r="F505" s="11" t="n"/>
      <c r="G505" s="11" t="n"/>
    </row>
    <row r="506">
      <c r="A506" s="10" t="n"/>
      <c r="B506" s="11" t="n"/>
      <c r="C506" s="11" t="n"/>
      <c r="D506" s="11" t="n"/>
      <c r="E506" s="12" t="n"/>
      <c r="F506" s="11" t="n"/>
      <c r="G506" s="11" t="n"/>
    </row>
    <row r="507">
      <c r="A507" s="10" t="n"/>
      <c r="B507" s="11" t="n"/>
      <c r="C507" s="11" t="n"/>
      <c r="D507" s="11" t="n"/>
      <c r="E507" s="12" t="n"/>
      <c r="F507" s="11" t="n"/>
      <c r="G507" s="11" t="n"/>
    </row>
    <row r="508">
      <c r="A508" s="10" t="n"/>
      <c r="B508" s="11" t="n"/>
      <c r="C508" s="11" t="n"/>
      <c r="D508" s="11" t="n"/>
      <c r="E508" s="12" t="n"/>
      <c r="F508" s="11" t="n"/>
      <c r="G508" s="11" t="n"/>
    </row>
    <row r="509">
      <c r="A509" s="10" t="n"/>
      <c r="B509" s="11" t="n"/>
      <c r="C509" s="11" t="n"/>
      <c r="D509" s="11" t="n"/>
      <c r="E509" s="12" t="n"/>
      <c r="F509" s="11" t="n"/>
      <c r="G509" s="11" t="n"/>
    </row>
    <row r="510">
      <c r="A510" s="10" t="n"/>
      <c r="B510" s="11" t="n"/>
      <c r="C510" s="11" t="n"/>
      <c r="D510" s="11" t="n"/>
      <c r="E510" s="12" t="n"/>
      <c r="F510" s="11" t="n"/>
      <c r="G510" s="11" t="n"/>
    </row>
    <row r="511">
      <c r="A511" s="10" t="n"/>
      <c r="B511" s="11" t="n"/>
      <c r="C511" s="11" t="n"/>
      <c r="D511" s="11" t="n"/>
      <c r="E511" s="12" t="n"/>
      <c r="F511" s="11" t="n"/>
      <c r="G511" s="11" t="n"/>
    </row>
    <row r="512">
      <c r="A512" s="10" t="n"/>
      <c r="B512" s="11" t="n"/>
      <c r="C512" s="11" t="n"/>
      <c r="D512" s="11" t="n"/>
      <c r="E512" s="12" t="n"/>
      <c r="F512" s="11" t="n"/>
      <c r="G512" s="11" t="n"/>
    </row>
    <row r="513">
      <c r="A513" s="10" t="n"/>
      <c r="B513" s="11" t="n"/>
      <c r="C513" s="11" t="n"/>
      <c r="D513" s="11" t="n"/>
      <c r="E513" s="12" t="n"/>
      <c r="F513" s="11" t="n"/>
      <c r="G513" s="11" t="n"/>
    </row>
    <row r="514">
      <c r="A514" s="10" t="n"/>
      <c r="B514" s="11" t="n"/>
      <c r="C514" s="11" t="n"/>
      <c r="D514" s="11" t="n"/>
      <c r="E514" s="12" t="n"/>
      <c r="F514" s="11" t="n"/>
      <c r="G514" s="11" t="n"/>
    </row>
    <row r="515">
      <c r="A515" s="10" t="n"/>
      <c r="B515" s="11" t="n"/>
      <c r="C515" s="11" t="n"/>
      <c r="D515" s="11" t="n"/>
      <c r="E515" s="12" t="n"/>
      <c r="F515" s="11" t="n"/>
      <c r="G515" s="11" t="n"/>
    </row>
    <row r="516">
      <c r="A516" s="10" t="n"/>
      <c r="B516" s="11" t="n"/>
      <c r="C516" s="11" t="n"/>
      <c r="D516" s="11" t="n"/>
      <c r="E516" s="12" t="n"/>
      <c r="F516" s="11" t="n"/>
      <c r="G516" s="11" t="n"/>
    </row>
    <row r="517">
      <c r="A517" s="10" t="n"/>
      <c r="B517" s="11" t="n"/>
      <c r="C517" s="11" t="n"/>
      <c r="D517" s="11" t="n"/>
      <c r="E517" s="12" t="n"/>
      <c r="F517" s="11" t="n"/>
      <c r="G517" s="11" t="n"/>
    </row>
    <row r="518">
      <c r="A518" s="10" t="n"/>
      <c r="B518" s="11" t="n"/>
      <c r="C518" s="11" t="n"/>
      <c r="D518" s="11" t="n"/>
      <c r="E518" s="12" t="n"/>
      <c r="F518" s="11" t="n"/>
      <c r="G518" s="11" t="n"/>
    </row>
    <row r="519">
      <c r="A519" s="10" t="n"/>
      <c r="B519" s="11" t="n"/>
      <c r="C519" s="11" t="n"/>
      <c r="D519" s="11" t="n"/>
      <c r="E519" s="12" t="n"/>
      <c r="F519" s="11" t="n"/>
      <c r="G519" s="11" t="n"/>
    </row>
    <row r="520">
      <c r="A520" s="10" t="n"/>
      <c r="B520" s="11" t="n"/>
      <c r="C520" s="11" t="n"/>
      <c r="D520" s="11" t="n"/>
      <c r="E520" s="12" t="n"/>
      <c r="F520" s="11" t="n"/>
      <c r="G520" s="11" t="n"/>
    </row>
    <row r="521">
      <c r="A521" s="10" t="n"/>
      <c r="B521" s="11" t="n"/>
      <c r="C521" s="11" t="n"/>
      <c r="D521" s="11" t="n"/>
      <c r="E521" s="12" t="n"/>
      <c r="F521" s="11" t="n"/>
      <c r="G521" s="11" t="n"/>
    </row>
    <row r="522">
      <c r="A522" s="10" t="n"/>
      <c r="B522" s="11" t="n"/>
      <c r="C522" s="11" t="n"/>
      <c r="D522" s="11" t="n"/>
      <c r="E522" s="12" t="n"/>
      <c r="F522" s="11" t="n"/>
      <c r="G522" s="11" t="n"/>
    </row>
    <row r="523">
      <c r="A523" s="10" t="n"/>
      <c r="B523" s="11" t="n"/>
      <c r="C523" s="11" t="n"/>
      <c r="D523" s="11" t="n"/>
      <c r="E523" s="12" t="n"/>
      <c r="F523" s="11" t="n"/>
      <c r="G523" s="11" t="n"/>
    </row>
    <row r="524">
      <c r="A524" s="10" t="n"/>
      <c r="B524" s="11" t="n"/>
      <c r="C524" s="11" t="n"/>
      <c r="D524" s="11" t="n"/>
      <c r="E524" s="12" t="n"/>
      <c r="F524" s="11" t="n"/>
      <c r="G524" s="11" t="n"/>
    </row>
    <row r="525">
      <c r="A525" s="10" t="n"/>
      <c r="B525" s="11" t="n"/>
      <c r="C525" s="11" t="n"/>
      <c r="D525" s="11" t="n"/>
      <c r="E525" s="12" t="n"/>
      <c r="F525" s="11" t="n"/>
      <c r="G525" s="11" t="n"/>
    </row>
    <row r="526">
      <c r="A526" s="10" t="n"/>
      <c r="B526" s="11" t="n"/>
      <c r="C526" s="11" t="n"/>
      <c r="D526" s="11" t="n"/>
      <c r="E526" s="12" t="n"/>
      <c r="F526" s="11" t="n"/>
      <c r="G526" s="11" t="n"/>
    </row>
    <row r="527">
      <c r="A527" s="10" t="n"/>
      <c r="B527" s="11" t="n"/>
      <c r="C527" s="11" t="n"/>
      <c r="D527" s="11" t="n"/>
      <c r="E527" s="12" t="n"/>
      <c r="F527" s="11" t="n"/>
      <c r="G527" s="11" t="n"/>
    </row>
    <row r="528">
      <c r="A528" s="10" t="n"/>
      <c r="B528" s="11" t="n"/>
      <c r="C528" s="11" t="n"/>
      <c r="D528" s="11" t="n"/>
      <c r="E528" s="12" t="n"/>
      <c r="F528" s="11" t="n"/>
      <c r="G528" s="11" t="n"/>
    </row>
    <row r="529">
      <c r="A529" s="10" t="n"/>
      <c r="B529" s="11" t="n"/>
      <c r="C529" s="11" t="n"/>
      <c r="D529" s="11" t="n"/>
      <c r="E529" s="12" t="n"/>
      <c r="F529" s="11" t="n"/>
      <c r="G529" s="11" t="n"/>
    </row>
    <row r="530">
      <c r="A530" s="10" t="n"/>
      <c r="B530" s="11" t="n"/>
      <c r="C530" s="11" t="n"/>
      <c r="D530" s="11" t="n"/>
      <c r="E530" s="12" t="n"/>
      <c r="F530" s="11" t="n"/>
      <c r="G530" s="11" t="n"/>
    </row>
    <row r="531">
      <c r="A531" s="10" t="n"/>
      <c r="B531" s="11" t="n"/>
      <c r="C531" s="11" t="n"/>
      <c r="D531" s="11" t="n"/>
      <c r="E531" s="12" t="n"/>
      <c r="F531" s="11" t="n"/>
      <c r="G531" s="11" t="n"/>
    </row>
    <row r="532">
      <c r="A532" s="10" t="n"/>
      <c r="B532" s="11" t="n"/>
      <c r="C532" s="11" t="n"/>
      <c r="D532" s="11" t="n"/>
      <c r="E532" s="12" t="n"/>
      <c r="F532" s="11" t="n"/>
      <c r="G532" s="11" t="n"/>
    </row>
    <row r="533">
      <c r="A533" s="10" t="n"/>
      <c r="B533" s="11" t="n"/>
      <c r="C533" s="11" t="n"/>
      <c r="D533" s="11" t="n"/>
      <c r="E533" s="12" t="n"/>
      <c r="F533" s="11" t="n"/>
      <c r="G533" s="11" t="n"/>
    </row>
    <row r="534">
      <c r="A534" s="10" t="n"/>
      <c r="B534" s="11" t="n"/>
      <c r="C534" s="11" t="n"/>
      <c r="D534" s="11" t="n"/>
      <c r="E534" s="12" t="n"/>
      <c r="F534" s="11" t="n"/>
      <c r="G534" s="11" t="n"/>
    </row>
    <row r="535">
      <c r="A535" s="10" t="n"/>
      <c r="B535" s="11" t="n"/>
      <c r="C535" s="11" t="n"/>
      <c r="D535" s="11" t="n"/>
      <c r="E535" s="12" t="n"/>
      <c r="F535" s="11" t="n"/>
      <c r="G535" s="11" t="n"/>
    </row>
    <row r="536">
      <c r="A536" s="10" t="n"/>
      <c r="B536" s="11" t="n"/>
      <c r="C536" s="11" t="n"/>
      <c r="D536" s="11" t="n"/>
      <c r="E536" s="12" t="n"/>
      <c r="F536" s="11" t="n"/>
      <c r="G536" s="11" t="n"/>
    </row>
    <row r="537">
      <c r="A537" s="10" t="n"/>
      <c r="B537" s="11" t="n"/>
      <c r="C537" s="11" t="n"/>
      <c r="D537" s="11" t="n"/>
      <c r="E537" s="12" t="n"/>
      <c r="F537" s="11" t="n"/>
      <c r="G537" s="11" t="n"/>
    </row>
    <row r="538">
      <c r="A538" s="10" t="n"/>
      <c r="B538" s="11" t="n"/>
      <c r="C538" s="11" t="n"/>
      <c r="D538" s="11" t="n"/>
      <c r="E538" s="12" t="n"/>
      <c r="F538" s="11" t="n"/>
      <c r="G538" s="11" t="n"/>
    </row>
    <row r="539">
      <c r="A539" s="10" t="n"/>
      <c r="B539" s="11" t="n"/>
      <c r="C539" s="11" t="n"/>
      <c r="D539" s="11" t="n"/>
      <c r="E539" s="12" t="n"/>
      <c r="F539" s="11" t="n"/>
      <c r="G539" s="11" t="n"/>
    </row>
    <row r="540">
      <c r="A540" s="10" t="n"/>
      <c r="B540" s="11" t="n"/>
      <c r="C540" s="11" t="n"/>
      <c r="D540" s="11" t="n"/>
      <c r="E540" s="12" t="n"/>
      <c r="F540" s="11" t="n"/>
      <c r="G540" s="11" t="n"/>
    </row>
    <row r="541">
      <c r="A541" s="10" t="n"/>
      <c r="B541" s="11" t="n"/>
      <c r="C541" s="11" t="n"/>
      <c r="D541" s="11" t="n"/>
      <c r="E541" s="12" t="n"/>
      <c r="F541" s="11" t="n"/>
      <c r="G541" s="11" t="n"/>
    </row>
    <row r="542">
      <c r="A542" s="10" t="n"/>
      <c r="B542" s="11" t="n"/>
      <c r="C542" s="11" t="n"/>
      <c r="D542" s="11" t="n"/>
      <c r="E542" s="12" t="n"/>
      <c r="F542" s="11" t="n"/>
      <c r="G542" s="11" t="n"/>
    </row>
    <row r="543">
      <c r="A543" s="10" t="n"/>
      <c r="B543" s="11" t="n"/>
      <c r="C543" s="11" t="n"/>
      <c r="D543" s="11" t="n"/>
      <c r="E543" s="12" t="n"/>
      <c r="F543" s="11" t="n"/>
      <c r="G543" s="11" t="n"/>
    </row>
    <row r="544">
      <c r="A544" s="10" t="n"/>
      <c r="B544" s="11" t="n"/>
      <c r="C544" s="11" t="n"/>
      <c r="D544" s="11" t="n"/>
      <c r="E544" s="12" t="n"/>
      <c r="F544" s="11" t="n"/>
      <c r="G544" s="11" t="n"/>
    </row>
    <row r="545">
      <c r="A545" s="10" t="n"/>
      <c r="B545" s="11" t="n"/>
      <c r="C545" s="11" t="n"/>
      <c r="D545" s="11" t="n"/>
      <c r="E545" s="12" t="n"/>
      <c r="F545" s="11" t="n"/>
      <c r="G545" s="11" t="n"/>
    </row>
    <row r="546">
      <c r="A546" s="10" t="n"/>
      <c r="B546" s="11" t="n"/>
      <c r="C546" s="11" t="n"/>
      <c r="D546" s="11" t="n"/>
      <c r="E546" s="12" t="n"/>
      <c r="F546" s="11" t="n"/>
      <c r="G546" s="11" t="n"/>
    </row>
    <row r="547">
      <c r="A547" s="10" t="n"/>
      <c r="B547" s="11" t="n"/>
      <c r="C547" s="11" t="n"/>
      <c r="D547" s="11" t="n"/>
      <c r="E547" s="12" t="n"/>
      <c r="F547" s="11" t="n"/>
      <c r="G547" s="11" t="n"/>
    </row>
    <row r="548">
      <c r="A548" s="10" t="n"/>
      <c r="B548" s="11" t="n"/>
      <c r="C548" s="11" t="n"/>
      <c r="D548" s="11" t="n"/>
      <c r="E548" s="12" t="n"/>
      <c r="F548" s="11" t="n"/>
      <c r="G548" s="11" t="n"/>
    </row>
    <row r="549">
      <c r="A549" s="10" t="n"/>
      <c r="B549" s="11" t="n"/>
      <c r="C549" s="11" t="n"/>
      <c r="D549" s="11" t="n"/>
      <c r="E549" s="12" t="n"/>
      <c r="F549" s="11" t="n"/>
      <c r="G549" s="11" t="n"/>
    </row>
    <row r="550">
      <c r="A550" s="10" t="n"/>
      <c r="B550" s="11" t="n"/>
      <c r="C550" s="11" t="n"/>
      <c r="D550" s="11" t="n"/>
      <c r="E550" s="12" t="n"/>
      <c r="F550" s="11" t="n"/>
      <c r="G550" s="11" t="n"/>
    </row>
    <row r="551">
      <c r="A551" s="10" t="n"/>
      <c r="B551" s="11" t="n"/>
      <c r="C551" s="11" t="n"/>
      <c r="D551" s="11" t="n"/>
      <c r="E551" s="12" t="n"/>
      <c r="F551" s="11" t="n"/>
      <c r="G551" s="11" t="n"/>
    </row>
    <row r="552">
      <c r="A552" s="10" t="n"/>
      <c r="B552" s="11" t="n"/>
      <c r="C552" s="11" t="n"/>
      <c r="D552" s="11" t="n"/>
      <c r="E552" s="12" t="n"/>
      <c r="F552" s="11" t="n"/>
      <c r="G552" s="11" t="n"/>
    </row>
    <row r="553">
      <c r="A553" s="10" t="n"/>
      <c r="B553" s="11" t="n"/>
      <c r="C553" s="11" t="n"/>
      <c r="D553" s="11" t="n"/>
      <c r="E553" s="12" t="n"/>
      <c r="F553" s="11" t="n"/>
      <c r="G553" s="11" t="n"/>
    </row>
    <row r="554">
      <c r="A554" s="10" t="n"/>
      <c r="B554" s="11" t="n"/>
      <c r="C554" s="11" t="n"/>
      <c r="D554" s="11" t="n"/>
      <c r="E554" s="12" t="n"/>
      <c r="F554" s="11" t="n"/>
      <c r="G554" s="11" t="n"/>
    </row>
    <row r="555">
      <c r="A555" s="10" t="n"/>
      <c r="B555" s="11" t="n"/>
      <c r="C555" s="11" t="n"/>
      <c r="D555" s="11" t="n"/>
      <c r="E555" s="12" t="n"/>
      <c r="F555" s="11" t="n"/>
      <c r="G555" s="11" t="n"/>
    </row>
    <row r="556">
      <c r="A556" s="10" t="n"/>
      <c r="B556" s="11" t="n"/>
      <c r="C556" s="11" t="n"/>
      <c r="D556" s="11" t="n"/>
      <c r="E556" s="12" t="n"/>
      <c r="F556" s="11" t="n"/>
      <c r="G556" s="11" t="n"/>
    </row>
    <row r="557">
      <c r="A557" s="10" t="n"/>
      <c r="B557" s="11" t="n"/>
      <c r="C557" s="11" t="n"/>
      <c r="D557" s="11" t="n"/>
      <c r="E557" s="12" t="n"/>
      <c r="F557" s="11" t="n"/>
      <c r="G557" s="11" t="n"/>
    </row>
    <row r="558">
      <c r="A558" s="10" t="n"/>
      <c r="B558" s="11" t="n"/>
      <c r="C558" s="11" t="n"/>
      <c r="D558" s="11" t="n"/>
      <c r="E558" s="12" t="n"/>
      <c r="F558" s="11" t="n"/>
      <c r="G558" s="11" t="n"/>
    </row>
    <row r="559">
      <c r="A559" s="10" t="n"/>
      <c r="B559" s="11" t="n"/>
      <c r="C559" s="11" t="n"/>
      <c r="D559" s="11" t="n"/>
      <c r="E559" s="12" t="n"/>
      <c r="F559" s="11" t="n"/>
      <c r="G559" s="11" t="n"/>
    </row>
    <row r="560">
      <c r="A560" s="10" t="n"/>
      <c r="B560" s="11" t="n"/>
      <c r="C560" s="11" t="n"/>
      <c r="D560" s="11" t="n"/>
      <c r="E560" s="12" t="n"/>
      <c r="F560" s="11" t="n"/>
      <c r="G560" s="11" t="n"/>
    </row>
    <row r="561">
      <c r="A561" s="10" t="n"/>
      <c r="B561" s="11" t="n"/>
      <c r="C561" s="11" t="n"/>
      <c r="D561" s="11" t="n"/>
      <c r="E561" s="12" t="n"/>
      <c r="F561" s="11" t="n"/>
      <c r="G561" s="11" t="n"/>
    </row>
    <row r="562">
      <c r="A562" s="10" t="n"/>
      <c r="B562" s="11" t="n"/>
      <c r="C562" s="11" t="n"/>
      <c r="D562" s="11" t="n"/>
      <c r="E562" s="12" t="n"/>
      <c r="F562" s="11" t="n"/>
      <c r="G562" s="11" t="n"/>
    </row>
    <row r="563">
      <c r="A563" s="10" t="n"/>
      <c r="B563" s="11" t="n"/>
      <c r="C563" s="11" t="n"/>
      <c r="D563" s="11" t="n"/>
      <c r="E563" s="12" t="n"/>
      <c r="F563" s="11" t="n"/>
      <c r="G563" s="11" t="n"/>
    </row>
    <row r="564">
      <c r="A564" s="10" t="n"/>
      <c r="B564" s="11" t="n"/>
      <c r="C564" s="11" t="n"/>
      <c r="D564" s="11" t="n"/>
      <c r="E564" s="12" t="n"/>
      <c r="F564" s="11" t="n"/>
      <c r="G564" s="11" t="n"/>
    </row>
    <row r="565">
      <c r="A565" s="10" t="n"/>
      <c r="B565" s="11" t="n"/>
      <c r="C565" s="11" t="n"/>
      <c r="D565" s="11" t="n"/>
      <c r="E565" s="12" t="n"/>
      <c r="F565" s="11" t="n"/>
      <c r="G565" s="11" t="n"/>
    </row>
    <row r="566">
      <c r="A566" s="10" t="n"/>
      <c r="B566" s="11" t="n"/>
      <c r="C566" s="11" t="n"/>
      <c r="D566" s="11" t="n"/>
      <c r="E566" s="12" t="n"/>
      <c r="F566" s="11" t="n"/>
      <c r="G566" s="11" t="n"/>
    </row>
    <row r="567">
      <c r="A567" s="10" t="n"/>
      <c r="B567" s="11" t="n"/>
      <c r="C567" s="11" t="n"/>
      <c r="D567" s="11" t="n"/>
      <c r="E567" s="12" t="n"/>
      <c r="F567" s="11" t="n"/>
      <c r="G567" s="11" t="n"/>
    </row>
    <row r="568">
      <c r="A568" s="10" t="n"/>
      <c r="B568" s="11" t="n"/>
      <c r="C568" s="11" t="n"/>
      <c r="D568" s="11" t="n"/>
      <c r="E568" s="12" t="n"/>
      <c r="F568" s="11" t="n"/>
      <c r="G568" s="11" t="n"/>
    </row>
    <row r="569">
      <c r="A569" s="10" t="n"/>
      <c r="B569" s="11" t="n"/>
      <c r="C569" s="11" t="n"/>
      <c r="D569" s="11" t="n"/>
      <c r="E569" s="12" t="n"/>
      <c r="F569" s="11" t="n"/>
      <c r="G569" s="11" t="n"/>
    </row>
    <row r="570">
      <c r="A570" s="10" t="n"/>
      <c r="B570" s="11" t="n"/>
      <c r="C570" s="11" t="n"/>
      <c r="D570" s="11" t="n"/>
      <c r="E570" s="12" t="n"/>
      <c r="F570" s="11" t="n"/>
      <c r="G570" s="11" t="n"/>
    </row>
    <row r="571">
      <c r="A571" s="10" t="n"/>
      <c r="B571" s="11" t="n"/>
      <c r="C571" s="11" t="n"/>
      <c r="D571" s="11" t="n"/>
      <c r="E571" s="12" t="n"/>
      <c r="F571" s="11" t="n"/>
      <c r="G571" s="11" t="n"/>
    </row>
    <row r="572">
      <c r="A572" s="10" t="n"/>
      <c r="B572" s="11" t="n"/>
      <c r="C572" s="11" t="n"/>
      <c r="D572" s="11" t="n"/>
      <c r="E572" s="12" t="n"/>
      <c r="F572" s="11" t="n"/>
      <c r="G572" s="11" t="n"/>
    </row>
    <row r="573">
      <c r="A573" s="10" t="n"/>
      <c r="B573" s="11" t="n"/>
      <c r="C573" s="11" t="n"/>
      <c r="D573" s="11" t="n"/>
      <c r="E573" s="12" t="n"/>
      <c r="F573" s="11" t="n"/>
      <c r="G573" s="11" t="n"/>
    </row>
    <row r="574">
      <c r="A574" s="10" t="n"/>
      <c r="B574" s="11" t="n"/>
      <c r="C574" s="11" t="n"/>
      <c r="D574" s="11" t="n"/>
      <c r="E574" s="12" t="n"/>
      <c r="F574" s="11" t="n"/>
      <c r="G574" s="11" t="n"/>
    </row>
    <row r="575">
      <c r="A575" s="10" t="n"/>
      <c r="B575" s="11" t="n"/>
      <c r="C575" s="11" t="n"/>
      <c r="D575" s="11" t="n"/>
      <c r="E575" s="12" t="n"/>
      <c r="F575" s="11" t="n"/>
      <c r="G575" s="11" t="n"/>
    </row>
    <row r="576">
      <c r="A576" s="10" t="n"/>
      <c r="B576" s="11" t="n"/>
      <c r="C576" s="11" t="n"/>
      <c r="D576" s="11" t="n"/>
      <c r="E576" s="12" t="n"/>
      <c r="F576" s="11" t="n"/>
      <c r="G576" s="11" t="n"/>
    </row>
    <row r="577">
      <c r="A577" s="10" t="n"/>
      <c r="B577" s="11" t="n"/>
      <c r="C577" s="11" t="n"/>
      <c r="D577" s="11" t="n"/>
      <c r="E577" s="12" t="n"/>
      <c r="F577" s="11" t="n"/>
      <c r="G577" s="11" t="n"/>
    </row>
    <row r="578">
      <c r="A578" s="10" t="n"/>
      <c r="B578" s="11" t="n"/>
      <c r="C578" s="11" t="n"/>
      <c r="D578" s="11" t="n"/>
      <c r="E578" s="12" t="n"/>
      <c r="F578" s="11" t="n"/>
      <c r="G578" s="11" t="n"/>
    </row>
    <row r="579">
      <c r="A579" s="10" t="n"/>
      <c r="B579" s="11" t="n"/>
      <c r="C579" s="11" t="n"/>
      <c r="D579" s="11" t="n"/>
      <c r="E579" s="12" t="n"/>
      <c r="F579" s="11" t="n"/>
      <c r="G579" s="11" t="n"/>
    </row>
    <row r="580">
      <c r="A580" s="10" t="n"/>
      <c r="B580" s="11" t="n"/>
      <c r="C580" s="11" t="n"/>
      <c r="D580" s="11" t="n"/>
      <c r="E580" s="12" t="n"/>
      <c r="F580" s="11" t="n"/>
      <c r="G580" s="11" t="n"/>
    </row>
    <row r="581">
      <c r="A581" s="10" t="n"/>
      <c r="B581" s="11" t="n"/>
      <c r="C581" s="11" t="n"/>
      <c r="D581" s="11" t="n"/>
      <c r="E581" s="12" t="n"/>
      <c r="F581" s="11" t="n"/>
      <c r="G581" s="11" t="n"/>
    </row>
    <row r="582">
      <c r="A582" s="10" t="n"/>
      <c r="B582" s="11" t="n"/>
      <c r="C582" s="11" t="n"/>
      <c r="D582" s="11" t="n"/>
      <c r="E582" s="12" t="n"/>
      <c r="F582" s="11" t="n"/>
      <c r="G582" s="11" t="n"/>
    </row>
    <row r="583">
      <c r="A583" s="10" t="n"/>
      <c r="B583" s="11" t="n"/>
      <c r="C583" s="11" t="n"/>
      <c r="D583" s="11" t="n"/>
      <c r="E583" s="12" t="n"/>
      <c r="F583" s="11" t="n"/>
      <c r="G583" s="11" t="n"/>
    </row>
    <row r="584">
      <c r="A584" s="10" t="n"/>
      <c r="B584" s="11" t="n"/>
      <c r="C584" s="11" t="n"/>
      <c r="D584" s="11" t="n"/>
      <c r="E584" s="12" t="n"/>
      <c r="F584" s="11" t="n"/>
      <c r="G584" s="11" t="n"/>
    </row>
    <row r="585">
      <c r="A585" s="10" t="n"/>
      <c r="B585" s="11" t="n"/>
      <c r="C585" s="11" t="n"/>
      <c r="D585" s="11" t="n"/>
      <c r="E585" s="12" t="n"/>
      <c r="F585" s="11" t="n"/>
      <c r="G585" s="11" t="n"/>
    </row>
    <row r="586">
      <c r="A586" s="10" t="n"/>
      <c r="B586" s="11" t="n"/>
      <c r="C586" s="11" t="n"/>
      <c r="D586" s="11" t="n"/>
      <c r="E586" s="12" t="n"/>
      <c r="F586" s="11" t="n"/>
      <c r="G586" s="11" t="n"/>
    </row>
    <row r="587">
      <c r="A587" s="10" t="n"/>
      <c r="B587" s="11" t="n"/>
      <c r="C587" s="11" t="n"/>
      <c r="D587" s="11" t="n"/>
      <c r="E587" s="12" t="n"/>
      <c r="F587" s="11" t="n"/>
      <c r="G587" s="11" t="n"/>
    </row>
    <row r="588">
      <c r="A588" s="10" t="n"/>
      <c r="B588" s="11" t="n"/>
      <c r="C588" s="11" t="n"/>
      <c r="D588" s="11" t="n"/>
      <c r="E588" s="12" t="n"/>
      <c r="F588" s="11" t="n"/>
      <c r="G588" s="11" t="n"/>
    </row>
    <row r="589">
      <c r="A589" s="10" t="n"/>
      <c r="B589" s="11" t="n"/>
      <c r="C589" s="11" t="n"/>
      <c r="D589" s="11" t="n"/>
      <c r="E589" s="12" t="n"/>
      <c r="F589" s="11" t="n"/>
      <c r="G589" s="11" t="n"/>
    </row>
    <row r="590">
      <c r="A590" s="10" t="n"/>
      <c r="B590" s="11" t="n"/>
      <c r="C590" s="11" t="n"/>
      <c r="D590" s="11" t="n"/>
      <c r="E590" s="12" t="n"/>
      <c r="F590" s="11" t="n"/>
      <c r="G590" s="11" t="n"/>
    </row>
    <row r="591">
      <c r="A591" s="10" t="n"/>
      <c r="B591" s="11" t="n"/>
      <c r="C591" s="11" t="n"/>
      <c r="D591" s="11" t="n"/>
      <c r="E591" s="12" t="n"/>
      <c r="F591" s="11" t="n"/>
      <c r="G591" s="11" t="n"/>
    </row>
    <row r="592">
      <c r="A592" s="10" t="n"/>
      <c r="B592" s="11" t="n"/>
      <c r="C592" s="11" t="n"/>
      <c r="D592" s="11" t="n"/>
      <c r="E592" s="12" t="n"/>
      <c r="F592" s="11" t="n"/>
      <c r="G592" s="11" t="n"/>
    </row>
    <row r="593">
      <c r="A593" s="10" t="n"/>
      <c r="B593" s="11" t="n"/>
      <c r="C593" s="11" t="n"/>
      <c r="D593" s="11" t="n"/>
      <c r="E593" s="12" t="n"/>
      <c r="F593" s="11" t="n"/>
      <c r="G593" s="11" t="n"/>
    </row>
    <row r="594">
      <c r="A594" s="10" t="n"/>
      <c r="B594" s="11" t="n"/>
      <c r="C594" s="11" t="n"/>
      <c r="D594" s="11" t="n"/>
      <c r="E594" s="12" t="n"/>
      <c r="F594" s="11" t="n"/>
      <c r="G594" s="11" t="n"/>
    </row>
    <row r="595">
      <c r="A595" s="10" t="n"/>
      <c r="B595" s="11" t="n"/>
      <c r="C595" s="11" t="n"/>
      <c r="D595" s="11" t="n"/>
      <c r="E595" s="12" t="n"/>
      <c r="F595" s="11" t="n"/>
      <c r="G595" s="11" t="n"/>
    </row>
    <row r="596">
      <c r="A596" s="10" t="n"/>
      <c r="B596" s="11" t="n"/>
      <c r="C596" s="11" t="n"/>
      <c r="D596" s="11" t="n"/>
      <c r="E596" s="12" t="n"/>
      <c r="F596" s="11" t="n"/>
      <c r="G596" s="11" t="n"/>
    </row>
    <row r="597">
      <c r="A597" s="10" t="n"/>
      <c r="B597" s="11" t="n"/>
      <c r="C597" s="11" t="n"/>
      <c r="D597" s="11" t="n"/>
      <c r="E597" s="12" t="n"/>
      <c r="F597" s="11" t="n"/>
      <c r="G597" s="11" t="n"/>
    </row>
    <row r="598">
      <c r="A598" s="10" t="n"/>
      <c r="B598" s="11" t="n"/>
      <c r="C598" s="11" t="n"/>
      <c r="D598" s="11" t="n"/>
      <c r="E598" s="12" t="n"/>
      <c r="F598" s="11" t="n"/>
      <c r="G598" s="11" t="n"/>
    </row>
    <row r="599">
      <c r="A599" s="10" t="n"/>
      <c r="B599" s="11" t="n"/>
      <c r="C599" s="11" t="n"/>
      <c r="D599" s="11" t="n"/>
      <c r="E599" s="12" t="n"/>
      <c r="F599" s="11" t="n"/>
      <c r="G599" s="11" t="n"/>
    </row>
    <row r="600">
      <c r="A600" s="10" t="n"/>
      <c r="B600" s="11" t="n"/>
      <c r="C600" s="11" t="n"/>
      <c r="D600" s="11" t="n"/>
      <c r="E600" s="12" t="n"/>
      <c r="F600" s="11" t="n"/>
      <c r="G600" s="11" t="n"/>
    </row>
    <row r="601">
      <c r="A601" s="10" t="n"/>
      <c r="B601" s="11" t="n"/>
      <c r="C601" s="11" t="n"/>
      <c r="D601" s="11" t="n"/>
      <c r="E601" s="12" t="n"/>
      <c r="F601" s="11" t="n"/>
      <c r="G601" s="11" t="n"/>
    </row>
    <row r="602">
      <c r="A602" s="10" t="n"/>
      <c r="B602" s="11" t="n"/>
      <c r="C602" s="11" t="n"/>
      <c r="D602" s="11" t="n"/>
      <c r="E602" s="12" t="n"/>
      <c r="F602" s="11" t="n"/>
      <c r="G602" s="11" t="n"/>
    </row>
    <row r="603">
      <c r="A603" s="10" t="n"/>
      <c r="B603" s="11" t="n"/>
      <c r="C603" s="11" t="n"/>
      <c r="D603" s="11" t="n"/>
      <c r="E603" s="12" t="n"/>
      <c r="F603" s="11" t="n"/>
      <c r="G603" s="11" t="n"/>
    </row>
    <row r="604">
      <c r="A604" s="10" t="n"/>
      <c r="B604" s="11" t="n"/>
      <c r="C604" s="11" t="n"/>
      <c r="D604" s="11" t="n"/>
      <c r="E604" s="12" t="n"/>
      <c r="F604" s="11" t="n"/>
      <c r="G604" s="11" t="n"/>
    </row>
    <row r="605">
      <c r="A605" s="10" t="n"/>
      <c r="B605" s="11" t="n"/>
      <c r="C605" s="11" t="n"/>
      <c r="D605" s="11" t="n"/>
      <c r="E605" s="12" t="n"/>
      <c r="F605" s="11" t="n"/>
      <c r="G605" s="11" t="n"/>
    </row>
    <row r="606">
      <c r="A606" s="10" t="n"/>
      <c r="B606" s="11" t="n"/>
      <c r="C606" s="11" t="n"/>
      <c r="D606" s="11" t="n"/>
      <c r="E606" s="12" t="n"/>
      <c r="F606" s="11" t="n"/>
      <c r="G606" s="11" t="n"/>
    </row>
    <row r="607">
      <c r="A607" s="10" t="n"/>
      <c r="B607" s="11" t="n"/>
      <c r="C607" s="11" t="n"/>
      <c r="D607" s="11" t="n"/>
      <c r="E607" s="12" t="n"/>
      <c r="F607" s="11" t="n"/>
      <c r="G607" s="11" t="n"/>
    </row>
    <row r="608">
      <c r="A608" s="10" t="n"/>
      <c r="B608" s="11" t="n"/>
      <c r="C608" s="11" t="n"/>
      <c r="D608" s="11" t="n"/>
      <c r="E608" s="12" t="n"/>
      <c r="F608" s="11" t="n"/>
      <c r="G608" s="11" t="n"/>
    </row>
    <row r="609">
      <c r="A609" s="10" t="n"/>
      <c r="B609" s="11" t="n"/>
      <c r="C609" s="11" t="n"/>
      <c r="D609" s="11" t="n"/>
      <c r="E609" s="12" t="n"/>
      <c r="F609" s="11" t="n"/>
      <c r="G609" s="11" t="n"/>
    </row>
    <row r="610">
      <c r="A610" s="10" t="n"/>
      <c r="B610" s="11" t="n"/>
      <c r="C610" s="11" t="n"/>
      <c r="D610" s="11" t="n"/>
      <c r="E610" s="12" t="n"/>
      <c r="F610" s="11" t="n"/>
      <c r="G610" s="11" t="n"/>
    </row>
    <row r="611">
      <c r="A611" s="10" t="n"/>
      <c r="B611" s="11" t="n"/>
      <c r="C611" s="11" t="n"/>
      <c r="D611" s="11" t="n"/>
      <c r="E611" s="12" t="n"/>
      <c r="F611" s="11" t="n"/>
      <c r="G611" s="11" t="n"/>
    </row>
    <row r="612">
      <c r="A612" s="10" t="n"/>
      <c r="B612" s="11" t="n"/>
      <c r="C612" s="11" t="n"/>
      <c r="D612" s="11" t="n"/>
      <c r="E612" s="12" t="n"/>
      <c r="F612" s="11" t="n"/>
      <c r="G612" s="11" t="n"/>
    </row>
    <row r="613">
      <c r="A613" s="10" t="n"/>
      <c r="B613" s="11" t="n"/>
      <c r="C613" s="11" t="n"/>
      <c r="D613" s="11" t="n"/>
      <c r="E613" s="12" t="n"/>
      <c r="F613" s="11" t="n"/>
      <c r="G613" s="11" t="n"/>
    </row>
    <row r="614">
      <c r="A614" s="10" t="n"/>
      <c r="B614" s="11" t="n"/>
      <c r="C614" s="11" t="n"/>
      <c r="D614" s="11" t="n"/>
      <c r="E614" s="12" t="n"/>
      <c r="F614" s="11" t="n"/>
      <c r="G614" s="11" t="n"/>
    </row>
    <row r="615">
      <c r="A615" s="10" t="n"/>
      <c r="B615" s="11" t="n"/>
      <c r="C615" s="11" t="n"/>
      <c r="D615" s="11" t="n"/>
      <c r="E615" s="12" t="n"/>
      <c r="F615" s="11" t="n"/>
      <c r="G615" s="11" t="n"/>
    </row>
    <row r="616">
      <c r="A616" s="10" t="n"/>
      <c r="B616" s="11" t="n"/>
      <c r="C616" s="11" t="n"/>
      <c r="D616" s="11" t="n"/>
      <c r="E616" s="12" t="n"/>
      <c r="F616" s="11" t="n"/>
      <c r="G616" s="11" t="n"/>
    </row>
    <row r="617">
      <c r="A617" s="10" t="n"/>
      <c r="B617" s="11" t="n"/>
      <c r="C617" s="11" t="n"/>
      <c r="D617" s="11" t="n"/>
      <c r="E617" s="12" t="n"/>
      <c r="F617" s="11" t="n"/>
      <c r="G617" s="11" t="n"/>
    </row>
    <row r="618">
      <c r="A618" s="10" t="n"/>
      <c r="B618" s="11" t="n"/>
      <c r="C618" s="11" t="n"/>
      <c r="D618" s="11" t="n"/>
      <c r="E618" s="12" t="n"/>
      <c r="F618" s="11" t="n"/>
      <c r="G618" s="11" t="n"/>
    </row>
    <row r="619">
      <c r="A619" s="10" t="n"/>
      <c r="B619" s="11" t="n"/>
      <c r="C619" s="11" t="n"/>
      <c r="D619" s="11" t="n"/>
      <c r="E619" s="12" t="n"/>
      <c r="F619" s="11" t="n"/>
      <c r="G619" s="11" t="n"/>
    </row>
    <row r="620">
      <c r="A620" s="10" t="n"/>
      <c r="B620" s="11" t="n"/>
      <c r="C620" s="11" t="n"/>
      <c r="D620" s="11" t="n"/>
      <c r="E620" s="12" t="n"/>
      <c r="F620" s="11" t="n"/>
      <c r="G620" s="11" t="n"/>
    </row>
    <row r="621">
      <c r="A621" s="10" t="n"/>
      <c r="B621" s="11" t="n"/>
      <c r="C621" s="11" t="n"/>
      <c r="D621" s="11" t="n"/>
      <c r="E621" s="12" t="n"/>
      <c r="F621" s="11" t="n"/>
      <c r="G621" s="11" t="n"/>
    </row>
    <row r="622">
      <c r="A622" s="10" t="n"/>
      <c r="B622" s="11" t="n"/>
      <c r="C622" s="11" t="n"/>
      <c r="D622" s="11" t="n"/>
      <c r="E622" s="12" t="n"/>
      <c r="F622" s="11" t="n"/>
      <c r="G622" s="11" t="n"/>
    </row>
    <row r="623">
      <c r="A623" s="10" t="n"/>
      <c r="B623" s="11" t="n"/>
      <c r="C623" s="11" t="n"/>
      <c r="D623" s="11" t="n"/>
      <c r="E623" s="12" t="n"/>
      <c r="F623" s="11" t="n"/>
      <c r="G623" s="11" t="n"/>
    </row>
    <row r="624">
      <c r="A624" s="10" t="n"/>
      <c r="B624" s="11" t="n"/>
      <c r="C624" s="11" t="n"/>
      <c r="D624" s="11" t="n"/>
      <c r="E624" s="12" t="n"/>
      <c r="F624" s="11" t="n"/>
      <c r="G624" s="11" t="n"/>
    </row>
    <row r="625">
      <c r="A625" s="10" t="n"/>
      <c r="B625" s="11" t="n"/>
      <c r="C625" s="11" t="n"/>
      <c r="D625" s="11" t="n"/>
      <c r="E625" s="12" t="n"/>
      <c r="F625" s="11" t="n"/>
      <c r="G625" s="11" t="n"/>
    </row>
    <row r="626">
      <c r="A626" s="10" t="n"/>
      <c r="B626" s="11" t="n"/>
      <c r="C626" s="11" t="n"/>
      <c r="D626" s="11" t="n"/>
      <c r="E626" s="12" t="n"/>
      <c r="F626" s="11" t="n"/>
      <c r="G626" s="11" t="n"/>
    </row>
    <row r="627">
      <c r="A627" s="10" t="n"/>
      <c r="B627" s="11" t="n"/>
      <c r="C627" s="11" t="n"/>
      <c r="D627" s="11" t="n"/>
      <c r="E627" s="12" t="n"/>
      <c r="F627" s="11" t="n"/>
      <c r="G627" s="11" t="n"/>
    </row>
    <row r="628">
      <c r="A628" s="10" t="n"/>
      <c r="B628" s="11" t="n"/>
      <c r="C628" s="11" t="n"/>
      <c r="D628" s="11" t="n"/>
      <c r="E628" s="12" t="n"/>
      <c r="F628" s="11" t="n"/>
      <c r="G628" s="11" t="n"/>
    </row>
    <row r="629">
      <c r="A629" s="10" t="n"/>
      <c r="B629" s="11" t="n"/>
      <c r="C629" s="11" t="n"/>
      <c r="D629" s="11" t="n"/>
      <c r="E629" s="12" t="n"/>
      <c r="F629" s="11" t="n"/>
      <c r="G629" s="11" t="n"/>
    </row>
    <row r="630">
      <c r="A630" s="10" t="n"/>
      <c r="B630" s="11" t="n"/>
      <c r="C630" s="11" t="n"/>
      <c r="D630" s="11" t="n"/>
      <c r="E630" s="12" t="n"/>
      <c r="F630" s="11" t="n"/>
      <c r="G630" s="11" t="n"/>
    </row>
    <row r="631">
      <c r="A631" s="10" t="n"/>
      <c r="B631" s="11" t="n"/>
      <c r="C631" s="11" t="n"/>
      <c r="D631" s="11" t="n"/>
      <c r="E631" s="12" t="n"/>
      <c r="F631" s="11" t="n"/>
      <c r="G631" s="11" t="n"/>
    </row>
    <row r="632">
      <c r="A632" s="10" t="n"/>
      <c r="B632" s="11" t="n"/>
      <c r="C632" s="11" t="n"/>
      <c r="D632" s="11" t="n"/>
      <c r="E632" s="12" t="n"/>
      <c r="F632" s="11" t="n"/>
      <c r="G632" s="11" t="n"/>
    </row>
    <row r="633">
      <c r="A633" s="10" t="n"/>
      <c r="B633" s="11" t="n"/>
      <c r="C633" s="11" t="n"/>
      <c r="D633" s="11" t="n"/>
      <c r="E633" s="12" t="n"/>
      <c r="F633" s="11" t="n"/>
      <c r="G633" s="11" t="n"/>
    </row>
    <row r="634">
      <c r="A634" s="10" t="n"/>
      <c r="B634" s="11" t="n"/>
      <c r="C634" s="11" t="n"/>
      <c r="D634" s="11" t="n"/>
      <c r="E634" s="12" t="n"/>
      <c r="F634" s="11" t="n"/>
      <c r="G634" s="11" t="n"/>
    </row>
    <row r="635">
      <c r="A635" s="10" t="n"/>
      <c r="B635" s="11" t="n"/>
      <c r="C635" s="11" t="n"/>
      <c r="D635" s="11" t="n"/>
      <c r="E635" s="12" t="n"/>
      <c r="F635" s="11" t="n"/>
      <c r="G635" s="11" t="n"/>
    </row>
    <row r="636">
      <c r="A636" s="10" t="n"/>
      <c r="B636" s="11" t="n"/>
      <c r="C636" s="11" t="n"/>
      <c r="D636" s="11" t="n"/>
      <c r="E636" s="12" t="n"/>
      <c r="F636" s="11" t="n"/>
      <c r="G636" s="11" t="n"/>
    </row>
    <row r="637">
      <c r="A637" s="10" t="n"/>
      <c r="B637" s="11" t="n"/>
      <c r="C637" s="11" t="n"/>
      <c r="D637" s="11" t="n"/>
      <c r="E637" s="12" t="n"/>
      <c r="F637" s="11" t="n"/>
      <c r="G637" s="11" t="n"/>
    </row>
    <row r="638">
      <c r="A638" s="10" t="n"/>
      <c r="B638" s="11" t="n"/>
      <c r="C638" s="11" t="n"/>
      <c r="D638" s="11" t="n"/>
      <c r="E638" s="12" t="n"/>
      <c r="F638" s="11" t="n"/>
      <c r="G638" s="11" t="n"/>
    </row>
    <row r="639">
      <c r="A639" s="10" t="n"/>
      <c r="B639" s="11" t="n"/>
      <c r="C639" s="11" t="n"/>
      <c r="D639" s="11" t="n"/>
      <c r="E639" s="12" t="n"/>
      <c r="F639" s="11" t="n"/>
      <c r="G639" s="11" t="n"/>
    </row>
    <row r="640">
      <c r="A640" s="10" t="n"/>
      <c r="B640" s="11" t="n"/>
      <c r="C640" s="11" t="n"/>
      <c r="D640" s="11" t="n"/>
      <c r="E640" s="12" t="n"/>
      <c r="F640" s="11" t="n"/>
      <c r="G640" s="11" t="n"/>
    </row>
    <row r="641">
      <c r="A641" s="10" t="n"/>
      <c r="B641" s="11" t="n"/>
      <c r="C641" s="11" t="n"/>
      <c r="D641" s="11" t="n"/>
      <c r="E641" s="12" t="n"/>
      <c r="F641" s="11" t="n"/>
      <c r="G641" s="11" t="n"/>
    </row>
    <row r="642">
      <c r="A642" s="10" t="n"/>
      <c r="B642" s="11" t="n"/>
      <c r="C642" s="11" t="n"/>
      <c r="D642" s="11" t="n"/>
      <c r="E642" s="12" t="n"/>
      <c r="F642" s="11" t="n"/>
      <c r="G642" s="11" t="n"/>
    </row>
    <row r="643">
      <c r="A643" s="10" t="n"/>
      <c r="B643" s="11" t="n"/>
      <c r="C643" s="11" t="n"/>
      <c r="D643" s="11" t="n"/>
      <c r="E643" s="12" t="n"/>
      <c r="F643" s="11" t="n"/>
      <c r="G643" s="11" t="n"/>
    </row>
    <row r="644">
      <c r="A644" s="10" t="n"/>
      <c r="B644" s="11" t="n"/>
      <c r="C644" s="11" t="n"/>
      <c r="D644" s="11" t="n"/>
      <c r="E644" s="12" t="n"/>
      <c r="F644" s="11" t="n"/>
      <c r="G644" s="11" t="n"/>
    </row>
    <row r="645">
      <c r="A645" s="10" t="n"/>
      <c r="B645" s="11" t="n"/>
      <c r="C645" s="11" t="n"/>
      <c r="D645" s="11" t="n"/>
      <c r="E645" s="12" t="n"/>
      <c r="F645" s="11" t="n"/>
      <c r="G645" s="11" t="n"/>
    </row>
    <row r="646">
      <c r="A646" s="10" t="n"/>
      <c r="B646" s="11" t="n"/>
      <c r="C646" s="11" t="n"/>
      <c r="D646" s="11" t="n"/>
      <c r="E646" s="12" t="n"/>
      <c r="F646" s="11" t="n"/>
      <c r="G646" s="11" t="n"/>
    </row>
    <row r="647">
      <c r="A647" s="10" t="n"/>
      <c r="B647" s="11" t="n"/>
      <c r="C647" s="11" t="n"/>
      <c r="D647" s="11" t="n"/>
      <c r="E647" s="12" t="n"/>
      <c r="F647" s="11" t="n"/>
      <c r="G647" s="11" t="n"/>
    </row>
    <row r="648">
      <c r="A648" s="10" t="n"/>
      <c r="B648" s="11" t="n"/>
      <c r="C648" s="11" t="n"/>
      <c r="D648" s="11" t="n"/>
      <c r="E648" s="12" t="n"/>
      <c r="F648" s="11" t="n"/>
      <c r="G648" s="11" t="n"/>
    </row>
    <row r="649">
      <c r="A649" s="10" t="n"/>
      <c r="B649" s="11" t="n"/>
      <c r="C649" s="11" t="n"/>
      <c r="D649" s="11" t="n"/>
      <c r="E649" s="12" t="n"/>
      <c r="F649" s="11" t="n"/>
      <c r="G649" s="11" t="n"/>
    </row>
    <row r="650">
      <c r="A650" s="10" t="n"/>
      <c r="B650" s="11" t="n"/>
      <c r="C650" s="11" t="n"/>
      <c r="D650" s="11" t="n"/>
      <c r="E650" s="12" t="n"/>
      <c r="F650" s="11" t="n"/>
      <c r="G650" s="11" t="n"/>
    </row>
    <row r="651">
      <c r="A651" s="10" t="n"/>
      <c r="B651" s="11" t="n"/>
      <c r="C651" s="11" t="n"/>
      <c r="D651" s="11" t="n"/>
      <c r="E651" s="12" t="n"/>
      <c r="F651" s="11" t="n"/>
      <c r="G651" s="11" t="n"/>
    </row>
    <row r="652">
      <c r="A652" s="10" t="n"/>
      <c r="B652" s="11" t="n"/>
      <c r="C652" s="11" t="n"/>
      <c r="D652" s="11" t="n"/>
      <c r="E652" s="12" t="n"/>
      <c r="F652" s="11" t="n"/>
      <c r="G652" s="11" t="n"/>
    </row>
    <row r="653">
      <c r="A653" s="10" t="n"/>
      <c r="B653" s="11" t="n"/>
      <c r="C653" s="11" t="n"/>
      <c r="D653" s="11" t="n"/>
      <c r="E653" s="12" t="n"/>
      <c r="F653" s="11" t="n"/>
      <c r="G653" s="11" t="n"/>
    </row>
    <row r="654">
      <c r="A654" s="10" t="n"/>
      <c r="B654" s="11" t="n"/>
      <c r="C654" s="11" t="n"/>
      <c r="D654" s="11" t="n"/>
      <c r="E654" s="12" t="n"/>
      <c r="F654" s="11" t="n"/>
      <c r="G654" s="11" t="n"/>
    </row>
    <row r="655">
      <c r="A655" s="10" t="n"/>
      <c r="B655" s="11" t="n"/>
      <c r="C655" s="11" t="n"/>
      <c r="D655" s="11" t="n"/>
      <c r="E655" s="12" t="n"/>
      <c r="F655" s="11" t="n"/>
      <c r="G655" s="11" t="n"/>
    </row>
    <row r="656">
      <c r="A656" s="10" t="n"/>
      <c r="B656" s="11" t="n"/>
      <c r="C656" s="11" t="n"/>
      <c r="D656" s="11" t="n"/>
      <c r="E656" s="12" t="n"/>
      <c r="F656" s="11" t="n"/>
      <c r="G656" s="11" t="n"/>
    </row>
    <row r="657">
      <c r="A657" s="10" t="n"/>
      <c r="B657" s="11" t="n"/>
      <c r="C657" s="11" t="n"/>
      <c r="D657" s="11" t="n"/>
      <c r="E657" s="12" t="n"/>
      <c r="F657" s="11" t="n"/>
      <c r="G657" s="11" t="n"/>
    </row>
    <row r="658">
      <c r="A658" s="10" t="n"/>
      <c r="B658" s="11" t="n"/>
      <c r="C658" s="11" t="n"/>
      <c r="D658" s="11" t="n"/>
      <c r="E658" s="12" t="n"/>
      <c r="F658" s="11" t="n"/>
      <c r="G658" s="11" t="n"/>
    </row>
    <row r="659">
      <c r="A659" s="10" t="n"/>
      <c r="B659" s="11" t="n"/>
      <c r="C659" s="11" t="n"/>
      <c r="D659" s="11" t="n"/>
      <c r="E659" s="12" t="n"/>
      <c r="F659" s="11" t="n"/>
      <c r="G659" s="11" t="n"/>
    </row>
    <row r="660">
      <c r="A660" s="10" t="n"/>
      <c r="B660" s="11" t="n"/>
      <c r="C660" s="11" t="n"/>
      <c r="D660" s="11" t="n"/>
      <c r="E660" s="12" t="n"/>
      <c r="F660" s="11" t="n"/>
      <c r="G660" s="11" t="n"/>
    </row>
    <row r="661">
      <c r="A661" s="10" t="n"/>
      <c r="B661" s="11" t="n"/>
      <c r="C661" s="11" t="n"/>
      <c r="D661" s="11" t="n"/>
      <c r="E661" s="12" t="n"/>
      <c r="F661" s="11" t="n"/>
      <c r="G661" s="11" t="n"/>
    </row>
    <row r="662">
      <c r="A662" s="10" t="n"/>
      <c r="B662" s="11" t="n"/>
      <c r="C662" s="11" t="n"/>
      <c r="D662" s="11" t="n"/>
      <c r="E662" s="12" t="n"/>
      <c r="F662" s="11" t="n"/>
      <c r="G662" s="11" t="n"/>
    </row>
    <row r="663">
      <c r="A663" s="10" t="n"/>
      <c r="B663" s="11" t="n"/>
      <c r="C663" s="11" t="n"/>
      <c r="D663" s="11" t="n"/>
      <c r="E663" s="12" t="n"/>
      <c r="F663" s="11" t="n"/>
      <c r="G663" s="11" t="n"/>
    </row>
    <row r="664">
      <c r="A664" s="10" t="n"/>
      <c r="B664" s="11" t="n"/>
      <c r="C664" s="11" t="n"/>
      <c r="D664" s="11" t="n"/>
      <c r="E664" s="12" t="n"/>
      <c r="F664" s="11" t="n"/>
      <c r="G664" s="11" t="n"/>
    </row>
    <row r="665">
      <c r="A665" s="10" t="n"/>
      <c r="B665" s="11" t="n"/>
      <c r="C665" s="11" t="n"/>
      <c r="D665" s="11" t="n"/>
      <c r="E665" s="12" t="n"/>
      <c r="F665" s="11" t="n"/>
      <c r="G665" s="11" t="n"/>
    </row>
    <row r="666">
      <c r="A666" s="10" t="n"/>
      <c r="B666" s="11" t="n"/>
      <c r="C666" s="11" t="n"/>
      <c r="D666" s="11" t="n"/>
      <c r="E666" s="12" t="n"/>
      <c r="F666" s="11" t="n"/>
      <c r="G666" s="11" t="n"/>
    </row>
    <row r="667">
      <c r="A667" s="10" t="n"/>
      <c r="B667" s="11" t="n"/>
      <c r="C667" s="11" t="n"/>
      <c r="D667" s="11" t="n"/>
      <c r="E667" s="12" t="n"/>
      <c r="F667" s="11" t="n"/>
      <c r="G667" s="11" t="n"/>
    </row>
    <row r="668">
      <c r="A668" s="10" t="n"/>
      <c r="B668" s="11" t="n"/>
      <c r="C668" s="11" t="n"/>
      <c r="D668" s="11" t="n"/>
      <c r="E668" s="12" t="n"/>
      <c r="F668" s="11" t="n"/>
      <c r="G668" s="11" t="n"/>
    </row>
    <row r="669">
      <c r="A669" s="10" t="n"/>
      <c r="B669" s="11" t="n"/>
      <c r="C669" s="11" t="n"/>
      <c r="D669" s="11" t="n"/>
      <c r="E669" s="12" t="n"/>
      <c r="F669" s="11" t="n"/>
      <c r="G669" s="11" t="n"/>
    </row>
    <row r="670">
      <c r="A670" s="10" t="n"/>
      <c r="B670" s="11" t="n"/>
      <c r="C670" s="11" t="n"/>
      <c r="D670" s="11" t="n"/>
      <c r="E670" s="12" t="n"/>
      <c r="F670" s="11" t="n"/>
      <c r="G670" s="11" t="n"/>
    </row>
    <row r="671">
      <c r="A671" s="10" t="n"/>
      <c r="B671" s="11" t="n"/>
      <c r="C671" s="11" t="n"/>
      <c r="D671" s="11" t="n"/>
      <c r="E671" s="12" t="n"/>
      <c r="F671" s="11" t="n"/>
      <c r="G671" s="11" t="n"/>
    </row>
    <row r="672">
      <c r="A672" s="10" t="n"/>
      <c r="B672" s="11" t="n"/>
      <c r="C672" s="11" t="n"/>
      <c r="D672" s="11" t="n"/>
      <c r="E672" s="12" t="n"/>
      <c r="F672" s="11" t="n"/>
      <c r="G672" s="11" t="n"/>
    </row>
    <row r="673">
      <c r="A673" s="10" t="n"/>
      <c r="B673" s="11" t="n"/>
      <c r="C673" s="11" t="n"/>
      <c r="D673" s="11" t="n"/>
      <c r="E673" s="12" t="n"/>
      <c r="F673" s="11" t="n"/>
      <c r="G673" s="11" t="n"/>
    </row>
    <row r="674">
      <c r="A674" s="10" t="n"/>
      <c r="B674" s="11" t="n"/>
      <c r="C674" s="11" t="n"/>
      <c r="D674" s="11" t="n"/>
      <c r="E674" s="12" t="n"/>
      <c r="F674" s="11" t="n"/>
      <c r="G674" s="11" t="n"/>
    </row>
    <row r="675">
      <c r="A675" s="10" t="n"/>
      <c r="B675" s="11" t="n"/>
      <c r="C675" s="11" t="n"/>
      <c r="D675" s="11" t="n"/>
      <c r="E675" s="12" t="n"/>
      <c r="F675" s="11" t="n"/>
      <c r="G675" s="11" t="n"/>
    </row>
    <row r="676">
      <c r="A676" s="10" t="n"/>
      <c r="B676" s="11" t="n"/>
      <c r="C676" s="11" t="n"/>
      <c r="D676" s="11" t="n"/>
      <c r="E676" s="12" t="n"/>
      <c r="F676" s="11" t="n"/>
      <c r="G676" s="11" t="n"/>
    </row>
    <row r="677">
      <c r="A677" s="10" t="n"/>
      <c r="B677" s="11" t="n"/>
      <c r="C677" s="11" t="n"/>
      <c r="D677" s="11" t="n"/>
      <c r="E677" s="12" t="n"/>
      <c r="F677" s="11" t="n"/>
      <c r="G677" s="11" t="n"/>
    </row>
    <row r="678">
      <c r="A678" s="10" t="n"/>
      <c r="B678" s="11" t="n"/>
      <c r="C678" s="11" t="n"/>
      <c r="D678" s="11" t="n"/>
      <c r="E678" s="12" t="n"/>
      <c r="F678" s="11" t="n"/>
      <c r="G678" s="11" t="n"/>
    </row>
    <row r="679">
      <c r="A679" s="10" t="n"/>
      <c r="B679" s="11" t="n"/>
      <c r="C679" s="11" t="n"/>
      <c r="D679" s="11" t="n"/>
      <c r="E679" s="12" t="n"/>
      <c r="F679" s="11" t="n"/>
      <c r="G679" s="11" t="n"/>
    </row>
    <row r="680">
      <c r="A680" s="10" t="n"/>
      <c r="B680" s="11" t="n"/>
      <c r="C680" s="11" t="n"/>
      <c r="D680" s="11" t="n"/>
      <c r="E680" s="12" t="n"/>
      <c r="F680" s="11" t="n"/>
      <c r="G680" s="11" t="n"/>
    </row>
    <row r="681">
      <c r="A681" s="10" t="n"/>
      <c r="B681" s="11" t="n"/>
      <c r="C681" s="11" t="n"/>
      <c r="D681" s="11" t="n"/>
      <c r="E681" s="12" t="n"/>
      <c r="F681" s="11" t="n"/>
      <c r="G681" s="11" t="n"/>
    </row>
    <row r="682">
      <c r="A682" s="10" t="n"/>
      <c r="B682" s="11" t="n"/>
      <c r="C682" s="11" t="n"/>
      <c r="D682" s="11" t="n"/>
      <c r="E682" s="12" t="n"/>
      <c r="F682" s="11" t="n"/>
      <c r="G682" s="11" t="n"/>
    </row>
    <row r="683">
      <c r="A683" s="10" t="n"/>
      <c r="B683" s="11" t="n"/>
      <c r="C683" s="11" t="n"/>
      <c r="D683" s="11" t="n"/>
      <c r="E683" s="12" t="n"/>
      <c r="F683" s="11" t="n"/>
      <c r="G683" s="11" t="n"/>
    </row>
    <row r="684">
      <c r="A684" s="10" t="n"/>
      <c r="B684" s="11" t="n"/>
      <c r="C684" s="11" t="n"/>
      <c r="D684" s="11" t="n"/>
      <c r="E684" s="12" t="n"/>
      <c r="F684" s="11" t="n"/>
      <c r="G684" s="11" t="n"/>
    </row>
    <row r="685">
      <c r="A685" s="10" t="n"/>
      <c r="B685" s="11" t="n"/>
      <c r="C685" s="11" t="n"/>
      <c r="D685" s="11" t="n"/>
      <c r="E685" s="12" t="n"/>
      <c r="F685" s="11" t="n"/>
      <c r="G685" s="11" t="n"/>
    </row>
    <row r="686">
      <c r="A686" s="10" t="n"/>
      <c r="B686" s="11" t="n"/>
      <c r="C686" s="11" t="n"/>
      <c r="D686" s="11" t="n"/>
      <c r="E686" s="12" t="n"/>
      <c r="F686" s="11" t="n"/>
      <c r="G686" s="11" t="n"/>
    </row>
    <row r="687">
      <c r="A687" s="10" t="n"/>
      <c r="B687" s="11" t="n"/>
      <c r="C687" s="11" t="n"/>
      <c r="D687" s="11" t="n"/>
      <c r="E687" s="12" t="n"/>
      <c r="F687" s="11" t="n"/>
      <c r="G687" s="11" t="n"/>
    </row>
    <row r="688">
      <c r="A688" s="10" t="n"/>
      <c r="B688" s="11" t="n"/>
      <c r="C688" s="11" t="n"/>
      <c r="D688" s="11" t="n"/>
      <c r="E688" s="12" t="n"/>
      <c r="F688" s="11" t="n"/>
      <c r="G688" s="11" t="n"/>
    </row>
    <row r="689">
      <c r="A689" s="10" t="n"/>
      <c r="B689" s="11" t="n"/>
      <c r="C689" s="11" t="n"/>
      <c r="D689" s="11" t="n"/>
      <c r="E689" s="12" t="n"/>
      <c r="F689" s="11" t="n"/>
      <c r="G689" s="11" t="n"/>
    </row>
    <row r="690">
      <c r="A690" s="10" t="n"/>
      <c r="B690" s="11" t="n"/>
      <c r="C690" s="11" t="n"/>
      <c r="D690" s="11" t="n"/>
      <c r="E690" s="12" t="n"/>
      <c r="F690" s="11" t="n"/>
      <c r="G690" s="11" t="n"/>
    </row>
    <row r="691">
      <c r="A691" s="10" t="n"/>
      <c r="B691" s="11" t="n"/>
      <c r="C691" s="11" t="n"/>
      <c r="D691" s="11" t="n"/>
      <c r="E691" s="12" t="n"/>
      <c r="F691" s="11" t="n"/>
      <c r="G691" s="11" t="n"/>
    </row>
    <row r="692">
      <c r="A692" s="10" t="n"/>
      <c r="B692" s="11" t="n"/>
      <c r="C692" s="11" t="n"/>
      <c r="D692" s="11" t="n"/>
      <c r="E692" s="12" t="n"/>
      <c r="F692" s="11" t="n"/>
      <c r="G692" s="11" t="n"/>
    </row>
    <row r="693">
      <c r="A693" s="10" t="n"/>
      <c r="B693" s="11" t="n"/>
      <c r="C693" s="11" t="n"/>
      <c r="D693" s="11" t="n"/>
      <c r="E693" s="12" t="n"/>
      <c r="F693" s="11" t="n"/>
      <c r="G693" s="11" t="n"/>
    </row>
    <row r="694">
      <c r="A694" s="10" t="n"/>
      <c r="B694" s="11" t="n"/>
      <c r="C694" s="11" t="n"/>
      <c r="D694" s="11" t="n"/>
      <c r="E694" s="12" t="n"/>
      <c r="F694" s="11" t="n"/>
      <c r="G694" s="11" t="n"/>
    </row>
    <row r="695">
      <c r="A695" s="10" t="n"/>
      <c r="B695" s="11" t="n"/>
      <c r="C695" s="11" t="n"/>
      <c r="D695" s="11" t="n"/>
      <c r="E695" s="12" t="n"/>
      <c r="F695" s="11" t="n"/>
      <c r="G695" s="11" t="n"/>
    </row>
    <row r="696">
      <c r="A696" s="10" t="n"/>
      <c r="B696" s="11" t="n"/>
      <c r="C696" s="11" t="n"/>
      <c r="D696" s="11" t="n"/>
      <c r="E696" s="12" t="n"/>
      <c r="F696" s="11" t="n"/>
      <c r="G696" s="11" t="n"/>
    </row>
    <row r="697">
      <c r="A697" s="10" t="n"/>
      <c r="B697" s="11" t="n"/>
      <c r="C697" s="11" t="n"/>
      <c r="D697" s="11" t="n"/>
      <c r="E697" s="12" t="n"/>
      <c r="F697" s="11" t="n"/>
      <c r="G697" s="11" t="n"/>
    </row>
    <row r="698">
      <c r="A698" s="10" t="n"/>
      <c r="B698" s="11" t="n"/>
      <c r="C698" s="11" t="n"/>
      <c r="D698" s="11" t="n"/>
      <c r="E698" s="12" t="n"/>
      <c r="F698" s="11" t="n"/>
      <c r="G698" s="11" t="n"/>
    </row>
    <row r="699">
      <c r="A699" s="10" t="n"/>
      <c r="B699" s="11" t="n"/>
      <c r="C699" s="11" t="n"/>
      <c r="D699" s="11" t="n"/>
      <c r="E699" s="12" t="n"/>
      <c r="F699" s="11" t="n"/>
      <c r="G699" s="11" t="n"/>
    </row>
    <row r="700">
      <c r="A700" s="10" t="n"/>
      <c r="B700" s="11" t="n"/>
      <c r="C700" s="11" t="n"/>
      <c r="D700" s="11" t="n"/>
      <c r="E700" s="12" t="n"/>
      <c r="F700" s="11" t="n"/>
      <c r="G700" s="11" t="n"/>
    </row>
    <row r="701">
      <c r="A701" s="10" t="n"/>
      <c r="B701" s="11" t="n"/>
      <c r="C701" s="11" t="n"/>
      <c r="D701" s="11" t="n"/>
      <c r="E701" s="12" t="n"/>
      <c r="F701" s="11" t="n"/>
      <c r="G701" s="11" t="n"/>
    </row>
    <row r="702">
      <c r="A702" s="10" t="n"/>
      <c r="B702" s="11" t="n"/>
      <c r="C702" s="11" t="n"/>
      <c r="D702" s="11" t="n"/>
      <c r="E702" s="12" t="n"/>
      <c r="F702" s="11" t="n"/>
      <c r="G702" s="11" t="n"/>
    </row>
    <row r="703">
      <c r="A703" s="10" t="n"/>
      <c r="B703" s="11" t="n"/>
      <c r="C703" s="11" t="n"/>
      <c r="D703" s="11" t="n"/>
      <c r="E703" s="12" t="n"/>
      <c r="F703" s="11" t="n"/>
      <c r="G703" s="11" t="n"/>
    </row>
    <row r="704">
      <c r="A704" s="10" t="n"/>
      <c r="B704" s="11" t="n"/>
      <c r="C704" s="11" t="n"/>
      <c r="D704" s="11" t="n"/>
      <c r="E704" s="12" t="n"/>
      <c r="F704" s="11" t="n"/>
      <c r="G704" s="11" t="n"/>
    </row>
    <row r="705">
      <c r="A705" s="10" t="n"/>
      <c r="B705" s="11" t="n"/>
      <c r="C705" s="11" t="n"/>
      <c r="D705" s="11" t="n"/>
      <c r="E705" s="12" t="n"/>
      <c r="F705" s="11" t="n"/>
      <c r="G705" s="11" t="n"/>
    </row>
    <row r="706">
      <c r="A706" s="10" t="n"/>
      <c r="B706" s="11" t="n"/>
      <c r="C706" s="11" t="n"/>
      <c r="D706" s="11" t="n"/>
      <c r="E706" s="12" t="n"/>
      <c r="F706" s="11" t="n"/>
      <c r="G706" s="11" t="n"/>
    </row>
    <row r="707">
      <c r="A707" s="10" t="n"/>
      <c r="B707" s="11" t="n"/>
      <c r="C707" s="11" t="n"/>
      <c r="D707" s="11" t="n"/>
      <c r="E707" s="12" t="n"/>
      <c r="F707" s="11" t="n"/>
      <c r="G707" s="11" t="n"/>
    </row>
    <row r="708">
      <c r="A708" s="10" t="n"/>
      <c r="B708" s="11" t="n"/>
      <c r="C708" s="11" t="n"/>
      <c r="D708" s="11" t="n"/>
      <c r="E708" s="12" t="n"/>
      <c r="F708" s="11" t="n"/>
      <c r="G708" s="11" t="n"/>
    </row>
    <row r="709">
      <c r="A709" s="10" t="n"/>
      <c r="B709" s="11" t="n"/>
      <c r="C709" s="11" t="n"/>
      <c r="D709" s="11" t="n"/>
      <c r="E709" s="12" t="n"/>
      <c r="F709" s="11" t="n"/>
      <c r="G709" s="11" t="n"/>
    </row>
    <row r="710">
      <c r="A710" s="10" t="n"/>
      <c r="B710" s="11" t="n"/>
      <c r="C710" s="11" t="n"/>
      <c r="D710" s="11" t="n"/>
      <c r="E710" s="12" t="n"/>
      <c r="F710" s="11" t="n"/>
      <c r="G710" s="11" t="n"/>
    </row>
    <row r="711">
      <c r="A711" s="10" t="n"/>
      <c r="B711" s="11" t="n"/>
      <c r="C711" s="11" t="n"/>
      <c r="D711" s="11" t="n"/>
      <c r="E711" s="12" t="n"/>
      <c r="F711" s="11" t="n"/>
      <c r="G711" s="11" t="n"/>
    </row>
    <row r="712">
      <c r="A712" s="10" t="n"/>
      <c r="B712" s="11" t="n"/>
      <c r="C712" s="11" t="n"/>
      <c r="D712" s="11" t="n"/>
      <c r="E712" s="12" t="n"/>
      <c r="F712" s="11" t="n"/>
      <c r="G712" s="11" t="n"/>
    </row>
    <row r="713">
      <c r="A713" s="10" t="n"/>
      <c r="B713" s="11" t="n"/>
      <c r="C713" s="11" t="n"/>
      <c r="D713" s="11" t="n"/>
      <c r="E713" s="12" t="n"/>
      <c r="F713" s="11" t="n"/>
      <c r="G713" s="11" t="n"/>
    </row>
    <row r="714">
      <c r="A714" s="10" t="n"/>
      <c r="B714" s="11" t="n"/>
      <c r="C714" s="11" t="n"/>
      <c r="D714" s="11" t="n"/>
      <c r="E714" s="12" t="n"/>
      <c r="F714" s="11" t="n"/>
      <c r="G714" s="11" t="n"/>
    </row>
    <row r="715">
      <c r="A715" s="10" t="n"/>
      <c r="B715" s="11" t="n"/>
      <c r="C715" s="11" t="n"/>
      <c r="D715" s="11" t="n"/>
      <c r="E715" s="12" t="n"/>
      <c r="F715" s="11" t="n"/>
      <c r="G715" s="11" t="n"/>
    </row>
    <row r="716">
      <c r="A716" s="10" t="n"/>
      <c r="B716" s="11" t="n"/>
      <c r="C716" s="11" t="n"/>
      <c r="D716" s="11" t="n"/>
      <c r="E716" s="12" t="n"/>
      <c r="F716" s="11" t="n"/>
      <c r="G716" s="11" t="n"/>
    </row>
    <row r="717">
      <c r="A717" s="10" t="n"/>
      <c r="B717" s="11" t="n"/>
      <c r="C717" s="11" t="n"/>
      <c r="D717" s="11" t="n"/>
      <c r="E717" s="12" t="n"/>
      <c r="F717" s="11" t="n"/>
      <c r="G717" s="11" t="n"/>
    </row>
    <row r="718">
      <c r="A718" s="10" t="n"/>
      <c r="B718" s="11" t="n"/>
      <c r="C718" s="11" t="n"/>
      <c r="D718" s="11" t="n"/>
      <c r="E718" s="12" t="n"/>
      <c r="F718" s="11" t="n"/>
      <c r="G718" s="11" t="n"/>
    </row>
    <row r="719">
      <c r="A719" s="10" t="n"/>
      <c r="B719" s="11" t="n"/>
      <c r="C719" s="11" t="n"/>
      <c r="D719" s="11" t="n"/>
      <c r="E719" s="12" t="n"/>
      <c r="F719" s="11" t="n"/>
      <c r="G719" s="11" t="n"/>
    </row>
    <row r="720">
      <c r="A720" s="10" t="n"/>
      <c r="B720" s="11" t="n"/>
      <c r="C720" s="11" t="n"/>
      <c r="D720" s="11" t="n"/>
      <c r="E720" s="12" t="n"/>
      <c r="F720" s="11" t="n"/>
      <c r="G720" s="11" t="n"/>
    </row>
    <row r="721">
      <c r="A721" s="10" t="n"/>
      <c r="B721" s="11" t="n"/>
      <c r="C721" s="11" t="n"/>
      <c r="D721" s="11" t="n"/>
      <c r="E721" s="12" t="n"/>
      <c r="F721" s="11" t="n"/>
      <c r="G721" s="11" t="n"/>
    </row>
    <row r="722">
      <c r="A722" s="10" t="n"/>
      <c r="B722" s="11" t="n"/>
      <c r="C722" s="11" t="n"/>
      <c r="D722" s="11" t="n"/>
      <c r="E722" s="12" t="n"/>
      <c r="F722" s="11" t="n"/>
      <c r="G722" s="11" t="n"/>
    </row>
    <row r="723">
      <c r="A723" s="10" t="n"/>
      <c r="B723" s="11" t="n"/>
      <c r="C723" s="11" t="n"/>
      <c r="D723" s="11" t="n"/>
      <c r="E723" s="12" t="n"/>
      <c r="F723" s="11" t="n"/>
      <c r="G723" s="11" t="n"/>
    </row>
    <row r="724">
      <c r="A724" s="10" t="n"/>
      <c r="B724" s="11" t="n"/>
      <c r="C724" s="11" t="n"/>
      <c r="D724" s="11" t="n"/>
      <c r="E724" s="12" t="n"/>
      <c r="F724" s="11" t="n"/>
      <c r="G724" s="11" t="n"/>
    </row>
    <row r="725">
      <c r="A725" s="10" t="n"/>
      <c r="B725" s="11" t="n"/>
      <c r="C725" s="11" t="n"/>
      <c r="D725" s="11" t="n"/>
      <c r="E725" s="12" t="n"/>
      <c r="F725" s="11" t="n"/>
      <c r="G725" s="11" t="n"/>
    </row>
    <row r="726">
      <c r="A726" s="10" t="n"/>
      <c r="B726" s="11" t="n"/>
      <c r="C726" s="11" t="n"/>
      <c r="D726" s="11" t="n"/>
      <c r="E726" s="12" t="n"/>
      <c r="F726" s="11" t="n"/>
      <c r="G726" s="11" t="n"/>
    </row>
    <row r="727">
      <c r="A727" s="10" t="n"/>
      <c r="B727" s="11" t="n"/>
      <c r="C727" s="11" t="n"/>
      <c r="D727" s="11" t="n"/>
      <c r="E727" s="12" t="n"/>
      <c r="F727" s="11" t="n"/>
      <c r="G727" s="11" t="n"/>
    </row>
    <row r="728">
      <c r="A728" s="10" t="n"/>
      <c r="B728" s="11" t="n"/>
      <c r="C728" s="11" t="n"/>
      <c r="D728" s="11" t="n"/>
      <c r="E728" s="12" t="n"/>
      <c r="F728" s="11" t="n"/>
      <c r="G728" s="11" t="n"/>
    </row>
    <row r="729">
      <c r="A729" s="10" t="n"/>
      <c r="B729" s="11" t="n"/>
      <c r="C729" s="11" t="n"/>
      <c r="D729" s="11" t="n"/>
      <c r="E729" s="12" t="n"/>
      <c r="F729" s="11" t="n"/>
      <c r="G729" s="11" t="n"/>
    </row>
    <row r="730">
      <c r="A730" s="10" t="n"/>
      <c r="B730" s="11" t="n"/>
      <c r="C730" s="11" t="n"/>
      <c r="D730" s="11" t="n"/>
      <c r="E730" s="12" t="n"/>
      <c r="F730" s="11" t="n"/>
      <c r="G730" s="11" t="n"/>
    </row>
    <row r="731">
      <c r="A731" s="10" t="n"/>
      <c r="B731" s="11" t="n"/>
      <c r="C731" s="11" t="n"/>
      <c r="D731" s="11" t="n"/>
      <c r="E731" s="12" t="n"/>
      <c r="F731" s="11" t="n"/>
      <c r="G731" s="11" t="n"/>
    </row>
    <row r="732">
      <c r="A732" s="10" t="n"/>
      <c r="B732" s="11" t="n"/>
      <c r="C732" s="11" t="n"/>
      <c r="D732" s="11" t="n"/>
      <c r="E732" s="12" t="n"/>
      <c r="F732" s="11" t="n"/>
      <c r="G732" s="11" t="n"/>
    </row>
    <row r="733">
      <c r="A733" s="10" t="n"/>
      <c r="B733" s="11" t="n"/>
      <c r="C733" s="11" t="n"/>
      <c r="D733" s="11" t="n"/>
      <c r="E733" s="12" t="n"/>
      <c r="F733" s="11" t="n"/>
      <c r="G733" s="11" t="n"/>
    </row>
    <row r="734">
      <c r="A734" s="10" t="n"/>
      <c r="B734" s="11" t="n"/>
      <c r="C734" s="11" t="n"/>
      <c r="D734" s="11" t="n"/>
      <c r="E734" s="12" t="n"/>
      <c r="F734" s="11" t="n"/>
      <c r="G734" s="11" t="n"/>
    </row>
    <row r="735">
      <c r="A735" s="10" t="n"/>
      <c r="B735" s="11" t="n"/>
      <c r="C735" s="11" t="n"/>
      <c r="D735" s="11" t="n"/>
      <c r="E735" s="12" t="n"/>
      <c r="F735" s="11" t="n"/>
      <c r="G735" s="11" t="n"/>
    </row>
    <row r="736">
      <c r="A736" s="10" t="n"/>
      <c r="B736" s="11" t="n"/>
      <c r="C736" s="11" t="n"/>
      <c r="D736" s="11" t="n"/>
      <c r="E736" s="12" t="n"/>
      <c r="F736" s="11" t="n"/>
      <c r="G736" s="11" t="n"/>
    </row>
    <row r="737">
      <c r="A737" s="10" t="n"/>
      <c r="B737" s="11" t="n"/>
      <c r="C737" s="11" t="n"/>
      <c r="D737" s="11" t="n"/>
      <c r="E737" s="12" t="n"/>
      <c r="F737" s="11" t="n"/>
      <c r="G737" s="11" t="n"/>
    </row>
    <row r="738">
      <c r="A738" s="10" t="n"/>
      <c r="B738" s="11" t="n"/>
      <c r="C738" s="11" t="n"/>
      <c r="D738" s="11" t="n"/>
      <c r="E738" s="12" t="n"/>
      <c r="F738" s="11" t="n"/>
      <c r="G738" s="11" t="n"/>
    </row>
    <row r="739">
      <c r="A739" s="10" t="n"/>
      <c r="B739" s="11" t="n"/>
      <c r="C739" s="11" t="n"/>
      <c r="D739" s="11" t="n"/>
      <c r="E739" s="12" t="n"/>
      <c r="F739" s="11" t="n"/>
      <c r="G739" s="11" t="n"/>
    </row>
    <row r="740">
      <c r="A740" s="10" t="n"/>
      <c r="B740" s="11" t="n"/>
      <c r="C740" s="11" t="n"/>
      <c r="D740" s="11" t="n"/>
      <c r="E740" s="12" t="n"/>
      <c r="F740" s="11" t="n"/>
      <c r="G740" s="11" t="n"/>
    </row>
    <row r="741">
      <c r="A741" s="10" t="n"/>
      <c r="B741" s="11" t="n"/>
      <c r="C741" s="11" t="n"/>
      <c r="D741" s="11" t="n"/>
      <c r="E741" s="12" t="n"/>
      <c r="F741" s="11" t="n"/>
      <c r="G741" s="11" t="n"/>
    </row>
    <row r="742">
      <c r="A742" s="10" t="n"/>
      <c r="B742" s="11" t="n"/>
      <c r="C742" s="11" t="n"/>
      <c r="D742" s="11" t="n"/>
      <c r="E742" s="12" t="n"/>
      <c r="F742" s="11" t="n"/>
      <c r="G742" s="11" t="n"/>
    </row>
    <row r="743">
      <c r="A743" s="10" t="n"/>
      <c r="B743" s="11" t="n"/>
      <c r="C743" s="11" t="n"/>
      <c r="D743" s="11" t="n"/>
      <c r="E743" s="12" t="n"/>
      <c r="F743" s="11" t="n"/>
      <c r="G743" s="11" t="n"/>
    </row>
    <row r="744">
      <c r="A744" s="10" t="n"/>
      <c r="B744" s="11" t="n"/>
      <c r="C744" s="11" t="n"/>
      <c r="D744" s="11" t="n"/>
      <c r="E744" s="12" t="n"/>
      <c r="F744" s="11" t="n"/>
      <c r="G744" s="11" t="n"/>
    </row>
    <row r="745">
      <c r="A745" s="10" t="n"/>
      <c r="B745" s="11" t="n"/>
      <c r="C745" s="11" t="n"/>
      <c r="D745" s="11" t="n"/>
      <c r="E745" s="12" t="n"/>
      <c r="F745" s="11" t="n"/>
      <c r="G745" s="11" t="n"/>
    </row>
    <row r="746">
      <c r="A746" s="10" t="n"/>
      <c r="B746" s="11" t="n"/>
      <c r="C746" s="11" t="n"/>
      <c r="D746" s="11" t="n"/>
      <c r="E746" s="12" t="n"/>
      <c r="F746" s="11" t="n"/>
      <c r="G746" s="11" t="n"/>
    </row>
    <row r="747">
      <c r="A747" s="10" t="n"/>
      <c r="B747" s="11" t="n"/>
      <c r="C747" s="11" t="n"/>
      <c r="D747" s="11" t="n"/>
      <c r="E747" s="12" t="n"/>
      <c r="F747" s="11" t="n"/>
      <c r="G747" s="11" t="n"/>
    </row>
    <row r="748">
      <c r="A748" s="10" t="n"/>
      <c r="B748" s="11" t="n"/>
      <c r="C748" s="11" t="n"/>
      <c r="D748" s="11" t="n"/>
      <c r="E748" s="12" t="n"/>
      <c r="F748" s="11" t="n"/>
      <c r="G748" s="11" t="n"/>
    </row>
    <row r="749">
      <c r="A749" s="10" t="n"/>
      <c r="B749" s="11" t="n"/>
      <c r="C749" s="11" t="n"/>
      <c r="D749" s="11" t="n"/>
      <c r="E749" s="12" t="n"/>
      <c r="F749" s="11" t="n"/>
      <c r="G749" s="11" t="n"/>
    </row>
    <row r="750">
      <c r="A750" s="10" t="n"/>
      <c r="B750" s="11" t="n"/>
      <c r="C750" s="11" t="n"/>
      <c r="D750" s="11" t="n"/>
      <c r="E750" s="12" t="n"/>
      <c r="F750" s="11" t="n"/>
      <c r="G750" s="11" t="n"/>
    </row>
    <row r="751">
      <c r="A751" s="10" t="n"/>
      <c r="B751" s="11" t="n"/>
      <c r="C751" s="11" t="n"/>
      <c r="D751" s="11" t="n"/>
      <c r="E751" s="12" t="n"/>
      <c r="F751" s="11" t="n"/>
      <c r="G751" s="11" t="n"/>
    </row>
    <row r="752">
      <c r="A752" s="10" t="n"/>
      <c r="B752" s="11" t="n"/>
      <c r="C752" s="11" t="n"/>
      <c r="D752" s="11" t="n"/>
      <c r="E752" s="12" t="n"/>
      <c r="F752" s="11" t="n"/>
      <c r="G752" s="11" t="n"/>
    </row>
    <row r="753">
      <c r="A753" s="10" t="n"/>
      <c r="B753" s="11" t="n"/>
      <c r="C753" s="11" t="n"/>
      <c r="D753" s="11" t="n"/>
      <c r="E753" s="12" t="n"/>
      <c r="F753" s="11" t="n"/>
      <c r="G753" s="11" t="n"/>
    </row>
    <row r="754">
      <c r="A754" s="10" t="n"/>
      <c r="B754" s="11" t="n"/>
      <c r="C754" s="11" t="n"/>
      <c r="D754" s="11" t="n"/>
      <c r="E754" s="12" t="n"/>
      <c r="F754" s="11" t="n"/>
      <c r="G754" s="11" t="n"/>
    </row>
    <row r="755">
      <c r="A755" s="10" t="n"/>
      <c r="B755" s="11" t="n"/>
      <c r="C755" s="11" t="n"/>
      <c r="D755" s="11" t="n"/>
      <c r="E755" s="12" t="n"/>
      <c r="F755" s="11" t="n"/>
      <c r="G755" s="11" t="n"/>
    </row>
    <row r="756">
      <c r="A756" s="10" t="n"/>
      <c r="B756" s="11" t="n"/>
      <c r="C756" s="11" t="n"/>
      <c r="D756" s="11" t="n"/>
      <c r="E756" s="12" t="n"/>
      <c r="F756" s="11" t="n"/>
      <c r="G756" s="11" t="n"/>
    </row>
    <row r="757">
      <c r="A757" s="10" t="n"/>
      <c r="B757" s="11" t="n"/>
      <c r="C757" s="11" t="n"/>
      <c r="D757" s="11" t="n"/>
      <c r="E757" s="12" t="n"/>
      <c r="F757" s="11" t="n"/>
      <c r="G757" s="11" t="n"/>
    </row>
    <row r="758">
      <c r="A758" s="10" t="n"/>
      <c r="B758" s="11" t="n"/>
      <c r="C758" s="11" t="n"/>
      <c r="D758" s="11" t="n"/>
      <c r="E758" s="12" t="n"/>
      <c r="F758" s="11" t="n"/>
      <c r="G758" s="11" t="n"/>
    </row>
    <row r="759">
      <c r="A759" s="10" t="n"/>
      <c r="B759" s="11" t="n"/>
      <c r="C759" s="11" t="n"/>
      <c r="D759" s="11" t="n"/>
      <c r="E759" s="12" t="n"/>
      <c r="F759" s="11" t="n"/>
      <c r="G759" s="11" t="n"/>
    </row>
    <row r="760">
      <c r="A760" s="10" t="n"/>
      <c r="B760" s="11" t="n"/>
      <c r="C760" s="11" t="n"/>
      <c r="D760" s="11" t="n"/>
      <c r="E760" s="12" t="n"/>
      <c r="F760" s="11" t="n"/>
      <c r="G760" s="11" t="n"/>
    </row>
    <row r="761">
      <c r="A761" s="10" t="n"/>
      <c r="B761" s="11" t="n"/>
      <c r="C761" s="11" t="n"/>
      <c r="D761" s="11" t="n"/>
      <c r="E761" s="12" t="n"/>
      <c r="F761" s="11" t="n"/>
      <c r="G761" s="11" t="n"/>
    </row>
    <row r="762">
      <c r="A762" s="10" t="n"/>
      <c r="B762" s="11" t="n"/>
      <c r="C762" s="11" t="n"/>
      <c r="D762" s="11" t="n"/>
      <c r="E762" s="12" t="n"/>
      <c r="F762" s="11" t="n"/>
      <c r="G762" s="11" t="n"/>
    </row>
    <row r="763">
      <c r="A763" s="10" t="n"/>
      <c r="B763" s="11" t="n"/>
      <c r="C763" s="11" t="n"/>
      <c r="D763" s="11" t="n"/>
      <c r="E763" s="12" t="n"/>
      <c r="F763" s="11" t="n"/>
      <c r="G763" s="11" t="n"/>
    </row>
    <row r="764">
      <c r="A764" s="10" t="n"/>
      <c r="B764" s="11" t="n"/>
      <c r="C764" s="11" t="n"/>
      <c r="D764" s="11" t="n"/>
      <c r="E764" s="12" t="n"/>
      <c r="F764" s="11" t="n"/>
      <c r="G764" s="11" t="n"/>
    </row>
    <row r="765">
      <c r="A765" s="10" t="n"/>
      <c r="B765" s="11" t="n"/>
      <c r="C765" s="11" t="n"/>
      <c r="D765" s="11" t="n"/>
      <c r="E765" s="12" t="n"/>
      <c r="F765" s="11" t="n"/>
      <c r="G765" s="11" t="n"/>
    </row>
    <row r="766">
      <c r="A766" s="10" t="n"/>
      <c r="B766" s="11" t="n"/>
      <c r="C766" s="11" t="n"/>
      <c r="D766" s="11" t="n"/>
      <c r="E766" s="12" t="n"/>
      <c r="F766" s="11" t="n"/>
      <c r="G766" s="11" t="n"/>
    </row>
    <row r="767">
      <c r="A767" s="10" t="n"/>
      <c r="B767" s="11" t="n"/>
      <c r="C767" s="11" t="n"/>
      <c r="D767" s="11" t="n"/>
      <c r="E767" s="12" t="n"/>
      <c r="F767" s="11" t="n"/>
      <c r="G767" s="11" t="n"/>
    </row>
    <row r="768">
      <c r="A768" s="10" t="n"/>
      <c r="B768" s="11" t="n"/>
      <c r="C768" s="11" t="n"/>
      <c r="D768" s="11" t="n"/>
      <c r="E768" s="12" t="n"/>
      <c r="F768" s="11" t="n"/>
      <c r="G768" s="11" t="n"/>
    </row>
    <row r="769">
      <c r="A769" s="10" t="n"/>
      <c r="B769" s="11" t="n"/>
      <c r="C769" s="11" t="n"/>
      <c r="D769" s="11" t="n"/>
      <c r="E769" s="12" t="n"/>
      <c r="F769" s="11" t="n"/>
      <c r="G769" s="11" t="n"/>
    </row>
    <row r="770">
      <c r="A770" s="10" t="n"/>
      <c r="B770" s="11" t="n"/>
      <c r="C770" s="11" t="n"/>
      <c r="D770" s="11" t="n"/>
      <c r="E770" s="12" t="n"/>
      <c r="F770" s="11" t="n"/>
      <c r="G770" s="11" t="n"/>
    </row>
    <row r="771">
      <c r="A771" s="10" t="n"/>
      <c r="B771" s="11" t="n"/>
      <c r="C771" s="11" t="n"/>
      <c r="D771" s="11" t="n"/>
      <c r="E771" s="12" t="n"/>
      <c r="F771" s="11" t="n"/>
      <c r="G771" s="11" t="n"/>
    </row>
    <row r="772">
      <c r="A772" s="10" t="n"/>
      <c r="B772" s="11" t="n"/>
      <c r="C772" s="11" t="n"/>
      <c r="D772" s="11" t="n"/>
      <c r="E772" s="12" t="n"/>
      <c r="F772" s="11" t="n"/>
      <c r="G772" s="11" t="n"/>
    </row>
    <row r="773">
      <c r="A773" s="10" t="n"/>
      <c r="B773" s="11" t="n"/>
      <c r="C773" s="11" t="n"/>
      <c r="D773" s="11" t="n"/>
      <c r="E773" s="12" t="n"/>
      <c r="F773" s="11" t="n"/>
      <c r="G773" s="11" t="n"/>
    </row>
    <row r="774">
      <c r="A774" s="10" t="n"/>
      <c r="B774" s="11" t="n"/>
      <c r="C774" s="11" t="n"/>
      <c r="D774" s="11" t="n"/>
      <c r="E774" s="12" t="n"/>
      <c r="F774" s="11" t="n"/>
      <c r="G774" s="11" t="n"/>
    </row>
    <row r="775">
      <c r="A775" s="10" t="n"/>
      <c r="B775" s="11" t="n"/>
      <c r="C775" s="11" t="n"/>
      <c r="D775" s="11" t="n"/>
      <c r="E775" s="12" t="n"/>
      <c r="F775" s="11" t="n"/>
      <c r="G775" s="11" t="n"/>
    </row>
    <row r="776">
      <c r="A776" s="10" t="n"/>
      <c r="B776" s="11" t="n"/>
      <c r="C776" s="11" t="n"/>
      <c r="D776" s="11" t="n"/>
      <c r="E776" s="12" t="n"/>
      <c r="F776" s="11" t="n"/>
      <c r="G776" s="11" t="n"/>
    </row>
    <row r="777">
      <c r="A777" s="10" t="n"/>
      <c r="B777" s="11" t="n"/>
      <c r="C777" s="11" t="n"/>
      <c r="D777" s="11" t="n"/>
      <c r="E777" s="12" t="n"/>
      <c r="F777" s="11" t="n"/>
      <c r="G777" s="11" t="n"/>
    </row>
    <row r="778">
      <c r="A778" s="10" t="n"/>
      <c r="B778" s="11" t="n"/>
      <c r="C778" s="11" t="n"/>
      <c r="D778" s="11" t="n"/>
      <c r="E778" s="12" t="n"/>
      <c r="F778" s="11" t="n"/>
      <c r="G778" s="11" t="n"/>
    </row>
    <row r="779">
      <c r="A779" s="10" t="n"/>
      <c r="B779" s="11" t="n"/>
      <c r="C779" s="11" t="n"/>
      <c r="D779" s="11" t="n"/>
      <c r="E779" s="12" t="n"/>
      <c r="F779" s="11" t="n"/>
      <c r="G779" s="11" t="n"/>
    </row>
    <row r="780">
      <c r="A780" s="10" t="n"/>
      <c r="B780" s="11" t="n"/>
      <c r="C780" s="11" t="n"/>
      <c r="D780" s="11" t="n"/>
      <c r="E780" s="12" t="n"/>
      <c r="F780" s="11" t="n"/>
      <c r="G780" s="11" t="n"/>
    </row>
    <row r="781">
      <c r="A781" s="10" t="n"/>
      <c r="B781" s="11" t="n"/>
      <c r="C781" s="11" t="n"/>
      <c r="D781" s="11" t="n"/>
      <c r="E781" s="12" t="n"/>
      <c r="F781" s="11" t="n"/>
      <c r="G781" s="11" t="n"/>
    </row>
    <row r="782">
      <c r="A782" s="10" t="n"/>
      <c r="B782" s="11" t="n"/>
      <c r="C782" s="11" t="n"/>
      <c r="D782" s="11" t="n"/>
      <c r="E782" s="12" t="n"/>
      <c r="F782" s="11" t="n"/>
      <c r="G782" s="11" t="n"/>
    </row>
    <row r="783">
      <c r="A783" s="10" t="n"/>
      <c r="B783" s="11" t="n"/>
      <c r="C783" s="11" t="n"/>
      <c r="D783" s="11" t="n"/>
      <c r="E783" s="12" t="n"/>
      <c r="F783" s="11" t="n"/>
      <c r="G783" s="11" t="n"/>
    </row>
    <row r="784">
      <c r="A784" s="10" t="n"/>
      <c r="B784" s="11" t="n"/>
      <c r="C784" s="11" t="n"/>
      <c r="D784" s="11" t="n"/>
      <c r="E784" s="12" t="n"/>
      <c r="F784" s="11" t="n"/>
      <c r="G784" s="11" t="n"/>
    </row>
    <row r="785">
      <c r="A785" s="10" t="n"/>
      <c r="B785" s="11" t="n"/>
      <c r="C785" s="11" t="n"/>
      <c r="D785" s="11" t="n"/>
      <c r="E785" s="12" t="n"/>
      <c r="F785" s="11" t="n"/>
      <c r="G785" s="11" t="n"/>
    </row>
    <row r="786">
      <c r="A786" s="10" t="n"/>
      <c r="B786" s="11" t="n"/>
      <c r="C786" s="11" t="n"/>
      <c r="D786" s="11" t="n"/>
      <c r="E786" s="12" t="n"/>
      <c r="F786" s="11" t="n"/>
      <c r="G786" s="11" t="n"/>
    </row>
    <row r="787">
      <c r="A787" s="10" t="n"/>
      <c r="B787" s="11" t="n"/>
      <c r="C787" s="11" t="n"/>
      <c r="D787" s="11" t="n"/>
      <c r="E787" s="12" t="n"/>
      <c r="F787" s="11" t="n"/>
      <c r="G787" s="11" t="n"/>
    </row>
    <row r="788">
      <c r="A788" s="10" t="n"/>
      <c r="B788" s="11" t="n"/>
      <c r="C788" s="11" t="n"/>
      <c r="D788" s="11" t="n"/>
      <c r="E788" s="12" t="n"/>
      <c r="F788" s="11" t="n"/>
      <c r="G788" s="11" t="n"/>
    </row>
    <row r="789">
      <c r="A789" s="10" t="n"/>
      <c r="B789" s="11" t="n"/>
      <c r="C789" s="11" t="n"/>
      <c r="D789" s="11" t="n"/>
      <c r="E789" s="12" t="n"/>
      <c r="F789" s="11" t="n"/>
      <c r="G789" s="11" t="n"/>
    </row>
    <row r="790">
      <c r="A790" s="10" t="n"/>
      <c r="B790" s="11" t="n"/>
      <c r="C790" s="11" t="n"/>
      <c r="D790" s="11" t="n"/>
      <c r="E790" s="12" t="n"/>
      <c r="F790" s="11" t="n"/>
      <c r="G790" s="11" t="n"/>
    </row>
    <row r="791">
      <c r="A791" s="10" t="n"/>
      <c r="B791" s="11" t="n"/>
      <c r="C791" s="11" t="n"/>
      <c r="D791" s="11" t="n"/>
      <c r="E791" s="12" t="n"/>
      <c r="F791" s="11" t="n"/>
      <c r="G791" s="11" t="n"/>
    </row>
    <row r="792">
      <c r="A792" s="10" t="n"/>
      <c r="B792" s="11" t="n"/>
      <c r="C792" s="11" t="n"/>
      <c r="D792" s="11" t="n"/>
      <c r="E792" s="12" t="n"/>
      <c r="F792" s="11" t="n"/>
      <c r="G792" s="11" t="n"/>
    </row>
    <row r="793">
      <c r="A793" s="10" t="n"/>
      <c r="B793" s="11" t="n"/>
      <c r="C793" s="11" t="n"/>
      <c r="D793" s="11" t="n"/>
      <c r="E793" s="12" t="n"/>
      <c r="F793" s="11" t="n"/>
      <c r="G793" s="11" t="n"/>
    </row>
    <row r="794">
      <c r="A794" s="10" t="n"/>
      <c r="B794" s="11" t="n"/>
      <c r="C794" s="11" t="n"/>
      <c r="D794" s="11" t="n"/>
      <c r="E794" s="12" t="n"/>
      <c r="F794" s="11" t="n"/>
      <c r="G794" s="11" t="n"/>
    </row>
    <row r="795">
      <c r="A795" s="10" t="n"/>
      <c r="B795" s="11" t="n"/>
      <c r="C795" s="11" t="n"/>
      <c r="D795" s="11" t="n"/>
      <c r="E795" s="12" t="n"/>
      <c r="F795" s="11" t="n"/>
      <c r="G795" s="11" t="n"/>
    </row>
    <row r="796">
      <c r="A796" s="10" t="n"/>
      <c r="B796" s="11" t="n"/>
      <c r="C796" s="11" t="n"/>
      <c r="D796" s="11" t="n"/>
      <c r="E796" s="12" t="n"/>
      <c r="F796" s="11" t="n"/>
      <c r="G796" s="11" t="n"/>
    </row>
    <row r="797">
      <c r="A797" s="10" t="n"/>
      <c r="B797" s="11" t="n"/>
      <c r="C797" s="11" t="n"/>
      <c r="D797" s="11" t="n"/>
      <c r="E797" s="12" t="n"/>
      <c r="F797" s="11" t="n"/>
      <c r="G797" s="11" t="n"/>
    </row>
    <row r="798">
      <c r="A798" s="10" t="n"/>
      <c r="B798" s="11" t="n"/>
      <c r="C798" s="11" t="n"/>
      <c r="D798" s="11" t="n"/>
      <c r="E798" s="12" t="n"/>
      <c r="F798" s="11" t="n"/>
      <c r="G798" s="11" t="n"/>
    </row>
    <row r="799">
      <c r="A799" s="10" t="n"/>
      <c r="B799" s="11" t="n"/>
      <c r="C799" s="11" t="n"/>
      <c r="D799" s="11" t="n"/>
      <c r="E799" s="12" t="n"/>
      <c r="F799" s="11" t="n"/>
      <c r="G799" s="11" t="n"/>
    </row>
    <row r="800">
      <c r="A800" s="10" t="n"/>
      <c r="B800" s="11" t="n"/>
      <c r="C800" s="11" t="n"/>
      <c r="D800" s="11" t="n"/>
      <c r="E800" s="12" t="n"/>
      <c r="F800" s="11" t="n"/>
      <c r="G800" s="11" t="n"/>
    </row>
    <row r="801">
      <c r="A801" s="10" t="n"/>
      <c r="B801" s="11" t="n"/>
      <c r="C801" s="11" t="n"/>
      <c r="D801" s="11" t="n"/>
      <c r="E801" s="12" t="n"/>
      <c r="F801" s="11" t="n"/>
      <c r="G801" s="11" t="n"/>
    </row>
    <row r="802">
      <c r="A802" s="10" t="n"/>
      <c r="B802" s="11" t="n"/>
      <c r="C802" s="11" t="n"/>
      <c r="D802" s="11" t="n"/>
      <c r="E802" s="12" t="n"/>
      <c r="F802" s="11" t="n"/>
      <c r="G802" s="11" t="n"/>
    </row>
    <row r="803">
      <c r="A803" s="10" t="n"/>
      <c r="B803" s="11" t="n"/>
      <c r="C803" s="11" t="n"/>
      <c r="D803" s="11" t="n"/>
      <c r="E803" s="12" t="n"/>
      <c r="F803" s="11" t="n"/>
      <c r="G803" s="11" t="n"/>
    </row>
    <row r="804">
      <c r="A804" s="10" t="n"/>
      <c r="B804" s="11" t="n"/>
      <c r="C804" s="11" t="n"/>
      <c r="D804" s="11" t="n"/>
      <c r="E804" s="12" t="n"/>
      <c r="F804" s="11" t="n"/>
      <c r="G804" s="11" t="n"/>
    </row>
    <row r="805">
      <c r="A805" s="10" t="n"/>
      <c r="B805" s="11" t="n"/>
      <c r="C805" s="11" t="n"/>
      <c r="D805" s="11" t="n"/>
      <c r="E805" s="12" t="n"/>
      <c r="F805" s="11" t="n"/>
      <c r="G805" s="11" t="n"/>
    </row>
    <row r="806">
      <c r="A806" s="10" t="n"/>
      <c r="B806" s="11" t="n"/>
      <c r="C806" s="11" t="n"/>
      <c r="D806" s="11" t="n"/>
      <c r="E806" s="12" t="n"/>
      <c r="F806" s="11" t="n"/>
      <c r="G806" s="11" t="n"/>
    </row>
    <row r="807">
      <c r="A807" s="10" t="n"/>
      <c r="B807" s="11" t="n"/>
      <c r="C807" s="11" t="n"/>
      <c r="D807" s="11" t="n"/>
      <c r="E807" s="12" t="n"/>
      <c r="F807" s="11" t="n"/>
      <c r="G807" s="11" t="n"/>
    </row>
    <row r="808">
      <c r="A808" s="10" t="n"/>
      <c r="B808" s="11" t="n"/>
      <c r="C808" s="11" t="n"/>
      <c r="D808" s="11" t="n"/>
      <c r="E808" s="12" t="n"/>
      <c r="F808" s="11" t="n"/>
      <c r="G808" s="11" t="n"/>
    </row>
    <row r="809">
      <c r="A809" s="10" t="n"/>
      <c r="B809" s="11" t="n"/>
      <c r="C809" s="11" t="n"/>
      <c r="D809" s="11" t="n"/>
      <c r="E809" s="12" t="n"/>
      <c r="F809" s="11" t="n"/>
      <c r="G809" s="11" t="n"/>
    </row>
    <row r="810">
      <c r="A810" s="10" t="n"/>
      <c r="B810" s="11" t="n"/>
      <c r="C810" s="11" t="n"/>
      <c r="D810" s="11" t="n"/>
      <c r="E810" s="12" t="n"/>
      <c r="F810" s="11" t="n"/>
      <c r="G810" s="11" t="n"/>
    </row>
    <row r="811">
      <c r="A811" s="10" t="n"/>
      <c r="B811" s="11" t="n"/>
      <c r="C811" s="11" t="n"/>
      <c r="D811" s="11" t="n"/>
      <c r="E811" s="12" t="n"/>
      <c r="F811" s="11" t="n"/>
      <c r="G811" s="11" t="n"/>
    </row>
    <row r="812">
      <c r="A812" s="10" t="n"/>
      <c r="B812" s="11" t="n"/>
      <c r="C812" s="11" t="n"/>
      <c r="D812" s="11" t="n"/>
      <c r="E812" s="12" t="n"/>
      <c r="F812" s="11" t="n"/>
      <c r="G812" s="11" t="n"/>
    </row>
    <row r="813">
      <c r="A813" s="10" t="n"/>
      <c r="B813" s="11" t="n"/>
      <c r="C813" s="11" t="n"/>
      <c r="D813" s="11" t="n"/>
      <c r="E813" s="12" t="n"/>
      <c r="F813" s="11" t="n"/>
      <c r="G813" s="11" t="n"/>
    </row>
    <row r="814">
      <c r="A814" s="10" t="n"/>
      <c r="B814" s="11" t="n"/>
      <c r="C814" s="11" t="n"/>
      <c r="D814" s="11" t="n"/>
      <c r="E814" s="12" t="n"/>
      <c r="F814" s="11" t="n"/>
      <c r="G814" s="11" t="n"/>
    </row>
    <row r="815">
      <c r="A815" s="10" t="n"/>
      <c r="B815" s="11" t="n"/>
      <c r="C815" s="11" t="n"/>
      <c r="D815" s="11" t="n"/>
      <c r="E815" s="12" t="n"/>
      <c r="F815" s="11" t="n"/>
      <c r="G815" s="11" t="n"/>
    </row>
    <row r="816">
      <c r="A816" s="10" t="n"/>
      <c r="B816" s="11" t="n"/>
      <c r="C816" s="11" t="n"/>
      <c r="D816" s="11" t="n"/>
      <c r="E816" s="12" t="n"/>
      <c r="F816" s="11" t="n"/>
      <c r="G816" s="11" t="n"/>
    </row>
    <row r="817">
      <c r="A817" s="10" t="n"/>
      <c r="B817" s="11" t="n"/>
      <c r="C817" s="11" t="n"/>
      <c r="D817" s="11" t="n"/>
      <c r="E817" s="12" t="n"/>
      <c r="F817" s="11" t="n"/>
      <c r="G817" s="11" t="n"/>
    </row>
    <row r="818">
      <c r="A818" s="10" t="n"/>
      <c r="B818" s="11" t="n"/>
      <c r="C818" s="11" t="n"/>
      <c r="D818" s="11" t="n"/>
      <c r="E818" s="12" t="n"/>
      <c r="F818" s="11" t="n"/>
      <c r="G818" s="11" t="n"/>
    </row>
    <row r="819">
      <c r="A819" s="10" t="n"/>
      <c r="B819" s="11" t="n"/>
      <c r="C819" s="11" t="n"/>
      <c r="D819" s="11" t="n"/>
      <c r="E819" s="12" t="n"/>
      <c r="F819" s="11" t="n"/>
      <c r="G819" s="11" t="n"/>
    </row>
    <row r="820">
      <c r="A820" s="10" t="n"/>
      <c r="B820" s="11" t="n"/>
      <c r="C820" s="11" t="n"/>
      <c r="D820" s="11" t="n"/>
      <c r="E820" s="12" t="n"/>
      <c r="F820" s="11" t="n"/>
      <c r="G820" s="11" t="n"/>
    </row>
    <row r="821">
      <c r="A821" s="10" t="n"/>
      <c r="B821" s="11" t="n"/>
      <c r="C821" s="11" t="n"/>
      <c r="D821" s="11" t="n"/>
      <c r="E821" s="12" t="n"/>
      <c r="F821" s="11" t="n"/>
      <c r="G821" s="11" t="n"/>
    </row>
    <row r="822">
      <c r="A822" s="10" t="n"/>
      <c r="B822" s="11" t="n"/>
      <c r="C822" s="11" t="n"/>
      <c r="D822" s="11" t="n"/>
      <c r="E822" s="12" t="n"/>
      <c r="F822" s="11" t="n"/>
      <c r="G822" s="11" t="n"/>
    </row>
    <row r="823">
      <c r="A823" s="10" t="n"/>
      <c r="B823" s="11" t="n"/>
      <c r="C823" s="11" t="n"/>
      <c r="D823" s="11" t="n"/>
      <c r="E823" s="12" t="n"/>
      <c r="F823" s="11" t="n"/>
      <c r="G823" s="11" t="n"/>
    </row>
    <row r="824">
      <c r="A824" s="10" t="n"/>
      <c r="B824" s="11" t="n"/>
      <c r="C824" s="11" t="n"/>
      <c r="D824" s="11" t="n"/>
      <c r="E824" s="12" t="n"/>
      <c r="F824" s="11" t="n"/>
      <c r="G824" s="11" t="n"/>
    </row>
    <row r="825">
      <c r="A825" s="10" t="n"/>
      <c r="B825" s="11" t="n"/>
      <c r="C825" s="11" t="n"/>
      <c r="D825" s="11" t="n"/>
      <c r="E825" s="12" t="n"/>
      <c r="F825" s="11" t="n"/>
      <c r="G825" s="11" t="n"/>
    </row>
    <row r="826">
      <c r="A826" s="10" t="n"/>
      <c r="B826" s="11" t="n"/>
      <c r="C826" s="11" t="n"/>
      <c r="D826" s="11" t="n"/>
      <c r="E826" s="12" t="n"/>
      <c r="F826" s="11" t="n"/>
      <c r="G826" s="11" t="n"/>
    </row>
    <row r="827">
      <c r="A827" s="10" t="n"/>
      <c r="B827" s="11" t="n"/>
      <c r="C827" s="11" t="n"/>
      <c r="D827" s="11" t="n"/>
      <c r="E827" s="12" t="n"/>
      <c r="F827" s="11" t="n"/>
      <c r="G827" s="11" t="n"/>
    </row>
    <row r="828">
      <c r="A828" s="10" t="n"/>
      <c r="B828" s="11" t="n"/>
      <c r="C828" s="11" t="n"/>
      <c r="D828" s="11" t="n"/>
      <c r="E828" s="12" t="n"/>
      <c r="F828" s="11" t="n"/>
      <c r="G828" s="11" t="n"/>
    </row>
    <row r="829">
      <c r="A829" s="10" t="n"/>
      <c r="B829" s="11" t="n"/>
      <c r="C829" s="11" t="n"/>
      <c r="D829" s="11" t="n"/>
      <c r="E829" s="12" t="n"/>
      <c r="F829" s="11" t="n"/>
      <c r="G829" s="11" t="n"/>
    </row>
    <row r="830">
      <c r="A830" s="10" t="n"/>
      <c r="B830" s="11" t="n"/>
      <c r="C830" s="11" t="n"/>
      <c r="D830" s="11" t="n"/>
      <c r="E830" s="12" t="n"/>
      <c r="F830" s="11" t="n"/>
      <c r="G830" s="11" t="n"/>
    </row>
    <row r="831">
      <c r="A831" s="10" t="n"/>
      <c r="B831" s="11" t="n"/>
      <c r="C831" s="11" t="n"/>
      <c r="D831" s="11" t="n"/>
      <c r="E831" s="12" t="n"/>
      <c r="F831" s="11" t="n"/>
      <c r="G831" s="11" t="n"/>
    </row>
    <row r="832">
      <c r="A832" s="10" t="n"/>
      <c r="B832" s="11" t="n"/>
      <c r="C832" s="11" t="n"/>
      <c r="D832" s="11" t="n"/>
      <c r="E832" s="12" t="n"/>
      <c r="F832" s="11" t="n"/>
      <c r="G832" s="11" t="n"/>
    </row>
    <row r="833">
      <c r="A833" s="10" t="n"/>
      <c r="B833" s="11" t="n"/>
      <c r="C833" s="11" t="n"/>
      <c r="D833" s="11" t="n"/>
      <c r="E833" s="12" t="n"/>
      <c r="F833" s="11" t="n"/>
      <c r="G833" s="11" t="n"/>
    </row>
    <row r="834">
      <c r="A834" s="10" t="n"/>
      <c r="B834" s="11" t="n"/>
      <c r="C834" s="11" t="n"/>
      <c r="D834" s="11" t="n"/>
      <c r="E834" s="12" t="n"/>
      <c r="F834" s="11" t="n"/>
      <c r="G834" s="11" t="n"/>
    </row>
    <row r="835">
      <c r="A835" s="10" t="n"/>
      <c r="B835" s="11" t="n"/>
      <c r="C835" s="11" t="n"/>
      <c r="D835" s="11" t="n"/>
      <c r="E835" s="12" t="n"/>
      <c r="F835" s="11" t="n"/>
      <c r="G835" s="11" t="n"/>
    </row>
    <row r="836">
      <c r="A836" s="10" t="n"/>
      <c r="B836" s="11" t="n"/>
      <c r="C836" s="11" t="n"/>
      <c r="D836" s="11" t="n"/>
      <c r="E836" s="12" t="n"/>
      <c r="F836" s="11" t="n"/>
      <c r="G836" s="11" t="n"/>
    </row>
    <row r="837">
      <c r="A837" s="10" t="n"/>
      <c r="B837" s="11" t="n"/>
      <c r="C837" s="11" t="n"/>
      <c r="D837" s="11" t="n"/>
      <c r="E837" s="12" t="n"/>
      <c r="F837" s="11" t="n"/>
      <c r="G837" s="11" t="n"/>
    </row>
    <row r="838">
      <c r="A838" s="10" t="n"/>
      <c r="B838" s="11" t="n"/>
      <c r="C838" s="11" t="n"/>
      <c r="D838" s="11" t="n"/>
      <c r="E838" s="12" t="n"/>
      <c r="F838" s="11" t="n"/>
      <c r="G838" s="11" t="n"/>
    </row>
    <row r="839">
      <c r="A839" s="10" t="n"/>
      <c r="B839" s="11" t="n"/>
      <c r="C839" s="11" t="n"/>
      <c r="D839" s="11" t="n"/>
      <c r="E839" s="12" t="n"/>
      <c r="F839" s="11" t="n"/>
      <c r="G839" s="11" t="n"/>
    </row>
    <row r="840">
      <c r="A840" s="10" t="n"/>
      <c r="B840" s="11" t="n"/>
      <c r="C840" s="11" t="n"/>
      <c r="D840" s="11" t="n"/>
      <c r="E840" s="12" t="n"/>
      <c r="F840" s="11" t="n"/>
      <c r="G840" s="11" t="n"/>
    </row>
    <row r="841">
      <c r="A841" s="10" t="n"/>
      <c r="B841" s="11" t="n"/>
      <c r="C841" s="11" t="n"/>
      <c r="D841" s="11" t="n"/>
      <c r="E841" s="12" t="n"/>
      <c r="F841" s="11" t="n"/>
      <c r="G841" s="11" t="n"/>
    </row>
    <row r="842">
      <c r="A842" s="10" t="n"/>
      <c r="B842" s="11" t="n"/>
      <c r="C842" s="11" t="n"/>
      <c r="D842" s="11" t="n"/>
      <c r="E842" s="12" t="n"/>
      <c r="F842" s="11" t="n"/>
      <c r="G842" s="11" t="n"/>
    </row>
    <row r="843">
      <c r="A843" s="10" t="n"/>
      <c r="B843" s="11" t="n"/>
      <c r="C843" s="11" t="n"/>
      <c r="D843" s="11" t="n"/>
      <c r="E843" s="12" t="n"/>
      <c r="F843" s="11" t="n"/>
      <c r="G843" s="11" t="n"/>
    </row>
    <row r="844">
      <c r="A844" s="10" t="n"/>
      <c r="B844" s="11" t="n"/>
      <c r="C844" s="11" t="n"/>
      <c r="D844" s="11" t="n"/>
      <c r="E844" s="12" t="n"/>
      <c r="F844" s="11" t="n"/>
      <c r="G844" s="11" t="n"/>
    </row>
    <row r="845">
      <c r="A845" s="10" t="n"/>
      <c r="B845" s="11" t="n"/>
      <c r="C845" s="11" t="n"/>
      <c r="D845" s="11" t="n"/>
      <c r="E845" s="12" t="n"/>
      <c r="F845" s="11" t="n"/>
      <c r="G845" s="11" t="n"/>
    </row>
    <row r="846">
      <c r="A846" s="10" t="n"/>
      <c r="B846" s="11" t="n"/>
      <c r="C846" s="11" t="n"/>
      <c r="D846" s="11" t="n"/>
      <c r="E846" s="12" t="n"/>
      <c r="F846" s="11" t="n"/>
      <c r="G846" s="11" t="n"/>
    </row>
    <row r="847">
      <c r="A847" s="10" t="n"/>
      <c r="B847" s="11" t="n"/>
      <c r="C847" s="11" t="n"/>
      <c r="D847" s="11" t="n"/>
      <c r="E847" s="12" t="n"/>
      <c r="F847" s="11" t="n"/>
      <c r="G847" s="11" t="n"/>
    </row>
    <row r="848">
      <c r="A848" s="10" t="n"/>
      <c r="B848" s="11" t="n"/>
      <c r="C848" s="11" t="n"/>
      <c r="D848" s="11" t="n"/>
      <c r="E848" s="12" t="n"/>
      <c r="F848" s="11" t="n"/>
      <c r="G848" s="11" t="n"/>
    </row>
    <row r="849">
      <c r="A849" s="10" t="n"/>
      <c r="B849" s="11" t="n"/>
      <c r="C849" s="11" t="n"/>
      <c r="D849" s="11" t="n"/>
      <c r="E849" s="12" t="n"/>
      <c r="F849" s="11" t="n"/>
      <c r="G849" s="11" t="n"/>
    </row>
    <row r="850">
      <c r="A850" s="10" t="n"/>
      <c r="B850" s="11" t="n"/>
      <c r="C850" s="11" t="n"/>
      <c r="D850" s="11" t="n"/>
      <c r="E850" s="12" t="n"/>
      <c r="F850" s="11" t="n"/>
      <c r="G850" s="11" t="n"/>
    </row>
    <row r="851">
      <c r="A851" s="10" t="n"/>
      <c r="B851" s="11" t="n"/>
      <c r="C851" s="11" t="n"/>
      <c r="D851" s="11" t="n"/>
      <c r="E851" s="12" t="n"/>
      <c r="F851" s="11" t="n"/>
      <c r="G851" s="11" t="n"/>
    </row>
    <row r="852">
      <c r="A852" s="10" t="n"/>
      <c r="B852" s="11" t="n"/>
      <c r="C852" s="11" t="n"/>
      <c r="D852" s="11" t="n"/>
      <c r="E852" s="12" t="n"/>
      <c r="F852" s="11" t="n"/>
      <c r="G852" s="11" t="n"/>
    </row>
    <row r="853">
      <c r="A853" s="10" t="n"/>
      <c r="B853" s="11" t="n"/>
      <c r="C853" s="11" t="n"/>
      <c r="D853" s="11" t="n"/>
      <c r="E853" s="12" t="n"/>
      <c r="F853" s="11" t="n"/>
      <c r="G853" s="11" t="n"/>
    </row>
    <row r="854">
      <c r="A854" s="10" t="n"/>
      <c r="B854" s="11" t="n"/>
      <c r="C854" s="11" t="n"/>
      <c r="D854" s="11" t="n"/>
      <c r="E854" s="12" t="n"/>
      <c r="F854" s="11" t="n"/>
      <c r="G854" s="11" t="n"/>
    </row>
    <row r="855">
      <c r="A855" s="10" t="n"/>
      <c r="B855" s="11" t="n"/>
      <c r="C855" s="11" t="n"/>
      <c r="D855" s="11" t="n"/>
      <c r="E855" s="12" t="n"/>
      <c r="F855" s="11" t="n"/>
      <c r="G855" s="11" t="n"/>
    </row>
    <row r="856">
      <c r="A856" s="10" t="n"/>
      <c r="B856" s="11" t="n"/>
      <c r="C856" s="11" t="n"/>
      <c r="D856" s="11" t="n"/>
      <c r="E856" s="12" t="n"/>
      <c r="F856" s="11" t="n"/>
      <c r="G856" s="11" t="n"/>
    </row>
    <row r="857">
      <c r="A857" s="10" t="n"/>
      <c r="B857" s="11" t="n"/>
      <c r="C857" s="11" t="n"/>
      <c r="D857" s="11" t="n"/>
      <c r="E857" s="12" t="n"/>
      <c r="F857" s="11" t="n"/>
      <c r="G857" s="11" t="n"/>
    </row>
    <row r="858">
      <c r="A858" s="10" t="n"/>
      <c r="B858" s="11" t="n"/>
      <c r="C858" s="11" t="n"/>
      <c r="D858" s="11" t="n"/>
      <c r="E858" s="12" t="n"/>
      <c r="F858" s="11" t="n"/>
      <c r="G858" s="11" t="n"/>
    </row>
    <row r="859">
      <c r="A859" s="10" t="n"/>
      <c r="B859" s="11" t="n"/>
      <c r="C859" s="11" t="n"/>
      <c r="D859" s="11" t="n"/>
      <c r="E859" s="12" t="n"/>
      <c r="F859" s="11" t="n"/>
      <c r="G859" s="11" t="n"/>
    </row>
    <row r="860">
      <c r="A860" s="10" t="n"/>
      <c r="B860" s="11" t="n"/>
      <c r="C860" s="11" t="n"/>
      <c r="D860" s="11" t="n"/>
      <c r="E860" s="12" t="n"/>
      <c r="F860" s="11" t="n"/>
      <c r="G860" s="11" t="n"/>
    </row>
    <row r="861">
      <c r="A861" s="10" t="n"/>
      <c r="B861" s="11" t="n"/>
      <c r="C861" s="11" t="n"/>
      <c r="D861" s="11" t="n"/>
      <c r="E861" s="12" t="n"/>
      <c r="F861" s="11" t="n"/>
      <c r="G861" s="11" t="n"/>
    </row>
    <row r="862">
      <c r="A862" s="10" t="n"/>
      <c r="B862" s="11" t="n"/>
      <c r="C862" s="11" t="n"/>
      <c r="D862" s="11" t="n"/>
      <c r="E862" s="12" t="n"/>
      <c r="F862" s="11" t="n"/>
      <c r="G862" s="11" t="n"/>
    </row>
    <row r="863">
      <c r="A863" s="10" t="n"/>
      <c r="B863" s="11" t="n"/>
      <c r="C863" s="11" t="n"/>
      <c r="D863" s="11" t="n"/>
      <c r="E863" s="12" t="n"/>
      <c r="F863" s="11" t="n"/>
      <c r="G863" s="11" t="n"/>
    </row>
    <row r="864">
      <c r="A864" s="10" t="n"/>
      <c r="B864" s="11" t="n"/>
      <c r="C864" s="11" t="n"/>
      <c r="D864" s="11" t="n"/>
      <c r="E864" s="12" t="n"/>
      <c r="F864" s="11" t="n"/>
      <c r="G864" s="11" t="n"/>
    </row>
    <row r="865">
      <c r="A865" s="10" t="n"/>
      <c r="B865" s="11" t="n"/>
      <c r="C865" s="11" t="n"/>
      <c r="D865" s="11" t="n"/>
      <c r="E865" s="12" t="n"/>
      <c r="F865" s="11" t="n"/>
      <c r="G865" s="11" t="n"/>
    </row>
    <row r="866">
      <c r="A866" s="10" t="n"/>
      <c r="B866" s="11" t="n"/>
      <c r="C866" s="11" t="n"/>
      <c r="D866" s="11" t="n"/>
      <c r="E866" s="12" t="n"/>
      <c r="F866" s="11" t="n"/>
      <c r="G866" s="11" t="n"/>
    </row>
    <row r="867">
      <c r="A867" s="10" t="n"/>
      <c r="B867" s="11" t="n"/>
      <c r="C867" s="11" t="n"/>
      <c r="D867" s="11" t="n"/>
      <c r="E867" s="12" t="n"/>
      <c r="F867" s="11" t="n"/>
      <c r="G867" s="11" t="n"/>
    </row>
    <row r="868">
      <c r="A868" s="10" t="n"/>
      <c r="B868" s="11" t="n"/>
      <c r="C868" s="11" t="n"/>
      <c r="D868" s="11" t="n"/>
      <c r="E868" s="12" t="n"/>
      <c r="F868" s="11" t="n"/>
      <c r="G868" s="11" t="n"/>
    </row>
    <row r="869">
      <c r="A869" s="10" t="n"/>
      <c r="B869" s="11" t="n"/>
      <c r="C869" s="11" t="n"/>
      <c r="D869" s="11" t="n"/>
      <c r="E869" s="12" t="n"/>
      <c r="F869" s="11" t="n"/>
      <c r="G869" s="11" t="n"/>
    </row>
    <row r="870">
      <c r="A870" s="10" t="n"/>
      <c r="B870" s="11" t="n"/>
      <c r="C870" s="11" t="n"/>
      <c r="D870" s="11" t="n"/>
      <c r="E870" s="12" t="n"/>
      <c r="F870" s="11" t="n"/>
      <c r="G870" s="11" t="n"/>
    </row>
    <row r="871">
      <c r="A871" s="10" t="n"/>
      <c r="B871" s="11" t="n"/>
      <c r="C871" s="11" t="n"/>
      <c r="D871" s="11" t="n"/>
      <c r="E871" s="12" t="n"/>
      <c r="F871" s="11" t="n"/>
      <c r="G871" s="11" t="n"/>
    </row>
    <row r="872">
      <c r="A872" s="10" t="n"/>
      <c r="B872" s="11" t="n"/>
      <c r="C872" s="11" t="n"/>
      <c r="D872" s="11" t="n"/>
      <c r="E872" s="12" t="n"/>
      <c r="F872" s="11" t="n"/>
      <c r="G872" s="11" t="n"/>
    </row>
    <row r="873">
      <c r="A873" s="10" t="n"/>
      <c r="B873" s="11" t="n"/>
      <c r="C873" s="11" t="n"/>
      <c r="D873" s="11" t="n"/>
      <c r="E873" s="12" t="n"/>
      <c r="F873" s="11" t="n"/>
      <c r="G873" s="11" t="n"/>
    </row>
    <row r="874">
      <c r="A874" s="10" t="n"/>
      <c r="B874" s="11" t="n"/>
      <c r="C874" s="11" t="n"/>
      <c r="D874" s="11" t="n"/>
      <c r="E874" s="12" t="n"/>
      <c r="F874" s="11" t="n"/>
      <c r="G874" s="11" t="n"/>
    </row>
    <row r="875">
      <c r="A875" s="10" t="n"/>
      <c r="B875" s="11" t="n"/>
      <c r="C875" s="11" t="n"/>
      <c r="D875" s="11" t="n"/>
      <c r="E875" s="12" t="n"/>
      <c r="F875" s="11" t="n"/>
      <c r="G875" s="11" t="n"/>
    </row>
    <row r="876">
      <c r="A876" s="10" t="n"/>
      <c r="B876" s="11" t="n"/>
      <c r="C876" s="11" t="n"/>
      <c r="D876" s="11" t="n"/>
      <c r="E876" s="12" t="n"/>
      <c r="F876" s="11" t="n"/>
      <c r="G876" s="11" t="n"/>
    </row>
    <row r="877">
      <c r="A877" s="10" t="n"/>
      <c r="B877" s="11" t="n"/>
      <c r="C877" s="11" t="n"/>
      <c r="D877" s="11" t="n"/>
      <c r="E877" s="12" t="n"/>
      <c r="F877" s="11" t="n"/>
      <c r="G877" s="11" t="n"/>
    </row>
    <row r="878">
      <c r="A878" s="10" t="n"/>
      <c r="B878" s="11" t="n"/>
      <c r="C878" s="11" t="n"/>
      <c r="D878" s="11" t="n"/>
      <c r="E878" s="12" t="n"/>
      <c r="F878" s="11" t="n"/>
      <c r="G878" s="11" t="n"/>
    </row>
    <row r="879">
      <c r="A879" s="10" t="n"/>
      <c r="B879" s="11" t="n"/>
      <c r="C879" s="11" t="n"/>
      <c r="D879" s="11" t="n"/>
      <c r="E879" s="12" t="n"/>
      <c r="F879" s="11" t="n"/>
      <c r="G879" s="11" t="n"/>
    </row>
    <row r="880">
      <c r="A880" s="10" t="n"/>
      <c r="B880" s="11" t="n"/>
      <c r="C880" s="11" t="n"/>
      <c r="D880" s="11" t="n"/>
      <c r="E880" s="12" t="n"/>
      <c r="F880" s="11" t="n"/>
      <c r="G880" s="11" t="n"/>
    </row>
    <row r="881">
      <c r="A881" s="10" t="n"/>
      <c r="B881" s="11" t="n"/>
      <c r="C881" s="11" t="n"/>
      <c r="D881" s="11" t="n"/>
      <c r="E881" s="12" t="n"/>
      <c r="F881" s="11" t="n"/>
      <c r="G881" s="11" t="n"/>
    </row>
    <row r="882">
      <c r="A882" s="10" t="n"/>
      <c r="B882" s="11" t="n"/>
      <c r="C882" s="11" t="n"/>
      <c r="D882" s="11" t="n"/>
      <c r="E882" s="12" t="n"/>
      <c r="F882" s="11" t="n"/>
      <c r="G882" s="11" t="n"/>
    </row>
    <row r="883">
      <c r="A883" s="10" t="n"/>
      <c r="B883" s="11" t="n"/>
      <c r="C883" s="11" t="n"/>
      <c r="D883" s="11" t="n"/>
      <c r="E883" s="12" t="n"/>
      <c r="F883" s="11" t="n"/>
      <c r="G883" s="11" t="n"/>
    </row>
    <row r="884">
      <c r="A884" s="10" t="n"/>
      <c r="B884" s="11" t="n"/>
      <c r="C884" s="11" t="n"/>
      <c r="D884" s="11" t="n"/>
      <c r="E884" s="12" t="n"/>
      <c r="F884" s="11" t="n"/>
      <c r="G884" s="11" t="n"/>
    </row>
    <row r="885">
      <c r="A885" s="10" t="n"/>
      <c r="B885" s="11" t="n"/>
      <c r="C885" s="11" t="n"/>
      <c r="D885" s="11" t="n"/>
      <c r="E885" s="12" t="n"/>
      <c r="F885" s="11" t="n"/>
      <c r="G885" s="11" t="n"/>
    </row>
    <row r="886">
      <c r="A886" s="10" t="n"/>
      <c r="B886" s="11" t="n"/>
      <c r="C886" s="11" t="n"/>
      <c r="D886" s="11" t="n"/>
      <c r="E886" s="12" t="n"/>
      <c r="F886" s="11" t="n"/>
      <c r="G886" s="11" t="n"/>
    </row>
    <row r="887">
      <c r="A887" s="10" t="n"/>
      <c r="B887" s="11" t="n"/>
      <c r="C887" s="11" t="n"/>
      <c r="D887" s="11" t="n"/>
      <c r="E887" s="12" t="n"/>
      <c r="F887" s="11" t="n"/>
      <c r="G887" s="11" t="n"/>
    </row>
    <row r="888">
      <c r="A888" s="10" t="n"/>
      <c r="B888" s="11" t="n"/>
      <c r="C888" s="11" t="n"/>
      <c r="D888" s="11" t="n"/>
      <c r="E888" s="12" t="n"/>
      <c r="F888" s="11" t="n"/>
      <c r="G888" s="11" t="n"/>
    </row>
    <row r="889">
      <c r="A889" s="10" t="n"/>
      <c r="B889" s="11" t="n"/>
      <c r="C889" s="11" t="n"/>
      <c r="D889" s="11" t="n"/>
      <c r="E889" s="12" t="n"/>
      <c r="F889" s="11" t="n"/>
      <c r="G889" s="11" t="n"/>
    </row>
    <row r="890">
      <c r="A890" s="10" t="n"/>
      <c r="B890" s="11" t="n"/>
      <c r="C890" s="11" t="n"/>
      <c r="D890" s="11" t="n"/>
      <c r="E890" s="12" t="n"/>
      <c r="F890" s="11" t="n"/>
      <c r="G890" s="11" t="n"/>
    </row>
    <row r="891">
      <c r="A891" s="10" t="n"/>
      <c r="B891" s="11" t="n"/>
      <c r="C891" s="11" t="n"/>
      <c r="D891" s="11" t="n"/>
      <c r="E891" s="12" t="n"/>
      <c r="F891" s="11" t="n"/>
      <c r="G891" s="11" t="n"/>
    </row>
    <row r="892">
      <c r="A892" s="10" t="n"/>
      <c r="B892" s="11" t="n"/>
      <c r="C892" s="11" t="n"/>
      <c r="D892" s="11" t="n"/>
      <c r="E892" s="12" t="n"/>
      <c r="F892" s="11" t="n"/>
      <c r="G892" s="11" t="n"/>
    </row>
    <row r="893">
      <c r="A893" s="10" t="n"/>
      <c r="B893" s="11" t="n"/>
      <c r="C893" s="11" t="n"/>
      <c r="D893" s="11" t="n"/>
      <c r="E893" s="12" t="n"/>
      <c r="F893" s="11" t="n"/>
      <c r="G893" s="11" t="n"/>
    </row>
    <row r="894">
      <c r="A894" s="10" t="n"/>
      <c r="B894" s="11" t="n"/>
      <c r="C894" s="11" t="n"/>
      <c r="D894" s="11" t="n"/>
      <c r="E894" s="12" t="n"/>
      <c r="F894" s="11" t="n"/>
      <c r="G894" s="11" t="n"/>
    </row>
    <row r="895">
      <c r="A895" s="10" t="n"/>
      <c r="B895" s="11" t="n"/>
      <c r="C895" s="11" t="n"/>
      <c r="D895" s="11" t="n"/>
      <c r="E895" s="12" t="n"/>
      <c r="F895" s="11" t="n"/>
      <c r="G895" s="11" t="n"/>
    </row>
    <row r="896">
      <c r="A896" s="10" t="n"/>
      <c r="B896" s="11" t="n"/>
      <c r="C896" s="11" t="n"/>
      <c r="D896" s="11" t="n"/>
      <c r="E896" s="12" t="n"/>
      <c r="F896" s="11" t="n"/>
      <c r="G896" s="11" t="n"/>
    </row>
    <row r="897">
      <c r="A897" s="10" t="n"/>
      <c r="B897" s="11" t="n"/>
      <c r="C897" s="11" t="n"/>
      <c r="D897" s="11" t="n"/>
      <c r="E897" s="12" t="n"/>
      <c r="F897" s="11" t="n"/>
      <c r="G897" s="11" t="n"/>
    </row>
    <row r="898">
      <c r="A898" s="10" t="n"/>
      <c r="B898" s="11" t="n"/>
      <c r="C898" s="11" t="n"/>
      <c r="D898" s="11" t="n"/>
      <c r="E898" s="12" t="n"/>
      <c r="F898" s="11" t="n"/>
      <c r="G898" s="11" t="n"/>
    </row>
    <row r="899">
      <c r="A899" s="10" t="n"/>
      <c r="B899" s="11" t="n"/>
      <c r="C899" s="11" t="n"/>
      <c r="D899" s="11" t="n"/>
      <c r="E899" s="12" t="n"/>
      <c r="F899" s="11" t="n"/>
      <c r="G899" s="11" t="n"/>
    </row>
    <row r="900">
      <c r="A900" s="10" t="n"/>
      <c r="B900" s="11" t="n"/>
      <c r="C900" s="11" t="n"/>
      <c r="D900" s="11" t="n"/>
      <c r="E900" s="12" t="n"/>
      <c r="F900" s="11" t="n"/>
      <c r="G900" s="11" t="n"/>
    </row>
    <row r="901">
      <c r="A901" s="10" t="n"/>
      <c r="B901" s="11" t="n"/>
      <c r="C901" s="11" t="n"/>
      <c r="D901" s="11" t="n"/>
      <c r="E901" s="12" t="n"/>
      <c r="F901" s="11" t="n"/>
      <c r="G901" s="11" t="n"/>
    </row>
    <row r="902">
      <c r="A902" s="10" t="n"/>
      <c r="B902" s="11" t="n"/>
      <c r="C902" s="11" t="n"/>
      <c r="D902" s="11" t="n"/>
      <c r="E902" s="12" t="n"/>
      <c r="F902" s="11" t="n"/>
      <c r="G902" s="11" t="n"/>
    </row>
    <row r="903">
      <c r="A903" s="10" t="n"/>
      <c r="B903" s="11" t="n"/>
      <c r="C903" s="11" t="n"/>
      <c r="D903" s="11" t="n"/>
      <c r="E903" s="12" t="n"/>
      <c r="F903" s="11" t="n"/>
      <c r="G903" s="11" t="n"/>
    </row>
    <row r="904">
      <c r="A904" s="10" t="n"/>
      <c r="B904" s="11" t="n"/>
      <c r="C904" s="11" t="n"/>
      <c r="D904" s="11" t="n"/>
      <c r="E904" s="12" t="n"/>
      <c r="F904" s="11" t="n"/>
      <c r="G904" s="11" t="n"/>
    </row>
    <row r="905">
      <c r="A905" s="10" t="n"/>
      <c r="B905" s="11" t="n"/>
      <c r="C905" s="11" t="n"/>
      <c r="D905" s="11" t="n"/>
      <c r="E905" s="12" t="n"/>
      <c r="F905" s="11" t="n"/>
      <c r="G905" s="11" t="n"/>
    </row>
    <row r="906">
      <c r="A906" s="10" t="n"/>
      <c r="B906" s="11" t="n"/>
      <c r="C906" s="11" t="n"/>
      <c r="D906" s="11" t="n"/>
      <c r="E906" s="12" t="n"/>
      <c r="F906" s="11" t="n"/>
      <c r="G906" s="11" t="n"/>
    </row>
    <row r="907">
      <c r="A907" s="10" t="n"/>
      <c r="B907" s="11" t="n"/>
      <c r="C907" s="11" t="n"/>
      <c r="D907" s="11" t="n"/>
      <c r="E907" s="12" t="n"/>
      <c r="F907" s="11" t="n"/>
      <c r="G907" s="11" t="n"/>
    </row>
    <row r="908">
      <c r="A908" s="10" t="n"/>
      <c r="B908" s="11" t="n"/>
      <c r="C908" s="11" t="n"/>
      <c r="D908" s="11" t="n"/>
      <c r="E908" s="12" t="n"/>
      <c r="F908" s="11" t="n"/>
      <c r="G908" s="11" t="n"/>
    </row>
    <row r="909">
      <c r="A909" s="10" t="n"/>
      <c r="B909" s="11" t="n"/>
      <c r="C909" s="11" t="n"/>
      <c r="D909" s="11" t="n"/>
      <c r="E909" s="12" t="n"/>
      <c r="F909" s="11" t="n"/>
      <c r="G909" s="11" t="n"/>
    </row>
    <row r="910">
      <c r="A910" s="10" t="n"/>
      <c r="B910" s="11" t="n"/>
      <c r="C910" s="11" t="n"/>
      <c r="D910" s="11" t="n"/>
      <c r="E910" s="12" t="n"/>
      <c r="F910" s="11" t="n"/>
      <c r="G910" s="11" t="n"/>
    </row>
    <row r="911">
      <c r="A911" s="10" t="n"/>
      <c r="B911" s="11" t="n"/>
      <c r="C911" s="11" t="n"/>
      <c r="D911" s="11" t="n"/>
      <c r="E911" s="12" t="n"/>
      <c r="F911" s="11" t="n"/>
      <c r="G911" s="11" t="n"/>
    </row>
    <row r="912">
      <c r="A912" s="10" t="n"/>
      <c r="B912" s="11" t="n"/>
      <c r="C912" s="11" t="n"/>
      <c r="D912" s="11" t="n"/>
      <c r="E912" s="12" t="n"/>
      <c r="F912" s="11" t="n"/>
      <c r="G912" s="11" t="n"/>
    </row>
    <row r="913">
      <c r="A913" s="10" t="n"/>
      <c r="B913" s="11" t="n"/>
      <c r="C913" s="11" t="n"/>
      <c r="D913" s="11" t="n"/>
      <c r="E913" s="12" t="n"/>
      <c r="F913" s="11" t="n"/>
      <c r="G913" s="11" t="n"/>
    </row>
    <row r="914">
      <c r="A914" s="10" t="n"/>
      <c r="B914" s="11" t="n"/>
      <c r="C914" s="11" t="n"/>
      <c r="D914" s="11" t="n"/>
      <c r="E914" s="12" t="n"/>
      <c r="F914" s="11" t="n"/>
      <c r="G914" s="11" t="n"/>
    </row>
    <row r="915">
      <c r="A915" s="10" t="n"/>
      <c r="B915" s="11" t="n"/>
      <c r="C915" s="11" t="n"/>
      <c r="D915" s="11" t="n"/>
      <c r="E915" s="12" t="n"/>
      <c r="F915" s="11" t="n"/>
      <c r="G915" s="11" t="n"/>
    </row>
    <row r="916">
      <c r="A916" s="10" t="n"/>
      <c r="B916" s="11" t="n"/>
      <c r="C916" s="11" t="n"/>
      <c r="D916" s="11" t="n"/>
      <c r="E916" s="12" t="n"/>
      <c r="F916" s="11" t="n"/>
      <c r="G916" s="11" t="n"/>
    </row>
    <row r="917">
      <c r="A917" s="10" t="n"/>
      <c r="B917" s="11" t="n"/>
      <c r="C917" s="11" t="n"/>
      <c r="D917" s="11" t="n"/>
      <c r="E917" s="12" t="n"/>
      <c r="F917" s="11" t="n"/>
      <c r="G917" s="11" t="n"/>
    </row>
    <row r="918">
      <c r="A918" s="10" t="n"/>
      <c r="B918" s="11" t="n"/>
      <c r="C918" s="11" t="n"/>
      <c r="D918" s="11" t="n"/>
      <c r="E918" s="12" t="n"/>
      <c r="F918" s="11" t="n"/>
      <c r="G918" s="11" t="n"/>
    </row>
    <row r="919">
      <c r="A919" s="10" t="n"/>
      <c r="B919" s="11" t="n"/>
      <c r="C919" s="11" t="n"/>
      <c r="D919" s="11" t="n"/>
      <c r="E919" s="12" t="n"/>
      <c r="F919" s="11" t="n"/>
      <c r="G919" s="11" t="n"/>
    </row>
    <row r="920">
      <c r="A920" s="10" t="n"/>
      <c r="B920" s="11" t="n"/>
      <c r="C920" s="11" t="n"/>
      <c r="D920" s="11" t="n"/>
      <c r="E920" s="12" t="n"/>
      <c r="F920" s="11" t="n"/>
      <c r="G920" s="11" t="n"/>
    </row>
    <row r="921">
      <c r="A921" s="10" t="n"/>
      <c r="B921" s="11" t="n"/>
      <c r="C921" s="11" t="n"/>
      <c r="D921" s="11" t="n"/>
      <c r="E921" s="12" t="n"/>
      <c r="F921" s="11" t="n"/>
      <c r="G921" s="11" t="n"/>
    </row>
    <row r="922">
      <c r="A922" s="10" t="n"/>
      <c r="B922" s="11" t="n"/>
      <c r="C922" s="11" t="n"/>
      <c r="D922" s="11" t="n"/>
      <c r="E922" s="12" t="n"/>
      <c r="F922" s="11" t="n"/>
      <c r="G922" s="11" t="n"/>
    </row>
    <row r="923">
      <c r="A923" s="10" t="n"/>
      <c r="B923" s="11" t="n"/>
      <c r="C923" s="11" t="n"/>
      <c r="D923" s="11" t="n"/>
      <c r="E923" s="12" t="n"/>
      <c r="F923" s="11" t="n"/>
      <c r="G923" s="11" t="n"/>
    </row>
    <row r="924">
      <c r="A924" s="10" t="n"/>
      <c r="B924" s="11" t="n"/>
      <c r="C924" s="11" t="n"/>
      <c r="D924" s="11" t="n"/>
      <c r="E924" s="12" t="n"/>
      <c r="F924" s="11" t="n"/>
      <c r="G924" s="11" t="n"/>
    </row>
    <row r="925">
      <c r="A925" s="10" t="n"/>
      <c r="B925" s="11" t="n"/>
      <c r="C925" s="11" t="n"/>
      <c r="D925" s="11" t="n"/>
      <c r="E925" s="12" t="n"/>
      <c r="F925" s="11" t="n"/>
      <c r="G925" s="11" t="n"/>
    </row>
    <row r="926">
      <c r="A926" s="10" t="n"/>
      <c r="B926" s="11" t="n"/>
      <c r="C926" s="11" t="n"/>
      <c r="D926" s="11" t="n"/>
      <c r="E926" s="12" t="n"/>
      <c r="F926" s="11" t="n"/>
      <c r="G926" s="11" t="n"/>
    </row>
    <row r="927">
      <c r="A927" s="10" t="n"/>
      <c r="B927" s="11" t="n"/>
      <c r="C927" s="11" t="n"/>
      <c r="D927" s="11" t="n"/>
      <c r="E927" s="12" t="n"/>
      <c r="F927" s="11" t="n"/>
      <c r="G927" s="11" t="n"/>
    </row>
    <row r="928">
      <c r="A928" s="10" t="n"/>
      <c r="B928" s="11" t="n"/>
      <c r="C928" s="11" t="n"/>
      <c r="D928" s="11" t="n"/>
      <c r="E928" s="12" t="n"/>
      <c r="F928" s="11" t="n"/>
      <c r="G928" s="11" t="n"/>
    </row>
    <row r="929">
      <c r="A929" s="10" t="n"/>
      <c r="B929" s="11" t="n"/>
      <c r="C929" s="11" t="n"/>
      <c r="D929" s="11" t="n"/>
      <c r="E929" s="12" t="n"/>
      <c r="F929" s="11" t="n"/>
      <c r="G929" s="11" t="n"/>
    </row>
    <row r="930">
      <c r="A930" s="10" t="n"/>
      <c r="B930" s="11" t="n"/>
      <c r="C930" s="11" t="n"/>
      <c r="D930" s="11" t="n"/>
      <c r="E930" s="12" t="n"/>
      <c r="F930" s="11" t="n"/>
      <c r="G930" s="11" t="n"/>
    </row>
    <row r="931">
      <c r="A931" s="10" t="n"/>
      <c r="B931" s="11" t="n"/>
      <c r="C931" s="11" t="n"/>
      <c r="D931" s="11" t="n"/>
      <c r="E931" s="12" t="n"/>
      <c r="F931" s="11" t="n"/>
      <c r="G931" s="11" t="n"/>
    </row>
    <row r="932">
      <c r="A932" s="10" t="n"/>
      <c r="B932" s="11" t="n"/>
      <c r="C932" s="11" t="n"/>
      <c r="D932" s="11" t="n"/>
      <c r="E932" s="12" t="n"/>
      <c r="F932" s="11" t="n"/>
      <c r="G932" s="11" t="n"/>
    </row>
    <row r="933">
      <c r="A933" s="10" t="n"/>
      <c r="B933" s="11" t="n"/>
      <c r="C933" s="11" t="n"/>
      <c r="D933" s="11" t="n"/>
      <c r="E933" s="12" t="n"/>
      <c r="F933" s="11" t="n"/>
      <c r="G933" s="11" t="n"/>
    </row>
    <row r="934">
      <c r="A934" s="10" t="n"/>
      <c r="B934" s="11" t="n"/>
      <c r="C934" s="11" t="n"/>
      <c r="D934" s="11" t="n"/>
      <c r="E934" s="12" t="n"/>
      <c r="F934" s="11" t="n"/>
      <c r="G934" s="11" t="n"/>
    </row>
    <row r="935">
      <c r="A935" s="10" t="n"/>
      <c r="B935" s="11" t="n"/>
      <c r="C935" s="11" t="n"/>
      <c r="D935" s="11" t="n"/>
      <c r="E935" s="12" t="n"/>
      <c r="F935" s="11" t="n"/>
      <c r="G935" s="11" t="n"/>
    </row>
    <row r="936">
      <c r="A936" s="10" t="n"/>
      <c r="B936" s="11" t="n"/>
      <c r="C936" s="11" t="n"/>
      <c r="D936" s="11" t="n"/>
      <c r="E936" s="12" t="n"/>
      <c r="F936" s="11" t="n"/>
      <c r="G936" s="11" t="n"/>
    </row>
    <row r="937">
      <c r="A937" s="10" t="n"/>
      <c r="B937" s="11" t="n"/>
      <c r="C937" s="11" t="n"/>
      <c r="D937" s="11" t="n"/>
      <c r="E937" s="12" t="n"/>
      <c r="F937" s="11" t="n"/>
      <c r="G937" s="11" t="n"/>
    </row>
    <row r="938">
      <c r="A938" s="10" t="n"/>
      <c r="B938" s="11" t="n"/>
      <c r="C938" s="11" t="n"/>
      <c r="D938" s="11" t="n"/>
      <c r="E938" s="12" t="n"/>
      <c r="F938" s="11" t="n"/>
      <c r="G938" s="11" t="n"/>
    </row>
    <row r="939">
      <c r="A939" s="10" t="n"/>
      <c r="B939" s="11" t="n"/>
      <c r="C939" s="11" t="n"/>
      <c r="D939" s="11" t="n"/>
      <c r="E939" s="12" t="n"/>
      <c r="F939" s="11" t="n"/>
      <c r="G939" s="11" t="n"/>
    </row>
    <row r="940">
      <c r="A940" s="10" t="n"/>
      <c r="B940" s="11" t="n"/>
      <c r="C940" s="11" t="n"/>
      <c r="D940" s="11" t="n"/>
      <c r="E940" s="12" t="n"/>
      <c r="F940" s="11" t="n"/>
      <c r="G940" s="11" t="n"/>
    </row>
    <row r="941">
      <c r="A941" s="10" t="n"/>
      <c r="B941" s="11" t="n"/>
      <c r="C941" s="11" t="n"/>
      <c r="D941" s="11" t="n"/>
      <c r="E941" s="12" t="n"/>
      <c r="F941" s="11" t="n"/>
      <c r="G941" s="11" t="n"/>
    </row>
    <row r="942">
      <c r="A942" s="10" t="n"/>
      <c r="B942" s="11" t="n"/>
      <c r="C942" s="11" t="n"/>
      <c r="D942" s="11" t="n"/>
      <c r="E942" s="12" t="n"/>
      <c r="F942" s="11" t="n"/>
      <c r="G942" s="11" t="n"/>
    </row>
    <row r="943">
      <c r="A943" s="10" t="n"/>
      <c r="B943" s="11" t="n"/>
      <c r="C943" s="11" t="n"/>
      <c r="D943" s="11" t="n"/>
      <c r="E943" s="12" t="n"/>
      <c r="F943" s="11" t="n"/>
      <c r="G943" s="11" t="n"/>
    </row>
    <row r="944">
      <c r="A944" s="10" t="n"/>
      <c r="B944" s="11" t="n"/>
      <c r="C944" s="11" t="n"/>
      <c r="D944" s="11" t="n"/>
      <c r="E944" s="12" t="n"/>
      <c r="F944" s="11" t="n"/>
      <c r="G944" s="11" t="n"/>
    </row>
    <row r="945">
      <c r="A945" s="10" t="n"/>
      <c r="B945" s="11" t="n"/>
      <c r="C945" s="11" t="n"/>
      <c r="D945" s="11" t="n"/>
      <c r="E945" s="12" t="n"/>
      <c r="F945" s="11" t="n"/>
      <c r="G945" s="11" t="n"/>
    </row>
    <row r="946">
      <c r="A946" s="10" t="n"/>
      <c r="B946" s="11" t="n"/>
      <c r="C946" s="11" t="n"/>
      <c r="D946" s="11" t="n"/>
      <c r="E946" s="12" t="n"/>
      <c r="F946" s="11" t="n"/>
      <c r="G946" s="11" t="n"/>
    </row>
    <row r="947">
      <c r="A947" s="10" t="n"/>
      <c r="B947" s="11" t="n"/>
      <c r="C947" s="11" t="n"/>
      <c r="D947" s="11" t="n"/>
      <c r="E947" s="12" t="n"/>
      <c r="F947" s="11" t="n"/>
      <c r="G947" s="11" t="n"/>
    </row>
    <row r="948">
      <c r="A948" s="10" t="n"/>
      <c r="B948" s="11" t="n"/>
      <c r="C948" s="11" t="n"/>
      <c r="D948" s="11" t="n"/>
      <c r="E948" s="12" t="n"/>
      <c r="F948" s="11" t="n"/>
      <c r="G948" s="11" t="n"/>
    </row>
    <row r="949">
      <c r="A949" s="10" t="n"/>
      <c r="B949" s="11" t="n"/>
      <c r="C949" s="11" t="n"/>
      <c r="D949" s="11" t="n"/>
      <c r="E949" s="12" t="n"/>
      <c r="F949" s="11" t="n"/>
      <c r="G949" s="11" t="n"/>
    </row>
    <row r="950">
      <c r="A950" s="10" t="n"/>
      <c r="B950" s="11" t="n"/>
      <c r="C950" s="11" t="n"/>
      <c r="D950" s="11" t="n"/>
      <c r="E950" s="12" t="n"/>
      <c r="F950" s="11" t="n"/>
      <c r="G950" s="11" t="n"/>
    </row>
    <row r="951">
      <c r="A951" s="10" t="n"/>
      <c r="B951" s="11" t="n"/>
      <c r="C951" s="11" t="n"/>
      <c r="D951" s="11" t="n"/>
      <c r="E951" s="12" t="n"/>
      <c r="F951" s="11" t="n"/>
      <c r="G951" s="11" t="n"/>
    </row>
    <row r="952">
      <c r="A952" s="10" t="n"/>
      <c r="B952" s="11" t="n"/>
      <c r="C952" s="11" t="n"/>
      <c r="D952" s="11" t="n"/>
      <c r="E952" s="12" t="n"/>
      <c r="F952" s="11" t="n"/>
      <c r="G952" s="11" t="n"/>
    </row>
    <row r="953">
      <c r="A953" s="10" t="n"/>
      <c r="B953" s="11" t="n"/>
      <c r="C953" s="11" t="n"/>
      <c r="D953" s="11" t="n"/>
      <c r="E953" s="12" t="n"/>
      <c r="F953" s="11" t="n"/>
      <c r="G953" s="11" t="n"/>
    </row>
    <row r="954">
      <c r="A954" s="10" t="n"/>
      <c r="B954" s="11" t="n"/>
      <c r="C954" s="11" t="n"/>
      <c r="D954" s="11" t="n"/>
      <c r="E954" s="12" t="n"/>
      <c r="F954" s="11" t="n"/>
      <c r="G954" s="11" t="n"/>
    </row>
    <row r="955">
      <c r="A955" s="10" t="n"/>
      <c r="B955" s="11" t="n"/>
      <c r="C955" s="11" t="n"/>
      <c r="D955" s="11" t="n"/>
      <c r="E955" s="12" t="n"/>
      <c r="F955" s="11" t="n"/>
      <c r="G955" s="11" t="n"/>
    </row>
    <row r="956">
      <c r="A956" s="10" t="n"/>
      <c r="B956" s="11" t="n"/>
      <c r="C956" s="11" t="n"/>
      <c r="D956" s="11" t="n"/>
      <c r="E956" s="12" t="n"/>
      <c r="F956" s="11" t="n"/>
      <c r="G956" s="11" t="n"/>
    </row>
    <row r="957">
      <c r="A957" s="10" t="n"/>
      <c r="B957" s="11" t="n"/>
      <c r="C957" s="11" t="n"/>
      <c r="D957" s="11" t="n"/>
      <c r="E957" s="12" t="n"/>
      <c r="F957" s="11" t="n"/>
      <c r="G957" s="11" t="n"/>
    </row>
    <row r="958">
      <c r="A958" s="10" t="n"/>
      <c r="B958" s="11" t="n"/>
      <c r="C958" s="11" t="n"/>
      <c r="D958" s="11" t="n"/>
      <c r="E958" s="12" t="n"/>
      <c r="F958" s="11" t="n"/>
      <c r="G958" s="11" t="n"/>
    </row>
    <row r="959">
      <c r="A959" s="10" t="n"/>
      <c r="B959" s="11" t="n"/>
      <c r="C959" s="11" t="n"/>
      <c r="D959" s="11" t="n"/>
      <c r="E959" s="12" t="n"/>
      <c r="F959" s="11" t="n"/>
      <c r="G959" s="11" t="n"/>
    </row>
    <row r="960">
      <c r="A960" s="10" t="n"/>
      <c r="B960" s="11" t="n"/>
      <c r="C960" s="11" t="n"/>
      <c r="D960" s="11" t="n"/>
      <c r="E960" s="12" t="n"/>
      <c r="F960" s="11" t="n"/>
      <c r="G960" s="11" t="n"/>
    </row>
    <row r="961">
      <c r="A961" s="10" t="n"/>
      <c r="B961" s="11" t="n"/>
      <c r="C961" s="11" t="n"/>
      <c r="D961" s="11" t="n"/>
      <c r="E961" s="12" t="n"/>
      <c r="F961" s="11" t="n"/>
      <c r="G961" s="11" t="n"/>
    </row>
    <row r="962">
      <c r="A962" s="10" t="n"/>
      <c r="B962" s="11" t="n"/>
      <c r="C962" s="11" t="n"/>
      <c r="D962" s="11" t="n"/>
      <c r="E962" s="12" t="n"/>
      <c r="F962" s="11" t="n"/>
      <c r="G962" s="11" t="n"/>
    </row>
    <row r="963">
      <c r="A963" s="10" t="n"/>
      <c r="B963" s="11" t="n"/>
      <c r="C963" s="11" t="n"/>
      <c r="D963" s="11" t="n"/>
      <c r="E963" s="12" t="n"/>
      <c r="F963" s="11" t="n"/>
      <c r="G963" s="11" t="n"/>
    </row>
    <row r="964">
      <c r="A964" s="10" t="n"/>
      <c r="B964" s="11" t="n"/>
      <c r="C964" s="11" t="n"/>
      <c r="D964" s="11" t="n"/>
      <c r="E964" s="12" t="n"/>
      <c r="F964" s="11" t="n"/>
      <c r="G964" s="11" t="n"/>
    </row>
    <row r="965">
      <c r="A965" s="10" t="n"/>
      <c r="B965" s="11" t="n"/>
      <c r="C965" s="11" t="n"/>
      <c r="D965" s="11" t="n"/>
      <c r="E965" s="12" t="n"/>
      <c r="F965" s="11" t="n"/>
      <c r="G965" s="11" t="n"/>
    </row>
    <row r="966">
      <c r="A966" s="10" t="n"/>
      <c r="B966" s="11" t="n"/>
      <c r="C966" s="11" t="n"/>
      <c r="D966" s="11" t="n"/>
      <c r="E966" s="12" t="n"/>
      <c r="F966" s="11" t="n"/>
      <c r="G966" s="11" t="n"/>
    </row>
    <row r="967">
      <c r="A967" s="10" t="n"/>
      <c r="B967" s="11" t="n"/>
      <c r="C967" s="11" t="n"/>
      <c r="D967" s="11" t="n"/>
      <c r="E967" s="12" t="n"/>
      <c r="F967" s="11" t="n"/>
      <c r="G967" s="11" t="n"/>
    </row>
    <row r="968">
      <c r="A968" s="10" t="n"/>
      <c r="B968" s="11" t="n"/>
      <c r="C968" s="11" t="n"/>
      <c r="D968" s="11" t="n"/>
      <c r="E968" s="12" t="n"/>
      <c r="F968" s="11" t="n"/>
      <c r="G968" s="11" t="n"/>
    </row>
    <row r="969">
      <c r="A969" s="10" t="n"/>
      <c r="B969" s="11" t="n"/>
      <c r="C969" s="11" t="n"/>
      <c r="D969" s="11" t="n"/>
      <c r="E969" s="12" t="n"/>
      <c r="F969" s="11" t="n"/>
      <c r="G969" s="11" t="n"/>
    </row>
    <row r="970">
      <c r="A970" s="10" t="n"/>
      <c r="B970" s="11" t="n"/>
      <c r="C970" s="11" t="n"/>
      <c r="D970" s="11" t="n"/>
      <c r="E970" s="12" t="n"/>
      <c r="F970" s="11" t="n"/>
      <c r="G970" s="11" t="n"/>
    </row>
    <row r="971">
      <c r="A971" s="10" t="n"/>
      <c r="B971" s="11" t="n"/>
      <c r="C971" s="11" t="n"/>
      <c r="D971" s="11" t="n"/>
      <c r="E971" s="12" t="n"/>
      <c r="F971" s="11" t="n"/>
      <c r="G971" s="11" t="n"/>
    </row>
    <row r="972">
      <c r="A972" s="10" t="n"/>
      <c r="B972" s="11" t="n"/>
      <c r="C972" s="11" t="n"/>
      <c r="D972" s="11" t="n"/>
      <c r="E972" s="12" t="n"/>
      <c r="F972" s="11" t="n"/>
      <c r="G972" s="11" t="n"/>
    </row>
    <row r="973">
      <c r="A973" s="10" t="n"/>
      <c r="B973" s="11" t="n"/>
      <c r="C973" s="11" t="n"/>
      <c r="D973" s="11" t="n"/>
      <c r="E973" s="12" t="n"/>
      <c r="F973" s="11" t="n"/>
      <c r="G973" s="11" t="n"/>
    </row>
    <row r="974">
      <c r="A974" s="10" t="n"/>
      <c r="B974" s="11" t="n"/>
      <c r="C974" s="11" t="n"/>
      <c r="D974" s="11" t="n"/>
      <c r="E974" s="12" t="n"/>
      <c r="F974" s="11" t="n"/>
      <c r="G974" s="11" t="n"/>
    </row>
    <row r="975">
      <c r="A975" s="10" t="n"/>
      <c r="B975" s="11" t="n"/>
      <c r="C975" s="11" t="n"/>
      <c r="D975" s="11" t="n"/>
      <c r="E975" s="12" t="n"/>
      <c r="F975" s="11" t="n"/>
      <c r="G975" s="11" t="n"/>
    </row>
    <row r="976">
      <c r="A976" s="10" t="n"/>
      <c r="B976" s="11" t="n"/>
      <c r="C976" s="11" t="n"/>
      <c r="D976" s="11" t="n"/>
      <c r="E976" s="12" t="n"/>
      <c r="F976" s="11" t="n"/>
      <c r="G976" s="11" t="n"/>
    </row>
    <row r="977">
      <c r="A977" s="10" t="n"/>
      <c r="B977" s="11" t="n"/>
      <c r="C977" s="11" t="n"/>
      <c r="D977" s="11" t="n"/>
      <c r="E977" s="12" t="n"/>
      <c r="F977" s="11" t="n"/>
      <c r="G977" s="11" t="n"/>
    </row>
    <row r="978">
      <c r="A978" s="10" t="n"/>
      <c r="B978" s="11" t="n"/>
      <c r="C978" s="11" t="n"/>
      <c r="D978" s="11" t="n"/>
      <c r="E978" s="12" t="n"/>
      <c r="F978" s="11" t="n"/>
      <c r="G978" s="11" t="n"/>
    </row>
    <row r="979">
      <c r="A979" s="10" t="n"/>
      <c r="B979" s="11" t="n"/>
      <c r="C979" s="11" t="n"/>
      <c r="D979" s="11" t="n"/>
      <c r="E979" s="12" t="n"/>
      <c r="F979" s="11" t="n"/>
      <c r="G979" s="11" t="n"/>
    </row>
    <row r="980">
      <c r="A980" s="10" t="n"/>
      <c r="B980" s="11" t="n"/>
      <c r="C980" s="11" t="n"/>
      <c r="D980" s="11" t="n"/>
      <c r="E980" s="12" t="n"/>
      <c r="F980" s="11" t="n"/>
      <c r="G980" s="11" t="n"/>
    </row>
    <row r="981">
      <c r="A981" s="10" t="n"/>
      <c r="B981" s="11" t="n"/>
      <c r="C981" s="11" t="n"/>
      <c r="D981" s="11" t="n"/>
      <c r="E981" s="12" t="n"/>
      <c r="F981" s="11" t="n"/>
      <c r="G981" s="11" t="n"/>
    </row>
    <row r="982">
      <c r="A982" s="10" t="n"/>
      <c r="B982" s="11" t="n"/>
      <c r="C982" s="11" t="n"/>
      <c r="D982" s="11" t="n"/>
      <c r="E982" s="12" t="n"/>
      <c r="F982" s="11" t="n"/>
      <c r="G982" s="11" t="n"/>
    </row>
    <row r="983">
      <c r="A983" s="10" t="n"/>
      <c r="B983" s="11" t="n"/>
      <c r="C983" s="11" t="n"/>
      <c r="D983" s="11" t="n"/>
      <c r="E983" s="12" t="n"/>
      <c r="F983" s="11" t="n"/>
      <c r="G983" s="11" t="n"/>
    </row>
    <row r="984">
      <c r="A984" s="10" t="n"/>
      <c r="B984" s="11" t="n"/>
      <c r="C984" s="11" t="n"/>
      <c r="D984" s="11" t="n"/>
      <c r="E984" s="12" t="n"/>
      <c r="F984" s="11" t="n"/>
      <c r="G984" s="11" t="n"/>
    </row>
    <row r="985">
      <c r="A985" s="10" t="n"/>
      <c r="B985" s="11" t="n"/>
      <c r="C985" s="11" t="n"/>
      <c r="D985" s="11" t="n"/>
      <c r="E985" s="12" t="n"/>
      <c r="F985" s="11" t="n"/>
      <c r="G985" s="11" t="n"/>
    </row>
    <row r="986">
      <c r="A986" s="10" t="n"/>
      <c r="B986" s="11" t="n"/>
      <c r="C986" s="11" t="n"/>
      <c r="D986" s="11" t="n"/>
      <c r="E986" s="12" t="n"/>
      <c r="F986" s="11" t="n"/>
      <c r="G986" s="11" t="n"/>
    </row>
    <row r="987">
      <c r="A987" s="10" t="n"/>
      <c r="B987" s="11" t="n"/>
      <c r="C987" s="11" t="n"/>
      <c r="D987" s="11" t="n"/>
      <c r="E987" s="12" t="n"/>
      <c r="F987" s="11" t="n"/>
      <c r="G987" s="11" t="n"/>
    </row>
    <row r="988">
      <c r="A988" s="10" t="n"/>
      <c r="B988" s="11" t="n"/>
      <c r="C988" s="11" t="n"/>
      <c r="D988" s="11" t="n"/>
      <c r="E988" s="12" t="n"/>
      <c r="F988" s="11" t="n"/>
      <c r="G988" s="11" t="n"/>
    </row>
    <row r="989">
      <c r="A989" s="10" t="n"/>
      <c r="B989" s="11" t="n"/>
      <c r="C989" s="11" t="n"/>
      <c r="D989" s="11" t="n"/>
      <c r="E989" s="12" t="n"/>
      <c r="F989" s="11" t="n"/>
      <c r="G989" s="11" t="n"/>
    </row>
    <row r="990">
      <c r="A990" s="10" t="n"/>
      <c r="B990" s="11" t="n"/>
      <c r="C990" s="11" t="n"/>
      <c r="D990" s="11" t="n"/>
      <c r="E990" s="12" t="n"/>
      <c r="F990" s="11" t="n"/>
      <c r="G990" s="11" t="n"/>
    </row>
    <row r="991">
      <c r="A991" s="10" t="n"/>
      <c r="B991" s="11" t="n"/>
      <c r="C991" s="11" t="n"/>
      <c r="D991" s="11" t="n"/>
      <c r="E991" s="12" t="n"/>
      <c r="F991" s="11" t="n"/>
      <c r="G991" s="11" t="n"/>
    </row>
    <row r="992">
      <c r="A992" s="10" t="n"/>
      <c r="B992" s="11" t="n"/>
      <c r="C992" s="11" t="n"/>
      <c r="D992" s="11" t="n"/>
      <c r="E992" s="12" t="n"/>
      <c r="F992" s="11" t="n"/>
      <c r="G992" s="11" t="n"/>
    </row>
    <row r="993">
      <c r="A993" s="10" t="n"/>
      <c r="B993" s="11" t="n"/>
      <c r="C993" s="11" t="n"/>
      <c r="D993" s="11" t="n"/>
      <c r="E993" s="12" t="n"/>
      <c r="F993" s="11" t="n"/>
      <c r="G993" s="11" t="n"/>
    </row>
    <row r="994">
      <c r="A994" s="10" t="n"/>
      <c r="B994" s="11" t="n"/>
      <c r="C994" s="11" t="n"/>
      <c r="D994" s="11" t="n"/>
      <c r="E994" s="12" t="n"/>
      <c r="F994" s="11" t="n"/>
      <c r="G994" s="11" t="n"/>
    </row>
    <row r="995">
      <c r="A995" s="10" t="n"/>
      <c r="B995" s="11" t="n"/>
      <c r="C995" s="11" t="n"/>
      <c r="D995" s="11" t="n"/>
      <c r="E995" s="12" t="n"/>
      <c r="F995" s="11" t="n"/>
      <c r="G995" s="11" t="n"/>
    </row>
    <row r="996">
      <c r="A996" s="10" t="n"/>
      <c r="B996" s="11" t="n"/>
      <c r="C996" s="11" t="n"/>
      <c r="D996" s="11" t="n"/>
      <c r="E996" s="12" t="n"/>
      <c r="F996" s="11" t="n"/>
      <c r="G996" s="11" t="n"/>
    </row>
    <row r="997">
      <c r="A997" s="10" t="n"/>
      <c r="B997" s="11" t="n"/>
      <c r="C997" s="11" t="n"/>
      <c r="D997" s="11" t="n"/>
      <c r="E997" s="12" t="n"/>
      <c r="F997" s="11" t="n"/>
      <c r="G997" s="11" t="n"/>
    </row>
    <row r="998">
      <c r="A998" s="10" t="n"/>
      <c r="B998" s="11" t="n"/>
      <c r="C998" s="11" t="n"/>
      <c r="D998" s="11" t="n"/>
      <c r="E998" s="12" t="n"/>
      <c r="F998" s="11" t="n"/>
      <c r="G998" s="11" t="n"/>
    </row>
    <row r="999">
      <c r="A999" s="10" t="n"/>
      <c r="B999" s="11" t="n"/>
      <c r="C999" s="11" t="n"/>
      <c r="D999" s="11" t="n"/>
      <c r="E999" s="12" t="n"/>
      <c r="F999" s="11" t="n"/>
      <c r="G999" s="11" t="n"/>
    </row>
    <row r="1000">
      <c r="A1000" s="10" t="n"/>
      <c r="B1000" s="11" t="n"/>
      <c r="C1000" s="11" t="n"/>
      <c r="D1000" s="11" t="n"/>
      <c r="E1000" s="12" t="n"/>
      <c r="F1000" s="11" t="n"/>
      <c r="G1000" s="11" t="n"/>
    </row>
    <row r="1001">
      <c r="A1001" s="10" t="n"/>
      <c r="B1001" s="11" t="n"/>
      <c r="C1001" s="11" t="n"/>
      <c r="D1001" s="11" t="n"/>
      <c r="E1001" s="12" t="n"/>
      <c r="F1001" s="11" t="n"/>
      <c r="G1001" s="1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D5C3A"/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16" customWidth="1" min="4" max="4"/>
    <col width="15" customWidth="1" min="5" max="5"/>
    <col width="15" customWidth="1" min="6" max="6"/>
    <col width="15" customWidth="1" min="7" max="7"/>
    <col width="8" customWidth="1" min="8" max="8"/>
    <col width="15" customWidth="1" min="9" max="9"/>
    <col width="15" customWidth="1" min="10" max="10"/>
    <col width="12" customWidth="1" min="11" max="11"/>
    <col width="8" customWidth="1" min="12" max="12"/>
    <col width="20" customWidth="1" min="13" max="13"/>
  </cols>
  <sheetData>
    <row r="1" ht="36" customHeight="1">
      <c r="A1" s="7" t="inlineStr">
        <is>
          <t>معرف
Row ID</t>
        </is>
      </c>
      <c r="B1" s="7" t="inlineStr">
        <is>
          <t>التاريخ
Date</t>
        </is>
      </c>
      <c r="C1" s="7" t="inlineStr">
        <is>
          <t>الوصف
Description</t>
        </is>
      </c>
      <c r="D1" s="7" t="inlineStr">
        <is>
          <t>النوع
Type</t>
        </is>
      </c>
      <c r="E1" s="7" t="inlineStr">
        <is>
          <t>الدائن
Credit</t>
        </is>
      </c>
      <c r="F1" s="7" t="inlineStr">
        <is>
          <t>المدين
Debit</t>
        </is>
      </c>
      <c r="G1" s="7" t="inlineStr">
        <is>
          <t>الرصيد
Balance</t>
        </is>
      </c>
      <c r="H1" s="7" t="inlineStr">
        <is>
          <t>الجانب
Side</t>
        </is>
      </c>
      <c r="I1" s="7" t="inlineStr">
        <is>
          <t>المبلغ
Amount</t>
        </is>
      </c>
      <c r="J1" s="7" t="inlineStr">
        <is>
          <t>المبلغ المطلق
Abs Amount</t>
        </is>
      </c>
      <c r="K1" s="7" t="inlineStr">
        <is>
          <t>نوع المطابقة
Match Key</t>
        </is>
      </c>
      <c r="L1" s="7" t="inlineStr">
        <is>
          <t>مستخدم
Used</t>
        </is>
      </c>
      <c r="M1" s="7" t="inlineStr">
        <is>
          <t>ملاحظات
Notes</t>
        </is>
      </c>
    </row>
    <row r="2">
      <c r="A2" s="13">
        <f>IF(BANK_RAW!A2="","",ROW()-1)</f>
        <v/>
      </c>
      <c r="B2" s="10">
        <f>IF(BANK_RAW!A2="","",IF(ISNUMBER(BANK_RAW!A2),BANK_RAW!A2,DATEVALUE(TEXT(BANK_RAW!A2,"YYYY-MM-DD"))))</f>
        <v/>
      </c>
      <c r="C2" s="11">
        <f>IF(BANK_RAW!A2="","",TRIM(BANK_RAW!B2))</f>
        <v/>
      </c>
      <c r="D2" s="11">
        <f>IF(BANK_RAW!A2="","",TRIM(BANK_RAW!C2))</f>
        <v/>
      </c>
      <c r="E2" s="12">
        <f>IF(BANK_RAW!A2="","",IFERROR(ABS(BANK_RAW!D2),0))</f>
        <v/>
      </c>
      <c r="F2" s="12">
        <f>IF(BANK_RAW!A2="","",IFERROR(ABS(BANK_RAW!E2),0))</f>
        <v/>
      </c>
      <c r="G2" s="12">
        <f>IF(BANK_RAW!A2="","",IFERROR(BANK_RAW!F2,0))</f>
        <v/>
      </c>
      <c r="H2" s="11">
        <f>IF(BANK_RAW!A2="","",IF(E2&gt;0,"CR",IF(F2&gt;0,"DR","CR")))</f>
        <v/>
      </c>
      <c r="I2" s="12">
        <f>IF(BANK_RAW!A2="","",E2-F2)</f>
        <v/>
      </c>
      <c r="J2" s="12">
        <f>IF(BANK_RAW!A2="","",ABS(I2))</f>
        <v/>
      </c>
      <c r="K2" s="11">
        <f>IF(BANK_RAW!A2="","",IF(H2="CR","IN","OUT"))</f>
        <v/>
      </c>
      <c r="L2" s="11" t="inlineStr"/>
      <c r="M2" s="11" t="inlineStr"/>
    </row>
    <row r="3">
      <c r="A3" s="13">
        <f>IF(BANK_RAW!A3="","",ROW()-1)</f>
        <v/>
      </c>
      <c r="B3" s="10">
        <f>IF(BANK_RAW!A3="","",IF(ISNUMBER(BANK_RAW!A3),BANK_RAW!A3,DATEVALUE(TEXT(BANK_RAW!A3,"YYYY-MM-DD"))))</f>
        <v/>
      </c>
      <c r="C3" s="11">
        <f>IF(BANK_RAW!A3="","",TRIM(BANK_RAW!B3))</f>
        <v/>
      </c>
      <c r="D3" s="11">
        <f>IF(BANK_RAW!A3="","",TRIM(BANK_RAW!C3))</f>
        <v/>
      </c>
      <c r="E3" s="12">
        <f>IF(BANK_RAW!A3="","",IFERROR(ABS(BANK_RAW!D3),0))</f>
        <v/>
      </c>
      <c r="F3" s="12">
        <f>IF(BANK_RAW!A3="","",IFERROR(ABS(BANK_RAW!E3),0))</f>
        <v/>
      </c>
      <c r="G3" s="12">
        <f>IF(BANK_RAW!A3="","",IFERROR(BANK_RAW!F3,0))</f>
        <v/>
      </c>
      <c r="H3" s="11">
        <f>IF(BANK_RAW!A3="","",IF(E3&gt;0,"CR",IF(F3&gt;0,"DR","CR")))</f>
        <v/>
      </c>
      <c r="I3" s="12">
        <f>IF(BANK_RAW!A3="","",E3-F3)</f>
        <v/>
      </c>
      <c r="J3" s="12">
        <f>IF(BANK_RAW!A3="","",ABS(I3))</f>
        <v/>
      </c>
      <c r="K3" s="11">
        <f>IF(BANK_RAW!A3="","",IF(H3="CR","IN","OUT"))</f>
        <v/>
      </c>
      <c r="L3" s="11" t="inlineStr"/>
      <c r="M3" s="11" t="inlineStr"/>
    </row>
    <row r="4">
      <c r="A4" s="13">
        <f>IF(BANK_RAW!A4="","",ROW()-1)</f>
        <v/>
      </c>
      <c r="B4" s="10">
        <f>IF(BANK_RAW!A4="","",IF(ISNUMBER(BANK_RAW!A4),BANK_RAW!A4,DATEVALUE(TEXT(BANK_RAW!A4,"YYYY-MM-DD"))))</f>
        <v/>
      </c>
      <c r="C4" s="11">
        <f>IF(BANK_RAW!A4="","",TRIM(BANK_RAW!B4))</f>
        <v/>
      </c>
      <c r="D4" s="11">
        <f>IF(BANK_RAW!A4="","",TRIM(BANK_RAW!C4))</f>
        <v/>
      </c>
      <c r="E4" s="12">
        <f>IF(BANK_RAW!A4="","",IFERROR(ABS(BANK_RAW!D4),0))</f>
        <v/>
      </c>
      <c r="F4" s="12">
        <f>IF(BANK_RAW!A4="","",IFERROR(ABS(BANK_RAW!E4),0))</f>
        <v/>
      </c>
      <c r="G4" s="12">
        <f>IF(BANK_RAW!A4="","",IFERROR(BANK_RAW!F4,0))</f>
        <v/>
      </c>
      <c r="H4" s="11">
        <f>IF(BANK_RAW!A4="","",IF(E4&gt;0,"CR",IF(F4&gt;0,"DR","CR")))</f>
        <v/>
      </c>
      <c r="I4" s="12">
        <f>IF(BANK_RAW!A4="","",E4-F4)</f>
        <v/>
      </c>
      <c r="J4" s="12">
        <f>IF(BANK_RAW!A4="","",ABS(I4))</f>
        <v/>
      </c>
      <c r="K4" s="11">
        <f>IF(BANK_RAW!A4="","",IF(H4="CR","IN","OUT"))</f>
        <v/>
      </c>
      <c r="L4" s="11" t="inlineStr"/>
      <c r="M4" s="11" t="inlineStr"/>
    </row>
    <row r="5">
      <c r="A5" s="13">
        <f>IF(BANK_RAW!A5="","",ROW()-1)</f>
        <v/>
      </c>
      <c r="B5" s="10">
        <f>IF(BANK_RAW!A5="","",IF(ISNUMBER(BANK_RAW!A5),BANK_RAW!A5,DATEVALUE(TEXT(BANK_RAW!A5,"YYYY-MM-DD"))))</f>
        <v/>
      </c>
      <c r="C5" s="11">
        <f>IF(BANK_RAW!A5="","",TRIM(BANK_RAW!B5))</f>
        <v/>
      </c>
      <c r="D5" s="11">
        <f>IF(BANK_RAW!A5="","",TRIM(BANK_RAW!C5))</f>
        <v/>
      </c>
      <c r="E5" s="12">
        <f>IF(BANK_RAW!A5="","",IFERROR(ABS(BANK_RAW!D5),0))</f>
        <v/>
      </c>
      <c r="F5" s="12">
        <f>IF(BANK_RAW!A5="","",IFERROR(ABS(BANK_RAW!E5),0))</f>
        <v/>
      </c>
      <c r="G5" s="12">
        <f>IF(BANK_RAW!A5="","",IFERROR(BANK_RAW!F5,0))</f>
        <v/>
      </c>
      <c r="H5" s="11">
        <f>IF(BANK_RAW!A5="","",IF(E5&gt;0,"CR",IF(F5&gt;0,"DR","CR")))</f>
        <v/>
      </c>
      <c r="I5" s="12">
        <f>IF(BANK_RAW!A5="","",E5-F5)</f>
        <v/>
      </c>
      <c r="J5" s="12">
        <f>IF(BANK_RAW!A5="","",ABS(I5))</f>
        <v/>
      </c>
      <c r="K5" s="11">
        <f>IF(BANK_RAW!A5="","",IF(H5="CR","IN","OUT"))</f>
        <v/>
      </c>
      <c r="L5" s="11" t="inlineStr"/>
      <c r="M5" s="11" t="inlineStr"/>
    </row>
    <row r="6">
      <c r="A6" s="13">
        <f>IF(BANK_RAW!A6="","",ROW()-1)</f>
        <v/>
      </c>
      <c r="B6" s="10">
        <f>IF(BANK_RAW!A6="","",IF(ISNUMBER(BANK_RAW!A6),BANK_RAW!A6,DATEVALUE(TEXT(BANK_RAW!A6,"YYYY-MM-DD"))))</f>
        <v/>
      </c>
      <c r="C6" s="11">
        <f>IF(BANK_RAW!A6="","",TRIM(BANK_RAW!B6))</f>
        <v/>
      </c>
      <c r="D6" s="11">
        <f>IF(BANK_RAW!A6="","",TRIM(BANK_RAW!C6))</f>
        <v/>
      </c>
      <c r="E6" s="12">
        <f>IF(BANK_RAW!A6="","",IFERROR(ABS(BANK_RAW!D6),0))</f>
        <v/>
      </c>
      <c r="F6" s="12">
        <f>IF(BANK_RAW!A6="","",IFERROR(ABS(BANK_RAW!E6),0))</f>
        <v/>
      </c>
      <c r="G6" s="12">
        <f>IF(BANK_RAW!A6="","",IFERROR(BANK_RAW!F6,0))</f>
        <v/>
      </c>
      <c r="H6" s="11">
        <f>IF(BANK_RAW!A6="","",IF(E6&gt;0,"CR",IF(F6&gt;0,"DR","CR")))</f>
        <v/>
      </c>
      <c r="I6" s="12">
        <f>IF(BANK_RAW!A6="","",E6-F6)</f>
        <v/>
      </c>
      <c r="J6" s="12">
        <f>IF(BANK_RAW!A6="","",ABS(I6))</f>
        <v/>
      </c>
      <c r="K6" s="11">
        <f>IF(BANK_RAW!A6="","",IF(H6="CR","IN","OUT"))</f>
        <v/>
      </c>
      <c r="L6" s="11" t="inlineStr"/>
      <c r="M6" s="11" t="inlineStr"/>
    </row>
    <row r="7">
      <c r="A7" s="13">
        <f>IF(BANK_RAW!A7="","",ROW()-1)</f>
        <v/>
      </c>
      <c r="B7" s="10">
        <f>IF(BANK_RAW!A7="","",IF(ISNUMBER(BANK_RAW!A7),BANK_RAW!A7,DATEVALUE(TEXT(BANK_RAW!A7,"YYYY-MM-DD"))))</f>
        <v/>
      </c>
      <c r="C7" s="11">
        <f>IF(BANK_RAW!A7="","",TRIM(BANK_RAW!B7))</f>
        <v/>
      </c>
      <c r="D7" s="11">
        <f>IF(BANK_RAW!A7="","",TRIM(BANK_RAW!C7))</f>
        <v/>
      </c>
      <c r="E7" s="12">
        <f>IF(BANK_RAW!A7="","",IFERROR(ABS(BANK_RAW!D7),0))</f>
        <v/>
      </c>
      <c r="F7" s="12">
        <f>IF(BANK_RAW!A7="","",IFERROR(ABS(BANK_RAW!E7),0))</f>
        <v/>
      </c>
      <c r="G7" s="12">
        <f>IF(BANK_RAW!A7="","",IFERROR(BANK_RAW!F7,0))</f>
        <v/>
      </c>
      <c r="H7" s="11">
        <f>IF(BANK_RAW!A7="","",IF(E7&gt;0,"CR",IF(F7&gt;0,"DR","CR")))</f>
        <v/>
      </c>
      <c r="I7" s="12">
        <f>IF(BANK_RAW!A7="","",E7-F7)</f>
        <v/>
      </c>
      <c r="J7" s="12">
        <f>IF(BANK_RAW!A7="","",ABS(I7))</f>
        <v/>
      </c>
      <c r="K7" s="11">
        <f>IF(BANK_RAW!A7="","",IF(H7="CR","IN","OUT"))</f>
        <v/>
      </c>
      <c r="L7" s="11" t="inlineStr"/>
      <c r="M7" s="11" t="inlineStr"/>
    </row>
    <row r="8">
      <c r="A8" s="13">
        <f>IF(BANK_RAW!A8="","",ROW()-1)</f>
        <v/>
      </c>
      <c r="B8" s="10">
        <f>IF(BANK_RAW!A8="","",IF(ISNUMBER(BANK_RAW!A8),BANK_RAW!A8,DATEVALUE(TEXT(BANK_RAW!A8,"YYYY-MM-DD"))))</f>
        <v/>
      </c>
      <c r="C8" s="11">
        <f>IF(BANK_RAW!A8="","",TRIM(BANK_RAW!B8))</f>
        <v/>
      </c>
      <c r="D8" s="11">
        <f>IF(BANK_RAW!A8="","",TRIM(BANK_RAW!C8))</f>
        <v/>
      </c>
      <c r="E8" s="12">
        <f>IF(BANK_RAW!A8="","",IFERROR(ABS(BANK_RAW!D8),0))</f>
        <v/>
      </c>
      <c r="F8" s="12">
        <f>IF(BANK_RAW!A8="","",IFERROR(ABS(BANK_RAW!E8),0))</f>
        <v/>
      </c>
      <c r="G8" s="12">
        <f>IF(BANK_RAW!A8="","",IFERROR(BANK_RAW!F8,0))</f>
        <v/>
      </c>
      <c r="H8" s="11">
        <f>IF(BANK_RAW!A8="","",IF(E8&gt;0,"CR",IF(F8&gt;0,"DR","CR")))</f>
        <v/>
      </c>
      <c r="I8" s="12">
        <f>IF(BANK_RAW!A8="","",E8-F8)</f>
        <v/>
      </c>
      <c r="J8" s="12">
        <f>IF(BANK_RAW!A8="","",ABS(I8))</f>
        <v/>
      </c>
      <c r="K8" s="11">
        <f>IF(BANK_RAW!A8="","",IF(H8="CR","IN","OUT"))</f>
        <v/>
      </c>
      <c r="L8" s="11" t="inlineStr"/>
      <c r="M8" s="11" t="inlineStr"/>
    </row>
    <row r="9">
      <c r="A9" s="13">
        <f>IF(BANK_RAW!A9="","",ROW()-1)</f>
        <v/>
      </c>
      <c r="B9" s="10">
        <f>IF(BANK_RAW!A9="","",IF(ISNUMBER(BANK_RAW!A9),BANK_RAW!A9,DATEVALUE(TEXT(BANK_RAW!A9,"YYYY-MM-DD"))))</f>
        <v/>
      </c>
      <c r="C9" s="11">
        <f>IF(BANK_RAW!A9="","",TRIM(BANK_RAW!B9))</f>
        <v/>
      </c>
      <c r="D9" s="11">
        <f>IF(BANK_RAW!A9="","",TRIM(BANK_RAW!C9))</f>
        <v/>
      </c>
      <c r="E9" s="12">
        <f>IF(BANK_RAW!A9="","",IFERROR(ABS(BANK_RAW!D9),0))</f>
        <v/>
      </c>
      <c r="F9" s="12">
        <f>IF(BANK_RAW!A9="","",IFERROR(ABS(BANK_RAW!E9),0))</f>
        <v/>
      </c>
      <c r="G9" s="12">
        <f>IF(BANK_RAW!A9="","",IFERROR(BANK_RAW!F9,0))</f>
        <v/>
      </c>
      <c r="H9" s="11">
        <f>IF(BANK_RAW!A9="","",IF(E9&gt;0,"CR",IF(F9&gt;0,"DR","CR")))</f>
        <v/>
      </c>
      <c r="I9" s="12">
        <f>IF(BANK_RAW!A9="","",E9-F9)</f>
        <v/>
      </c>
      <c r="J9" s="12">
        <f>IF(BANK_RAW!A9="","",ABS(I9))</f>
        <v/>
      </c>
      <c r="K9" s="11">
        <f>IF(BANK_RAW!A9="","",IF(H9="CR","IN","OUT"))</f>
        <v/>
      </c>
      <c r="L9" s="11" t="inlineStr"/>
      <c r="M9" s="11" t="inlineStr"/>
    </row>
    <row r="10">
      <c r="A10" s="13">
        <f>IF(BANK_RAW!A10="","",ROW()-1)</f>
        <v/>
      </c>
      <c r="B10" s="10">
        <f>IF(BANK_RAW!A10="","",IF(ISNUMBER(BANK_RAW!A10),BANK_RAW!A10,DATEVALUE(TEXT(BANK_RAW!A10,"YYYY-MM-DD"))))</f>
        <v/>
      </c>
      <c r="C10" s="11">
        <f>IF(BANK_RAW!A10="","",TRIM(BANK_RAW!B10))</f>
        <v/>
      </c>
      <c r="D10" s="11">
        <f>IF(BANK_RAW!A10="","",TRIM(BANK_RAW!C10))</f>
        <v/>
      </c>
      <c r="E10" s="12">
        <f>IF(BANK_RAW!A10="","",IFERROR(ABS(BANK_RAW!D10),0))</f>
        <v/>
      </c>
      <c r="F10" s="12">
        <f>IF(BANK_RAW!A10="","",IFERROR(ABS(BANK_RAW!E10),0))</f>
        <v/>
      </c>
      <c r="G10" s="12">
        <f>IF(BANK_RAW!A10="","",IFERROR(BANK_RAW!F10,0))</f>
        <v/>
      </c>
      <c r="H10" s="11">
        <f>IF(BANK_RAW!A10="","",IF(E10&gt;0,"CR",IF(F10&gt;0,"DR","CR")))</f>
        <v/>
      </c>
      <c r="I10" s="12">
        <f>IF(BANK_RAW!A10="","",E10-F10)</f>
        <v/>
      </c>
      <c r="J10" s="12">
        <f>IF(BANK_RAW!A10="","",ABS(I10))</f>
        <v/>
      </c>
      <c r="K10" s="11">
        <f>IF(BANK_RAW!A10="","",IF(H10="CR","IN","OUT"))</f>
        <v/>
      </c>
      <c r="L10" s="11" t="inlineStr"/>
      <c r="M10" s="11" t="inlineStr"/>
    </row>
    <row r="11">
      <c r="A11" s="13">
        <f>IF(BANK_RAW!A11="","",ROW()-1)</f>
        <v/>
      </c>
      <c r="B11" s="10">
        <f>IF(BANK_RAW!A11="","",IF(ISNUMBER(BANK_RAW!A11),BANK_RAW!A11,DATEVALUE(TEXT(BANK_RAW!A11,"YYYY-MM-DD"))))</f>
        <v/>
      </c>
      <c r="C11" s="11">
        <f>IF(BANK_RAW!A11="","",TRIM(BANK_RAW!B11))</f>
        <v/>
      </c>
      <c r="D11" s="11">
        <f>IF(BANK_RAW!A11="","",TRIM(BANK_RAW!C11))</f>
        <v/>
      </c>
      <c r="E11" s="12">
        <f>IF(BANK_RAW!A11="","",IFERROR(ABS(BANK_RAW!D11),0))</f>
        <v/>
      </c>
      <c r="F11" s="12">
        <f>IF(BANK_RAW!A11="","",IFERROR(ABS(BANK_RAW!E11),0))</f>
        <v/>
      </c>
      <c r="G11" s="12">
        <f>IF(BANK_RAW!A11="","",IFERROR(BANK_RAW!F11,0))</f>
        <v/>
      </c>
      <c r="H11" s="11">
        <f>IF(BANK_RAW!A11="","",IF(E11&gt;0,"CR",IF(F11&gt;0,"DR","CR")))</f>
        <v/>
      </c>
      <c r="I11" s="12">
        <f>IF(BANK_RAW!A11="","",E11-F11)</f>
        <v/>
      </c>
      <c r="J11" s="12">
        <f>IF(BANK_RAW!A11="","",ABS(I11))</f>
        <v/>
      </c>
      <c r="K11" s="11">
        <f>IF(BANK_RAW!A11="","",IF(H11="CR","IN","OUT"))</f>
        <v/>
      </c>
      <c r="L11" s="11" t="inlineStr"/>
      <c r="M11" s="11" t="inlineStr"/>
    </row>
    <row r="12">
      <c r="A12" s="13">
        <f>IF(BANK_RAW!A12="","",ROW()-1)</f>
        <v/>
      </c>
      <c r="B12" s="10">
        <f>IF(BANK_RAW!A12="","",IF(ISNUMBER(BANK_RAW!A12),BANK_RAW!A12,DATEVALUE(TEXT(BANK_RAW!A12,"YYYY-MM-DD"))))</f>
        <v/>
      </c>
      <c r="C12" s="11">
        <f>IF(BANK_RAW!A12="","",TRIM(BANK_RAW!B12))</f>
        <v/>
      </c>
      <c r="D12" s="11">
        <f>IF(BANK_RAW!A12="","",TRIM(BANK_RAW!C12))</f>
        <v/>
      </c>
      <c r="E12" s="12">
        <f>IF(BANK_RAW!A12="","",IFERROR(ABS(BANK_RAW!D12),0))</f>
        <v/>
      </c>
      <c r="F12" s="12">
        <f>IF(BANK_RAW!A12="","",IFERROR(ABS(BANK_RAW!E12),0))</f>
        <v/>
      </c>
      <c r="G12" s="12">
        <f>IF(BANK_RAW!A12="","",IFERROR(BANK_RAW!F12,0))</f>
        <v/>
      </c>
      <c r="H12" s="11">
        <f>IF(BANK_RAW!A12="","",IF(E12&gt;0,"CR",IF(F12&gt;0,"DR","CR")))</f>
        <v/>
      </c>
      <c r="I12" s="12">
        <f>IF(BANK_RAW!A12="","",E12-F12)</f>
        <v/>
      </c>
      <c r="J12" s="12">
        <f>IF(BANK_RAW!A12="","",ABS(I12))</f>
        <v/>
      </c>
      <c r="K12" s="11">
        <f>IF(BANK_RAW!A12="","",IF(H12="CR","IN","OUT"))</f>
        <v/>
      </c>
      <c r="L12" s="11" t="inlineStr"/>
      <c r="M12" s="11" t="inlineStr"/>
    </row>
    <row r="13">
      <c r="A13" s="13">
        <f>IF(BANK_RAW!A13="","",ROW()-1)</f>
        <v/>
      </c>
      <c r="B13" s="10">
        <f>IF(BANK_RAW!A13="","",IF(ISNUMBER(BANK_RAW!A13),BANK_RAW!A13,DATEVALUE(TEXT(BANK_RAW!A13,"YYYY-MM-DD"))))</f>
        <v/>
      </c>
      <c r="C13" s="11">
        <f>IF(BANK_RAW!A13="","",TRIM(BANK_RAW!B13))</f>
        <v/>
      </c>
      <c r="D13" s="11">
        <f>IF(BANK_RAW!A13="","",TRIM(BANK_RAW!C13))</f>
        <v/>
      </c>
      <c r="E13" s="12">
        <f>IF(BANK_RAW!A13="","",IFERROR(ABS(BANK_RAW!D13),0))</f>
        <v/>
      </c>
      <c r="F13" s="12">
        <f>IF(BANK_RAW!A13="","",IFERROR(ABS(BANK_RAW!E13),0))</f>
        <v/>
      </c>
      <c r="G13" s="12">
        <f>IF(BANK_RAW!A13="","",IFERROR(BANK_RAW!F13,0))</f>
        <v/>
      </c>
      <c r="H13" s="11">
        <f>IF(BANK_RAW!A13="","",IF(E13&gt;0,"CR",IF(F13&gt;0,"DR","CR")))</f>
        <v/>
      </c>
      <c r="I13" s="12">
        <f>IF(BANK_RAW!A13="","",E13-F13)</f>
        <v/>
      </c>
      <c r="J13" s="12">
        <f>IF(BANK_RAW!A13="","",ABS(I13))</f>
        <v/>
      </c>
      <c r="K13" s="11">
        <f>IF(BANK_RAW!A13="","",IF(H13="CR","IN","OUT"))</f>
        <v/>
      </c>
      <c r="L13" s="11" t="inlineStr"/>
      <c r="M13" s="11" t="inlineStr"/>
    </row>
    <row r="14">
      <c r="A14" s="13">
        <f>IF(BANK_RAW!A14="","",ROW()-1)</f>
        <v/>
      </c>
      <c r="B14" s="10">
        <f>IF(BANK_RAW!A14="","",IF(ISNUMBER(BANK_RAW!A14),BANK_RAW!A14,DATEVALUE(TEXT(BANK_RAW!A14,"YYYY-MM-DD"))))</f>
        <v/>
      </c>
      <c r="C14" s="11">
        <f>IF(BANK_RAW!A14="","",TRIM(BANK_RAW!B14))</f>
        <v/>
      </c>
      <c r="D14" s="11">
        <f>IF(BANK_RAW!A14="","",TRIM(BANK_RAW!C14))</f>
        <v/>
      </c>
      <c r="E14" s="12">
        <f>IF(BANK_RAW!A14="","",IFERROR(ABS(BANK_RAW!D14),0))</f>
        <v/>
      </c>
      <c r="F14" s="12">
        <f>IF(BANK_RAW!A14="","",IFERROR(ABS(BANK_RAW!E14),0))</f>
        <v/>
      </c>
      <c r="G14" s="12">
        <f>IF(BANK_RAW!A14="","",IFERROR(BANK_RAW!F14,0))</f>
        <v/>
      </c>
      <c r="H14" s="11">
        <f>IF(BANK_RAW!A14="","",IF(E14&gt;0,"CR",IF(F14&gt;0,"DR","CR")))</f>
        <v/>
      </c>
      <c r="I14" s="12">
        <f>IF(BANK_RAW!A14="","",E14-F14)</f>
        <v/>
      </c>
      <c r="J14" s="12">
        <f>IF(BANK_RAW!A14="","",ABS(I14))</f>
        <v/>
      </c>
      <c r="K14" s="11">
        <f>IF(BANK_RAW!A14="","",IF(H14="CR","IN","OUT"))</f>
        <v/>
      </c>
      <c r="L14" s="11" t="inlineStr"/>
      <c r="M14" s="11" t="inlineStr"/>
    </row>
    <row r="15">
      <c r="A15" s="13">
        <f>IF(BANK_RAW!A15="","",ROW()-1)</f>
        <v/>
      </c>
      <c r="B15" s="10">
        <f>IF(BANK_RAW!A15="","",IF(ISNUMBER(BANK_RAW!A15),BANK_RAW!A15,DATEVALUE(TEXT(BANK_RAW!A15,"YYYY-MM-DD"))))</f>
        <v/>
      </c>
      <c r="C15" s="11">
        <f>IF(BANK_RAW!A15="","",TRIM(BANK_RAW!B15))</f>
        <v/>
      </c>
      <c r="D15" s="11">
        <f>IF(BANK_RAW!A15="","",TRIM(BANK_RAW!C15))</f>
        <v/>
      </c>
      <c r="E15" s="12">
        <f>IF(BANK_RAW!A15="","",IFERROR(ABS(BANK_RAW!D15),0))</f>
        <v/>
      </c>
      <c r="F15" s="12">
        <f>IF(BANK_RAW!A15="","",IFERROR(ABS(BANK_RAW!E15),0))</f>
        <v/>
      </c>
      <c r="G15" s="12">
        <f>IF(BANK_RAW!A15="","",IFERROR(BANK_RAW!F15,0))</f>
        <v/>
      </c>
      <c r="H15" s="11">
        <f>IF(BANK_RAW!A15="","",IF(E15&gt;0,"CR",IF(F15&gt;0,"DR","CR")))</f>
        <v/>
      </c>
      <c r="I15" s="12">
        <f>IF(BANK_RAW!A15="","",E15-F15)</f>
        <v/>
      </c>
      <c r="J15" s="12">
        <f>IF(BANK_RAW!A15="","",ABS(I15))</f>
        <v/>
      </c>
      <c r="K15" s="11">
        <f>IF(BANK_RAW!A15="","",IF(H15="CR","IN","OUT"))</f>
        <v/>
      </c>
      <c r="L15" s="11" t="inlineStr"/>
      <c r="M15" s="11" t="inlineStr"/>
    </row>
    <row r="16">
      <c r="A16" s="13">
        <f>IF(BANK_RAW!A16="","",ROW()-1)</f>
        <v/>
      </c>
      <c r="B16" s="10">
        <f>IF(BANK_RAW!A16="","",IF(ISNUMBER(BANK_RAW!A16),BANK_RAW!A16,DATEVALUE(TEXT(BANK_RAW!A16,"YYYY-MM-DD"))))</f>
        <v/>
      </c>
      <c r="C16" s="11">
        <f>IF(BANK_RAW!A16="","",TRIM(BANK_RAW!B16))</f>
        <v/>
      </c>
      <c r="D16" s="11">
        <f>IF(BANK_RAW!A16="","",TRIM(BANK_RAW!C16))</f>
        <v/>
      </c>
      <c r="E16" s="12">
        <f>IF(BANK_RAW!A16="","",IFERROR(ABS(BANK_RAW!D16),0))</f>
        <v/>
      </c>
      <c r="F16" s="12">
        <f>IF(BANK_RAW!A16="","",IFERROR(ABS(BANK_RAW!E16),0))</f>
        <v/>
      </c>
      <c r="G16" s="12">
        <f>IF(BANK_RAW!A16="","",IFERROR(BANK_RAW!F16,0))</f>
        <v/>
      </c>
      <c r="H16" s="11">
        <f>IF(BANK_RAW!A16="","",IF(E16&gt;0,"CR",IF(F16&gt;0,"DR","CR")))</f>
        <v/>
      </c>
      <c r="I16" s="12">
        <f>IF(BANK_RAW!A16="","",E16-F16)</f>
        <v/>
      </c>
      <c r="J16" s="12">
        <f>IF(BANK_RAW!A16="","",ABS(I16))</f>
        <v/>
      </c>
      <c r="K16" s="11">
        <f>IF(BANK_RAW!A16="","",IF(H16="CR","IN","OUT"))</f>
        <v/>
      </c>
      <c r="L16" s="11" t="inlineStr"/>
      <c r="M16" s="11" t="inlineStr"/>
    </row>
    <row r="17">
      <c r="A17" s="13">
        <f>IF(BANK_RAW!A17="","",ROW()-1)</f>
        <v/>
      </c>
      <c r="B17" s="10">
        <f>IF(BANK_RAW!A17="","",IF(ISNUMBER(BANK_RAW!A17),BANK_RAW!A17,DATEVALUE(TEXT(BANK_RAW!A17,"YYYY-MM-DD"))))</f>
        <v/>
      </c>
      <c r="C17" s="11">
        <f>IF(BANK_RAW!A17="","",TRIM(BANK_RAW!B17))</f>
        <v/>
      </c>
      <c r="D17" s="11">
        <f>IF(BANK_RAW!A17="","",TRIM(BANK_RAW!C17))</f>
        <v/>
      </c>
      <c r="E17" s="12">
        <f>IF(BANK_RAW!A17="","",IFERROR(ABS(BANK_RAW!D17),0))</f>
        <v/>
      </c>
      <c r="F17" s="12">
        <f>IF(BANK_RAW!A17="","",IFERROR(ABS(BANK_RAW!E17),0))</f>
        <v/>
      </c>
      <c r="G17" s="12">
        <f>IF(BANK_RAW!A17="","",IFERROR(BANK_RAW!F17,0))</f>
        <v/>
      </c>
      <c r="H17" s="11">
        <f>IF(BANK_RAW!A17="","",IF(E17&gt;0,"CR",IF(F17&gt;0,"DR","CR")))</f>
        <v/>
      </c>
      <c r="I17" s="12">
        <f>IF(BANK_RAW!A17="","",E17-F17)</f>
        <v/>
      </c>
      <c r="J17" s="12">
        <f>IF(BANK_RAW!A17="","",ABS(I17))</f>
        <v/>
      </c>
      <c r="K17" s="11">
        <f>IF(BANK_RAW!A17="","",IF(H17="CR","IN","OUT"))</f>
        <v/>
      </c>
      <c r="L17" s="11" t="inlineStr"/>
      <c r="M17" s="11" t="inlineStr"/>
    </row>
    <row r="18">
      <c r="A18" s="13">
        <f>IF(BANK_RAW!A18="","",ROW()-1)</f>
        <v/>
      </c>
      <c r="B18" s="10">
        <f>IF(BANK_RAW!A18="","",IF(ISNUMBER(BANK_RAW!A18),BANK_RAW!A18,DATEVALUE(TEXT(BANK_RAW!A18,"YYYY-MM-DD"))))</f>
        <v/>
      </c>
      <c r="C18" s="11">
        <f>IF(BANK_RAW!A18="","",TRIM(BANK_RAW!B18))</f>
        <v/>
      </c>
      <c r="D18" s="11">
        <f>IF(BANK_RAW!A18="","",TRIM(BANK_RAW!C18))</f>
        <v/>
      </c>
      <c r="E18" s="12">
        <f>IF(BANK_RAW!A18="","",IFERROR(ABS(BANK_RAW!D18),0))</f>
        <v/>
      </c>
      <c r="F18" s="12">
        <f>IF(BANK_RAW!A18="","",IFERROR(ABS(BANK_RAW!E18),0))</f>
        <v/>
      </c>
      <c r="G18" s="12">
        <f>IF(BANK_RAW!A18="","",IFERROR(BANK_RAW!F18,0))</f>
        <v/>
      </c>
      <c r="H18" s="11">
        <f>IF(BANK_RAW!A18="","",IF(E18&gt;0,"CR",IF(F18&gt;0,"DR","CR")))</f>
        <v/>
      </c>
      <c r="I18" s="12">
        <f>IF(BANK_RAW!A18="","",E18-F18)</f>
        <v/>
      </c>
      <c r="J18" s="12">
        <f>IF(BANK_RAW!A18="","",ABS(I18))</f>
        <v/>
      </c>
      <c r="K18" s="11">
        <f>IF(BANK_RAW!A18="","",IF(H18="CR","IN","OUT"))</f>
        <v/>
      </c>
      <c r="L18" s="11" t="inlineStr"/>
      <c r="M18" s="11" t="inlineStr"/>
    </row>
    <row r="19">
      <c r="A19" s="13">
        <f>IF(BANK_RAW!A19="","",ROW()-1)</f>
        <v/>
      </c>
      <c r="B19" s="10">
        <f>IF(BANK_RAW!A19="","",IF(ISNUMBER(BANK_RAW!A19),BANK_RAW!A19,DATEVALUE(TEXT(BANK_RAW!A19,"YYYY-MM-DD"))))</f>
        <v/>
      </c>
      <c r="C19" s="11">
        <f>IF(BANK_RAW!A19="","",TRIM(BANK_RAW!B19))</f>
        <v/>
      </c>
      <c r="D19" s="11">
        <f>IF(BANK_RAW!A19="","",TRIM(BANK_RAW!C19))</f>
        <v/>
      </c>
      <c r="E19" s="12">
        <f>IF(BANK_RAW!A19="","",IFERROR(ABS(BANK_RAW!D19),0))</f>
        <v/>
      </c>
      <c r="F19" s="12">
        <f>IF(BANK_RAW!A19="","",IFERROR(ABS(BANK_RAW!E19),0))</f>
        <v/>
      </c>
      <c r="G19" s="12">
        <f>IF(BANK_RAW!A19="","",IFERROR(BANK_RAW!F19,0))</f>
        <v/>
      </c>
      <c r="H19" s="11">
        <f>IF(BANK_RAW!A19="","",IF(E19&gt;0,"CR",IF(F19&gt;0,"DR","CR")))</f>
        <v/>
      </c>
      <c r="I19" s="12">
        <f>IF(BANK_RAW!A19="","",E19-F19)</f>
        <v/>
      </c>
      <c r="J19" s="12">
        <f>IF(BANK_RAW!A19="","",ABS(I19))</f>
        <v/>
      </c>
      <c r="K19" s="11">
        <f>IF(BANK_RAW!A19="","",IF(H19="CR","IN","OUT"))</f>
        <v/>
      </c>
      <c r="L19" s="11" t="inlineStr"/>
      <c r="M19" s="11" t="inlineStr"/>
    </row>
    <row r="20">
      <c r="A20" s="13">
        <f>IF(BANK_RAW!A20="","",ROW()-1)</f>
        <v/>
      </c>
      <c r="B20" s="10">
        <f>IF(BANK_RAW!A20="","",IF(ISNUMBER(BANK_RAW!A20),BANK_RAW!A20,DATEVALUE(TEXT(BANK_RAW!A20,"YYYY-MM-DD"))))</f>
        <v/>
      </c>
      <c r="C20" s="11">
        <f>IF(BANK_RAW!A20="","",TRIM(BANK_RAW!B20))</f>
        <v/>
      </c>
      <c r="D20" s="11">
        <f>IF(BANK_RAW!A20="","",TRIM(BANK_RAW!C20))</f>
        <v/>
      </c>
      <c r="E20" s="12">
        <f>IF(BANK_RAW!A20="","",IFERROR(ABS(BANK_RAW!D20),0))</f>
        <v/>
      </c>
      <c r="F20" s="12">
        <f>IF(BANK_RAW!A20="","",IFERROR(ABS(BANK_RAW!E20),0))</f>
        <v/>
      </c>
      <c r="G20" s="12">
        <f>IF(BANK_RAW!A20="","",IFERROR(BANK_RAW!F20,0))</f>
        <v/>
      </c>
      <c r="H20" s="11">
        <f>IF(BANK_RAW!A20="","",IF(E20&gt;0,"CR",IF(F20&gt;0,"DR","CR")))</f>
        <v/>
      </c>
      <c r="I20" s="12">
        <f>IF(BANK_RAW!A20="","",E20-F20)</f>
        <v/>
      </c>
      <c r="J20" s="12">
        <f>IF(BANK_RAW!A20="","",ABS(I20))</f>
        <v/>
      </c>
      <c r="K20" s="11">
        <f>IF(BANK_RAW!A20="","",IF(H20="CR","IN","OUT"))</f>
        <v/>
      </c>
      <c r="L20" s="11" t="inlineStr"/>
      <c r="M20" s="11" t="inlineStr"/>
    </row>
    <row r="21">
      <c r="A21" s="13">
        <f>IF(BANK_RAW!A21="","",ROW()-1)</f>
        <v/>
      </c>
      <c r="B21" s="10">
        <f>IF(BANK_RAW!A21="","",IF(ISNUMBER(BANK_RAW!A21),BANK_RAW!A21,DATEVALUE(TEXT(BANK_RAW!A21,"YYYY-MM-DD"))))</f>
        <v/>
      </c>
      <c r="C21" s="11">
        <f>IF(BANK_RAW!A21="","",TRIM(BANK_RAW!B21))</f>
        <v/>
      </c>
      <c r="D21" s="11">
        <f>IF(BANK_RAW!A21="","",TRIM(BANK_RAW!C21))</f>
        <v/>
      </c>
      <c r="E21" s="12">
        <f>IF(BANK_RAW!A21="","",IFERROR(ABS(BANK_RAW!D21),0))</f>
        <v/>
      </c>
      <c r="F21" s="12">
        <f>IF(BANK_RAW!A21="","",IFERROR(ABS(BANK_RAW!E21),0))</f>
        <v/>
      </c>
      <c r="G21" s="12">
        <f>IF(BANK_RAW!A21="","",IFERROR(BANK_RAW!F21,0))</f>
        <v/>
      </c>
      <c r="H21" s="11">
        <f>IF(BANK_RAW!A21="","",IF(E21&gt;0,"CR",IF(F21&gt;0,"DR","CR")))</f>
        <v/>
      </c>
      <c r="I21" s="12">
        <f>IF(BANK_RAW!A21="","",E21-F21)</f>
        <v/>
      </c>
      <c r="J21" s="12">
        <f>IF(BANK_RAW!A21="","",ABS(I21))</f>
        <v/>
      </c>
      <c r="K21" s="11">
        <f>IF(BANK_RAW!A21="","",IF(H21="CR","IN","OUT"))</f>
        <v/>
      </c>
      <c r="L21" s="11" t="inlineStr"/>
      <c r="M21" s="11" t="inlineStr"/>
    </row>
    <row r="22">
      <c r="A22" s="13">
        <f>IF(BANK_RAW!A22="","",ROW()-1)</f>
        <v/>
      </c>
      <c r="B22" s="10">
        <f>IF(BANK_RAW!A22="","",IF(ISNUMBER(BANK_RAW!A22),BANK_RAW!A22,DATEVALUE(TEXT(BANK_RAW!A22,"YYYY-MM-DD"))))</f>
        <v/>
      </c>
      <c r="C22" s="11">
        <f>IF(BANK_RAW!A22="","",TRIM(BANK_RAW!B22))</f>
        <v/>
      </c>
      <c r="D22" s="11">
        <f>IF(BANK_RAW!A22="","",TRIM(BANK_RAW!C22))</f>
        <v/>
      </c>
      <c r="E22" s="12">
        <f>IF(BANK_RAW!A22="","",IFERROR(ABS(BANK_RAW!D22),0))</f>
        <v/>
      </c>
      <c r="F22" s="12">
        <f>IF(BANK_RAW!A22="","",IFERROR(ABS(BANK_RAW!E22),0))</f>
        <v/>
      </c>
      <c r="G22" s="12">
        <f>IF(BANK_RAW!A22="","",IFERROR(BANK_RAW!F22,0))</f>
        <v/>
      </c>
      <c r="H22" s="11">
        <f>IF(BANK_RAW!A22="","",IF(E22&gt;0,"CR",IF(F22&gt;0,"DR","CR")))</f>
        <v/>
      </c>
      <c r="I22" s="12">
        <f>IF(BANK_RAW!A22="","",E22-F22)</f>
        <v/>
      </c>
      <c r="J22" s="12">
        <f>IF(BANK_RAW!A22="","",ABS(I22))</f>
        <v/>
      </c>
      <c r="K22" s="11">
        <f>IF(BANK_RAW!A22="","",IF(H22="CR","IN","OUT"))</f>
        <v/>
      </c>
      <c r="L22" s="11" t="inlineStr"/>
      <c r="M22" s="11" t="inlineStr"/>
    </row>
    <row r="23">
      <c r="A23" s="13">
        <f>IF(BANK_RAW!A23="","",ROW()-1)</f>
        <v/>
      </c>
      <c r="B23" s="10">
        <f>IF(BANK_RAW!A23="","",IF(ISNUMBER(BANK_RAW!A23),BANK_RAW!A23,DATEVALUE(TEXT(BANK_RAW!A23,"YYYY-MM-DD"))))</f>
        <v/>
      </c>
      <c r="C23" s="11">
        <f>IF(BANK_RAW!A23="","",TRIM(BANK_RAW!B23))</f>
        <v/>
      </c>
      <c r="D23" s="11">
        <f>IF(BANK_RAW!A23="","",TRIM(BANK_RAW!C23))</f>
        <v/>
      </c>
      <c r="E23" s="12">
        <f>IF(BANK_RAW!A23="","",IFERROR(ABS(BANK_RAW!D23),0))</f>
        <v/>
      </c>
      <c r="F23" s="12">
        <f>IF(BANK_RAW!A23="","",IFERROR(ABS(BANK_RAW!E23),0))</f>
        <v/>
      </c>
      <c r="G23" s="12">
        <f>IF(BANK_RAW!A23="","",IFERROR(BANK_RAW!F23,0))</f>
        <v/>
      </c>
      <c r="H23" s="11">
        <f>IF(BANK_RAW!A23="","",IF(E23&gt;0,"CR",IF(F23&gt;0,"DR","CR")))</f>
        <v/>
      </c>
      <c r="I23" s="12">
        <f>IF(BANK_RAW!A23="","",E23-F23)</f>
        <v/>
      </c>
      <c r="J23" s="12">
        <f>IF(BANK_RAW!A23="","",ABS(I23))</f>
        <v/>
      </c>
      <c r="K23" s="11">
        <f>IF(BANK_RAW!A23="","",IF(H23="CR","IN","OUT"))</f>
        <v/>
      </c>
      <c r="L23" s="11" t="inlineStr"/>
      <c r="M23" s="11" t="inlineStr"/>
    </row>
    <row r="24">
      <c r="A24" s="13">
        <f>IF(BANK_RAW!A24="","",ROW()-1)</f>
        <v/>
      </c>
      <c r="B24" s="10">
        <f>IF(BANK_RAW!A24="","",IF(ISNUMBER(BANK_RAW!A24),BANK_RAW!A24,DATEVALUE(TEXT(BANK_RAW!A24,"YYYY-MM-DD"))))</f>
        <v/>
      </c>
      <c r="C24" s="11">
        <f>IF(BANK_RAW!A24="","",TRIM(BANK_RAW!B24))</f>
        <v/>
      </c>
      <c r="D24" s="11">
        <f>IF(BANK_RAW!A24="","",TRIM(BANK_RAW!C24))</f>
        <v/>
      </c>
      <c r="E24" s="12">
        <f>IF(BANK_RAW!A24="","",IFERROR(ABS(BANK_RAW!D24),0))</f>
        <v/>
      </c>
      <c r="F24" s="12">
        <f>IF(BANK_RAW!A24="","",IFERROR(ABS(BANK_RAW!E24),0))</f>
        <v/>
      </c>
      <c r="G24" s="12">
        <f>IF(BANK_RAW!A24="","",IFERROR(BANK_RAW!F24,0))</f>
        <v/>
      </c>
      <c r="H24" s="11">
        <f>IF(BANK_RAW!A24="","",IF(E24&gt;0,"CR",IF(F24&gt;0,"DR","CR")))</f>
        <v/>
      </c>
      <c r="I24" s="12">
        <f>IF(BANK_RAW!A24="","",E24-F24)</f>
        <v/>
      </c>
      <c r="J24" s="12">
        <f>IF(BANK_RAW!A24="","",ABS(I24))</f>
        <v/>
      </c>
      <c r="K24" s="11">
        <f>IF(BANK_RAW!A24="","",IF(H24="CR","IN","OUT"))</f>
        <v/>
      </c>
      <c r="L24" s="11" t="inlineStr"/>
      <c r="M24" s="11" t="inlineStr"/>
    </row>
    <row r="25">
      <c r="A25" s="13">
        <f>IF(BANK_RAW!A25="","",ROW()-1)</f>
        <v/>
      </c>
      <c r="B25" s="10">
        <f>IF(BANK_RAW!A25="","",IF(ISNUMBER(BANK_RAW!A25),BANK_RAW!A25,DATEVALUE(TEXT(BANK_RAW!A25,"YYYY-MM-DD"))))</f>
        <v/>
      </c>
      <c r="C25" s="11">
        <f>IF(BANK_RAW!A25="","",TRIM(BANK_RAW!B25))</f>
        <v/>
      </c>
      <c r="D25" s="11">
        <f>IF(BANK_RAW!A25="","",TRIM(BANK_RAW!C25))</f>
        <v/>
      </c>
      <c r="E25" s="12">
        <f>IF(BANK_RAW!A25="","",IFERROR(ABS(BANK_RAW!D25),0))</f>
        <v/>
      </c>
      <c r="F25" s="12">
        <f>IF(BANK_RAW!A25="","",IFERROR(ABS(BANK_RAW!E25),0))</f>
        <v/>
      </c>
      <c r="G25" s="12">
        <f>IF(BANK_RAW!A25="","",IFERROR(BANK_RAW!F25,0))</f>
        <v/>
      </c>
      <c r="H25" s="11">
        <f>IF(BANK_RAW!A25="","",IF(E25&gt;0,"CR",IF(F25&gt;0,"DR","CR")))</f>
        <v/>
      </c>
      <c r="I25" s="12">
        <f>IF(BANK_RAW!A25="","",E25-F25)</f>
        <v/>
      </c>
      <c r="J25" s="12">
        <f>IF(BANK_RAW!A25="","",ABS(I25))</f>
        <v/>
      </c>
      <c r="K25" s="11">
        <f>IF(BANK_RAW!A25="","",IF(H25="CR","IN","OUT"))</f>
        <v/>
      </c>
      <c r="L25" s="11" t="inlineStr"/>
      <c r="M25" s="11" t="inlineStr"/>
    </row>
    <row r="26">
      <c r="A26" s="13">
        <f>IF(BANK_RAW!A26="","",ROW()-1)</f>
        <v/>
      </c>
      <c r="B26" s="10">
        <f>IF(BANK_RAW!A26="","",IF(ISNUMBER(BANK_RAW!A26),BANK_RAW!A26,DATEVALUE(TEXT(BANK_RAW!A26,"YYYY-MM-DD"))))</f>
        <v/>
      </c>
      <c r="C26" s="11">
        <f>IF(BANK_RAW!A26="","",TRIM(BANK_RAW!B26))</f>
        <v/>
      </c>
      <c r="D26" s="11">
        <f>IF(BANK_RAW!A26="","",TRIM(BANK_RAW!C26))</f>
        <v/>
      </c>
      <c r="E26" s="12">
        <f>IF(BANK_RAW!A26="","",IFERROR(ABS(BANK_RAW!D26),0))</f>
        <v/>
      </c>
      <c r="F26" s="12">
        <f>IF(BANK_RAW!A26="","",IFERROR(ABS(BANK_RAW!E26),0))</f>
        <v/>
      </c>
      <c r="G26" s="12">
        <f>IF(BANK_RAW!A26="","",IFERROR(BANK_RAW!F26,0))</f>
        <v/>
      </c>
      <c r="H26" s="11">
        <f>IF(BANK_RAW!A26="","",IF(E26&gt;0,"CR",IF(F26&gt;0,"DR","CR")))</f>
        <v/>
      </c>
      <c r="I26" s="12">
        <f>IF(BANK_RAW!A26="","",E26-F26)</f>
        <v/>
      </c>
      <c r="J26" s="12">
        <f>IF(BANK_RAW!A26="","",ABS(I26))</f>
        <v/>
      </c>
      <c r="K26" s="11">
        <f>IF(BANK_RAW!A26="","",IF(H26="CR","IN","OUT"))</f>
        <v/>
      </c>
      <c r="L26" s="11" t="inlineStr"/>
      <c r="M26" s="11" t="inlineStr"/>
    </row>
    <row r="27">
      <c r="A27" s="13">
        <f>IF(BANK_RAW!A27="","",ROW()-1)</f>
        <v/>
      </c>
      <c r="B27" s="10">
        <f>IF(BANK_RAW!A27="","",IF(ISNUMBER(BANK_RAW!A27),BANK_RAW!A27,DATEVALUE(TEXT(BANK_RAW!A27,"YYYY-MM-DD"))))</f>
        <v/>
      </c>
      <c r="C27" s="11">
        <f>IF(BANK_RAW!A27="","",TRIM(BANK_RAW!B27))</f>
        <v/>
      </c>
      <c r="D27" s="11">
        <f>IF(BANK_RAW!A27="","",TRIM(BANK_RAW!C27))</f>
        <v/>
      </c>
      <c r="E27" s="12">
        <f>IF(BANK_RAW!A27="","",IFERROR(ABS(BANK_RAW!D27),0))</f>
        <v/>
      </c>
      <c r="F27" s="12">
        <f>IF(BANK_RAW!A27="","",IFERROR(ABS(BANK_RAW!E27),0))</f>
        <v/>
      </c>
      <c r="G27" s="12">
        <f>IF(BANK_RAW!A27="","",IFERROR(BANK_RAW!F27,0))</f>
        <v/>
      </c>
      <c r="H27" s="11">
        <f>IF(BANK_RAW!A27="","",IF(E27&gt;0,"CR",IF(F27&gt;0,"DR","CR")))</f>
        <v/>
      </c>
      <c r="I27" s="12">
        <f>IF(BANK_RAW!A27="","",E27-F27)</f>
        <v/>
      </c>
      <c r="J27" s="12">
        <f>IF(BANK_RAW!A27="","",ABS(I27))</f>
        <v/>
      </c>
      <c r="K27" s="11">
        <f>IF(BANK_RAW!A27="","",IF(H27="CR","IN","OUT"))</f>
        <v/>
      </c>
      <c r="L27" s="11" t="inlineStr"/>
      <c r="M27" s="11" t="inlineStr"/>
    </row>
    <row r="28">
      <c r="A28" s="13">
        <f>IF(BANK_RAW!A28="","",ROW()-1)</f>
        <v/>
      </c>
      <c r="B28" s="10">
        <f>IF(BANK_RAW!A28="","",IF(ISNUMBER(BANK_RAW!A28),BANK_RAW!A28,DATEVALUE(TEXT(BANK_RAW!A28,"YYYY-MM-DD"))))</f>
        <v/>
      </c>
      <c r="C28" s="11">
        <f>IF(BANK_RAW!A28="","",TRIM(BANK_RAW!B28))</f>
        <v/>
      </c>
      <c r="D28" s="11">
        <f>IF(BANK_RAW!A28="","",TRIM(BANK_RAW!C28))</f>
        <v/>
      </c>
      <c r="E28" s="12">
        <f>IF(BANK_RAW!A28="","",IFERROR(ABS(BANK_RAW!D28),0))</f>
        <v/>
      </c>
      <c r="F28" s="12">
        <f>IF(BANK_RAW!A28="","",IFERROR(ABS(BANK_RAW!E28),0))</f>
        <v/>
      </c>
      <c r="G28" s="12">
        <f>IF(BANK_RAW!A28="","",IFERROR(BANK_RAW!F28,0))</f>
        <v/>
      </c>
      <c r="H28" s="11">
        <f>IF(BANK_RAW!A28="","",IF(E28&gt;0,"CR",IF(F28&gt;0,"DR","CR")))</f>
        <v/>
      </c>
      <c r="I28" s="12">
        <f>IF(BANK_RAW!A28="","",E28-F28)</f>
        <v/>
      </c>
      <c r="J28" s="12">
        <f>IF(BANK_RAW!A28="","",ABS(I28))</f>
        <v/>
      </c>
      <c r="K28" s="11">
        <f>IF(BANK_RAW!A28="","",IF(H28="CR","IN","OUT"))</f>
        <v/>
      </c>
      <c r="L28" s="11" t="inlineStr"/>
      <c r="M28" s="11" t="inlineStr"/>
    </row>
    <row r="29">
      <c r="A29" s="13">
        <f>IF(BANK_RAW!A29="","",ROW()-1)</f>
        <v/>
      </c>
      <c r="B29" s="10">
        <f>IF(BANK_RAW!A29="","",IF(ISNUMBER(BANK_RAW!A29),BANK_RAW!A29,DATEVALUE(TEXT(BANK_RAW!A29,"YYYY-MM-DD"))))</f>
        <v/>
      </c>
      <c r="C29" s="11">
        <f>IF(BANK_RAW!A29="","",TRIM(BANK_RAW!B29))</f>
        <v/>
      </c>
      <c r="D29" s="11">
        <f>IF(BANK_RAW!A29="","",TRIM(BANK_RAW!C29))</f>
        <v/>
      </c>
      <c r="E29" s="12">
        <f>IF(BANK_RAW!A29="","",IFERROR(ABS(BANK_RAW!D29),0))</f>
        <v/>
      </c>
      <c r="F29" s="12">
        <f>IF(BANK_RAW!A29="","",IFERROR(ABS(BANK_RAW!E29),0))</f>
        <v/>
      </c>
      <c r="G29" s="12">
        <f>IF(BANK_RAW!A29="","",IFERROR(BANK_RAW!F29,0))</f>
        <v/>
      </c>
      <c r="H29" s="11">
        <f>IF(BANK_RAW!A29="","",IF(E29&gt;0,"CR",IF(F29&gt;0,"DR","CR")))</f>
        <v/>
      </c>
      <c r="I29" s="12">
        <f>IF(BANK_RAW!A29="","",E29-F29)</f>
        <v/>
      </c>
      <c r="J29" s="12">
        <f>IF(BANK_RAW!A29="","",ABS(I29))</f>
        <v/>
      </c>
      <c r="K29" s="11">
        <f>IF(BANK_RAW!A29="","",IF(H29="CR","IN","OUT"))</f>
        <v/>
      </c>
      <c r="L29" s="11" t="inlineStr"/>
      <c r="M29" s="11" t="inlineStr"/>
    </row>
    <row r="30">
      <c r="A30" s="13">
        <f>IF(BANK_RAW!A30="","",ROW()-1)</f>
        <v/>
      </c>
      <c r="B30" s="10">
        <f>IF(BANK_RAW!A30="","",IF(ISNUMBER(BANK_RAW!A30),BANK_RAW!A30,DATEVALUE(TEXT(BANK_RAW!A30,"YYYY-MM-DD"))))</f>
        <v/>
      </c>
      <c r="C30" s="11">
        <f>IF(BANK_RAW!A30="","",TRIM(BANK_RAW!B30))</f>
        <v/>
      </c>
      <c r="D30" s="11">
        <f>IF(BANK_RAW!A30="","",TRIM(BANK_RAW!C30))</f>
        <v/>
      </c>
      <c r="E30" s="12">
        <f>IF(BANK_RAW!A30="","",IFERROR(ABS(BANK_RAW!D30),0))</f>
        <v/>
      </c>
      <c r="F30" s="12">
        <f>IF(BANK_RAW!A30="","",IFERROR(ABS(BANK_RAW!E30),0))</f>
        <v/>
      </c>
      <c r="G30" s="12">
        <f>IF(BANK_RAW!A30="","",IFERROR(BANK_RAW!F30,0))</f>
        <v/>
      </c>
      <c r="H30" s="11">
        <f>IF(BANK_RAW!A30="","",IF(E30&gt;0,"CR",IF(F30&gt;0,"DR","CR")))</f>
        <v/>
      </c>
      <c r="I30" s="12">
        <f>IF(BANK_RAW!A30="","",E30-F30)</f>
        <v/>
      </c>
      <c r="J30" s="12">
        <f>IF(BANK_RAW!A30="","",ABS(I30))</f>
        <v/>
      </c>
      <c r="K30" s="11">
        <f>IF(BANK_RAW!A30="","",IF(H30="CR","IN","OUT"))</f>
        <v/>
      </c>
      <c r="L30" s="11" t="inlineStr"/>
      <c r="M30" s="11" t="inlineStr"/>
    </row>
    <row r="31">
      <c r="A31" s="13">
        <f>IF(BANK_RAW!A31="","",ROW()-1)</f>
        <v/>
      </c>
      <c r="B31" s="10">
        <f>IF(BANK_RAW!A31="","",IF(ISNUMBER(BANK_RAW!A31),BANK_RAW!A31,DATEVALUE(TEXT(BANK_RAW!A31,"YYYY-MM-DD"))))</f>
        <v/>
      </c>
      <c r="C31" s="11">
        <f>IF(BANK_RAW!A31="","",TRIM(BANK_RAW!B31))</f>
        <v/>
      </c>
      <c r="D31" s="11">
        <f>IF(BANK_RAW!A31="","",TRIM(BANK_RAW!C31))</f>
        <v/>
      </c>
      <c r="E31" s="12">
        <f>IF(BANK_RAW!A31="","",IFERROR(ABS(BANK_RAW!D31),0))</f>
        <v/>
      </c>
      <c r="F31" s="12">
        <f>IF(BANK_RAW!A31="","",IFERROR(ABS(BANK_RAW!E31),0))</f>
        <v/>
      </c>
      <c r="G31" s="12">
        <f>IF(BANK_RAW!A31="","",IFERROR(BANK_RAW!F31,0))</f>
        <v/>
      </c>
      <c r="H31" s="11">
        <f>IF(BANK_RAW!A31="","",IF(E31&gt;0,"CR",IF(F31&gt;0,"DR","CR")))</f>
        <v/>
      </c>
      <c r="I31" s="12">
        <f>IF(BANK_RAW!A31="","",E31-F31)</f>
        <v/>
      </c>
      <c r="J31" s="12">
        <f>IF(BANK_RAW!A31="","",ABS(I31))</f>
        <v/>
      </c>
      <c r="K31" s="11">
        <f>IF(BANK_RAW!A31="","",IF(H31="CR","IN","OUT"))</f>
        <v/>
      </c>
      <c r="L31" s="11" t="inlineStr"/>
      <c r="M31" s="11" t="inlineStr"/>
    </row>
    <row r="32">
      <c r="A32" s="13">
        <f>IF(BANK_RAW!A32="","",ROW()-1)</f>
        <v/>
      </c>
      <c r="B32" s="10">
        <f>IF(BANK_RAW!A32="","",IF(ISNUMBER(BANK_RAW!A32),BANK_RAW!A32,DATEVALUE(TEXT(BANK_RAW!A32,"YYYY-MM-DD"))))</f>
        <v/>
      </c>
      <c r="C32" s="11">
        <f>IF(BANK_RAW!A32="","",TRIM(BANK_RAW!B32))</f>
        <v/>
      </c>
      <c r="D32" s="11">
        <f>IF(BANK_RAW!A32="","",TRIM(BANK_RAW!C32))</f>
        <v/>
      </c>
      <c r="E32" s="12">
        <f>IF(BANK_RAW!A32="","",IFERROR(ABS(BANK_RAW!D32),0))</f>
        <v/>
      </c>
      <c r="F32" s="12">
        <f>IF(BANK_RAW!A32="","",IFERROR(ABS(BANK_RAW!E32),0))</f>
        <v/>
      </c>
      <c r="G32" s="12">
        <f>IF(BANK_RAW!A32="","",IFERROR(BANK_RAW!F32,0))</f>
        <v/>
      </c>
      <c r="H32" s="11">
        <f>IF(BANK_RAW!A32="","",IF(E32&gt;0,"CR",IF(F32&gt;0,"DR","CR")))</f>
        <v/>
      </c>
      <c r="I32" s="12">
        <f>IF(BANK_RAW!A32="","",E32-F32)</f>
        <v/>
      </c>
      <c r="J32" s="12">
        <f>IF(BANK_RAW!A32="","",ABS(I32))</f>
        <v/>
      </c>
      <c r="K32" s="11">
        <f>IF(BANK_RAW!A32="","",IF(H32="CR","IN","OUT"))</f>
        <v/>
      </c>
      <c r="L32" s="11" t="inlineStr"/>
      <c r="M32" s="11" t="inlineStr"/>
    </row>
    <row r="33">
      <c r="A33" s="13">
        <f>IF(BANK_RAW!A33="","",ROW()-1)</f>
        <v/>
      </c>
      <c r="B33" s="10">
        <f>IF(BANK_RAW!A33="","",IF(ISNUMBER(BANK_RAW!A33),BANK_RAW!A33,DATEVALUE(TEXT(BANK_RAW!A33,"YYYY-MM-DD"))))</f>
        <v/>
      </c>
      <c r="C33" s="11">
        <f>IF(BANK_RAW!A33="","",TRIM(BANK_RAW!B33))</f>
        <v/>
      </c>
      <c r="D33" s="11">
        <f>IF(BANK_RAW!A33="","",TRIM(BANK_RAW!C33))</f>
        <v/>
      </c>
      <c r="E33" s="12">
        <f>IF(BANK_RAW!A33="","",IFERROR(ABS(BANK_RAW!D33),0))</f>
        <v/>
      </c>
      <c r="F33" s="12">
        <f>IF(BANK_RAW!A33="","",IFERROR(ABS(BANK_RAW!E33),0))</f>
        <v/>
      </c>
      <c r="G33" s="12">
        <f>IF(BANK_RAW!A33="","",IFERROR(BANK_RAW!F33,0))</f>
        <v/>
      </c>
      <c r="H33" s="11">
        <f>IF(BANK_RAW!A33="","",IF(E33&gt;0,"CR",IF(F33&gt;0,"DR","CR")))</f>
        <v/>
      </c>
      <c r="I33" s="12">
        <f>IF(BANK_RAW!A33="","",E33-F33)</f>
        <v/>
      </c>
      <c r="J33" s="12">
        <f>IF(BANK_RAW!A33="","",ABS(I33))</f>
        <v/>
      </c>
      <c r="K33" s="11">
        <f>IF(BANK_RAW!A33="","",IF(H33="CR","IN","OUT"))</f>
        <v/>
      </c>
      <c r="L33" s="11" t="inlineStr"/>
      <c r="M33" s="11" t="inlineStr"/>
    </row>
    <row r="34">
      <c r="A34" s="13">
        <f>IF(BANK_RAW!A34="","",ROW()-1)</f>
        <v/>
      </c>
      <c r="B34" s="10">
        <f>IF(BANK_RAW!A34="","",IF(ISNUMBER(BANK_RAW!A34),BANK_RAW!A34,DATEVALUE(TEXT(BANK_RAW!A34,"YYYY-MM-DD"))))</f>
        <v/>
      </c>
      <c r="C34" s="11">
        <f>IF(BANK_RAW!A34="","",TRIM(BANK_RAW!B34))</f>
        <v/>
      </c>
      <c r="D34" s="11">
        <f>IF(BANK_RAW!A34="","",TRIM(BANK_RAW!C34))</f>
        <v/>
      </c>
      <c r="E34" s="12">
        <f>IF(BANK_RAW!A34="","",IFERROR(ABS(BANK_RAW!D34),0))</f>
        <v/>
      </c>
      <c r="F34" s="12">
        <f>IF(BANK_RAW!A34="","",IFERROR(ABS(BANK_RAW!E34),0))</f>
        <v/>
      </c>
      <c r="G34" s="12">
        <f>IF(BANK_RAW!A34="","",IFERROR(BANK_RAW!F34,0))</f>
        <v/>
      </c>
      <c r="H34" s="11">
        <f>IF(BANK_RAW!A34="","",IF(E34&gt;0,"CR",IF(F34&gt;0,"DR","CR")))</f>
        <v/>
      </c>
      <c r="I34" s="12">
        <f>IF(BANK_RAW!A34="","",E34-F34)</f>
        <v/>
      </c>
      <c r="J34" s="12">
        <f>IF(BANK_RAW!A34="","",ABS(I34))</f>
        <v/>
      </c>
      <c r="K34" s="11">
        <f>IF(BANK_RAW!A34="","",IF(H34="CR","IN","OUT"))</f>
        <v/>
      </c>
      <c r="L34" s="11" t="inlineStr"/>
      <c r="M34" s="11" t="inlineStr"/>
    </row>
    <row r="35">
      <c r="A35" s="13">
        <f>IF(BANK_RAW!A35="","",ROW()-1)</f>
        <v/>
      </c>
      <c r="B35" s="10">
        <f>IF(BANK_RAW!A35="","",IF(ISNUMBER(BANK_RAW!A35),BANK_RAW!A35,DATEVALUE(TEXT(BANK_RAW!A35,"YYYY-MM-DD"))))</f>
        <v/>
      </c>
      <c r="C35" s="11">
        <f>IF(BANK_RAW!A35="","",TRIM(BANK_RAW!B35))</f>
        <v/>
      </c>
      <c r="D35" s="11">
        <f>IF(BANK_RAW!A35="","",TRIM(BANK_RAW!C35))</f>
        <v/>
      </c>
      <c r="E35" s="12">
        <f>IF(BANK_RAW!A35="","",IFERROR(ABS(BANK_RAW!D35),0))</f>
        <v/>
      </c>
      <c r="F35" s="12">
        <f>IF(BANK_RAW!A35="","",IFERROR(ABS(BANK_RAW!E35),0))</f>
        <v/>
      </c>
      <c r="G35" s="12">
        <f>IF(BANK_RAW!A35="","",IFERROR(BANK_RAW!F35,0))</f>
        <v/>
      </c>
      <c r="H35" s="11">
        <f>IF(BANK_RAW!A35="","",IF(E35&gt;0,"CR",IF(F35&gt;0,"DR","CR")))</f>
        <v/>
      </c>
      <c r="I35" s="12">
        <f>IF(BANK_RAW!A35="","",E35-F35)</f>
        <v/>
      </c>
      <c r="J35" s="12">
        <f>IF(BANK_RAW!A35="","",ABS(I35))</f>
        <v/>
      </c>
      <c r="K35" s="11">
        <f>IF(BANK_RAW!A35="","",IF(H35="CR","IN","OUT"))</f>
        <v/>
      </c>
      <c r="L35" s="11" t="inlineStr"/>
      <c r="M35" s="11" t="inlineStr"/>
    </row>
    <row r="36">
      <c r="A36" s="13">
        <f>IF(BANK_RAW!A36="","",ROW()-1)</f>
        <v/>
      </c>
      <c r="B36" s="10">
        <f>IF(BANK_RAW!A36="","",IF(ISNUMBER(BANK_RAW!A36),BANK_RAW!A36,DATEVALUE(TEXT(BANK_RAW!A36,"YYYY-MM-DD"))))</f>
        <v/>
      </c>
      <c r="C36" s="11">
        <f>IF(BANK_RAW!A36="","",TRIM(BANK_RAW!B36))</f>
        <v/>
      </c>
      <c r="D36" s="11">
        <f>IF(BANK_RAW!A36="","",TRIM(BANK_RAW!C36))</f>
        <v/>
      </c>
      <c r="E36" s="12">
        <f>IF(BANK_RAW!A36="","",IFERROR(ABS(BANK_RAW!D36),0))</f>
        <v/>
      </c>
      <c r="F36" s="12">
        <f>IF(BANK_RAW!A36="","",IFERROR(ABS(BANK_RAW!E36),0))</f>
        <v/>
      </c>
      <c r="G36" s="12">
        <f>IF(BANK_RAW!A36="","",IFERROR(BANK_RAW!F36,0))</f>
        <v/>
      </c>
      <c r="H36" s="11">
        <f>IF(BANK_RAW!A36="","",IF(E36&gt;0,"CR",IF(F36&gt;0,"DR","CR")))</f>
        <v/>
      </c>
      <c r="I36" s="12">
        <f>IF(BANK_RAW!A36="","",E36-F36)</f>
        <v/>
      </c>
      <c r="J36" s="12">
        <f>IF(BANK_RAW!A36="","",ABS(I36))</f>
        <v/>
      </c>
      <c r="K36" s="11">
        <f>IF(BANK_RAW!A36="","",IF(H36="CR","IN","OUT"))</f>
        <v/>
      </c>
      <c r="L36" s="11" t="inlineStr"/>
      <c r="M36" s="11" t="inlineStr"/>
    </row>
    <row r="37">
      <c r="A37" s="13">
        <f>IF(BANK_RAW!A37="","",ROW()-1)</f>
        <v/>
      </c>
      <c r="B37" s="10">
        <f>IF(BANK_RAW!A37="","",IF(ISNUMBER(BANK_RAW!A37),BANK_RAW!A37,DATEVALUE(TEXT(BANK_RAW!A37,"YYYY-MM-DD"))))</f>
        <v/>
      </c>
      <c r="C37" s="11">
        <f>IF(BANK_RAW!A37="","",TRIM(BANK_RAW!B37))</f>
        <v/>
      </c>
      <c r="D37" s="11">
        <f>IF(BANK_RAW!A37="","",TRIM(BANK_RAW!C37))</f>
        <v/>
      </c>
      <c r="E37" s="12">
        <f>IF(BANK_RAW!A37="","",IFERROR(ABS(BANK_RAW!D37),0))</f>
        <v/>
      </c>
      <c r="F37" s="12">
        <f>IF(BANK_RAW!A37="","",IFERROR(ABS(BANK_RAW!E37),0))</f>
        <v/>
      </c>
      <c r="G37" s="12">
        <f>IF(BANK_RAW!A37="","",IFERROR(BANK_RAW!F37,0))</f>
        <v/>
      </c>
      <c r="H37" s="11">
        <f>IF(BANK_RAW!A37="","",IF(E37&gt;0,"CR",IF(F37&gt;0,"DR","CR")))</f>
        <v/>
      </c>
      <c r="I37" s="12">
        <f>IF(BANK_RAW!A37="","",E37-F37)</f>
        <v/>
      </c>
      <c r="J37" s="12">
        <f>IF(BANK_RAW!A37="","",ABS(I37))</f>
        <v/>
      </c>
      <c r="K37" s="11">
        <f>IF(BANK_RAW!A37="","",IF(H37="CR","IN","OUT"))</f>
        <v/>
      </c>
      <c r="L37" s="11" t="inlineStr"/>
      <c r="M37" s="11" t="inlineStr"/>
    </row>
    <row r="38">
      <c r="A38" s="13">
        <f>IF(BANK_RAW!A38="","",ROW()-1)</f>
        <v/>
      </c>
      <c r="B38" s="10">
        <f>IF(BANK_RAW!A38="","",IF(ISNUMBER(BANK_RAW!A38),BANK_RAW!A38,DATEVALUE(TEXT(BANK_RAW!A38,"YYYY-MM-DD"))))</f>
        <v/>
      </c>
      <c r="C38" s="11">
        <f>IF(BANK_RAW!A38="","",TRIM(BANK_RAW!B38))</f>
        <v/>
      </c>
      <c r="D38" s="11">
        <f>IF(BANK_RAW!A38="","",TRIM(BANK_RAW!C38))</f>
        <v/>
      </c>
      <c r="E38" s="12">
        <f>IF(BANK_RAW!A38="","",IFERROR(ABS(BANK_RAW!D38),0))</f>
        <v/>
      </c>
      <c r="F38" s="12">
        <f>IF(BANK_RAW!A38="","",IFERROR(ABS(BANK_RAW!E38),0))</f>
        <v/>
      </c>
      <c r="G38" s="12">
        <f>IF(BANK_RAW!A38="","",IFERROR(BANK_RAW!F38,0))</f>
        <v/>
      </c>
      <c r="H38" s="11">
        <f>IF(BANK_RAW!A38="","",IF(E38&gt;0,"CR",IF(F38&gt;0,"DR","CR")))</f>
        <v/>
      </c>
      <c r="I38" s="12">
        <f>IF(BANK_RAW!A38="","",E38-F38)</f>
        <v/>
      </c>
      <c r="J38" s="12">
        <f>IF(BANK_RAW!A38="","",ABS(I38))</f>
        <v/>
      </c>
      <c r="K38" s="11">
        <f>IF(BANK_RAW!A38="","",IF(H38="CR","IN","OUT"))</f>
        <v/>
      </c>
      <c r="L38" s="11" t="inlineStr"/>
      <c r="M38" s="11" t="inlineStr"/>
    </row>
    <row r="39">
      <c r="A39" s="13">
        <f>IF(BANK_RAW!A39="","",ROW()-1)</f>
        <v/>
      </c>
      <c r="B39" s="10">
        <f>IF(BANK_RAW!A39="","",IF(ISNUMBER(BANK_RAW!A39),BANK_RAW!A39,DATEVALUE(TEXT(BANK_RAW!A39,"YYYY-MM-DD"))))</f>
        <v/>
      </c>
      <c r="C39" s="11">
        <f>IF(BANK_RAW!A39="","",TRIM(BANK_RAW!B39))</f>
        <v/>
      </c>
      <c r="D39" s="11">
        <f>IF(BANK_RAW!A39="","",TRIM(BANK_RAW!C39))</f>
        <v/>
      </c>
      <c r="E39" s="12">
        <f>IF(BANK_RAW!A39="","",IFERROR(ABS(BANK_RAW!D39),0))</f>
        <v/>
      </c>
      <c r="F39" s="12">
        <f>IF(BANK_RAW!A39="","",IFERROR(ABS(BANK_RAW!E39),0))</f>
        <v/>
      </c>
      <c r="G39" s="12">
        <f>IF(BANK_RAW!A39="","",IFERROR(BANK_RAW!F39,0))</f>
        <v/>
      </c>
      <c r="H39" s="11">
        <f>IF(BANK_RAW!A39="","",IF(E39&gt;0,"CR",IF(F39&gt;0,"DR","CR")))</f>
        <v/>
      </c>
      <c r="I39" s="12">
        <f>IF(BANK_RAW!A39="","",E39-F39)</f>
        <v/>
      </c>
      <c r="J39" s="12">
        <f>IF(BANK_RAW!A39="","",ABS(I39))</f>
        <v/>
      </c>
      <c r="K39" s="11">
        <f>IF(BANK_RAW!A39="","",IF(H39="CR","IN","OUT"))</f>
        <v/>
      </c>
      <c r="L39" s="11" t="inlineStr"/>
      <c r="M39" s="11" t="inlineStr"/>
    </row>
    <row r="40">
      <c r="A40" s="13">
        <f>IF(BANK_RAW!A40="","",ROW()-1)</f>
        <v/>
      </c>
      <c r="B40" s="10">
        <f>IF(BANK_RAW!A40="","",IF(ISNUMBER(BANK_RAW!A40),BANK_RAW!A40,DATEVALUE(TEXT(BANK_RAW!A40,"YYYY-MM-DD"))))</f>
        <v/>
      </c>
      <c r="C40" s="11">
        <f>IF(BANK_RAW!A40="","",TRIM(BANK_RAW!B40))</f>
        <v/>
      </c>
      <c r="D40" s="11">
        <f>IF(BANK_RAW!A40="","",TRIM(BANK_RAW!C40))</f>
        <v/>
      </c>
      <c r="E40" s="12">
        <f>IF(BANK_RAW!A40="","",IFERROR(ABS(BANK_RAW!D40),0))</f>
        <v/>
      </c>
      <c r="F40" s="12">
        <f>IF(BANK_RAW!A40="","",IFERROR(ABS(BANK_RAW!E40),0))</f>
        <v/>
      </c>
      <c r="G40" s="12">
        <f>IF(BANK_RAW!A40="","",IFERROR(BANK_RAW!F40,0))</f>
        <v/>
      </c>
      <c r="H40" s="11">
        <f>IF(BANK_RAW!A40="","",IF(E40&gt;0,"CR",IF(F40&gt;0,"DR","CR")))</f>
        <v/>
      </c>
      <c r="I40" s="12">
        <f>IF(BANK_RAW!A40="","",E40-F40)</f>
        <v/>
      </c>
      <c r="J40" s="12">
        <f>IF(BANK_RAW!A40="","",ABS(I40))</f>
        <v/>
      </c>
      <c r="K40" s="11">
        <f>IF(BANK_RAW!A40="","",IF(H40="CR","IN","OUT"))</f>
        <v/>
      </c>
      <c r="L40" s="11" t="inlineStr"/>
      <c r="M40" s="11" t="inlineStr"/>
    </row>
    <row r="41">
      <c r="A41" s="13">
        <f>IF(BANK_RAW!A41="","",ROW()-1)</f>
        <v/>
      </c>
      <c r="B41" s="10">
        <f>IF(BANK_RAW!A41="","",IF(ISNUMBER(BANK_RAW!A41),BANK_RAW!A41,DATEVALUE(TEXT(BANK_RAW!A41,"YYYY-MM-DD"))))</f>
        <v/>
      </c>
      <c r="C41" s="11">
        <f>IF(BANK_RAW!A41="","",TRIM(BANK_RAW!B41))</f>
        <v/>
      </c>
      <c r="D41" s="11">
        <f>IF(BANK_RAW!A41="","",TRIM(BANK_RAW!C41))</f>
        <v/>
      </c>
      <c r="E41" s="12">
        <f>IF(BANK_RAW!A41="","",IFERROR(ABS(BANK_RAW!D41),0))</f>
        <v/>
      </c>
      <c r="F41" s="12">
        <f>IF(BANK_RAW!A41="","",IFERROR(ABS(BANK_RAW!E41),0))</f>
        <v/>
      </c>
      <c r="G41" s="12">
        <f>IF(BANK_RAW!A41="","",IFERROR(BANK_RAW!F41,0))</f>
        <v/>
      </c>
      <c r="H41" s="11">
        <f>IF(BANK_RAW!A41="","",IF(E41&gt;0,"CR",IF(F41&gt;0,"DR","CR")))</f>
        <v/>
      </c>
      <c r="I41" s="12">
        <f>IF(BANK_RAW!A41="","",E41-F41)</f>
        <v/>
      </c>
      <c r="J41" s="12">
        <f>IF(BANK_RAW!A41="","",ABS(I41))</f>
        <v/>
      </c>
      <c r="K41" s="11">
        <f>IF(BANK_RAW!A41="","",IF(H41="CR","IN","OUT"))</f>
        <v/>
      </c>
      <c r="L41" s="11" t="inlineStr"/>
      <c r="M41" s="11" t="inlineStr"/>
    </row>
    <row r="42">
      <c r="A42" s="13">
        <f>IF(BANK_RAW!A42="","",ROW()-1)</f>
        <v/>
      </c>
      <c r="B42" s="10">
        <f>IF(BANK_RAW!A42="","",IF(ISNUMBER(BANK_RAW!A42),BANK_RAW!A42,DATEVALUE(TEXT(BANK_RAW!A42,"YYYY-MM-DD"))))</f>
        <v/>
      </c>
      <c r="C42" s="11">
        <f>IF(BANK_RAW!A42="","",TRIM(BANK_RAW!B42))</f>
        <v/>
      </c>
      <c r="D42" s="11">
        <f>IF(BANK_RAW!A42="","",TRIM(BANK_RAW!C42))</f>
        <v/>
      </c>
      <c r="E42" s="12">
        <f>IF(BANK_RAW!A42="","",IFERROR(ABS(BANK_RAW!D42),0))</f>
        <v/>
      </c>
      <c r="F42" s="12">
        <f>IF(BANK_RAW!A42="","",IFERROR(ABS(BANK_RAW!E42),0))</f>
        <v/>
      </c>
      <c r="G42" s="12">
        <f>IF(BANK_RAW!A42="","",IFERROR(BANK_RAW!F42,0))</f>
        <v/>
      </c>
      <c r="H42" s="11">
        <f>IF(BANK_RAW!A42="","",IF(E42&gt;0,"CR",IF(F42&gt;0,"DR","CR")))</f>
        <v/>
      </c>
      <c r="I42" s="12">
        <f>IF(BANK_RAW!A42="","",E42-F42)</f>
        <v/>
      </c>
      <c r="J42" s="12">
        <f>IF(BANK_RAW!A42="","",ABS(I42))</f>
        <v/>
      </c>
      <c r="K42" s="11">
        <f>IF(BANK_RAW!A42="","",IF(H42="CR","IN","OUT"))</f>
        <v/>
      </c>
      <c r="L42" s="11" t="inlineStr"/>
      <c r="M42" s="11" t="inlineStr"/>
    </row>
    <row r="43">
      <c r="A43" s="13">
        <f>IF(BANK_RAW!A43="","",ROW()-1)</f>
        <v/>
      </c>
      <c r="B43" s="10">
        <f>IF(BANK_RAW!A43="","",IF(ISNUMBER(BANK_RAW!A43),BANK_RAW!A43,DATEVALUE(TEXT(BANK_RAW!A43,"YYYY-MM-DD"))))</f>
        <v/>
      </c>
      <c r="C43" s="11">
        <f>IF(BANK_RAW!A43="","",TRIM(BANK_RAW!B43))</f>
        <v/>
      </c>
      <c r="D43" s="11">
        <f>IF(BANK_RAW!A43="","",TRIM(BANK_RAW!C43))</f>
        <v/>
      </c>
      <c r="E43" s="12">
        <f>IF(BANK_RAW!A43="","",IFERROR(ABS(BANK_RAW!D43),0))</f>
        <v/>
      </c>
      <c r="F43" s="12">
        <f>IF(BANK_RAW!A43="","",IFERROR(ABS(BANK_RAW!E43),0))</f>
        <v/>
      </c>
      <c r="G43" s="12">
        <f>IF(BANK_RAW!A43="","",IFERROR(BANK_RAW!F43,0))</f>
        <v/>
      </c>
      <c r="H43" s="11">
        <f>IF(BANK_RAW!A43="","",IF(E43&gt;0,"CR",IF(F43&gt;0,"DR","CR")))</f>
        <v/>
      </c>
      <c r="I43" s="12">
        <f>IF(BANK_RAW!A43="","",E43-F43)</f>
        <v/>
      </c>
      <c r="J43" s="12">
        <f>IF(BANK_RAW!A43="","",ABS(I43))</f>
        <v/>
      </c>
      <c r="K43" s="11">
        <f>IF(BANK_RAW!A43="","",IF(H43="CR","IN","OUT"))</f>
        <v/>
      </c>
      <c r="L43" s="11" t="inlineStr"/>
      <c r="M43" s="11" t="inlineStr"/>
    </row>
    <row r="44">
      <c r="A44" s="13">
        <f>IF(BANK_RAW!A44="","",ROW()-1)</f>
        <v/>
      </c>
      <c r="B44" s="10">
        <f>IF(BANK_RAW!A44="","",IF(ISNUMBER(BANK_RAW!A44),BANK_RAW!A44,DATEVALUE(TEXT(BANK_RAW!A44,"YYYY-MM-DD"))))</f>
        <v/>
      </c>
      <c r="C44" s="11">
        <f>IF(BANK_RAW!A44="","",TRIM(BANK_RAW!B44))</f>
        <v/>
      </c>
      <c r="D44" s="11">
        <f>IF(BANK_RAW!A44="","",TRIM(BANK_RAW!C44))</f>
        <v/>
      </c>
      <c r="E44" s="12">
        <f>IF(BANK_RAW!A44="","",IFERROR(ABS(BANK_RAW!D44),0))</f>
        <v/>
      </c>
      <c r="F44" s="12">
        <f>IF(BANK_RAW!A44="","",IFERROR(ABS(BANK_RAW!E44),0))</f>
        <v/>
      </c>
      <c r="G44" s="12">
        <f>IF(BANK_RAW!A44="","",IFERROR(BANK_RAW!F44,0))</f>
        <v/>
      </c>
      <c r="H44" s="11">
        <f>IF(BANK_RAW!A44="","",IF(E44&gt;0,"CR",IF(F44&gt;0,"DR","CR")))</f>
        <v/>
      </c>
      <c r="I44" s="12">
        <f>IF(BANK_RAW!A44="","",E44-F44)</f>
        <v/>
      </c>
      <c r="J44" s="12">
        <f>IF(BANK_RAW!A44="","",ABS(I44))</f>
        <v/>
      </c>
      <c r="K44" s="11">
        <f>IF(BANK_RAW!A44="","",IF(H44="CR","IN","OUT"))</f>
        <v/>
      </c>
      <c r="L44" s="11" t="inlineStr"/>
      <c r="M44" s="11" t="inlineStr"/>
    </row>
    <row r="45">
      <c r="A45" s="13">
        <f>IF(BANK_RAW!A45="","",ROW()-1)</f>
        <v/>
      </c>
      <c r="B45" s="10">
        <f>IF(BANK_RAW!A45="","",IF(ISNUMBER(BANK_RAW!A45),BANK_RAW!A45,DATEVALUE(TEXT(BANK_RAW!A45,"YYYY-MM-DD"))))</f>
        <v/>
      </c>
      <c r="C45" s="11">
        <f>IF(BANK_RAW!A45="","",TRIM(BANK_RAW!B45))</f>
        <v/>
      </c>
      <c r="D45" s="11">
        <f>IF(BANK_RAW!A45="","",TRIM(BANK_RAW!C45))</f>
        <v/>
      </c>
      <c r="E45" s="12">
        <f>IF(BANK_RAW!A45="","",IFERROR(ABS(BANK_RAW!D45),0))</f>
        <v/>
      </c>
      <c r="F45" s="12">
        <f>IF(BANK_RAW!A45="","",IFERROR(ABS(BANK_RAW!E45),0))</f>
        <v/>
      </c>
      <c r="G45" s="12">
        <f>IF(BANK_RAW!A45="","",IFERROR(BANK_RAW!F45,0))</f>
        <v/>
      </c>
      <c r="H45" s="11">
        <f>IF(BANK_RAW!A45="","",IF(E45&gt;0,"CR",IF(F45&gt;0,"DR","CR")))</f>
        <v/>
      </c>
      <c r="I45" s="12">
        <f>IF(BANK_RAW!A45="","",E45-F45)</f>
        <v/>
      </c>
      <c r="J45" s="12">
        <f>IF(BANK_RAW!A45="","",ABS(I45))</f>
        <v/>
      </c>
      <c r="K45" s="11">
        <f>IF(BANK_RAW!A45="","",IF(H45="CR","IN","OUT"))</f>
        <v/>
      </c>
      <c r="L45" s="11" t="inlineStr"/>
      <c r="M45" s="11" t="inlineStr"/>
    </row>
    <row r="46">
      <c r="A46" s="13">
        <f>IF(BANK_RAW!A46="","",ROW()-1)</f>
        <v/>
      </c>
      <c r="B46" s="10">
        <f>IF(BANK_RAW!A46="","",IF(ISNUMBER(BANK_RAW!A46),BANK_RAW!A46,DATEVALUE(TEXT(BANK_RAW!A46,"YYYY-MM-DD"))))</f>
        <v/>
      </c>
      <c r="C46" s="11">
        <f>IF(BANK_RAW!A46="","",TRIM(BANK_RAW!B46))</f>
        <v/>
      </c>
      <c r="D46" s="11">
        <f>IF(BANK_RAW!A46="","",TRIM(BANK_RAW!C46))</f>
        <v/>
      </c>
      <c r="E46" s="12">
        <f>IF(BANK_RAW!A46="","",IFERROR(ABS(BANK_RAW!D46),0))</f>
        <v/>
      </c>
      <c r="F46" s="12">
        <f>IF(BANK_RAW!A46="","",IFERROR(ABS(BANK_RAW!E46),0))</f>
        <v/>
      </c>
      <c r="G46" s="12">
        <f>IF(BANK_RAW!A46="","",IFERROR(BANK_RAW!F46,0))</f>
        <v/>
      </c>
      <c r="H46" s="11">
        <f>IF(BANK_RAW!A46="","",IF(E46&gt;0,"CR",IF(F46&gt;0,"DR","CR")))</f>
        <v/>
      </c>
      <c r="I46" s="12">
        <f>IF(BANK_RAW!A46="","",E46-F46)</f>
        <v/>
      </c>
      <c r="J46" s="12">
        <f>IF(BANK_RAW!A46="","",ABS(I46))</f>
        <v/>
      </c>
      <c r="K46" s="11">
        <f>IF(BANK_RAW!A46="","",IF(H46="CR","IN","OUT"))</f>
        <v/>
      </c>
      <c r="L46" s="11" t="inlineStr"/>
      <c r="M46" s="11" t="inlineStr"/>
    </row>
    <row r="47">
      <c r="A47" s="13">
        <f>IF(BANK_RAW!A47="","",ROW()-1)</f>
        <v/>
      </c>
      <c r="B47" s="10">
        <f>IF(BANK_RAW!A47="","",IF(ISNUMBER(BANK_RAW!A47),BANK_RAW!A47,DATEVALUE(TEXT(BANK_RAW!A47,"YYYY-MM-DD"))))</f>
        <v/>
      </c>
      <c r="C47" s="11">
        <f>IF(BANK_RAW!A47="","",TRIM(BANK_RAW!B47))</f>
        <v/>
      </c>
      <c r="D47" s="11">
        <f>IF(BANK_RAW!A47="","",TRIM(BANK_RAW!C47))</f>
        <v/>
      </c>
      <c r="E47" s="12">
        <f>IF(BANK_RAW!A47="","",IFERROR(ABS(BANK_RAW!D47),0))</f>
        <v/>
      </c>
      <c r="F47" s="12">
        <f>IF(BANK_RAW!A47="","",IFERROR(ABS(BANK_RAW!E47),0))</f>
        <v/>
      </c>
      <c r="G47" s="12">
        <f>IF(BANK_RAW!A47="","",IFERROR(BANK_RAW!F47,0))</f>
        <v/>
      </c>
      <c r="H47" s="11">
        <f>IF(BANK_RAW!A47="","",IF(E47&gt;0,"CR",IF(F47&gt;0,"DR","CR")))</f>
        <v/>
      </c>
      <c r="I47" s="12">
        <f>IF(BANK_RAW!A47="","",E47-F47)</f>
        <v/>
      </c>
      <c r="J47" s="12">
        <f>IF(BANK_RAW!A47="","",ABS(I47))</f>
        <v/>
      </c>
      <c r="K47" s="11">
        <f>IF(BANK_RAW!A47="","",IF(H47="CR","IN","OUT"))</f>
        <v/>
      </c>
      <c r="L47" s="11" t="inlineStr"/>
      <c r="M47" s="11" t="inlineStr"/>
    </row>
    <row r="48">
      <c r="A48" s="13">
        <f>IF(BANK_RAW!A48="","",ROW()-1)</f>
        <v/>
      </c>
      <c r="B48" s="10">
        <f>IF(BANK_RAW!A48="","",IF(ISNUMBER(BANK_RAW!A48),BANK_RAW!A48,DATEVALUE(TEXT(BANK_RAW!A48,"YYYY-MM-DD"))))</f>
        <v/>
      </c>
      <c r="C48" s="11">
        <f>IF(BANK_RAW!A48="","",TRIM(BANK_RAW!B48))</f>
        <v/>
      </c>
      <c r="D48" s="11">
        <f>IF(BANK_RAW!A48="","",TRIM(BANK_RAW!C48))</f>
        <v/>
      </c>
      <c r="E48" s="12">
        <f>IF(BANK_RAW!A48="","",IFERROR(ABS(BANK_RAW!D48),0))</f>
        <v/>
      </c>
      <c r="F48" s="12">
        <f>IF(BANK_RAW!A48="","",IFERROR(ABS(BANK_RAW!E48),0))</f>
        <v/>
      </c>
      <c r="G48" s="12">
        <f>IF(BANK_RAW!A48="","",IFERROR(BANK_RAW!F48,0))</f>
        <v/>
      </c>
      <c r="H48" s="11">
        <f>IF(BANK_RAW!A48="","",IF(E48&gt;0,"CR",IF(F48&gt;0,"DR","CR")))</f>
        <v/>
      </c>
      <c r="I48" s="12">
        <f>IF(BANK_RAW!A48="","",E48-F48)</f>
        <v/>
      </c>
      <c r="J48" s="12">
        <f>IF(BANK_RAW!A48="","",ABS(I48))</f>
        <v/>
      </c>
      <c r="K48" s="11">
        <f>IF(BANK_RAW!A48="","",IF(H48="CR","IN","OUT"))</f>
        <v/>
      </c>
      <c r="L48" s="11" t="inlineStr"/>
      <c r="M48" s="11" t="inlineStr"/>
    </row>
    <row r="49">
      <c r="A49" s="13">
        <f>IF(BANK_RAW!A49="","",ROW()-1)</f>
        <v/>
      </c>
      <c r="B49" s="10">
        <f>IF(BANK_RAW!A49="","",IF(ISNUMBER(BANK_RAW!A49),BANK_RAW!A49,DATEVALUE(TEXT(BANK_RAW!A49,"YYYY-MM-DD"))))</f>
        <v/>
      </c>
      <c r="C49" s="11">
        <f>IF(BANK_RAW!A49="","",TRIM(BANK_RAW!B49))</f>
        <v/>
      </c>
      <c r="D49" s="11">
        <f>IF(BANK_RAW!A49="","",TRIM(BANK_RAW!C49))</f>
        <v/>
      </c>
      <c r="E49" s="12">
        <f>IF(BANK_RAW!A49="","",IFERROR(ABS(BANK_RAW!D49),0))</f>
        <v/>
      </c>
      <c r="F49" s="12">
        <f>IF(BANK_RAW!A49="","",IFERROR(ABS(BANK_RAW!E49),0))</f>
        <v/>
      </c>
      <c r="G49" s="12">
        <f>IF(BANK_RAW!A49="","",IFERROR(BANK_RAW!F49,0))</f>
        <v/>
      </c>
      <c r="H49" s="11">
        <f>IF(BANK_RAW!A49="","",IF(E49&gt;0,"CR",IF(F49&gt;0,"DR","CR")))</f>
        <v/>
      </c>
      <c r="I49" s="12">
        <f>IF(BANK_RAW!A49="","",E49-F49)</f>
        <v/>
      </c>
      <c r="J49" s="12">
        <f>IF(BANK_RAW!A49="","",ABS(I49))</f>
        <v/>
      </c>
      <c r="K49" s="11">
        <f>IF(BANK_RAW!A49="","",IF(H49="CR","IN","OUT"))</f>
        <v/>
      </c>
      <c r="L49" s="11" t="inlineStr"/>
      <c r="M49" s="11" t="inlineStr"/>
    </row>
    <row r="50">
      <c r="A50" s="13">
        <f>IF(BANK_RAW!A50="","",ROW()-1)</f>
        <v/>
      </c>
      <c r="B50" s="10">
        <f>IF(BANK_RAW!A50="","",IF(ISNUMBER(BANK_RAW!A50),BANK_RAW!A50,DATEVALUE(TEXT(BANK_RAW!A50,"YYYY-MM-DD"))))</f>
        <v/>
      </c>
      <c r="C50" s="11">
        <f>IF(BANK_RAW!A50="","",TRIM(BANK_RAW!B50))</f>
        <v/>
      </c>
      <c r="D50" s="11">
        <f>IF(BANK_RAW!A50="","",TRIM(BANK_RAW!C50))</f>
        <v/>
      </c>
      <c r="E50" s="12">
        <f>IF(BANK_RAW!A50="","",IFERROR(ABS(BANK_RAW!D50),0))</f>
        <v/>
      </c>
      <c r="F50" s="12">
        <f>IF(BANK_RAW!A50="","",IFERROR(ABS(BANK_RAW!E50),0))</f>
        <v/>
      </c>
      <c r="G50" s="12">
        <f>IF(BANK_RAW!A50="","",IFERROR(BANK_RAW!F50,0))</f>
        <v/>
      </c>
      <c r="H50" s="11">
        <f>IF(BANK_RAW!A50="","",IF(E50&gt;0,"CR",IF(F50&gt;0,"DR","CR")))</f>
        <v/>
      </c>
      <c r="I50" s="12">
        <f>IF(BANK_RAW!A50="","",E50-F50)</f>
        <v/>
      </c>
      <c r="J50" s="12">
        <f>IF(BANK_RAW!A50="","",ABS(I50))</f>
        <v/>
      </c>
      <c r="K50" s="11">
        <f>IF(BANK_RAW!A50="","",IF(H50="CR","IN","OUT"))</f>
        <v/>
      </c>
      <c r="L50" s="11" t="inlineStr"/>
      <c r="M50" s="11" t="inlineStr"/>
    </row>
    <row r="51">
      <c r="A51" s="13">
        <f>IF(BANK_RAW!A51="","",ROW()-1)</f>
        <v/>
      </c>
      <c r="B51" s="10">
        <f>IF(BANK_RAW!A51="","",IF(ISNUMBER(BANK_RAW!A51),BANK_RAW!A51,DATEVALUE(TEXT(BANK_RAW!A51,"YYYY-MM-DD"))))</f>
        <v/>
      </c>
      <c r="C51" s="11">
        <f>IF(BANK_RAW!A51="","",TRIM(BANK_RAW!B51))</f>
        <v/>
      </c>
      <c r="D51" s="11">
        <f>IF(BANK_RAW!A51="","",TRIM(BANK_RAW!C51))</f>
        <v/>
      </c>
      <c r="E51" s="12">
        <f>IF(BANK_RAW!A51="","",IFERROR(ABS(BANK_RAW!D51),0))</f>
        <v/>
      </c>
      <c r="F51" s="12">
        <f>IF(BANK_RAW!A51="","",IFERROR(ABS(BANK_RAW!E51),0))</f>
        <v/>
      </c>
      <c r="G51" s="12">
        <f>IF(BANK_RAW!A51="","",IFERROR(BANK_RAW!F51,0))</f>
        <v/>
      </c>
      <c r="H51" s="11">
        <f>IF(BANK_RAW!A51="","",IF(E51&gt;0,"CR",IF(F51&gt;0,"DR","CR")))</f>
        <v/>
      </c>
      <c r="I51" s="12">
        <f>IF(BANK_RAW!A51="","",E51-F51)</f>
        <v/>
      </c>
      <c r="J51" s="12">
        <f>IF(BANK_RAW!A51="","",ABS(I51))</f>
        <v/>
      </c>
      <c r="K51" s="11">
        <f>IF(BANK_RAW!A51="","",IF(H51="CR","IN","OUT"))</f>
        <v/>
      </c>
      <c r="L51" s="11" t="inlineStr"/>
      <c r="M51" s="11" t="inlineStr"/>
    </row>
    <row r="52">
      <c r="A52" s="13">
        <f>IF(BANK_RAW!A52="","",ROW()-1)</f>
        <v/>
      </c>
      <c r="B52" s="10">
        <f>IF(BANK_RAW!A52="","",IF(ISNUMBER(BANK_RAW!A52),BANK_RAW!A52,DATEVALUE(TEXT(BANK_RAW!A52,"YYYY-MM-DD"))))</f>
        <v/>
      </c>
      <c r="C52" s="11">
        <f>IF(BANK_RAW!A52="","",TRIM(BANK_RAW!B52))</f>
        <v/>
      </c>
      <c r="D52" s="11">
        <f>IF(BANK_RAW!A52="","",TRIM(BANK_RAW!C52))</f>
        <v/>
      </c>
      <c r="E52" s="12">
        <f>IF(BANK_RAW!A52="","",IFERROR(ABS(BANK_RAW!D52),0))</f>
        <v/>
      </c>
      <c r="F52" s="12">
        <f>IF(BANK_RAW!A52="","",IFERROR(ABS(BANK_RAW!E52),0))</f>
        <v/>
      </c>
      <c r="G52" s="12">
        <f>IF(BANK_RAW!A52="","",IFERROR(BANK_RAW!F52,0))</f>
        <v/>
      </c>
      <c r="H52" s="11">
        <f>IF(BANK_RAW!A52="","",IF(E52&gt;0,"CR",IF(F52&gt;0,"DR","CR")))</f>
        <v/>
      </c>
      <c r="I52" s="12">
        <f>IF(BANK_RAW!A52="","",E52-F52)</f>
        <v/>
      </c>
      <c r="J52" s="12">
        <f>IF(BANK_RAW!A52="","",ABS(I52))</f>
        <v/>
      </c>
      <c r="K52" s="11">
        <f>IF(BANK_RAW!A52="","",IF(H52="CR","IN","OUT"))</f>
        <v/>
      </c>
      <c r="L52" s="11" t="inlineStr"/>
      <c r="M52" s="11" t="inlineStr"/>
    </row>
    <row r="53">
      <c r="A53" s="13">
        <f>IF(BANK_RAW!A53="","",ROW()-1)</f>
        <v/>
      </c>
      <c r="B53" s="10">
        <f>IF(BANK_RAW!A53="","",IF(ISNUMBER(BANK_RAW!A53),BANK_RAW!A53,DATEVALUE(TEXT(BANK_RAW!A53,"YYYY-MM-DD"))))</f>
        <v/>
      </c>
      <c r="C53" s="11">
        <f>IF(BANK_RAW!A53="","",TRIM(BANK_RAW!B53))</f>
        <v/>
      </c>
      <c r="D53" s="11">
        <f>IF(BANK_RAW!A53="","",TRIM(BANK_RAW!C53))</f>
        <v/>
      </c>
      <c r="E53" s="12">
        <f>IF(BANK_RAW!A53="","",IFERROR(ABS(BANK_RAW!D53),0))</f>
        <v/>
      </c>
      <c r="F53" s="12">
        <f>IF(BANK_RAW!A53="","",IFERROR(ABS(BANK_RAW!E53),0))</f>
        <v/>
      </c>
      <c r="G53" s="12">
        <f>IF(BANK_RAW!A53="","",IFERROR(BANK_RAW!F53,0))</f>
        <v/>
      </c>
      <c r="H53" s="11">
        <f>IF(BANK_RAW!A53="","",IF(E53&gt;0,"CR",IF(F53&gt;0,"DR","CR")))</f>
        <v/>
      </c>
      <c r="I53" s="12">
        <f>IF(BANK_RAW!A53="","",E53-F53)</f>
        <v/>
      </c>
      <c r="J53" s="12">
        <f>IF(BANK_RAW!A53="","",ABS(I53))</f>
        <v/>
      </c>
      <c r="K53" s="11">
        <f>IF(BANK_RAW!A53="","",IF(H53="CR","IN","OUT"))</f>
        <v/>
      </c>
      <c r="L53" s="11" t="inlineStr"/>
      <c r="M53" s="11" t="inlineStr"/>
    </row>
    <row r="54">
      <c r="A54" s="13">
        <f>IF(BANK_RAW!A54="","",ROW()-1)</f>
        <v/>
      </c>
      <c r="B54" s="10">
        <f>IF(BANK_RAW!A54="","",IF(ISNUMBER(BANK_RAW!A54),BANK_RAW!A54,DATEVALUE(TEXT(BANK_RAW!A54,"YYYY-MM-DD"))))</f>
        <v/>
      </c>
      <c r="C54" s="11">
        <f>IF(BANK_RAW!A54="","",TRIM(BANK_RAW!B54))</f>
        <v/>
      </c>
      <c r="D54" s="11">
        <f>IF(BANK_RAW!A54="","",TRIM(BANK_RAW!C54))</f>
        <v/>
      </c>
      <c r="E54" s="12">
        <f>IF(BANK_RAW!A54="","",IFERROR(ABS(BANK_RAW!D54),0))</f>
        <v/>
      </c>
      <c r="F54" s="12">
        <f>IF(BANK_RAW!A54="","",IFERROR(ABS(BANK_RAW!E54),0))</f>
        <v/>
      </c>
      <c r="G54" s="12">
        <f>IF(BANK_RAW!A54="","",IFERROR(BANK_RAW!F54,0))</f>
        <v/>
      </c>
      <c r="H54" s="11">
        <f>IF(BANK_RAW!A54="","",IF(E54&gt;0,"CR",IF(F54&gt;0,"DR","CR")))</f>
        <v/>
      </c>
      <c r="I54" s="12">
        <f>IF(BANK_RAW!A54="","",E54-F54)</f>
        <v/>
      </c>
      <c r="J54" s="12">
        <f>IF(BANK_RAW!A54="","",ABS(I54))</f>
        <v/>
      </c>
      <c r="K54" s="11">
        <f>IF(BANK_RAW!A54="","",IF(H54="CR","IN","OUT"))</f>
        <v/>
      </c>
      <c r="L54" s="11" t="inlineStr"/>
      <c r="M54" s="11" t="inlineStr"/>
    </row>
    <row r="55">
      <c r="A55" s="13">
        <f>IF(BANK_RAW!A55="","",ROW()-1)</f>
        <v/>
      </c>
      <c r="B55" s="10">
        <f>IF(BANK_RAW!A55="","",IF(ISNUMBER(BANK_RAW!A55),BANK_RAW!A55,DATEVALUE(TEXT(BANK_RAW!A55,"YYYY-MM-DD"))))</f>
        <v/>
      </c>
      <c r="C55" s="11">
        <f>IF(BANK_RAW!A55="","",TRIM(BANK_RAW!B55))</f>
        <v/>
      </c>
      <c r="D55" s="11">
        <f>IF(BANK_RAW!A55="","",TRIM(BANK_RAW!C55))</f>
        <v/>
      </c>
      <c r="E55" s="12">
        <f>IF(BANK_RAW!A55="","",IFERROR(ABS(BANK_RAW!D55),0))</f>
        <v/>
      </c>
      <c r="F55" s="12">
        <f>IF(BANK_RAW!A55="","",IFERROR(ABS(BANK_RAW!E55),0))</f>
        <v/>
      </c>
      <c r="G55" s="12">
        <f>IF(BANK_RAW!A55="","",IFERROR(BANK_RAW!F55,0))</f>
        <v/>
      </c>
      <c r="H55" s="11">
        <f>IF(BANK_RAW!A55="","",IF(E55&gt;0,"CR",IF(F55&gt;0,"DR","CR")))</f>
        <v/>
      </c>
      <c r="I55" s="12">
        <f>IF(BANK_RAW!A55="","",E55-F55)</f>
        <v/>
      </c>
      <c r="J55" s="12">
        <f>IF(BANK_RAW!A55="","",ABS(I55))</f>
        <v/>
      </c>
      <c r="K55" s="11">
        <f>IF(BANK_RAW!A55="","",IF(H55="CR","IN","OUT"))</f>
        <v/>
      </c>
      <c r="L55" s="11" t="inlineStr"/>
      <c r="M55" s="11" t="inlineStr"/>
    </row>
    <row r="56">
      <c r="A56" s="13">
        <f>IF(BANK_RAW!A56="","",ROW()-1)</f>
        <v/>
      </c>
      <c r="B56" s="10">
        <f>IF(BANK_RAW!A56="","",IF(ISNUMBER(BANK_RAW!A56),BANK_RAW!A56,DATEVALUE(TEXT(BANK_RAW!A56,"YYYY-MM-DD"))))</f>
        <v/>
      </c>
      <c r="C56" s="11">
        <f>IF(BANK_RAW!A56="","",TRIM(BANK_RAW!B56))</f>
        <v/>
      </c>
      <c r="D56" s="11">
        <f>IF(BANK_RAW!A56="","",TRIM(BANK_RAW!C56))</f>
        <v/>
      </c>
      <c r="E56" s="12">
        <f>IF(BANK_RAW!A56="","",IFERROR(ABS(BANK_RAW!D56),0))</f>
        <v/>
      </c>
      <c r="F56" s="12">
        <f>IF(BANK_RAW!A56="","",IFERROR(ABS(BANK_RAW!E56),0))</f>
        <v/>
      </c>
      <c r="G56" s="12">
        <f>IF(BANK_RAW!A56="","",IFERROR(BANK_RAW!F56,0))</f>
        <v/>
      </c>
      <c r="H56" s="11">
        <f>IF(BANK_RAW!A56="","",IF(E56&gt;0,"CR",IF(F56&gt;0,"DR","CR")))</f>
        <v/>
      </c>
      <c r="I56" s="12">
        <f>IF(BANK_RAW!A56="","",E56-F56)</f>
        <v/>
      </c>
      <c r="J56" s="12">
        <f>IF(BANK_RAW!A56="","",ABS(I56))</f>
        <v/>
      </c>
      <c r="K56" s="11">
        <f>IF(BANK_RAW!A56="","",IF(H56="CR","IN","OUT"))</f>
        <v/>
      </c>
      <c r="L56" s="11" t="inlineStr"/>
      <c r="M56" s="11" t="inlineStr"/>
    </row>
    <row r="57">
      <c r="A57" s="13">
        <f>IF(BANK_RAW!A57="","",ROW()-1)</f>
        <v/>
      </c>
      <c r="B57" s="10">
        <f>IF(BANK_RAW!A57="","",IF(ISNUMBER(BANK_RAW!A57),BANK_RAW!A57,DATEVALUE(TEXT(BANK_RAW!A57,"YYYY-MM-DD"))))</f>
        <v/>
      </c>
      <c r="C57" s="11">
        <f>IF(BANK_RAW!A57="","",TRIM(BANK_RAW!B57))</f>
        <v/>
      </c>
      <c r="D57" s="11">
        <f>IF(BANK_RAW!A57="","",TRIM(BANK_RAW!C57))</f>
        <v/>
      </c>
      <c r="E57" s="12">
        <f>IF(BANK_RAW!A57="","",IFERROR(ABS(BANK_RAW!D57),0))</f>
        <v/>
      </c>
      <c r="F57" s="12">
        <f>IF(BANK_RAW!A57="","",IFERROR(ABS(BANK_RAW!E57),0))</f>
        <v/>
      </c>
      <c r="G57" s="12">
        <f>IF(BANK_RAW!A57="","",IFERROR(BANK_RAW!F57,0))</f>
        <v/>
      </c>
      <c r="H57" s="11">
        <f>IF(BANK_RAW!A57="","",IF(E57&gt;0,"CR",IF(F57&gt;0,"DR","CR")))</f>
        <v/>
      </c>
      <c r="I57" s="12">
        <f>IF(BANK_RAW!A57="","",E57-F57)</f>
        <v/>
      </c>
      <c r="J57" s="12">
        <f>IF(BANK_RAW!A57="","",ABS(I57))</f>
        <v/>
      </c>
      <c r="K57" s="11">
        <f>IF(BANK_RAW!A57="","",IF(H57="CR","IN","OUT"))</f>
        <v/>
      </c>
      <c r="L57" s="11" t="inlineStr"/>
      <c r="M57" s="11" t="inlineStr"/>
    </row>
    <row r="58">
      <c r="A58" s="13">
        <f>IF(BANK_RAW!A58="","",ROW()-1)</f>
        <v/>
      </c>
      <c r="B58" s="10">
        <f>IF(BANK_RAW!A58="","",IF(ISNUMBER(BANK_RAW!A58),BANK_RAW!A58,DATEVALUE(TEXT(BANK_RAW!A58,"YYYY-MM-DD"))))</f>
        <v/>
      </c>
      <c r="C58" s="11">
        <f>IF(BANK_RAW!A58="","",TRIM(BANK_RAW!B58))</f>
        <v/>
      </c>
      <c r="D58" s="11">
        <f>IF(BANK_RAW!A58="","",TRIM(BANK_RAW!C58))</f>
        <v/>
      </c>
      <c r="E58" s="12">
        <f>IF(BANK_RAW!A58="","",IFERROR(ABS(BANK_RAW!D58),0))</f>
        <v/>
      </c>
      <c r="F58" s="12">
        <f>IF(BANK_RAW!A58="","",IFERROR(ABS(BANK_RAW!E58),0))</f>
        <v/>
      </c>
      <c r="G58" s="12">
        <f>IF(BANK_RAW!A58="","",IFERROR(BANK_RAW!F58,0))</f>
        <v/>
      </c>
      <c r="H58" s="11">
        <f>IF(BANK_RAW!A58="","",IF(E58&gt;0,"CR",IF(F58&gt;0,"DR","CR")))</f>
        <v/>
      </c>
      <c r="I58" s="12">
        <f>IF(BANK_RAW!A58="","",E58-F58)</f>
        <v/>
      </c>
      <c r="J58" s="12">
        <f>IF(BANK_RAW!A58="","",ABS(I58))</f>
        <v/>
      </c>
      <c r="K58" s="11">
        <f>IF(BANK_RAW!A58="","",IF(H58="CR","IN","OUT"))</f>
        <v/>
      </c>
      <c r="L58" s="11" t="inlineStr"/>
      <c r="M58" s="11" t="inlineStr"/>
    </row>
    <row r="59">
      <c r="A59" s="13">
        <f>IF(BANK_RAW!A59="","",ROW()-1)</f>
        <v/>
      </c>
      <c r="B59" s="10">
        <f>IF(BANK_RAW!A59="","",IF(ISNUMBER(BANK_RAW!A59),BANK_RAW!A59,DATEVALUE(TEXT(BANK_RAW!A59,"YYYY-MM-DD"))))</f>
        <v/>
      </c>
      <c r="C59" s="11">
        <f>IF(BANK_RAW!A59="","",TRIM(BANK_RAW!B59))</f>
        <v/>
      </c>
      <c r="D59" s="11">
        <f>IF(BANK_RAW!A59="","",TRIM(BANK_RAW!C59))</f>
        <v/>
      </c>
      <c r="E59" s="12">
        <f>IF(BANK_RAW!A59="","",IFERROR(ABS(BANK_RAW!D59),0))</f>
        <v/>
      </c>
      <c r="F59" s="12">
        <f>IF(BANK_RAW!A59="","",IFERROR(ABS(BANK_RAW!E59),0))</f>
        <v/>
      </c>
      <c r="G59" s="12">
        <f>IF(BANK_RAW!A59="","",IFERROR(BANK_RAW!F59,0))</f>
        <v/>
      </c>
      <c r="H59" s="11">
        <f>IF(BANK_RAW!A59="","",IF(E59&gt;0,"CR",IF(F59&gt;0,"DR","CR")))</f>
        <v/>
      </c>
      <c r="I59" s="12">
        <f>IF(BANK_RAW!A59="","",E59-F59)</f>
        <v/>
      </c>
      <c r="J59" s="12">
        <f>IF(BANK_RAW!A59="","",ABS(I59))</f>
        <v/>
      </c>
      <c r="K59" s="11">
        <f>IF(BANK_RAW!A59="","",IF(H59="CR","IN","OUT"))</f>
        <v/>
      </c>
      <c r="L59" s="11" t="inlineStr"/>
      <c r="M59" s="11" t="inlineStr"/>
    </row>
    <row r="60">
      <c r="A60" s="13">
        <f>IF(BANK_RAW!A60="","",ROW()-1)</f>
        <v/>
      </c>
      <c r="B60" s="10">
        <f>IF(BANK_RAW!A60="","",IF(ISNUMBER(BANK_RAW!A60),BANK_RAW!A60,DATEVALUE(TEXT(BANK_RAW!A60,"YYYY-MM-DD"))))</f>
        <v/>
      </c>
      <c r="C60" s="11">
        <f>IF(BANK_RAW!A60="","",TRIM(BANK_RAW!B60))</f>
        <v/>
      </c>
      <c r="D60" s="11">
        <f>IF(BANK_RAW!A60="","",TRIM(BANK_RAW!C60))</f>
        <v/>
      </c>
      <c r="E60" s="12">
        <f>IF(BANK_RAW!A60="","",IFERROR(ABS(BANK_RAW!D60),0))</f>
        <v/>
      </c>
      <c r="F60" s="12">
        <f>IF(BANK_RAW!A60="","",IFERROR(ABS(BANK_RAW!E60),0))</f>
        <v/>
      </c>
      <c r="G60" s="12">
        <f>IF(BANK_RAW!A60="","",IFERROR(BANK_RAW!F60,0))</f>
        <v/>
      </c>
      <c r="H60" s="11">
        <f>IF(BANK_RAW!A60="","",IF(E60&gt;0,"CR",IF(F60&gt;0,"DR","CR")))</f>
        <v/>
      </c>
      <c r="I60" s="12">
        <f>IF(BANK_RAW!A60="","",E60-F60)</f>
        <v/>
      </c>
      <c r="J60" s="12">
        <f>IF(BANK_RAW!A60="","",ABS(I60))</f>
        <v/>
      </c>
      <c r="K60" s="11">
        <f>IF(BANK_RAW!A60="","",IF(H60="CR","IN","OUT"))</f>
        <v/>
      </c>
      <c r="L60" s="11" t="inlineStr"/>
      <c r="M60" s="11" t="inlineStr"/>
    </row>
    <row r="61">
      <c r="A61" s="13">
        <f>IF(BANK_RAW!A61="","",ROW()-1)</f>
        <v/>
      </c>
      <c r="B61" s="10">
        <f>IF(BANK_RAW!A61="","",IF(ISNUMBER(BANK_RAW!A61),BANK_RAW!A61,DATEVALUE(TEXT(BANK_RAW!A61,"YYYY-MM-DD"))))</f>
        <v/>
      </c>
      <c r="C61" s="11">
        <f>IF(BANK_RAW!A61="","",TRIM(BANK_RAW!B61))</f>
        <v/>
      </c>
      <c r="D61" s="11">
        <f>IF(BANK_RAW!A61="","",TRIM(BANK_RAW!C61))</f>
        <v/>
      </c>
      <c r="E61" s="12">
        <f>IF(BANK_RAW!A61="","",IFERROR(ABS(BANK_RAW!D61),0))</f>
        <v/>
      </c>
      <c r="F61" s="12">
        <f>IF(BANK_RAW!A61="","",IFERROR(ABS(BANK_RAW!E61),0))</f>
        <v/>
      </c>
      <c r="G61" s="12">
        <f>IF(BANK_RAW!A61="","",IFERROR(BANK_RAW!F61,0))</f>
        <v/>
      </c>
      <c r="H61" s="11">
        <f>IF(BANK_RAW!A61="","",IF(E61&gt;0,"CR",IF(F61&gt;0,"DR","CR")))</f>
        <v/>
      </c>
      <c r="I61" s="12">
        <f>IF(BANK_RAW!A61="","",E61-F61)</f>
        <v/>
      </c>
      <c r="J61" s="12">
        <f>IF(BANK_RAW!A61="","",ABS(I61))</f>
        <v/>
      </c>
      <c r="K61" s="11">
        <f>IF(BANK_RAW!A61="","",IF(H61="CR","IN","OUT"))</f>
        <v/>
      </c>
      <c r="L61" s="11" t="inlineStr"/>
      <c r="M61" s="11" t="inlineStr"/>
    </row>
    <row r="62">
      <c r="A62" s="13">
        <f>IF(BANK_RAW!A62="","",ROW()-1)</f>
        <v/>
      </c>
      <c r="B62" s="10">
        <f>IF(BANK_RAW!A62="","",IF(ISNUMBER(BANK_RAW!A62),BANK_RAW!A62,DATEVALUE(TEXT(BANK_RAW!A62,"YYYY-MM-DD"))))</f>
        <v/>
      </c>
      <c r="C62" s="11">
        <f>IF(BANK_RAW!A62="","",TRIM(BANK_RAW!B62))</f>
        <v/>
      </c>
      <c r="D62" s="11">
        <f>IF(BANK_RAW!A62="","",TRIM(BANK_RAW!C62))</f>
        <v/>
      </c>
      <c r="E62" s="12">
        <f>IF(BANK_RAW!A62="","",IFERROR(ABS(BANK_RAW!D62),0))</f>
        <v/>
      </c>
      <c r="F62" s="12">
        <f>IF(BANK_RAW!A62="","",IFERROR(ABS(BANK_RAW!E62),0))</f>
        <v/>
      </c>
      <c r="G62" s="12">
        <f>IF(BANK_RAW!A62="","",IFERROR(BANK_RAW!F62,0))</f>
        <v/>
      </c>
      <c r="H62" s="11">
        <f>IF(BANK_RAW!A62="","",IF(E62&gt;0,"CR",IF(F62&gt;0,"DR","CR")))</f>
        <v/>
      </c>
      <c r="I62" s="12">
        <f>IF(BANK_RAW!A62="","",E62-F62)</f>
        <v/>
      </c>
      <c r="J62" s="12">
        <f>IF(BANK_RAW!A62="","",ABS(I62))</f>
        <v/>
      </c>
      <c r="K62" s="11">
        <f>IF(BANK_RAW!A62="","",IF(H62="CR","IN","OUT"))</f>
        <v/>
      </c>
      <c r="L62" s="11" t="inlineStr"/>
      <c r="M62" s="11" t="inlineStr"/>
    </row>
    <row r="63">
      <c r="A63" s="13">
        <f>IF(BANK_RAW!A63="","",ROW()-1)</f>
        <v/>
      </c>
      <c r="B63" s="10">
        <f>IF(BANK_RAW!A63="","",IF(ISNUMBER(BANK_RAW!A63),BANK_RAW!A63,DATEVALUE(TEXT(BANK_RAW!A63,"YYYY-MM-DD"))))</f>
        <v/>
      </c>
      <c r="C63" s="11">
        <f>IF(BANK_RAW!A63="","",TRIM(BANK_RAW!B63))</f>
        <v/>
      </c>
      <c r="D63" s="11">
        <f>IF(BANK_RAW!A63="","",TRIM(BANK_RAW!C63))</f>
        <v/>
      </c>
      <c r="E63" s="12">
        <f>IF(BANK_RAW!A63="","",IFERROR(ABS(BANK_RAW!D63),0))</f>
        <v/>
      </c>
      <c r="F63" s="12">
        <f>IF(BANK_RAW!A63="","",IFERROR(ABS(BANK_RAW!E63),0))</f>
        <v/>
      </c>
      <c r="G63" s="12">
        <f>IF(BANK_RAW!A63="","",IFERROR(BANK_RAW!F63,0))</f>
        <v/>
      </c>
      <c r="H63" s="11">
        <f>IF(BANK_RAW!A63="","",IF(E63&gt;0,"CR",IF(F63&gt;0,"DR","CR")))</f>
        <v/>
      </c>
      <c r="I63" s="12">
        <f>IF(BANK_RAW!A63="","",E63-F63)</f>
        <v/>
      </c>
      <c r="J63" s="12">
        <f>IF(BANK_RAW!A63="","",ABS(I63))</f>
        <v/>
      </c>
      <c r="K63" s="11">
        <f>IF(BANK_RAW!A63="","",IF(H63="CR","IN","OUT"))</f>
        <v/>
      </c>
      <c r="L63" s="11" t="inlineStr"/>
      <c r="M63" s="11" t="inlineStr"/>
    </row>
    <row r="64">
      <c r="A64" s="13">
        <f>IF(BANK_RAW!A64="","",ROW()-1)</f>
        <v/>
      </c>
      <c r="B64" s="10">
        <f>IF(BANK_RAW!A64="","",IF(ISNUMBER(BANK_RAW!A64),BANK_RAW!A64,DATEVALUE(TEXT(BANK_RAW!A64,"YYYY-MM-DD"))))</f>
        <v/>
      </c>
      <c r="C64" s="11">
        <f>IF(BANK_RAW!A64="","",TRIM(BANK_RAW!B64))</f>
        <v/>
      </c>
      <c r="D64" s="11">
        <f>IF(BANK_RAW!A64="","",TRIM(BANK_RAW!C64))</f>
        <v/>
      </c>
      <c r="E64" s="12">
        <f>IF(BANK_RAW!A64="","",IFERROR(ABS(BANK_RAW!D64),0))</f>
        <v/>
      </c>
      <c r="F64" s="12">
        <f>IF(BANK_RAW!A64="","",IFERROR(ABS(BANK_RAW!E64),0))</f>
        <v/>
      </c>
      <c r="G64" s="12">
        <f>IF(BANK_RAW!A64="","",IFERROR(BANK_RAW!F64,0))</f>
        <v/>
      </c>
      <c r="H64" s="11">
        <f>IF(BANK_RAW!A64="","",IF(E64&gt;0,"CR",IF(F64&gt;0,"DR","CR")))</f>
        <v/>
      </c>
      <c r="I64" s="12">
        <f>IF(BANK_RAW!A64="","",E64-F64)</f>
        <v/>
      </c>
      <c r="J64" s="12">
        <f>IF(BANK_RAW!A64="","",ABS(I64))</f>
        <v/>
      </c>
      <c r="K64" s="11">
        <f>IF(BANK_RAW!A64="","",IF(H64="CR","IN","OUT"))</f>
        <v/>
      </c>
      <c r="L64" s="11" t="inlineStr"/>
      <c r="M64" s="11" t="inlineStr"/>
    </row>
    <row r="65">
      <c r="A65" s="13">
        <f>IF(BANK_RAW!A65="","",ROW()-1)</f>
        <v/>
      </c>
      <c r="B65" s="10">
        <f>IF(BANK_RAW!A65="","",IF(ISNUMBER(BANK_RAW!A65),BANK_RAW!A65,DATEVALUE(TEXT(BANK_RAW!A65,"YYYY-MM-DD"))))</f>
        <v/>
      </c>
      <c r="C65" s="11">
        <f>IF(BANK_RAW!A65="","",TRIM(BANK_RAW!B65))</f>
        <v/>
      </c>
      <c r="D65" s="11">
        <f>IF(BANK_RAW!A65="","",TRIM(BANK_RAW!C65))</f>
        <v/>
      </c>
      <c r="E65" s="12">
        <f>IF(BANK_RAW!A65="","",IFERROR(ABS(BANK_RAW!D65),0))</f>
        <v/>
      </c>
      <c r="F65" s="12">
        <f>IF(BANK_RAW!A65="","",IFERROR(ABS(BANK_RAW!E65),0))</f>
        <v/>
      </c>
      <c r="G65" s="12">
        <f>IF(BANK_RAW!A65="","",IFERROR(BANK_RAW!F65,0))</f>
        <v/>
      </c>
      <c r="H65" s="11">
        <f>IF(BANK_RAW!A65="","",IF(E65&gt;0,"CR",IF(F65&gt;0,"DR","CR")))</f>
        <v/>
      </c>
      <c r="I65" s="12">
        <f>IF(BANK_RAW!A65="","",E65-F65)</f>
        <v/>
      </c>
      <c r="J65" s="12">
        <f>IF(BANK_RAW!A65="","",ABS(I65))</f>
        <v/>
      </c>
      <c r="K65" s="11">
        <f>IF(BANK_RAW!A65="","",IF(H65="CR","IN","OUT"))</f>
        <v/>
      </c>
      <c r="L65" s="11" t="inlineStr"/>
      <c r="M65" s="11" t="inlineStr"/>
    </row>
    <row r="66">
      <c r="A66" s="13">
        <f>IF(BANK_RAW!A66="","",ROW()-1)</f>
        <v/>
      </c>
      <c r="B66" s="10">
        <f>IF(BANK_RAW!A66="","",IF(ISNUMBER(BANK_RAW!A66),BANK_RAW!A66,DATEVALUE(TEXT(BANK_RAW!A66,"YYYY-MM-DD"))))</f>
        <v/>
      </c>
      <c r="C66" s="11">
        <f>IF(BANK_RAW!A66="","",TRIM(BANK_RAW!B66))</f>
        <v/>
      </c>
      <c r="D66" s="11">
        <f>IF(BANK_RAW!A66="","",TRIM(BANK_RAW!C66))</f>
        <v/>
      </c>
      <c r="E66" s="12">
        <f>IF(BANK_RAW!A66="","",IFERROR(ABS(BANK_RAW!D66),0))</f>
        <v/>
      </c>
      <c r="F66" s="12">
        <f>IF(BANK_RAW!A66="","",IFERROR(ABS(BANK_RAW!E66),0))</f>
        <v/>
      </c>
      <c r="G66" s="12">
        <f>IF(BANK_RAW!A66="","",IFERROR(BANK_RAW!F66,0))</f>
        <v/>
      </c>
      <c r="H66" s="11">
        <f>IF(BANK_RAW!A66="","",IF(E66&gt;0,"CR",IF(F66&gt;0,"DR","CR")))</f>
        <v/>
      </c>
      <c r="I66" s="12">
        <f>IF(BANK_RAW!A66="","",E66-F66)</f>
        <v/>
      </c>
      <c r="J66" s="12">
        <f>IF(BANK_RAW!A66="","",ABS(I66))</f>
        <v/>
      </c>
      <c r="K66" s="11">
        <f>IF(BANK_RAW!A66="","",IF(H66="CR","IN","OUT"))</f>
        <v/>
      </c>
      <c r="L66" s="11" t="inlineStr"/>
      <c r="M66" s="11" t="inlineStr"/>
    </row>
    <row r="67">
      <c r="A67" s="13">
        <f>IF(BANK_RAW!A67="","",ROW()-1)</f>
        <v/>
      </c>
      <c r="B67" s="10">
        <f>IF(BANK_RAW!A67="","",IF(ISNUMBER(BANK_RAW!A67),BANK_RAW!A67,DATEVALUE(TEXT(BANK_RAW!A67,"YYYY-MM-DD"))))</f>
        <v/>
      </c>
      <c r="C67" s="11">
        <f>IF(BANK_RAW!A67="","",TRIM(BANK_RAW!B67))</f>
        <v/>
      </c>
      <c r="D67" s="11">
        <f>IF(BANK_RAW!A67="","",TRIM(BANK_RAW!C67))</f>
        <v/>
      </c>
      <c r="E67" s="12">
        <f>IF(BANK_RAW!A67="","",IFERROR(ABS(BANK_RAW!D67),0))</f>
        <v/>
      </c>
      <c r="F67" s="12">
        <f>IF(BANK_RAW!A67="","",IFERROR(ABS(BANK_RAW!E67),0))</f>
        <v/>
      </c>
      <c r="G67" s="12">
        <f>IF(BANK_RAW!A67="","",IFERROR(BANK_RAW!F67,0))</f>
        <v/>
      </c>
      <c r="H67" s="11">
        <f>IF(BANK_RAW!A67="","",IF(E67&gt;0,"CR",IF(F67&gt;0,"DR","CR")))</f>
        <v/>
      </c>
      <c r="I67" s="12">
        <f>IF(BANK_RAW!A67="","",E67-F67)</f>
        <v/>
      </c>
      <c r="J67" s="12">
        <f>IF(BANK_RAW!A67="","",ABS(I67))</f>
        <v/>
      </c>
      <c r="K67" s="11">
        <f>IF(BANK_RAW!A67="","",IF(H67="CR","IN","OUT"))</f>
        <v/>
      </c>
      <c r="L67" s="11" t="inlineStr"/>
      <c r="M67" s="11" t="inlineStr"/>
    </row>
    <row r="68">
      <c r="A68" s="13">
        <f>IF(BANK_RAW!A68="","",ROW()-1)</f>
        <v/>
      </c>
      <c r="B68" s="10">
        <f>IF(BANK_RAW!A68="","",IF(ISNUMBER(BANK_RAW!A68),BANK_RAW!A68,DATEVALUE(TEXT(BANK_RAW!A68,"YYYY-MM-DD"))))</f>
        <v/>
      </c>
      <c r="C68" s="11">
        <f>IF(BANK_RAW!A68="","",TRIM(BANK_RAW!B68))</f>
        <v/>
      </c>
      <c r="D68" s="11">
        <f>IF(BANK_RAW!A68="","",TRIM(BANK_RAW!C68))</f>
        <v/>
      </c>
      <c r="E68" s="12">
        <f>IF(BANK_RAW!A68="","",IFERROR(ABS(BANK_RAW!D68),0))</f>
        <v/>
      </c>
      <c r="F68" s="12">
        <f>IF(BANK_RAW!A68="","",IFERROR(ABS(BANK_RAW!E68),0))</f>
        <v/>
      </c>
      <c r="G68" s="12">
        <f>IF(BANK_RAW!A68="","",IFERROR(BANK_RAW!F68,0))</f>
        <v/>
      </c>
      <c r="H68" s="11">
        <f>IF(BANK_RAW!A68="","",IF(E68&gt;0,"CR",IF(F68&gt;0,"DR","CR")))</f>
        <v/>
      </c>
      <c r="I68" s="12">
        <f>IF(BANK_RAW!A68="","",E68-F68)</f>
        <v/>
      </c>
      <c r="J68" s="12">
        <f>IF(BANK_RAW!A68="","",ABS(I68))</f>
        <v/>
      </c>
      <c r="K68" s="11">
        <f>IF(BANK_RAW!A68="","",IF(H68="CR","IN","OUT"))</f>
        <v/>
      </c>
      <c r="L68" s="11" t="inlineStr"/>
      <c r="M68" s="11" t="inlineStr"/>
    </row>
    <row r="69">
      <c r="A69" s="13">
        <f>IF(BANK_RAW!A69="","",ROW()-1)</f>
        <v/>
      </c>
      <c r="B69" s="10">
        <f>IF(BANK_RAW!A69="","",IF(ISNUMBER(BANK_RAW!A69),BANK_RAW!A69,DATEVALUE(TEXT(BANK_RAW!A69,"YYYY-MM-DD"))))</f>
        <v/>
      </c>
      <c r="C69" s="11">
        <f>IF(BANK_RAW!A69="","",TRIM(BANK_RAW!B69))</f>
        <v/>
      </c>
      <c r="D69" s="11">
        <f>IF(BANK_RAW!A69="","",TRIM(BANK_RAW!C69))</f>
        <v/>
      </c>
      <c r="E69" s="12">
        <f>IF(BANK_RAW!A69="","",IFERROR(ABS(BANK_RAW!D69),0))</f>
        <v/>
      </c>
      <c r="F69" s="12">
        <f>IF(BANK_RAW!A69="","",IFERROR(ABS(BANK_RAW!E69),0))</f>
        <v/>
      </c>
      <c r="G69" s="12">
        <f>IF(BANK_RAW!A69="","",IFERROR(BANK_RAW!F69,0))</f>
        <v/>
      </c>
      <c r="H69" s="11">
        <f>IF(BANK_RAW!A69="","",IF(E69&gt;0,"CR",IF(F69&gt;0,"DR","CR")))</f>
        <v/>
      </c>
      <c r="I69" s="12">
        <f>IF(BANK_RAW!A69="","",E69-F69)</f>
        <v/>
      </c>
      <c r="J69" s="12">
        <f>IF(BANK_RAW!A69="","",ABS(I69))</f>
        <v/>
      </c>
      <c r="K69" s="11">
        <f>IF(BANK_RAW!A69="","",IF(H69="CR","IN","OUT"))</f>
        <v/>
      </c>
      <c r="L69" s="11" t="inlineStr"/>
      <c r="M69" s="11" t="inlineStr"/>
    </row>
    <row r="70">
      <c r="A70" s="13">
        <f>IF(BANK_RAW!A70="","",ROW()-1)</f>
        <v/>
      </c>
      <c r="B70" s="10">
        <f>IF(BANK_RAW!A70="","",IF(ISNUMBER(BANK_RAW!A70),BANK_RAW!A70,DATEVALUE(TEXT(BANK_RAW!A70,"YYYY-MM-DD"))))</f>
        <v/>
      </c>
      <c r="C70" s="11">
        <f>IF(BANK_RAW!A70="","",TRIM(BANK_RAW!B70))</f>
        <v/>
      </c>
      <c r="D70" s="11">
        <f>IF(BANK_RAW!A70="","",TRIM(BANK_RAW!C70))</f>
        <v/>
      </c>
      <c r="E70" s="12">
        <f>IF(BANK_RAW!A70="","",IFERROR(ABS(BANK_RAW!D70),0))</f>
        <v/>
      </c>
      <c r="F70" s="12">
        <f>IF(BANK_RAW!A70="","",IFERROR(ABS(BANK_RAW!E70),0))</f>
        <v/>
      </c>
      <c r="G70" s="12">
        <f>IF(BANK_RAW!A70="","",IFERROR(BANK_RAW!F70,0))</f>
        <v/>
      </c>
      <c r="H70" s="11">
        <f>IF(BANK_RAW!A70="","",IF(E70&gt;0,"CR",IF(F70&gt;0,"DR","CR")))</f>
        <v/>
      </c>
      <c r="I70" s="12">
        <f>IF(BANK_RAW!A70="","",E70-F70)</f>
        <v/>
      </c>
      <c r="J70" s="12">
        <f>IF(BANK_RAW!A70="","",ABS(I70))</f>
        <v/>
      </c>
      <c r="K70" s="11">
        <f>IF(BANK_RAW!A70="","",IF(H70="CR","IN","OUT"))</f>
        <v/>
      </c>
      <c r="L70" s="11" t="inlineStr"/>
      <c r="M70" s="11" t="inlineStr"/>
    </row>
    <row r="71">
      <c r="A71" s="13">
        <f>IF(BANK_RAW!A71="","",ROW()-1)</f>
        <v/>
      </c>
      <c r="B71" s="10">
        <f>IF(BANK_RAW!A71="","",IF(ISNUMBER(BANK_RAW!A71),BANK_RAW!A71,DATEVALUE(TEXT(BANK_RAW!A71,"YYYY-MM-DD"))))</f>
        <v/>
      </c>
      <c r="C71" s="11">
        <f>IF(BANK_RAW!A71="","",TRIM(BANK_RAW!B71))</f>
        <v/>
      </c>
      <c r="D71" s="11">
        <f>IF(BANK_RAW!A71="","",TRIM(BANK_RAW!C71))</f>
        <v/>
      </c>
      <c r="E71" s="12">
        <f>IF(BANK_RAW!A71="","",IFERROR(ABS(BANK_RAW!D71),0))</f>
        <v/>
      </c>
      <c r="F71" s="12">
        <f>IF(BANK_RAW!A71="","",IFERROR(ABS(BANK_RAW!E71),0))</f>
        <v/>
      </c>
      <c r="G71" s="12">
        <f>IF(BANK_RAW!A71="","",IFERROR(BANK_RAW!F71,0))</f>
        <v/>
      </c>
      <c r="H71" s="11">
        <f>IF(BANK_RAW!A71="","",IF(E71&gt;0,"CR",IF(F71&gt;0,"DR","CR")))</f>
        <v/>
      </c>
      <c r="I71" s="12">
        <f>IF(BANK_RAW!A71="","",E71-F71)</f>
        <v/>
      </c>
      <c r="J71" s="12">
        <f>IF(BANK_RAW!A71="","",ABS(I71))</f>
        <v/>
      </c>
      <c r="K71" s="11">
        <f>IF(BANK_RAW!A71="","",IF(H71="CR","IN","OUT"))</f>
        <v/>
      </c>
      <c r="L71" s="11" t="inlineStr"/>
      <c r="M71" s="11" t="inlineStr"/>
    </row>
    <row r="72">
      <c r="A72" s="13">
        <f>IF(BANK_RAW!A72="","",ROW()-1)</f>
        <v/>
      </c>
      <c r="B72" s="10">
        <f>IF(BANK_RAW!A72="","",IF(ISNUMBER(BANK_RAW!A72),BANK_RAW!A72,DATEVALUE(TEXT(BANK_RAW!A72,"YYYY-MM-DD"))))</f>
        <v/>
      </c>
      <c r="C72" s="11">
        <f>IF(BANK_RAW!A72="","",TRIM(BANK_RAW!B72))</f>
        <v/>
      </c>
      <c r="D72" s="11">
        <f>IF(BANK_RAW!A72="","",TRIM(BANK_RAW!C72))</f>
        <v/>
      </c>
      <c r="E72" s="12">
        <f>IF(BANK_RAW!A72="","",IFERROR(ABS(BANK_RAW!D72),0))</f>
        <v/>
      </c>
      <c r="F72" s="12">
        <f>IF(BANK_RAW!A72="","",IFERROR(ABS(BANK_RAW!E72),0))</f>
        <v/>
      </c>
      <c r="G72" s="12">
        <f>IF(BANK_RAW!A72="","",IFERROR(BANK_RAW!F72,0))</f>
        <v/>
      </c>
      <c r="H72" s="11">
        <f>IF(BANK_RAW!A72="","",IF(E72&gt;0,"CR",IF(F72&gt;0,"DR","CR")))</f>
        <v/>
      </c>
      <c r="I72" s="12">
        <f>IF(BANK_RAW!A72="","",E72-F72)</f>
        <v/>
      </c>
      <c r="J72" s="12">
        <f>IF(BANK_RAW!A72="","",ABS(I72))</f>
        <v/>
      </c>
      <c r="K72" s="11">
        <f>IF(BANK_RAW!A72="","",IF(H72="CR","IN","OUT"))</f>
        <v/>
      </c>
      <c r="L72" s="11" t="inlineStr"/>
      <c r="M72" s="11" t="inlineStr"/>
    </row>
    <row r="73">
      <c r="A73" s="13">
        <f>IF(BANK_RAW!A73="","",ROW()-1)</f>
        <v/>
      </c>
      <c r="B73" s="10">
        <f>IF(BANK_RAW!A73="","",IF(ISNUMBER(BANK_RAW!A73),BANK_RAW!A73,DATEVALUE(TEXT(BANK_RAW!A73,"YYYY-MM-DD"))))</f>
        <v/>
      </c>
      <c r="C73" s="11">
        <f>IF(BANK_RAW!A73="","",TRIM(BANK_RAW!B73))</f>
        <v/>
      </c>
      <c r="D73" s="11">
        <f>IF(BANK_RAW!A73="","",TRIM(BANK_RAW!C73))</f>
        <v/>
      </c>
      <c r="E73" s="12">
        <f>IF(BANK_RAW!A73="","",IFERROR(ABS(BANK_RAW!D73),0))</f>
        <v/>
      </c>
      <c r="F73" s="12">
        <f>IF(BANK_RAW!A73="","",IFERROR(ABS(BANK_RAW!E73),0))</f>
        <v/>
      </c>
      <c r="G73" s="12">
        <f>IF(BANK_RAW!A73="","",IFERROR(BANK_RAW!F73,0))</f>
        <v/>
      </c>
      <c r="H73" s="11">
        <f>IF(BANK_RAW!A73="","",IF(E73&gt;0,"CR",IF(F73&gt;0,"DR","CR")))</f>
        <v/>
      </c>
      <c r="I73" s="12">
        <f>IF(BANK_RAW!A73="","",E73-F73)</f>
        <v/>
      </c>
      <c r="J73" s="12">
        <f>IF(BANK_RAW!A73="","",ABS(I73))</f>
        <v/>
      </c>
      <c r="K73" s="11">
        <f>IF(BANK_RAW!A73="","",IF(H73="CR","IN","OUT"))</f>
        <v/>
      </c>
      <c r="L73" s="11" t="inlineStr"/>
      <c r="M73" s="11" t="inlineStr"/>
    </row>
    <row r="74">
      <c r="A74" s="13">
        <f>IF(BANK_RAW!A74="","",ROW()-1)</f>
        <v/>
      </c>
      <c r="B74" s="10">
        <f>IF(BANK_RAW!A74="","",IF(ISNUMBER(BANK_RAW!A74),BANK_RAW!A74,DATEVALUE(TEXT(BANK_RAW!A74,"YYYY-MM-DD"))))</f>
        <v/>
      </c>
      <c r="C74" s="11">
        <f>IF(BANK_RAW!A74="","",TRIM(BANK_RAW!B74))</f>
        <v/>
      </c>
      <c r="D74" s="11">
        <f>IF(BANK_RAW!A74="","",TRIM(BANK_RAW!C74))</f>
        <v/>
      </c>
      <c r="E74" s="12">
        <f>IF(BANK_RAW!A74="","",IFERROR(ABS(BANK_RAW!D74),0))</f>
        <v/>
      </c>
      <c r="F74" s="12">
        <f>IF(BANK_RAW!A74="","",IFERROR(ABS(BANK_RAW!E74),0))</f>
        <v/>
      </c>
      <c r="G74" s="12">
        <f>IF(BANK_RAW!A74="","",IFERROR(BANK_RAW!F74,0))</f>
        <v/>
      </c>
      <c r="H74" s="11">
        <f>IF(BANK_RAW!A74="","",IF(E74&gt;0,"CR",IF(F74&gt;0,"DR","CR")))</f>
        <v/>
      </c>
      <c r="I74" s="12">
        <f>IF(BANK_RAW!A74="","",E74-F74)</f>
        <v/>
      </c>
      <c r="J74" s="12">
        <f>IF(BANK_RAW!A74="","",ABS(I74))</f>
        <v/>
      </c>
      <c r="K74" s="11">
        <f>IF(BANK_RAW!A74="","",IF(H74="CR","IN","OUT"))</f>
        <v/>
      </c>
      <c r="L74" s="11" t="inlineStr"/>
      <c r="M74" s="11" t="inlineStr"/>
    </row>
    <row r="75">
      <c r="A75" s="13">
        <f>IF(BANK_RAW!A75="","",ROW()-1)</f>
        <v/>
      </c>
      <c r="B75" s="10">
        <f>IF(BANK_RAW!A75="","",IF(ISNUMBER(BANK_RAW!A75),BANK_RAW!A75,DATEVALUE(TEXT(BANK_RAW!A75,"YYYY-MM-DD"))))</f>
        <v/>
      </c>
      <c r="C75" s="11">
        <f>IF(BANK_RAW!A75="","",TRIM(BANK_RAW!B75))</f>
        <v/>
      </c>
      <c r="D75" s="11">
        <f>IF(BANK_RAW!A75="","",TRIM(BANK_RAW!C75))</f>
        <v/>
      </c>
      <c r="E75" s="12">
        <f>IF(BANK_RAW!A75="","",IFERROR(ABS(BANK_RAW!D75),0))</f>
        <v/>
      </c>
      <c r="F75" s="12">
        <f>IF(BANK_RAW!A75="","",IFERROR(ABS(BANK_RAW!E75),0))</f>
        <v/>
      </c>
      <c r="G75" s="12">
        <f>IF(BANK_RAW!A75="","",IFERROR(BANK_RAW!F75,0))</f>
        <v/>
      </c>
      <c r="H75" s="11">
        <f>IF(BANK_RAW!A75="","",IF(E75&gt;0,"CR",IF(F75&gt;0,"DR","CR")))</f>
        <v/>
      </c>
      <c r="I75" s="12">
        <f>IF(BANK_RAW!A75="","",E75-F75)</f>
        <v/>
      </c>
      <c r="J75" s="12">
        <f>IF(BANK_RAW!A75="","",ABS(I75))</f>
        <v/>
      </c>
      <c r="K75" s="11">
        <f>IF(BANK_RAW!A75="","",IF(H75="CR","IN","OUT"))</f>
        <v/>
      </c>
      <c r="L75" s="11" t="inlineStr"/>
      <c r="M75" s="11" t="inlineStr"/>
    </row>
    <row r="76">
      <c r="A76" s="13">
        <f>IF(BANK_RAW!A76="","",ROW()-1)</f>
        <v/>
      </c>
      <c r="B76" s="10">
        <f>IF(BANK_RAW!A76="","",IF(ISNUMBER(BANK_RAW!A76),BANK_RAW!A76,DATEVALUE(TEXT(BANK_RAW!A76,"YYYY-MM-DD"))))</f>
        <v/>
      </c>
      <c r="C76" s="11">
        <f>IF(BANK_RAW!A76="","",TRIM(BANK_RAW!B76))</f>
        <v/>
      </c>
      <c r="D76" s="11">
        <f>IF(BANK_RAW!A76="","",TRIM(BANK_RAW!C76))</f>
        <v/>
      </c>
      <c r="E76" s="12">
        <f>IF(BANK_RAW!A76="","",IFERROR(ABS(BANK_RAW!D76),0))</f>
        <v/>
      </c>
      <c r="F76" s="12">
        <f>IF(BANK_RAW!A76="","",IFERROR(ABS(BANK_RAW!E76),0))</f>
        <v/>
      </c>
      <c r="G76" s="12">
        <f>IF(BANK_RAW!A76="","",IFERROR(BANK_RAW!F76,0))</f>
        <v/>
      </c>
      <c r="H76" s="11">
        <f>IF(BANK_RAW!A76="","",IF(E76&gt;0,"CR",IF(F76&gt;0,"DR","CR")))</f>
        <v/>
      </c>
      <c r="I76" s="12">
        <f>IF(BANK_RAW!A76="","",E76-F76)</f>
        <v/>
      </c>
      <c r="J76" s="12">
        <f>IF(BANK_RAW!A76="","",ABS(I76))</f>
        <v/>
      </c>
      <c r="K76" s="11">
        <f>IF(BANK_RAW!A76="","",IF(H76="CR","IN","OUT"))</f>
        <v/>
      </c>
      <c r="L76" s="11" t="inlineStr"/>
      <c r="M76" s="11" t="inlineStr"/>
    </row>
    <row r="77">
      <c r="A77" s="13">
        <f>IF(BANK_RAW!A77="","",ROW()-1)</f>
        <v/>
      </c>
      <c r="B77" s="10">
        <f>IF(BANK_RAW!A77="","",IF(ISNUMBER(BANK_RAW!A77),BANK_RAW!A77,DATEVALUE(TEXT(BANK_RAW!A77,"YYYY-MM-DD"))))</f>
        <v/>
      </c>
      <c r="C77" s="11">
        <f>IF(BANK_RAW!A77="","",TRIM(BANK_RAW!B77))</f>
        <v/>
      </c>
      <c r="D77" s="11">
        <f>IF(BANK_RAW!A77="","",TRIM(BANK_RAW!C77))</f>
        <v/>
      </c>
      <c r="E77" s="12">
        <f>IF(BANK_RAW!A77="","",IFERROR(ABS(BANK_RAW!D77),0))</f>
        <v/>
      </c>
      <c r="F77" s="12">
        <f>IF(BANK_RAW!A77="","",IFERROR(ABS(BANK_RAW!E77),0))</f>
        <v/>
      </c>
      <c r="G77" s="12">
        <f>IF(BANK_RAW!A77="","",IFERROR(BANK_RAW!F77,0))</f>
        <v/>
      </c>
      <c r="H77" s="11">
        <f>IF(BANK_RAW!A77="","",IF(E77&gt;0,"CR",IF(F77&gt;0,"DR","CR")))</f>
        <v/>
      </c>
      <c r="I77" s="12">
        <f>IF(BANK_RAW!A77="","",E77-F77)</f>
        <v/>
      </c>
      <c r="J77" s="12">
        <f>IF(BANK_RAW!A77="","",ABS(I77))</f>
        <v/>
      </c>
      <c r="K77" s="11">
        <f>IF(BANK_RAW!A77="","",IF(H77="CR","IN","OUT"))</f>
        <v/>
      </c>
      <c r="L77" s="11" t="inlineStr"/>
      <c r="M77" s="11" t="inlineStr"/>
    </row>
    <row r="78">
      <c r="A78" s="13">
        <f>IF(BANK_RAW!A78="","",ROW()-1)</f>
        <v/>
      </c>
      <c r="B78" s="10">
        <f>IF(BANK_RAW!A78="","",IF(ISNUMBER(BANK_RAW!A78),BANK_RAW!A78,DATEVALUE(TEXT(BANK_RAW!A78,"YYYY-MM-DD"))))</f>
        <v/>
      </c>
      <c r="C78" s="11">
        <f>IF(BANK_RAW!A78="","",TRIM(BANK_RAW!B78))</f>
        <v/>
      </c>
      <c r="D78" s="11">
        <f>IF(BANK_RAW!A78="","",TRIM(BANK_RAW!C78))</f>
        <v/>
      </c>
      <c r="E78" s="12">
        <f>IF(BANK_RAW!A78="","",IFERROR(ABS(BANK_RAW!D78),0))</f>
        <v/>
      </c>
      <c r="F78" s="12">
        <f>IF(BANK_RAW!A78="","",IFERROR(ABS(BANK_RAW!E78),0))</f>
        <v/>
      </c>
      <c r="G78" s="12">
        <f>IF(BANK_RAW!A78="","",IFERROR(BANK_RAW!F78,0))</f>
        <v/>
      </c>
      <c r="H78" s="11">
        <f>IF(BANK_RAW!A78="","",IF(E78&gt;0,"CR",IF(F78&gt;0,"DR","CR")))</f>
        <v/>
      </c>
      <c r="I78" s="12">
        <f>IF(BANK_RAW!A78="","",E78-F78)</f>
        <v/>
      </c>
      <c r="J78" s="12">
        <f>IF(BANK_RAW!A78="","",ABS(I78))</f>
        <v/>
      </c>
      <c r="K78" s="11">
        <f>IF(BANK_RAW!A78="","",IF(H78="CR","IN","OUT"))</f>
        <v/>
      </c>
      <c r="L78" s="11" t="inlineStr"/>
      <c r="M78" s="11" t="inlineStr"/>
    </row>
    <row r="79">
      <c r="A79" s="13">
        <f>IF(BANK_RAW!A79="","",ROW()-1)</f>
        <v/>
      </c>
      <c r="B79" s="10">
        <f>IF(BANK_RAW!A79="","",IF(ISNUMBER(BANK_RAW!A79),BANK_RAW!A79,DATEVALUE(TEXT(BANK_RAW!A79,"YYYY-MM-DD"))))</f>
        <v/>
      </c>
      <c r="C79" s="11">
        <f>IF(BANK_RAW!A79="","",TRIM(BANK_RAW!B79))</f>
        <v/>
      </c>
      <c r="D79" s="11">
        <f>IF(BANK_RAW!A79="","",TRIM(BANK_RAW!C79))</f>
        <v/>
      </c>
      <c r="E79" s="12">
        <f>IF(BANK_RAW!A79="","",IFERROR(ABS(BANK_RAW!D79),0))</f>
        <v/>
      </c>
      <c r="F79" s="12">
        <f>IF(BANK_RAW!A79="","",IFERROR(ABS(BANK_RAW!E79),0))</f>
        <v/>
      </c>
      <c r="G79" s="12">
        <f>IF(BANK_RAW!A79="","",IFERROR(BANK_RAW!F79,0))</f>
        <v/>
      </c>
      <c r="H79" s="11">
        <f>IF(BANK_RAW!A79="","",IF(E79&gt;0,"CR",IF(F79&gt;0,"DR","CR")))</f>
        <v/>
      </c>
      <c r="I79" s="12">
        <f>IF(BANK_RAW!A79="","",E79-F79)</f>
        <v/>
      </c>
      <c r="J79" s="12">
        <f>IF(BANK_RAW!A79="","",ABS(I79))</f>
        <v/>
      </c>
      <c r="K79" s="11">
        <f>IF(BANK_RAW!A79="","",IF(H79="CR","IN","OUT"))</f>
        <v/>
      </c>
      <c r="L79" s="11" t="inlineStr"/>
      <c r="M79" s="11" t="inlineStr"/>
    </row>
    <row r="80">
      <c r="A80" s="13">
        <f>IF(BANK_RAW!A80="","",ROW()-1)</f>
        <v/>
      </c>
      <c r="B80" s="10">
        <f>IF(BANK_RAW!A80="","",IF(ISNUMBER(BANK_RAW!A80),BANK_RAW!A80,DATEVALUE(TEXT(BANK_RAW!A80,"YYYY-MM-DD"))))</f>
        <v/>
      </c>
      <c r="C80" s="11">
        <f>IF(BANK_RAW!A80="","",TRIM(BANK_RAW!B80))</f>
        <v/>
      </c>
      <c r="D80" s="11">
        <f>IF(BANK_RAW!A80="","",TRIM(BANK_RAW!C80))</f>
        <v/>
      </c>
      <c r="E80" s="12">
        <f>IF(BANK_RAW!A80="","",IFERROR(ABS(BANK_RAW!D80),0))</f>
        <v/>
      </c>
      <c r="F80" s="12">
        <f>IF(BANK_RAW!A80="","",IFERROR(ABS(BANK_RAW!E80),0))</f>
        <v/>
      </c>
      <c r="G80" s="12">
        <f>IF(BANK_RAW!A80="","",IFERROR(BANK_RAW!F80,0))</f>
        <v/>
      </c>
      <c r="H80" s="11">
        <f>IF(BANK_RAW!A80="","",IF(E80&gt;0,"CR",IF(F80&gt;0,"DR","CR")))</f>
        <v/>
      </c>
      <c r="I80" s="12">
        <f>IF(BANK_RAW!A80="","",E80-F80)</f>
        <v/>
      </c>
      <c r="J80" s="12">
        <f>IF(BANK_RAW!A80="","",ABS(I80))</f>
        <v/>
      </c>
      <c r="K80" s="11">
        <f>IF(BANK_RAW!A80="","",IF(H80="CR","IN","OUT"))</f>
        <v/>
      </c>
      <c r="L80" s="11" t="inlineStr"/>
      <c r="M80" s="11" t="inlineStr"/>
    </row>
    <row r="81">
      <c r="A81" s="13">
        <f>IF(BANK_RAW!A81="","",ROW()-1)</f>
        <v/>
      </c>
      <c r="B81" s="10">
        <f>IF(BANK_RAW!A81="","",IF(ISNUMBER(BANK_RAW!A81),BANK_RAW!A81,DATEVALUE(TEXT(BANK_RAW!A81,"YYYY-MM-DD"))))</f>
        <v/>
      </c>
      <c r="C81" s="11">
        <f>IF(BANK_RAW!A81="","",TRIM(BANK_RAW!B81))</f>
        <v/>
      </c>
      <c r="D81" s="11">
        <f>IF(BANK_RAW!A81="","",TRIM(BANK_RAW!C81))</f>
        <v/>
      </c>
      <c r="E81" s="12">
        <f>IF(BANK_RAW!A81="","",IFERROR(ABS(BANK_RAW!D81),0))</f>
        <v/>
      </c>
      <c r="F81" s="12">
        <f>IF(BANK_RAW!A81="","",IFERROR(ABS(BANK_RAW!E81),0))</f>
        <v/>
      </c>
      <c r="G81" s="12">
        <f>IF(BANK_RAW!A81="","",IFERROR(BANK_RAW!F81,0))</f>
        <v/>
      </c>
      <c r="H81" s="11">
        <f>IF(BANK_RAW!A81="","",IF(E81&gt;0,"CR",IF(F81&gt;0,"DR","CR")))</f>
        <v/>
      </c>
      <c r="I81" s="12">
        <f>IF(BANK_RAW!A81="","",E81-F81)</f>
        <v/>
      </c>
      <c r="J81" s="12">
        <f>IF(BANK_RAW!A81="","",ABS(I81))</f>
        <v/>
      </c>
      <c r="K81" s="11">
        <f>IF(BANK_RAW!A81="","",IF(H81="CR","IN","OUT"))</f>
        <v/>
      </c>
      <c r="L81" s="11" t="inlineStr"/>
      <c r="M81" s="11" t="inlineStr"/>
    </row>
    <row r="82">
      <c r="A82" s="13">
        <f>IF(BANK_RAW!A82="","",ROW()-1)</f>
        <v/>
      </c>
      <c r="B82" s="10">
        <f>IF(BANK_RAW!A82="","",IF(ISNUMBER(BANK_RAW!A82),BANK_RAW!A82,DATEVALUE(TEXT(BANK_RAW!A82,"YYYY-MM-DD"))))</f>
        <v/>
      </c>
      <c r="C82" s="11">
        <f>IF(BANK_RAW!A82="","",TRIM(BANK_RAW!B82))</f>
        <v/>
      </c>
      <c r="D82" s="11">
        <f>IF(BANK_RAW!A82="","",TRIM(BANK_RAW!C82))</f>
        <v/>
      </c>
      <c r="E82" s="12">
        <f>IF(BANK_RAW!A82="","",IFERROR(ABS(BANK_RAW!D82),0))</f>
        <v/>
      </c>
      <c r="F82" s="12">
        <f>IF(BANK_RAW!A82="","",IFERROR(ABS(BANK_RAW!E82),0))</f>
        <v/>
      </c>
      <c r="G82" s="12">
        <f>IF(BANK_RAW!A82="","",IFERROR(BANK_RAW!F82,0))</f>
        <v/>
      </c>
      <c r="H82" s="11">
        <f>IF(BANK_RAW!A82="","",IF(E82&gt;0,"CR",IF(F82&gt;0,"DR","CR")))</f>
        <v/>
      </c>
      <c r="I82" s="12">
        <f>IF(BANK_RAW!A82="","",E82-F82)</f>
        <v/>
      </c>
      <c r="J82" s="12">
        <f>IF(BANK_RAW!A82="","",ABS(I82))</f>
        <v/>
      </c>
      <c r="K82" s="11">
        <f>IF(BANK_RAW!A82="","",IF(H82="CR","IN","OUT"))</f>
        <v/>
      </c>
      <c r="L82" s="11" t="inlineStr"/>
      <c r="M82" s="11" t="inlineStr"/>
    </row>
    <row r="83">
      <c r="A83" s="13">
        <f>IF(BANK_RAW!A83="","",ROW()-1)</f>
        <v/>
      </c>
      <c r="B83" s="10">
        <f>IF(BANK_RAW!A83="","",IF(ISNUMBER(BANK_RAW!A83),BANK_RAW!A83,DATEVALUE(TEXT(BANK_RAW!A83,"YYYY-MM-DD"))))</f>
        <v/>
      </c>
      <c r="C83" s="11">
        <f>IF(BANK_RAW!A83="","",TRIM(BANK_RAW!B83))</f>
        <v/>
      </c>
      <c r="D83" s="11">
        <f>IF(BANK_RAW!A83="","",TRIM(BANK_RAW!C83))</f>
        <v/>
      </c>
      <c r="E83" s="12">
        <f>IF(BANK_RAW!A83="","",IFERROR(ABS(BANK_RAW!D83),0))</f>
        <v/>
      </c>
      <c r="F83" s="12">
        <f>IF(BANK_RAW!A83="","",IFERROR(ABS(BANK_RAW!E83),0))</f>
        <v/>
      </c>
      <c r="G83" s="12">
        <f>IF(BANK_RAW!A83="","",IFERROR(BANK_RAW!F83,0))</f>
        <v/>
      </c>
      <c r="H83" s="11">
        <f>IF(BANK_RAW!A83="","",IF(E83&gt;0,"CR",IF(F83&gt;0,"DR","CR")))</f>
        <v/>
      </c>
      <c r="I83" s="12">
        <f>IF(BANK_RAW!A83="","",E83-F83)</f>
        <v/>
      </c>
      <c r="J83" s="12">
        <f>IF(BANK_RAW!A83="","",ABS(I83))</f>
        <v/>
      </c>
      <c r="K83" s="11">
        <f>IF(BANK_RAW!A83="","",IF(H83="CR","IN","OUT"))</f>
        <v/>
      </c>
      <c r="L83" s="11" t="inlineStr"/>
      <c r="M83" s="11" t="inlineStr"/>
    </row>
    <row r="84">
      <c r="A84" s="13">
        <f>IF(BANK_RAW!A84="","",ROW()-1)</f>
        <v/>
      </c>
      <c r="B84" s="10">
        <f>IF(BANK_RAW!A84="","",IF(ISNUMBER(BANK_RAW!A84),BANK_RAW!A84,DATEVALUE(TEXT(BANK_RAW!A84,"YYYY-MM-DD"))))</f>
        <v/>
      </c>
      <c r="C84" s="11">
        <f>IF(BANK_RAW!A84="","",TRIM(BANK_RAW!B84))</f>
        <v/>
      </c>
      <c r="D84" s="11">
        <f>IF(BANK_RAW!A84="","",TRIM(BANK_RAW!C84))</f>
        <v/>
      </c>
      <c r="E84" s="12">
        <f>IF(BANK_RAW!A84="","",IFERROR(ABS(BANK_RAW!D84),0))</f>
        <v/>
      </c>
      <c r="F84" s="12">
        <f>IF(BANK_RAW!A84="","",IFERROR(ABS(BANK_RAW!E84),0))</f>
        <v/>
      </c>
      <c r="G84" s="12">
        <f>IF(BANK_RAW!A84="","",IFERROR(BANK_RAW!F84,0))</f>
        <v/>
      </c>
      <c r="H84" s="11">
        <f>IF(BANK_RAW!A84="","",IF(E84&gt;0,"CR",IF(F84&gt;0,"DR","CR")))</f>
        <v/>
      </c>
      <c r="I84" s="12">
        <f>IF(BANK_RAW!A84="","",E84-F84)</f>
        <v/>
      </c>
      <c r="J84" s="12">
        <f>IF(BANK_RAW!A84="","",ABS(I84))</f>
        <v/>
      </c>
      <c r="K84" s="11">
        <f>IF(BANK_RAW!A84="","",IF(H84="CR","IN","OUT"))</f>
        <v/>
      </c>
      <c r="L84" s="11" t="inlineStr"/>
      <c r="M84" s="11" t="inlineStr"/>
    </row>
    <row r="85">
      <c r="A85" s="13">
        <f>IF(BANK_RAW!A85="","",ROW()-1)</f>
        <v/>
      </c>
      <c r="B85" s="10">
        <f>IF(BANK_RAW!A85="","",IF(ISNUMBER(BANK_RAW!A85),BANK_RAW!A85,DATEVALUE(TEXT(BANK_RAW!A85,"YYYY-MM-DD"))))</f>
        <v/>
      </c>
      <c r="C85" s="11">
        <f>IF(BANK_RAW!A85="","",TRIM(BANK_RAW!B85))</f>
        <v/>
      </c>
      <c r="D85" s="11">
        <f>IF(BANK_RAW!A85="","",TRIM(BANK_RAW!C85))</f>
        <v/>
      </c>
      <c r="E85" s="12">
        <f>IF(BANK_RAW!A85="","",IFERROR(ABS(BANK_RAW!D85),0))</f>
        <v/>
      </c>
      <c r="F85" s="12">
        <f>IF(BANK_RAW!A85="","",IFERROR(ABS(BANK_RAW!E85),0))</f>
        <v/>
      </c>
      <c r="G85" s="12">
        <f>IF(BANK_RAW!A85="","",IFERROR(BANK_RAW!F85,0))</f>
        <v/>
      </c>
      <c r="H85" s="11">
        <f>IF(BANK_RAW!A85="","",IF(E85&gt;0,"CR",IF(F85&gt;0,"DR","CR")))</f>
        <v/>
      </c>
      <c r="I85" s="12">
        <f>IF(BANK_RAW!A85="","",E85-F85)</f>
        <v/>
      </c>
      <c r="J85" s="12">
        <f>IF(BANK_RAW!A85="","",ABS(I85))</f>
        <v/>
      </c>
      <c r="K85" s="11">
        <f>IF(BANK_RAW!A85="","",IF(H85="CR","IN","OUT"))</f>
        <v/>
      </c>
      <c r="L85" s="11" t="inlineStr"/>
      <c r="M85" s="11" t="inlineStr"/>
    </row>
    <row r="86">
      <c r="A86" s="13">
        <f>IF(BANK_RAW!A86="","",ROW()-1)</f>
        <v/>
      </c>
      <c r="B86" s="10">
        <f>IF(BANK_RAW!A86="","",IF(ISNUMBER(BANK_RAW!A86),BANK_RAW!A86,DATEVALUE(TEXT(BANK_RAW!A86,"YYYY-MM-DD"))))</f>
        <v/>
      </c>
      <c r="C86" s="11">
        <f>IF(BANK_RAW!A86="","",TRIM(BANK_RAW!B86))</f>
        <v/>
      </c>
      <c r="D86" s="11">
        <f>IF(BANK_RAW!A86="","",TRIM(BANK_RAW!C86))</f>
        <v/>
      </c>
      <c r="E86" s="12">
        <f>IF(BANK_RAW!A86="","",IFERROR(ABS(BANK_RAW!D86),0))</f>
        <v/>
      </c>
      <c r="F86" s="12">
        <f>IF(BANK_RAW!A86="","",IFERROR(ABS(BANK_RAW!E86),0))</f>
        <v/>
      </c>
      <c r="G86" s="12">
        <f>IF(BANK_RAW!A86="","",IFERROR(BANK_RAW!F86,0))</f>
        <v/>
      </c>
      <c r="H86" s="11">
        <f>IF(BANK_RAW!A86="","",IF(E86&gt;0,"CR",IF(F86&gt;0,"DR","CR")))</f>
        <v/>
      </c>
      <c r="I86" s="12">
        <f>IF(BANK_RAW!A86="","",E86-F86)</f>
        <v/>
      </c>
      <c r="J86" s="12">
        <f>IF(BANK_RAW!A86="","",ABS(I86))</f>
        <v/>
      </c>
      <c r="K86" s="11">
        <f>IF(BANK_RAW!A86="","",IF(H86="CR","IN","OUT"))</f>
        <v/>
      </c>
      <c r="L86" s="11" t="inlineStr"/>
      <c r="M86" s="11" t="inlineStr"/>
    </row>
    <row r="87">
      <c r="A87" s="13">
        <f>IF(BANK_RAW!A87="","",ROW()-1)</f>
        <v/>
      </c>
      <c r="B87" s="10">
        <f>IF(BANK_RAW!A87="","",IF(ISNUMBER(BANK_RAW!A87),BANK_RAW!A87,DATEVALUE(TEXT(BANK_RAW!A87,"YYYY-MM-DD"))))</f>
        <v/>
      </c>
      <c r="C87" s="11">
        <f>IF(BANK_RAW!A87="","",TRIM(BANK_RAW!B87))</f>
        <v/>
      </c>
      <c r="D87" s="11">
        <f>IF(BANK_RAW!A87="","",TRIM(BANK_RAW!C87))</f>
        <v/>
      </c>
      <c r="E87" s="12">
        <f>IF(BANK_RAW!A87="","",IFERROR(ABS(BANK_RAW!D87),0))</f>
        <v/>
      </c>
      <c r="F87" s="12">
        <f>IF(BANK_RAW!A87="","",IFERROR(ABS(BANK_RAW!E87),0))</f>
        <v/>
      </c>
      <c r="G87" s="12">
        <f>IF(BANK_RAW!A87="","",IFERROR(BANK_RAW!F87,0))</f>
        <v/>
      </c>
      <c r="H87" s="11">
        <f>IF(BANK_RAW!A87="","",IF(E87&gt;0,"CR",IF(F87&gt;0,"DR","CR")))</f>
        <v/>
      </c>
      <c r="I87" s="12">
        <f>IF(BANK_RAW!A87="","",E87-F87)</f>
        <v/>
      </c>
      <c r="J87" s="12">
        <f>IF(BANK_RAW!A87="","",ABS(I87))</f>
        <v/>
      </c>
      <c r="K87" s="11">
        <f>IF(BANK_RAW!A87="","",IF(H87="CR","IN","OUT"))</f>
        <v/>
      </c>
      <c r="L87" s="11" t="inlineStr"/>
      <c r="M87" s="11" t="inlineStr"/>
    </row>
    <row r="88">
      <c r="A88" s="13">
        <f>IF(BANK_RAW!A88="","",ROW()-1)</f>
        <v/>
      </c>
      <c r="B88" s="10">
        <f>IF(BANK_RAW!A88="","",IF(ISNUMBER(BANK_RAW!A88),BANK_RAW!A88,DATEVALUE(TEXT(BANK_RAW!A88,"YYYY-MM-DD"))))</f>
        <v/>
      </c>
      <c r="C88" s="11">
        <f>IF(BANK_RAW!A88="","",TRIM(BANK_RAW!B88))</f>
        <v/>
      </c>
      <c r="D88" s="11">
        <f>IF(BANK_RAW!A88="","",TRIM(BANK_RAW!C88))</f>
        <v/>
      </c>
      <c r="E88" s="12">
        <f>IF(BANK_RAW!A88="","",IFERROR(ABS(BANK_RAW!D88),0))</f>
        <v/>
      </c>
      <c r="F88" s="12">
        <f>IF(BANK_RAW!A88="","",IFERROR(ABS(BANK_RAW!E88),0))</f>
        <v/>
      </c>
      <c r="G88" s="12">
        <f>IF(BANK_RAW!A88="","",IFERROR(BANK_RAW!F88,0))</f>
        <v/>
      </c>
      <c r="H88" s="11">
        <f>IF(BANK_RAW!A88="","",IF(E88&gt;0,"CR",IF(F88&gt;0,"DR","CR")))</f>
        <v/>
      </c>
      <c r="I88" s="12">
        <f>IF(BANK_RAW!A88="","",E88-F88)</f>
        <v/>
      </c>
      <c r="J88" s="12">
        <f>IF(BANK_RAW!A88="","",ABS(I88))</f>
        <v/>
      </c>
      <c r="K88" s="11">
        <f>IF(BANK_RAW!A88="","",IF(H88="CR","IN","OUT"))</f>
        <v/>
      </c>
      <c r="L88" s="11" t="inlineStr"/>
      <c r="M88" s="11" t="inlineStr"/>
    </row>
    <row r="89">
      <c r="A89" s="13">
        <f>IF(BANK_RAW!A89="","",ROW()-1)</f>
        <v/>
      </c>
      <c r="B89" s="10">
        <f>IF(BANK_RAW!A89="","",IF(ISNUMBER(BANK_RAW!A89),BANK_RAW!A89,DATEVALUE(TEXT(BANK_RAW!A89,"YYYY-MM-DD"))))</f>
        <v/>
      </c>
      <c r="C89" s="11">
        <f>IF(BANK_RAW!A89="","",TRIM(BANK_RAW!B89))</f>
        <v/>
      </c>
      <c r="D89" s="11">
        <f>IF(BANK_RAW!A89="","",TRIM(BANK_RAW!C89))</f>
        <v/>
      </c>
      <c r="E89" s="12">
        <f>IF(BANK_RAW!A89="","",IFERROR(ABS(BANK_RAW!D89),0))</f>
        <v/>
      </c>
      <c r="F89" s="12">
        <f>IF(BANK_RAW!A89="","",IFERROR(ABS(BANK_RAW!E89),0))</f>
        <v/>
      </c>
      <c r="G89" s="12">
        <f>IF(BANK_RAW!A89="","",IFERROR(BANK_RAW!F89,0))</f>
        <v/>
      </c>
      <c r="H89" s="11">
        <f>IF(BANK_RAW!A89="","",IF(E89&gt;0,"CR",IF(F89&gt;0,"DR","CR")))</f>
        <v/>
      </c>
      <c r="I89" s="12">
        <f>IF(BANK_RAW!A89="","",E89-F89)</f>
        <v/>
      </c>
      <c r="J89" s="12">
        <f>IF(BANK_RAW!A89="","",ABS(I89))</f>
        <v/>
      </c>
      <c r="K89" s="11">
        <f>IF(BANK_RAW!A89="","",IF(H89="CR","IN","OUT"))</f>
        <v/>
      </c>
      <c r="L89" s="11" t="inlineStr"/>
      <c r="M89" s="11" t="inlineStr"/>
    </row>
    <row r="90">
      <c r="A90" s="13">
        <f>IF(BANK_RAW!A90="","",ROW()-1)</f>
        <v/>
      </c>
      <c r="B90" s="10">
        <f>IF(BANK_RAW!A90="","",IF(ISNUMBER(BANK_RAW!A90),BANK_RAW!A90,DATEVALUE(TEXT(BANK_RAW!A90,"YYYY-MM-DD"))))</f>
        <v/>
      </c>
      <c r="C90" s="11">
        <f>IF(BANK_RAW!A90="","",TRIM(BANK_RAW!B90))</f>
        <v/>
      </c>
      <c r="D90" s="11">
        <f>IF(BANK_RAW!A90="","",TRIM(BANK_RAW!C90))</f>
        <v/>
      </c>
      <c r="E90" s="12">
        <f>IF(BANK_RAW!A90="","",IFERROR(ABS(BANK_RAW!D90),0))</f>
        <v/>
      </c>
      <c r="F90" s="12">
        <f>IF(BANK_RAW!A90="","",IFERROR(ABS(BANK_RAW!E90),0))</f>
        <v/>
      </c>
      <c r="G90" s="12">
        <f>IF(BANK_RAW!A90="","",IFERROR(BANK_RAW!F90,0))</f>
        <v/>
      </c>
      <c r="H90" s="11">
        <f>IF(BANK_RAW!A90="","",IF(E90&gt;0,"CR",IF(F90&gt;0,"DR","CR")))</f>
        <v/>
      </c>
      <c r="I90" s="12">
        <f>IF(BANK_RAW!A90="","",E90-F90)</f>
        <v/>
      </c>
      <c r="J90" s="12">
        <f>IF(BANK_RAW!A90="","",ABS(I90))</f>
        <v/>
      </c>
      <c r="K90" s="11">
        <f>IF(BANK_RAW!A90="","",IF(H90="CR","IN","OUT"))</f>
        <v/>
      </c>
      <c r="L90" s="11" t="inlineStr"/>
      <c r="M90" s="11" t="inlineStr"/>
    </row>
    <row r="91">
      <c r="A91" s="13">
        <f>IF(BANK_RAW!A91="","",ROW()-1)</f>
        <v/>
      </c>
      <c r="B91" s="10">
        <f>IF(BANK_RAW!A91="","",IF(ISNUMBER(BANK_RAW!A91),BANK_RAW!A91,DATEVALUE(TEXT(BANK_RAW!A91,"YYYY-MM-DD"))))</f>
        <v/>
      </c>
      <c r="C91" s="11">
        <f>IF(BANK_RAW!A91="","",TRIM(BANK_RAW!B91))</f>
        <v/>
      </c>
      <c r="D91" s="11">
        <f>IF(BANK_RAW!A91="","",TRIM(BANK_RAW!C91))</f>
        <v/>
      </c>
      <c r="E91" s="12">
        <f>IF(BANK_RAW!A91="","",IFERROR(ABS(BANK_RAW!D91),0))</f>
        <v/>
      </c>
      <c r="F91" s="12">
        <f>IF(BANK_RAW!A91="","",IFERROR(ABS(BANK_RAW!E91),0))</f>
        <v/>
      </c>
      <c r="G91" s="12">
        <f>IF(BANK_RAW!A91="","",IFERROR(BANK_RAW!F91,0))</f>
        <v/>
      </c>
      <c r="H91" s="11">
        <f>IF(BANK_RAW!A91="","",IF(E91&gt;0,"CR",IF(F91&gt;0,"DR","CR")))</f>
        <v/>
      </c>
      <c r="I91" s="12">
        <f>IF(BANK_RAW!A91="","",E91-F91)</f>
        <v/>
      </c>
      <c r="J91" s="12">
        <f>IF(BANK_RAW!A91="","",ABS(I91))</f>
        <v/>
      </c>
      <c r="K91" s="11">
        <f>IF(BANK_RAW!A91="","",IF(H91="CR","IN","OUT"))</f>
        <v/>
      </c>
      <c r="L91" s="11" t="inlineStr"/>
      <c r="M91" s="11" t="inlineStr"/>
    </row>
    <row r="92">
      <c r="A92" s="13">
        <f>IF(BANK_RAW!A92="","",ROW()-1)</f>
        <v/>
      </c>
      <c r="B92" s="10">
        <f>IF(BANK_RAW!A92="","",IF(ISNUMBER(BANK_RAW!A92),BANK_RAW!A92,DATEVALUE(TEXT(BANK_RAW!A92,"YYYY-MM-DD"))))</f>
        <v/>
      </c>
      <c r="C92" s="11">
        <f>IF(BANK_RAW!A92="","",TRIM(BANK_RAW!B92))</f>
        <v/>
      </c>
      <c r="D92" s="11">
        <f>IF(BANK_RAW!A92="","",TRIM(BANK_RAW!C92))</f>
        <v/>
      </c>
      <c r="E92" s="12">
        <f>IF(BANK_RAW!A92="","",IFERROR(ABS(BANK_RAW!D92),0))</f>
        <v/>
      </c>
      <c r="F92" s="12">
        <f>IF(BANK_RAW!A92="","",IFERROR(ABS(BANK_RAW!E92),0))</f>
        <v/>
      </c>
      <c r="G92" s="12">
        <f>IF(BANK_RAW!A92="","",IFERROR(BANK_RAW!F92,0))</f>
        <v/>
      </c>
      <c r="H92" s="11">
        <f>IF(BANK_RAW!A92="","",IF(E92&gt;0,"CR",IF(F92&gt;0,"DR","CR")))</f>
        <v/>
      </c>
      <c r="I92" s="12">
        <f>IF(BANK_RAW!A92="","",E92-F92)</f>
        <v/>
      </c>
      <c r="J92" s="12">
        <f>IF(BANK_RAW!A92="","",ABS(I92))</f>
        <v/>
      </c>
      <c r="K92" s="11">
        <f>IF(BANK_RAW!A92="","",IF(H92="CR","IN","OUT"))</f>
        <v/>
      </c>
      <c r="L92" s="11" t="inlineStr"/>
      <c r="M92" s="11" t="inlineStr"/>
    </row>
    <row r="93">
      <c r="A93" s="13">
        <f>IF(BANK_RAW!A93="","",ROW()-1)</f>
        <v/>
      </c>
      <c r="B93" s="10">
        <f>IF(BANK_RAW!A93="","",IF(ISNUMBER(BANK_RAW!A93),BANK_RAW!A93,DATEVALUE(TEXT(BANK_RAW!A93,"YYYY-MM-DD"))))</f>
        <v/>
      </c>
      <c r="C93" s="11">
        <f>IF(BANK_RAW!A93="","",TRIM(BANK_RAW!B93))</f>
        <v/>
      </c>
      <c r="D93" s="11">
        <f>IF(BANK_RAW!A93="","",TRIM(BANK_RAW!C93))</f>
        <v/>
      </c>
      <c r="E93" s="12">
        <f>IF(BANK_RAW!A93="","",IFERROR(ABS(BANK_RAW!D93),0))</f>
        <v/>
      </c>
      <c r="F93" s="12">
        <f>IF(BANK_RAW!A93="","",IFERROR(ABS(BANK_RAW!E93),0))</f>
        <v/>
      </c>
      <c r="G93" s="12">
        <f>IF(BANK_RAW!A93="","",IFERROR(BANK_RAW!F93,0))</f>
        <v/>
      </c>
      <c r="H93" s="11">
        <f>IF(BANK_RAW!A93="","",IF(E93&gt;0,"CR",IF(F93&gt;0,"DR","CR")))</f>
        <v/>
      </c>
      <c r="I93" s="12">
        <f>IF(BANK_RAW!A93="","",E93-F93)</f>
        <v/>
      </c>
      <c r="J93" s="12">
        <f>IF(BANK_RAW!A93="","",ABS(I93))</f>
        <v/>
      </c>
      <c r="K93" s="11">
        <f>IF(BANK_RAW!A93="","",IF(H93="CR","IN","OUT"))</f>
        <v/>
      </c>
      <c r="L93" s="11" t="inlineStr"/>
      <c r="M93" s="11" t="inlineStr"/>
    </row>
    <row r="94">
      <c r="A94" s="13">
        <f>IF(BANK_RAW!A94="","",ROW()-1)</f>
        <v/>
      </c>
      <c r="B94" s="10">
        <f>IF(BANK_RAW!A94="","",IF(ISNUMBER(BANK_RAW!A94),BANK_RAW!A94,DATEVALUE(TEXT(BANK_RAW!A94,"YYYY-MM-DD"))))</f>
        <v/>
      </c>
      <c r="C94" s="11">
        <f>IF(BANK_RAW!A94="","",TRIM(BANK_RAW!B94))</f>
        <v/>
      </c>
      <c r="D94" s="11">
        <f>IF(BANK_RAW!A94="","",TRIM(BANK_RAW!C94))</f>
        <v/>
      </c>
      <c r="E94" s="12">
        <f>IF(BANK_RAW!A94="","",IFERROR(ABS(BANK_RAW!D94),0))</f>
        <v/>
      </c>
      <c r="F94" s="12">
        <f>IF(BANK_RAW!A94="","",IFERROR(ABS(BANK_RAW!E94),0))</f>
        <v/>
      </c>
      <c r="G94" s="12">
        <f>IF(BANK_RAW!A94="","",IFERROR(BANK_RAW!F94,0))</f>
        <v/>
      </c>
      <c r="H94" s="11">
        <f>IF(BANK_RAW!A94="","",IF(E94&gt;0,"CR",IF(F94&gt;0,"DR","CR")))</f>
        <v/>
      </c>
      <c r="I94" s="12">
        <f>IF(BANK_RAW!A94="","",E94-F94)</f>
        <v/>
      </c>
      <c r="J94" s="12">
        <f>IF(BANK_RAW!A94="","",ABS(I94))</f>
        <v/>
      </c>
      <c r="K94" s="11">
        <f>IF(BANK_RAW!A94="","",IF(H94="CR","IN","OUT"))</f>
        <v/>
      </c>
      <c r="L94" s="11" t="inlineStr"/>
      <c r="M94" s="11" t="inlineStr"/>
    </row>
    <row r="95">
      <c r="A95" s="13">
        <f>IF(BANK_RAW!A95="","",ROW()-1)</f>
        <v/>
      </c>
      <c r="B95" s="10">
        <f>IF(BANK_RAW!A95="","",IF(ISNUMBER(BANK_RAW!A95),BANK_RAW!A95,DATEVALUE(TEXT(BANK_RAW!A95,"YYYY-MM-DD"))))</f>
        <v/>
      </c>
      <c r="C95" s="11">
        <f>IF(BANK_RAW!A95="","",TRIM(BANK_RAW!B95))</f>
        <v/>
      </c>
      <c r="D95" s="11">
        <f>IF(BANK_RAW!A95="","",TRIM(BANK_RAW!C95))</f>
        <v/>
      </c>
      <c r="E95" s="12">
        <f>IF(BANK_RAW!A95="","",IFERROR(ABS(BANK_RAW!D95),0))</f>
        <v/>
      </c>
      <c r="F95" s="12">
        <f>IF(BANK_RAW!A95="","",IFERROR(ABS(BANK_RAW!E95),0))</f>
        <v/>
      </c>
      <c r="G95" s="12">
        <f>IF(BANK_RAW!A95="","",IFERROR(BANK_RAW!F95,0))</f>
        <v/>
      </c>
      <c r="H95" s="11">
        <f>IF(BANK_RAW!A95="","",IF(E95&gt;0,"CR",IF(F95&gt;0,"DR","CR")))</f>
        <v/>
      </c>
      <c r="I95" s="12">
        <f>IF(BANK_RAW!A95="","",E95-F95)</f>
        <v/>
      </c>
      <c r="J95" s="12">
        <f>IF(BANK_RAW!A95="","",ABS(I95))</f>
        <v/>
      </c>
      <c r="K95" s="11">
        <f>IF(BANK_RAW!A95="","",IF(H95="CR","IN","OUT"))</f>
        <v/>
      </c>
      <c r="L95" s="11" t="inlineStr"/>
      <c r="M95" s="11" t="inlineStr"/>
    </row>
    <row r="96">
      <c r="A96" s="13">
        <f>IF(BANK_RAW!A96="","",ROW()-1)</f>
        <v/>
      </c>
      <c r="B96" s="10">
        <f>IF(BANK_RAW!A96="","",IF(ISNUMBER(BANK_RAW!A96),BANK_RAW!A96,DATEVALUE(TEXT(BANK_RAW!A96,"YYYY-MM-DD"))))</f>
        <v/>
      </c>
      <c r="C96" s="11">
        <f>IF(BANK_RAW!A96="","",TRIM(BANK_RAW!B96))</f>
        <v/>
      </c>
      <c r="D96" s="11">
        <f>IF(BANK_RAW!A96="","",TRIM(BANK_RAW!C96))</f>
        <v/>
      </c>
      <c r="E96" s="12">
        <f>IF(BANK_RAW!A96="","",IFERROR(ABS(BANK_RAW!D96),0))</f>
        <v/>
      </c>
      <c r="F96" s="12">
        <f>IF(BANK_RAW!A96="","",IFERROR(ABS(BANK_RAW!E96),0))</f>
        <v/>
      </c>
      <c r="G96" s="12">
        <f>IF(BANK_RAW!A96="","",IFERROR(BANK_RAW!F96,0))</f>
        <v/>
      </c>
      <c r="H96" s="11">
        <f>IF(BANK_RAW!A96="","",IF(E96&gt;0,"CR",IF(F96&gt;0,"DR","CR")))</f>
        <v/>
      </c>
      <c r="I96" s="12">
        <f>IF(BANK_RAW!A96="","",E96-F96)</f>
        <v/>
      </c>
      <c r="J96" s="12">
        <f>IF(BANK_RAW!A96="","",ABS(I96))</f>
        <v/>
      </c>
      <c r="K96" s="11">
        <f>IF(BANK_RAW!A96="","",IF(H96="CR","IN","OUT"))</f>
        <v/>
      </c>
      <c r="L96" s="11" t="inlineStr"/>
      <c r="M96" s="11" t="inlineStr"/>
    </row>
    <row r="97">
      <c r="A97" s="13">
        <f>IF(BANK_RAW!A97="","",ROW()-1)</f>
        <v/>
      </c>
      <c r="B97" s="10">
        <f>IF(BANK_RAW!A97="","",IF(ISNUMBER(BANK_RAW!A97),BANK_RAW!A97,DATEVALUE(TEXT(BANK_RAW!A97,"YYYY-MM-DD"))))</f>
        <v/>
      </c>
      <c r="C97" s="11">
        <f>IF(BANK_RAW!A97="","",TRIM(BANK_RAW!B97))</f>
        <v/>
      </c>
      <c r="D97" s="11">
        <f>IF(BANK_RAW!A97="","",TRIM(BANK_RAW!C97))</f>
        <v/>
      </c>
      <c r="E97" s="12">
        <f>IF(BANK_RAW!A97="","",IFERROR(ABS(BANK_RAW!D97),0))</f>
        <v/>
      </c>
      <c r="F97" s="12">
        <f>IF(BANK_RAW!A97="","",IFERROR(ABS(BANK_RAW!E97),0))</f>
        <v/>
      </c>
      <c r="G97" s="12">
        <f>IF(BANK_RAW!A97="","",IFERROR(BANK_RAW!F97,0))</f>
        <v/>
      </c>
      <c r="H97" s="11">
        <f>IF(BANK_RAW!A97="","",IF(E97&gt;0,"CR",IF(F97&gt;0,"DR","CR")))</f>
        <v/>
      </c>
      <c r="I97" s="12">
        <f>IF(BANK_RAW!A97="","",E97-F97)</f>
        <v/>
      </c>
      <c r="J97" s="12">
        <f>IF(BANK_RAW!A97="","",ABS(I97))</f>
        <v/>
      </c>
      <c r="K97" s="11">
        <f>IF(BANK_RAW!A97="","",IF(H97="CR","IN","OUT"))</f>
        <v/>
      </c>
      <c r="L97" s="11" t="inlineStr"/>
      <c r="M97" s="11" t="inlineStr"/>
    </row>
    <row r="98">
      <c r="A98" s="13">
        <f>IF(BANK_RAW!A98="","",ROW()-1)</f>
        <v/>
      </c>
      <c r="B98" s="10">
        <f>IF(BANK_RAW!A98="","",IF(ISNUMBER(BANK_RAW!A98),BANK_RAW!A98,DATEVALUE(TEXT(BANK_RAW!A98,"YYYY-MM-DD"))))</f>
        <v/>
      </c>
      <c r="C98" s="11">
        <f>IF(BANK_RAW!A98="","",TRIM(BANK_RAW!B98))</f>
        <v/>
      </c>
      <c r="D98" s="11">
        <f>IF(BANK_RAW!A98="","",TRIM(BANK_RAW!C98))</f>
        <v/>
      </c>
      <c r="E98" s="12">
        <f>IF(BANK_RAW!A98="","",IFERROR(ABS(BANK_RAW!D98),0))</f>
        <v/>
      </c>
      <c r="F98" s="12">
        <f>IF(BANK_RAW!A98="","",IFERROR(ABS(BANK_RAW!E98),0))</f>
        <v/>
      </c>
      <c r="G98" s="12">
        <f>IF(BANK_RAW!A98="","",IFERROR(BANK_RAW!F98,0))</f>
        <v/>
      </c>
      <c r="H98" s="11">
        <f>IF(BANK_RAW!A98="","",IF(E98&gt;0,"CR",IF(F98&gt;0,"DR","CR")))</f>
        <v/>
      </c>
      <c r="I98" s="12">
        <f>IF(BANK_RAW!A98="","",E98-F98)</f>
        <v/>
      </c>
      <c r="J98" s="12">
        <f>IF(BANK_RAW!A98="","",ABS(I98))</f>
        <v/>
      </c>
      <c r="K98" s="11">
        <f>IF(BANK_RAW!A98="","",IF(H98="CR","IN","OUT"))</f>
        <v/>
      </c>
      <c r="L98" s="11" t="inlineStr"/>
      <c r="M98" s="11" t="inlineStr"/>
    </row>
    <row r="99">
      <c r="A99" s="13">
        <f>IF(BANK_RAW!A99="","",ROW()-1)</f>
        <v/>
      </c>
      <c r="B99" s="10">
        <f>IF(BANK_RAW!A99="","",IF(ISNUMBER(BANK_RAW!A99),BANK_RAW!A99,DATEVALUE(TEXT(BANK_RAW!A99,"YYYY-MM-DD"))))</f>
        <v/>
      </c>
      <c r="C99" s="11">
        <f>IF(BANK_RAW!A99="","",TRIM(BANK_RAW!B99))</f>
        <v/>
      </c>
      <c r="D99" s="11">
        <f>IF(BANK_RAW!A99="","",TRIM(BANK_RAW!C99))</f>
        <v/>
      </c>
      <c r="E99" s="12">
        <f>IF(BANK_RAW!A99="","",IFERROR(ABS(BANK_RAW!D99),0))</f>
        <v/>
      </c>
      <c r="F99" s="12">
        <f>IF(BANK_RAW!A99="","",IFERROR(ABS(BANK_RAW!E99),0))</f>
        <v/>
      </c>
      <c r="G99" s="12">
        <f>IF(BANK_RAW!A99="","",IFERROR(BANK_RAW!F99,0))</f>
        <v/>
      </c>
      <c r="H99" s="11">
        <f>IF(BANK_RAW!A99="","",IF(E99&gt;0,"CR",IF(F99&gt;0,"DR","CR")))</f>
        <v/>
      </c>
      <c r="I99" s="12">
        <f>IF(BANK_RAW!A99="","",E99-F99)</f>
        <v/>
      </c>
      <c r="J99" s="12">
        <f>IF(BANK_RAW!A99="","",ABS(I99))</f>
        <v/>
      </c>
      <c r="K99" s="11">
        <f>IF(BANK_RAW!A99="","",IF(H99="CR","IN","OUT"))</f>
        <v/>
      </c>
      <c r="L99" s="11" t="inlineStr"/>
      <c r="M99" s="11" t="inlineStr"/>
    </row>
    <row r="100">
      <c r="A100" s="13">
        <f>IF(BANK_RAW!A100="","",ROW()-1)</f>
        <v/>
      </c>
      <c r="B100" s="10">
        <f>IF(BANK_RAW!A100="","",IF(ISNUMBER(BANK_RAW!A100),BANK_RAW!A100,DATEVALUE(TEXT(BANK_RAW!A100,"YYYY-MM-DD"))))</f>
        <v/>
      </c>
      <c r="C100" s="11">
        <f>IF(BANK_RAW!A100="","",TRIM(BANK_RAW!B100))</f>
        <v/>
      </c>
      <c r="D100" s="11">
        <f>IF(BANK_RAW!A100="","",TRIM(BANK_RAW!C100))</f>
        <v/>
      </c>
      <c r="E100" s="12">
        <f>IF(BANK_RAW!A100="","",IFERROR(ABS(BANK_RAW!D100),0))</f>
        <v/>
      </c>
      <c r="F100" s="12">
        <f>IF(BANK_RAW!A100="","",IFERROR(ABS(BANK_RAW!E100),0))</f>
        <v/>
      </c>
      <c r="G100" s="12">
        <f>IF(BANK_RAW!A100="","",IFERROR(BANK_RAW!F100,0))</f>
        <v/>
      </c>
      <c r="H100" s="11">
        <f>IF(BANK_RAW!A100="","",IF(E100&gt;0,"CR",IF(F100&gt;0,"DR","CR")))</f>
        <v/>
      </c>
      <c r="I100" s="12">
        <f>IF(BANK_RAW!A100="","",E100-F100)</f>
        <v/>
      </c>
      <c r="J100" s="12">
        <f>IF(BANK_RAW!A100="","",ABS(I100))</f>
        <v/>
      </c>
      <c r="K100" s="11">
        <f>IF(BANK_RAW!A100="","",IF(H100="CR","IN","OUT"))</f>
        <v/>
      </c>
      <c r="L100" s="11" t="inlineStr"/>
      <c r="M100" s="11" t="inlineStr"/>
    </row>
    <row r="101">
      <c r="A101" s="13">
        <f>IF(BANK_RAW!A101="","",ROW()-1)</f>
        <v/>
      </c>
      <c r="B101" s="10">
        <f>IF(BANK_RAW!A101="","",IF(ISNUMBER(BANK_RAW!A101),BANK_RAW!A101,DATEVALUE(TEXT(BANK_RAW!A101,"YYYY-MM-DD"))))</f>
        <v/>
      </c>
      <c r="C101" s="11">
        <f>IF(BANK_RAW!A101="","",TRIM(BANK_RAW!B101))</f>
        <v/>
      </c>
      <c r="D101" s="11">
        <f>IF(BANK_RAW!A101="","",TRIM(BANK_RAW!C101))</f>
        <v/>
      </c>
      <c r="E101" s="12">
        <f>IF(BANK_RAW!A101="","",IFERROR(ABS(BANK_RAW!D101),0))</f>
        <v/>
      </c>
      <c r="F101" s="12">
        <f>IF(BANK_RAW!A101="","",IFERROR(ABS(BANK_RAW!E101),0))</f>
        <v/>
      </c>
      <c r="G101" s="12">
        <f>IF(BANK_RAW!A101="","",IFERROR(BANK_RAW!F101,0))</f>
        <v/>
      </c>
      <c r="H101" s="11">
        <f>IF(BANK_RAW!A101="","",IF(E101&gt;0,"CR",IF(F101&gt;0,"DR","CR")))</f>
        <v/>
      </c>
      <c r="I101" s="12">
        <f>IF(BANK_RAW!A101="","",E101-F101)</f>
        <v/>
      </c>
      <c r="J101" s="12">
        <f>IF(BANK_RAW!A101="","",ABS(I101))</f>
        <v/>
      </c>
      <c r="K101" s="11">
        <f>IF(BANK_RAW!A101="","",IF(H101="CR","IN","OUT"))</f>
        <v/>
      </c>
      <c r="L101" s="11" t="inlineStr"/>
      <c r="M101" s="11" t="inlineStr"/>
    </row>
    <row r="102">
      <c r="A102" s="13">
        <f>IF(BANK_RAW!A102="","",ROW()-1)</f>
        <v/>
      </c>
      <c r="B102" s="10">
        <f>IF(BANK_RAW!A102="","",IF(ISNUMBER(BANK_RAW!A102),BANK_RAW!A102,DATEVALUE(TEXT(BANK_RAW!A102,"YYYY-MM-DD"))))</f>
        <v/>
      </c>
      <c r="C102" s="11">
        <f>IF(BANK_RAW!A102="","",TRIM(BANK_RAW!B102))</f>
        <v/>
      </c>
      <c r="D102" s="11">
        <f>IF(BANK_RAW!A102="","",TRIM(BANK_RAW!C102))</f>
        <v/>
      </c>
      <c r="E102" s="12">
        <f>IF(BANK_RAW!A102="","",IFERROR(ABS(BANK_RAW!D102),0))</f>
        <v/>
      </c>
      <c r="F102" s="12">
        <f>IF(BANK_RAW!A102="","",IFERROR(ABS(BANK_RAW!E102),0))</f>
        <v/>
      </c>
      <c r="G102" s="12">
        <f>IF(BANK_RAW!A102="","",IFERROR(BANK_RAW!F102,0))</f>
        <v/>
      </c>
      <c r="H102" s="11">
        <f>IF(BANK_RAW!A102="","",IF(E102&gt;0,"CR",IF(F102&gt;0,"DR","CR")))</f>
        <v/>
      </c>
      <c r="I102" s="12">
        <f>IF(BANK_RAW!A102="","",E102-F102)</f>
        <v/>
      </c>
      <c r="J102" s="12">
        <f>IF(BANK_RAW!A102="","",ABS(I102))</f>
        <v/>
      </c>
      <c r="K102" s="11">
        <f>IF(BANK_RAW!A102="","",IF(H102="CR","IN","OUT"))</f>
        <v/>
      </c>
      <c r="L102" s="11" t="inlineStr"/>
      <c r="M102" s="11" t="inlineStr"/>
    </row>
    <row r="103">
      <c r="A103" s="13">
        <f>IF(BANK_RAW!A103="","",ROW()-1)</f>
        <v/>
      </c>
      <c r="B103" s="10">
        <f>IF(BANK_RAW!A103="","",IF(ISNUMBER(BANK_RAW!A103),BANK_RAW!A103,DATEVALUE(TEXT(BANK_RAW!A103,"YYYY-MM-DD"))))</f>
        <v/>
      </c>
      <c r="C103" s="11">
        <f>IF(BANK_RAW!A103="","",TRIM(BANK_RAW!B103))</f>
        <v/>
      </c>
      <c r="D103" s="11">
        <f>IF(BANK_RAW!A103="","",TRIM(BANK_RAW!C103))</f>
        <v/>
      </c>
      <c r="E103" s="12">
        <f>IF(BANK_RAW!A103="","",IFERROR(ABS(BANK_RAW!D103),0))</f>
        <v/>
      </c>
      <c r="F103" s="12">
        <f>IF(BANK_RAW!A103="","",IFERROR(ABS(BANK_RAW!E103),0))</f>
        <v/>
      </c>
      <c r="G103" s="12">
        <f>IF(BANK_RAW!A103="","",IFERROR(BANK_RAW!F103,0))</f>
        <v/>
      </c>
      <c r="H103" s="11">
        <f>IF(BANK_RAW!A103="","",IF(E103&gt;0,"CR",IF(F103&gt;0,"DR","CR")))</f>
        <v/>
      </c>
      <c r="I103" s="12">
        <f>IF(BANK_RAW!A103="","",E103-F103)</f>
        <v/>
      </c>
      <c r="J103" s="12">
        <f>IF(BANK_RAW!A103="","",ABS(I103))</f>
        <v/>
      </c>
      <c r="K103" s="11">
        <f>IF(BANK_RAW!A103="","",IF(H103="CR","IN","OUT"))</f>
        <v/>
      </c>
      <c r="L103" s="11" t="inlineStr"/>
      <c r="M103" s="11" t="inlineStr"/>
    </row>
    <row r="104">
      <c r="A104" s="13">
        <f>IF(BANK_RAW!A104="","",ROW()-1)</f>
        <v/>
      </c>
      <c r="B104" s="10">
        <f>IF(BANK_RAW!A104="","",IF(ISNUMBER(BANK_RAW!A104),BANK_RAW!A104,DATEVALUE(TEXT(BANK_RAW!A104,"YYYY-MM-DD"))))</f>
        <v/>
      </c>
      <c r="C104" s="11">
        <f>IF(BANK_RAW!A104="","",TRIM(BANK_RAW!B104))</f>
        <v/>
      </c>
      <c r="D104" s="11">
        <f>IF(BANK_RAW!A104="","",TRIM(BANK_RAW!C104))</f>
        <v/>
      </c>
      <c r="E104" s="12">
        <f>IF(BANK_RAW!A104="","",IFERROR(ABS(BANK_RAW!D104),0))</f>
        <v/>
      </c>
      <c r="F104" s="12">
        <f>IF(BANK_RAW!A104="","",IFERROR(ABS(BANK_RAW!E104),0))</f>
        <v/>
      </c>
      <c r="G104" s="12">
        <f>IF(BANK_RAW!A104="","",IFERROR(BANK_RAW!F104,0))</f>
        <v/>
      </c>
      <c r="H104" s="11">
        <f>IF(BANK_RAW!A104="","",IF(E104&gt;0,"CR",IF(F104&gt;0,"DR","CR")))</f>
        <v/>
      </c>
      <c r="I104" s="12">
        <f>IF(BANK_RAW!A104="","",E104-F104)</f>
        <v/>
      </c>
      <c r="J104" s="12">
        <f>IF(BANK_RAW!A104="","",ABS(I104))</f>
        <v/>
      </c>
      <c r="K104" s="11">
        <f>IF(BANK_RAW!A104="","",IF(H104="CR","IN","OUT"))</f>
        <v/>
      </c>
      <c r="L104" s="11" t="inlineStr"/>
      <c r="M104" s="11" t="inlineStr"/>
    </row>
    <row r="105">
      <c r="A105" s="13">
        <f>IF(BANK_RAW!A105="","",ROW()-1)</f>
        <v/>
      </c>
      <c r="B105" s="10">
        <f>IF(BANK_RAW!A105="","",IF(ISNUMBER(BANK_RAW!A105),BANK_RAW!A105,DATEVALUE(TEXT(BANK_RAW!A105,"YYYY-MM-DD"))))</f>
        <v/>
      </c>
      <c r="C105" s="11">
        <f>IF(BANK_RAW!A105="","",TRIM(BANK_RAW!B105))</f>
        <v/>
      </c>
      <c r="D105" s="11">
        <f>IF(BANK_RAW!A105="","",TRIM(BANK_RAW!C105))</f>
        <v/>
      </c>
      <c r="E105" s="12">
        <f>IF(BANK_RAW!A105="","",IFERROR(ABS(BANK_RAW!D105),0))</f>
        <v/>
      </c>
      <c r="F105" s="12">
        <f>IF(BANK_RAW!A105="","",IFERROR(ABS(BANK_RAW!E105),0))</f>
        <v/>
      </c>
      <c r="G105" s="12">
        <f>IF(BANK_RAW!A105="","",IFERROR(BANK_RAW!F105,0))</f>
        <v/>
      </c>
      <c r="H105" s="11">
        <f>IF(BANK_RAW!A105="","",IF(E105&gt;0,"CR",IF(F105&gt;0,"DR","CR")))</f>
        <v/>
      </c>
      <c r="I105" s="12">
        <f>IF(BANK_RAW!A105="","",E105-F105)</f>
        <v/>
      </c>
      <c r="J105" s="12">
        <f>IF(BANK_RAW!A105="","",ABS(I105))</f>
        <v/>
      </c>
      <c r="K105" s="11">
        <f>IF(BANK_RAW!A105="","",IF(H105="CR","IN","OUT"))</f>
        <v/>
      </c>
      <c r="L105" s="11" t="inlineStr"/>
      <c r="M105" s="11" t="inlineStr"/>
    </row>
    <row r="106">
      <c r="A106" s="13">
        <f>IF(BANK_RAW!A106="","",ROW()-1)</f>
        <v/>
      </c>
      <c r="B106" s="10">
        <f>IF(BANK_RAW!A106="","",IF(ISNUMBER(BANK_RAW!A106),BANK_RAW!A106,DATEVALUE(TEXT(BANK_RAW!A106,"YYYY-MM-DD"))))</f>
        <v/>
      </c>
      <c r="C106" s="11">
        <f>IF(BANK_RAW!A106="","",TRIM(BANK_RAW!B106))</f>
        <v/>
      </c>
      <c r="D106" s="11">
        <f>IF(BANK_RAW!A106="","",TRIM(BANK_RAW!C106))</f>
        <v/>
      </c>
      <c r="E106" s="12">
        <f>IF(BANK_RAW!A106="","",IFERROR(ABS(BANK_RAW!D106),0))</f>
        <v/>
      </c>
      <c r="F106" s="12">
        <f>IF(BANK_RAW!A106="","",IFERROR(ABS(BANK_RAW!E106),0))</f>
        <v/>
      </c>
      <c r="G106" s="12">
        <f>IF(BANK_RAW!A106="","",IFERROR(BANK_RAW!F106,0))</f>
        <v/>
      </c>
      <c r="H106" s="11">
        <f>IF(BANK_RAW!A106="","",IF(E106&gt;0,"CR",IF(F106&gt;0,"DR","CR")))</f>
        <v/>
      </c>
      <c r="I106" s="12">
        <f>IF(BANK_RAW!A106="","",E106-F106)</f>
        <v/>
      </c>
      <c r="J106" s="12">
        <f>IF(BANK_RAW!A106="","",ABS(I106))</f>
        <v/>
      </c>
      <c r="K106" s="11">
        <f>IF(BANK_RAW!A106="","",IF(H106="CR","IN","OUT"))</f>
        <v/>
      </c>
      <c r="L106" s="11" t="inlineStr"/>
      <c r="M106" s="11" t="inlineStr"/>
    </row>
    <row r="107">
      <c r="A107" s="13">
        <f>IF(BANK_RAW!A107="","",ROW()-1)</f>
        <v/>
      </c>
      <c r="B107" s="10">
        <f>IF(BANK_RAW!A107="","",IF(ISNUMBER(BANK_RAW!A107),BANK_RAW!A107,DATEVALUE(TEXT(BANK_RAW!A107,"YYYY-MM-DD"))))</f>
        <v/>
      </c>
      <c r="C107" s="11">
        <f>IF(BANK_RAW!A107="","",TRIM(BANK_RAW!B107))</f>
        <v/>
      </c>
      <c r="D107" s="11">
        <f>IF(BANK_RAW!A107="","",TRIM(BANK_RAW!C107))</f>
        <v/>
      </c>
      <c r="E107" s="12">
        <f>IF(BANK_RAW!A107="","",IFERROR(ABS(BANK_RAW!D107),0))</f>
        <v/>
      </c>
      <c r="F107" s="12">
        <f>IF(BANK_RAW!A107="","",IFERROR(ABS(BANK_RAW!E107),0))</f>
        <v/>
      </c>
      <c r="G107" s="12">
        <f>IF(BANK_RAW!A107="","",IFERROR(BANK_RAW!F107,0))</f>
        <v/>
      </c>
      <c r="H107" s="11">
        <f>IF(BANK_RAW!A107="","",IF(E107&gt;0,"CR",IF(F107&gt;0,"DR","CR")))</f>
        <v/>
      </c>
      <c r="I107" s="12">
        <f>IF(BANK_RAW!A107="","",E107-F107)</f>
        <v/>
      </c>
      <c r="J107" s="12">
        <f>IF(BANK_RAW!A107="","",ABS(I107))</f>
        <v/>
      </c>
      <c r="K107" s="11">
        <f>IF(BANK_RAW!A107="","",IF(H107="CR","IN","OUT"))</f>
        <v/>
      </c>
      <c r="L107" s="11" t="inlineStr"/>
      <c r="M107" s="11" t="inlineStr"/>
    </row>
    <row r="108">
      <c r="A108" s="13">
        <f>IF(BANK_RAW!A108="","",ROW()-1)</f>
        <v/>
      </c>
      <c r="B108" s="10">
        <f>IF(BANK_RAW!A108="","",IF(ISNUMBER(BANK_RAW!A108),BANK_RAW!A108,DATEVALUE(TEXT(BANK_RAW!A108,"YYYY-MM-DD"))))</f>
        <v/>
      </c>
      <c r="C108" s="11">
        <f>IF(BANK_RAW!A108="","",TRIM(BANK_RAW!B108))</f>
        <v/>
      </c>
      <c r="D108" s="11">
        <f>IF(BANK_RAW!A108="","",TRIM(BANK_RAW!C108))</f>
        <v/>
      </c>
      <c r="E108" s="12">
        <f>IF(BANK_RAW!A108="","",IFERROR(ABS(BANK_RAW!D108),0))</f>
        <v/>
      </c>
      <c r="F108" s="12">
        <f>IF(BANK_RAW!A108="","",IFERROR(ABS(BANK_RAW!E108),0))</f>
        <v/>
      </c>
      <c r="G108" s="12">
        <f>IF(BANK_RAW!A108="","",IFERROR(BANK_RAW!F108,0))</f>
        <v/>
      </c>
      <c r="H108" s="11">
        <f>IF(BANK_RAW!A108="","",IF(E108&gt;0,"CR",IF(F108&gt;0,"DR","CR")))</f>
        <v/>
      </c>
      <c r="I108" s="12">
        <f>IF(BANK_RAW!A108="","",E108-F108)</f>
        <v/>
      </c>
      <c r="J108" s="12">
        <f>IF(BANK_RAW!A108="","",ABS(I108))</f>
        <v/>
      </c>
      <c r="K108" s="11">
        <f>IF(BANK_RAW!A108="","",IF(H108="CR","IN","OUT"))</f>
        <v/>
      </c>
      <c r="L108" s="11" t="inlineStr"/>
      <c r="M108" s="11" t="inlineStr"/>
    </row>
    <row r="109">
      <c r="A109" s="13">
        <f>IF(BANK_RAW!A109="","",ROW()-1)</f>
        <v/>
      </c>
      <c r="B109" s="10">
        <f>IF(BANK_RAW!A109="","",IF(ISNUMBER(BANK_RAW!A109),BANK_RAW!A109,DATEVALUE(TEXT(BANK_RAW!A109,"YYYY-MM-DD"))))</f>
        <v/>
      </c>
      <c r="C109" s="11">
        <f>IF(BANK_RAW!A109="","",TRIM(BANK_RAW!B109))</f>
        <v/>
      </c>
      <c r="D109" s="11">
        <f>IF(BANK_RAW!A109="","",TRIM(BANK_RAW!C109))</f>
        <v/>
      </c>
      <c r="E109" s="12">
        <f>IF(BANK_RAW!A109="","",IFERROR(ABS(BANK_RAW!D109),0))</f>
        <v/>
      </c>
      <c r="F109" s="12">
        <f>IF(BANK_RAW!A109="","",IFERROR(ABS(BANK_RAW!E109),0))</f>
        <v/>
      </c>
      <c r="G109" s="12">
        <f>IF(BANK_RAW!A109="","",IFERROR(BANK_RAW!F109,0))</f>
        <v/>
      </c>
      <c r="H109" s="11">
        <f>IF(BANK_RAW!A109="","",IF(E109&gt;0,"CR",IF(F109&gt;0,"DR","CR")))</f>
        <v/>
      </c>
      <c r="I109" s="12">
        <f>IF(BANK_RAW!A109="","",E109-F109)</f>
        <v/>
      </c>
      <c r="J109" s="12">
        <f>IF(BANK_RAW!A109="","",ABS(I109))</f>
        <v/>
      </c>
      <c r="K109" s="11">
        <f>IF(BANK_RAW!A109="","",IF(H109="CR","IN","OUT"))</f>
        <v/>
      </c>
      <c r="L109" s="11" t="inlineStr"/>
      <c r="M109" s="11" t="inlineStr"/>
    </row>
    <row r="110">
      <c r="A110" s="13">
        <f>IF(BANK_RAW!A110="","",ROW()-1)</f>
        <v/>
      </c>
      <c r="B110" s="10">
        <f>IF(BANK_RAW!A110="","",IF(ISNUMBER(BANK_RAW!A110),BANK_RAW!A110,DATEVALUE(TEXT(BANK_RAW!A110,"YYYY-MM-DD"))))</f>
        <v/>
      </c>
      <c r="C110" s="11">
        <f>IF(BANK_RAW!A110="","",TRIM(BANK_RAW!B110))</f>
        <v/>
      </c>
      <c r="D110" s="11">
        <f>IF(BANK_RAW!A110="","",TRIM(BANK_RAW!C110))</f>
        <v/>
      </c>
      <c r="E110" s="12">
        <f>IF(BANK_RAW!A110="","",IFERROR(ABS(BANK_RAW!D110),0))</f>
        <v/>
      </c>
      <c r="F110" s="12">
        <f>IF(BANK_RAW!A110="","",IFERROR(ABS(BANK_RAW!E110),0))</f>
        <v/>
      </c>
      <c r="G110" s="12">
        <f>IF(BANK_RAW!A110="","",IFERROR(BANK_RAW!F110,0))</f>
        <v/>
      </c>
      <c r="H110" s="11">
        <f>IF(BANK_RAW!A110="","",IF(E110&gt;0,"CR",IF(F110&gt;0,"DR","CR")))</f>
        <v/>
      </c>
      <c r="I110" s="12">
        <f>IF(BANK_RAW!A110="","",E110-F110)</f>
        <v/>
      </c>
      <c r="J110" s="12">
        <f>IF(BANK_RAW!A110="","",ABS(I110))</f>
        <v/>
      </c>
      <c r="K110" s="11">
        <f>IF(BANK_RAW!A110="","",IF(H110="CR","IN","OUT"))</f>
        <v/>
      </c>
      <c r="L110" s="11" t="inlineStr"/>
      <c r="M110" s="11" t="inlineStr"/>
    </row>
    <row r="111">
      <c r="A111" s="13">
        <f>IF(BANK_RAW!A111="","",ROW()-1)</f>
        <v/>
      </c>
      <c r="B111" s="10">
        <f>IF(BANK_RAW!A111="","",IF(ISNUMBER(BANK_RAW!A111),BANK_RAW!A111,DATEVALUE(TEXT(BANK_RAW!A111,"YYYY-MM-DD"))))</f>
        <v/>
      </c>
      <c r="C111" s="11">
        <f>IF(BANK_RAW!A111="","",TRIM(BANK_RAW!B111))</f>
        <v/>
      </c>
      <c r="D111" s="11">
        <f>IF(BANK_RAW!A111="","",TRIM(BANK_RAW!C111))</f>
        <v/>
      </c>
      <c r="E111" s="12">
        <f>IF(BANK_RAW!A111="","",IFERROR(ABS(BANK_RAW!D111),0))</f>
        <v/>
      </c>
      <c r="F111" s="12">
        <f>IF(BANK_RAW!A111="","",IFERROR(ABS(BANK_RAW!E111),0))</f>
        <v/>
      </c>
      <c r="G111" s="12">
        <f>IF(BANK_RAW!A111="","",IFERROR(BANK_RAW!F111,0))</f>
        <v/>
      </c>
      <c r="H111" s="11">
        <f>IF(BANK_RAW!A111="","",IF(E111&gt;0,"CR",IF(F111&gt;0,"DR","CR")))</f>
        <v/>
      </c>
      <c r="I111" s="12">
        <f>IF(BANK_RAW!A111="","",E111-F111)</f>
        <v/>
      </c>
      <c r="J111" s="12">
        <f>IF(BANK_RAW!A111="","",ABS(I111))</f>
        <v/>
      </c>
      <c r="K111" s="11">
        <f>IF(BANK_RAW!A111="","",IF(H111="CR","IN","OUT"))</f>
        <v/>
      </c>
      <c r="L111" s="11" t="inlineStr"/>
      <c r="M111" s="11" t="inlineStr"/>
    </row>
    <row r="112">
      <c r="A112" s="13">
        <f>IF(BANK_RAW!A112="","",ROW()-1)</f>
        <v/>
      </c>
      <c r="B112" s="10">
        <f>IF(BANK_RAW!A112="","",IF(ISNUMBER(BANK_RAW!A112),BANK_RAW!A112,DATEVALUE(TEXT(BANK_RAW!A112,"YYYY-MM-DD"))))</f>
        <v/>
      </c>
      <c r="C112" s="11">
        <f>IF(BANK_RAW!A112="","",TRIM(BANK_RAW!B112))</f>
        <v/>
      </c>
      <c r="D112" s="11">
        <f>IF(BANK_RAW!A112="","",TRIM(BANK_RAW!C112))</f>
        <v/>
      </c>
      <c r="E112" s="12">
        <f>IF(BANK_RAW!A112="","",IFERROR(ABS(BANK_RAW!D112),0))</f>
        <v/>
      </c>
      <c r="F112" s="12">
        <f>IF(BANK_RAW!A112="","",IFERROR(ABS(BANK_RAW!E112),0))</f>
        <v/>
      </c>
      <c r="G112" s="12">
        <f>IF(BANK_RAW!A112="","",IFERROR(BANK_RAW!F112,0))</f>
        <v/>
      </c>
      <c r="H112" s="11">
        <f>IF(BANK_RAW!A112="","",IF(E112&gt;0,"CR",IF(F112&gt;0,"DR","CR")))</f>
        <v/>
      </c>
      <c r="I112" s="12">
        <f>IF(BANK_RAW!A112="","",E112-F112)</f>
        <v/>
      </c>
      <c r="J112" s="12">
        <f>IF(BANK_RAW!A112="","",ABS(I112))</f>
        <v/>
      </c>
      <c r="K112" s="11">
        <f>IF(BANK_RAW!A112="","",IF(H112="CR","IN","OUT"))</f>
        <v/>
      </c>
      <c r="L112" s="11" t="inlineStr"/>
      <c r="M112" s="11" t="inlineStr"/>
    </row>
    <row r="113">
      <c r="A113" s="13">
        <f>IF(BANK_RAW!A113="","",ROW()-1)</f>
        <v/>
      </c>
      <c r="B113" s="10">
        <f>IF(BANK_RAW!A113="","",IF(ISNUMBER(BANK_RAW!A113),BANK_RAW!A113,DATEVALUE(TEXT(BANK_RAW!A113,"YYYY-MM-DD"))))</f>
        <v/>
      </c>
      <c r="C113" s="11">
        <f>IF(BANK_RAW!A113="","",TRIM(BANK_RAW!B113))</f>
        <v/>
      </c>
      <c r="D113" s="11">
        <f>IF(BANK_RAW!A113="","",TRIM(BANK_RAW!C113))</f>
        <v/>
      </c>
      <c r="E113" s="12">
        <f>IF(BANK_RAW!A113="","",IFERROR(ABS(BANK_RAW!D113),0))</f>
        <v/>
      </c>
      <c r="F113" s="12">
        <f>IF(BANK_RAW!A113="","",IFERROR(ABS(BANK_RAW!E113),0))</f>
        <v/>
      </c>
      <c r="G113" s="12">
        <f>IF(BANK_RAW!A113="","",IFERROR(BANK_RAW!F113,0))</f>
        <v/>
      </c>
      <c r="H113" s="11">
        <f>IF(BANK_RAW!A113="","",IF(E113&gt;0,"CR",IF(F113&gt;0,"DR","CR")))</f>
        <v/>
      </c>
      <c r="I113" s="12">
        <f>IF(BANK_RAW!A113="","",E113-F113)</f>
        <v/>
      </c>
      <c r="J113" s="12">
        <f>IF(BANK_RAW!A113="","",ABS(I113))</f>
        <v/>
      </c>
      <c r="K113" s="11">
        <f>IF(BANK_RAW!A113="","",IF(H113="CR","IN","OUT"))</f>
        <v/>
      </c>
      <c r="L113" s="11" t="inlineStr"/>
      <c r="M113" s="11" t="inlineStr"/>
    </row>
    <row r="114">
      <c r="A114" s="13">
        <f>IF(BANK_RAW!A114="","",ROW()-1)</f>
        <v/>
      </c>
      <c r="B114" s="10">
        <f>IF(BANK_RAW!A114="","",IF(ISNUMBER(BANK_RAW!A114),BANK_RAW!A114,DATEVALUE(TEXT(BANK_RAW!A114,"YYYY-MM-DD"))))</f>
        <v/>
      </c>
      <c r="C114" s="11">
        <f>IF(BANK_RAW!A114="","",TRIM(BANK_RAW!B114))</f>
        <v/>
      </c>
      <c r="D114" s="11">
        <f>IF(BANK_RAW!A114="","",TRIM(BANK_RAW!C114))</f>
        <v/>
      </c>
      <c r="E114" s="12">
        <f>IF(BANK_RAW!A114="","",IFERROR(ABS(BANK_RAW!D114),0))</f>
        <v/>
      </c>
      <c r="F114" s="12">
        <f>IF(BANK_RAW!A114="","",IFERROR(ABS(BANK_RAW!E114),0))</f>
        <v/>
      </c>
      <c r="G114" s="12">
        <f>IF(BANK_RAW!A114="","",IFERROR(BANK_RAW!F114,0))</f>
        <v/>
      </c>
      <c r="H114" s="11">
        <f>IF(BANK_RAW!A114="","",IF(E114&gt;0,"CR",IF(F114&gt;0,"DR","CR")))</f>
        <v/>
      </c>
      <c r="I114" s="12">
        <f>IF(BANK_RAW!A114="","",E114-F114)</f>
        <v/>
      </c>
      <c r="J114" s="12">
        <f>IF(BANK_RAW!A114="","",ABS(I114))</f>
        <v/>
      </c>
      <c r="K114" s="11">
        <f>IF(BANK_RAW!A114="","",IF(H114="CR","IN","OUT"))</f>
        <v/>
      </c>
      <c r="L114" s="11" t="inlineStr"/>
      <c r="M114" s="11" t="inlineStr"/>
    </row>
    <row r="115">
      <c r="A115" s="13">
        <f>IF(BANK_RAW!A115="","",ROW()-1)</f>
        <v/>
      </c>
      <c r="B115" s="10">
        <f>IF(BANK_RAW!A115="","",IF(ISNUMBER(BANK_RAW!A115),BANK_RAW!A115,DATEVALUE(TEXT(BANK_RAW!A115,"YYYY-MM-DD"))))</f>
        <v/>
      </c>
      <c r="C115" s="11">
        <f>IF(BANK_RAW!A115="","",TRIM(BANK_RAW!B115))</f>
        <v/>
      </c>
      <c r="D115" s="11">
        <f>IF(BANK_RAW!A115="","",TRIM(BANK_RAW!C115))</f>
        <v/>
      </c>
      <c r="E115" s="12">
        <f>IF(BANK_RAW!A115="","",IFERROR(ABS(BANK_RAW!D115),0))</f>
        <v/>
      </c>
      <c r="F115" s="12">
        <f>IF(BANK_RAW!A115="","",IFERROR(ABS(BANK_RAW!E115),0))</f>
        <v/>
      </c>
      <c r="G115" s="12">
        <f>IF(BANK_RAW!A115="","",IFERROR(BANK_RAW!F115,0))</f>
        <v/>
      </c>
      <c r="H115" s="11">
        <f>IF(BANK_RAW!A115="","",IF(E115&gt;0,"CR",IF(F115&gt;0,"DR","CR")))</f>
        <v/>
      </c>
      <c r="I115" s="12">
        <f>IF(BANK_RAW!A115="","",E115-F115)</f>
        <v/>
      </c>
      <c r="J115" s="12">
        <f>IF(BANK_RAW!A115="","",ABS(I115))</f>
        <v/>
      </c>
      <c r="K115" s="11">
        <f>IF(BANK_RAW!A115="","",IF(H115="CR","IN","OUT"))</f>
        <v/>
      </c>
      <c r="L115" s="11" t="inlineStr"/>
      <c r="M115" s="11" t="inlineStr"/>
    </row>
    <row r="116">
      <c r="A116" s="13">
        <f>IF(BANK_RAW!A116="","",ROW()-1)</f>
        <v/>
      </c>
      <c r="B116" s="10">
        <f>IF(BANK_RAW!A116="","",IF(ISNUMBER(BANK_RAW!A116),BANK_RAW!A116,DATEVALUE(TEXT(BANK_RAW!A116,"YYYY-MM-DD"))))</f>
        <v/>
      </c>
      <c r="C116" s="11">
        <f>IF(BANK_RAW!A116="","",TRIM(BANK_RAW!B116))</f>
        <v/>
      </c>
      <c r="D116" s="11">
        <f>IF(BANK_RAW!A116="","",TRIM(BANK_RAW!C116))</f>
        <v/>
      </c>
      <c r="E116" s="12">
        <f>IF(BANK_RAW!A116="","",IFERROR(ABS(BANK_RAW!D116),0))</f>
        <v/>
      </c>
      <c r="F116" s="12">
        <f>IF(BANK_RAW!A116="","",IFERROR(ABS(BANK_RAW!E116),0))</f>
        <v/>
      </c>
      <c r="G116" s="12">
        <f>IF(BANK_RAW!A116="","",IFERROR(BANK_RAW!F116,0))</f>
        <v/>
      </c>
      <c r="H116" s="11">
        <f>IF(BANK_RAW!A116="","",IF(E116&gt;0,"CR",IF(F116&gt;0,"DR","CR")))</f>
        <v/>
      </c>
      <c r="I116" s="12">
        <f>IF(BANK_RAW!A116="","",E116-F116)</f>
        <v/>
      </c>
      <c r="J116" s="12">
        <f>IF(BANK_RAW!A116="","",ABS(I116))</f>
        <v/>
      </c>
      <c r="K116" s="11">
        <f>IF(BANK_RAW!A116="","",IF(H116="CR","IN","OUT"))</f>
        <v/>
      </c>
      <c r="L116" s="11" t="inlineStr"/>
      <c r="M116" s="11" t="inlineStr"/>
    </row>
    <row r="117">
      <c r="A117" s="13">
        <f>IF(BANK_RAW!A117="","",ROW()-1)</f>
        <v/>
      </c>
      <c r="B117" s="10">
        <f>IF(BANK_RAW!A117="","",IF(ISNUMBER(BANK_RAW!A117),BANK_RAW!A117,DATEVALUE(TEXT(BANK_RAW!A117,"YYYY-MM-DD"))))</f>
        <v/>
      </c>
      <c r="C117" s="11">
        <f>IF(BANK_RAW!A117="","",TRIM(BANK_RAW!B117))</f>
        <v/>
      </c>
      <c r="D117" s="11">
        <f>IF(BANK_RAW!A117="","",TRIM(BANK_RAW!C117))</f>
        <v/>
      </c>
      <c r="E117" s="12">
        <f>IF(BANK_RAW!A117="","",IFERROR(ABS(BANK_RAW!D117),0))</f>
        <v/>
      </c>
      <c r="F117" s="12">
        <f>IF(BANK_RAW!A117="","",IFERROR(ABS(BANK_RAW!E117),0))</f>
        <v/>
      </c>
      <c r="G117" s="12">
        <f>IF(BANK_RAW!A117="","",IFERROR(BANK_RAW!F117,0))</f>
        <v/>
      </c>
      <c r="H117" s="11">
        <f>IF(BANK_RAW!A117="","",IF(E117&gt;0,"CR",IF(F117&gt;0,"DR","CR")))</f>
        <v/>
      </c>
      <c r="I117" s="12">
        <f>IF(BANK_RAW!A117="","",E117-F117)</f>
        <v/>
      </c>
      <c r="J117" s="12">
        <f>IF(BANK_RAW!A117="","",ABS(I117))</f>
        <v/>
      </c>
      <c r="K117" s="11">
        <f>IF(BANK_RAW!A117="","",IF(H117="CR","IN","OUT"))</f>
        <v/>
      </c>
      <c r="L117" s="11" t="inlineStr"/>
      <c r="M117" s="11" t="inlineStr"/>
    </row>
    <row r="118">
      <c r="A118" s="13">
        <f>IF(BANK_RAW!A118="","",ROW()-1)</f>
        <v/>
      </c>
      <c r="B118" s="10">
        <f>IF(BANK_RAW!A118="","",IF(ISNUMBER(BANK_RAW!A118),BANK_RAW!A118,DATEVALUE(TEXT(BANK_RAW!A118,"YYYY-MM-DD"))))</f>
        <v/>
      </c>
      <c r="C118" s="11">
        <f>IF(BANK_RAW!A118="","",TRIM(BANK_RAW!B118))</f>
        <v/>
      </c>
      <c r="D118" s="11">
        <f>IF(BANK_RAW!A118="","",TRIM(BANK_RAW!C118))</f>
        <v/>
      </c>
      <c r="E118" s="12">
        <f>IF(BANK_RAW!A118="","",IFERROR(ABS(BANK_RAW!D118),0))</f>
        <v/>
      </c>
      <c r="F118" s="12">
        <f>IF(BANK_RAW!A118="","",IFERROR(ABS(BANK_RAW!E118),0))</f>
        <v/>
      </c>
      <c r="G118" s="12">
        <f>IF(BANK_RAW!A118="","",IFERROR(BANK_RAW!F118,0))</f>
        <v/>
      </c>
      <c r="H118" s="11">
        <f>IF(BANK_RAW!A118="","",IF(E118&gt;0,"CR",IF(F118&gt;0,"DR","CR")))</f>
        <v/>
      </c>
      <c r="I118" s="12">
        <f>IF(BANK_RAW!A118="","",E118-F118)</f>
        <v/>
      </c>
      <c r="J118" s="12">
        <f>IF(BANK_RAW!A118="","",ABS(I118))</f>
        <v/>
      </c>
      <c r="K118" s="11">
        <f>IF(BANK_RAW!A118="","",IF(H118="CR","IN","OUT"))</f>
        <v/>
      </c>
      <c r="L118" s="11" t="inlineStr"/>
      <c r="M118" s="11" t="inlineStr"/>
    </row>
    <row r="119">
      <c r="A119" s="13">
        <f>IF(BANK_RAW!A119="","",ROW()-1)</f>
        <v/>
      </c>
      <c r="B119" s="10">
        <f>IF(BANK_RAW!A119="","",IF(ISNUMBER(BANK_RAW!A119),BANK_RAW!A119,DATEVALUE(TEXT(BANK_RAW!A119,"YYYY-MM-DD"))))</f>
        <v/>
      </c>
      <c r="C119" s="11">
        <f>IF(BANK_RAW!A119="","",TRIM(BANK_RAW!B119))</f>
        <v/>
      </c>
      <c r="D119" s="11">
        <f>IF(BANK_RAW!A119="","",TRIM(BANK_RAW!C119))</f>
        <v/>
      </c>
      <c r="E119" s="12">
        <f>IF(BANK_RAW!A119="","",IFERROR(ABS(BANK_RAW!D119),0))</f>
        <v/>
      </c>
      <c r="F119" s="12">
        <f>IF(BANK_RAW!A119="","",IFERROR(ABS(BANK_RAW!E119),0))</f>
        <v/>
      </c>
      <c r="G119" s="12">
        <f>IF(BANK_RAW!A119="","",IFERROR(BANK_RAW!F119,0))</f>
        <v/>
      </c>
      <c r="H119" s="11">
        <f>IF(BANK_RAW!A119="","",IF(E119&gt;0,"CR",IF(F119&gt;0,"DR","CR")))</f>
        <v/>
      </c>
      <c r="I119" s="12">
        <f>IF(BANK_RAW!A119="","",E119-F119)</f>
        <v/>
      </c>
      <c r="J119" s="12">
        <f>IF(BANK_RAW!A119="","",ABS(I119))</f>
        <v/>
      </c>
      <c r="K119" s="11">
        <f>IF(BANK_RAW!A119="","",IF(H119="CR","IN","OUT"))</f>
        <v/>
      </c>
      <c r="L119" s="11" t="inlineStr"/>
      <c r="M119" s="11" t="inlineStr"/>
    </row>
    <row r="120">
      <c r="A120" s="13">
        <f>IF(BANK_RAW!A120="","",ROW()-1)</f>
        <v/>
      </c>
      <c r="B120" s="10">
        <f>IF(BANK_RAW!A120="","",IF(ISNUMBER(BANK_RAW!A120),BANK_RAW!A120,DATEVALUE(TEXT(BANK_RAW!A120,"YYYY-MM-DD"))))</f>
        <v/>
      </c>
      <c r="C120" s="11">
        <f>IF(BANK_RAW!A120="","",TRIM(BANK_RAW!B120))</f>
        <v/>
      </c>
      <c r="D120" s="11">
        <f>IF(BANK_RAW!A120="","",TRIM(BANK_RAW!C120))</f>
        <v/>
      </c>
      <c r="E120" s="12">
        <f>IF(BANK_RAW!A120="","",IFERROR(ABS(BANK_RAW!D120),0))</f>
        <v/>
      </c>
      <c r="F120" s="12">
        <f>IF(BANK_RAW!A120="","",IFERROR(ABS(BANK_RAW!E120),0))</f>
        <v/>
      </c>
      <c r="G120" s="12">
        <f>IF(BANK_RAW!A120="","",IFERROR(BANK_RAW!F120,0))</f>
        <v/>
      </c>
      <c r="H120" s="11">
        <f>IF(BANK_RAW!A120="","",IF(E120&gt;0,"CR",IF(F120&gt;0,"DR","CR")))</f>
        <v/>
      </c>
      <c r="I120" s="12">
        <f>IF(BANK_RAW!A120="","",E120-F120)</f>
        <v/>
      </c>
      <c r="J120" s="12">
        <f>IF(BANK_RAW!A120="","",ABS(I120))</f>
        <v/>
      </c>
      <c r="K120" s="11">
        <f>IF(BANK_RAW!A120="","",IF(H120="CR","IN","OUT"))</f>
        <v/>
      </c>
      <c r="L120" s="11" t="inlineStr"/>
      <c r="M120" s="11" t="inlineStr"/>
    </row>
    <row r="121">
      <c r="A121" s="13">
        <f>IF(BANK_RAW!A121="","",ROW()-1)</f>
        <v/>
      </c>
      <c r="B121" s="10">
        <f>IF(BANK_RAW!A121="","",IF(ISNUMBER(BANK_RAW!A121),BANK_RAW!A121,DATEVALUE(TEXT(BANK_RAW!A121,"YYYY-MM-DD"))))</f>
        <v/>
      </c>
      <c r="C121" s="11">
        <f>IF(BANK_RAW!A121="","",TRIM(BANK_RAW!B121))</f>
        <v/>
      </c>
      <c r="D121" s="11">
        <f>IF(BANK_RAW!A121="","",TRIM(BANK_RAW!C121))</f>
        <v/>
      </c>
      <c r="E121" s="12">
        <f>IF(BANK_RAW!A121="","",IFERROR(ABS(BANK_RAW!D121),0))</f>
        <v/>
      </c>
      <c r="F121" s="12">
        <f>IF(BANK_RAW!A121="","",IFERROR(ABS(BANK_RAW!E121),0))</f>
        <v/>
      </c>
      <c r="G121" s="12">
        <f>IF(BANK_RAW!A121="","",IFERROR(BANK_RAW!F121,0))</f>
        <v/>
      </c>
      <c r="H121" s="11">
        <f>IF(BANK_RAW!A121="","",IF(E121&gt;0,"CR",IF(F121&gt;0,"DR","CR")))</f>
        <v/>
      </c>
      <c r="I121" s="12">
        <f>IF(BANK_RAW!A121="","",E121-F121)</f>
        <v/>
      </c>
      <c r="J121" s="12">
        <f>IF(BANK_RAW!A121="","",ABS(I121))</f>
        <v/>
      </c>
      <c r="K121" s="11">
        <f>IF(BANK_RAW!A121="","",IF(H121="CR","IN","OUT"))</f>
        <v/>
      </c>
      <c r="L121" s="11" t="inlineStr"/>
      <c r="M121" s="11" t="inlineStr"/>
    </row>
    <row r="122">
      <c r="A122" s="13">
        <f>IF(BANK_RAW!A122="","",ROW()-1)</f>
        <v/>
      </c>
      <c r="B122" s="10">
        <f>IF(BANK_RAW!A122="","",IF(ISNUMBER(BANK_RAW!A122),BANK_RAW!A122,DATEVALUE(TEXT(BANK_RAW!A122,"YYYY-MM-DD"))))</f>
        <v/>
      </c>
      <c r="C122" s="11">
        <f>IF(BANK_RAW!A122="","",TRIM(BANK_RAW!B122))</f>
        <v/>
      </c>
      <c r="D122" s="11">
        <f>IF(BANK_RAW!A122="","",TRIM(BANK_RAW!C122))</f>
        <v/>
      </c>
      <c r="E122" s="12">
        <f>IF(BANK_RAW!A122="","",IFERROR(ABS(BANK_RAW!D122),0))</f>
        <v/>
      </c>
      <c r="F122" s="12">
        <f>IF(BANK_RAW!A122="","",IFERROR(ABS(BANK_RAW!E122),0))</f>
        <v/>
      </c>
      <c r="G122" s="12">
        <f>IF(BANK_RAW!A122="","",IFERROR(BANK_RAW!F122,0))</f>
        <v/>
      </c>
      <c r="H122" s="11">
        <f>IF(BANK_RAW!A122="","",IF(E122&gt;0,"CR",IF(F122&gt;0,"DR","CR")))</f>
        <v/>
      </c>
      <c r="I122" s="12">
        <f>IF(BANK_RAW!A122="","",E122-F122)</f>
        <v/>
      </c>
      <c r="J122" s="12">
        <f>IF(BANK_RAW!A122="","",ABS(I122))</f>
        <v/>
      </c>
      <c r="K122" s="11">
        <f>IF(BANK_RAW!A122="","",IF(H122="CR","IN","OUT"))</f>
        <v/>
      </c>
      <c r="L122" s="11" t="inlineStr"/>
      <c r="M122" s="11" t="inlineStr"/>
    </row>
    <row r="123">
      <c r="A123" s="13">
        <f>IF(BANK_RAW!A123="","",ROW()-1)</f>
        <v/>
      </c>
      <c r="B123" s="10">
        <f>IF(BANK_RAW!A123="","",IF(ISNUMBER(BANK_RAW!A123),BANK_RAW!A123,DATEVALUE(TEXT(BANK_RAW!A123,"YYYY-MM-DD"))))</f>
        <v/>
      </c>
      <c r="C123" s="11">
        <f>IF(BANK_RAW!A123="","",TRIM(BANK_RAW!B123))</f>
        <v/>
      </c>
      <c r="D123" s="11">
        <f>IF(BANK_RAW!A123="","",TRIM(BANK_RAW!C123))</f>
        <v/>
      </c>
      <c r="E123" s="12">
        <f>IF(BANK_RAW!A123="","",IFERROR(ABS(BANK_RAW!D123),0))</f>
        <v/>
      </c>
      <c r="F123" s="12">
        <f>IF(BANK_RAW!A123="","",IFERROR(ABS(BANK_RAW!E123),0))</f>
        <v/>
      </c>
      <c r="G123" s="12">
        <f>IF(BANK_RAW!A123="","",IFERROR(BANK_RAW!F123,0))</f>
        <v/>
      </c>
      <c r="H123" s="11">
        <f>IF(BANK_RAW!A123="","",IF(E123&gt;0,"CR",IF(F123&gt;0,"DR","CR")))</f>
        <v/>
      </c>
      <c r="I123" s="12">
        <f>IF(BANK_RAW!A123="","",E123-F123)</f>
        <v/>
      </c>
      <c r="J123" s="12">
        <f>IF(BANK_RAW!A123="","",ABS(I123))</f>
        <v/>
      </c>
      <c r="K123" s="11">
        <f>IF(BANK_RAW!A123="","",IF(H123="CR","IN","OUT"))</f>
        <v/>
      </c>
      <c r="L123" s="11" t="inlineStr"/>
      <c r="M123" s="11" t="inlineStr"/>
    </row>
    <row r="124">
      <c r="A124" s="13">
        <f>IF(BANK_RAW!A124="","",ROW()-1)</f>
        <v/>
      </c>
      <c r="B124" s="10">
        <f>IF(BANK_RAW!A124="","",IF(ISNUMBER(BANK_RAW!A124),BANK_RAW!A124,DATEVALUE(TEXT(BANK_RAW!A124,"YYYY-MM-DD"))))</f>
        <v/>
      </c>
      <c r="C124" s="11">
        <f>IF(BANK_RAW!A124="","",TRIM(BANK_RAW!B124))</f>
        <v/>
      </c>
      <c r="D124" s="11">
        <f>IF(BANK_RAW!A124="","",TRIM(BANK_RAW!C124))</f>
        <v/>
      </c>
      <c r="E124" s="12">
        <f>IF(BANK_RAW!A124="","",IFERROR(ABS(BANK_RAW!D124),0))</f>
        <v/>
      </c>
      <c r="F124" s="12">
        <f>IF(BANK_RAW!A124="","",IFERROR(ABS(BANK_RAW!E124),0))</f>
        <v/>
      </c>
      <c r="G124" s="12">
        <f>IF(BANK_RAW!A124="","",IFERROR(BANK_RAW!F124,0))</f>
        <v/>
      </c>
      <c r="H124" s="11">
        <f>IF(BANK_RAW!A124="","",IF(E124&gt;0,"CR",IF(F124&gt;0,"DR","CR")))</f>
        <v/>
      </c>
      <c r="I124" s="12">
        <f>IF(BANK_RAW!A124="","",E124-F124)</f>
        <v/>
      </c>
      <c r="J124" s="12">
        <f>IF(BANK_RAW!A124="","",ABS(I124))</f>
        <v/>
      </c>
      <c r="K124" s="11">
        <f>IF(BANK_RAW!A124="","",IF(H124="CR","IN","OUT"))</f>
        <v/>
      </c>
      <c r="L124" s="11" t="inlineStr"/>
      <c r="M124" s="11" t="inlineStr"/>
    </row>
    <row r="125">
      <c r="A125" s="13">
        <f>IF(BANK_RAW!A125="","",ROW()-1)</f>
        <v/>
      </c>
      <c r="B125" s="10">
        <f>IF(BANK_RAW!A125="","",IF(ISNUMBER(BANK_RAW!A125),BANK_RAW!A125,DATEVALUE(TEXT(BANK_RAW!A125,"YYYY-MM-DD"))))</f>
        <v/>
      </c>
      <c r="C125" s="11">
        <f>IF(BANK_RAW!A125="","",TRIM(BANK_RAW!B125))</f>
        <v/>
      </c>
      <c r="D125" s="11">
        <f>IF(BANK_RAW!A125="","",TRIM(BANK_RAW!C125))</f>
        <v/>
      </c>
      <c r="E125" s="12">
        <f>IF(BANK_RAW!A125="","",IFERROR(ABS(BANK_RAW!D125),0))</f>
        <v/>
      </c>
      <c r="F125" s="12">
        <f>IF(BANK_RAW!A125="","",IFERROR(ABS(BANK_RAW!E125),0))</f>
        <v/>
      </c>
      <c r="G125" s="12">
        <f>IF(BANK_RAW!A125="","",IFERROR(BANK_RAW!F125,0))</f>
        <v/>
      </c>
      <c r="H125" s="11">
        <f>IF(BANK_RAW!A125="","",IF(E125&gt;0,"CR",IF(F125&gt;0,"DR","CR")))</f>
        <v/>
      </c>
      <c r="I125" s="12">
        <f>IF(BANK_RAW!A125="","",E125-F125)</f>
        <v/>
      </c>
      <c r="J125" s="12">
        <f>IF(BANK_RAW!A125="","",ABS(I125))</f>
        <v/>
      </c>
      <c r="K125" s="11">
        <f>IF(BANK_RAW!A125="","",IF(H125="CR","IN","OUT"))</f>
        <v/>
      </c>
      <c r="L125" s="11" t="inlineStr"/>
      <c r="M125" s="11" t="inlineStr"/>
    </row>
    <row r="126">
      <c r="A126" s="13">
        <f>IF(BANK_RAW!A126="","",ROW()-1)</f>
        <v/>
      </c>
      <c r="B126" s="10">
        <f>IF(BANK_RAW!A126="","",IF(ISNUMBER(BANK_RAW!A126),BANK_RAW!A126,DATEVALUE(TEXT(BANK_RAW!A126,"YYYY-MM-DD"))))</f>
        <v/>
      </c>
      <c r="C126" s="11">
        <f>IF(BANK_RAW!A126="","",TRIM(BANK_RAW!B126))</f>
        <v/>
      </c>
      <c r="D126" s="11">
        <f>IF(BANK_RAW!A126="","",TRIM(BANK_RAW!C126))</f>
        <v/>
      </c>
      <c r="E126" s="12">
        <f>IF(BANK_RAW!A126="","",IFERROR(ABS(BANK_RAW!D126),0))</f>
        <v/>
      </c>
      <c r="F126" s="12">
        <f>IF(BANK_RAW!A126="","",IFERROR(ABS(BANK_RAW!E126),0))</f>
        <v/>
      </c>
      <c r="G126" s="12">
        <f>IF(BANK_RAW!A126="","",IFERROR(BANK_RAW!F126,0))</f>
        <v/>
      </c>
      <c r="H126" s="11">
        <f>IF(BANK_RAW!A126="","",IF(E126&gt;0,"CR",IF(F126&gt;0,"DR","CR")))</f>
        <v/>
      </c>
      <c r="I126" s="12">
        <f>IF(BANK_RAW!A126="","",E126-F126)</f>
        <v/>
      </c>
      <c r="J126" s="12">
        <f>IF(BANK_RAW!A126="","",ABS(I126))</f>
        <v/>
      </c>
      <c r="K126" s="11">
        <f>IF(BANK_RAW!A126="","",IF(H126="CR","IN","OUT"))</f>
        <v/>
      </c>
      <c r="L126" s="11" t="inlineStr"/>
      <c r="M126" s="11" t="inlineStr"/>
    </row>
    <row r="127">
      <c r="A127" s="13">
        <f>IF(BANK_RAW!A127="","",ROW()-1)</f>
        <v/>
      </c>
      <c r="B127" s="10">
        <f>IF(BANK_RAW!A127="","",IF(ISNUMBER(BANK_RAW!A127),BANK_RAW!A127,DATEVALUE(TEXT(BANK_RAW!A127,"YYYY-MM-DD"))))</f>
        <v/>
      </c>
      <c r="C127" s="11">
        <f>IF(BANK_RAW!A127="","",TRIM(BANK_RAW!B127))</f>
        <v/>
      </c>
      <c r="D127" s="11">
        <f>IF(BANK_RAW!A127="","",TRIM(BANK_RAW!C127))</f>
        <v/>
      </c>
      <c r="E127" s="12">
        <f>IF(BANK_RAW!A127="","",IFERROR(ABS(BANK_RAW!D127),0))</f>
        <v/>
      </c>
      <c r="F127" s="12">
        <f>IF(BANK_RAW!A127="","",IFERROR(ABS(BANK_RAW!E127),0))</f>
        <v/>
      </c>
      <c r="G127" s="12">
        <f>IF(BANK_RAW!A127="","",IFERROR(BANK_RAW!F127,0))</f>
        <v/>
      </c>
      <c r="H127" s="11">
        <f>IF(BANK_RAW!A127="","",IF(E127&gt;0,"CR",IF(F127&gt;0,"DR","CR")))</f>
        <v/>
      </c>
      <c r="I127" s="12">
        <f>IF(BANK_RAW!A127="","",E127-F127)</f>
        <v/>
      </c>
      <c r="J127" s="12">
        <f>IF(BANK_RAW!A127="","",ABS(I127))</f>
        <v/>
      </c>
      <c r="K127" s="11">
        <f>IF(BANK_RAW!A127="","",IF(H127="CR","IN","OUT"))</f>
        <v/>
      </c>
      <c r="L127" s="11" t="inlineStr"/>
      <c r="M127" s="11" t="inlineStr"/>
    </row>
    <row r="128">
      <c r="A128" s="13">
        <f>IF(BANK_RAW!A128="","",ROW()-1)</f>
        <v/>
      </c>
      <c r="B128" s="10">
        <f>IF(BANK_RAW!A128="","",IF(ISNUMBER(BANK_RAW!A128),BANK_RAW!A128,DATEVALUE(TEXT(BANK_RAW!A128,"YYYY-MM-DD"))))</f>
        <v/>
      </c>
      <c r="C128" s="11">
        <f>IF(BANK_RAW!A128="","",TRIM(BANK_RAW!B128))</f>
        <v/>
      </c>
      <c r="D128" s="11">
        <f>IF(BANK_RAW!A128="","",TRIM(BANK_RAW!C128))</f>
        <v/>
      </c>
      <c r="E128" s="12">
        <f>IF(BANK_RAW!A128="","",IFERROR(ABS(BANK_RAW!D128),0))</f>
        <v/>
      </c>
      <c r="F128" s="12">
        <f>IF(BANK_RAW!A128="","",IFERROR(ABS(BANK_RAW!E128),0))</f>
        <v/>
      </c>
      <c r="G128" s="12">
        <f>IF(BANK_RAW!A128="","",IFERROR(BANK_RAW!F128,0))</f>
        <v/>
      </c>
      <c r="H128" s="11">
        <f>IF(BANK_RAW!A128="","",IF(E128&gt;0,"CR",IF(F128&gt;0,"DR","CR")))</f>
        <v/>
      </c>
      <c r="I128" s="12">
        <f>IF(BANK_RAW!A128="","",E128-F128)</f>
        <v/>
      </c>
      <c r="J128" s="12">
        <f>IF(BANK_RAW!A128="","",ABS(I128))</f>
        <v/>
      </c>
      <c r="K128" s="11">
        <f>IF(BANK_RAW!A128="","",IF(H128="CR","IN","OUT"))</f>
        <v/>
      </c>
      <c r="L128" s="11" t="inlineStr"/>
      <c r="M128" s="11" t="inlineStr"/>
    </row>
    <row r="129">
      <c r="A129" s="13">
        <f>IF(BANK_RAW!A129="","",ROW()-1)</f>
        <v/>
      </c>
      <c r="B129" s="10">
        <f>IF(BANK_RAW!A129="","",IF(ISNUMBER(BANK_RAW!A129),BANK_RAW!A129,DATEVALUE(TEXT(BANK_RAW!A129,"YYYY-MM-DD"))))</f>
        <v/>
      </c>
      <c r="C129" s="11">
        <f>IF(BANK_RAW!A129="","",TRIM(BANK_RAW!B129))</f>
        <v/>
      </c>
      <c r="D129" s="11">
        <f>IF(BANK_RAW!A129="","",TRIM(BANK_RAW!C129))</f>
        <v/>
      </c>
      <c r="E129" s="12">
        <f>IF(BANK_RAW!A129="","",IFERROR(ABS(BANK_RAW!D129),0))</f>
        <v/>
      </c>
      <c r="F129" s="12">
        <f>IF(BANK_RAW!A129="","",IFERROR(ABS(BANK_RAW!E129),0))</f>
        <v/>
      </c>
      <c r="G129" s="12">
        <f>IF(BANK_RAW!A129="","",IFERROR(BANK_RAW!F129,0))</f>
        <v/>
      </c>
      <c r="H129" s="11">
        <f>IF(BANK_RAW!A129="","",IF(E129&gt;0,"CR",IF(F129&gt;0,"DR","CR")))</f>
        <v/>
      </c>
      <c r="I129" s="12">
        <f>IF(BANK_RAW!A129="","",E129-F129)</f>
        <v/>
      </c>
      <c r="J129" s="12">
        <f>IF(BANK_RAW!A129="","",ABS(I129))</f>
        <v/>
      </c>
      <c r="K129" s="11">
        <f>IF(BANK_RAW!A129="","",IF(H129="CR","IN","OUT"))</f>
        <v/>
      </c>
      <c r="L129" s="11" t="inlineStr"/>
      <c r="M129" s="11" t="inlineStr"/>
    </row>
    <row r="130">
      <c r="A130" s="13">
        <f>IF(BANK_RAW!A130="","",ROW()-1)</f>
        <v/>
      </c>
      <c r="B130" s="10">
        <f>IF(BANK_RAW!A130="","",IF(ISNUMBER(BANK_RAW!A130),BANK_RAW!A130,DATEVALUE(TEXT(BANK_RAW!A130,"YYYY-MM-DD"))))</f>
        <v/>
      </c>
      <c r="C130" s="11">
        <f>IF(BANK_RAW!A130="","",TRIM(BANK_RAW!B130))</f>
        <v/>
      </c>
      <c r="D130" s="11">
        <f>IF(BANK_RAW!A130="","",TRIM(BANK_RAW!C130))</f>
        <v/>
      </c>
      <c r="E130" s="12">
        <f>IF(BANK_RAW!A130="","",IFERROR(ABS(BANK_RAW!D130),0))</f>
        <v/>
      </c>
      <c r="F130" s="12">
        <f>IF(BANK_RAW!A130="","",IFERROR(ABS(BANK_RAW!E130),0))</f>
        <v/>
      </c>
      <c r="G130" s="12">
        <f>IF(BANK_RAW!A130="","",IFERROR(BANK_RAW!F130,0))</f>
        <v/>
      </c>
      <c r="H130" s="11">
        <f>IF(BANK_RAW!A130="","",IF(E130&gt;0,"CR",IF(F130&gt;0,"DR","CR")))</f>
        <v/>
      </c>
      <c r="I130" s="12">
        <f>IF(BANK_RAW!A130="","",E130-F130)</f>
        <v/>
      </c>
      <c r="J130" s="12">
        <f>IF(BANK_RAW!A130="","",ABS(I130))</f>
        <v/>
      </c>
      <c r="K130" s="11">
        <f>IF(BANK_RAW!A130="","",IF(H130="CR","IN","OUT"))</f>
        <v/>
      </c>
      <c r="L130" s="11" t="inlineStr"/>
      <c r="M130" s="11" t="inlineStr"/>
    </row>
    <row r="131">
      <c r="A131" s="13">
        <f>IF(BANK_RAW!A131="","",ROW()-1)</f>
        <v/>
      </c>
      <c r="B131" s="10">
        <f>IF(BANK_RAW!A131="","",IF(ISNUMBER(BANK_RAW!A131),BANK_RAW!A131,DATEVALUE(TEXT(BANK_RAW!A131,"YYYY-MM-DD"))))</f>
        <v/>
      </c>
      <c r="C131" s="11">
        <f>IF(BANK_RAW!A131="","",TRIM(BANK_RAW!B131))</f>
        <v/>
      </c>
      <c r="D131" s="11">
        <f>IF(BANK_RAW!A131="","",TRIM(BANK_RAW!C131))</f>
        <v/>
      </c>
      <c r="E131" s="12">
        <f>IF(BANK_RAW!A131="","",IFERROR(ABS(BANK_RAW!D131),0))</f>
        <v/>
      </c>
      <c r="F131" s="12">
        <f>IF(BANK_RAW!A131="","",IFERROR(ABS(BANK_RAW!E131),0))</f>
        <v/>
      </c>
      <c r="G131" s="12">
        <f>IF(BANK_RAW!A131="","",IFERROR(BANK_RAW!F131,0))</f>
        <v/>
      </c>
      <c r="H131" s="11">
        <f>IF(BANK_RAW!A131="","",IF(E131&gt;0,"CR",IF(F131&gt;0,"DR","CR")))</f>
        <v/>
      </c>
      <c r="I131" s="12">
        <f>IF(BANK_RAW!A131="","",E131-F131)</f>
        <v/>
      </c>
      <c r="J131" s="12">
        <f>IF(BANK_RAW!A131="","",ABS(I131))</f>
        <v/>
      </c>
      <c r="K131" s="11">
        <f>IF(BANK_RAW!A131="","",IF(H131="CR","IN","OUT"))</f>
        <v/>
      </c>
      <c r="L131" s="11" t="inlineStr"/>
      <c r="M131" s="11" t="inlineStr"/>
    </row>
    <row r="132">
      <c r="A132" s="13">
        <f>IF(BANK_RAW!A132="","",ROW()-1)</f>
        <v/>
      </c>
      <c r="B132" s="10">
        <f>IF(BANK_RAW!A132="","",IF(ISNUMBER(BANK_RAW!A132),BANK_RAW!A132,DATEVALUE(TEXT(BANK_RAW!A132,"YYYY-MM-DD"))))</f>
        <v/>
      </c>
      <c r="C132" s="11">
        <f>IF(BANK_RAW!A132="","",TRIM(BANK_RAW!B132))</f>
        <v/>
      </c>
      <c r="D132" s="11">
        <f>IF(BANK_RAW!A132="","",TRIM(BANK_RAW!C132))</f>
        <v/>
      </c>
      <c r="E132" s="12">
        <f>IF(BANK_RAW!A132="","",IFERROR(ABS(BANK_RAW!D132),0))</f>
        <v/>
      </c>
      <c r="F132" s="12">
        <f>IF(BANK_RAW!A132="","",IFERROR(ABS(BANK_RAW!E132),0))</f>
        <v/>
      </c>
      <c r="G132" s="12">
        <f>IF(BANK_RAW!A132="","",IFERROR(BANK_RAW!F132,0))</f>
        <v/>
      </c>
      <c r="H132" s="11">
        <f>IF(BANK_RAW!A132="","",IF(E132&gt;0,"CR",IF(F132&gt;0,"DR","CR")))</f>
        <v/>
      </c>
      <c r="I132" s="12">
        <f>IF(BANK_RAW!A132="","",E132-F132)</f>
        <v/>
      </c>
      <c r="J132" s="12">
        <f>IF(BANK_RAW!A132="","",ABS(I132))</f>
        <v/>
      </c>
      <c r="K132" s="11">
        <f>IF(BANK_RAW!A132="","",IF(H132="CR","IN","OUT"))</f>
        <v/>
      </c>
      <c r="L132" s="11" t="inlineStr"/>
      <c r="M132" s="11" t="inlineStr"/>
    </row>
    <row r="133">
      <c r="A133" s="13">
        <f>IF(BANK_RAW!A133="","",ROW()-1)</f>
        <v/>
      </c>
      <c r="B133" s="10">
        <f>IF(BANK_RAW!A133="","",IF(ISNUMBER(BANK_RAW!A133),BANK_RAW!A133,DATEVALUE(TEXT(BANK_RAW!A133,"YYYY-MM-DD"))))</f>
        <v/>
      </c>
      <c r="C133" s="11">
        <f>IF(BANK_RAW!A133="","",TRIM(BANK_RAW!B133))</f>
        <v/>
      </c>
      <c r="D133" s="11">
        <f>IF(BANK_RAW!A133="","",TRIM(BANK_RAW!C133))</f>
        <v/>
      </c>
      <c r="E133" s="12">
        <f>IF(BANK_RAW!A133="","",IFERROR(ABS(BANK_RAW!D133),0))</f>
        <v/>
      </c>
      <c r="F133" s="12">
        <f>IF(BANK_RAW!A133="","",IFERROR(ABS(BANK_RAW!E133),0))</f>
        <v/>
      </c>
      <c r="G133" s="12">
        <f>IF(BANK_RAW!A133="","",IFERROR(BANK_RAW!F133,0))</f>
        <v/>
      </c>
      <c r="H133" s="11">
        <f>IF(BANK_RAW!A133="","",IF(E133&gt;0,"CR",IF(F133&gt;0,"DR","CR")))</f>
        <v/>
      </c>
      <c r="I133" s="12">
        <f>IF(BANK_RAW!A133="","",E133-F133)</f>
        <v/>
      </c>
      <c r="J133" s="12">
        <f>IF(BANK_RAW!A133="","",ABS(I133))</f>
        <v/>
      </c>
      <c r="K133" s="11">
        <f>IF(BANK_RAW!A133="","",IF(H133="CR","IN","OUT"))</f>
        <v/>
      </c>
      <c r="L133" s="11" t="inlineStr"/>
      <c r="M133" s="11" t="inlineStr"/>
    </row>
    <row r="134">
      <c r="A134" s="13">
        <f>IF(BANK_RAW!A134="","",ROW()-1)</f>
        <v/>
      </c>
      <c r="B134" s="10">
        <f>IF(BANK_RAW!A134="","",IF(ISNUMBER(BANK_RAW!A134),BANK_RAW!A134,DATEVALUE(TEXT(BANK_RAW!A134,"YYYY-MM-DD"))))</f>
        <v/>
      </c>
      <c r="C134" s="11">
        <f>IF(BANK_RAW!A134="","",TRIM(BANK_RAW!B134))</f>
        <v/>
      </c>
      <c r="D134" s="11">
        <f>IF(BANK_RAW!A134="","",TRIM(BANK_RAW!C134))</f>
        <v/>
      </c>
      <c r="E134" s="12">
        <f>IF(BANK_RAW!A134="","",IFERROR(ABS(BANK_RAW!D134),0))</f>
        <v/>
      </c>
      <c r="F134" s="12">
        <f>IF(BANK_RAW!A134="","",IFERROR(ABS(BANK_RAW!E134),0))</f>
        <v/>
      </c>
      <c r="G134" s="12">
        <f>IF(BANK_RAW!A134="","",IFERROR(BANK_RAW!F134,0))</f>
        <v/>
      </c>
      <c r="H134" s="11">
        <f>IF(BANK_RAW!A134="","",IF(E134&gt;0,"CR",IF(F134&gt;0,"DR","CR")))</f>
        <v/>
      </c>
      <c r="I134" s="12">
        <f>IF(BANK_RAW!A134="","",E134-F134)</f>
        <v/>
      </c>
      <c r="J134" s="12">
        <f>IF(BANK_RAW!A134="","",ABS(I134))</f>
        <v/>
      </c>
      <c r="K134" s="11">
        <f>IF(BANK_RAW!A134="","",IF(H134="CR","IN","OUT"))</f>
        <v/>
      </c>
      <c r="L134" s="11" t="inlineStr"/>
      <c r="M134" s="11" t="inlineStr"/>
    </row>
    <row r="135">
      <c r="A135" s="13">
        <f>IF(BANK_RAW!A135="","",ROW()-1)</f>
        <v/>
      </c>
      <c r="B135" s="10">
        <f>IF(BANK_RAW!A135="","",IF(ISNUMBER(BANK_RAW!A135),BANK_RAW!A135,DATEVALUE(TEXT(BANK_RAW!A135,"YYYY-MM-DD"))))</f>
        <v/>
      </c>
      <c r="C135" s="11">
        <f>IF(BANK_RAW!A135="","",TRIM(BANK_RAW!B135))</f>
        <v/>
      </c>
      <c r="D135" s="11">
        <f>IF(BANK_RAW!A135="","",TRIM(BANK_RAW!C135))</f>
        <v/>
      </c>
      <c r="E135" s="12">
        <f>IF(BANK_RAW!A135="","",IFERROR(ABS(BANK_RAW!D135),0))</f>
        <v/>
      </c>
      <c r="F135" s="12">
        <f>IF(BANK_RAW!A135="","",IFERROR(ABS(BANK_RAW!E135),0))</f>
        <v/>
      </c>
      <c r="G135" s="12">
        <f>IF(BANK_RAW!A135="","",IFERROR(BANK_RAW!F135,0))</f>
        <v/>
      </c>
      <c r="H135" s="11">
        <f>IF(BANK_RAW!A135="","",IF(E135&gt;0,"CR",IF(F135&gt;0,"DR","CR")))</f>
        <v/>
      </c>
      <c r="I135" s="12">
        <f>IF(BANK_RAW!A135="","",E135-F135)</f>
        <v/>
      </c>
      <c r="J135" s="12">
        <f>IF(BANK_RAW!A135="","",ABS(I135))</f>
        <v/>
      </c>
      <c r="K135" s="11">
        <f>IF(BANK_RAW!A135="","",IF(H135="CR","IN","OUT"))</f>
        <v/>
      </c>
      <c r="L135" s="11" t="inlineStr"/>
      <c r="M135" s="11" t="inlineStr"/>
    </row>
    <row r="136">
      <c r="A136" s="13">
        <f>IF(BANK_RAW!A136="","",ROW()-1)</f>
        <v/>
      </c>
      <c r="B136" s="10">
        <f>IF(BANK_RAW!A136="","",IF(ISNUMBER(BANK_RAW!A136),BANK_RAW!A136,DATEVALUE(TEXT(BANK_RAW!A136,"YYYY-MM-DD"))))</f>
        <v/>
      </c>
      <c r="C136" s="11">
        <f>IF(BANK_RAW!A136="","",TRIM(BANK_RAW!B136))</f>
        <v/>
      </c>
      <c r="D136" s="11">
        <f>IF(BANK_RAW!A136="","",TRIM(BANK_RAW!C136))</f>
        <v/>
      </c>
      <c r="E136" s="12">
        <f>IF(BANK_RAW!A136="","",IFERROR(ABS(BANK_RAW!D136),0))</f>
        <v/>
      </c>
      <c r="F136" s="12">
        <f>IF(BANK_RAW!A136="","",IFERROR(ABS(BANK_RAW!E136),0))</f>
        <v/>
      </c>
      <c r="G136" s="12">
        <f>IF(BANK_RAW!A136="","",IFERROR(BANK_RAW!F136,0))</f>
        <v/>
      </c>
      <c r="H136" s="11">
        <f>IF(BANK_RAW!A136="","",IF(E136&gt;0,"CR",IF(F136&gt;0,"DR","CR")))</f>
        <v/>
      </c>
      <c r="I136" s="12">
        <f>IF(BANK_RAW!A136="","",E136-F136)</f>
        <v/>
      </c>
      <c r="J136" s="12">
        <f>IF(BANK_RAW!A136="","",ABS(I136))</f>
        <v/>
      </c>
      <c r="K136" s="11">
        <f>IF(BANK_RAW!A136="","",IF(H136="CR","IN","OUT"))</f>
        <v/>
      </c>
      <c r="L136" s="11" t="inlineStr"/>
      <c r="M136" s="11" t="inlineStr"/>
    </row>
    <row r="137">
      <c r="A137" s="13">
        <f>IF(BANK_RAW!A137="","",ROW()-1)</f>
        <v/>
      </c>
      <c r="B137" s="10">
        <f>IF(BANK_RAW!A137="","",IF(ISNUMBER(BANK_RAW!A137),BANK_RAW!A137,DATEVALUE(TEXT(BANK_RAW!A137,"YYYY-MM-DD"))))</f>
        <v/>
      </c>
      <c r="C137" s="11">
        <f>IF(BANK_RAW!A137="","",TRIM(BANK_RAW!B137))</f>
        <v/>
      </c>
      <c r="D137" s="11">
        <f>IF(BANK_RAW!A137="","",TRIM(BANK_RAW!C137))</f>
        <v/>
      </c>
      <c r="E137" s="12">
        <f>IF(BANK_RAW!A137="","",IFERROR(ABS(BANK_RAW!D137),0))</f>
        <v/>
      </c>
      <c r="F137" s="12">
        <f>IF(BANK_RAW!A137="","",IFERROR(ABS(BANK_RAW!E137),0))</f>
        <v/>
      </c>
      <c r="G137" s="12">
        <f>IF(BANK_RAW!A137="","",IFERROR(BANK_RAW!F137,0))</f>
        <v/>
      </c>
      <c r="H137" s="11">
        <f>IF(BANK_RAW!A137="","",IF(E137&gt;0,"CR",IF(F137&gt;0,"DR","CR")))</f>
        <v/>
      </c>
      <c r="I137" s="12">
        <f>IF(BANK_RAW!A137="","",E137-F137)</f>
        <v/>
      </c>
      <c r="J137" s="12">
        <f>IF(BANK_RAW!A137="","",ABS(I137))</f>
        <v/>
      </c>
      <c r="K137" s="11">
        <f>IF(BANK_RAW!A137="","",IF(H137="CR","IN","OUT"))</f>
        <v/>
      </c>
      <c r="L137" s="11" t="inlineStr"/>
      <c r="M137" s="11" t="inlineStr"/>
    </row>
    <row r="138">
      <c r="A138" s="13">
        <f>IF(BANK_RAW!A138="","",ROW()-1)</f>
        <v/>
      </c>
      <c r="B138" s="10">
        <f>IF(BANK_RAW!A138="","",IF(ISNUMBER(BANK_RAW!A138),BANK_RAW!A138,DATEVALUE(TEXT(BANK_RAW!A138,"YYYY-MM-DD"))))</f>
        <v/>
      </c>
      <c r="C138" s="11">
        <f>IF(BANK_RAW!A138="","",TRIM(BANK_RAW!B138))</f>
        <v/>
      </c>
      <c r="D138" s="11">
        <f>IF(BANK_RAW!A138="","",TRIM(BANK_RAW!C138))</f>
        <v/>
      </c>
      <c r="E138" s="12">
        <f>IF(BANK_RAW!A138="","",IFERROR(ABS(BANK_RAW!D138),0))</f>
        <v/>
      </c>
      <c r="F138" s="12">
        <f>IF(BANK_RAW!A138="","",IFERROR(ABS(BANK_RAW!E138),0))</f>
        <v/>
      </c>
      <c r="G138" s="12">
        <f>IF(BANK_RAW!A138="","",IFERROR(BANK_RAW!F138,0))</f>
        <v/>
      </c>
      <c r="H138" s="11">
        <f>IF(BANK_RAW!A138="","",IF(E138&gt;0,"CR",IF(F138&gt;0,"DR","CR")))</f>
        <v/>
      </c>
      <c r="I138" s="12">
        <f>IF(BANK_RAW!A138="","",E138-F138)</f>
        <v/>
      </c>
      <c r="J138" s="12">
        <f>IF(BANK_RAW!A138="","",ABS(I138))</f>
        <v/>
      </c>
      <c r="K138" s="11">
        <f>IF(BANK_RAW!A138="","",IF(H138="CR","IN","OUT"))</f>
        <v/>
      </c>
      <c r="L138" s="11" t="inlineStr"/>
      <c r="M138" s="11" t="inlineStr"/>
    </row>
    <row r="139">
      <c r="A139" s="13">
        <f>IF(BANK_RAW!A139="","",ROW()-1)</f>
        <v/>
      </c>
      <c r="B139" s="10">
        <f>IF(BANK_RAW!A139="","",IF(ISNUMBER(BANK_RAW!A139),BANK_RAW!A139,DATEVALUE(TEXT(BANK_RAW!A139,"YYYY-MM-DD"))))</f>
        <v/>
      </c>
      <c r="C139" s="11">
        <f>IF(BANK_RAW!A139="","",TRIM(BANK_RAW!B139))</f>
        <v/>
      </c>
      <c r="D139" s="11">
        <f>IF(BANK_RAW!A139="","",TRIM(BANK_RAW!C139))</f>
        <v/>
      </c>
      <c r="E139" s="12">
        <f>IF(BANK_RAW!A139="","",IFERROR(ABS(BANK_RAW!D139),0))</f>
        <v/>
      </c>
      <c r="F139" s="12">
        <f>IF(BANK_RAW!A139="","",IFERROR(ABS(BANK_RAW!E139),0))</f>
        <v/>
      </c>
      <c r="G139" s="12">
        <f>IF(BANK_RAW!A139="","",IFERROR(BANK_RAW!F139,0))</f>
        <v/>
      </c>
      <c r="H139" s="11">
        <f>IF(BANK_RAW!A139="","",IF(E139&gt;0,"CR",IF(F139&gt;0,"DR","CR")))</f>
        <v/>
      </c>
      <c r="I139" s="12">
        <f>IF(BANK_RAW!A139="","",E139-F139)</f>
        <v/>
      </c>
      <c r="J139" s="12">
        <f>IF(BANK_RAW!A139="","",ABS(I139))</f>
        <v/>
      </c>
      <c r="K139" s="11">
        <f>IF(BANK_RAW!A139="","",IF(H139="CR","IN","OUT"))</f>
        <v/>
      </c>
      <c r="L139" s="11" t="inlineStr"/>
      <c r="M139" s="11" t="inlineStr"/>
    </row>
    <row r="140">
      <c r="A140" s="13">
        <f>IF(BANK_RAW!A140="","",ROW()-1)</f>
        <v/>
      </c>
      <c r="B140" s="10">
        <f>IF(BANK_RAW!A140="","",IF(ISNUMBER(BANK_RAW!A140),BANK_RAW!A140,DATEVALUE(TEXT(BANK_RAW!A140,"YYYY-MM-DD"))))</f>
        <v/>
      </c>
      <c r="C140" s="11">
        <f>IF(BANK_RAW!A140="","",TRIM(BANK_RAW!B140))</f>
        <v/>
      </c>
      <c r="D140" s="11">
        <f>IF(BANK_RAW!A140="","",TRIM(BANK_RAW!C140))</f>
        <v/>
      </c>
      <c r="E140" s="12">
        <f>IF(BANK_RAW!A140="","",IFERROR(ABS(BANK_RAW!D140),0))</f>
        <v/>
      </c>
      <c r="F140" s="12">
        <f>IF(BANK_RAW!A140="","",IFERROR(ABS(BANK_RAW!E140),0))</f>
        <v/>
      </c>
      <c r="G140" s="12">
        <f>IF(BANK_RAW!A140="","",IFERROR(BANK_RAW!F140,0))</f>
        <v/>
      </c>
      <c r="H140" s="11">
        <f>IF(BANK_RAW!A140="","",IF(E140&gt;0,"CR",IF(F140&gt;0,"DR","CR")))</f>
        <v/>
      </c>
      <c r="I140" s="12">
        <f>IF(BANK_RAW!A140="","",E140-F140)</f>
        <v/>
      </c>
      <c r="J140" s="12">
        <f>IF(BANK_RAW!A140="","",ABS(I140))</f>
        <v/>
      </c>
      <c r="K140" s="11">
        <f>IF(BANK_RAW!A140="","",IF(H140="CR","IN","OUT"))</f>
        <v/>
      </c>
      <c r="L140" s="11" t="inlineStr"/>
      <c r="M140" s="11" t="inlineStr"/>
    </row>
    <row r="141">
      <c r="A141" s="13">
        <f>IF(BANK_RAW!A141="","",ROW()-1)</f>
        <v/>
      </c>
      <c r="B141" s="10">
        <f>IF(BANK_RAW!A141="","",IF(ISNUMBER(BANK_RAW!A141),BANK_RAW!A141,DATEVALUE(TEXT(BANK_RAW!A141,"YYYY-MM-DD"))))</f>
        <v/>
      </c>
      <c r="C141" s="11">
        <f>IF(BANK_RAW!A141="","",TRIM(BANK_RAW!B141))</f>
        <v/>
      </c>
      <c r="D141" s="11">
        <f>IF(BANK_RAW!A141="","",TRIM(BANK_RAW!C141))</f>
        <v/>
      </c>
      <c r="E141" s="12">
        <f>IF(BANK_RAW!A141="","",IFERROR(ABS(BANK_RAW!D141),0))</f>
        <v/>
      </c>
      <c r="F141" s="12">
        <f>IF(BANK_RAW!A141="","",IFERROR(ABS(BANK_RAW!E141),0))</f>
        <v/>
      </c>
      <c r="G141" s="12">
        <f>IF(BANK_RAW!A141="","",IFERROR(BANK_RAW!F141,0))</f>
        <v/>
      </c>
      <c r="H141" s="11">
        <f>IF(BANK_RAW!A141="","",IF(E141&gt;0,"CR",IF(F141&gt;0,"DR","CR")))</f>
        <v/>
      </c>
      <c r="I141" s="12">
        <f>IF(BANK_RAW!A141="","",E141-F141)</f>
        <v/>
      </c>
      <c r="J141" s="12">
        <f>IF(BANK_RAW!A141="","",ABS(I141))</f>
        <v/>
      </c>
      <c r="K141" s="11">
        <f>IF(BANK_RAW!A141="","",IF(H141="CR","IN","OUT"))</f>
        <v/>
      </c>
      <c r="L141" s="11" t="inlineStr"/>
      <c r="M141" s="11" t="inlineStr"/>
    </row>
    <row r="142">
      <c r="A142" s="13">
        <f>IF(BANK_RAW!A142="","",ROW()-1)</f>
        <v/>
      </c>
      <c r="B142" s="10">
        <f>IF(BANK_RAW!A142="","",IF(ISNUMBER(BANK_RAW!A142),BANK_RAW!A142,DATEVALUE(TEXT(BANK_RAW!A142,"YYYY-MM-DD"))))</f>
        <v/>
      </c>
      <c r="C142" s="11">
        <f>IF(BANK_RAW!A142="","",TRIM(BANK_RAW!B142))</f>
        <v/>
      </c>
      <c r="D142" s="11">
        <f>IF(BANK_RAW!A142="","",TRIM(BANK_RAW!C142))</f>
        <v/>
      </c>
      <c r="E142" s="12">
        <f>IF(BANK_RAW!A142="","",IFERROR(ABS(BANK_RAW!D142),0))</f>
        <v/>
      </c>
      <c r="F142" s="12">
        <f>IF(BANK_RAW!A142="","",IFERROR(ABS(BANK_RAW!E142),0))</f>
        <v/>
      </c>
      <c r="G142" s="12">
        <f>IF(BANK_RAW!A142="","",IFERROR(BANK_RAW!F142,0))</f>
        <v/>
      </c>
      <c r="H142" s="11">
        <f>IF(BANK_RAW!A142="","",IF(E142&gt;0,"CR",IF(F142&gt;0,"DR","CR")))</f>
        <v/>
      </c>
      <c r="I142" s="12">
        <f>IF(BANK_RAW!A142="","",E142-F142)</f>
        <v/>
      </c>
      <c r="J142" s="12">
        <f>IF(BANK_RAW!A142="","",ABS(I142))</f>
        <v/>
      </c>
      <c r="K142" s="11">
        <f>IF(BANK_RAW!A142="","",IF(H142="CR","IN","OUT"))</f>
        <v/>
      </c>
      <c r="L142" s="11" t="inlineStr"/>
      <c r="M142" s="11" t="inlineStr"/>
    </row>
    <row r="143">
      <c r="A143" s="13">
        <f>IF(BANK_RAW!A143="","",ROW()-1)</f>
        <v/>
      </c>
      <c r="B143" s="10">
        <f>IF(BANK_RAW!A143="","",IF(ISNUMBER(BANK_RAW!A143),BANK_RAW!A143,DATEVALUE(TEXT(BANK_RAW!A143,"YYYY-MM-DD"))))</f>
        <v/>
      </c>
      <c r="C143" s="11">
        <f>IF(BANK_RAW!A143="","",TRIM(BANK_RAW!B143))</f>
        <v/>
      </c>
      <c r="D143" s="11">
        <f>IF(BANK_RAW!A143="","",TRIM(BANK_RAW!C143))</f>
        <v/>
      </c>
      <c r="E143" s="12">
        <f>IF(BANK_RAW!A143="","",IFERROR(ABS(BANK_RAW!D143),0))</f>
        <v/>
      </c>
      <c r="F143" s="12">
        <f>IF(BANK_RAW!A143="","",IFERROR(ABS(BANK_RAW!E143),0))</f>
        <v/>
      </c>
      <c r="G143" s="12">
        <f>IF(BANK_RAW!A143="","",IFERROR(BANK_RAW!F143,0))</f>
        <v/>
      </c>
      <c r="H143" s="11">
        <f>IF(BANK_RAW!A143="","",IF(E143&gt;0,"CR",IF(F143&gt;0,"DR","CR")))</f>
        <v/>
      </c>
      <c r="I143" s="12">
        <f>IF(BANK_RAW!A143="","",E143-F143)</f>
        <v/>
      </c>
      <c r="J143" s="12">
        <f>IF(BANK_RAW!A143="","",ABS(I143))</f>
        <v/>
      </c>
      <c r="K143" s="11">
        <f>IF(BANK_RAW!A143="","",IF(H143="CR","IN","OUT"))</f>
        <v/>
      </c>
      <c r="L143" s="11" t="inlineStr"/>
      <c r="M143" s="11" t="inlineStr"/>
    </row>
    <row r="144">
      <c r="A144" s="13">
        <f>IF(BANK_RAW!A144="","",ROW()-1)</f>
        <v/>
      </c>
      <c r="B144" s="10">
        <f>IF(BANK_RAW!A144="","",IF(ISNUMBER(BANK_RAW!A144),BANK_RAW!A144,DATEVALUE(TEXT(BANK_RAW!A144,"YYYY-MM-DD"))))</f>
        <v/>
      </c>
      <c r="C144" s="11">
        <f>IF(BANK_RAW!A144="","",TRIM(BANK_RAW!B144))</f>
        <v/>
      </c>
      <c r="D144" s="11">
        <f>IF(BANK_RAW!A144="","",TRIM(BANK_RAW!C144))</f>
        <v/>
      </c>
      <c r="E144" s="12">
        <f>IF(BANK_RAW!A144="","",IFERROR(ABS(BANK_RAW!D144),0))</f>
        <v/>
      </c>
      <c r="F144" s="12">
        <f>IF(BANK_RAW!A144="","",IFERROR(ABS(BANK_RAW!E144),0))</f>
        <v/>
      </c>
      <c r="G144" s="12">
        <f>IF(BANK_RAW!A144="","",IFERROR(BANK_RAW!F144,0))</f>
        <v/>
      </c>
      <c r="H144" s="11">
        <f>IF(BANK_RAW!A144="","",IF(E144&gt;0,"CR",IF(F144&gt;0,"DR","CR")))</f>
        <v/>
      </c>
      <c r="I144" s="12">
        <f>IF(BANK_RAW!A144="","",E144-F144)</f>
        <v/>
      </c>
      <c r="J144" s="12">
        <f>IF(BANK_RAW!A144="","",ABS(I144))</f>
        <v/>
      </c>
      <c r="K144" s="11">
        <f>IF(BANK_RAW!A144="","",IF(H144="CR","IN","OUT"))</f>
        <v/>
      </c>
      <c r="L144" s="11" t="inlineStr"/>
      <c r="M144" s="11" t="inlineStr"/>
    </row>
    <row r="145">
      <c r="A145" s="13">
        <f>IF(BANK_RAW!A145="","",ROW()-1)</f>
        <v/>
      </c>
      <c r="B145" s="10">
        <f>IF(BANK_RAW!A145="","",IF(ISNUMBER(BANK_RAW!A145),BANK_RAW!A145,DATEVALUE(TEXT(BANK_RAW!A145,"YYYY-MM-DD"))))</f>
        <v/>
      </c>
      <c r="C145" s="11">
        <f>IF(BANK_RAW!A145="","",TRIM(BANK_RAW!B145))</f>
        <v/>
      </c>
      <c r="D145" s="11">
        <f>IF(BANK_RAW!A145="","",TRIM(BANK_RAW!C145))</f>
        <v/>
      </c>
      <c r="E145" s="12">
        <f>IF(BANK_RAW!A145="","",IFERROR(ABS(BANK_RAW!D145),0))</f>
        <v/>
      </c>
      <c r="F145" s="12">
        <f>IF(BANK_RAW!A145="","",IFERROR(ABS(BANK_RAW!E145),0))</f>
        <v/>
      </c>
      <c r="G145" s="12">
        <f>IF(BANK_RAW!A145="","",IFERROR(BANK_RAW!F145,0))</f>
        <v/>
      </c>
      <c r="H145" s="11">
        <f>IF(BANK_RAW!A145="","",IF(E145&gt;0,"CR",IF(F145&gt;0,"DR","CR")))</f>
        <v/>
      </c>
      <c r="I145" s="12">
        <f>IF(BANK_RAW!A145="","",E145-F145)</f>
        <v/>
      </c>
      <c r="J145" s="12">
        <f>IF(BANK_RAW!A145="","",ABS(I145))</f>
        <v/>
      </c>
      <c r="K145" s="11">
        <f>IF(BANK_RAW!A145="","",IF(H145="CR","IN","OUT"))</f>
        <v/>
      </c>
      <c r="L145" s="11" t="inlineStr"/>
      <c r="M145" s="11" t="inlineStr"/>
    </row>
    <row r="146">
      <c r="A146" s="13">
        <f>IF(BANK_RAW!A146="","",ROW()-1)</f>
        <v/>
      </c>
      <c r="B146" s="10">
        <f>IF(BANK_RAW!A146="","",IF(ISNUMBER(BANK_RAW!A146),BANK_RAW!A146,DATEVALUE(TEXT(BANK_RAW!A146,"YYYY-MM-DD"))))</f>
        <v/>
      </c>
      <c r="C146" s="11">
        <f>IF(BANK_RAW!A146="","",TRIM(BANK_RAW!B146))</f>
        <v/>
      </c>
      <c r="D146" s="11">
        <f>IF(BANK_RAW!A146="","",TRIM(BANK_RAW!C146))</f>
        <v/>
      </c>
      <c r="E146" s="12">
        <f>IF(BANK_RAW!A146="","",IFERROR(ABS(BANK_RAW!D146),0))</f>
        <v/>
      </c>
      <c r="F146" s="12">
        <f>IF(BANK_RAW!A146="","",IFERROR(ABS(BANK_RAW!E146),0))</f>
        <v/>
      </c>
      <c r="G146" s="12">
        <f>IF(BANK_RAW!A146="","",IFERROR(BANK_RAW!F146,0))</f>
        <v/>
      </c>
      <c r="H146" s="11">
        <f>IF(BANK_RAW!A146="","",IF(E146&gt;0,"CR",IF(F146&gt;0,"DR","CR")))</f>
        <v/>
      </c>
      <c r="I146" s="12">
        <f>IF(BANK_RAW!A146="","",E146-F146)</f>
        <v/>
      </c>
      <c r="J146" s="12">
        <f>IF(BANK_RAW!A146="","",ABS(I146))</f>
        <v/>
      </c>
      <c r="K146" s="11">
        <f>IF(BANK_RAW!A146="","",IF(H146="CR","IN","OUT"))</f>
        <v/>
      </c>
      <c r="L146" s="11" t="inlineStr"/>
      <c r="M146" s="11" t="inlineStr"/>
    </row>
    <row r="147">
      <c r="A147" s="13">
        <f>IF(BANK_RAW!A147="","",ROW()-1)</f>
        <v/>
      </c>
      <c r="B147" s="10">
        <f>IF(BANK_RAW!A147="","",IF(ISNUMBER(BANK_RAW!A147),BANK_RAW!A147,DATEVALUE(TEXT(BANK_RAW!A147,"YYYY-MM-DD"))))</f>
        <v/>
      </c>
      <c r="C147" s="11">
        <f>IF(BANK_RAW!A147="","",TRIM(BANK_RAW!B147))</f>
        <v/>
      </c>
      <c r="D147" s="11">
        <f>IF(BANK_RAW!A147="","",TRIM(BANK_RAW!C147))</f>
        <v/>
      </c>
      <c r="E147" s="12">
        <f>IF(BANK_RAW!A147="","",IFERROR(ABS(BANK_RAW!D147),0))</f>
        <v/>
      </c>
      <c r="F147" s="12">
        <f>IF(BANK_RAW!A147="","",IFERROR(ABS(BANK_RAW!E147),0))</f>
        <v/>
      </c>
      <c r="G147" s="12">
        <f>IF(BANK_RAW!A147="","",IFERROR(BANK_RAW!F147,0))</f>
        <v/>
      </c>
      <c r="H147" s="11">
        <f>IF(BANK_RAW!A147="","",IF(E147&gt;0,"CR",IF(F147&gt;0,"DR","CR")))</f>
        <v/>
      </c>
      <c r="I147" s="12">
        <f>IF(BANK_RAW!A147="","",E147-F147)</f>
        <v/>
      </c>
      <c r="J147" s="12">
        <f>IF(BANK_RAW!A147="","",ABS(I147))</f>
        <v/>
      </c>
      <c r="K147" s="11">
        <f>IF(BANK_RAW!A147="","",IF(H147="CR","IN","OUT"))</f>
        <v/>
      </c>
      <c r="L147" s="11" t="inlineStr"/>
      <c r="M147" s="11" t="inlineStr"/>
    </row>
    <row r="148">
      <c r="A148" s="13">
        <f>IF(BANK_RAW!A148="","",ROW()-1)</f>
        <v/>
      </c>
      <c r="B148" s="10">
        <f>IF(BANK_RAW!A148="","",IF(ISNUMBER(BANK_RAW!A148),BANK_RAW!A148,DATEVALUE(TEXT(BANK_RAW!A148,"YYYY-MM-DD"))))</f>
        <v/>
      </c>
      <c r="C148" s="11">
        <f>IF(BANK_RAW!A148="","",TRIM(BANK_RAW!B148))</f>
        <v/>
      </c>
      <c r="D148" s="11">
        <f>IF(BANK_RAW!A148="","",TRIM(BANK_RAW!C148))</f>
        <v/>
      </c>
      <c r="E148" s="12">
        <f>IF(BANK_RAW!A148="","",IFERROR(ABS(BANK_RAW!D148),0))</f>
        <v/>
      </c>
      <c r="F148" s="12">
        <f>IF(BANK_RAW!A148="","",IFERROR(ABS(BANK_RAW!E148),0))</f>
        <v/>
      </c>
      <c r="G148" s="12">
        <f>IF(BANK_RAW!A148="","",IFERROR(BANK_RAW!F148,0))</f>
        <v/>
      </c>
      <c r="H148" s="11">
        <f>IF(BANK_RAW!A148="","",IF(E148&gt;0,"CR",IF(F148&gt;0,"DR","CR")))</f>
        <v/>
      </c>
      <c r="I148" s="12">
        <f>IF(BANK_RAW!A148="","",E148-F148)</f>
        <v/>
      </c>
      <c r="J148" s="12">
        <f>IF(BANK_RAW!A148="","",ABS(I148))</f>
        <v/>
      </c>
      <c r="K148" s="11">
        <f>IF(BANK_RAW!A148="","",IF(H148="CR","IN","OUT"))</f>
        <v/>
      </c>
      <c r="L148" s="11" t="inlineStr"/>
      <c r="M148" s="11" t="inlineStr"/>
    </row>
    <row r="149">
      <c r="A149" s="13">
        <f>IF(BANK_RAW!A149="","",ROW()-1)</f>
        <v/>
      </c>
      <c r="B149" s="10">
        <f>IF(BANK_RAW!A149="","",IF(ISNUMBER(BANK_RAW!A149),BANK_RAW!A149,DATEVALUE(TEXT(BANK_RAW!A149,"YYYY-MM-DD"))))</f>
        <v/>
      </c>
      <c r="C149" s="11">
        <f>IF(BANK_RAW!A149="","",TRIM(BANK_RAW!B149))</f>
        <v/>
      </c>
      <c r="D149" s="11">
        <f>IF(BANK_RAW!A149="","",TRIM(BANK_RAW!C149))</f>
        <v/>
      </c>
      <c r="E149" s="12">
        <f>IF(BANK_RAW!A149="","",IFERROR(ABS(BANK_RAW!D149),0))</f>
        <v/>
      </c>
      <c r="F149" s="12">
        <f>IF(BANK_RAW!A149="","",IFERROR(ABS(BANK_RAW!E149),0))</f>
        <v/>
      </c>
      <c r="G149" s="12">
        <f>IF(BANK_RAW!A149="","",IFERROR(BANK_RAW!F149,0))</f>
        <v/>
      </c>
      <c r="H149" s="11">
        <f>IF(BANK_RAW!A149="","",IF(E149&gt;0,"CR",IF(F149&gt;0,"DR","CR")))</f>
        <v/>
      </c>
      <c r="I149" s="12">
        <f>IF(BANK_RAW!A149="","",E149-F149)</f>
        <v/>
      </c>
      <c r="J149" s="12">
        <f>IF(BANK_RAW!A149="","",ABS(I149))</f>
        <v/>
      </c>
      <c r="K149" s="11">
        <f>IF(BANK_RAW!A149="","",IF(H149="CR","IN","OUT"))</f>
        <v/>
      </c>
      <c r="L149" s="11" t="inlineStr"/>
      <c r="M149" s="11" t="inlineStr"/>
    </row>
    <row r="150">
      <c r="A150" s="13">
        <f>IF(BANK_RAW!A150="","",ROW()-1)</f>
        <v/>
      </c>
      <c r="B150" s="10">
        <f>IF(BANK_RAW!A150="","",IF(ISNUMBER(BANK_RAW!A150),BANK_RAW!A150,DATEVALUE(TEXT(BANK_RAW!A150,"YYYY-MM-DD"))))</f>
        <v/>
      </c>
      <c r="C150" s="11">
        <f>IF(BANK_RAW!A150="","",TRIM(BANK_RAW!B150))</f>
        <v/>
      </c>
      <c r="D150" s="11">
        <f>IF(BANK_RAW!A150="","",TRIM(BANK_RAW!C150))</f>
        <v/>
      </c>
      <c r="E150" s="12">
        <f>IF(BANK_RAW!A150="","",IFERROR(ABS(BANK_RAW!D150),0))</f>
        <v/>
      </c>
      <c r="F150" s="12">
        <f>IF(BANK_RAW!A150="","",IFERROR(ABS(BANK_RAW!E150),0))</f>
        <v/>
      </c>
      <c r="G150" s="12">
        <f>IF(BANK_RAW!A150="","",IFERROR(BANK_RAW!F150,0))</f>
        <v/>
      </c>
      <c r="H150" s="11">
        <f>IF(BANK_RAW!A150="","",IF(E150&gt;0,"CR",IF(F150&gt;0,"DR","CR")))</f>
        <v/>
      </c>
      <c r="I150" s="12">
        <f>IF(BANK_RAW!A150="","",E150-F150)</f>
        <v/>
      </c>
      <c r="J150" s="12">
        <f>IF(BANK_RAW!A150="","",ABS(I150))</f>
        <v/>
      </c>
      <c r="K150" s="11">
        <f>IF(BANK_RAW!A150="","",IF(H150="CR","IN","OUT"))</f>
        <v/>
      </c>
      <c r="L150" s="11" t="inlineStr"/>
      <c r="M150" s="11" t="inlineStr"/>
    </row>
    <row r="151">
      <c r="A151" s="13">
        <f>IF(BANK_RAW!A151="","",ROW()-1)</f>
        <v/>
      </c>
      <c r="B151" s="10">
        <f>IF(BANK_RAW!A151="","",IF(ISNUMBER(BANK_RAW!A151),BANK_RAW!A151,DATEVALUE(TEXT(BANK_RAW!A151,"YYYY-MM-DD"))))</f>
        <v/>
      </c>
      <c r="C151" s="11">
        <f>IF(BANK_RAW!A151="","",TRIM(BANK_RAW!B151))</f>
        <v/>
      </c>
      <c r="D151" s="11">
        <f>IF(BANK_RAW!A151="","",TRIM(BANK_RAW!C151))</f>
        <v/>
      </c>
      <c r="E151" s="12">
        <f>IF(BANK_RAW!A151="","",IFERROR(ABS(BANK_RAW!D151),0))</f>
        <v/>
      </c>
      <c r="F151" s="12">
        <f>IF(BANK_RAW!A151="","",IFERROR(ABS(BANK_RAW!E151),0))</f>
        <v/>
      </c>
      <c r="G151" s="12">
        <f>IF(BANK_RAW!A151="","",IFERROR(BANK_RAW!F151,0))</f>
        <v/>
      </c>
      <c r="H151" s="11">
        <f>IF(BANK_RAW!A151="","",IF(E151&gt;0,"CR",IF(F151&gt;0,"DR","CR")))</f>
        <v/>
      </c>
      <c r="I151" s="12">
        <f>IF(BANK_RAW!A151="","",E151-F151)</f>
        <v/>
      </c>
      <c r="J151" s="12">
        <f>IF(BANK_RAW!A151="","",ABS(I151))</f>
        <v/>
      </c>
      <c r="K151" s="11">
        <f>IF(BANK_RAW!A151="","",IF(H151="CR","IN","OUT"))</f>
        <v/>
      </c>
      <c r="L151" s="11" t="inlineStr"/>
      <c r="M151" s="11" t="inlineStr"/>
    </row>
    <row r="152">
      <c r="A152" s="13">
        <f>IF(BANK_RAW!A152="","",ROW()-1)</f>
        <v/>
      </c>
      <c r="B152" s="10">
        <f>IF(BANK_RAW!A152="","",IF(ISNUMBER(BANK_RAW!A152),BANK_RAW!A152,DATEVALUE(TEXT(BANK_RAW!A152,"YYYY-MM-DD"))))</f>
        <v/>
      </c>
      <c r="C152" s="11">
        <f>IF(BANK_RAW!A152="","",TRIM(BANK_RAW!B152))</f>
        <v/>
      </c>
      <c r="D152" s="11">
        <f>IF(BANK_RAW!A152="","",TRIM(BANK_RAW!C152))</f>
        <v/>
      </c>
      <c r="E152" s="12">
        <f>IF(BANK_RAW!A152="","",IFERROR(ABS(BANK_RAW!D152),0))</f>
        <v/>
      </c>
      <c r="F152" s="12">
        <f>IF(BANK_RAW!A152="","",IFERROR(ABS(BANK_RAW!E152),0))</f>
        <v/>
      </c>
      <c r="G152" s="12">
        <f>IF(BANK_RAW!A152="","",IFERROR(BANK_RAW!F152,0))</f>
        <v/>
      </c>
      <c r="H152" s="11">
        <f>IF(BANK_RAW!A152="","",IF(E152&gt;0,"CR",IF(F152&gt;0,"DR","CR")))</f>
        <v/>
      </c>
      <c r="I152" s="12">
        <f>IF(BANK_RAW!A152="","",E152-F152)</f>
        <v/>
      </c>
      <c r="J152" s="12">
        <f>IF(BANK_RAW!A152="","",ABS(I152))</f>
        <v/>
      </c>
      <c r="K152" s="11">
        <f>IF(BANK_RAW!A152="","",IF(H152="CR","IN","OUT"))</f>
        <v/>
      </c>
      <c r="L152" s="11" t="inlineStr"/>
      <c r="M152" s="11" t="inlineStr"/>
    </row>
    <row r="153">
      <c r="A153" s="13">
        <f>IF(BANK_RAW!A153="","",ROW()-1)</f>
        <v/>
      </c>
      <c r="B153" s="10">
        <f>IF(BANK_RAW!A153="","",IF(ISNUMBER(BANK_RAW!A153),BANK_RAW!A153,DATEVALUE(TEXT(BANK_RAW!A153,"YYYY-MM-DD"))))</f>
        <v/>
      </c>
      <c r="C153" s="11">
        <f>IF(BANK_RAW!A153="","",TRIM(BANK_RAW!B153))</f>
        <v/>
      </c>
      <c r="D153" s="11">
        <f>IF(BANK_RAW!A153="","",TRIM(BANK_RAW!C153))</f>
        <v/>
      </c>
      <c r="E153" s="12">
        <f>IF(BANK_RAW!A153="","",IFERROR(ABS(BANK_RAW!D153),0))</f>
        <v/>
      </c>
      <c r="F153" s="12">
        <f>IF(BANK_RAW!A153="","",IFERROR(ABS(BANK_RAW!E153),0))</f>
        <v/>
      </c>
      <c r="G153" s="12">
        <f>IF(BANK_RAW!A153="","",IFERROR(BANK_RAW!F153,0))</f>
        <v/>
      </c>
      <c r="H153" s="11">
        <f>IF(BANK_RAW!A153="","",IF(E153&gt;0,"CR",IF(F153&gt;0,"DR","CR")))</f>
        <v/>
      </c>
      <c r="I153" s="12">
        <f>IF(BANK_RAW!A153="","",E153-F153)</f>
        <v/>
      </c>
      <c r="J153" s="12">
        <f>IF(BANK_RAW!A153="","",ABS(I153))</f>
        <v/>
      </c>
      <c r="K153" s="11">
        <f>IF(BANK_RAW!A153="","",IF(H153="CR","IN","OUT"))</f>
        <v/>
      </c>
      <c r="L153" s="11" t="inlineStr"/>
      <c r="M153" s="11" t="inlineStr"/>
    </row>
    <row r="154">
      <c r="A154" s="13">
        <f>IF(BANK_RAW!A154="","",ROW()-1)</f>
        <v/>
      </c>
      <c r="B154" s="10">
        <f>IF(BANK_RAW!A154="","",IF(ISNUMBER(BANK_RAW!A154),BANK_RAW!A154,DATEVALUE(TEXT(BANK_RAW!A154,"YYYY-MM-DD"))))</f>
        <v/>
      </c>
      <c r="C154" s="11">
        <f>IF(BANK_RAW!A154="","",TRIM(BANK_RAW!B154))</f>
        <v/>
      </c>
      <c r="D154" s="11">
        <f>IF(BANK_RAW!A154="","",TRIM(BANK_RAW!C154))</f>
        <v/>
      </c>
      <c r="E154" s="12">
        <f>IF(BANK_RAW!A154="","",IFERROR(ABS(BANK_RAW!D154),0))</f>
        <v/>
      </c>
      <c r="F154" s="12">
        <f>IF(BANK_RAW!A154="","",IFERROR(ABS(BANK_RAW!E154),0))</f>
        <v/>
      </c>
      <c r="G154" s="12">
        <f>IF(BANK_RAW!A154="","",IFERROR(BANK_RAW!F154,0))</f>
        <v/>
      </c>
      <c r="H154" s="11">
        <f>IF(BANK_RAW!A154="","",IF(E154&gt;0,"CR",IF(F154&gt;0,"DR","CR")))</f>
        <v/>
      </c>
      <c r="I154" s="12">
        <f>IF(BANK_RAW!A154="","",E154-F154)</f>
        <v/>
      </c>
      <c r="J154" s="12">
        <f>IF(BANK_RAW!A154="","",ABS(I154))</f>
        <v/>
      </c>
      <c r="K154" s="11">
        <f>IF(BANK_RAW!A154="","",IF(H154="CR","IN","OUT"))</f>
        <v/>
      </c>
      <c r="L154" s="11" t="inlineStr"/>
      <c r="M154" s="11" t="inlineStr"/>
    </row>
    <row r="155">
      <c r="A155" s="13">
        <f>IF(BANK_RAW!A155="","",ROW()-1)</f>
        <v/>
      </c>
      <c r="B155" s="10">
        <f>IF(BANK_RAW!A155="","",IF(ISNUMBER(BANK_RAW!A155),BANK_RAW!A155,DATEVALUE(TEXT(BANK_RAW!A155,"YYYY-MM-DD"))))</f>
        <v/>
      </c>
      <c r="C155" s="11">
        <f>IF(BANK_RAW!A155="","",TRIM(BANK_RAW!B155))</f>
        <v/>
      </c>
      <c r="D155" s="11">
        <f>IF(BANK_RAW!A155="","",TRIM(BANK_RAW!C155))</f>
        <v/>
      </c>
      <c r="E155" s="12">
        <f>IF(BANK_RAW!A155="","",IFERROR(ABS(BANK_RAW!D155),0))</f>
        <v/>
      </c>
      <c r="F155" s="12">
        <f>IF(BANK_RAW!A155="","",IFERROR(ABS(BANK_RAW!E155),0))</f>
        <v/>
      </c>
      <c r="G155" s="12">
        <f>IF(BANK_RAW!A155="","",IFERROR(BANK_RAW!F155,0))</f>
        <v/>
      </c>
      <c r="H155" s="11">
        <f>IF(BANK_RAW!A155="","",IF(E155&gt;0,"CR",IF(F155&gt;0,"DR","CR")))</f>
        <v/>
      </c>
      <c r="I155" s="12">
        <f>IF(BANK_RAW!A155="","",E155-F155)</f>
        <v/>
      </c>
      <c r="J155" s="12">
        <f>IF(BANK_RAW!A155="","",ABS(I155))</f>
        <v/>
      </c>
      <c r="K155" s="11">
        <f>IF(BANK_RAW!A155="","",IF(H155="CR","IN","OUT"))</f>
        <v/>
      </c>
      <c r="L155" s="11" t="inlineStr"/>
      <c r="M155" s="11" t="inlineStr"/>
    </row>
    <row r="156">
      <c r="A156" s="13">
        <f>IF(BANK_RAW!A156="","",ROW()-1)</f>
        <v/>
      </c>
      <c r="B156" s="10">
        <f>IF(BANK_RAW!A156="","",IF(ISNUMBER(BANK_RAW!A156),BANK_RAW!A156,DATEVALUE(TEXT(BANK_RAW!A156,"YYYY-MM-DD"))))</f>
        <v/>
      </c>
      <c r="C156" s="11">
        <f>IF(BANK_RAW!A156="","",TRIM(BANK_RAW!B156))</f>
        <v/>
      </c>
      <c r="D156" s="11">
        <f>IF(BANK_RAW!A156="","",TRIM(BANK_RAW!C156))</f>
        <v/>
      </c>
      <c r="E156" s="12">
        <f>IF(BANK_RAW!A156="","",IFERROR(ABS(BANK_RAW!D156),0))</f>
        <v/>
      </c>
      <c r="F156" s="12">
        <f>IF(BANK_RAW!A156="","",IFERROR(ABS(BANK_RAW!E156),0))</f>
        <v/>
      </c>
      <c r="G156" s="12">
        <f>IF(BANK_RAW!A156="","",IFERROR(BANK_RAW!F156,0))</f>
        <v/>
      </c>
      <c r="H156" s="11">
        <f>IF(BANK_RAW!A156="","",IF(E156&gt;0,"CR",IF(F156&gt;0,"DR","CR")))</f>
        <v/>
      </c>
      <c r="I156" s="12">
        <f>IF(BANK_RAW!A156="","",E156-F156)</f>
        <v/>
      </c>
      <c r="J156" s="12">
        <f>IF(BANK_RAW!A156="","",ABS(I156))</f>
        <v/>
      </c>
      <c r="K156" s="11">
        <f>IF(BANK_RAW!A156="","",IF(H156="CR","IN","OUT"))</f>
        <v/>
      </c>
      <c r="L156" s="11" t="inlineStr"/>
      <c r="M156" s="11" t="inlineStr"/>
    </row>
    <row r="157">
      <c r="A157" s="13">
        <f>IF(BANK_RAW!A157="","",ROW()-1)</f>
        <v/>
      </c>
      <c r="B157" s="10">
        <f>IF(BANK_RAW!A157="","",IF(ISNUMBER(BANK_RAW!A157),BANK_RAW!A157,DATEVALUE(TEXT(BANK_RAW!A157,"YYYY-MM-DD"))))</f>
        <v/>
      </c>
      <c r="C157" s="11">
        <f>IF(BANK_RAW!A157="","",TRIM(BANK_RAW!B157))</f>
        <v/>
      </c>
      <c r="D157" s="11">
        <f>IF(BANK_RAW!A157="","",TRIM(BANK_RAW!C157))</f>
        <v/>
      </c>
      <c r="E157" s="12">
        <f>IF(BANK_RAW!A157="","",IFERROR(ABS(BANK_RAW!D157),0))</f>
        <v/>
      </c>
      <c r="F157" s="12">
        <f>IF(BANK_RAW!A157="","",IFERROR(ABS(BANK_RAW!E157),0))</f>
        <v/>
      </c>
      <c r="G157" s="12">
        <f>IF(BANK_RAW!A157="","",IFERROR(BANK_RAW!F157,0))</f>
        <v/>
      </c>
      <c r="H157" s="11">
        <f>IF(BANK_RAW!A157="","",IF(E157&gt;0,"CR",IF(F157&gt;0,"DR","CR")))</f>
        <v/>
      </c>
      <c r="I157" s="12">
        <f>IF(BANK_RAW!A157="","",E157-F157)</f>
        <v/>
      </c>
      <c r="J157" s="12">
        <f>IF(BANK_RAW!A157="","",ABS(I157))</f>
        <v/>
      </c>
      <c r="K157" s="11">
        <f>IF(BANK_RAW!A157="","",IF(H157="CR","IN","OUT"))</f>
        <v/>
      </c>
      <c r="L157" s="11" t="inlineStr"/>
      <c r="M157" s="11" t="inlineStr"/>
    </row>
    <row r="158">
      <c r="A158" s="13">
        <f>IF(BANK_RAW!A158="","",ROW()-1)</f>
        <v/>
      </c>
      <c r="B158" s="10">
        <f>IF(BANK_RAW!A158="","",IF(ISNUMBER(BANK_RAW!A158),BANK_RAW!A158,DATEVALUE(TEXT(BANK_RAW!A158,"YYYY-MM-DD"))))</f>
        <v/>
      </c>
      <c r="C158" s="11">
        <f>IF(BANK_RAW!A158="","",TRIM(BANK_RAW!B158))</f>
        <v/>
      </c>
      <c r="D158" s="11">
        <f>IF(BANK_RAW!A158="","",TRIM(BANK_RAW!C158))</f>
        <v/>
      </c>
      <c r="E158" s="12">
        <f>IF(BANK_RAW!A158="","",IFERROR(ABS(BANK_RAW!D158),0))</f>
        <v/>
      </c>
      <c r="F158" s="12">
        <f>IF(BANK_RAW!A158="","",IFERROR(ABS(BANK_RAW!E158),0))</f>
        <v/>
      </c>
      <c r="G158" s="12">
        <f>IF(BANK_RAW!A158="","",IFERROR(BANK_RAW!F158,0))</f>
        <v/>
      </c>
      <c r="H158" s="11">
        <f>IF(BANK_RAW!A158="","",IF(E158&gt;0,"CR",IF(F158&gt;0,"DR","CR")))</f>
        <v/>
      </c>
      <c r="I158" s="12">
        <f>IF(BANK_RAW!A158="","",E158-F158)</f>
        <v/>
      </c>
      <c r="J158" s="12">
        <f>IF(BANK_RAW!A158="","",ABS(I158))</f>
        <v/>
      </c>
      <c r="K158" s="11">
        <f>IF(BANK_RAW!A158="","",IF(H158="CR","IN","OUT"))</f>
        <v/>
      </c>
      <c r="L158" s="11" t="inlineStr"/>
      <c r="M158" s="11" t="inlineStr"/>
    </row>
    <row r="159">
      <c r="A159" s="13">
        <f>IF(BANK_RAW!A159="","",ROW()-1)</f>
        <v/>
      </c>
      <c r="B159" s="10">
        <f>IF(BANK_RAW!A159="","",IF(ISNUMBER(BANK_RAW!A159),BANK_RAW!A159,DATEVALUE(TEXT(BANK_RAW!A159,"YYYY-MM-DD"))))</f>
        <v/>
      </c>
      <c r="C159" s="11">
        <f>IF(BANK_RAW!A159="","",TRIM(BANK_RAW!B159))</f>
        <v/>
      </c>
      <c r="D159" s="11">
        <f>IF(BANK_RAW!A159="","",TRIM(BANK_RAW!C159))</f>
        <v/>
      </c>
      <c r="E159" s="12">
        <f>IF(BANK_RAW!A159="","",IFERROR(ABS(BANK_RAW!D159),0))</f>
        <v/>
      </c>
      <c r="F159" s="12">
        <f>IF(BANK_RAW!A159="","",IFERROR(ABS(BANK_RAW!E159),0))</f>
        <v/>
      </c>
      <c r="G159" s="12">
        <f>IF(BANK_RAW!A159="","",IFERROR(BANK_RAW!F159,0))</f>
        <v/>
      </c>
      <c r="H159" s="11">
        <f>IF(BANK_RAW!A159="","",IF(E159&gt;0,"CR",IF(F159&gt;0,"DR","CR")))</f>
        <v/>
      </c>
      <c r="I159" s="12">
        <f>IF(BANK_RAW!A159="","",E159-F159)</f>
        <v/>
      </c>
      <c r="J159" s="12">
        <f>IF(BANK_RAW!A159="","",ABS(I159))</f>
        <v/>
      </c>
      <c r="K159" s="11">
        <f>IF(BANK_RAW!A159="","",IF(H159="CR","IN","OUT"))</f>
        <v/>
      </c>
      <c r="L159" s="11" t="inlineStr"/>
      <c r="M159" s="11" t="inlineStr"/>
    </row>
    <row r="160">
      <c r="A160" s="13">
        <f>IF(BANK_RAW!A160="","",ROW()-1)</f>
        <v/>
      </c>
      <c r="B160" s="10">
        <f>IF(BANK_RAW!A160="","",IF(ISNUMBER(BANK_RAW!A160),BANK_RAW!A160,DATEVALUE(TEXT(BANK_RAW!A160,"YYYY-MM-DD"))))</f>
        <v/>
      </c>
      <c r="C160" s="11">
        <f>IF(BANK_RAW!A160="","",TRIM(BANK_RAW!B160))</f>
        <v/>
      </c>
      <c r="D160" s="11">
        <f>IF(BANK_RAW!A160="","",TRIM(BANK_RAW!C160))</f>
        <v/>
      </c>
      <c r="E160" s="12">
        <f>IF(BANK_RAW!A160="","",IFERROR(ABS(BANK_RAW!D160),0))</f>
        <v/>
      </c>
      <c r="F160" s="12">
        <f>IF(BANK_RAW!A160="","",IFERROR(ABS(BANK_RAW!E160),0))</f>
        <v/>
      </c>
      <c r="G160" s="12">
        <f>IF(BANK_RAW!A160="","",IFERROR(BANK_RAW!F160,0))</f>
        <v/>
      </c>
      <c r="H160" s="11">
        <f>IF(BANK_RAW!A160="","",IF(E160&gt;0,"CR",IF(F160&gt;0,"DR","CR")))</f>
        <v/>
      </c>
      <c r="I160" s="12">
        <f>IF(BANK_RAW!A160="","",E160-F160)</f>
        <v/>
      </c>
      <c r="J160" s="12">
        <f>IF(BANK_RAW!A160="","",ABS(I160))</f>
        <v/>
      </c>
      <c r="K160" s="11">
        <f>IF(BANK_RAW!A160="","",IF(H160="CR","IN","OUT"))</f>
        <v/>
      </c>
      <c r="L160" s="11" t="inlineStr"/>
      <c r="M160" s="11" t="inlineStr"/>
    </row>
    <row r="161">
      <c r="A161" s="13">
        <f>IF(BANK_RAW!A161="","",ROW()-1)</f>
        <v/>
      </c>
      <c r="B161" s="10">
        <f>IF(BANK_RAW!A161="","",IF(ISNUMBER(BANK_RAW!A161),BANK_RAW!A161,DATEVALUE(TEXT(BANK_RAW!A161,"YYYY-MM-DD"))))</f>
        <v/>
      </c>
      <c r="C161" s="11">
        <f>IF(BANK_RAW!A161="","",TRIM(BANK_RAW!B161))</f>
        <v/>
      </c>
      <c r="D161" s="11">
        <f>IF(BANK_RAW!A161="","",TRIM(BANK_RAW!C161))</f>
        <v/>
      </c>
      <c r="E161" s="12">
        <f>IF(BANK_RAW!A161="","",IFERROR(ABS(BANK_RAW!D161),0))</f>
        <v/>
      </c>
      <c r="F161" s="12">
        <f>IF(BANK_RAW!A161="","",IFERROR(ABS(BANK_RAW!E161),0))</f>
        <v/>
      </c>
      <c r="G161" s="12">
        <f>IF(BANK_RAW!A161="","",IFERROR(BANK_RAW!F161,0))</f>
        <v/>
      </c>
      <c r="H161" s="11">
        <f>IF(BANK_RAW!A161="","",IF(E161&gt;0,"CR",IF(F161&gt;0,"DR","CR")))</f>
        <v/>
      </c>
      <c r="I161" s="12">
        <f>IF(BANK_RAW!A161="","",E161-F161)</f>
        <v/>
      </c>
      <c r="J161" s="12">
        <f>IF(BANK_RAW!A161="","",ABS(I161))</f>
        <v/>
      </c>
      <c r="K161" s="11">
        <f>IF(BANK_RAW!A161="","",IF(H161="CR","IN","OUT"))</f>
        <v/>
      </c>
      <c r="L161" s="11" t="inlineStr"/>
      <c r="M161" s="11" t="inlineStr"/>
    </row>
    <row r="162">
      <c r="A162" s="13">
        <f>IF(BANK_RAW!A162="","",ROW()-1)</f>
        <v/>
      </c>
      <c r="B162" s="10">
        <f>IF(BANK_RAW!A162="","",IF(ISNUMBER(BANK_RAW!A162),BANK_RAW!A162,DATEVALUE(TEXT(BANK_RAW!A162,"YYYY-MM-DD"))))</f>
        <v/>
      </c>
      <c r="C162" s="11">
        <f>IF(BANK_RAW!A162="","",TRIM(BANK_RAW!B162))</f>
        <v/>
      </c>
      <c r="D162" s="11">
        <f>IF(BANK_RAW!A162="","",TRIM(BANK_RAW!C162))</f>
        <v/>
      </c>
      <c r="E162" s="12">
        <f>IF(BANK_RAW!A162="","",IFERROR(ABS(BANK_RAW!D162),0))</f>
        <v/>
      </c>
      <c r="F162" s="12">
        <f>IF(BANK_RAW!A162="","",IFERROR(ABS(BANK_RAW!E162),0))</f>
        <v/>
      </c>
      <c r="G162" s="12">
        <f>IF(BANK_RAW!A162="","",IFERROR(BANK_RAW!F162,0))</f>
        <v/>
      </c>
      <c r="H162" s="11">
        <f>IF(BANK_RAW!A162="","",IF(E162&gt;0,"CR",IF(F162&gt;0,"DR","CR")))</f>
        <v/>
      </c>
      <c r="I162" s="12">
        <f>IF(BANK_RAW!A162="","",E162-F162)</f>
        <v/>
      </c>
      <c r="J162" s="12">
        <f>IF(BANK_RAW!A162="","",ABS(I162))</f>
        <v/>
      </c>
      <c r="K162" s="11">
        <f>IF(BANK_RAW!A162="","",IF(H162="CR","IN","OUT"))</f>
        <v/>
      </c>
      <c r="L162" s="11" t="inlineStr"/>
      <c r="M162" s="11" t="inlineStr"/>
    </row>
    <row r="163">
      <c r="A163" s="13">
        <f>IF(BANK_RAW!A163="","",ROW()-1)</f>
        <v/>
      </c>
      <c r="B163" s="10">
        <f>IF(BANK_RAW!A163="","",IF(ISNUMBER(BANK_RAW!A163),BANK_RAW!A163,DATEVALUE(TEXT(BANK_RAW!A163,"YYYY-MM-DD"))))</f>
        <v/>
      </c>
      <c r="C163" s="11">
        <f>IF(BANK_RAW!A163="","",TRIM(BANK_RAW!B163))</f>
        <v/>
      </c>
      <c r="D163" s="11">
        <f>IF(BANK_RAW!A163="","",TRIM(BANK_RAW!C163))</f>
        <v/>
      </c>
      <c r="E163" s="12">
        <f>IF(BANK_RAW!A163="","",IFERROR(ABS(BANK_RAW!D163),0))</f>
        <v/>
      </c>
      <c r="F163" s="12">
        <f>IF(BANK_RAW!A163="","",IFERROR(ABS(BANK_RAW!E163),0))</f>
        <v/>
      </c>
      <c r="G163" s="12">
        <f>IF(BANK_RAW!A163="","",IFERROR(BANK_RAW!F163,0))</f>
        <v/>
      </c>
      <c r="H163" s="11">
        <f>IF(BANK_RAW!A163="","",IF(E163&gt;0,"CR",IF(F163&gt;0,"DR","CR")))</f>
        <v/>
      </c>
      <c r="I163" s="12">
        <f>IF(BANK_RAW!A163="","",E163-F163)</f>
        <v/>
      </c>
      <c r="J163" s="12">
        <f>IF(BANK_RAW!A163="","",ABS(I163))</f>
        <v/>
      </c>
      <c r="K163" s="11">
        <f>IF(BANK_RAW!A163="","",IF(H163="CR","IN","OUT"))</f>
        <v/>
      </c>
      <c r="L163" s="11" t="inlineStr"/>
      <c r="M163" s="11" t="inlineStr"/>
    </row>
    <row r="164">
      <c r="A164" s="13">
        <f>IF(BANK_RAW!A164="","",ROW()-1)</f>
        <v/>
      </c>
      <c r="B164" s="10">
        <f>IF(BANK_RAW!A164="","",IF(ISNUMBER(BANK_RAW!A164),BANK_RAW!A164,DATEVALUE(TEXT(BANK_RAW!A164,"YYYY-MM-DD"))))</f>
        <v/>
      </c>
      <c r="C164" s="11">
        <f>IF(BANK_RAW!A164="","",TRIM(BANK_RAW!B164))</f>
        <v/>
      </c>
      <c r="D164" s="11">
        <f>IF(BANK_RAW!A164="","",TRIM(BANK_RAW!C164))</f>
        <v/>
      </c>
      <c r="E164" s="12">
        <f>IF(BANK_RAW!A164="","",IFERROR(ABS(BANK_RAW!D164),0))</f>
        <v/>
      </c>
      <c r="F164" s="12">
        <f>IF(BANK_RAW!A164="","",IFERROR(ABS(BANK_RAW!E164),0))</f>
        <v/>
      </c>
      <c r="G164" s="12">
        <f>IF(BANK_RAW!A164="","",IFERROR(BANK_RAW!F164,0))</f>
        <v/>
      </c>
      <c r="H164" s="11">
        <f>IF(BANK_RAW!A164="","",IF(E164&gt;0,"CR",IF(F164&gt;0,"DR","CR")))</f>
        <v/>
      </c>
      <c r="I164" s="12">
        <f>IF(BANK_RAW!A164="","",E164-F164)</f>
        <v/>
      </c>
      <c r="J164" s="12">
        <f>IF(BANK_RAW!A164="","",ABS(I164))</f>
        <v/>
      </c>
      <c r="K164" s="11">
        <f>IF(BANK_RAW!A164="","",IF(H164="CR","IN","OUT"))</f>
        <v/>
      </c>
      <c r="L164" s="11" t="inlineStr"/>
      <c r="M164" s="11" t="inlineStr"/>
    </row>
    <row r="165">
      <c r="A165" s="13">
        <f>IF(BANK_RAW!A165="","",ROW()-1)</f>
        <v/>
      </c>
      <c r="B165" s="10">
        <f>IF(BANK_RAW!A165="","",IF(ISNUMBER(BANK_RAW!A165),BANK_RAW!A165,DATEVALUE(TEXT(BANK_RAW!A165,"YYYY-MM-DD"))))</f>
        <v/>
      </c>
      <c r="C165" s="11">
        <f>IF(BANK_RAW!A165="","",TRIM(BANK_RAW!B165))</f>
        <v/>
      </c>
      <c r="D165" s="11">
        <f>IF(BANK_RAW!A165="","",TRIM(BANK_RAW!C165))</f>
        <v/>
      </c>
      <c r="E165" s="12">
        <f>IF(BANK_RAW!A165="","",IFERROR(ABS(BANK_RAW!D165),0))</f>
        <v/>
      </c>
      <c r="F165" s="12">
        <f>IF(BANK_RAW!A165="","",IFERROR(ABS(BANK_RAW!E165),0))</f>
        <v/>
      </c>
      <c r="G165" s="12">
        <f>IF(BANK_RAW!A165="","",IFERROR(BANK_RAW!F165,0))</f>
        <v/>
      </c>
      <c r="H165" s="11">
        <f>IF(BANK_RAW!A165="","",IF(E165&gt;0,"CR",IF(F165&gt;0,"DR","CR")))</f>
        <v/>
      </c>
      <c r="I165" s="12">
        <f>IF(BANK_RAW!A165="","",E165-F165)</f>
        <v/>
      </c>
      <c r="J165" s="12">
        <f>IF(BANK_RAW!A165="","",ABS(I165))</f>
        <v/>
      </c>
      <c r="K165" s="11">
        <f>IF(BANK_RAW!A165="","",IF(H165="CR","IN","OUT"))</f>
        <v/>
      </c>
      <c r="L165" s="11" t="inlineStr"/>
      <c r="M165" s="11" t="inlineStr"/>
    </row>
    <row r="166">
      <c r="A166" s="13">
        <f>IF(BANK_RAW!A166="","",ROW()-1)</f>
        <v/>
      </c>
      <c r="B166" s="10">
        <f>IF(BANK_RAW!A166="","",IF(ISNUMBER(BANK_RAW!A166),BANK_RAW!A166,DATEVALUE(TEXT(BANK_RAW!A166,"YYYY-MM-DD"))))</f>
        <v/>
      </c>
      <c r="C166" s="11">
        <f>IF(BANK_RAW!A166="","",TRIM(BANK_RAW!B166))</f>
        <v/>
      </c>
      <c r="D166" s="11">
        <f>IF(BANK_RAW!A166="","",TRIM(BANK_RAW!C166))</f>
        <v/>
      </c>
      <c r="E166" s="12">
        <f>IF(BANK_RAW!A166="","",IFERROR(ABS(BANK_RAW!D166),0))</f>
        <v/>
      </c>
      <c r="F166" s="12">
        <f>IF(BANK_RAW!A166="","",IFERROR(ABS(BANK_RAW!E166),0))</f>
        <v/>
      </c>
      <c r="G166" s="12">
        <f>IF(BANK_RAW!A166="","",IFERROR(BANK_RAW!F166,0))</f>
        <v/>
      </c>
      <c r="H166" s="11">
        <f>IF(BANK_RAW!A166="","",IF(E166&gt;0,"CR",IF(F166&gt;0,"DR","CR")))</f>
        <v/>
      </c>
      <c r="I166" s="12">
        <f>IF(BANK_RAW!A166="","",E166-F166)</f>
        <v/>
      </c>
      <c r="J166" s="12">
        <f>IF(BANK_RAW!A166="","",ABS(I166))</f>
        <v/>
      </c>
      <c r="K166" s="11">
        <f>IF(BANK_RAW!A166="","",IF(H166="CR","IN","OUT"))</f>
        <v/>
      </c>
      <c r="L166" s="11" t="inlineStr"/>
      <c r="M166" s="11" t="inlineStr"/>
    </row>
    <row r="167">
      <c r="A167" s="13">
        <f>IF(BANK_RAW!A167="","",ROW()-1)</f>
        <v/>
      </c>
      <c r="B167" s="10">
        <f>IF(BANK_RAW!A167="","",IF(ISNUMBER(BANK_RAW!A167),BANK_RAW!A167,DATEVALUE(TEXT(BANK_RAW!A167,"YYYY-MM-DD"))))</f>
        <v/>
      </c>
      <c r="C167" s="11">
        <f>IF(BANK_RAW!A167="","",TRIM(BANK_RAW!B167))</f>
        <v/>
      </c>
      <c r="D167" s="11">
        <f>IF(BANK_RAW!A167="","",TRIM(BANK_RAW!C167))</f>
        <v/>
      </c>
      <c r="E167" s="12">
        <f>IF(BANK_RAW!A167="","",IFERROR(ABS(BANK_RAW!D167),0))</f>
        <v/>
      </c>
      <c r="F167" s="12">
        <f>IF(BANK_RAW!A167="","",IFERROR(ABS(BANK_RAW!E167),0))</f>
        <v/>
      </c>
      <c r="G167" s="12">
        <f>IF(BANK_RAW!A167="","",IFERROR(BANK_RAW!F167,0))</f>
        <v/>
      </c>
      <c r="H167" s="11">
        <f>IF(BANK_RAW!A167="","",IF(E167&gt;0,"CR",IF(F167&gt;0,"DR","CR")))</f>
        <v/>
      </c>
      <c r="I167" s="12">
        <f>IF(BANK_RAW!A167="","",E167-F167)</f>
        <v/>
      </c>
      <c r="J167" s="12">
        <f>IF(BANK_RAW!A167="","",ABS(I167))</f>
        <v/>
      </c>
      <c r="K167" s="11">
        <f>IF(BANK_RAW!A167="","",IF(H167="CR","IN","OUT"))</f>
        <v/>
      </c>
      <c r="L167" s="11" t="inlineStr"/>
      <c r="M167" s="11" t="inlineStr"/>
    </row>
    <row r="168">
      <c r="A168" s="13">
        <f>IF(BANK_RAW!A168="","",ROW()-1)</f>
        <v/>
      </c>
      <c r="B168" s="10">
        <f>IF(BANK_RAW!A168="","",IF(ISNUMBER(BANK_RAW!A168),BANK_RAW!A168,DATEVALUE(TEXT(BANK_RAW!A168,"YYYY-MM-DD"))))</f>
        <v/>
      </c>
      <c r="C168" s="11">
        <f>IF(BANK_RAW!A168="","",TRIM(BANK_RAW!B168))</f>
        <v/>
      </c>
      <c r="D168" s="11">
        <f>IF(BANK_RAW!A168="","",TRIM(BANK_RAW!C168))</f>
        <v/>
      </c>
      <c r="E168" s="12">
        <f>IF(BANK_RAW!A168="","",IFERROR(ABS(BANK_RAW!D168),0))</f>
        <v/>
      </c>
      <c r="F168" s="12">
        <f>IF(BANK_RAW!A168="","",IFERROR(ABS(BANK_RAW!E168),0))</f>
        <v/>
      </c>
      <c r="G168" s="12">
        <f>IF(BANK_RAW!A168="","",IFERROR(BANK_RAW!F168,0))</f>
        <v/>
      </c>
      <c r="H168" s="11">
        <f>IF(BANK_RAW!A168="","",IF(E168&gt;0,"CR",IF(F168&gt;0,"DR","CR")))</f>
        <v/>
      </c>
      <c r="I168" s="12">
        <f>IF(BANK_RAW!A168="","",E168-F168)</f>
        <v/>
      </c>
      <c r="J168" s="12">
        <f>IF(BANK_RAW!A168="","",ABS(I168))</f>
        <v/>
      </c>
      <c r="K168" s="11">
        <f>IF(BANK_RAW!A168="","",IF(H168="CR","IN","OUT"))</f>
        <v/>
      </c>
      <c r="L168" s="11" t="inlineStr"/>
      <c r="M168" s="11" t="inlineStr"/>
    </row>
    <row r="169">
      <c r="A169" s="13">
        <f>IF(BANK_RAW!A169="","",ROW()-1)</f>
        <v/>
      </c>
      <c r="B169" s="10">
        <f>IF(BANK_RAW!A169="","",IF(ISNUMBER(BANK_RAW!A169),BANK_RAW!A169,DATEVALUE(TEXT(BANK_RAW!A169,"YYYY-MM-DD"))))</f>
        <v/>
      </c>
      <c r="C169" s="11">
        <f>IF(BANK_RAW!A169="","",TRIM(BANK_RAW!B169))</f>
        <v/>
      </c>
      <c r="D169" s="11">
        <f>IF(BANK_RAW!A169="","",TRIM(BANK_RAW!C169))</f>
        <v/>
      </c>
      <c r="E169" s="12">
        <f>IF(BANK_RAW!A169="","",IFERROR(ABS(BANK_RAW!D169),0))</f>
        <v/>
      </c>
      <c r="F169" s="12">
        <f>IF(BANK_RAW!A169="","",IFERROR(ABS(BANK_RAW!E169),0))</f>
        <v/>
      </c>
      <c r="G169" s="12">
        <f>IF(BANK_RAW!A169="","",IFERROR(BANK_RAW!F169,0))</f>
        <v/>
      </c>
      <c r="H169" s="11">
        <f>IF(BANK_RAW!A169="","",IF(E169&gt;0,"CR",IF(F169&gt;0,"DR","CR")))</f>
        <v/>
      </c>
      <c r="I169" s="12">
        <f>IF(BANK_RAW!A169="","",E169-F169)</f>
        <v/>
      </c>
      <c r="J169" s="12">
        <f>IF(BANK_RAW!A169="","",ABS(I169))</f>
        <v/>
      </c>
      <c r="K169" s="11">
        <f>IF(BANK_RAW!A169="","",IF(H169="CR","IN","OUT"))</f>
        <v/>
      </c>
      <c r="L169" s="11" t="inlineStr"/>
      <c r="M169" s="11" t="inlineStr"/>
    </row>
    <row r="170">
      <c r="A170" s="13">
        <f>IF(BANK_RAW!A170="","",ROW()-1)</f>
        <v/>
      </c>
      <c r="B170" s="10">
        <f>IF(BANK_RAW!A170="","",IF(ISNUMBER(BANK_RAW!A170),BANK_RAW!A170,DATEVALUE(TEXT(BANK_RAW!A170,"YYYY-MM-DD"))))</f>
        <v/>
      </c>
      <c r="C170" s="11">
        <f>IF(BANK_RAW!A170="","",TRIM(BANK_RAW!B170))</f>
        <v/>
      </c>
      <c r="D170" s="11">
        <f>IF(BANK_RAW!A170="","",TRIM(BANK_RAW!C170))</f>
        <v/>
      </c>
      <c r="E170" s="12">
        <f>IF(BANK_RAW!A170="","",IFERROR(ABS(BANK_RAW!D170),0))</f>
        <v/>
      </c>
      <c r="F170" s="12">
        <f>IF(BANK_RAW!A170="","",IFERROR(ABS(BANK_RAW!E170),0))</f>
        <v/>
      </c>
      <c r="G170" s="12">
        <f>IF(BANK_RAW!A170="","",IFERROR(BANK_RAW!F170,0))</f>
        <v/>
      </c>
      <c r="H170" s="11">
        <f>IF(BANK_RAW!A170="","",IF(E170&gt;0,"CR",IF(F170&gt;0,"DR","CR")))</f>
        <v/>
      </c>
      <c r="I170" s="12">
        <f>IF(BANK_RAW!A170="","",E170-F170)</f>
        <v/>
      </c>
      <c r="J170" s="12">
        <f>IF(BANK_RAW!A170="","",ABS(I170))</f>
        <v/>
      </c>
      <c r="K170" s="11">
        <f>IF(BANK_RAW!A170="","",IF(H170="CR","IN","OUT"))</f>
        <v/>
      </c>
      <c r="L170" s="11" t="inlineStr"/>
      <c r="M170" s="11" t="inlineStr"/>
    </row>
    <row r="171">
      <c r="A171" s="13">
        <f>IF(BANK_RAW!A171="","",ROW()-1)</f>
        <v/>
      </c>
      <c r="B171" s="10">
        <f>IF(BANK_RAW!A171="","",IF(ISNUMBER(BANK_RAW!A171),BANK_RAW!A171,DATEVALUE(TEXT(BANK_RAW!A171,"YYYY-MM-DD"))))</f>
        <v/>
      </c>
      <c r="C171" s="11">
        <f>IF(BANK_RAW!A171="","",TRIM(BANK_RAW!B171))</f>
        <v/>
      </c>
      <c r="D171" s="11">
        <f>IF(BANK_RAW!A171="","",TRIM(BANK_RAW!C171))</f>
        <v/>
      </c>
      <c r="E171" s="12">
        <f>IF(BANK_RAW!A171="","",IFERROR(ABS(BANK_RAW!D171),0))</f>
        <v/>
      </c>
      <c r="F171" s="12">
        <f>IF(BANK_RAW!A171="","",IFERROR(ABS(BANK_RAW!E171),0))</f>
        <v/>
      </c>
      <c r="G171" s="12">
        <f>IF(BANK_RAW!A171="","",IFERROR(BANK_RAW!F171,0))</f>
        <v/>
      </c>
      <c r="H171" s="11">
        <f>IF(BANK_RAW!A171="","",IF(E171&gt;0,"CR",IF(F171&gt;0,"DR","CR")))</f>
        <v/>
      </c>
      <c r="I171" s="12">
        <f>IF(BANK_RAW!A171="","",E171-F171)</f>
        <v/>
      </c>
      <c r="J171" s="12">
        <f>IF(BANK_RAW!A171="","",ABS(I171))</f>
        <v/>
      </c>
      <c r="K171" s="11">
        <f>IF(BANK_RAW!A171="","",IF(H171="CR","IN","OUT"))</f>
        <v/>
      </c>
      <c r="L171" s="11" t="inlineStr"/>
      <c r="M171" s="11" t="inlineStr"/>
    </row>
    <row r="172">
      <c r="A172" s="13">
        <f>IF(BANK_RAW!A172="","",ROW()-1)</f>
        <v/>
      </c>
      <c r="B172" s="10">
        <f>IF(BANK_RAW!A172="","",IF(ISNUMBER(BANK_RAW!A172),BANK_RAW!A172,DATEVALUE(TEXT(BANK_RAW!A172,"YYYY-MM-DD"))))</f>
        <v/>
      </c>
      <c r="C172" s="11">
        <f>IF(BANK_RAW!A172="","",TRIM(BANK_RAW!B172))</f>
        <v/>
      </c>
      <c r="D172" s="11">
        <f>IF(BANK_RAW!A172="","",TRIM(BANK_RAW!C172))</f>
        <v/>
      </c>
      <c r="E172" s="12">
        <f>IF(BANK_RAW!A172="","",IFERROR(ABS(BANK_RAW!D172),0))</f>
        <v/>
      </c>
      <c r="F172" s="12">
        <f>IF(BANK_RAW!A172="","",IFERROR(ABS(BANK_RAW!E172),0))</f>
        <v/>
      </c>
      <c r="G172" s="12">
        <f>IF(BANK_RAW!A172="","",IFERROR(BANK_RAW!F172,0))</f>
        <v/>
      </c>
      <c r="H172" s="11">
        <f>IF(BANK_RAW!A172="","",IF(E172&gt;0,"CR",IF(F172&gt;0,"DR","CR")))</f>
        <v/>
      </c>
      <c r="I172" s="12">
        <f>IF(BANK_RAW!A172="","",E172-F172)</f>
        <v/>
      </c>
      <c r="J172" s="12">
        <f>IF(BANK_RAW!A172="","",ABS(I172))</f>
        <v/>
      </c>
      <c r="K172" s="11">
        <f>IF(BANK_RAW!A172="","",IF(H172="CR","IN","OUT"))</f>
        <v/>
      </c>
      <c r="L172" s="11" t="inlineStr"/>
      <c r="M172" s="11" t="inlineStr"/>
    </row>
    <row r="173">
      <c r="A173" s="13">
        <f>IF(BANK_RAW!A173="","",ROW()-1)</f>
        <v/>
      </c>
      <c r="B173" s="10">
        <f>IF(BANK_RAW!A173="","",IF(ISNUMBER(BANK_RAW!A173),BANK_RAW!A173,DATEVALUE(TEXT(BANK_RAW!A173,"YYYY-MM-DD"))))</f>
        <v/>
      </c>
      <c r="C173" s="11">
        <f>IF(BANK_RAW!A173="","",TRIM(BANK_RAW!B173))</f>
        <v/>
      </c>
      <c r="D173" s="11">
        <f>IF(BANK_RAW!A173="","",TRIM(BANK_RAW!C173))</f>
        <v/>
      </c>
      <c r="E173" s="12">
        <f>IF(BANK_RAW!A173="","",IFERROR(ABS(BANK_RAW!D173),0))</f>
        <v/>
      </c>
      <c r="F173" s="12">
        <f>IF(BANK_RAW!A173="","",IFERROR(ABS(BANK_RAW!E173),0))</f>
        <v/>
      </c>
      <c r="G173" s="12">
        <f>IF(BANK_RAW!A173="","",IFERROR(BANK_RAW!F173,0))</f>
        <v/>
      </c>
      <c r="H173" s="11">
        <f>IF(BANK_RAW!A173="","",IF(E173&gt;0,"CR",IF(F173&gt;0,"DR","CR")))</f>
        <v/>
      </c>
      <c r="I173" s="12">
        <f>IF(BANK_RAW!A173="","",E173-F173)</f>
        <v/>
      </c>
      <c r="J173" s="12">
        <f>IF(BANK_RAW!A173="","",ABS(I173))</f>
        <v/>
      </c>
      <c r="K173" s="11">
        <f>IF(BANK_RAW!A173="","",IF(H173="CR","IN","OUT"))</f>
        <v/>
      </c>
      <c r="L173" s="11" t="inlineStr"/>
      <c r="M173" s="11" t="inlineStr"/>
    </row>
    <row r="174">
      <c r="A174" s="13">
        <f>IF(BANK_RAW!A174="","",ROW()-1)</f>
        <v/>
      </c>
      <c r="B174" s="10">
        <f>IF(BANK_RAW!A174="","",IF(ISNUMBER(BANK_RAW!A174),BANK_RAW!A174,DATEVALUE(TEXT(BANK_RAW!A174,"YYYY-MM-DD"))))</f>
        <v/>
      </c>
      <c r="C174" s="11">
        <f>IF(BANK_RAW!A174="","",TRIM(BANK_RAW!B174))</f>
        <v/>
      </c>
      <c r="D174" s="11">
        <f>IF(BANK_RAW!A174="","",TRIM(BANK_RAW!C174))</f>
        <v/>
      </c>
      <c r="E174" s="12">
        <f>IF(BANK_RAW!A174="","",IFERROR(ABS(BANK_RAW!D174),0))</f>
        <v/>
      </c>
      <c r="F174" s="12">
        <f>IF(BANK_RAW!A174="","",IFERROR(ABS(BANK_RAW!E174),0))</f>
        <v/>
      </c>
      <c r="G174" s="12">
        <f>IF(BANK_RAW!A174="","",IFERROR(BANK_RAW!F174,0))</f>
        <v/>
      </c>
      <c r="H174" s="11">
        <f>IF(BANK_RAW!A174="","",IF(E174&gt;0,"CR",IF(F174&gt;0,"DR","CR")))</f>
        <v/>
      </c>
      <c r="I174" s="12">
        <f>IF(BANK_RAW!A174="","",E174-F174)</f>
        <v/>
      </c>
      <c r="J174" s="12">
        <f>IF(BANK_RAW!A174="","",ABS(I174))</f>
        <v/>
      </c>
      <c r="K174" s="11">
        <f>IF(BANK_RAW!A174="","",IF(H174="CR","IN","OUT"))</f>
        <v/>
      </c>
      <c r="L174" s="11" t="inlineStr"/>
      <c r="M174" s="11" t="inlineStr"/>
    </row>
    <row r="175">
      <c r="A175" s="13">
        <f>IF(BANK_RAW!A175="","",ROW()-1)</f>
        <v/>
      </c>
      <c r="B175" s="10">
        <f>IF(BANK_RAW!A175="","",IF(ISNUMBER(BANK_RAW!A175),BANK_RAW!A175,DATEVALUE(TEXT(BANK_RAW!A175,"YYYY-MM-DD"))))</f>
        <v/>
      </c>
      <c r="C175" s="11">
        <f>IF(BANK_RAW!A175="","",TRIM(BANK_RAW!B175))</f>
        <v/>
      </c>
      <c r="D175" s="11">
        <f>IF(BANK_RAW!A175="","",TRIM(BANK_RAW!C175))</f>
        <v/>
      </c>
      <c r="E175" s="12">
        <f>IF(BANK_RAW!A175="","",IFERROR(ABS(BANK_RAW!D175),0))</f>
        <v/>
      </c>
      <c r="F175" s="12">
        <f>IF(BANK_RAW!A175="","",IFERROR(ABS(BANK_RAW!E175),0))</f>
        <v/>
      </c>
      <c r="G175" s="12">
        <f>IF(BANK_RAW!A175="","",IFERROR(BANK_RAW!F175,0))</f>
        <v/>
      </c>
      <c r="H175" s="11">
        <f>IF(BANK_RAW!A175="","",IF(E175&gt;0,"CR",IF(F175&gt;0,"DR","CR")))</f>
        <v/>
      </c>
      <c r="I175" s="12">
        <f>IF(BANK_RAW!A175="","",E175-F175)</f>
        <v/>
      </c>
      <c r="J175" s="12">
        <f>IF(BANK_RAW!A175="","",ABS(I175))</f>
        <v/>
      </c>
      <c r="K175" s="11">
        <f>IF(BANK_RAW!A175="","",IF(H175="CR","IN","OUT"))</f>
        <v/>
      </c>
      <c r="L175" s="11" t="inlineStr"/>
      <c r="M175" s="11" t="inlineStr"/>
    </row>
    <row r="176">
      <c r="A176" s="13">
        <f>IF(BANK_RAW!A176="","",ROW()-1)</f>
        <v/>
      </c>
      <c r="B176" s="10">
        <f>IF(BANK_RAW!A176="","",IF(ISNUMBER(BANK_RAW!A176),BANK_RAW!A176,DATEVALUE(TEXT(BANK_RAW!A176,"YYYY-MM-DD"))))</f>
        <v/>
      </c>
      <c r="C176" s="11">
        <f>IF(BANK_RAW!A176="","",TRIM(BANK_RAW!B176))</f>
        <v/>
      </c>
      <c r="D176" s="11">
        <f>IF(BANK_RAW!A176="","",TRIM(BANK_RAW!C176))</f>
        <v/>
      </c>
      <c r="E176" s="12">
        <f>IF(BANK_RAW!A176="","",IFERROR(ABS(BANK_RAW!D176),0))</f>
        <v/>
      </c>
      <c r="F176" s="12">
        <f>IF(BANK_RAW!A176="","",IFERROR(ABS(BANK_RAW!E176),0))</f>
        <v/>
      </c>
      <c r="G176" s="12">
        <f>IF(BANK_RAW!A176="","",IFERROR(BANK_RAW!F176,0))</f>
        <v/>
      </c>
      <c r="H176" s="11">
        <f>IF(BANK_RAW!A176="","",IF(E176&gt;0,"CR",IF(F176&gt;0,"DR","CR")))</f>
        <v/>
      </c>
      <c r="I176" s="12">
        <f>IF(BANK_RAW!A176="","",E176-F176)</f>
        <v/>
      </c>
      <c r="J176" s="12">
        <f>IF(BANK_RAW!A176="","",ABS(I176))</f>
        <v/>
      </c>
      <c r="K176" s="11">
        <f>IF(BANK_RAW!A176="","",IF(H176="CR","IN","OUT"))</f>
        <v/>
      </c>
      <c r="L176" s="11" t="inlineStr"/>
      <c r="M176" s="11" t="inlineStr"/>
    </row>
    <row r="177">
      <c r="A177" s="13">
        <f>IF(BANK_RAW!A177="","",ROW()-1)</f>
        <v/>
      </c>
      <c r="B177" s="10">
        <f>IF(BANK_RAW!A177="","",IF(ISNUMBER(BANK_RAW!A177),BANK_RAW!A177,DATEVALUE(TEXT(BANK_RAW!A177,"YYYY-MM-DD"))))</f>
        <v/>
      </c>
      <c r="C177" s="11">
        <f>IF(BANK_RAW!A177="","",TRIM(BANK_RAW!B177))</f>
        <v/>
      </c>
      <c r="D177" s="11">
        <f>IF(BANK_RAW!A177="","",TRIM(BANK_RAW!C177))</f>
        <v/>
      </c>
      <c r="E177" s="12">
        <f>IF(BANK_RAW!A177="","",IFERROR(ABS(BANK_RAW!D177),0))</f>
        <v/>
      </c>
      <c r="F177" s="12">
        <f>IF(BANK_RAW!A177="","",IFERROR(ABS(BANK_RAW!E177),0))</f>
        <v/>
      </c>
      <c r="G177" s="12">
        <f>IF(BANK_RAW!A177="","",IFERROR(BANK_RAW!F177,0))</f>
        <v/>
      </c>
      <c r="H177" s="11">
        <f>IF(BANK_RAW!A177="","",IF(E177&gt;0,"CR",IF(F177&gt;0,"DR","CR")))</f>
        <v/>
      </c>
      <c r="I177" s="12">
        <f>IF(BANK_RAW!A177="","",E177-F177)</f>
        <v/>
      </c>
      <c r="J177" s="12">
        <f>IF(BANK_RAW!A177="","",ABS(I177))</f>
        <v/>
      </c>
      <c r="K177" s="11">
        <f>IF(BANK_RAW!A177="","",IF(H177="CR","IN","OUT"))</f>
        <v/>
      </c>
      <c r="L177" s="11" t="inlineStr"/>
      <c r="M177" s="11" t="inlineStr"/>
    </row>
    <row r="178">
      <c r="A178" s="13">
        <f>IF(BANK_RAW!A178="","",ROW()-1)</f>
        <v/>
      </c>
      <c r="B178" s="10">
        <f>IF(BANK_RAW!A178="","",IF(ISNUMBER(BANK_RAW!A178),BANK_RAW!A178,DATEVALUE(TEXT(BANK_RAW!A178,"YYYY-MM-DD"))))</f>
        <v/>
      </c>
      <c r="C178" s="11">
        <f>IF(BANK_RAW!A178="","",TRIM(BANK_RAW!B178))</f>
        <v/>
      </c>
      <c r="D178" s="11">
        <f>IF(BANK_RAW!A178="","",TRIM(BANK_RAW!C178))</f>
        <v/>
      </c>
      <c r="E178" s="12">
        <f>IF(BANK_RAW!A178="","",IFERROR(ABS(BANK_RAW!D178),0))</f>
        <v/>
      </c>
      <c r="F178" s="12">
        <f>IF(BANK_RAW!A178="","",IFERROR(ABS(BANK_RAW!E178),0))</f>
        <v/>
      </c>
      <c r="G178" s="12">
        <f>IF(BANK_RAW!A178="","",IFERROR(BANK_RAW!F178,0))</f>
        <v/>
      </c>
      <c r="H178" s="11">
        <f>IF(BANK_RAW!A178="","",IF(E178&gt;0,"CR",IF(F178&gt;0,"DR","CR")))</f>
        <v/>
      </c>
      <c r="I178" s="12">
        <f>IF(BANK_RAW!A178="","",E178-F178)</f>
        <v/>
      </c>
      <c r="J178" s="12">
        <f>IF(BANK_RAW!A178="","",ABS(I178))</f>
        <v/>
      </c>
      <c r="K178" s="11">
        <f>IF(BANK_RAW!A178="","",IF(H178="CR","IN","OUT"))</f>
        <v/>
      </c>
      <c r="L178" s="11" t="inlineStr"/>
      <c r="M178" s="11" t="inlineStr"/>
    </row>
    <row r="179">
      <c r="A179" s="13">
        <f>IF(BANK_RAW!A179="","",ROW()-1)</f>
        <v/>
      </c>
      <c r="B179" s="10">
        <f>IF(BANK_RAW!A179="","",IF(ISNUMBER(BANK_RAW!A179),BANK_RAW!A179,DATEVALUE(TEXT(BANK_RAW!A179,"YYYY-MM-DD"))))</f>
        <v/>
      </c>
      <c r="C179" s="11">
        <f>IF(BANK_RAW!A179="","",TRIM(BANK_RAW!B179))</f>
        <v/>
      </c>
      <c r="D179" s="11">
        <f>IF(BANK_RAW!A179="","",TRIM(BANK_RAW!C179))</f>
        <v/>
      </c>
      <c r="E179" s="12">
        <f>IF(BANK_RAW!A179="","",IFERROR(ABS(BANK_RAW!D179),0))</f>
        <v/>
      </c>
      <c r="F179" s="12">
        <f>IF(BANK_RAW!A179="","",IFERROR(ABS(BANK_RAW!E179),0))</f>
        <v/>
      </c>
      <c r="G179" s="12">
        <f>IF(BANK_RAW!A179="","",IFERROR(BANK_RAW!F179,0))</f>
        <v/>
      </c>
      <c r="H179" s="11">
        <f>IF(BANK_RAW!A179="","",IF(E179&gt;0,"CR",IF(F179&gt;0,"DR","CR")))</f>
        <v/>
      </c>
      <c r="I179" s="12">
        <f>IF(BANK_RAW!A179="","",E179-F179)</f>
        <v/>
      </c>
      <c r="J179" s="12">
        <f>IF(BANK_RAW!A179="","",ABS(I179))</f>
        <v/>
      </c>
      <c r="K179" s="11">
        <f>IF(BANK_RAW!A179="","",IF(H179="CR","IN","OUT"))</f>
        <v/>
      </c>
      <c r="L179" s="11" t="inlineStr"/>
      <c r="M179" s="11" t="inlineStr"/>
    </row>
    <row r="180">
      <c r="A180" s="13">
        <f>IF(BANK_RAW!A180="","",ROW()-1)</f>
        <v/>
      </c>
      <c r="B180" s="10">
        <f>IF(BANK_RAW!A180="","",IF(ISNUMBER(BANK_RAW!A180),BANK_RAW!A180,DATEVALUE(TEXT(BANK_RAW!A180,"YYYY-MM-DD"))))</f>
        <v/>
      </c>
      <c r="C180" s="11">
        <f>IF(BANK_RAW!A180="","",TRIM(BANK_RAW!B180))</f>
        <v/>
      </c>
      <c r="D180" s="11">
        <f>IF(BANK_RAW!A180="","",TRIM(BANK_RAW!C180))</f>
        <v/>
      </c>
      <c r="E180" s="12">
        <f>IF(BANK_RAW!A180="","",IFERROR(ABS(BANK_RAW!D180),0))</f>
        <v/>
      </c>
      <c r="F180" s="12">
        <f>IF(BANK_RAW!A180="","",IFERROR(ABS(BANK_RAW!E180),0))</f>
        <v/>
      </c>
      <c r="G180" s="12">
        <f>IF(BANK_RAW!A180="","",IFERROR(BANK_RAW!F180,0))</f>
        <v/>
      </c>
      <c r="H180" s="11">
        <f>IF(BANK_RAW!A180="","",IF(E180&gt;0,"CR",IF(F180&gt;0,"DR","CR")))</f>
        <v/>
      </c>
      <c r="I180" s="12">
        <f>IF(BANK_RAW!A180="","",E180-F180)</f>
        <v/>
      </c>
      <c r="J180" s="12">
        <f>IF(BANK_RAW!A180="","",ABS(I180))</f>
        <v/>
      </c>
      <c r="K180" s="11">
        <f>IF(BANK_RAW!A180="","",IF(H180="CR","IN","OUT"))</f>
        <v/>
      </c>
      <c r="L180" s="11" t="inlineStr"/>
      <c r="M180" s="11" t="inlineStr"/>
    </row>
    <row r="181">
      <c r="A181" s="13">
        <f>IF(BANK_RAW!A181="","",ROW()-1)</f>
        <v/>
      </c>
      <c r="B181" s="10">
        <f>IF(BANK_RAW!A181="","",IF(ISNUMBER(BANK_RAW!A181),BANK_RAW!A181,DATEVALUE(TEXT(BANK_RAW!A181,"YYYY-MM-DD"))))</f>
        <v/>
      </c>
      <c r="C181" s="11">
        <f>IF(BANK_RAW!A181="","",TRIM(BANK_RAW!B181))</f>
        <v/>
      </c>
      <c r="D181" s="11">
        <f>IF(BANK_RAW!A181="","",TRIM(BANK_RAW!C181))</f>
        <v/>
      </c>
      <c r="E181" s="12">
        <f>IF(BANK_RAW!A181="","",IFERROR(ABS(BANK_RAW!D181),0))</f>
        <v/>
      </c>
      <c r="F181" s="12">
        <f>IF(BANK_RAW!A181="","",IFERROR(ABS(BANK_RAW!E181),0))</f>
        <v/>
      </c>
      <c r="G181" s="12">
        <f>IF(BANK_RAW!A181="","",IFERROR(BANK_RAW!F181,0))</f>
        <v/>
      </c>
      <c r="H181" s="11">
        <f>IF(BANK_RAW!A181="","",IF(E181&gt;0,"CR",IF(F181&gt;0,"DR","CR")))</f>
        <v/>
      </c>
      <c r="I181" s="12">
        <f>IF(BANK_RAW!A181="","",E181-F181)</f>
        <v/>
      </c>
      <c r="J181" s="12">
        <f>IF(BANK_RAW!A181="","",ABS(I181))</f>
        <v/>
      </c>
      <c r="K181" s="11">
        <f>IF(BANK_RAW!A181="","",IF(H181="CR","IN","OUT"))</f>
        <v/>
      </c>
      <c r="L181" s="11" t="inlineStr"/>
      <c r="M181" s="11" t="inlineStr"/>
    </row>
    <row r="182">
      <c r="A182" s="13">
        <f>IF(BANK_RAW!A182="","",ROW()-1)</f>
        <v/>
      </c>
      <c r="B182" s="10">
        <f>IF(BANK_RAW!A182="","",IF(ISNUMBER(BANK_RAW!A182),BANK_RAW!A182,DATEVALUE(TEXT(BANK_RAW!A182,"YYYY-MM-DD"))))</f>
        <v/>
      </c>
      <c r="C182" s="11">
        <f>IF(BANK_RAW!A182="","",TRIM(BANK_RAW!B182))</f>
        <v/>
      </c>
      <c r="D182" s="11">
        <f>IF(BANK_RAW!A182="","",TRIM(BANK_RAW!C182))</f>
        <v/>
      </c>
      <c r="E182" s="12">
        <f>IF(BANK_RAW!A182="","",IFERROR(ABS(BANK_RAW!D182),0))</f>
        <v/>
      </c>
      <c r="F182" s="12">
        <f>IF(BANK_RAW!A182="","",IFERROR(ABS(BANK_RAW!E182),0))</f>
        <v/>
      </c>
      <c r="G182" s="12">
        <f>IF(BANK_RAW!A182="","",IFERROR(BANK_RAW!F182,0))</f>
        <v/>
      </c>
      <c r="H182" s="11">
        <f>IF(BANK_RAW!A182="","",IF(E182&gt;0,"CR",IF(F182&gt;0,"DR","CR")))</f>
        <v/>
      </c>
      <c r="I182" s="12">
        <f>IF(BANK_RAW!A182="","",E182-F182)</f>
        <v/>
      </c>
      <c r="J182" s="12">
        <f>IF(BANK_RAW!A182="","",ABS(I182))</f>
        <v/>
      </c>
      <c r="K182" s="11">
        <f>IF(BANK_RAW!A182="","",IF(H182="CR","IN","OUT"))</f>
        <v/>
      </c>
      <c r="L182" s="11" t="inlineStr"/>
      <c r="M182" s="11" t="inlineStr"/>
    </row>
    <row r="183">
      <c r="A183" s="13">
        <f>IF(BANK_RAW!A183="","",ROW()-1)</f>
        <v/>
      </c>
      <c r="B183" s="10">
        <f>IF(BANK_RAW!A183="","",IF(ISNUMBER(BANK_RAW!A183),BANK_RAW!A183,DATEVALUE(TEXT(BANK_RAW!A183,"YYYY-MM-DD"))))</f>
        <v/>
      </c>
      <c r="C183" s="11">
        <f>IF(BANK_RAW!A183="","",TRIM(BANK_RAW!B183))</f>
        <v/>
      </c>
      <c r="D183" s="11">
        <f>IF(BANK_RAW!A183="","",TRIM(BANK_RAW!C183))</f>
        <v/>
      </c>
      <c r="E183" s="12">
        <f>IF(BANK_RAW!A183="","",IFERROR(ABS(BANK_RAW!D183),0))</f>
        <v/>
      </c>
      <c r="F183" s="12">
        <f>IF(BANK_RAW!A183="","",IFERROR(ABS(BANK_RAW!E183),0))</f>
        <v/>
      </c>
      <c r="G183" s="12">
        <f>IF(BANK_RAW!A183="","",IFERROR(BANK_RAW!F183,0))</f>
        <v/>
      </c>
      <c r="H183" s="11">
        <f>IF(BANK_RAW!A183="","",IF(E183&gt;0,"CR",IF(F183&gt;0,"DR","CR")))</f>
        <v/>
      </c>
      <c r="I183" s="12">
        <f>IF(BANK_RAW!A183="","",E183-F183)</f>
        <v/>
      </c>
      <c r="J183" s="12">
        <f>IF(BANK_RAW!A183="","",ABS(I183))</f>
        <v/>
      </c>
      <c r="K183" s="11">
        <f>IF(BANK_RAW!A183="","",IF(H183="CR","IN","OUT"))</f>
        <v/>
      </c>
      <c r="L183" s="11" t="inlineStr"/>
      <c r="M183" s="11" t="inlineStr"/>
    </row>
    <row r="184">
      <c r="A184" s="13">
        <f>IF(BANK_RAW!A184="","",ROW()-1)</f>
        <v/>
      </c>
      <c r="B184" s="10">
        <f>IF(BANK_RAW!A184="","",IF(ISNUMBER(BANK_RAW!A184),BANK_RAW!A184,DATEVALUE(TEXT(BANK_RAW!A184,"YYYY-MM-DD"))))</f>
        <v/>
      </c>
      <c r="C184" s="11">
        <f>IF(BANK_RAW!A184="","",TRIM(BANK_RAW!B184))</f>
        <v/>
      </c>
      <c r="D184" s="11">
        <f>IF(BANK_RAW!A184="","",TRIM(BANK_RAW!C184))</f>
        <v/>
      </c>
      <c r="E184" s="12">
        <f>IF(BANK_RAW!A184="","",IFERROR(ABS(BANK_RAW!D184),0))</f>
        <v/>
      </c>
      <c r="F184" s="12">
        <f>IF(BANK_RAW!A184="","",IFERROR(ABS(BANK_RAW!E184),0))</f>
        <v/>
      </c>
      <c r="G184" s="12">
        <f>IF(BANK_RAW!A184="","",IFERROR(BANK_RAW!F184,0))</f>
        <v/>
      </c>
      <c r="H184" s="11">
        <f>IF(BANK_RAW!A184="","",IF(E184&gt;0,"CR",IF(F184&gt;0,"DR","CR")))</f>
        <v/>
      </c>
      <c r="I184" s="12">
        <f>IF(BANK_RAW!A184="","",E184-F184)</f>
        <v/>
      </c>
      <c r="J184" s="12">
        <f>IF(BANK_RAW!A184="","",ABS(I184))</f>
        <v/>
      </c>
      <c r="K184" s="11">
        <f>IF(BANK_RAW!A184="","",IF(H184="CR","IN","OUT"))</f>
        <v/>
      </c>
      <c r="L184" s="11" t="inlineStr"/>
      <c r="M184" s="11" t="inlineStr"/>
    </row>
    <row r="185">
      <c r="A185" s="13">
        <f>IF(BANK_RAW!A185="","",ROW()-1)</f>
        <v/>
      </c>
      <c r="B185" s="10">
        <f>IF(BANK_RAW!A185="","",IF(ISNUMBER(BANK_RAW!A185),BANK_RAW!A185,DATEVALUE(TEXT(BANK_RAW!A185,"YYYY-MM-DD"))))</f>
        <v/>
      </c>
      <c r="C185" s="11">
        <f>IF(BANK_RAW!A185="","",TRIM(BANK_RAW!B185))</f>
        <v/>
      </c>
      <c r="D185" s="11">
        <f>IF(BANK_RAW!A185="","",TRIM(BANK_RAW!C185))</f>
        <v/>
      </c>
      <c r="E185" s="12">
        <f>IF(BANK_RAW!A185="","",IFERROR(ABS(BANK_RAW!D185),0))</f>
        <v/>
      </c>
      <c r="F185" s="12">
        <f>IF(BANK_RAW!A185="","",IFERROR(ABS(BANK_RAW!E185),0))</f>
        <v/>
      </c>
      <c r="G185" s="12">
        <f>IF(BANK_RAW!A185="","",IFERROR(BANK_RAW!F185,0))</f>
        <v/>
      </c>
      <c r="H185" s="11">
        <f>IF(BANK_RAW!A185="","",IF(E185&gt;0,"CR",IF(F185&gt;0,"DR","CR")))</f>
        <v/>
      </c>
      <c r="I185" s="12">
        <f>IF(BANK_RAW!A185="","",E185-F185)</f>
        <v/>
      </c>
      <c r="J185" s="12">
        <f>IF(BANK_RAW!A185="","",ABS(I185))</f>
        <v/>
      </c>
      <c r="K185" s="11">
        <f>IF(BANK_RAW!A185="","",IF(H185="CR","IN","OUT"))</f>
        <v/>
      </c>
      <c r="L185" s="11" t="inlineStr"/>
      <c r="M185" s="11" t="inlineStr"/>
    </row>
    <row r="186">
      <c r="A186" s="13">
        <f>IF(BANK_RAW!A186="","",ROW()-1)</f>
        <v/>
      </c>
      <c r="B186" s="10">
        <f>IF(BANK_RAW!A186="","",IF(ISNUMBER(BANK_RAW!A186),BANK_RAW!A186,DATEVALUE(TEXT(BANK_RAW!A186,"YYYY-MM-DD"))))</f>
        <v/>
      </c>
      <c r="C186" s="11">
        <f>IF(BANK_RAW!A186="","",TRIM(BANK_RAW!B186))</f>
        <v/>
      </c>
      <c r="D186" s="11">
        <f>IF(BANK_RAW!A186="","",TRIM(BANK_RAW!C186))</f>
        <v/>
      </c>
      <c r="E186" s="12">
        <f>IF(BANK_RAW!A186="","",IFERROR(ABS(BANK_RAW!D186),0))</f>
        <v/>
      </c>
      <c r="F186" s="12">
        <f>IF(BANK_RAW!A186="","",IFERROR(ABS(BANK_RAW!E186),0))</f>
        <v/>
      </c>
      <c r="G186" s="12">
        <f>IF(BANK_RAW!A186="","",IFERROR(BANK_RAW!F186,0))</f>
        <v/>
      </c>
      <c r="H186" s="11">
        <f>IF(BANK_RAW!A186="","",IF(E186&gt;0,"CR",IF(F186&gt;0,"DR","CR")))</f>
        <v/>
      </c>
      <c r="I186" s="12">
        <f>IF(BANK_RAW!A186="","",E186-F186)</f>
        <v/>
      </c>
      <c r="J186" s="12">
        <f>IF(BANK_RAW!A186="","",ABS(I186))</f>
        <v/>
      </c>
      <c r="K186" s="11">
        <f>IF(BANK_RAW!A186="","",IF(H186="CR","IN","OUT"))</f>
        <v/>
      </c>
      <c r="L186" s="11" t="inlineStr"/>
      <c r="M186" s="11" t="inlineStr"/>
    </row>
    <row r="187">
      <c r="A187" s="13">
        <f>IF(BANK_RAW!A187="","",ROW()-1)</f>
        <v/>
      </c>
      <c r="B187" s="10">
        <f>IF(BANK_RAW!A187="","",IF(ISNUMBER(BANK_RAW!A187),BANK_RAW!A187,DATEVALUE(TEXT(BANK_RAW!A187,"YYYY-MM-DD"))))</f>
        <v/>
      </c>
      <c r="C187" s="11">
        <f>IF(BANK_RAW!A187="","",TRIM(BANK_RAW!B187))</f>
        <v/>
      </c>
      <c r="D187" s="11">
        <f>IF(BANK_RAW!A187="","",TRIM(BANK_RAW!C187))</f>
        <v/>
      </c>
      <c r="E187" s="12">
        <f>IF(BANK_RAW!A187="","",IFERROR(ABS(BANK_RAW!D187),0))</f>
        <v/>
      </c>
      <c r="F187" s="12">
        <f>IF(BANK_RAW!A187="","",IFERROR(ABS(BANK_RAW!E187),0))</f>
        <v/>
      </c>
      <c r="G187" s="12">
        <f>IF(BANK_RAW!A187="","",IFERROR(BANK_RAW!F187,0))</f>
        <v/>
      </c>
      <c r="H187" s="11">
        <f>IF(BANK_RAW!A187="","",IF(E187&gt;0,"CR",IF(F187&gt;0,"DR","CR")))</f>
        <v/>
      </c>
      <c r="I187" s="12">
        <f>IF(BANK_RAW!A187="","",E187-F187)</f>
        <v/>
      </c>
      <c r="J187" s="12">
        <f>IF(BANK_RAW!A187="","",ABS(I187))</f>
        <v/>
      </c>
      <c r="K187" s="11">
        <f>IF(BANK_RAW!A187="","",IF(H187="CR","IN","OUT"))</f>
        <v/>
      </c>
      <c r="L187" s="11" t="inlineStr"/>
      <c r="M187" s="11" t="inlineStr"/>
    </row>
    <row r="188">
      <c r="A188" s="13">
        <f>IF(BANK_RAW!A188="","",ROW()-1)</f>
        <v/>
      </c>
      <c r="B188" s="10">
        <f>IF(BANK_RAW!A188="","",IF(ISNUMBER(BANK_RAW!A188),BANK_RAW!A188,DATEVALUE(TEXT(BANK_RAW!A188,"YYYY-MM-DD"))))</f>
        <v/>
      </c>
      <c r="C188" s="11">
        <f>IF(BANK_RAW!A188="","",TRIM(BANK_RAW!B188))</f>
        <v/>
      </c>
      <c r="D188" s="11">
        <f>IF(BANK_RAW!A188="","",TRIM(BANK_RAW!C188))</f>
        <v/>
      </c>
      <c r="E188" s="12">
        <f>IF(BANK_RAW!A188="","",IFERROR(ABS(BANK_RAW!D188),0))</f>
        <v/>
      </c>
      <c r="F188" s="12">
        <f>IF(BANK_RAW!A188="","",IFERROR(ABS(BANK_RAW!E188),0))</f>
        <v/>
      </c>
      <c r="G188" s="12">
        <f>IF(BANK_RAW!A188="","",IFERROR(BANK_RAW!F188,0))</f>
        <v/>
      </c>
      <c r="H188" s="11">
        <f>IF(BANK_RAW!A188="","",IF(E188&gt;0,"CR",IF(F188&gt;0,"DR","CR")))</f>
        <v/>
      </c>
      <c r="I188" s="12">
        <f>IF(BANK_RAW!A188="","",E188-F188)</f>
        <v/>
      </c>
      <c r="J188" s="12">
        <f>IF(BANK_RAW!A188="","",ABS(I188))</f>
        <v/>
      </c>
      <c r="K188" s="11">
        <f>IF(BANK_RAW!A188="","",IF(H188="CR","IN","OUT"))</f>
        <v/>
      </c>
      <c r="L188" s="11" t="inlineStr"/>
      <c r="M188" s="11" t="inlineStr"/>
    </row>
    <row r="189">
      <c r="A189" s="13">
        <f>IF(BANK_RAW!A189="","",ROW()-1)</f>
        <v/>
      </c>
      <c r="B189" s="10">
        <f>IF(BANK_RAW!A189="","",IF(ISNUMBER(BANK_RAW!A189),BANK_RAW!A189,DATEVALUE(TEXT(BANK_RAW!A189,"YYYY-MM-DD"))))</f>
        <v/>
      </c>
      <c r="C189" s="11">
        <f>IF(BANK_RAW!A189="","",TRIM(BANK_RAW!B189))</f>
        <v/>
      </c>
      <c r="D189" s="11">
        <f>IF(BANK_RAW!A189="","",TRIM(BANK_RAW!C189))</f>
        <v/>
      </c>
      <c r="E189" s="12">
        <f>IF(BANK_RAW!A189="","",IFERROR(ABS(BANK_RAW!D189),0))</f>
        <v/>
      </c>
      <c r="F189" s="12">
        <f>IF(BANK_RAW!A189="","",IFERROR(ABS(BANK_RAW!E189),0))</f>
        <v/>
      </c>
      <c r="G189" s="12">
        <f>IF(BANK_RAW!A189="","",IFERROR(BANK_RAW!F189,0))</f>
        <v/>
      </c>
      <c r="H189" s="11">
        <f>IF(BANK_RAW!A189="","",IF(E189&gt;0,"CR",IF(F189&gt;0,"DR","CR")))</f>
        <v/>
      </c>
      <c r="I189" s="12">
        <f>IF(BANK_RAW!A189="","",E189-F189)</f>
        <v/>
      </c>
      <c r="J189" s="12">
        <f>IF(BANK_RAW!A189="","",ABS(I189))</f>
        <v/>
      </c>
      <c r="K189" s="11">
        <f>IF(BANK_RAW!A189="","",IF(H189="CR","IN","OUT"))</f>
        <v/>
      </c>
      <c r="L189" s="11" t="inlineStr"/>
      <c r="M189" s="11" t="inlineStr"/>
    </row>
    <row r="190">
      <c r="A190" s="13">
        <f>IF(BANK_RAW!A190="","",ROW()-1)</f>
        <v/>
      </c>
      <c r="B190" s="10">
        <f>IF(BANK_RAW!A190="","",IF(ISNUMBER(BANK_RAW!A190),BANK_RAW!A190,DATEVALUE(TEXT(BANK_RAW!A190,"YYYY-MM-DD"))))</f>
        <v/>
      </c>
      <c r="C190" s="11">
        <f>IF(BANK_RAW!A190="","",TRIM(BANK_RAW!B190))</f>
        <v/>
      </c>
      <c r="D190" s="11">
        <f>IF(BANK_RAW!A190="","",TRIM(BANK_RAW!C190))</f>
        <v/>
      </c>
      <c r="E190" s="12">
        <f>IF(BANK_RAW!A190="","",IFERROR(ABS(BANK_RAW!D190),0))</f>
        <v/>
      </c>
      <c r="F190" s="12">
        <f>IF(BANK_RAW!A190="","",IFERROR(ABS(BANK_RAW!E190),0))</f>
        <v/>
      </c>
      <c r="G190" s="12">
        <f>IF(BANK_RAW!A190="","",IFERROR(BANK_RAW!F190,0))</f>
        <v/>
      </c>
      <c r="H190" s="11">
        <f>IF(BANK_RAW!A190="","",IF(E190&gt;0,"CR",IF(F190&gt;0,"DR","CR")))</f>
        <v/>
      </c>
      <c r="I190" s="12">
        <f>IF(BANK_RAW!A190="","",E190-F190)</f>
        <v/>
      </c>
      <c r="J190" s="12">
        <f>IF(BANK_RAW!A190="","",ABS(I190))</f>
        <v/>
      </c>
      <c r="K190" s="11">
        <f>IF(BANK_RAW!A190="","",IF(H190="CR","IN","OUT"))</f>
        <v/>
      </c>
      <c r="L190" s="11" t="inlineStr"/>
      <c r="M190" s="11" t="inlineStr"/>
    </row>
    <row r="191">
      <c r="A191" s="13">
        <f>IF(BANK_RAW!A191="","",ROW()-1)</f>
        <v/>
      </c>
      <c r="B191" s="10">
        <f>IF(BANK_RAW!A191="","",IF(ISNUMBER(BANK_RAW!A191),BANK_RAW!A191,DATEVALUE(TEXT(BANK_RAW!A191,"YYYY-MM-DD"))))</f>
        <v/>
      </c>
      <c r="C191" s="11">
        <f>IF(BANK_RAW!A191="","",TRIM(BANK_RAW!B191))</f>
        <v/>
      </c>
      <c r="D191" s="11">
        <f>IF(BANK_RAW!A191="","",TRIM(BANK_RAW!C191))</f>
        <v/>
      </c>
      <c r="E191" s="12">
        <f>IF(BANK_RAW!A191="","",IFERROR(ABS(BANK_RAW!D191),0))</f>
        <v/>
      </c>
      <c r="F191" s="12">
        <f>IF(BANK_RAW!A191="","",IFERROR(ABS(BANK_RAW!E191),0))</f>
        <v/>
      </c>
      <c r="G191" s="12">
        <f>IF(BANK_RAW!A191="","",IFERROR(BANK_RAW!F191,0))</f>
        <v/>
      </c>
      <c r="H191" s="11">
        <f>IF(BANK_RAW!A191="","",IF(E191&gt;0,"CR",IF(F191&gt;0,"DR","CR")))</f>
        <v/>
      </c>
      <c r="I191" s="12">
        <f>IF(BANK_RAW!A191="","",E191-F191)</f>
        <v/>
      </c>
      <c r="J191" s="12">
        <f>IF(BANK_RAW!A191="","",ABS(I191))</f>
        <v/>
      </c>
      <c r="K191" s="11">
        <f>IF(BANK_RAW!A191="","",IF(H191="CR","IN","OUT"))</f>
        <v/>
      </c>
      <c r="L191" s="11" t="inlineStr"/>
      <c r="M191" s="11" t="inlineStr"/>
    </row>
    <row r="192">
      <c r="A192" s="13">
        <f>IF(BANK_RAW!A192="","",ROW()-1)</f>
        <v/>
      </c>
      <c r="B192" s="10">
        <f>IF(BANK_RAW!A192="","",IF(ISNUMBER(BANK_RAW!A192),BANK_RAW!A192,DATEVALUE(TEXT(BANK_RAW!A192,"YYYY-MM-DD"))))</f>
        <v/>
      </c>
      <c r="C192" s="11">
        <f>IF(BANK_RAW!A192="","",TRIM(BANK_RAW!B192))</f>
        <v/>
      </c>
      <c r="D192" s="11">
        <f>IF(BANK_RAW!A192="","",TRIM(BANK_RAW!C192))</f>
        <v/>
      </c>
      <c r="E192" s="12">
        <f>IF(BANK_RAW!A192="","",IFERROR(ABS(BANK_RAW!D192),0))</f>
        <v/>
      </c>
      <c r="F192" s="12">
        <f>IF(BANK_RAW!A192="","",IFERROR(ABS(BANK_RAW!E192),0))</f>
        <v/>
      </c>
      <c r="G192" s="12">
        <f>IF(BANK_RAW!A192="","",IFERROR(BANK_RAW!F192,0))</f>
        <v/>
      </c>
      <c r="H192" s="11">
        <f>IF(BANK_RAW!A192="","",IF(E192&gt;0,"CR",IF(F192&gt;0,"DR","CR")))</f>
        <v/>
      </c>
      <c r="I192" s="12">
        <f>IF(BANK_RAW!A192="","",E192-F192)</f>
        <v/>
      </c>
      <c r="J192" s="12">
        <f>IF(BANK_RAW!A192="","",ABS(I192))</f>
        <v/>
      </c>
      <c r="K192" s="11">
        <f>IF(BANK_RAW!A192="","",IF(H192="CR","IN","OUT"))</f>
        <v/>
      </c>
      <c r="L192" s="11" t="inlineStr"/>
      <c r="M192" s="11" t="inlineStr"/>
    </row>
    <row r="193">
      <c r="A193" s="13">
        <f>IF(BANK_RAW!A193="","",ROW()-1)</f>
        <v/>
      </c>
      <c r="B193" s="10">
        <f>IF(BANK_RAW!A193="","",IF(ISNUMBER(BANK_RAW!A193),BANK_RAW!A193,DATEVALUE(TEXT(BANK_RAW!A193,"YYYY-MM-DD"))))</f>
        <v/>
      </c>
      <c r="C193" s="11">
        <f>IF(BANK_RAW!A193="","",TRIM(BANK_RAW!B193))</f>
        <v/>
      </c>
      <c r="D193" s="11">
        <f>IF(BANK_RAW!A193="","",TRIM(BANK_RAW!C193))</f>
        <v/>
      </c>
      <c r="E193" s="12">
        <f>IF(BANK_RAW!A193="","",IFERROR(ABS(BANK_RAW!D193),0))</f>
        <v/>
      </c>
      <c r="F193" s="12">
        <f>IF(BANK_RAW!A193="","",IFERROR(ABS(BANK_RAW!E193),0))</f>
        <v/>
      </c>
      <c r="G193" s="12">
        <f>IF(BANK_RAW!A193="","",IFERROR(BANK_RAW!F193,0))</f>
        <v/>
      </c>
      <c r="H193" s="11">
        <f>IF(BANK_RAW!A193="","",IF(E193&gt;0,"CR",IF(F193&gt;0,"DR","CR")))</f>
        <v/>
      </c>
      <c r="I193" s="12">
        <f>IF(BANK_RAW!A193="","",E193-F193)</f>
        <v/>
      </c>
      <c r="J193" s="12">
        <f>IF(BANK_RAW!A193="","",ABS(I193))</f>
        <v/>
      </c>
      <c r="K193" s="11">
        <f>IF(BANK_RAW!A193="","",IF(H193="CR","IN","OUT"))</f>
        <v/>
      </c>
      <c r="L193" s="11" t="inlineStr"/>
      <c r="M193" s="11" t="inlineStr"/>
    </row>
    <row r="194">
      <c r="A194" s="13">
        <f>IF(BANK_RAW!A194="","",ROW()-1)</f>
        <v/>
      </c>
      <c r="B194" s="10">
        <f>IF(BANK_RAW!A194="","",IF(ISNUMBER(BANK_RAW!A194),BANK_RAW!A194,DATEVALUE(TEXT(BANK_RAW!A194,"YYYY-MM-DD"))))</f>
        <v/>
      </c>
      <c r="C194" s="11">
        <f>IF(BANK_RAW!A194="","",TRIM(BANK_RAW!B194))</f>
        <v/>
      </c>
      <c r="D194" s="11">
        <f>IF(BANK_RAW!A194="","",TRIM(BANK_RAW!C194))</f>
        <v/>
      </c>
      <c r="E194" s="12">
        <f>IF(BANK_RAW!A194="","",IFERROR(ABS(BANK_RAW!D194),0))</f>
        <v/>
      </c>
      <c r="F194" s="12">
        <f>IF(BANK_RAW!A194="","",IFERROR(ABS(BANK_RAW!E194),0))</f>
        <v/>
      </c>
      <c r="G194" s="12">
        <f>IF(BANK_RAW!A194="","",IFERROR(BANK_RAW!F194,0))</f>
        <v/>
      </c>
      <c r="H194" s="11">
        <f>IF(BANK_RAW!A194="","",IF(E194&gt;0,"CR",IF(F194&gt;0,"DR","CR")))</f>
        <v/>
      </c>
      <c r="I194" s="12">
        <f>IF(BANK_RAW!A194="","",E194-F194)</f>
        <v/>
      </c>
      <c r="J194" s="12">
        <f>IF(BANK_RAW!A194="","",ABS(I194))</f>
        <v/>
      </c>
      <c r="K194" s="11">
        <f>IF(BANK_RAW!A194="","",IF(H194="CR","IN","OUT"))</f>
        <v/>
      </c>
      <c r="L194" s="11" t="inlineStr"/>
      <c r="M194" s="11" t="inlineStr"/>
    </row>
    <row r="195">
      <c r="A195" s="13">
        <f>IF(BANK_RAW!A195="","",ROW()-1)</f>
        <v/>
      </c>
      <c r="B195" s="10">
        <f>IF(BANK_RAW!A195="","",IF(ISNUMBER(BANK_RAW!A195),BANK_RAW!A195,DATEVALUE(TEXT(BANK_RAW!A195,"YYYY-MM-DD"))))</f>
        <v/>
      </c>
      <c r="C195" s="11">
        <f>IF(BANK_RAW!A195="","",TRIM(BANK_RAW!B195))</f>
        <v/>
      </c>
      <c r="D195" s="11">
        <f>IF(BANK_RAW!A195="","",TRIM(BANK_RAW!C195))</f>
        <v/>
      </c>
      <c r="E195" s="12">
        <f>IF(BANK_RAW!A195="","",IFERROR(ABS(BANK_RAW!D195),0))</f>
        <v/>
      </c>
      <c r="F195" s="12">
        <f>IF(BANK_RAW!A195="","",IFERROR(ABS(BANK_RAW!E195),0))</f>
        <v/>
      </c>
      <c r="G195" s="12">
        <f>IF(BANK_RAW!A195="","",IFERROR(BANK_RAW!F195,0))</f>
        <v/>
      </c>
      <c r="H195" s="11">
        <f>IF(BANK_RAW!A195="","",IF(E195&gt;0,"CR",IF(F195&gt;0,"DR","CR")))</f>
        <v/>
      </c>
      <c r="I195" s="12">
        <f>IF(BANK_RAW!A195="","",E195-F195)</f>
        <v/>
      </c>
      <c r="J195" s="12">
        <f>IF(BANK_RAW!A195="","",ABS(I195))</f>
        <v/>
      </c>
      <c r="K195" s="11">
        <f>IF(BANK_RAW!A195="","",IF(H195="CR","IN","OUT"))</f>
        <v/>
      </c>
      <c r="L195" s="11" t="inlineStr"/>
      <c r="M195" s="11" t="inlineStr"/>
    </row>
    <row r="196">
      <c r="A196" s="13">
        <f>IF(BANK_RAW!A196="","",ROW()-1)</f>
        <v/>
      </c>
      <c r="B196" s="10">
        <f>IF(BANK_RAW!A196="","",IF(ISNUMBER(BANK_RAW!A196),BANK_RAW!A196,DATEVALUE(TEXT(BANK_RAW!A196,"YYYY-MM-DD"))))</f>
        <v/>
      </c>
      <c r="C196" s="11">
        <f>IF(BANK_RAW!A196="","",TRIM(BANK_RAW!B196))</f>
        <v/>
      </c>
      <c r="D196" s="11">
        <f>IF(BANK_RAW!A196="","",TRIM(BANK_RAW!C196))</f>
        <v/>
      </c>
      <c r="E196" s="12">
        <f>IF(BANK_RAW!A196="","",IFERROR(ABS(BANK_RAW!D196),0))</f>
        <v/>
      </c>
      <c r="F196" s="12">
        <f>IF(BANK_RAW!A196="","",IFERROR(ABS(BANK_RAW!E196),0))</f>
        <v/>
      </c>
      <c r="G196" s="12">
        <f>IF(BANK_RAW!A196="","",IFERROR(BANK_RAW!F196,0))</f>
        <v/>
      </c>
      <c r="H196" s="11">
        <f>IF(BANK_RAW!A196="","",IF(E196&gt;0,"CR",IF(F196&gt;0,"DR","CR")))</f>
        <v/>
      </c>
      <c r="I196" s="12">
        <f>IF(BANK_RAW!A196="","",E196-F196)</f>
        <v/>
      </c>
      <c r="J196" s="12">
        <f>IF(BANK_RAW!A196="","",ABS(I196))</f>
        <v/>
      </c>
      <c r="K196" s="11">
        <f>IF(BANK_RAW!A196="","",IF(H196="CR","IN","OUT"))</f>
        <v/>
      </c>
      <c r="L196" s="11" t="inlineStr"/>
      <c r="M196" s="11" t="inlineStr"/>
    </row>
    <row r="197">
      <c r="A197" s="13">
        <f>IF(BANK_RAW!A197="","",ROW()-1)</f>
        <v/>
      </c>
      <c r="B197" s="10">
        <f>IF(BANK_RAW!A197="","",IF(ISNUMBER(BANK_RAW!A197),BANK_RAW!A197,DATEVALUE(TEXT(BANK_RAW!A197,"YYYY-MM-DD"))))</f>
        <v/>
      </c>
      <c r="C197" s="11">
        <f>IF(BANK_RAW!A197="","",TRIM(BANK_RAW!B197))</f>
        <v/>
      </c>
      <c r="D197" s="11">
        <f>IF(BANK_RAW!A197="","",TRIM(BANK_RAW!C197))</f>
        <v/>
      </c>
      <c r="E197" s="12">
        <f>IF(BANK_RAW!A197="","",IFERROR(ABS(BANK_RAW!D197),0))</f>
        <v/>
      </c>
      <c r="F197" s="12">
        <f>IF(BANK_RAW!A197="","",IFERROR(ABS(BANK_RAW!E197),0))</f>
        <v/>
      </c>
      <c r="G197" s="12">
        <f>IF(BANK_RAW!A197="","",IFERROR(BANK_RAW!F197,0))</f>
        <v/>
      </c>
      <c r="H197" s="11">
        <f>IF(BANK_RAW!A197="","",IF(E197&gt;0,"CR",IF(F197&gt;0,"DR","CR")))</f>
        <v/>
      </c>
      <c r="I197" s="12">
        <f>IF(BANK_RAW!A197="","",E197-F197)</f>
        <v/>
      </c>
      <c r="J197" s="12">
        <f>IF(BANK_RAW!A197="","",ABS(I197))</f>
        <v/>
      </c>
      <c r="K197" s="11">
        <f>IF(BANK_RAW!A197="","",IF(H197="CR","IN","OUT"))</f>
        <v/>
      </c>
      <c r="L197" s="11" t="inlineStr"/>
      <c r="M197" s="11" t="inlineStr"/>
    </row>
    <row r="198">
      <c r="A198" s="13">
        <f>IF(BANK_RAW!A198="","",ROW()-1)</f>
        <v/>
      </c>
      <c r="B198" s="10">
        <f>IF(BANK_RAW!A198="","",IF(ISNUMBER(BANK_RAW!A198),BANK_RAW!A198,DATEVALUE(TEXT(BANK_RAW!A198,"YYYY-MM-DD"))))</f>
        <v/>
      </c>
      <c r="C198" s="11">
        <f>IF(BANK_RAW!A198="","",TRIM(BANK_RAW!B198))</f>
        <v/>
      </c>
      <c r="D198" s="11">
        <f>IF(BANK_RAW!A198="","",TRIM(BANK_RAW!C198))</f>
        <v/>
      </c>
      <c r="E198" s="12">
        <f>IF(BANK_RAW!A198="","",IFERROR(ABS(BANK_RAW!D198),0))</f>
        <v/>
      </c>
      <c r="F198" s="12">
        <f>IF(BANK_RAW!A198="","",IFERROR(ABS(BANK_RAW!E198),0))</f>
        <v/>
      </c>
      <c r="G198" s="12">
        <f>IF(BANK_RAW!A198="","",IFERROR(BANK_RAW!F198,0))</f>
        <v/>
      </c>
      <c r="H198" s="11">
        <f>IF(BANK_RAW!A198="","",IF(E198&gt;0,"CR",IF(F198&gt;0,"DR","CR")))</f>
        <v/>
      </c>
      <c r="I198" s="12">
        <f>IF(BANK_RAW!A198="","",E198-F198)</f>
        <v/>
      </c>
      <c r="J198" s="12">
        <f>IF(BANK_RAW!A198="","",ABS(I198))</f>
        <v/>
      </c>
      <c r="K198" s="11">
        <f>IF(BANK_RAW!A198="","",IF(H198="CR","IN","OUT"))</f>
        <v/>
      </c>
      <c r="L198" s="11" t="inlineStr"/>
      <c r="M198" s="11" t="inlineStr"/>
    </row>
    <row r="199">
      <c r="A199" s="13">
        <f>IF(BANK_RAW!A199="","",ROW()-1)</f>
        <v/>
      </c>
      <c r="B199" s="10">
        <f>IF(BANK_RAW!A199="","",IF(ISNUMBER(BANK_RAW!A199),BANK_RAW!A199,DATEVALUE(TEXT(BANK_RAW!A199,"YYYY-MM-DD"))))</f>
        <v/>
      </c>
      <c r="C199" s="11">
        <f>IF(BANK_RAW!A199="","",TRIM(BANK_RAW!B199))</f>
        <v/>
      </c>
      <c r="D199" s="11">
        <f>IF(BANK_RAW!A199="","",TRIM(BANK_RAW!C199))</f>
        <v/>
      </c>
      <c r="E199" s="12">
        <f>IF(BANK_RAW!A199="","",IFERROR(ABS(BANK_RAW!D199),0))</f>
        <v/>
      </c>
      <c r="F199" s="12">
        <f>IF(BANK_RAW!A199="","",IFERROR(ABS(BANK_RAW!E199),0))</f>
        <v/>
      </c>
      <c r="G199" s="12">
        <f>IF(BANK_RAW!A199="","",IFERROR(BANK_RAW!F199,0))</f>
        <v/>
      </c>
      <c r="H199" s="11">
        <f>IF(BANK_RAW!A199="","",IF(E199&gt;0,"CR",IF(F199&gt;0,"DR","CR")))</f>
        <v/>
      </c>
      <c r="I199" s="12">
        <f>IF(BANK_RAW!A199="","",E199-F199)</f>
        <v/>
      </c>
      <c r="J199" s="12">
        <f>IF(BANK_RAW!A199="","",ABS(I199))</f>
        <v/>
      </c>
      <c r="K199" s="11">
        <f>IF(BANK_RAW!A199="","",IF(H199="CR","IN","OUT"))</f>
        <v/>
      </c>
      <c r="L199" s="11" t="inlineStr"/>
      <c r="M199" s="11" t="inlineStr"/>
    </row>
    <row r="200">
      <c r="A200" s="13">
        <f>IF(BANK_RAW!A200="","",ROW()-1)</f>
        <v/>
      </c>
      <c r="B200" s="10">
        <f>IF(BANK_RAW!A200="","",IF(ISNUMBER(BANK_RAW!A200),BANK_RAW!A200,DATEVALUE(TEXT(BANK_RAW!A200,"YYYY-MM-DD"))))</f>
        <v/>
      </c>
      <c r="C200" s="11">
        <f>IF(BANK_RAW!A200="","",TRIM(BANK_RAW!B200))</f>
        <v/>
      </c>
      <c r="D200" s="11">
        <f>IF(BANK_RAW!A200="","",TRIM(BANK_RAW!C200))</f>
        <v/>
      </c>
      <c r="E200" s="12">
        <f>IF(BANK_RAW!A200="","",IFERROR(ABS(BANK_RAW!D200),0))</f>
        <v/>
      </c>
      <c r="F200" s="12">
        <f>IF(BANK_RAW!A200="","",IFERROR(ABS(BANK_RAW!E200),0))</f>
        <v/>
      </c>
      <c r="G200" s="12">
        <f>IF(BANK_RAW!A200="","",IFERROR(BANK_RAW!F200,0))</f>
        <v/>
      </c>
      <c r="H200" s="11">
        <f>IF(BANK_RAW!A200="","",IF(E200&gt;0,"CR",IF(F200&gt;0,"DR","CR")))</f>
        <v/>
      </c>
      <c r="I200" s="12">
        <f>IF(BANK_RAW!A200="","",E200-F200)</f>
        <v/>
      </c>
      <c r="J200" s="12">
        <f>IF(BANK_RAW!A200="","",ABS(I200))</f>
        <v/>
      </c>
      <c r="K200" s="11">
        <f>IF(BANK_RAW!A200="","",IF(H200="CR","IN","OUT"))</f>
        <v/>
      </c>
      <c r="L200" s="11" t="inlineStr"/>
      <c r="M200" s="11" t="inlineStr"/>
    </row>
    <row r="201">
      <c r="A201" s="13">
        <f>IF(BANK_RAW!A201="","",ROW()-1)</f>
        <v/>
      </c>
      <c r="B201" s="10">
        <f>IF(BANK_RAW!A201="","",IF(ISNUMBER(BANK_RAW!A201),BANK_RAW!A201,DATEVALUE(TEXT(BANK_RAW!A201,"YYYY-MM-DD"))))</f>
        <v/>
      </c>
      <c r="C201" s="11">
        <f>IF(BANK_RAW!A201="","",TRIM(BANK_RAW!B201))</f>
        <v/>
      </c>
      <c r="D201" s="11">
        <f>IF(BANK_RAW!A201="","",TRIM(BANK_RAW!C201))</f>
        <v/>
      </c>
      <c r="E201" s="12">
        <f>IF(BANK_RAW!A201="","",IFERROR(ABS(BANK_RAW!D201),0))</f>
        <v/>
      </c>
      <c r="F201" s="12">
        <f>IF(BANK_RAW!A201="","",IFERROR(ABS(BANK_RAW!E201),0))</f>
        <v/>
      </c>
      <c r="G201" s="12">
        <f>IF(BANK_RAW!A201="","",IFERROR(BANK_RAW!F201,0))</f>
        <v/>
      </c>
      <c r="H201" s="11">
        <f>IF(BANK_RAW!A201="","",IF(E201&gt;0,"CR",IF(F201&gt;0,"DR","CR")))</f>
        <v/>
      </c>
      <c r="I201" s="12">
        <f>IF(BANK_RAW!A201="","",E201-F201)</f>
        <v/>
      </c>
      <c r="J201" s="12">
        <f>IF(BANK_RAW!A201="","",ABS(I201))</f>
        <v/>
      </c>
      <c r="K201" s="11">
        <f>IF(BANK_RAW!A201="","",IF(H201="CR","IN","OUT"))</f>
        <v/>
      </c>
      <c r="L201" s="11" t="inlineStr"/>
      <c r="M201" s="11" t="inlineStr"/>
    </row>
    <row r="202">
      <c r="A202" s="13">
        <f>IF(BANK_RAW!A202="","",ROW()-1)</f>
        <v/>
      </c>
      <c r="B202" s="10">
        <f>IF(BANK_RAW!A202="","",IF(ISNUMBER(BANK_RAW!A202),BANK_RAW!A202,DATEVALUE(TEXT(BANK_RAW!A202,"YYYY-MM-DD"))))</f>
        <v/>
      </c>
      <c r="C202" s="11">
        <f>IF(BANK_RAW!A202="","",TRIM(BANK_RAW!B202))</f>
        <v/>
      </c>
      <c r="D202" s="11">
        <f>IF(BANK_RAW!A202="","",TRIM(BANK_RAW!C202))</f>
        <v/>
      </c>
      <c r="E202" s="12">
        <f>IF(BANK_RAW!A202="","",IFERROR(ABS(BANK_RAW!D202),0))</f>
        <v/>
      </c>
      <c r="F202" s="12">
        <f>IF(BANK_RAW!A202="","",IFERROR(ABS(BANK_RAW!E202),0))</f>
        <v/>
      </c>
      <c r="G202" s="12">
        <f>IF(BANK_RAW!A202="","",IFERROR(BANK_RAW!F202,0))</f>
        <v/>
      </c>
      <c r="H202" s="11">
        <f>IF(BANK_RAW!A202="","",IF(E202&gt;0,"CR",IF(F202&gt;0,"DR","CR")))</f>
        <v/>
      </c>
      <c r="I202" s="12">
        <f>IF(BANK_RAW!A202="","",E202-F202)</f>
        <v/>
      </c>
      <c r="J202" s="12">
        <f>IF(BANK_RAW!A202="","",ABS(I202))</f>
        <v/>
      </c>
      <c r="K202" s="11">
        <f>IF(BANK_RAW!A202="","",IF(H202="CR","IN","OUT"))</f>
        <v/>
      </c>
      <c r="L202" s="11" t="inlineStr"/>
      <c r="M202" s="11" t="inlineStr"/>
    </row>
    <row r="203">
      <c r="A203" s="13">
        <f>IF(BANK_RAW!A203="","",ROW()-1)</f>
        <v/>
      </c>
      <c r="B203" s="10">
        <f>IF(BANK_RAW!A203="","",IF(ISNUMBER(BANK_RAW!A203),BANK_RAW!A203,DATEVALUE(TEXT(BANK_RAW!A203,"YYYY-MM-DD"))))</f>
        <v/>
      </c>
      <c r="C203" s="11">
        <f>IF(BANK_RAW!A203="","",TRIM(BANK_RAW!B203))</f>
        <v/>
      </c>
      <c r="D203" s="11">
        <f>IF(BANK_RAW!A203="","",TRIM(BANK_RAW!C203))</f>
        <v/>
      </c>
      <c r="E203" s="12">
        <f>IF(BANK_RAW!A203="","",IFERROR(ABS(BANK_RAW!D203),0))</f>
        <v/>
      </c>
      <c r="F203" s="12">
        <f>IF(BANK_RAW!A203="","",IFERROR(ABS(BANK_RAW!E203),0))</f>
        <v/>
      </c>
      <c r="G203" s="12">
        <f>IF(BANK_RAW!A203="","",IFERROR(BANK_RAW!F203,0))</f>
        <v/>
      </c>
      <c r="H203" s="11">
        <f>IF(BANK_RAW!A203="","",IF(E203&gt;0,"CR",IF(F203&gt;0,"DR","CR")))</f>
        <v/>
      </c>
      <c r="I203" s="12">
        <f>IF(BANK_RAW!A203="","",E203-F203)</f>
        <v/>
      </c>
      <c r="J203" s="12">
        <f>IF(BANK_RAW!A203="","",ABS(I203))</f>
        <v/>
      </c>
      <c r="K203" s="11">
        <f>IF(BANK_RAW!A203="","",IF(H203="CR","IN","OUT"))</f>
        <v/>
      </c>
      <c r="L203" s="11" t="inlineStr"/>
      <c r="M203" s="11" t="inlineStr"/>
    </row>
    <row r="204">
      <c r="A204" s="13">
        <f>IF(BANK_RAW!A204="","",ROW()-1)</f>
        <v/>
      </c>
      <c r="B204" s="10">
        <f>IF(BANK_RAW!A204="","",IF(ISNUMBER(BANK_RAW!A204),BANK_RAW!A204,DATEVALUE(TEXT(BANK_RAW!A204,"YYYY-MM-DD"))))</f>
        <v/>
      </c>
      <c r="C204" s="11">
        <f>IF(BANK_RAW!A204="","",TRIM(BANK_RAW!B204))</f>
        <v/>
      </c>
      <c r="D204" s="11">
        <f>IF(BANK_RAW!A204="","",TRIM(BANK_RAW!C204))</f>
        <v/>
      </c>
      <c r="E204" s="12">
        <f>IF(BANK_RAW!A204="","",IFERROR(ABS(BANK_RAW!D204),0))</f>
        <v/>
      </c>
      <c r="F204" s="12">
        <f>IF(BANK_RAW!A204="","",IFERROR(ABS(BANK_RAW!E204),0))</f>
        <v/>
      </c>
      <c r="G204" s="12">
        <f>IF(BANK_RAW!A204="","",IFERROR(BANK_RAW!F204,0))</f>
        <v/>
      </c>
      <c r="H204" s="11">
        <f>IF(BANK_RAW!A204="","",IF(E204&gt;0,"CR",IF(F204&gt;0,"DR","CR")))</f>
        <v/>
      </c>
      <c r="I204" s="12">
        <f>IF(BANK_RAW!A204="","",E204-F204)</f>
        <v/>
      </c>
      <c r="J204" s="12">
        <f>IF(BANK_RAW!A204="","",ABS(I204))</f>
        <v/>
      </c>
      <c r="K204" s="11">
        <f>IF(BANK_RAW!A204="","",IF(H204="CR","IN","OUT"))</f>
        <v/>
      </c>
      <c r="L204" s="11" t="inlineStr"/>
      <c r="M204" s="11" t="inlineStr"/>
    </row>
    <row r="205">
      <c r="A205" s="13">
        <f>IF(BANK_RAW!A205="","",ROW()-1)</f>
        <v/>
      </c>
      <c r="B205" s="10">
        <f>IF(BANK_RAW!A205="","",IF(ISNUMBER(BANK_RAW!A205),BANK_RAW!A205,DATEVALUE(TEXT(BANK_RAW!A205,"YYYY-MM-DD"))))</f>
        <v/>
      </c>
      <c r="C205" s="11">
        <f>IF(BANK_RAW!A205="","",TRIM(BANK_RAW!B205))</f>
        <v/>
      </c>
      <c r="D205" s="11">
        <f>IF(BANK_RAW!A205="","",TRIM(BANK_RAW!C205))</f>
        <v/>
      </c>
      <c r="E205" s="12">
        <f>IF(BANK_RAW!A205="","",IFERROR(ABS(BANK_RAW!D205),0))</f>
        <v/>
      </c>
      <c r="F205" s="12">
        <f>IF(BANK_RAW!A205="","",IFERROR(ABS(BANK_RAW!E205),0))</f>
        <v/>
      </c>
      <c r="G205" s="12">
        <f>IF(BANK_RAW!A205="","",IFERROR(BANK_RAW!F205,0))</f>
        <v/>
      </c>
      <c r="H205" s="11">
        <f>IF(BANK_RAW!A205="","",IF(E205&gt;0,"CR",IF(F205&gt;0,"DR","CR")))</f>
        <v/>
      </c>
      <c r="I205" s="12">
        <f>IF(BANK_RAW!A205="","",E205-F205)</f>
        <v/>
      </c>
      <c r="J205" s="12">
        <f>IF(BANK_RAW!A205="","",ABS(I205))</f>
        <v/>
      </c>
      <c r="K205" s="11">
        <f>IF(BANK_RAW!A205="","",IF(H205="CR","IN","OUT"))</f>
        <v/>
      </c>
      <c r="L205" s="11" t="inlineStr"/>
      <c r="M205" s="11" t="inlineStr"/>
    </row>
    <row r="206">
      <c r="A206" s="13">
        <f>IF(BANK_RAW!A206="","",ROW()-1)</f>
        <v/>
      </c>
      <c r="B206" s="10">
        <f>IF(BANK_RAW!A206="","",IF(ISNUMBER(BANK_RAW!A206),BANK_RAW!A206,DATEVALUE(TEXT(BANK_RAW!A206,"YYYY-MM-DD"))))</f>
        <v/>
      </c>
      <c r="C206" s="11">
        <f>IF(BANK_RAW!A206="","",TRIM(BANK_RAW!B206))</f>
        <v/>
      </c>
      <c r="D206" s="11">
        <f>IF(BANK_RAW!A206="","",TRIM(BANK_RAW!C206))</f>
        <v/>
      </c>
      <c r="E206" s="12">
        <f>IF(BANK_RAW!A206="","",IFERROR(ABS(BANK_RAW!D206),0))</f>
        <v/>
      </c>
      <c r="F206" s="12">
        <f>IF(BANK_RAW!A206="","",IFERROR(ABS(BANK_RAW!E206),0))</f>
        <v/>
      </c>
      <c r="G206" s="12">
        <f>IF(BANK_RAW!A206="","",IFERROR(BANK_RAW!F206,0))</f>
        <v/>
      </c>
      <c r="H206" s="11">
        <f>IF(BANK_RAW!A206="","",IF(E206&gt;0,"CR",IF(F206&gt;0,"DR","CR")))</f>
        <v/>
      </c>
      <c r="I206" s="12">
        <f>IF(BANK_RAW!A206="","",E206-F206)</f>
        <v/>
      </c>
      <c r="J206" s="12">
        <f>IF(BANK_RAW!A206="","",ABS(I206))</f>
        <v/>
      </c>
      <c r="K206" s="11">
        <f>IF(BANK_RAW!A206="","",IF(H206="CR","IN","OUT"))</f>
        <v/>
      </c>
      <c r="L206" s="11" t="inlineStr"/>
      <c r="M206" s="11" t="inlineStr"/>
    </row>
    <row r="207">
      <c r="A207" s="13">
        <f>IF(BANK_RAW!A207="","",ROW()-1)</f>
        <v/>
      </c>
      <c r="B207" s="10">
        <f>IF(BANK_RAW!A207="","",IF(ISNUMBER(BANK_RAW!A207),BANK_RAW!A207,DATEVALUE(TEXT(BANK_RAW!A207,"YYYY-MM-DD"))))</f>
        <v/>
      </c>
      <c r="C207" s="11">
        <f>IF(BANK_RAW!A207="","",TRIM(BANK_RAW!B207))</f>
        <v/>
      </c>
      <c r="D207" s="11">
        <f>IF(BANK_RAW!A207="","",TRIM(BANK_RAW!C207))</f>
        <v/>
      </c>
      <c r="E207" s="12">
        <f>IF(BANK_RAW!A207="","",IFERROR(ABS(BANK_RAW!D207),0))</f>
        <v/>
      </c>
      <c r="F207" s="12">
        <f>IF(BANK_RAW!A207="","",IFERROR(ABS(BANK_RAW!E207),0))</f>
        <v/>
      </c>
      <c r="G207" s="12">
        <f>IF(BANK_RAW!A207="","",IFERROR(BANK_RAW!F207,0))</f>
        <v/>
      </c>
      <c r="H207" s="11">
        <f>IF(BANK_RAW!A207="","",IF(E207&gt;0,"CR",IF(F207&gt;0,"DR","CR")))</f>
        <v/>
      </c>
      <c r="I207" s="12">
        <f>IF(BANK_RAW!A207="","",E207-F207)</f>
        <v/>
      </c>
      <c r="J207" s="12">
        <f>IF(BANK_RAW!A207="","",ABS(I207))</f>
        <v/>
      </c>
      <c r="K207" s="11">
        <f>IF(BANK_RAW!A207="","",IF(H207="CR","IN","OUT"))</f>
        <v/>
      </c>
      <c r="L207" s="11" t="inlineStr"/>
      <c r="M207" s="11" t="inlineStr"/>
    </row>
    <row r="208">
      <c r="A208" s="13">
        <f>IF(BANK_RAW!A208="","",ROW()-1)</f>
        <v/>
      </c>
      <c r="B208" s="10">
        <f>IF(BANK_RAW!A208="","",IF(ISNUMBER(BANK_RAW!A208),BANK_RAW!A208,DATEVALUE(TEXT(BANK_RAW!A208,"YYYY-MM-DD"))))</f>
        <v/>
      </c>
      <c r="C208" s="11">
        <f>IF(BANK_RAW!A208="","",TRIM(BANK_RAW!B208))</f>
        <v/>
      </c>
      <c r="D208" s="11">
        <f>IF(BANK_RAW!A208="","",TRIM(BANK_RAW!C208))</f>
        <v/>
      </c>
      <c r="E208" s="12">
        <f>IF(BANK_RAW!A208="","",IFERROR(ABS(BANK_RAW!D208),0))</f>
        <v/>
      </c>
      <c r="F208" s="12">
        <f>IF(BANK_RAW!A208="","",IFERROR(ABS(BANK_RAW!E208),0))</f>
        <v/>
      </c>
      <c r="G208" s="12">
        <f>IF(BANK_RAW!A208="","",IFERROR(BANK_RAW!F208,0))</f>
        <v/>
      </c>
      <c r="H208" s="11">
        <f>IF(BANK_RAW!A208="","",IF(E208&gt;0,"CR",IF(F208&gt;0,"DR","CR")))</f>
        <v/>
      </c>
      <c r="I208" s="12">
        <f>IF(BANK_RAW!A208="","",E208-F208)</f>
        <v/>
      </c>
      <c r="J208" s="12">
        <f>IF(BANK_RAW!A208="","",ABS(I208))</f>
        <v/>
      </c>
      <c r="K208" s="11">
        <f>IF(BANK_RAW!A208="","",IF(H208="CR","IN","OUT"))</f>
        <v/>
      </c>
      <c r="L208" s="11" t="inlineStr"/>
      <c r="M208" s="11" t="inlineStr"/>
    </row>
    <row r="209">
      <c r="A209" s="13">
        <f>IF(BANK_RAW!A209="","",ROW()-1)</f>
        <v/>
      </c>
      <c r="B209" s="10">
        <f>IF(BANK_RAW!A209="","",IF(ISNUMBER(BANK_RAW!A209),BANK_RAW!A209,DATEVALUE(TEXT(BANK_RAW!A209,"YYYY-MM-DD"))))</f>
        <v/>
      </c>
      <c r="C209" s="11">
        <f>IF(BANK_RAW!A209="","",TRIM(BANK_RAW!B209))</f>
        <v/>
      </c>
      <c r="D209" s="11">
        <f>IF(BANK_RAW!A209="","",TRIM(BANK_RAW!C209))</f>
        <v/>
      </c>
      <c r="E209" s="12">
        <f>IF(BANK_RAW!A209="","",IFERROR(ABS(BANK_RAW!D209),0))</f>
        <v/>
      </c>
      <c r="F209" s="12">
        <f>IF(BANK_RAW!A209="","",IFERROR(ABS(BANK_RAW!E209),0))</f>
        <v/>
      </c>
      <c r="G209" s="12">
        <f>IF(BANK_RAW!A209="","",IFERROR(BANK_RAW!F209,0))</f>
        <v/>
      </c>
      <c r="H209" s="11">
        <f>IF(BANK_RAW!A209="","",IF(E209&gt;0,"CR",IF(F209&gt;0,"DR","CR")))</f>
        <v/>
      </c>
      <c r="I209" s="12">
        <f>IF(BANK_RAW!A209="","",E209-F209)</f>
        <v/>
      </c>
      <c r="J209" s="12">
        <f>IF(BANK_RAW!A209="","",ABS(I209))</f>
        <v/>
      </c>
      <c r="K209" s="11">
        <f>IF(BANK_RAW!A209="","",IF(H209="CR","IN","OUT"))</f>
        <v/>
      </c>
      <c r="L209" s="11" t="inlineStr"/>
      <c r="M209" s="11" t="inlineStr"/>
    </row>
    <row r="210">
      <c r="A210" s="13">
        <f>IF(BANK_RAW!A210="","",ROW()-1)</f>
        <v/>
      </c>
      <c r="B210" s="10">
        <f>IF(BANK_RAW!A210="","",IF(ISNUMBER(BANK_RAW!A210),BANK_RAW!A210,DATEVALUE(TEXT(BANK_RAW!A210,"YYYY-MM-DD"))))</f>
        <v/>
      </c>
      <c r="C210" s="11">
        <f>IF(BANK_RAW!A210="","",TRIM(BANK_RAW!B210))</f>
        <v/>
      </c>
      <c r="D210" s="11">
        <f>IF(BANK_RAW!A210="","",TRIM(BANK_RAW!C210))</f>
        <v/>
      </c>
      <c r="E210" s="12">
        <f>IF(BANK_RAW!A210="","",IFERROR(ABS(BANK_RAW!D210),0))</f>
        <v/>
      </c>
      <c r="F210" s="12">
        <f>IF(BANK_RAW!A210="","",IFERROR(ABS(BANK_RAW!E210),0))</f>
        <v/>
      </c>
      <c r="G210" s="12">
        <f>IF(BANK_RAW!A210="","",IFERROR(BANK_RAW!F210,0))</f>
        <v/>
      </c>
      <c r="H210" s="11">
        <f>IF(BANK_RAW!A210="","",IF(E210&gt;0,"CR",IF(F210&gt;0,"DR","CR")))</f>
        <v/>
      </c>
      <c r="I210" s="12">
        <f>IF(BANK_RAW!A210="","",E210-F210)</f>
        <v/>
      </c>
      <c r="J210" s="12">
        <f>IF(BANK_RAW!A210="","",ABS(I210))</f>
        <v/>
      </c>
      <c r="K210" s="11">
        <f>IF(BANK_RAW!A210="","",IF(H210="CR","IN","OUT"))</f>
        <v/>
      </c>
      <c r="L210" s="11" t="inlineStr"/>
      <c r="M210" s="11" t="inlineStr"/>
    </row>
    <row r="211">
      <c r="A211" s="13">
        <f>IF(BANK_RAW!A211="","",ROW()-1)</f>
        <v/>
      </c>
      <c r="B211" s="10">
        <f>IF(BANK_RAW!A211="","",IF(ISNUMBER(BANK_RAW!A211),BANK_RAW!A211,DATEVALUE(TEXT(BANK_RAW!A211,"YYYY-MM-DD"))))</f>
        <v/>
      </c>
      <c r="C211" s="11">
        <f>IF(BANK_RAW!A211="","",TRIM(BANK_RAW!B211))</f>
        <v/>
      </c>
      <c r="D211" s="11">
        <f>IF(BANK_RAW!A211="","",TRIM(BANK_RAW!C211))</f>
        <v/>
      </c>
      <c r="E211" s="12">
        <f>IF(BANK_RAW!A211="","",IFERROR(ABS(BANK_RAW!D211),0))</f>
        <v/>
      </c>
      <c r="F211" s="12">
        <f>IF(BANK_RAW!A211="","",IFERROR(ABS(BANK_RAW!E211),0))</f>
        <v/>
      </c>
      <c r="G211" s="12">
        <f>IF(BANK_RAW!A211="","",IFERROR(BANK_RAW!F211,0))</f>
        <v/>
      </c>
      <c r="H211" s="11">
        <f>IF(BANK_RAW!A211="","",IF(E211&gt;0,"CR",IF(F211&gt;0,"DR","CR")))</f>
        <v/>
      </c>
      <c r="I211" s="12">
        <f>IF(BANK_RAW!A211="","",E211-F211)</f>
        <v/>
      </c>
      <c r="J211" s="12">
        <f>IF(BANK_RAW!A211="","",ABS(I211))</f>
        <v/>
      </c>
      <c r="K211" s="11">
        <f>IF(BANK_RAW!A211="","",IF(H211="CR","IN","OUT"))</f>
        <v/>
      </c>
      <c r="L211" s="11" t="inlineStr"/>
      <c r="M211" s="11" t="inlineStr"/>
    </row>
    <row r="212">
      <c r="A212" s="13">
        <f>IF(BANK_RAW!A212="","",ROW()-1)</f>
        <v/>
      </c>
      <c r="B212" s="10">
        <f>IF(BANK_RAW!A212="","",IF(ISNUMBER(BANK_RAW!A212),BANK_RAW!A212,DATEVALUE(TEXT(BANK_RAW!A212,"YYYY-MM-DD"))))</f>
        <v/>
      </c>
      <c r="C212" s="11">
        <f>IF(BANK_RAW!A212="","",TRIM(BANK_RAW!B212))</f>
        <v/>
      </c>
      <c r="D212" s="11">
        <f>IF(BANK_RAW!A212="","",TRIM(BANK_RAW!C212))</f>
        <v/>
      </c>
      <c r="E212" s="12">
        <f>IF(BANK_RAW!A212="","",IFERROR(ABS(BANK_RAW!D212),0))</f>
        <v/>
      </c>
      <c r="F212" s="12">
        <f>IF(BANK_RAW!A212="","",IFERROR(ABS(BANK_RAW!E212),0))</f>
        <v/>
      </c>
      <c r="G212" s="12">
        <f>IF(BANK_RAW!A212="","",IFERROR(BANK_RAW!F212,0))</f>
        <v/>
      </c>
      <c r="H212" s="11">
        <f>IF(BANK_RAW!A212="","",IF(E212&gt;0,"CR",IF(F212&gt;0,"DR","CR")))</f>
        <v/>
      </c>
      <c r="I212" s="12">
        <f>IF(BANK_RAW!A212="","",E212-F212)</f>
        <v/>
      </c>
      <c r="J212" s="12">
        <f>IF(BANK_RAW!A212="","",ABS(I212))</f>
        <v/>
      </c>
      <c r="K212" s="11">
        <f>IF(BANK_RAW!A212="","",IF(H212="CR","IN","OUT"))</f>
        <v/>
      </c>
      <c r="L212" s="11" t="inlineStr"/>
      <c r="M212" s="11" t="inlineStr"/>
    </row>
    <row r="213">
      <c r="A213" s="13">
        <f>IF(BANK_RAW!A213="","",ROW()-1)</f>
        <v/>
      </c>
      <c r="B213" s="10">
        <f>IF(BANK_RAW!A213="","",IF(ISNUMBER(BANK_RAW!A213),BANK_RAW!A213,DATEVALUE(TEXT(BANK_RAW!A213,"YYYY-MM-DD"))))</f>
        <v/>
      </c>
      <c r="C213" s="11">
        <f>IF(BANK_RAW!A213="","",TRIM(BANK_RAW!B213))</f>
        <v/>
      </c>
      <c r="D213" s="11">
        <f>IF(BANK_RAW!A213="","",TRIM(BANK_RAW!C213))</f>
        <v/>
      </c>
      <c r="E213" s="12">
        <f>IF(BANK_RAW!A213="","",IFERROR(ABS(BANK_RAW!D213),0))</f>
        <v/>
      </c>
      <c r="F213" s="12">
        <f>IF(BANK_RAW!A213="","",IFERROR(ABS(BANK_RAW!E213),0))</f>
        <v/>
      </c>
      <c r="G213" s="12">
        <f>IF(BANK_RAW!A213="","",IFERROR(BANK_RAW!F213,0))</f>
        <v/>
      </c>
      <c r="H213" s="11">
        <f>IF(BANK_RAW!A213="","",IF(E213&gt;0,"CR",IF(F213&gt;0,"DR","CR")))</f>
        <v/>
      </c>
      <c r="I213" s="12">
        <f>IF(BANK_RAW!A213="","",E213-F213)</f>
        <v/>
      </c>
      <c r="J213" s="12">
        <f>IF(BANK_RAW!A213="","",ABS(I213))</f>
        <v/>
      </c>
      <c r="K213" s="11">
        <f>IF(BANK_RAW!A213="","",IF(H213="CR","IN","OUT"))</f>
        <v/>
      </c>
      <c r="L213" s="11" t="inlineStr"/>
      <c r="M213" s="11" t="inlineStr"/>
    </row>
    <row r="214">
      <c r="A214" s="13">
        <f>IF(BANK_RAW!A214="","",ROW()-1)</f>
        <v/>
      </c>
      <c r="B214" s="10">
        <f>IF(BANK_RAW!A214="","",IF(ISNUMBER(BANK_RAW!A214),BANK_RAW!A214,DATEVALUE(TEXT(BANK_RAW!A214,"YYYY-MM-DD"))))</f>
        <v/>
      </c>
      <c r="C214" s="11">
        <f>IF(BANK_RAW!A214="","",TRIM(BANK_RAW!B214))</f>
        <v/>
      </c>
      <c r="D214" s="11">
        <f>IF(BANK_RAW!A214="","",TRIM(BANK_RAW!C214))</f>
        <v/>
      </c>
      <c r="E214" s="12">
        <f>IF(BANK_RAW!A214="","",IFERROR(ABS(BANK_RAW!D214),0))</f>
        <v/>
      </c>
      <c r="F214" s="12">
        <f>IF(BANK_RAW!A214="","",IFERROR(ABS(BANK_RAW!E214),0))</f>
        <v/>
      </c>
      <c r="G214" s="12">
        <f>IF(BANK_RAW!A214="","",IFERROR(BANK_RAW!F214,0))</f>
        <v/>
      </c>
      <c r="H214" s="11">
        <f>IF(BANK_RAW!A214="","",IF(E214&gt;0,"CR",IF(F214&gt;0,"DR","CR")))</f>
        <v/>
      </c>
      <c r="I214" s="12">
        <f>IF(BANK_RAW!A214="","",E214-F214)</f>
        <v/>
      </c>
      <c r="J214" s="12">
        <f>IF(BANK_RAW!A214="","",ABS(I214))</f>
        <v/>
      </c>
      <c r="K214" s="11">
        <f>IF(BANK_RAW!A214="","",IF(H214="CR","IN","OUT"))</f>
        <v/>
      </c>
      <c r="L214" s="11" t="inlineStr"/>
      <c r="M214" s="11" t="inlineStr"/>
    </row>
    <row r="215">
      <c r="A215" s="13">
        <f>IF(BANK_RAW!A215="","",ROW()-1)</f>
        <v/>
      </c>
      <c r="B215" s="10">
        <f>IF(BANK_RAW!A215="","",IF(ISNUMBER(BANK_RAW!A215),BANK_RAW!A215,DATEVALUE(TEXT(BANK_RAW!A215,"YYYY-MM-DD"))))</f>
        <v/>
      </c>
      <c r="C215" s="11">
        <f>IF(BANK_RAW!A215="","",TRIM(BANK_RAW!B215))</f>
        <v/>
      </c>
      <c r="D215" s="11">
        <f>IF(BANK_RAW!A215="","",TRIM(BANK_RAW!C215))</f>
        <v/>
      </c>
      <c r="E215" s="12">
        <f>IF(BANK_RAW!A215="","",IFERROR(ABS(BANK_RAW!D215),0))</f>
        <v/>
      </c>
      <c r="F215" s="12">
        <f>IF(BANK_RAW!A215="","",IFERROR(ABS(BANK_RAW!E215),0))</f>
        <v/>
      </c>
      <c r="G215" s="12">
        <f>IF(BANK_RAW!A215="","",IFERROR(BANK_RAW!F215,0))</f>
        <v/>
      </c>
      <c r="H215" s="11">
        <f>IF(BANK_RAW!A215="","",IF(E215&gt;0,"CR",IF(F215&gt;0,"DR","CR")))</f>
        <v/>
      </c>
      <c r="I215" s="12">
        <f>IF(BANK_RAW!A215="","",E215-F215)</f>
        <v/>
      </c>
      <c r="J215" s="12">
        <f>IF(BANK_RAW!A215="","",ABS(I215))</f>
        <v/>
      </c>
      <c r="K215" s="11">
        <f>IF(BANK_RAW!A215="","",IF(H215="CR","IN","OUT"))</f>
        <v/>
      </c>
      <c r="L215" s="11" t="inlineStr"/>
      <c r="M215" s="11" t="inlineStr"/>
    </row>
    <row r="216">
      <c r="A216" s="13">
        <f>IF(BANK_RAW!A216="","",ROW()-1)</f>
        <v/>
      </c>
      <c r="B216" s="10">
        <f>IF(BANK_RAW!A216="","",IF(ISNUMBER(BANK_RAW!A216),BANK_RAW!A216,DATEVALUE(TEXT(BANK_RAW!A216,"YYYY-MM-DD"))))</f>
        <v/>
      </c>
      <c r="C216" s="11">
        <f>IF(BANK_RAW!A216="","",TRIM(BANK_RAW!B216))</f>
        <v/>
      </c>
      <c r="D216" s="11">
        <f>IF(BANK_RAW!A216="","",TRIM(BANK_RAW!C216))</f>
        <v/>
      </c>
      <c r="E216" s="12">
        <f>IF(BANK_RAW!A216="","",IFERROR(ABS(BANK_RAW!D216),0))</f>
        <v/>
      </c>
      <c r="F216" s="12">
        <f>IF(BANK_RAW!A216="","",IFERROR(ABS(BANK_RAW!E216),0))</f>
        <v/>
      </c>
      <c r="G216" s="12">
        <f>IF(BANK_RAW!A216="","",IFERROR(BANK_RAW!F216,0))</f>
        <v/>
      </c>
      <c r="H216" s="11">
        <f>IF(BANK_RAW!A216="","",IF(E216&gt;0,"CR",IF(F216&gt;0,"DR","CR")))</f>
        <v/>
      </c>
      <c r="I216" s="12">
        <f>IF(BANK_RAW!A216="","",E216-F216)</f>
        <v/>
      </c>
      <c r="J216" s="12">
        <f>IF(BANK_RAW!A216="","",ABS(I216))</f>
        <v/>
      </c>
      <c r="K216" s="11">
        <f>IF(BANK_RAW!A216="","",IF(H216="CR","IN","OUT"))</f>
        <v/>
      </c>
      <c r="L216" s="11" t="inlineStr"/>
      <c r="M216" s="11" t="inlineStr"/>
    </row>
    <row r="217">
      <c r="A217" s="13">
        <f>IF(BANK_RAW!A217="","",ROW()-1)</f>
        <v/>
      </c>
      <c r="B217" s="10">
        <f>IF(BANK_RAW!A217="","",IF(ISNUMBER(BANK_RAW!A217),BANK_RAW!A217,DATEVALUE(TEXT(BANK_RAW!A217,"YYYY-MM-DD"))))</f>
        <v/>
      </c>
      <c r="C217" s="11">
        <f>IF(BANK_RAW!A217="","",TRIM(BANK_RAW!B217))</f>
        <v/>
      </c>
      <c r="D217" s="11">
        <f>IF(BANK_RAW!A217="","",TRIM(BANK_RAW!C217))</f>
        <v/>
      </c>
      <c r="E217" s="12">
        <f>IF(BANK_RAW!A217="","",IFERROR(ABS(BANK_RAW!D217),0))</f>
        <v/>
      </c>
      <c r="F217" s="12">
        <f>IF(BANK_RAW!A217="","",IFERROR(ABS(BANK_RAW!E217),0))</f>
        <v/>
      </c>
      <c r="G217" s="12">
        <f>IF(BANK_RAW!A217="","",IFERROR(BANK_RAW!F217,0))</f>
        <v/>
      </c>
      <c r="H217" s="11">
        <f>IF(BANK_RAW!A217="","",IF(E217&gt;0,"CR",IF(F217&gt;0,"DR","CR")))</f>
        <v/>
      </c>
      <c r="I217" s="12">
        <f>IF(BANK_RAW!A217="","",E217-F217)</f>
        <v/>
      </c>
      <c r="J217" s="12">
        <f>IF(BANK_RAW!A217="","",ABS(I217))</f>
        <v/>
      </c>
      <c r="K217" s="11">
        <f>IF(BANK_RAW!A217="","",IF(H217="CR","IN","OUT"))</f>
        <v/>
      </c>
      <c r="L217" s="11" t="inlineStr"/>
      <c r="M217" s="11" t="inlineStr"/>
    </row>
    <row r="218">
      <c r="A218" s="13">
        <f>IF(BANK_RAW!A218="","",ROW()-1)</f>
        <v/>
      </c>
      <c r="B218" s="10">
        <f>IF(BANK_RAW!A218="","",IF(ISNUMBER(BANK_RAW!A218),BANK_RAW!A218,DATEVALUE(TEXT(BANK_RAW!A218,"YYYY-MM-DD"))))</f>
        <v/>
      </c>
      <c r="C218" s="11">
        <f>IF(BANK_RAW!A218="","",TRIM(BANK_RAW!B218))</f>
        <v/>
      </c>
      <c r="D218" s="11">
        <f>IF(BANK_RAW!A218="","",TRIM(BANK_RAW!C218))</f>
        <v/>
      </c>
      <c r="E218" s="12">
        <f>IF(BANK_RAW!A218="","",IFERROR(ABS(BANK_RAW!D218),0))</f>
        <v/>
      </c>
      <c r="F218" s="12">
        <f>IF(BANK_RAW!A218="","",IFERROR(ABS(BANK_RAW!E218),0))</f>
        <v/>
      </c>
      <c r="G218" s="12">
        <f>IF(BANK_RAW!A218="","",IFERROR(BANK_RAW!F218,0))</f>
        <v/>
      </c>
      <c r="H218" s="11">
        <f>IF(BANK_RAW!A218="","",IF(E218&gt;0,"CR",IF(F218&gt;0,"DR","CR")))</f>
        <v/>
      </c>
      <c r="I218" s="12">
        <f>IF(BANK_RAW!A218="","",E218-F218)</f>
        <v/>
      </c>
      <c r="J218" s="12">
        <f>IF(BANK_RAW!A218="","",ABS(I218))</f>
        <v/>
      </c>
      <c r="K218" s="11">
        <f>IF(BANK_RAW!A218="","",IF(H218="CR","IN","OUT"))</f>
        <v/>
      </c>
      <c r="L218" s="11" t="inlineStr"/>
      <c r="M218" s="11" t="inlineStr"/>
    </row>
    <row r="219">
      <c r="A219" s="13">
        <f>IF(BANK_RAW!A219="","",ROW()-1)</f>
        <v/>
      </c>
      <c r="B219" s="10">
        <f>IF(BANK_RAW!A219="","",IF(ISNUMBER(BANK_RAW!A219),BANK_RAW!A219,DATEVALUE(TEXT(BANK_RAW!A219,"YYYY-MM-DD"))))</f>
        <v/>
      </c>
      <c r="C219" s="11">
        <f>IF(BANK_RAW!A219="","",TRIM(BANK_RAW!B219))</f>
        <v/>
      </c>
      <c r="D219" s="11">
        <f>IF(BANK_RAW!A219="","",TRIM(BANK_RAW!C219))</f>
        <v/>
      </c>
      <c r="E219" s="12">
        <f>IF(BANK_RAW!A219="","",IFERROR(ABS(BANK_RAW!D219),0))</f>
        <v/>
      </c>
      <c r="F219" s="12">
        <f>IF(BANK_RAW!A219="","",IFERROR(ABS(BANK_RAW!E219),0))</f>
        <v/>
      </c>
      <c r="G219" s="12">
        <f>IF(BANK_RAW!A219="","",IFERROR(BANK_RAW!F219,0))</f>
        <v/>
      </c>
      <c r="H219" s="11">
        <f>IF(BANK_RAW!A219="","",IF(E219&gt;0,"CR",IF(F219&gt;0,"DR","CR")))</f>
        <v/>
      </c>
      <c r="I219" s="12">
        <f>IF(BANK_RAW!A219="","",E219-F219)</f>
        <v/>
      </c>
      <c r="J219" s="12">
        <f>IF(BANK_RAW!A219="","",ABS(I219))</f>
        <v/>
      </c>
      <c r="K219" s="11">
        <f>IF(BANK_RAW!A219="","",IF(H219="CR","IN","OUT"))</f>
        <v/>
      </c>
      <c r="L219" s="11" t="inlineStr"/>
      <c r="M219" s="11" t="inlineStr"/>
    </row>
    <row r="220">
      <c r="A220" s="13">
        <f>IF(BANK_RAW!A220="","",ROW()-1)</f>
        <v/>
      </c>
      <c r="B220" s="10">
        <f>IF(BANK_RAW!A220="","",IF(ISNUMBER(BANK_RAW!A220),BANK_RAW!A220,DATEVALUE(TEXT(BANK_RAW!A220,"YYYY-MM-DD"))))</f>
        <v/>
      </c>
      <c r="C220" s="11">
        <f>IF(BANK_RAW!A220="","",TRIM(BANK_RAW!B220))</f>
        <v/>
      </c>
      <c r="D220" s="11">
        <f>IF(BANK_RAW!A220="","",TRIM(BANK_RAW!C220))</f>
        <v/>
      </c>
      <c r="E220" s="12">
        <f>IF(BANK_RAW!A220="","",IFERROR(ABS(BANK_RAW!D220),0))</f>
        <v/>
      </c>
      <c r="F220" s="12">
        <f>IF(BANK_RAW!A220="","",IFERROR(ABS(BANK_RAW!E220),0))</f>
        <v/>
      </c>
      <c r="G220" s="12">
        <f>IF(BANK_RAW!A220="","",IFERROR(BANK_RAW!F220,0))</f>
        <v/>
      </c>
      <c r="H220" s="11">
        <f>IF(BANK_RAW!A220="","",IF(E220&gt;0,"CR",IF(F220&gt;0,"DR","CR")))</f>
        <v/>
      </c>
      <c r="I220" s="12">
        <f>IF(BANK_RAW!A220="","",E220-F220)</f>
        <v/>
      </c>
      <c r="J220" s="12">
        <f>IF(BANK_RAW!A220="","",ABS(I220))</f>
        <v/>
      </c>
      <c r="K220" s="11">
        <f>IF(BANK_RAW!A220="","",IF(H220="CR","IN","OUT"))</f>
        <v/>
      </c>
      <c r="L220" s="11" t="inlineStr"/>
      <c r="M220" s="11" t="inlineStr"/>
    </row>
    <row r="221">
      <c r="A221" s="13">
        <f>IF(BANK_RAW!A221="","",ROW()-1)</f>
        <v/>
      </c>
      <c r="B221" s="10">
        <f>IF(BANK_RAW!A221="","",IF(ISNUMBER(BANK_RAW!A221),BANK_RAW!A221,DATEVALUE(TEXT(BANK_RAW!A221,"YYYY-MM-DD"))))</f>
        <v/>
      </c>
      <c r="C221" s="11">
        <f>IF(BANK_RAW!A221="","",TRIM(BANK_RAW!B221))</f>
        <v/>
      </c>
      <c r="D221" s="11">
        <f>IF(BANK_RAW!A221="","",TRIM(BANK_RAW!C221))</f>
        <v/>
      </c>
      <c r="E221" s="12">
        <f>IF(BANK_RAW!A221="","",IFERROR(ABS(BANK_RAW!D221),0))</f>
        <v/>
      </c>
      <c r="F221" s="12">
        <f>IF(BANK_RAW!A221="","",IFERROR(ABS(BANK_RAW!E221),0))</f>
        <v/>
      </c>
      <c r="G221" s="12">
        <f>IF(BANK_RAW!A221="","",IFERROR(BANK_RAW!F221,0))</f>
        <v/>
      </c>
      <c r="H221" s="11">
        <f>IF(BANK_RAW!A221="","",IF(E221&gt;0,"CR",IF(F221&gt;0,"DR","CR")))</f>
        <v/>
      </c>
      <c r="I221" s="12">
        <f>IF(BANK_RAW!A221="","",E221-F221)</f>
        <v/>
      </c>
      <c r="J221" s="12">
        <f>IF(BANK_RAW!A221="","",ABS(I221))</f>
        <v/>
      </c>
      <c r="K221" s="11">
        <f>IF(BANK_RAW!A221="","",IF(H221="CR","IN","OUT"))</f>
        <v/>
      </c>
      <c r="L221" s="11" t="inlineStr"/>
      <c r="M221" s="11" t="inlineStr"/>
    </row>
    <row r="222">
      <c r="A222" s="13">
        <f>IF(BANK_RAW!A222="","",ROW()-1)</f>
        <v/>
      </c>
      <c r="B222" s="10">
        <f>IF(BANK_RAW!A222="","",IF(ISNUMBER(BANK_RAW!A222),BANK_RAW!A222,DATEVALUE(TEXT(BANK_RAW!A222,"YYYY-MM-DD"))))</f>
        <v/>
      </c>
      <c r="C222" s="11">
        <f>IF(BANK_RAW!A222="","",TRIM(BANK_RAW!B222))</f>
        <v/>
      </c>
      <c r="D222" s="11">
        <f>IF(BANK_RAW!A222="","",TRIM(BANK_RAW!C222))</f>
        <v/>
      </c>
      <c r="E222" s="12">
        <f>IF(BANK_RAW!A222="","",IFERROR(ABS(BANK_RAW!D222),0))</f>
        <v/>
      </c>
      <c r="F222" s="12">
        <f>IF(BANK_RAW!A222="","",IFERROR(ABS(BANK_RAW!E222),0))</f>
        <v/>
      </c>
      <c r="G222" s="12">
        <f>IF(BANK_RAW!A222="","",IFERROR(BANK_RAW!F222,0))</f>
        <v/>
      </c>
      <c r="H222" s="11">
        <f>IF(BANK_RAW!A222="","",IF(E222&gt;0,"CR",IF(F222&gt;0,"DR","CR")))</f>
        <v/>
      </c>
      <c r="I222" s="12">
        <f>IF(BANK_RAW!A222="","",E222-F222)</f>
        <v/>
      </c>
      <c r="J222" s="12">
        <f>IF(BANK_RAW!A222="","",ABS(I222))</f>
        <v/>
      </c>
      <c r="K222" s="11">
        <f>IF(BANK_RAW!A222="","",IF(H222="CR","IN","OUT"))</f>
        <v/>
      </c>
      <c r="L222" s="11" t="inlineStr"/>
      <c r="M222" s="11" t="inlineStr"/>
    </row>
    <row r="223">
      <c r="A223" s="13">
        <f>IF(BANK_RAW!A223="","",ROW()-1)</f>
        <v/>
      </c>
      <c r="B223" s="10">
        <f>IF(BANK_RAW!A223="","",IF(ISNUMBER(BANK_RAW!A223),BANK_RAW!A223,DATEVALUE(TEXT(BANK_RAW!A223,"YYYY-MM-DD"))))</f>
        <v/>
      </c>
      <c r="C223" s="11">
        <f>IF(BANK_RAW!A223="","",TRIM(BANK_RAW!B223))</f>
        <v/>
      </c>
      <c r="D223" s="11">
        <f>IF(BANK_RAW!A223="","",TRIM(BANK_RAW!C223))</f>
        <v/>
      </c>
      <c r="E223" s="12">
        <f>IF(BANK_RAW!A223="","",IFERROR(ABS(BANK_RAW!D223),0))</f>
        <v/>
      </c>
      <c r="F223" s="12">
        <f>IF(BANK_RAW!A223="","",IFERROR(ABS(BANK_RAW!E223),0))</f>
        <v/>
      </c>
      <c r="G223" s="12">
        <f>IF(BANK_RAW!A223="","",IFERROR(BANK_RAW!F223,0))</f>
        <v/>
      </c>
      <c r="H223" s="11">
        <f>IF(BANK_RAW!A223="","",IF(E223&gt;0,"CR",IF(F223&gt;0,"DR","CR")))</f>
        <v/>
      </c>
      <c r="I223" s="12">
        <f>IF(BANK_RAW!A223="","",E223-F223)</f>
        <v/>
      </c>
      <c r="J223" s="12">
        <f>IF(BANK_RAW!A223="","",ABS(I223))</f>
        <v/>
      </c>
      <c r="K223" s="11">
        <f>IF(BANK_RAW!A223="","",IF(H223="CR","IN","OUT"))</f>
        <v/>
      </c>
      <c r="L223" s="11" t="inlineStr"/>
      <c r="M223" s="11" t="inlineStr"/>
    </row>
    <row r="224">
      <c r="A224" s="13">
        <f>IF(BANK_RAW!A224="","",ROW()-1)</f>
        <v/>
      </c>
      <c r="B224" s="10">
        <f>IF(BANK_RAW!A224="","",IF(ISNUMBER(BANK_RAW!A224),BANK_RAW!A224,DATEVALUE(TEXT(BANK_RAW!A224,"YYYY-MM-DD"))))</f>
        <v/>
      </c>
      <c r="C224" s="11">
        <f>IF(BANK_RAW!A224="","",TRIM(BANK_RAW!B224))</f>
        <v/>
      </c>
      <c r="D224" s="11">
        <f>IF(BANK_RAW!A224="","",TRIM(BANK_RAW!C224))</f>
        <v/>
      </c>
      <c r="E224" s="12">
        <f>IF(BANK_RAW!A224="","",IFERROR(ABS(BANK_RAW!D224),0))</f>
        <v/>
      </c>
      <c r="F224" s="12">
        <f>IF(BANK_RAW!A224="","",IFERROR(ABS(BANK_RAW!E224),0))</f>
        <v/>
      </c>
      <c r="G224" s="12">
        <f>IF(BANK_RAW!A224="","",IFERROR(BANK_RAW!F224,0))</f>
        <v/>
      </c>
      <c r="H224" s="11">
        <f>IF(BANK_RAW!A224="","",IF(E224&gt;0,"CR",IF(F224&gt;0,"DR","CR")))</f>
        <v/>
      </c>
      <c r="I224" s="12">
        <f>IF(BANK_RAW!A224="","",E224-F224)</f>
        <v/>
      </c>
      <c r="J224" s="12">
        <f>IF(BANK_RAW!A224="","",ABS(I224))</f>
        <v/>
      </c>
      <c r="K224" s="11">
        <f>IF(BANK_RAW!A224="","",IF(H224="CR","IN","OUT"))</f>
        <v/>
      </c>
      <c r="L224" s="11" t="inlineStr"/>
      <c r="M224" s="11" t="inlineStr"/>
    </row>
    <row r="225">
      <c r="A225" s="13">
        <f>IF(BANK_RAW!A225="","",ROW()-1)</f>
        <v/>
      </c>
      <c r="B225" s="10">
        <f>IF(BANK_RAW!A225="","",IF(ISNUMBER(BANK_RAW!A225),BANK_RAW!A225,DATEVALUE(TEXT(BANK_RAW!A225,"YYYY-MM-DD"))))</f>
        <v/>
      </c>
      <c r="C225" s="11">
        <f>IF(BANK_RAW!A225="","",TRIM(BANK_RAW!B225))</f>
        <v/>
      </c>
      <c r="D225" s="11">
        <f>IF(BANK_RAW!A225="","",TRIM(BANK_RAW!C225))</f>
        <v/>
      </c>
      <c r="E225" s="12">
        <f>IF(BANK_RAW!A225="","",IFERROR(ABS(BANK_RAW!D225),0))</f>
        <v/>
      </c>
      <c r="F225" s="12">
        <f>IF(BANK_RAW!A225="","",IFERROR(ABS(BANK_RAW!E225),0))</f>
        <v/>
      </c>
      <c r="G225" s="12">
        <f>IF(BANK_RAW!A225="","",IFERROR(BANK_RAW!F225,0))</f>
        <v/>
      </c>
      <c r="H225" s="11">
        <f>IF(BANK_RAW!A225="","",IF(E225&gt;0,"CR",IF(F225&gt;0,"DR","CR")))</f>
        <v/>
      </c>
      <c r="I225" s="12">
        <f>IF(BANK_RAW!A225="","",E225-F225)</f>
        <v/>
      </c>
      <c r="J225" s="12">
        <f>IF(BANK_RAW!A225="","",ABS(I225))</f>
        <v/>
      </c>
      <c r="K225" s="11">
        <f>IF(BANK_RAW!A225="","",IF(H225="CR","IN","OUT"))</f>
        <v/>
      </c>
      <c r="L225" s="11" t="inlineStr"/>
      <c r="M225" s="11" t="inlineStr"/>
    </row>
    <row r="226">
      <c r="A226" s="13">
        <f>IF(BANK_RAW!A226="","",ROW()-1)</f>
        <v/>
      </c>
      <c r="B226" s="10">
        <f>IF(BANK_RAW!A226="","",IF(ISNUMBER(BANK_RAW!A226),BANK_RAW!A226,DATEVALUE(TEXT(BANK_RAW!A226,"YYYY-MM-DD"))))</f>
        <v/>
      </c>
      <c r="C226" s="11">
        <f>IF(BANK_RAW!A226="","",TRIM(BANK_RAW!B226))</f>
        <v/>
      </c>
      <c r="D226" s="11">
        <f>IF(BANK_RAW!A226="","",TRIM(BANK_RAW!C226))</f>
        <v/>
      </c>
      <c r="E226" s="12">
        <f>IF(BANK_RAW!A226="","",IFERROR(ABS(BANK_RAW!D226),0))</f>
        <v/>
      </c>
      <c r="F226" s="12">
        <f>IF(BANK_RAW!A226="","",IFERROR(ABS(BANK_RAW!E226),0))</f>
        <v/>
      </c>
      <c r="G226" s="12">
        <f>IF(BANK_RAW!A226="","",IFERROR(BANK_RAW!F226,0))</f>
        <v/>
      </c>
      <c r="H226" s="11">
        <f>IF(BANK_RAW!A226="","",IF(E226&gt;0,"CR",IF(F226&gt;0,"DR","CR")))</f>
        <v/>
      </c>
      <c r="I226" s="12">
        <f>IF(BANK_RAW!A226="","",E226-F226)</f>
        <v/>
      </c>
      <c r="J226" s="12">
        <f>IF(BANK_RAW!A226="","",ABS(I226))</f>
        <v/>
      </c>
      <c r="K226" s="11">
        <f>IF(BANK_RAW!A226="","",IF(H226="CR","IN","OUT"))</f>
        <v/>
      </c>
      <c r="L226" s="11" t="inlineStr"/>
      <c r="M226" s="11" t="inlineStr"/>
    </row>
    <row r="227">
      <c r="A227" s="13">
        <f>IF(BANK_RAW!A227="","",ROW()-1)</f>
        <v/>
      </c>
      <c r="B227" s="10">
        <f>IF(BANK_RAW!A227="","",IF(ISNUMBER(BANK_RAW!A227),BANK_RAW!A227,DATEVALUE(TEXT(BANK_RAW!A227,"YYYY-MM-DD"))))</f>
        <v/>
      </c>
      <c r="C227" s="11">
        <f>IF(BANK_RAW!A227="","",TRIM(BANK_RAW!B227))</f>
        <v/>
      </c>
      <c r="D227" s="11">
        <f>IF(BANK_RAW!A227="","",TRIM(BANK_RAW!C227))</f>
        <v/>
      </c>
      <c r="E227" s="12">
        <f>IF(BANK_RAW!A227="","",IFERROR(ABS(BANK_RAW!D227),0))</f>
        <v/>
      </c>
      <c r="F227" s="12">
        <f>IF(BANK_RAW!A227="","",IFERROR(ABS(BANK_RAW!E227),0))</f>
        <v/>
      </c>
      <c r="G227" s="12">
        <f>IF(BANK_RAW!A227="","",IFERROR(BANK_RAW!F227,0))</f>
        <v/>
      </c>
      <c r="H227" s="11">
        <f>IF(BANK_RAW!A227="","",IF(E227&gt;0,"CR",IF(F227&gt;0,"DR","CR")))</f>
        <v/>
      </c>
      <c r="I227" s="12">
        <f>IF(BANK_RAW!A227="","",E227-F227)</f>
        <v/>
      </c>
      <c r="J227" s="12">
        <f>IF(BANK_RAW!A227="","",ABS(I227))</f>
        <v/>
      </c>
      <c r="K227" s="11">
        <f>IF(BANK_RAW!A227="","",IF(H227="CR","IN","OUT"))</f>
        <v/>
      </c>
      <c r="L227" s="11" t="inlineStr"/>
      <c r="M227" s="11" t="inlineStr"/>
    </row>
    <row r="228">
      <c r="A228" s="13">
        <f>IF(BANK_RAW!A228="","",ROW()-1)</f>
        <v/>
      </c>
      <c r="B228" s="10">
        <f>IF(BANK_RAW!A228="","",IF(ISNUMBER(BANK_RAW!A228),BANK_RAW!A228,DATEVALUE(TEXT(BANK_RAW!A228,"YYYY-MM-DD"))))</f>
        <v/>
      </c>
      <c r="C228" s="11">
        <f>IF(BANK_RAW!A228="","",TRIM(BANK_RAW!B228))</f>
        <v/>
      </c>
      <c r="D228" s="11">
        <f>IF(BANK_RAW!A228="","",TRIM(BANK_RAW!C228))</f>
        <v/>
      </c>
      <c r="E228" s="12">
        <f>IF(BANK_RAW!A228="","",IFERROR(ABS(BANK_RAW!D228),0))</f>
        <v/>
      </c>
      <c r="F228" s="12">
        <f>IF(BANK_RAW!A228="","",IFERROR(ABS(BANK_RAW!E228),0))</f>
        <v/>
      </c>
      <c r="G228" s="12">
        <f>IF(BANK_RAW!A228="","",IFERROR(BANK_RAW!F228,0))</f>
        <v/>
      </c>
      <c r="H228" s="11">
        <f>IF(BANK_RAW!A228="","",IF(E228&gt;0,"CR",IF(F228&gt;0,"DR","CR")))</f>
        <v/>
      </c>
      <c r="I228" s="12">
        <f>IF(BANK_RAW!A228="","",E228-F228)</f>
        <v/>
      </c>
      <c r="J228" s="12">
        <f>IF(BANK_RAW!A228="","",ABS(I228))</f>
        <v/>
      </c>
      <c r="K228" s="11">
        <f>IF(BANK_RAW!A228="","",IF(H228="CR","IN","OUT"))</f>
        <v/>
      </c>
      <c r="L228" s="11" t="inlineStr"/>
      <c r="M228" s="11" t="inlineStr"/>
    </row>
    <row r="229">
      <c r="A229" s="13">
        <f>IF(BANK_RAW!A229="","",ROW()-1)</f>
        <v/>
      </c>
      <c r="B229" s="10">
        <f>IF(BANK_RAW!A229="","",IF(ISNUMBER(BANK_RAW!A229),BANK_RAW!A229,DATEVALUE(TEXT(BANK_RAW!A229,"YYYY-MM-DD"))))</f>
        <v/>
      </c>
      <c r="C229" s="11">
        <f>IF(BANK_RAW!A229="","",TRIM(BANK_RAW!B229))</f>
        <v/>
      </c>
      <c r="D229" s="11">
        <f>IF(BANK_RAW!A229="","",TRIM(BANK_RAW!C229))</f>
        <v/>
      </c>
      <c r="E229" s="12">
        <f>IF(BANK_RAW!A229="","",IFERROR(ABS(BANK_RAW!D229),0))</f>
        <v/>
      </c>
      <c r="F229" s="12">
        <f>IF(BANK_RAW!A229="","",IFERROR(ABS(BANK_RAW!E229),0))</f>
        <v/>
      </c>
      <c r="G229" s="12">
        <f>IF(BANK_RAW!A229="","",IFERROR(BANK_RAW!F229,0))</f>
        <v/>
      </c>
      <c r="H229" s="11">
        <f>IF(BANK_RAW!A229="","",IF(E229&gt;0,"CR",IF(F229&gt;0,"DR","CR")))</f>
        <v/>
      </c>
      <c r="I229" s="12">
        <f>IF(BANK_RAW!A229="","",E229-F229)</f>
        <v/>
      </c>
      <c r="J229" s="12">
        <f>IF(BANK_RAW!A229="","",ABS(I229))</f>
        <v/>
      </c>
      <c r="K229" s="11">
        <f>IF(BANK_RAW!A229="","",IF(H229="CR","IN","OUT"))</f>
        <v/>
      </c>
      <c r="L229" s="11" t="inlineStr"/>
      <c r="M229" s="11" t="inlineStr"/>
    </row>
    <row r="230">
      <c r="A230" s="13">
        <f>IF(BANK_RAW!A230="","",ROW()-1)</f>
        <v/>
      </c>
      <c r="B230" s="10">
        <f>IF(BANK_RAW!A230="","",IF(ISNUMBER(BANK_RAW!A230),BANK_RAW!A230,DATEVALUE(TEXT(BANK_RAW!A230,"YYYY-MM-DD"))))</f>
        <v/>
      </c>
      <c r="C230" s="11">
        <f>IF(BANK_RAW!A230="","",TRIM(BANK_RAW!B230))</f>
        <v/>
      </c>
      <c r="D230" s="11">
        <f>IF(BANK_RAW!A230="","",TRIM(BANK_RAW!C230))</f>
        <v/>
      </c>
      <c r="E230" s="12">
        <f>IF(BANK_RAW!A230="","",IFERROR(ABS(BANK_RAW!D230),0))</f>
        <v/>
      </c>
      <c r="F230" s="12">
        <f>IF(BANK_RAW!A230="","",IFERROR(ABS(BANK_RAW!E230),0))</f>
        <v/>
      </c>
      <c r="G230" s="12">
        <f>IF(BANK_RAW!A230="","",IFERROR(BANK_RAW!F230,0))</f>
        <v/>
      </c>
      <c r="H230" s="11">
        <f>IF(BANK_RAW!A230="","",IF(E230&gt;0,"CR",IF(F230&gt;0,"DR","CR")))</f>
        <v/>
      </c>
      <c r="I230" s="12">
        <f>IF(BANK_RAW!A230="","",E230-F230)</f>
        <v/>
      </c>
      <c r="J230" s="12">
        <f>IF(BANK_RAW!A230="","",ABS(I230))</f>
        <v/>
      </c>
      <c r="K230" s="11">
        <f>IF(BANK_RAW!A230="","",IF(H230="CR","IN","OUT"))</f>
        <v/>
      </c>
      <c r="L230" s="11" t="inlineStr"/>
      <c r="M230" s="11" t="inlineStr"/>
    </row>
    <row r="231">
      <c r="A231" s="13">
        <f>IF(BANK_RAW!A231="","",ROW()-1)</f>
        <v/>
      </c>
      <c r="B231" s="10">
        <f>IF(BANK_RAW!A231="","",IF(ISNUMBER(BANK_RAW!A231),BANK_RAW!A231,DATEVALUE(TEXT(BANK_RAW!A231,"YYYY-MM-DD"))))</f>
        <v/>
      </c>
      <c r="C231" s="11">
        <f>IF(BANK_RAW!A231="","",TRIM(BANK_RAW!B231))</f>
        <v/>
      </c>
      <c r="D231" s="11">
        <f>IF(BANK_RAW!A231="","",TRIM(BANK_RAW!C231))</f>
        <v/>
      </c>
      <c r="E231" s="12">
        <f>IF(BANK_RAW!A231="","",IFERROR(ABS(BANK_RAW!D231),0))</f>
        <v/>
      </c>
      <c r="F231" s="12">
        <f>IF(BANK_RAW!A231="","",IFERROR(ABS(BANK_RAW!E231),0))</f>
        <v/>
      </c>
      <c r="G231" s="12">
        <f>IF(BANK_RAW!A231="","",IFERROR(BANK_RAW!F231,0))</f>
        <v/>
      </c>
      <c r="H231" s="11">
        <f>IF(BANK_RAW!A231="","",IF(E231&gt;0,"CR",IF(F231&gt;0,"DR","CR")))</f>
        <v/>
      </c>
      <c r="I231" s="12">
        <f>IF(BANK_RAW!A231="","",E231-F231)</f>
        <v/>
      </c>
      <c r="J231" s="12">
        <f>IF(BANK_RAW!A231="","",ABS(I231))</f>
        <v/>
      </c>
      <c r="K231" s="11">
        <f>IF(BANK_RAW!A231="","",IF(H231="CR","IN","OUT"))</f>
        <v/>
      </c>
      <c r="L231" s="11" t="inlineStr"/>
      <c r="M231" s="11" t="inlineStr"/>
    </row>
    <row r="232">
      <c r="A232" s="13">
        <f>IF(BANK_RAW!A232="","",ROW()-1)</f>
        <v/>
      </c>
      <c r="B232" s="10">
        <f>IF(BANK_RAW!A232="","",IF(ISNUMBER(BANK_RAW!A232),BANK_RAW!A232,DATEVALUE(TEXT(BANK_RAW!A232,"YYYY-MM-DD"))))</f>
        <v/>
      </c>
      <c r="C232" s="11">
        <f>IF(BANK_RAW!A232="","",TRIM(BANK_RAW!B232))</f>
        <v/>
      </c>
      <c r="D232" s="11">
        <f>IF(BANK_RAW!A232="","",TRIM(BANK_RAW!C232))</f>
        <v/>
      </c>
      <c r="E232" s="12">
        <f>IF(BANK_RAW!A232="","",IFERROR(ABS(BANK_RAW!D232),0))</f>
        <v/>
      </c>
      <c r="F232" s="12">
        <f>IF(BANK_RAW!A232="","",IFERROR(ABS(BANK_RAW!E232),0))</f>
        <v/>
      </c>
      <c r="G232" s="12">
        <f>IF(BANK_RAW!A232="","",IFERROR(BANK_RAW!F232,0))</f>
        <v/>
      </c>
      <c r="H232" s="11">
        <f>IF(BANK_RAW!A232="","",IF(E232&gt;0,"CR",IF(F232&gt;0,"DR","CR")))</f>
        <v/>
      </c>
      <c r="I232" s="12">
        <f>IF(BANK_RAW!A232="","",E232-F232)</f>
        <v/>
      </c>
      <c r="J232" s="12">
        <f>IF(BANK_RAW!A232="","",ABS(I232))</f>
        <v/>
      </c>
      <c r="K232" s="11">
        <f>IF(BANK_RAW!A232="","",IF(H232="CR","IN","OUT"))</f>
        <v/>
      </c>
      <c r="L232" s="11" t="inlineStr"/>
      <c r="M232" s="11" t="inlineStr"/>
    </row>
    <row r="233">
      <c r="A233" s="13">
        <f>IF(BANK_RAW!A233="","",ROW()-1)</f>
        <v/>
      </c>
      <c r="B233" s="10">
        <f>IF(BANK_RAW!A233="","",IF(ISNUMBER(BANK_RAW!A233),BANK_RAW!A233,DATEVALUE(TEXT(BANK_RAW!A233,"YYYY-MM-DD"))))</f>
        <v/>
      </c>
      <c r="C233" s="11">
        <f>IF(BANK_RAW!A233="","",TRIM(BANK_RAW!B233))</f>
        <v/>
      </c>
      <c r="D233" s="11">
        <f>IF(BANK_RAW!A233="","",TRIM(BANK_RAW!C233))</f>
        <v/>
      </c>
      <c r="E233" s="12">
        <f>IF(BANK_RAW!A233="","",IFERROR(ABS(BANK_RAW!D233),0))</f>
        <v/>
      </c>
      <c r="F233" s="12">
        <f>IF(BANK_RAW!A233="","",IFERROR(ABS(BANK_RAW!E233),0))</f>
        <v/>
      </c>
      <c r="G233" s="12">
        <f>IF(BANK_RAW!A233="","",IFERROR(BANK_RAW!F233,0))</f>
        <v/>
      </c>
      <c r="H233" s="11">
        <f>IF(BANK_RAW!A233="","",IF(E233&gt;0,"CR",IF(F233&gt;0,"DR","CR")))</f>
        <v/>
      </c>
      <c r="I233" s="12">
        <f>IF(BANK_RAW!A233="","",E233-F233)</f>
        <v/>
      </c>
      <c r="J233" s="12">
        <f>IF(BANK_RAW!A233="","",ABS(I233))</f>
        <v/>
      </c>
      <c r="K233" s="11">
        <f>IF(BANK_RAW!A233="","",IF(H233="CR","IN","OUT"))</f>
        <v/>
      </c>
      <c r="L233" s="11" t="inlineStr"/>
      <c r="M233" s="11" t="inlineStr"/>
    </row>
    <row r="234">
      <c r="A234" s="13">
        <f>IF(BANK_RAW!A234="","",ROW()-1)</f>
        <v/>
      </c>
      <c r="B234" s="10">
        <f>IF(BANK_RAW!A234="","",IF(ISNUMBER(BANK_RAW!A234),BANK_RAW!A234,DATEVALUE(TEXT(BANK_RAW!A234,"YYYY-MM-DD"))))</f>
        <v/>
      </c>
      <c r="C234" s="11">
        <f>IF(BANK_RAW!A234="","",TRIM(BANK_RAW!B234))</f>
        <v/>
      </c>
      <c r="D234" s="11">
        <f>IF(BANK_RAW!A234="","",TRIM(BANK_RAW!C234))</f>
        <v/>
      </c>
      <c r="E234" s="12">
        <f>IF(BANK_RAW!A234="","",IFERROR(ABS(BANK_RAW!D234),0))</f>
        <v/>
      </c>
      <c r="F234" s="12">
        <f>IF(BANK_RAW!A234="","",IFERROR(ABS(BANK_RAW!E234),0))</f>
        <v/>
      </c>
      <c r="G234" s="12">
        <f>IF(BANK_RAW!A234="","",IFERROR(BANK_RAW!F234,0))</f>
        <v/>
      </c>
      <c r="H234" s="11">
        <f>IF(BANK_RAW!A234="","",IF(E234&gt;0,"CR",IF(F234&gt;0,"DR","CR")))</f>
        <v/>
      </c>
      <c r="I234" s="12">
        <f>IF(BANK_RAW!A234="","",E234-F234)</f>
        <v/>
      </c>
      <c r="J234" s="12">
        <f>IF(BANK_RAW!A234="","",ABS(I234))</f>
        <v/>
      </c>
      <c r="K234" s="11">
        <f>IF(BANK_RAW!A234="","",IF(H234="CR","IN","OUT"))</f>
        <v/>
      </c>
      <c r="L234" s="11" t="inlineStr"/>
      <c r="M234" s="11" t="inlineStr"/>
    </row>
    <row r="235">
      <c r="A235" s="13">
        <f>IF(BANK_RAW!A235="","",ROW()-1)</f>
        <v/>
      </c>
      <c r="B235" s="10">
        <f>IF(BANK_RAW!A235="","",IF(ISNUMBER(BANK_RAW!A235),BANK_RAW!A235,DATEVALUE(TEXT(BANK_RAW!A235,"YYYY-MM-DD"))))</f>
        <v/>
      </c>
      <c r="C235" s="11">
        <f>IF(BANK_RAW!A235="","",TRIM(BANK_RAW!B235))</f>
        <v/>
      </c>
      <c r="D235" s="11">
        <f>IF(BANK_RAW!A235="","",TRIM(BANK_RAW!C235))</f>
        <v/>
      </c>
      <c r="E235" s="12">
        <f>IF(BANK_RAW!A235="","",IFERROR(ABS(BANK_RAW!D235),0))</f>
        <v/>
      </c>
      <c r="F235" s="12">
        <f>IF(BANK_RAW!A235="","",IFERROR(ABS(BANK_RAW!E235),0))</f>
        <v/>
      </c>
      <c r="G235" s="12">
        <f>IF(BANK_RAW!A235="","",IFERROR(BANK_RAW!F235,0))</f>
        <v/>
      </c>
      <c r="H235" s="11">
        <f>IF(BANK_RAW!A235="","",IF(E235&gt;0,"CR",IF(F235&gt;0,"DR","CR")))</f>
        <v/>
      </c>
      <c r="I235" s="12">
        <f>IF(BANK_RAW!A235="","",E235-F235)</f>
        <v/>
      </c>
      <c r="J235" s="12">
        <f>IF(BANK_RAW!A235="","",ABS(I235))</f>
        <v/>
      </c>
      <c r="K235" s="11">
        <f>IF(BANK_RAW!A235="","",IF(H235="CR","IN","OUT"))</f>
        <v/>
      </c>
      <c r="L235" s="11" t="inlineStr"/>
      <c r="M235" s="11" t="inlineStr"/>
    </row>
    <row r="236">
      <c r="A236" s="13">
        <f>IF(BANK_RAW!A236="","",ROW()-1)</f>
        <v/>
      </c>
      <c r="B236" s="10">
        <f>IF(BANK_RAW!A236="","",IF(ISNUMBER(BANK_RAW!A236),BANK_RAW!A236,DATEVALUE(TEXT(BANK_RAW!A236,"YYYY-MM-DD"))))</f>
        <v/>
      </c>
      <c r="C236" s="11">
        <f>IF(BANK_RAW!A236="","",TRIM(BANK_RAW!B236))</f>
        <v/>
      </c>
      <c r="D236" s="11">
        <f>IF(BANK_RAW!A236="","",TRIM(BANK_RAW!C236))</f>
        <v/>
      </c>
      <c r="E236" s="12">
        <f>IF(BANK_RAW!A236="","",IFERROR(ABS(BANK_RAW!D236),0))</f>
        <v/>
      </c>
      <c r="F236" s="12">
        <f>IF(BANK_RAW!A236="","",IFERROR(ABS(BANK_RAW!E236),0))</f>
        <v/>
      </c>
      <c r="G236" s="12">
        <f>IF(BANK_RAW!A236="","",IFERROR(BANK_RAW!F236,0))</f>
        <v/>
      </c>
      <c r="H236" s="11">
        <f>IF(BANK_RAW!A236="","",IF(E236&gt;0,"CR",IF(F236&gt;0,"DR","CR")))</f>
        <v/>
      </c>
      <c r="I236" s="12">
        <f>IF(BANK_RAW!A236="","",E236-F236)</f>
        <v/>
      </c>
      <c r="J236" s="12">
        <f>IF(BANK_RAW!A236="","",ABS(I236))</f>
        <v/>
      </c>
      <c r="K236" s="11">
        <f>IF(BANK_RAW!A236="","",IF(H236="CR","IN","OUT"))</f>
        <v/>
      </c>
      <c r="L236" s="11" t="inlineStr"/>
      <c r="M236" s="11" t="inlineStr"/>
    </row>
    <row r="237">
      <c r="A237" s="13">
        <f>IF(BANK_RAW!A237="","",ROW()-1)</f>
        <v/>
      </c>
      <c r="B237" s="10">
        <f>IF(BANK_RAW!A237="","",IF(ISNUMBER(BANK_RAW!A237),BANK_RAW!A237,DATEVALUE(TEXT(BANK_RAW!A237,"YYYY-MM-DD"))))</f>
        <v/>
      </c>
      <c r="C237" s="11">
        <f>IF(BANK_RAW!A237="","",TRIM(BANK_RAW!B237))</f>
        <v/>
      </c>
      <c r="D237" s="11">
        <f>IF(BANK_RAW!A237="","",TRIM(BANK_RAW!C237))</f>
        <v/>
      </c>
      <c r="E237" s="12">
        <f>IF(BANK_RAW!A237="","",IFERROR(ABS(BANK_RAW!D237),0))</f>
        <v/>
      </c>
      <c r="F237" s="12">
        <f>IF(BANK_RAW!A237="","",IFERROR(ABS(BANK_RAW!E237),0))</f>
        <v/>
      </c>
      <c r="G237" s="12">
        <f>IF(BANK_RAW!A237="","",IFERROR(BANK_RAW!F237,0))</f>
        <v/>
      </c>
      <c r="H237" s="11">
        <f>IF(BANK_RAW!A237="","",IF(E237&gt;0,"CR",IF(F237&gt;0,"DR","CR")))</f>
        <v/>
      </c>
      <c r="I237" s="12">
        <f>IF(BANK_RAW!A237="","",E237-F237)</f>
        <v/>
      </c>
      <c r="J237" s="12">
        <f>IF(BANK_RAW!A237="","",ABS(I237))</f>
        <v/>
      </c>
      <c r="K237" s="11">
        <f>IF(BANK_RAW!A237="","",IF(H237="CR","IN","OUT"))</f>
        <v/>
      </c>
      <c r="L237" s="11" t="inlineStr"/>
      <c r="M237" s="11" t="inlineStr"/>
    </row>
    <row r="238">
      <c r="A238" s="13">
        <f>IF(BANK_RAW!A238="","",ROW()-1)</f>
        <v/>
      </c>
      <c r="B238" s="10">
        <f>IF(BANK_RAW!A238="","",IF(ISNUMBER(BANK_RAW!A238),BANK_RAW!A238,DATEVALUE(TEXT(BANK_RAW!A238,"YYYY-MM-DD"))))</f>
        <v/>
      </c>
      <c r="C238" s="11">
        <f>IF(BANK_RAW!A238="","",TRIM(BANK_RAW!B238))</f>
        <v/>
      </c>
      <c r="D238" s="11">
        <f>IF(BANK_RAW!A238="","",TRIM(BANK_RAW!C238))</f>
        <v/>
      </c>
      <c r="E238" s="12">
        <f>IF(BANK_RAW!A238="","",IFERROR(ABS(BANK_RAW!D238),0))</f>
        <v/>
      </c>
      <c r="F238" s="12">
        <f>IF(BANK_RAW!A238="","",IFERROR(ABS(BANK_RAW!E238),0))</f>
        <v/>
      </c>
      <c r="G238" s="12">
        <f>IF(BANK_RAW!A238="","",IFERROR(BANK_RAW!F238,0))</f>
        <v/>
      </c>
      <c r="H238" s="11">
        <f>IF(BANK_RAW!A238="","",IF(E238&gt;0,"CR",IF(F238&gt;0,"DR","CR")))</f>
        <v/>
      </c>
      <c r="I238" s="12">
        <f>IF(BANK_RAW!A238="","",E238-F238)</f>
        <v/>
      </c>
      <c r="J238" s="12">
        <f>IF(BANK_RAW!A238="","",ABS(I238))</f>
        <v/>
      </c>
      <c r="K238" s="11">
        <f>IF(BANK_RAW!A238="","",IF(H238="CR","IN","OUT"))</f>
        <v/>
      </c>
      <c r="L238" s="11" t="inlineStr"/>
      <c r="M238" s="11" t="inlineStr"/>
    </row>
    <row r="239">
      <c r="A239" s="13">
        <f>IF(BANK_RAW!A239="","",ROW()-1)</f>
        <v/>
      </c>
      <c r="B239" s="10">
        <f>IF(BANK_RAW!A239="","",IF(ISNUMBER(BANK_RAW!A239),BANK_RAW!A239,DATEVALUE(TEXT(BANK_RAW!A239,"YYYY-MM-DD"))))</f>
        <v/>
      </c>
      <c r="C239" s="11">
        <f>IF(BANK_RAW!A239="","",TRIM(BANK_RAW!B239))</f>
        <v/>
      </c>
      <c r="D239" s="11">
        <f>IF(BANK_RAW!A239="","",TRIM(BANK_RAW!C239))</f>
        <v/>
      </c>
      <c r="E239" s="12">
        <f>IF(BANK_RAW!A239="","",IFERROR(ABS(BANK_RAW!D239),0))</f>
        <v/>
      </c>
      <c r="F239" s="12">
        <f>IF(BANK_RAW!A239="","",IFERROR(ABS(BANK_RAW!E239),0))</f>
        <v/>
      </c>
      <c r="G239" s="12">
        <f>IF(BANK_RAW!A239="","",IFERROR(BANK_RAW!F239,0))</f>
        <v/>
      </c>
      <c r="H239" s="11">
        <f>IF(BANK_RAW!A239="","",IF(E239&gt;0,"CR",IF(F239&gt;0,"DR","CR")))</f>
        <v/>
      </c>
      <c r="I239" s="12">
        <f>IF(BANK_RAW!A239="","",E239-F239)</f>
        <v/>
      </c>
      <c r="J239" s="12">
        <f>IF(BANK_RAW!A239="","",ABS(I239))</f>
        <v/>
      </c>
      <c r="K239" s="11">
        <f>IF(BANK_RAW!A239="","",IF(H239="CR","IN","OUT"))</f>
        <v/>
      </c>
      <c r="L239" s="11" t="inlineStr"/>
      <c r="M239" s="11" t="inlineStr"/>
    </row>
    <row r="240">
      <c r="A240" s="13">
        <f>IF(BANK_RAW!A240="","",ROW()-1)</f>
        <v/>
      </c>
      <c r="B240" s="10">
        <f>IF(BANK_RAW!A240="","",IF(ISNUMBER(BANK_RAW!A240),BANK_RAW!A240,DATEVALUE(TEXT(BANK_RAW!A240,"YYYY-MM-DD"))))</f>
        <v/>
      </c>
      <c r="C240" s="11">
        <f>IF(BANK_RAW!A240="","",TRIM(BANK_RAW!B240))</f>
        <v/>
      </c>
      <c r="D240" s="11">
        <f>IF(BANK_RAW!A240="","",TRIM(BANK_RAW!C240))</f>
        <v/>
      </c>
      <c r="E240" s="12">
        <f>IF(BANK_RAW!A240="","",IFERROR(ABS(BANK_RAW!D240),0))</f>
        <v/>
      </c>
      <c r="F240" s="12">
        <f>IF(BANK_RAW!A240="","",IFERROR(ABS(BANK_RAW!E240),0))</f>
        <v/>
      </c>
      <c r="G240" s="12">
        <f>IF(BANK_RAW!A240="","",IFERROR(BANK_RAW!F240,0))</f>
        <v/>
      </c>
      <c r="H240" s="11">
        <f>IF(BANK_RAW!A240="","",IF(E240&gt;0,"CR",IF(F240&gt;0,"DR","CR")))</f>
        <v/>
      </c>
      <c r="I240" s="12">
        <f>IF(BANK_RAW!A240="","",E240-F240)</f>
        <v/>
      </c>
      <c r="J240" s="12">
        <f>IF(BANK_RAW!A240="","",ABS(I240))</f>
        <v/>
      </c>
      <c r="K240" s="11">
        <f>IF(BANK_RAW!A240="","",IF(H240="CR","IN","OUT"))</f>
        <v/>
      </c>
      <c r="L240" s="11" t="inlineStr"/>
      <c r="M240" s="11" t="inlineStr"/>
    </row>
    <row r="241">
      <c r="A241" s="13">
        <f>IF(BANK_RAW!A241="","",ROW()-1)</f>
        <v/>
      </c>
      <c r="B241" s="10">
        <f>IF(BANK_RAW!A241="","",IF(ISNUMBER(BANK_RAW!A241),BANK_RAW!A241,DATEVALUE(TEXT(BANK_RAW!A241,"YYYY-MM-DD"))))</f>
        <v/>
      </c>
      <c r="C241" s="11">
        <f>IF(BANK_RAW!A241="","",TRIM(BANK_RAW!B241))</f>
        <v/>
      </c>
      <c r="D241" s="11">
        <f>IF(BANK_RAW!A241="","",TRIM(BANK_RAW!C241))</f>
        <v/>
      </c>
      <c r="E241" s="12">
        <f>IF(BANK_RAW!A241="","",IFERROR(ABS(BANK_RAW!D241),0))</f>
        <v/>
      </c>
      <c r="F241" s="12">
        <f>IF(BANK_RAW!A241="","",IFERROR(ABS(BANK_RAW!E241),0))</f>
        <v/>
      </c>
      <c r="G241" s="12">
        <f>IF(BANK_RAW!A241="","",IFERROR(BANK_RAW!F241,0))</f>
        <v/>
      </c>
      <c r="H241" s="11">
        <f>IF(BANK_RAW!A241="","",IF(E241&gt;0,"CR",IF(F241&gt;0,"DR","CR")))</f>
        <v/>
      </c>
      <c r="I241" s="12">
        <f>IF(BANK_RAW!A241="","",E241-F241)</f>
        <v/>
      </c>
      <c r="J241" s="12">
        <f>IF(BANK_RAW!A241="","",ABS(I241))</f>
        <v/>
      </c>
      <c r="K241" s="11">
        <f>IF(BANK_RAW!A241="","",IF(H241="CR","IN","OUT"))</f>
        <v/>
      </c>
      <c r="L241" s="11" t="inlineStr"/>
      <c r="M241" s="11" t="inlineStr"/>
    </row>
    <row r="242">
      <c r="A242" s="13">
        <f>IF(BANK_RAW!A242="","",ROW()-1)</f>
        <v/>
      </c>
      <c r="B242" s="10">
        <f>IF(BANK_RAW!A242="","",IF(ISNUMBER(BANK_RAW!A242),BANK_RAW!A242,DATEVALUE(TEXT(BANK_RAW!A242,"YYYY-MM-DD"))))</f>
        <v/>
      </c>
      <c r="C242" s="11">
        <f>IF(BANK_RAW!A242="","",TRIM(BANK_RAW!B242))</f>
        <v/>
      </c>
      <c r="D242" s="11">
        <f>IF(BANK_RAW!A242="","",TRIM(BANK_RAW!C242))</f>
        <v/>
      </c>
      <c r="E242" s="12">
        <f>IF(BANK_RAW!A242="","",IFERROR(ABS(BANK_RAW!D242),0))</f>
        <v/>
      </c>
      <c r="F242" s="12">
        <f>IF(BANK_RAW!A242="","",IFERROR(ABS(BANK_RAW!E242),0))</f>
        <v/>
      </c>
      <c r="G242" s="12">
        <f>IF(BANK_RAW!A242="","",IFERROR(BANK_RAW!F242,0))</f>
        <v/>
      </c>
      <c r="H242" s="11">
        <f>IF(BANK_RAW!A242="","",IF(E242&gt;0,"CR",IF(F242&gt;0,"DR","CR")))</f>
        <v/>
      </c>
      <c r="I242" s="12">
        <f>IF(BANK_RAW!A242="","",E242-F242)</f>
        <v/>
      </c>
      <c r="J242" s="12">
        <f>IF(BANK_RAW!A242="","",ABS(I242))</f>
        <v/>
      </c>
      <c r="K242" s="11">
        <f>IF(BANK_RAW!A242="","",IF(H242="CR","IN","OUT"))</f>
        <v/>
      </c>
      <c r="L242" s="11" t="inlineStr"/>
      <c r="M242" s="11" t="inlineStr"/>
    </row>
    <row r="243">
      <c r="A243" s="13">
        <f>IF(BANK_RAW!A243="","",ROW()-1)</f>
        <v/>
      </c>
      <c r="B243" s="10">
        <f>IF(BANK_RAW!A243="","",IF(ISNUMBER(BANK_RAW!A243),BANK_RAW!A243,DATEVALUE(TEXT(BANK_RAW!A243,"YYYY-MM-DD"))))</f>
        <v/>
      </c>
      <c r="C243" s="11">
        <f>IF(BANK_RAW!A243="","",TRIM(BANK_RAW!B243))</f>
        <v/>
      </c>
      <c r="D243" s="11">
        <f>IF(BANK_RAW!A243="","",TRIM(BANK_RAW!C243))</f>
        <v/>
      </c>
      <c r="E243" s="12">
        <f>IF(BANK_RAW!A243="","",IFERROR(ABS(BANK_RAW!D243),0))</f>
        <v/>
      </c>
      <c r="F243" s="12">
        <f>IF(BANK_RAW!A243="","",IFERROR(ABS(BANK_RAW!E243),0))</f>
        <v/>
      </c>
      <c r="G243" s="12">
        <f>IF(BANK_RAW!A243="","",IFERROR(BANK_RAW!F243,0))</f>
        <v/>
      </c>
      <c r="H243" s="11">
        <f>IF(BANK_RAW!A243="","",IF(E243&gt;0,"CR",IF(F243&gt;0,"DR","CR")))</f>
        <v/>
      </c>
      <c r="I243" s="12">
        <f>IF(BANK_RAW!A243="","",E243-F243)</f>
        <v/>
      </c>
      <c r="J243" s="12">
        <f>IF(BANK_RAW!A243="","",ABS(I243))</f>
        <v/>
      </c>
      <c r="K243" s="11">
        <f>IF(BANK_RAW!A243="","",IF(H243="CR","IN","OUT"))</f>
        <v/>
      </c>
      <c r="L243" s="11" t="inlineStr"/>
      <c r="M243" s="11" t="inlineStr"/>
    </row>
    <row r="244">
      <c r="A244" s="13">
        <f>IF(BANK_RAW!A244="","",ROW()-1)</f>
        <v/>
      </c>
      <c r="B244" s="10">
        <f>IF(BANK_RAW!A244="","",IF(ISNUMBER(BANK_RAW!A244),BANK_RAW!A244,DATEVALUE(TEXT(BANK_RAW!A244,"YYYY-MM-DD"))))</f>
        <v/>
      </c>
      <c r="C244" s="11">
        <f>IF(BANK_RAW!A244="","",TRIM(BANK_RAW!B244))</f>
        <v/>
      </c>
      <c r="D244" s="11">
        <f>IF(BANK_RAW!A244="","",TRIM(BANK_RAW!C244))</f>
        <v/>
      </c>
      <c r="E244" s="12">
        <f>IF(BANK_RAW!A244="","",IFERROR(ABS(BANK_RAW!D244),0))</f>
        <v/>
      </c>
      <c r="F244" s="12">
        <f>IF(BANK_RAW!A244="","",IFERROR(ABS(BANK_RAW!E244),0))</f>
        <v/>
      </c>
      <c r="G244" s="12">
        <f>IF(BANK_RAW!A244="","",IFERROR(BANK_RAW!F244,0))</f>
        <v/>
      </c>
      <c r="H244" s="11">
        <f>IF(BANK_RAW!A244="","",IF(E244&gt;0,"CR",IF(F244&gt;0,"DR","CR")))</f>
        <v/>
      </c>
      <c r="I244" s="12">
        <f>IF(BANK_RAW!A244="","",E244-F244)</f>
        <v/>
      </c>
      <c r="J244" s="12">
        <f>IF(BANK_RAW!A244="","",ABS(I244))</f>
        <v/>
      </c>
      <c r="K244" s="11">
        <f>IF(BANK_RAW!A244="","",IF(H244="CR","IN","OUT"))</f>
        <v/>
      </c>
      <c r="L244" s="11" t="inlineStr"/>
      <c r="M244" s="11" t="inlineStr"/>
    </row>
    <row r="245">
      <c r="A245" s="13">
        <f>IF(BANK_RAW!A245="","",ROW()-1)</f>
        <v/>
      </c>
      <c r="B245" s="10">
        <f>IF(BANK_RAW!A245="","",IF(ISNUMBER(BANK_RAW!A245),BANK_RAW!A245,DATEVALUE(TEXT(BANK_RAW!A245,"YYYY-MM-DD"))))</f>
        <v/>
      </c>
      <c r="C245" s="11">
        <f>IF(BANK_RAW!A245="","",TRIM(BANK_RAW!B245))</f>
        <v/>
      </c>
      <c r="D245" s="11">
        <f>IF(BANK_RAW!A245="","",TRIM(BANK_RAW!C245))</f>
        <v/>
      </c>
      <c r="E245" s="12">
        <f>IF(BANK_RAW!A245="","",IFERROR(ABS(BANK_RAW!D245),0))</f>
        <v/>
      </c>
      <c r="F245" s="12">
        <f>IF(BANK_RAW!A245="","",IFERROR(ABS(BANK_RAW!E245),0))</f>
        <v/>
      </c>
      <c r="G245" s="12">
        <f>IF(BANK_RAW!A245="","",IFERROR(BANK_RAW!F245,0))</f>
        <v/>
      </c>
      <c r="H245" s="11">
        <f>IF(BANK_RAW!A245="","",IF(E245&gt;0,"CR",IF(F245&gt;0,"DR","CR")))</f>
        <v/>
      </c>
      <c r="I245" s="12">
        <f>IF(BANK_RAW!A245="","",E245-F245)</f>
        <v/>
      </c>
      <c r="J245" s="12">
        <f>IF(BANK_RAW!A245="","",ABS(I245))</f>
        <v/>
      </c>
      <c r="K245" s="11">
        <f>IF(BANK_RAW!A245="","",IF(H245="CR","IN","OUT"))</f>
        <v/>
      </c>
      <c r="L245" s="11" t="inlineStr"/>
      <c r="M245" s="11" t="inlineStr"/>
    </row>
    <row r="246">
      <c r="A246" s="13">
        <f>IF(BANK_RAW!A246="","",ROW()-1)</f>
        <v/>
      </c>
      <c r="B246" s="10">
        <f>IF(BANK_RAW!A246="","",IF(ISNUMBER(BANK_RAW!A246),BANK_RAW!A246,DATEVALUE(TEXT(BANK_RAW!A246,"YYYY-MM-DD"))))</f>
        <v/>
      </c>
      <c r="C246" s="11">
        <f>IF(BANK_RAW!A246="","",TRIM(BANK_RAW!B246))</f>
        <v/>
      </c>
      <c r="D246" s="11">
        <f>IF(BANK_RAW!A246="","",TRIM(BANK_RAW!C246))</f>
        <v/>
      </c>
      <c r="E246" s="12">
        <f>IF(BANK_RAW!A246="","",IFERROR(ABS(BANK_RAW!D246),0))</f>
        <v/>
      </c>
      <c r="F246" s="12">
        <f>IF(BANK_RAW!A246="","",IFERROR(ABS(BANK_RAW!E246),0))</f>
        <v/>
      </c>
      <c r="G246" s="12">
        <f>IF(BANK_RAW!A246="","",IFERROR(BANK_RAW!F246,0))</f>
        <v/>
      </c>
      <c r="H246" s="11">
        <f>IF(BANK_RAW!A246="","",IF(E246&gt;0,"CR",IF(F246&gt;0,"DR","CR")))</f>
        <v/>
      </c>
      <c r="I246" s="12">
        <f>IF(BANK_RAW!A246="","",E246-F246)</f>
        <v/>
      </c>
      <c r="J246" s="12">
        <f>IF(BANK_RAW!A246="","",ABS(I246))</f>
        <v/>
      </c>
      <c r="K246" s="11">
        <f>IF(BANK_RAW!A246="","",IF(H246="CR","IN","OUT"))</f>
        <v/>
      </c>
      <c r="L246" s="11" t="inlineStr"/>
      <c r="M246" s="11" t="inlineStr"/>
    </row>
    <row r="247">
      <c r="A247" s="13">
        <f>IF(BANK_RAW!A247="","",ROW()-1)</f>
        <v/>
      </c>
      <c r="B247" s="10">
        <f>IF(BANK_RAW!A247="","",IF(ISNUMBER(BANK_RAW!A247),BANK_RAW!A247,DATEVALUE(TEXT(BANK_RAW!A247,"YYYY-MM-DD"))))</f>
        <v/>
      </c>
      <c r="C247" s="11">
        <f>IF(BANK_RAW!A247="","",TRIM(BANK_RAW!B247))</f>
        <v/>
      </c>
      <c r="D247" s="11">
        <f>IF(BANK_RAW!A247="","",TRIM(BANK_RAW!C247))</f>
        <v/>
      </c>
      <c r="E247" s="12">
        <f>IF(BANK_RAW!A247="","",IFERROR(ABS(BANK_RAW!D247),0))</f>
        <v/>
      </c>
      <c r="F247" s="12">
        <f>IF(BANK_RAW!A247="","",IFERROR(ABS(BANK_RAW!E247),0))</f>
        <v/>
      </c>
      <c r="G247" s="12">
        <f>IF(BANK_RAW!A247="","",IFERROR(BANK_RAW!F247,0))</f>
        <v/>
      </c>
      <c r="H247" s="11">
        <f>IF(BANK_RAW!A247="","",IF(E247&gt;0,"CR",IF(F247&gt;0,"DR","CR")))</f>
        <v/>
      </c>
      <c r="I247" s="12">
        <f>IF(BANK_RAW!A247="","",E247-F247)</f>
        <v/>
      </c>
      <c r="J247" s="12">
        <f>IF(BANK_RAW!A247="","",ABS(I247))</f>
        <v/>
      </c>
      <c r="K247" s="11">
        <f>IF(BANK_RAW!A247="","",IF(H247="CR","IN","OUT"))</f>
        <v/>
      </c>
      <c r="L247" s="11" t="inlineStr"/>
      <c r="M247" s="11" t="inlineStr"/>
    </row>
    <row r="248">
      <c r="A248" s="13">
        <f>IF(BANK_RAW!A248="","",ROW()-1)</f>
        <v/>
      </c>
      <c r="B248" s="10">
        <f>IF(BANK_RAW!A248="","",IF(ISNUMBER(BANK_RAW!A248),BANK_RAW!A248,DATEVALUE(TEXT(BANK_RAW!A248,"YYYY-MM-DD"))))</f>
        <v/>
      </c>
      <c r="C248" s="11">
        <f>IF(BANK_RAW!A248="","",TRIM(BANK_RAW!B248))</f>
        <v/>
      </c>
      <c r="D248" s="11">
        <f>IF(BANK_RAW!A248="","",TRIM(BANK_RAW!C248))</f>
        <v/>
      </c>
      <c r="E248" s="12">
        <f>IF(BANK_RAW!A248="","",IFERROR(ABS(BANK_RAW!D248),0))</f>
        <v/>
      </c>
      <c r="F248" s="12">
        <f>IF(BANK_RAW!A248="","",IFERROR(ABS(BANK_RAW!E248),0))</f>
        <v/>
      </c>
      <c r="G248" s="12">
        <f>IF(BANK_RAW!A248="","",IFERROR(BANK_RAW!F248,0))</f>
        <v/>
      </c>
      <c r="H248" s="11">
        <f>IF(BANK_RAW!A248="","",IF(E248&gt;0,"CR",IF(F248&gt;0,"DR","CR")))</f>
        <v/>
      </c>
      <c r="I248" s="12">
        <f>IF(BANK_RAW!A248="","",E248-F248)</f>
        <v/>
      </c>
      <c r="J248" s="12">
        <f>IF(BANK_RAW!A248="","",ABS(I248))</f>
        <v/>
      </c>
      <c r="K248" s="11">
        <f>IF(BANK_RAW!A248="","",IF(H248="CR","IN","OUT"))</f>
        <v/>
      </c>
      <c r="L248" s="11" t="inlineStr"/>
      <c r="M248" s="11" t="inlineStr"/>
    </row>
    <row r="249">
      <c r="A249" s="13">
        <f>IF(BANK_RAW!A249="","",ROW()-1)</f>
        <v/>
      </c>
      <c r="B249" s="10">
        <f>IF(BANK_RAW!A249="","",IF(ISNUMBER(BANK_RAW!A249),BANK_RAW!A249,DATEVALUE(TEXT(BANK_RAW!A249,"YYYY-MM-DD"))))</f>
        <v/>
      </c>
      <c r="C249" s="11">
        <f>IF(BANK_RAW!A249="","",TRIM(BANK_RAW!B249))</f>
        <v/>
      </c>
      <c r="D249" s="11">
        <f>IF(BANK_RAW!A249="","",TRIM(BANK_RAW!C249))</f>
        <v/>
      </c>
      <c r="E249" s="12">
        <f>IF(BANK_RAW!A249="","",IFERROR(ABS(BANK_RAW!D249),0))</f>
        <v/>
      </c>
      <c r="F249" s="12">
        <f>IF(BANK_RAW!A249="","",IFERROR(ABS(BANK_RAW!E249),0))</f>
        <v/>
      </c>
      <c r="G249" s="12">
        <f>IF(BANK_RAW!A249="","",IFERROR(BANK_RAW!F249,0))</f>
        <v/>
      </c>
      <c r="H249" s="11">
        <f>IF(BANK_RAW!A249="","",IF(E249&gt;0,"CR",IF(F249&gt;0,"DR","CR")))</f>
        <v/>
      </c>
      <c r="I249" s="12">
        <f>IF(BANK_RAW!A249="","",E249-F249)</f>
        <v/>
      </c>
      <c r="J249" s="12">
        <f>IF(BANK_RAW!A249="","",ABS(I249))</f>
        <v/>
      </c>
      <c r="K249" s="11">
        <f>IF(BANK_RAW!A249="","",IF(H249="CR","IN","OUT"))</f>
        <v/>
      </c>
      <c r="L249" s="11" t="inlineStr"/>
      <c r="M249" s="11" t="inlineStr"/>
    </row>
    <row r="250">
      <c r="A250" s="13">
        <f>IF(BANK_RAW!A250="","",ROW()-1)</f>
        <v/>
      </c>
      <c r="B250" s="10">
        <f>IF(BANK_RAW!A250="","",IF(ISNUMBER(BANK_RAW!A250),BANK_RAW!A250,DATEVALUE(TEXT(BANK_RAW!A250,"YYYY-MM-DD"))))</f>
        <v/>
      </c>
      <c r="C250" s="11">
        <f>IF(BANK_RAW!A250="","",TRIM(BANK_RAW!B250))</f>
        <v/>
      </c>
      <c r="D250" s="11">
        <f>IF(BANK_RAW!A250="","",TRIM(BANK_RAW!C250))</f>
        <v/>
      </c>
      <c r="E250" s="12">
        <f>IF(BANK_RAW!A250="","",IFERROR(ABS(BANK_RAW!D250),0))</f>
        <v/>
      </c>
      <c r="F250" s="12">
        <f>IF(BANK_RAW!A250="","",IFERROR(ABS(BANK_RAW!E250),0))</f>
        <v/>
      </c>
      <c r="G250" s="12">
        <f>IF(BANK_RAW!A250="","",IFERROR(BANK_RAW!F250,0))</f>
        <v/>
      </c>
      <c r="H250" s="11">
        <f>IF(BANK_RAW!A250="","",IF(E250&gt;0,"CR",IF(F250&gt;0,"DR","CR")))</f>
        <v/>
      </c>
      <c r="I250" s="12">
        <f>IF(BANK_RAW!A250="","",E250-F250)</f>
        <v/>
      </c>
      <c r="J250" s="12">
        <f>IF(BANK_RAW!A250="","",ABS(I250))</f>
        <v/>
      </c>
      <c r="K250" s="11">
        <f>IF(BANK_RAW!A250="","",IF(H250="CR","IN","OUT"))</f>
        <v/>
      </c>
      <c r="L250" s="11" t="inlineStr"/>
      <c r="M250" s="11" t="inlineStr"/>
    </row>
    <row r="251">
      <c r="A251" s="13">
        <f>IF(BANK_RAW!A251="","",ROW()-1)</f>
        <v/>
      </c>
      <c r="B251" s="10">
        <f>IF(BANK_RAW!A251="","",IF(ISNUMBER(BANK_RAW!A251),BANK_RAW!A251,DATEVALUE(TEXT(BANK_RAW!A251,"YYYY-MM-DD"))))</f>
        <v/>
      </c>
      <c r="C251" s="11">
        <f>IF(BANK_RAW!A251="","",TRIM(BANK_RAW!B251))</f>
        <v/>
      </c>
      <c r="D251" s="11">
        <f>IF(BANK_RAW!A251="","",TRIM(BANK_RAW!C251))</f>
        <v/>
      </c>
      <c r="E251" s="12">
        <f>IF(BANK_RAW!A251="","",IFERROR(ABS(BANK_RAW!D251),0))</f>
        <v/>
      </c>
      <c r="F251" s="12">
        <f>IF(BANK_RAW!A251="","",IFERROR(ABS(BANK_RAW!E251),0))</f>
        <v/>
      </c>
      <c r="G251" s="12">
        <f>IF(BANK_RAW!A251="","",IFERROR(BANK_RAW!F251,0))</f>
        <v/>
      </c>
      <c r="H251" s="11">
        <f>IF(BANK_RAW!A251="","",IF(E251&gt;0,"CR",IF(F251&gt;0,"DR","CR")))</f>
        <v/>
      </c>
      <c r="I251" s="12">
        <f>IF(BANK_RAW!A251="","",E251-F251)</f>
        <v/>
      </c>
      <c r="J251" s="12">
        <f>IF(BANK_RAW!A251="","",ABS(I251))</f>
        <v/>
      </c>
      <c r="K251" s="11">
        <f>IF(BANK_RAW!A251="","",IF(H251="CR","IN","OUT"))</f>
        <v/>
      </c>
      <c r="L251" s="11" t="inlineStr"/>
      <c r="M251" s="11" t="inlineStr"/>
    </row>
    <row r="252">
      <c r="A252" s="13">
        <f>IF(BANK_RAW!A252="","",ROW()-1)</f>
        <v/>
      </c>
      <c r="B252" s="10">
        <f>IF(BANK_RAW!A252="","",IF(ISNUMBER(BANK_RAW!A252),BANK_RAW!A252,DATEVALUE(TEXT(BANK_RAW!A252,"YYYY-MM-DD"))))</f>
        <v/>
      </c>
      <c r="C252" s="11">
        <f>IF(BANK_RAW!A252="","",TRIM(BANK_RAW!B252))</f>
        <v/>
      </c>
      <c r="D252" s="11">
        <f>IF(BANK_RAW!A252="","",TRIM(BANK_RAW!C252))</f>
        <v/>
      </c>
      <c r="E252" s="12">
        <f>IF(BANK_RAW!A252="","",IFERROR(ABS(BANK_RAW!D252),0))</f>
        <v/>
      </c>
      <c r="F252" s="12">
        <f>IF(BANK_RAW!A252="","",IFERROR(ABS(BANK_RAW!E252),0))</f>
        <v/>
      </c>
      <c r="G252" s="12">
        <f>IF(BANK_RAW!A252="","",IFERROR(BANK_RAW!F252,0))</f>
        <v/>
      </c>
      <c r="H252" s="11">
        <f>IF(BANK_RAW!A252="","",IF(E252&gt;0,"CR",IF(F252&gt;0,"DR","CR")))</f>
        <v/>
      </c>
      <c r="I252" s="12">
        <f>IF(BANK_RAW!A252="","",E252-F252)</f>
        <v/>
      </c>
      <c r="J252" s="12">
        <f>IF(BANK_RAW!A252="","",ABS(I252))</f>
        <v/>
      </c>
      <c r="K252" s="11">
        <f>IF(BANK_RAW!A252="","",IF(H252="CR","IN","OUT"))</f>
        <v/>
      </c>
      <c r="L252" s="11" t="inlineStr"/>
      <c r="M252" s="11" t="inlineStr"/>
    </row>
    <row r="253">
      <c r="A253" s="13">
        <f>IF(BANK_RAW!A253="","",ROW()-1)</f>
        <v/>
      </c>
      <c r="B253" s="10">
        <f>IF(BANK_RAW!A253="","",IF(ISNUMBER(BANK_RAW!A253),BANK_RAW!A253,DATEVALUE(TEXT(BANK_RAW!A253,"YYYY-MM-DD"))))</f>
        <v/>
      </c>
      <c r="C253" s="11">
        <f>IF(BANK_RAW!A253="","",TRIM(BANK_RAW!B253))</f>
        <v/>
      </c>
      <c r="D253" s="11">
        <f>IF(BANK_RAW!A253="","",TRIM(BANK_RAW!C253))</f>
        <v/>
      </c>
      <c r="E253" s="12">
        <f>IF(BANK_RAW!A253="","",IFERROR(ABS(BANK_RAW!D253),0))</f>
        <v/>
      </c>
      <c r="F253" s="12">
        <f>IF(BANK_RAW!A253="","",IFERROR(ABS(BANK_RAW!E253),0))</f>
        <v/>
      </c>
      <c r="G253" s="12">
        <f>IF(BANK_RAW!A253="","",IFERROR(BANK_RAW!F253,0))</f>
        <v/>
      </c>
      <c r="H253" s="11">
        <f>IF(BANK_RAW!A253="","",IF(E253&gt;0,"CR",IF(F253&gt;0,"DR","CR")))</f>
        <v/>
      </c>
      <c r="I253" s="12">
        <f>IF(BANK_RAW!A253="","",E253-F253)</f>
        <v/>
      </c>
      <c r="J253" s="12">
        <f>IF(BANK_RAW!A253="","",ABS(I253))</f>
        <v/>
      </c>
      <c r="K253" s="11">
        <f>IF(BANK_RAW!A253="","",IF(H253="CR","IN","OUT"))</f>
        <v/>
      </c>
      <c r="L253" s="11" t="inlineStr"/>
      <c r="M253" s="11" t="inlineStr"/>
    </row>
    <row r="254">
      <c r="A254" s="13">
        <f>IF(BANK_RAW!A254="","",ROW()-1)</f>
        <v/>
      </c>
      <c r="B254" s="10">
        <f>IF(BANK_RAW!A254="","",IF(ISNUMBER(BANK_RAW!A254),BANK_RAW!A254,DATEVALUE(TEXT(BANK_RAW!A254,"YYYY-MM-DD"))))</f>
        <v/>
      </c>
      <c r="C254" s="11">
        <f>IF(BANK_RAW!A254="","",TRIM(BANK_RAW!B254))</f>
        <v/>
      </c>
      <c r="D254" s="11">
        <f>IF(BANK_RAW!A254="","",TRIM(BANK_RAW!C254))</f>
        <v/>
      </c>
      <c r="E254" s="12">
        <f>IF(BANK_RAW!A254="","",IFERROR(ABS(BANK_RAW!D254),0))</f>
        <v/>
      </c>
      <c r="F254" s="12">
        <f>IF(BANK_RAW!A254="","",IFERROR(ABS(BANK_RAW!E254),0))</f>
        <v/>
      </c>
      <c r="G254" s="12">
        <f>IF(BANK_RAW!A254="","",IFERROR(BANK_RAW!F254,0))</f>
        <v/>
      </c>
      <c r="H254" s="11">
        <f>IF(BANK_RAW!A254="","",IF(E254&gt;0,"CR",IF(F254&gt;0,"DR","CR")))</f>
        <v/>
      </c>
      <c r="I254" s="12">
        <f>IF(BANK_RAW!A254="","",E254-F254)</f>
        <v/>
      </c>
      <c r="J254" s="12">
        <f>IF(BANK_RAW!A254="","",ABS(I254))</f>
        <v/>
      </c>
      <c r="K254" s="11">
        <f>IF(BANK_RAW!A254="","",IF(H254="CR","IN","OUT"))</f>
        <v/>
      </c>
      <c r="L254" s="11" t="inlineStr"/>
      <c r="M254" s="11" t="inlineStr"/>
    </row>
    <row r="255">
      <c r="A255" s="13">
        <f>IF(BANK_RAW!A255="","",ROW()-1)</f>
        <v/>
      </c>
      <c r="B255" s="10">
        <f>IF(BANK_RAW!A255="","",IF(ISNUMBER(BANK_RAW!A255),BANK_RAW!A255,DATEVALUE(TEXT(BANK_RAW!A255,"YYYY-MM-DD"))))</f>
        <v/>
      </c>
      <c r="C255" s="11">
        <f>IF(BANK_RAW!A255="","",TRIM(BANK_RAW!B255))</f>
        <v/>
      </c>
      <c r="D255" s="11">
        <f>IF(BANK_RAW!A255="","",TRIM(BANK_RAW!C255))</f>
        <v/>
      </c>
      <c r="E255" s="12">
        <f>IF(BANK_RAW!A255="","",IFERROR(ABS(BANK_RAW!D255),0))</f>
        <v/>
      </c>
      <c r="F255" s="12">
        <f>IF(BANK_RAW!A255="","",IFERROR(ABS(BANK_RAW!E255),0))</f>
        <v/>
      </c>
      <c r="G255" s="12">
        <f>IF(BANK_RAW!A255="","",IFERROR(BANK_RAW!F255,0))</f>
        <v/>
      </c>
      <c r="H255" s="11">
        <f>IF(BANK_RAW!A255="","",IF(E255&gt;0,"CR",IF(F255&gt;0,"DR","CR")))</f>
        <v/>
      </c>
      <c r="I255" s="12">
        <f>IF(BANK_RAW!A255="","",E255-F255)</f>
        <v/>
      </c>
      <c r="J255" s="12">
        <f>IF(BANK_RAW!A255="","",ABS(I255))</f>
        <v/>
      </c>
      <c r="K255" s="11">
        <f>IF(BANK_RAW!A255="","",IF(H255="CR","IN","OUT"))</f>
        <v/>
      </c>
      <c r="L255" s="11" t="inlineStr"/>
      <c r="M255" s="11" t="inlineStr"/>
    </row>
    <row r="256">
      <c r="A256" s="13">
        <f>IF(BANK_RAW!A256="","",ROW()-1)</f>
        <v/>
      </c>
      <c r="B256" s="10">
        <f>IF(BANK_RAW!A256="","",IF(ISNUMBER(BANK_RAW!A256),BANK_RAW!A256,DATEVALUE(TEXT(BANK_RAW!A256,"YYYY-MM-DD"))))</f>
        <v/>
      </c>
      <c r="C256" s="11">
        <f>IF(BANK_RAW!A256="","",TRIM(BANK_RAW!B256))</f>
        <v/>
      </c>
      <c r="D256" s="11">
        <f>IF(BANK_RAW!A256="","",TRIM(BANK_RAW!C256))</f>
        <v/>
      </c>
      <c r="E256" s="12">
        <f>IF(BANK_RAW!A256="","",IFERROR(ABS(BANK_RAW!D256),0))</f>
        <v/>
      </c>
      <c r="F256" s="12">
        <f>IF(BANK_RAW!A256="","",IFERROR(ABS(BANK_RAW!E256),0))</f>
        <v/>
      </c>
      <c r="G256" s="12">
        <f>IF(BANK_RAW!A256="","",IFERROR(BANK_RAW!F256,0))</f>
        <v/>
      </c>
      <c r="H256" s="11">
        <f>IF(BANK_RAW!A256="","",IF(E256&gt;0,"CR",IF(F256&gt;0,"DR","CR")))</f>
        <v/>
      </c>
      <c r="I256" s="12">
        <f>IF(BANK_RAW!A256="","",E256-F256)</f>
        <v/>
      </c>
      <c r="J256" s="12">
        <f>IF(BANK_RAW!A256="","",ABS(I256))</f>
        <v/>
      </c>
      <c r="K256" s="11">
        <f>IF(BANK_RAW!A256="","",IF(H256="CR","IN","OUT"))</f>
        <v/>
      </c>
      <c r="L256" s="11" t="inlineStr"/>
      <c r="M256" s="11" t="inlineStr"/>
    </row>
    <row r="257">
      <c r="A257" s="13">
        <f>IF(BANK_RAW!A257="","",ROW()-1)</f>
        <v/>
      </c>
      <c r="B257" s="10">
        <f>IF(BANK_RAW!A257="","",IF(ISNUMBER(BANK_RAW!A257),BANK_RAW!A257,DATEVALUE(TEXT(BANK_RAW!A257,"YYYY-MM-DD"))))</f>
        <v/>
      </c>
      <c r="C257" s="11">
        <f>IF(BANK_RAW!A257="","",TRIM(BANK_RAW!B257))</f>
        <v/>
      </c>
      <c r="D257" s="11">
        <f>IF(BANK_RAW!A257="","",TRIM(BANK_RAW!C257))</f>
        <v/>
      </c>
      <c r="E257" s="12">
        <f>IF(BANK_RAW!A257="","",IFERROR(ABS(BANK_RAW!D257),0))</f>
        <v/>
      </c>
      <c r="F257" s="12">
        <f>IF(BANK_RAW!A257="","",IFERROR(ABS(BANK_RAW!E257),0))</f>
        <v/>
      </c>
      <c r="G257" s="12">
        <f>IF(BANK_RAW!A257="","",IFERROR(BANK_RAW!F257,0))</f>
        <v/>
      </c>
      <c r="H257" s="11">
        <f>IF(BANK_RAW!A257="","",IF(E257&gt;0,"CR",IF(F257&gt;0,"DR","CR")))</f>
        <v/>
      </c>
      <c r="I257" s="12">
        <f>IF(BANK_RAW!A257="","",E257-F257)</f>
        <v/>
      </c>
      <c r="J257" s="12">
        <f>IF(BANK_RAW!A257="","",ABS(I257))</f>
        <v/>
      </c>
      <c r="K257" s="11">
        <f>IF(BANK_RAW!A257="","",IF(H257="CR","IN","OUT"))</f>
        <v/>
      </c>
      <c r="L257" s="11" t="inlineStr"/>
      <c r="M257" s="11" t="inlineStr"/>
    </row>
    <row r="258">
      <c r="A258" s="13">
        <f>IF(BANK_RAW!A258="","",ROW()-1)</f>
        <v/>
      </c>
      <c r="B258" s="10">
        <f>IF(BANK_RAW!A258="","",IF(ISNUMBER(BANK_RAW!A258),BANK_RAW!A258,DATEVALUE(TEXT(BANK_RAW!A258,"YYYY-MM-DD"))))</f>
        <v/>
      </c>
      <c r="C258" s="11">
        <f>IF(BANK_RAW!A258="","",TRIM(BANK_RAW!B258))</f>
        <v/>
      </c>
      <c r="D258" s="11">
        <f>IF(BANK_RAW!A258="","",TRIM(BANK_RAW!C258))</f>
        <v/>
      </c>
      <c r="E258" s="12">
        <f>IF(BANK_RAW!A258="","",IFERROR(ABS(BANK_RAW!D258),0))</f>
        <v/>
      </c>
      <c r="F258" s="12">
        <f>IF(BANK_RAW!A258="","",IFERROR(ABS(BANK_RAW!E258),0))</f>
        <v/>
      </c>
      <c r="G258" s="12">
        <f>IF(BANK_RAW!A258="","",IFERROR(BANK_RAW!F258,0))</f>
        <v/>
      </c>
      <c r="H258" s="11">
        <f>IF(BANK_RAW!A258="","",IF(E258&gt;0,"CR",IF(F258&gt;0,"DR","CR")))</f>
        <v/>
      </c>
      <c r="I258" s="12">
        <f>IF(BANK_RAW!A258="","",E258-F258)</f>
        <v/>
      </c>
      <c r="J258" s="12">
        <f>IF(BANK_RAW!A258="","",ABS(I258))</f>
        <v/>
      </c>
      <c r="K258" s="11">
        <f>IF(BANK_RAW!A258="","",IF(H258="CR","IN","OUT"))</f>
        <v/>
      </c>
      <c r="L258" s="11" t="inlineStr"/>
      <c r="M258" s="11" t="inlineStr"/>
    </row>
    <row r="259">
      <c r="A259" s="13">
        <f>IF(BANK_RAW!A259="","",ROW()-1)</f>
        <v/>
      </c>
      <c r="B259" s="10">
        <f>IF(BANK_RAW!A259="","",IF(ISNUMBER(BANK_RAW!A259),BANK_RAW!A259,DATEVALUE(TEXT(BANK_RAW!A259,"YYYY-MM-DD"))))</f>
        <v/>
      </c>
      <c r="C259" s="11">
        <f>IF(BANK_RAW!A259="","",TRIM(BANK_RAW!B259))</f>
        <v/>
      </c>
      <c r="D259" s="11">
        <f>IF(BANK_RAW!A259="","",TRIM(BANK_RAW!C259))</f>
        <v/>
      </c>
      <c r="E259" s="12">
        <f>IF(BANK_RAW!A259="","",IFERROR(ABS(BANK_RAW!D259),0))</f>
        <v/>
      </c>
      <c r="F259" s="12">
        <f>IF(BANK_RAW!A259="","",IFERROR(ABS(BANK_RAW!E259),0))</f>
        <v/>
      </c>
      <c r="G259" s="12">
        <f>IF(BANK_RAW!A259="","",IFERROR(BANK_RAW!F259,0))</f>
        <v/>
      </c>
      <c r="H259" s="11">
        <f>IF(BANK_RAW!A259="","",IF(E259&gt;0,"CR",IF(F259&gt;0,"DR","CR")))</f>
        <v/>
      </c>
      <c r="I259" s="12">
        <f>IF(BANK_RAW!A259="","",E259-F259)</f>
        <v/>
      </c>
      <c r="J259" s="12">
        <f>IF(BANK_RAW!A259="","",ABS(I259))</f>
        <v/>
      </c>
      <c r="K259" s="11">
        <f>IF(BANK_RAW!A259="","",IF(H259="CR","IN","OUT"))</f>
        <v/>
      </c>
      <c r="L259" s="11" t="inlineStr"/>
      <c r="M259" s="11" t="inlineStr"/>
    </row>
    <row r="260">
      <c r="A260" s="13">
        <f>IF(BANK_RAW!A260="","",ROW()-1)</f>
        <v/>
      </c>
      <c r="B260" s="10">
        <f>IF(BANK_RAW!A260="","",IF(ISNUMBER(BANK_RAW!A260),BANK_RAW!A260,DATEVALUE(TEXT(BANK_RAW!A260,"YYYY-MM-DD"))))</f>
        <v/>
      </c>
      <c r="C260" s="11">
        <f>IF(BANK_RAW!A260="","",TRIM(BANK_RAW!B260))</f>
        <v/>
      </c>
      <c r="D260" s="11">
        <f>IF(BANK_RAW!A260="","",TRIM(BANK_RAW!C260))</f>
        <v/>
      </c>
      <c r="E260" s="12">
        <f>IF(BANK_RAW!A260="","",IFERROR(ABS(BANK_RAW!D260),0))</f>
        <v/>
      </c>
      <c r="F260" s="12">
        <f>IF(BANK_RAW!A260="","",IFERROR(ABS(BANK_RAW!E260),0))</f>
        <v/>
      </c>
      <c r="G260" s="12">
        <f>IF(BANK_RAW!A260="","",IFERROR(BANK_RAW!F260,0))</f>
        <v/>
      </c>
      <c r="H260" s="11">
        <f>IF(BANK_RAW!A260="","",IF(E260&gt;0,"CR",IF(F260&gt;0,"DR","CR")))</f>
        <v/>
      </c>
      <c r="I260" s="12">
        <f>IF(BANK_RAW!A260="","",E260-F260)</f>
        <v/>
      </c>
      <c r="J260" s="12">
        <f>IF(BANK_RAW!A260="","",ABS(I260))</f>
        <v/>
      </c>
      <c r="K260" s="11">
        <f>IF(BANK_RAW!A260="","",IF(H260="CR","IN","OUT"))</f>
        <v/>
      </c>
      <c r="L260" s="11" t="inlineStr"/>
      <c r="M260" s="11" t="inlineStr"/>
    </row>
    <row r="261">
      <c r="A261" s="13">
        <f>IF(BANK_RAW!A261="","",ROW()-1)</f>
        <v/>
      </c>
      <c r="B261" s="10">
        <f>IF(BANK_RAW!A261="","",IF(ISNUMBER(BANK_RAW!A261),BANK_RAW!A261,DATEVALUE(TEXT(BANK_RAW!A261,"YYYY-MM-DD"))))</f>
        <v/>
      </c>
      <c r="C261" s="11">
        <f>IF(BANK_RAW!A261="","",TRIM(BANK_RAW!B261))</f>
        <v/>
      </c>
      <c r="D261" s="11">
        <f>IF(BANK_RAW!A261="","",TRIM(BANK_RAW!C261))</f>
        <v/>
      </c>
      <c r="E261" s="12">
        <f>IF(BANK_RAW!A261="","",IFERROR(ABS(BANK_RAW!D261),0))</f>
        <v/>
      </c>
      <c r="F261" s="12">
        <f>IF(BANK_RAW!A261="","",IFERROR(ABS(BANK_RAW!E261),0))</f>
        <v/>
      </c>
      <c r="G261" s="12">
        <f>IF(BANK_RAW!A261="","",IFERROR(BANK_RAW!F261,0))</f>
        <v/>
      </c>
      <c r="H261" s="11">
        <f>IF(BANK_RAW!A261="","",IF(E261&gt;0,"CR",IF(F261&gt;0,"DR","CR")))</f>
        <v/>
      </c>
      <c r="I261" s="12">
        <f>IF(BANK_RAW!A261="","",E261-F261)</f>
        <v/>
      </c>
      <c r="J261" s="12">
        <f>IF(BANK_RAW!A261="","",ABS(I261))</f>
        <v/>
      </c>
      <c r="K261" s="11">
        <f>IF(BANK_RAW!A261="","",IF(H261="CR","IN","OUT"))</f>
        <v/>
      </c>
      <c r="L261" s="11" t="inlineStr"/>
      <c r="M261" s="11" t="inlineStr"/>
    </row>
    <row r="262">
      <c r="A262" s="13">
        <f>IF(BANK_RAW!A262="","",ROW()-1)</f>
        <v/>
      </c>
      <c r="B262" s="10">
        <f>IF(BANK_RAW!A262="","",IF(ISNUMBER(BANK_RAW!A262),BANK_RAW!A262,DATEVALUE(TEXT(BANK_RAW!A262,"YYYY-MM-DD"))))</f>
        <v/>
      </c>
      <c r="C262" s="11">
        <f>IF(BANK_RAW!A262="","",TRIM(BANK_RAW!B262))</f>
        <v/>
      </c>
      <c r="D262" s="11">
        <f>IF(BANK_RAW!A262="","",TRIM(BANK_RAW!C262))</f>
        <v/>
      </c>
      <c r="E262" s="12">
        <f>IF(BANK_RAW!A262="","",IFERROR(ABS(BANK_RAW!D262),0))</f>
        <v/>
      </c>
      <c r="F262" s="12">
        <f>IF(BANK_RAW!A262="","",IFERROR(ABS(BANK_RAW!E262),0))</f>
        <v/>
      </c>
      <c r="G262" s="12">
        <f>IF(BANK_RAW!A262="","",IFERROR(BANK_RAW!F262,0))</f>
        <v/>
      </c>
      <c r="H262" s="11">
        <f>IF(BANK_RAW!A262="","",IF(E262&gt;0,"CR",IF(F262&gt;0,"DR","CR")))</f>
        <v/>
      </c>
      <c r="I262" s="12">
        <f>IF(BANK_RAW!A262="","",E262-F262)</f>
        <v/>
      </c>
      <c r="J262" s="12">
        <f>IF(BANK_RAW!A262="","",ABS(I262))</f>
        <v/>
      </c>
      <c r="K262" s="11">
        <f>IF(BANK_RAW!A262="","",IF(H262="CR","IN","OUT"))</f>
        <v/>
      </c>
      <c r="L262" s="11" t="inlineStr"/>
      <c r="M262" s="11" t="inlineStr"/>
    </row>
    <row r="263">
      <c r="A263" s="13">
        <f>IF(BANK_RAW!A263="","",ROW()-1)</f>
        <v/>
      </c>
      <c r="B263" s="10">
        <f>IF(BANK_RAW!A263="","",IF(ISNUMBER(BANK_RAW!A263),BANK_RAW!A263,DATEVALUE(TEXT(BANK_RAW!A263,"YYYY-MM-DD"))))</f>
        <v/>
      </c>
      <c r="C263" s="11">
        <f>IF(BANK_RAW!A263="","",TRIM(BANK_RAW!B263))</f>
        <v/>
      </c>
      <c r="D263" s="11">
        <f>IF(BANK_RAW!A263="","",TRIM(BANK_RAW!C263))</f>
        <v/>
      </c>
      <c r="E263" s="12">
        <f>IF(BANK_RAW!A263="","",IFERROR(ABS(BANK_RAW!D263),0))</f>
        <v/>
      </c>
      <c r="F263" s="12">
        <f>IF(BANK_RAW!A263="","",IFERROR(ABS(BANK_RAW!E263),0))</f>
        <v/>
      </c>
      <c r="G263" s="12">
        <f>IF(BANK_RAW!A263="","",IFERROR(BANK_RAW!F263,0))</f>
        <v/>
      </c>
      <c r="H263" s="11">
        <f>IF(BANK_RAW!A263="","",IF(E263&gt;0,"CR",IF(F263&gt;0,"DR","CR")))</f>
        <v/>
      </c>
      <c r="I263" s="12">
        <f>IF(BANK_RAW!A263="","",E263-F263)</f>
        <v/>
      </c>
      <c r="J263" s="12">
        <f>IF(BANK_RAW!A263="","",ABS(I263))</f>
        <v/>
      </c>
      <c r="K263" s="11">
        <f>IF(BANK_RAW!A263="","",IF(H263="CR","IN","OUT"))</f>
        <v/>
      </c>
      <c r="L263" s="11" t="inlineStr"/>
      <c r="M263" s="11" t="inlineStr"/>
    </row>
    <row r="264">
      <c r="A264" s="13">
        <f>IF(BANK_RAW!A264="","",ROW()-1)</f>
        <v/>
      </c>
      <c r="B264" s="10">
        <f>IF(BANK_RAW!A264="","",IF(ISNUMBER(BANK_RAW!A264),BANK_RAW!A264,DATEVALUE(TEXT(BANK_RAW!A264,"YYYY-MM-DD"))))</f>
        <v/>
      </c>
      <c r="C264" s="11">
        <f>IF(BANK_RAW!A264="","",TRIM(BANK_RAW!B264))</f>
        <v/>
      </c>
      <c r="D264" s="11">
        <f>IF(BANK_RAW!A264="","",TRIM(BANK_RAW!C264))</f>
        <v/>
      </c>
      <c r="E264" s="12">
        <f>IF(BANK_RAW!A264="","",IFERROR(ABS(BANK_RAW!D264),0))</f>
        <v/>
      </c>
      <c r="F264" s="12">
        <f>IF(BANK_RAW!A264="","",IFERROR(ABS(BANK_RAW!E264),0))</f>
        <v/>
      </c>
      <c r="G264" s="12">
        <f>IF(BANK_RAW!A264="","",IFERROR(BANK_RAW!F264,0))</f>
        <v/>
      </c>
      <c r="H264" s="11">
        <f>IF(BANK_RAW!A264="","",IF(E264&gt;0,"CR",IF(F264&gt;0,"DR","CR")))</f>
        <v/>
      </c>
      <c r="I264" s="12">
        <f>IF(BANK_RAW!A264="","",E264-F264)</f>
        <v/>
      </c>
      <c r="J264" s="12">
        <f>IF(BANK_RAW!A264="","",ABS(I264))</f>
        <v/>
      </c>
      <c r="K264" s="11">
        <f>IF(BANK_RAW!A264="","",IF(H264="CR","IN","OUT"))</f>
        <v/>
      </c>
      <c r="L264" s="11" t="inlineStr"/>
      <c r="M264" s="11" t="inlineStr"/>
    </row>
    <row r="265">
      <c r="A265" s="13">
        <f>IF(BANK_RAW!A265="","",ROW()-1)</f>
        <v/>
      </c>
      <c r="B265" s="10">
        <f>IF(BANK_RAW!A265="","",IF(ISNUMBER(BANK_RAW!A265),BANK_RAW!A265,DATEVALUE(TEXT(BANK_RAW!A265,"YYYY-MM-DD"))))</f>
        <v/>
      </c>
      <c r="C265" s="11">
        <f>IF(BANK_RAW!A265="","",TRIM(BANK_RAW!B265))</f>
        <v/>
      </c>
      <c r="D265" s="11">
        <f>IF(BANK_RAW!A265="","",TRIM(BANK_RAW!C265))</f>
        <v/>
      </c>
      <c r="E265" s="12">
        <f>IF(BANK_RAW!A265="","",IFERROR(ABS(BANK_RAW!D265),0))</f>
        <v/>
      </c>
      <c r="F265" s="12">
        <f>IF(BANK_RAW!A265="","",IFERROR(ABS(BANK_RAW!E265),0))</f>
        <v/>
      </c>
      <c r="G265" s="12">
        <f>IF(BANK_RAW!A265="","",IFERROR(BANK_RAW!F265,0))</f>
        <v/>
      </c>
      <c r="H265" s="11">
        <f>IF(BANK_RAW!A265="","",IF(E265&gt;0,"CR",IF(F265&gt;0,"DR","CR")))</f>
        <v/>
      </c>
      <c r="I265" s="12">
        <f>IF(BANK_RAW!A265="","",E265-F265)</f>
        <v/>
      </c>
      <c r="J265" s="12">
        <f>IF(BANK_RAW!A265="","",ABS(I265))</f>
        <v/>
      </c>
      <c r="K265" s="11">
        <f>IF(BANK_RAW!A265="","",IF(H265="CR","IN","OUT"))</f>
        <v/>
      </c>
      <c r="L265" s="11" t="inlineStr"/>
      <c r="M265" s="11" t="inlineStr"/>
    </row>
    <row r="266">
      <c r="A266" s="13">
        <f>IF(BANK_RAW!A266="","",ROW()-1)</f>
        <v/>
      </c>
      <c r="B266" s="10">
        <f>IF(BANK_RAW!A266="","",IF(ISNUMBER(BANK_RAW!A266),BANK_RAW!A266,DATEVALUE(TEXT(BANK_RAW!A266,"YYYY-MM-DD"))))</f>
        <v/>
      </c>
      <c r="C266" s="11">
        <f>IF(BANK_RAW!A266="","",TRIM(BANK_RAW!B266))</f>
        <v/>
      </c>
      <c r="D266" s="11">
        <f>IF(BANK_RAW!A266="","",TRIM(BANK_RAW!C266))</f>
        <v/>
      </c>
      <c r="E266" s="12">
        <f>IF(BANK_RAW!A266="","",IFERROR(ABS(BANK_RAW!D266),0))</f>
        <v/>
      </c>
      <c r="F266" s="12">
        <f>IF(BANK_RAW!A266="","",IFERROR(ABS(BANK_RAW!E266),0))</f>
        <v/>
      </c>
      <c r="G266" s="12">
        <f>IF(BANK_RAW!A266="","",IFERROR(BANK_RAW!F266,0))</f>
        <v/>
      </c>
      <c r="H266" s="11">
        <f>IF(BANK_RAW!A266="","",IF(E266&gt;0,"CR",IF(F266&gt;0,"DR","CR")))</f>
        <v/>
      </c>
      <c r="I266" s="12">
        <f>IF(BANK_RAW!A266="","",E266-F266)</f>
        <v/>
      </c>
      <c r="J266" s="12">
        <f>IF(BANK_RAW!A266="","",ABS(I266))</f>
        <v/>
      </c>
      <c r="K266" s="11">
        <f>IF(BANK_RAW!A266="","",IF(H266="CR","IN","OUT"))</f>
        <v/>
      </c>
      <c r="L266" s="11" t="inlineStr"/>
      <c r="M266" s="11" t="inlineStr"/>
    </row>
    <row r="267">
      <c r="A267" s="13">
        <f>IF(BANK_RAW!A267="","",ROW()-1)</f>
        <v/>
      </c>
      <c r="B267" s="10">
        <f>IF(BANK_RAW!A267="","",IF(ISNUMBER(BANK_RAW!A267),BANK_RAW!A267,DATEVALUE(TEXT(BANK_RAW!A267,"YYYY-MM-DD"))))</f>
        <v/>
      </c>
      <c r="C267" s="11">
        <f>IF(BANK_RAW!A267="","",TRIM(BANK_RAW!B267))</f>
        <v/>
      </c>
      <c r="D267" s="11">
        <f>IF(BANK_RAW!A267="","",TRIM(BANK_RAW!C267))</f>
        <v/>
      </c>
      <c r="E267" s="12">
        <f>IF(BANK_RAW!A267="","",IFERROR(ABS(BANK_RAW!D267),0))</f>
        <v/>
      </c>
      <c r="F267" s="12">
        <f>IF(BANK_RAW!A267="","",IFERROR(ABS(BANK_RAW!E267),0))</f>
        <v/>
      </c>
      <c r="G267" s="12">
        <f>IF(BANK_RAW!A267="","",IFERROR(BANK_RAW!F267,0))</f>
        <v/>
      </c>
      <c r="H267" s="11">
        <f>IF(BANK_RAW!A267="","",IF(E267&gt;0,"CR",IF(F267&gt;0,"DR","CR")))</f>
        <v/>
      </c>
      <c r="I267" s="12">
        <f>IF(BANK_RAW!A267="","",E267-F267)</f>
        <v/>
      </c>
      <c r="J267" s="12">
        <f>IF(BANK_RAW!A267="","",ABS(I267))</f>
        <v/>
      </c>
      <c r="K267" s="11">
        <f>IF(BANK_RAW!A267="","",IF(H267="CR","IN","OUT"))</f>
        <v/>
      </c>
      <c r="L267" s="11" t="inlineStr"/>
      <c r="M267" s="11" t="inlineStr"/>
    </row>
    <row r="268">
      <c r="A268" s="13">
        <f>IF(BANK_RAW!A268="","",ROW()-1)</f>
        <v/>
      </c>
      <c r="B268" s="10">
        <f>IF(BANK_RAW!A268="","",IF(ISNUMBER(BANK_RAW!A268),BANK_RAW!A268,DATEVALUE(TEXT(BANK_RAW!A268,"YYYY-MM-DD"))))</f>
        <v/>
      </c>
      <c r="C268" s="11">
        <f>IF(BANK_RAW!A268="","",TRIM(BANK_RAW!B268))</f>
        <v/>
      </c>
      <c r="D268" s="11">
        <f>IF(BANK_RAW!A268="","",TRIM(BANK_RAW!C268))</f>
        <v/>
      </c>
      <c r="E268" s="12">
        <f>IF(BANK_RAW!A268="","",IFERROR(ABS(BANK_RAW!D268),0))</f>
        <v/>
      </c>
      <c r="F268" s="12">
        <f>IF(BANK_RAW!A268="","",IFERROR(ABS(BANK_RAW!E268),0))</f>
        <v/>
      </c>
      <c r="G268" s="12">
        <f>IF(BANK_RAW!A268="","",IFERROR(BANK_RAW!F268,0))</f>
        <v/>
      </c>
      <c r="H268" s="11">
        <f>IF(BANK_RAW!A268="","",IF(E268&gt;0,"CR",IF(F268&gt;0,"DR","CR")))</f>
        <v/>
      </c>
      <c r="I268" s="12">
        <f>IF(BANK_RAW!A268="","",E268-F268)</f>
        <v/>
      </c>
      <c r="J268" s="12">
        <f>IF(BANK_RAW!A268="","",ABS(I268))</f>
        <v/>
      </c>
      <c r="K268" s="11">
        <f>IF(BANK_RAW!A268="","",IF(H268="CR","IN","OUT"))</f>
        <v/>
      </c>
      <c r="L268" s="11" t="inlineStr"/>
      <c r="M268" s="11" t="inlineStr"/>
    </row>
    <row r="269">
      <c r="A269" s="13">
        <f>IF(BANK_RAW!A269="","",ROW()-1)</f>
        <v/>
      </c>
      <c r="B269" s="10">
        <f>IF(BANK_RAW!A269="","",IF(ISNUMBER(BANK_RAW!A269),BANK_RAW!A269,DATEVALUE(TEXT(BANK_RAW!A269,"YYYY-MM-DD"))))</f>
        <v/>
      </c>
      <c r="C269" s="11">
        <f>IF(BANK_RAW!A269="","",TRIM(BANK_RAW!B269))</f>
        <v/>
      </c>
      <c r="D269" s="11">
        <f>IF(BANK_RAW!A269="","",TRIM(BANK_RAW!C269))</f>
        <v/>
      </c>
      <c r="E269" s="12">
        <f>IF(BANK_RAW!A269="","",IFERROR(ABS(BANK_RAW!D269),0))</f>
        <v/>
      </c>
      <c r="F269" s="12">
        <f>IF(BANK_RAW!A269="","",IFERROR(ABS(BANK_RAW!E269),0))</f>
        <v/>
      </c>
      <c r="G269" s="12">
        <f>IF(BANK_RAW!A269="","",IFERROR(BANK_RAW!F269,0))</f>
        <v/>
      </c>
      <c r="H269" s="11">
        <f>IF(BANK_RAW!A269="","",IF(E269&gt;0,"CR",IF(F269&gt;0,"DR","CR")))</f>
        <v/>
      </c>
      <c r="I269" s="12">
        <f>IF(BANK_RAW!A269="","",E269-F269)</f>
        <v/>
      </c>
      <c r="J269" s="12">
        <f>IF(BANK_RAW!A269="","",ABS(I269))</f>
        <v/>
      </c>
      <c r="K269" s="11">
        <f>IF(BANK_RAW!A269="","",IF(H269="CR","IN","OUT"))</f>
        <v/>
      </c>
      <c r="L269" s="11" t="inlineStr"/>
      <c r="M269" s="11" t="inlineStr"/>
    </row>
    <row r="270">
      <c r="A270" s="13">
        <f>IF(BANK_RAW!A270="","",ROW()-1)</f>
        <v/>
      </c>
      <c r="B270" s="10">
        <f>IF(BANK_RAW!A270="","",IF(ISNUMBER(BANK_RAW!A270),BANK_RAW!A270,DATEVALUE(TEXT(BANK_RAW!A270,"YYYY-MM-DD"))))</f>
        <v/>
      </c>
      <c r="C270" s="11">
        <f>IF(BANK_RAW!A270="","",TRIM(BANK_RAW!B270))</f>
        <v/>
      </c>
      <c r="D270" s="11">
        <f>IF(BANK_RAW!A270="","",TRIM(BANK_RAW!C270))</f>
        <v/>
      </c>
      <c r="E270" s="12">
        <f>IF(BANK_RAW!A270="","",IFERROR(ABS(BANK_RAW!D270),0))</f>
        <v/>
      </c>
      <c r="F270" s="12">
        <f>IF(BANK_RAW!A270="","",IFERROR(ABS(BANK_RAW!E270),0))</f>
        <v/>
      </c>
      <c r="G270" s="12">
        <f>IF(BANK_RAW!A270="","",IFERROR(BANK_RAW!F270,0))</f>
        <v/>
      </c>
      <c r="H270" s="11">
        <f>IF(BANK_RAW!A270="","",IF(E270&gt;0,"CR",IF(F270&gt;0,"DR","CR")))</f>
        <v/>
      </c>
      <c r="I270" s="12">
        <f>IF(BANK_RAW!A270="","",E270-F270)</f>
        <v/>
      </c>
      <c r="J270" s="12">
        <f>IF(BANK_RAW!A270="","",ABS(I270))</f>
        <v/>
      </c>
      <c r="K270" s="11">
        <f>IF(BANK_RAW!A270="","",IF(H270="CR","IN","OUT"))</f>
        <v/>
      </c>
      <c r="L270" s="11" t="inlineStr"/>
      <c r="M270" s="11" t="inlineStr"/>
    </row>
    <row r="271">
      <c r="A271" s="13">
        <f>IF(BANK_RAW!A271="","",ROW()-1)</f>
        <v/>
      </c>
      <c r="B271" s="10">
        <f>IF(BANK_RAW!A271="","",IF(ISNUMBER(BANK_RAW!A271),BANK_RAW!A271,DATEVALUE(TEXT(BANK_RAW!A271,"YYYY-MM-DD"))))</f>
        <v/>
      </c>
      <c r="C271" s="11">
        <f>IF(BANK_RAW!A271="","",TRIM(BANK_RAW!B271))</f>
        <v/>
      </c>
      <c r="D271" s="11">
        <f>IF(BANK_RAW!A271="","",TRIM(BANK_RAW!C271))</f>
        <v/>
      </c>
      <c r="E271" s="12">
        <f>IF(BANK_RAW!A271="","",IFERROR(ABS(BANK_RAW!D271),0))</f>
        <v/>
      </c>
      <c r="F271" s="12">
        <f>IF(BANK_RAW!A271="","",IFERROR(ABS(BANK_RAW!E271),0))</f>
        <v/>
      </c>
      <c r="G271" s="12">
        <f>IF(BANK_RAW!A271="","",IFERROR(BANK_RAW!F271,0))</f>
        <v/>
      </c>
      <c r="H271" s="11">
        <f>IF(BANK_RAW!A271="","",IF(E271&gt;0,"CR",IF(F271&gt;0,"DR","CR")))</f>
        <v/>
      </c>
      <c r="I271" s="12">
        <f>IF(BANK_RAW!A271="","",E271-F271)</f>
        <v/>
      </c>
      <c r="J271" s="12">
        <f>IF(BANK_RAW!A271="","",ABS(I271))</f>
        <v/>
      </c>
      <c r="K271" s="11">
        <f>IF(BANK_RAW!A271="","",IF(H271="CR","IN","OUT"))</f>
        <v/>
      </c>
      <c r="L271" s="11" t="inlineStr"/>
      <c r="M271" s="11" t="inlineStr"/>
    </row>
    <row r="272">
      <c r="A272" s="13">
        <f>IF(BANK_RAW!A272="","",ROW()-1)</f>
        <v/>
      </c>
      <c r="B272" s="10">
        <f>IF(BANK_RAW!A272="","",IF(ISNUMBER(BANK_RAW!A272),BANK_RAW!A272,DATEVALUE(TEXT(BANK_RAW!A272,"YYYY-MM-DD"))))</f>
        <v/>
      </c>
      <c r="C272" s="11">
        <f>IF(BANK_RAW!A272="","",TRIM(BANK_RAW!B272))</f>
        <v/>
      </c>
      <c r="D272" s="11">
        <f>IF(BANK_RAW!A272="","",TRIM(BANK_RAW!C272))</f>
        <v/>
      </c>
      <c r="E272" s="12">
        <f>IF(BANK_RAW!A272="","",IFERROR(ABS(BANK_RAW!D272),0))</f>
        <v/>
      </c>
      <c r="F272" s="12">
        <f>IF(BANK_RAW!A272="","",IFERROR(ABS(BANK_RAW!E272),0))</f>
        <v/>
      </c>
      <c r="G272" s="12">
        <f>IF(BANK_RAW!A272="","",IFERROR(BANK_RAW!F272,0))</f>
        <v/>
      </c>
      <c r="H272" s="11">
        <f>IF(BANK_RAW!A272="","",IF(E272&gt;0,"CR",IF(F272&gt;0,"DR","CR")))</f>
        <v/>
      </c>
      <c r="I272" s="12">
        <f>IF(BANK_RAW!A272="","",E272-F272)</f>
        <v/>
      </c>
      <c r="J272" s="12">
        <f>IF(BANK_RAW!A272="","",ABS(I272))</f>
        <v/>
      </c>
      <c r="K272" s="11">
        <f>IF(BANK_RAW!A272="","",IF(H272="CR","IN","OUT"))</f>
        <v/>
      </c>
      <c r="L272" s="11" t="inlineStr"/>
      <c r="M272" s="11" t="inlineStr"/>
    </row>
    <row r="273">
      <c r="A273" s="13">
        <f>IF(BANK_RAW!A273="","",ROW()-1)</f>
        <v/>
      </c>
      <c r="B273" s="10">
        <f>IF(BANK_RAW!A273="","",IF(ISNUMBER(BANK_RAW!A273),BANK_RAW!A273,DATEVALUE(TEXT(BANK_RAW!A273,"YYYY-MM-DD"))))</f>
        <v/>
      </c>
      <c r="C273" s="11">
        <f>IF(BANK_RAW!A273="","",TRIM(BANK_RAW!B273))</f>
        <v/>
      </c>
      <c r="D273" s="11">
        <f>IF(BANK_RAW!A273="","",TRIM(BANK_RAW!C273))</f>
        <v/>
      </c>
      <c r="E273" s="12">
        <f>IF(BANK_RAW!A273="","",IFERROR(ABS(BANK_RAW!D273),0))</f>
        <v/>
      </c>
      <c r="F273" s="12">
        <f>IF(BANK_RAW!A273="","",IFERROR(ABS(BANK_RAW!E273),0))</f>
        <v/>
      </c>
      <c r="G273" s="12">
        <f>IF(BANK_RAW!A273="","",IFERROR(BANK_RAW!F273,0))</f>
        <v/>
      </c>
      <c r="H273" s="11">
        <f>IF(BANK_RAW!A273="","",IF(E273&gt;0,"CR",IF(F273&gt;0,"DR","CR")))</f>
        <v/>
      </c>
      <c r="I273" s="12">
        <f>IF(BANK_RAW!A273="","",E273-F273)</f>
        <v/>
      </c>
      <c r="J273" s="12">
        <f>IF(BANK_RAW!A273="","",ABS(I273))</f>
        <v/>
      </c>
      <c r="K273" s="11">
        <f>IF(BANK_RAW!A273="","",IF(H273="CR","IN","OUT"))</f>
        <v/>
      </c>
      <c r="L273" s="11" t="inlineStr"/>
      <c r="M273" s="11" t="inlineStr"/>
    </row>
    <row r="274">
      <c r="A274" s="13">
        <f>IF(BANK_RAW!A274="","",ROW()-1)</f>
        <v/>
      </c>
      <c r="B274" s="10">
        <f>IF(BANK_RAW!A274="","",IF(ISNUMBER(BANK_RAW!A274),BANK_RAW!A274,DATEVALUE(TEXT(BANK_RAW!A274,"YYYY-MM-DD"))))</f>
        <v/>
      </c>
      <c r="C274" s="11">
        <f>IF(BANK_RAW!A274="","",TRIM(BANK_RAW!B274))</f>
        <v/>
      </c>
      <c r="D274" s="11">
        <f>IF(BANK_RAW!A274="","",TRIM(BANK_RAW!C274))</f>
        <v/>
      </c>
      <c r="E274" s="12">
        <f>IF(BANK_RAW!A274="","",IFERROR(ABS(BANK_RAW!D274),0))</f>
        <v/>
      </c>
      <c r="F274" s="12">
        <f>IF(BANK_RAW!A274="","",IFERROR(ABS(BANK_RAW!E274),0))</f>
        <v/>
      </c>
      <c r="G274" s="12">
        <f>IF(BANK_RAW!A274="","",IFERROR(BANK_RAW!F274,0))</f>
        <v/>
      </c>
      <c r="H274" s="11">
        <f>IF(BANK_RAW!A274="","",IF(E274&gt;0,"CR",IF(F274&gt;0,"DR","CR")))</f>
        <v/>
      </c>
      <c r="I274" s="12">
        <f>IF(BANK_RAW!A274="","",E274-F274)</f>
        <v/>
      </c>
      <c r="J274" s="12">
        <f>IF(BANK_RAW!A274="","",ABS(I274))</f>
        <v/>
      </c>
      <c r="K274" s="11">
        <f>IF(BANK_RAW!A274="","",IF(H274="CR","IN","OUT"))</f>
        <v/>
      </c>
      <c r="L274" s="11" t="inlineStr"/>
      <c r="M274" s="11" t="inlineStr"/>
    </row>
    <row r="275">
      <c r="A275" s="13">
        <f>IF(BANK_RAW!A275="","",ROW()-1)</f>
        <v/>
      </c>
      <c r="B275" s="10">
        <f>IF(BANK_RAW!A275="","",IF(ISNUMBER(BANK_RAW!A275),BANK_RAW!A275,DATEVALUE(TEXT(BANK_RAW!A275,"YYYY-MM-DD"))))</f>
        <v/>
      </c>
      <c r="C275" s="11">
        <f>IF(BANK_RAW!A275="","",TRIM(BANK_RAW!B275))</f>
        <v/>
      </c>
      <c r="D275" s="11">
        <f>IF(BANK_RAW!A275="","",TRIM(BANK_RAW!C275))</f>
        <v/>
      </c>
      <c r="E275" s="12">
        <f>IF(BANK_RAW!A275="","",IFERROR(ABS(BANK_RAW!D275),0))</f>
        <v/>
      </c>
      <c r="F275" s="12">
        <f>IF(BANK_RAW!A275="","",IFERROR(ABS(BANK_RAW!E275),0))</f>
        <v/>
      </c>
      <c r="G275" s="12">
        <f>IF(BANK_RAW!A275="","",IFERROR(BANK_RAW!F275,0))</f>
        <v/>
      </c>
      <c r="H275" s="11">
        <f>IF(BANK_RAW!A275="","",IF(E275&gt;0,"CR",IF(F275&gt;0,"DR","CR")))</f>
        <v/>
      </c>
      <c r="I275" s="12">
        <f>IF(BANK_RAW!A275="","",E275-F275)</f>
        <v/>
      </c>
      <c r="J275" s="12">
        <f>IF(BANK_RAW!A275="","",ABS(I275))</f>
        <v/>
      </c>
      <c r="K275" s="11">
        <f>IF(BANK_RAW!A275="","",IF(H275="CR","IN","OUT"))</f>
        <v/>
      </c>
      <c r="L275" s="11" t="inlineStr"/>
      <c r="M275" s="11" t="inlineStr"/>
    </row>
    <row r="276">
      <c r="A276" s="13">
        <f>IF(BANK_RAW!A276="","",ROW()-1)</f>
        <v/>
      </c>
      <c r="B276" s="10">
        <f>IF(BANK_RAW!A276="","",IF(ISNUMBER(BANK_RAW!A276),BANK_RAW!A276,DATEVALUE(TEXT(BANK_RAW!A276,"YYYY-MM-DD"))))</f>
        <v/>
      </c>
      <c r="C276" s="11">
        <f>IF(BANK_RAW!A276="","",TRIM(BANK_RAW!B276))</f>
        <v/>
      </c>
      <c r="D276" s="11">
        <f>IF(BANK_RAW!A276="","",TRIM(BANK_RAW!C276))</f>
        <v/>
      </c>
      <c r="E276" s="12">
        <f>IF(BANK_RAW!A276="","",IFERROR(ABS(BANK_RAW!D276),0))</f>
        <v/>
      </c>
      <c r="F276" s="12">
        <f>IF(BANK_RAW!A276="","",IFERROR(ABS(BANK_RAW!E276),0))</f>
        <v/>
      </c>
      <c r="G276" s="12">
        <f>IF(BANK_RAW!A276="","",IFERROR(BANK_RAW!F276,0))</f>
        <v/>
      </c>
      <c r="H276" s="11">
        <f>IF(BANK_RAW!A276="","",IF(E276&gt;0,"CR",IF(F276&gt;0,"DR","CR")))</f>
        <v/>
      </c>
      <c r="I276" s="12">
        <f>IF(BANK_RAW!A276="","",E276-F276)</f>
        <v/>
      </c>
      <c r="J276" s="12">
        <f>IF(BANK_RAW!A276="","",ABS(I276))</f>
        <v/>
      </c>
      <c r="K276" s="11">
        <f>IF(BANK_RAW!A276="","",IF(H276="CR","IN","OUT"))</f>
        <v/>
      </c>
      <c r="L276" s="11" t="inlineStr"/>
      <c r="M276" s="11" t="inlineStr"/>
    </row>
    <row r="277">
      <c r="A277" s="13">
        <f>IF(BANK_RAW!A277="","",ROW()-1)</f>
        <v/>
      </c>
      <c r="B277" s="10">
        <f>IF(BANK_RAW!A277="","",IF(ISNUMBER(BANK_RAW!A277),BANK_RAW!A277,DATEVALUE(TEXT(BANK_RAW!A277,"YYYY-MM-DD"))))</f>
        <v/>
      </c>
      <c r="C277" s="11">
        <f>IF(BANK_RAW!A277="","",TRIM(BANK_RAW!B277))</f>
        <v/>
      </c>
      <c r="D277" s="11">
        <f>IF(BANK_RAW!A277="","",TRIM(BANK_RAW!C277))</f>
        <v/>
      </c>
      <c r="E277" s="12">
        <f>IF(BANK_RAW!A277="","",IFERROR(ABS(BANK_RAW!D277),0))</f>
        <v/>
      </c>
      <c r="F277" s="12">
        <f>IF(BANK_RAW!A277="","",IFERROR(ABS(BANK_RAW!E277),0))</f>
        <v/>
      </c>
      <c r="G277" s="12">
        <f>IF(BANK_RAW!A277="","",IFERROR(BANK_RAW!F277,0))</f>
        <v/>
      </c>
      <c r="H277" s="11">
        <f>IF(BANK_RAW!A277="","",IF(E277&gt;0,"CR",IF(F277&gt;0,"DR","CR")))</f>
        <v/>
      </c>
      <c r="I277" s="12">
        <f>IF(BANK_RAW!A277="","",E277-F277)</f>
        <v/>
      </c>
      <c r="J277" s="12">
        <f>IF(BANK_RAW!A277="","",ABS(I277))</f>
        <v/>
      </c>
      <c r="K277" s="11">
        <f>IF(BANK_RAW!A277="","",IF(H277="CR","IN","OUT"))</f>
        <v/>
      </c>
      <c r="L277" s="11" t="inlineStr"/>
      <c r="M277" s="11" t="inlineStr"/>
    </row>
    <row r="278">
      <c r="A278" s="13">
        <f>IF(BANK_RAW!A278="","",ROW()-1)</f>
        <v/>
      </c>
      <c r="B278" s="10">
        <f>IF(BANK_RAW!A278="","",IF(ISNUMBER(BANK_RAW!A278),BANK_RAW!A278,DATEVALUE(TEXT(BANK_RAW!A278,"YYYY-MM-DD"))))</f>
        <v/>
      </c>
      <c r="C278" s="11">
        <f>IF(BANK_RAW!A278="","",TRIM(BANK_RAW!B278))</f>
        <v/>
      </c>
      <c r="D278" s="11">
        <f>IF(BANK_RAW!A278="","",TRIM(BANK_RAW!C278))</f>
        <v/>
      </c>
      <c r="E278" s="12">
        <f>IF(BANK_RAW!A278="","",IFERROR(ABS(BANK_RAW!D278),0))</f>
        <v/>
      </c>
      <c r="F278" s="12">
        <f>IF(BANK_RAW!A278="","",IFERROR(ABS(BANK_RAW!E278),0))</f>
        <v/>
      </c>
      <c r="G278" s="12">
        <f>IF(BANK_RAW!A278="","",IFERROR(BANK_RAW!F278,0))</f>
        <v/>
      </c>
      <c r="H278" s="11">
        <f>IF(BANK_RAW!A278="","",IF(E278&gt;0,"CR",IF(F278&gt;0,"DR","CR")))</f>
        <v/>
      </c>
      <c r="I278" s="12">
        <f>IF(BANK_RAW!A278="","",E278-F278)</f>
        <v/>
      </c>
      <c r="J278" s="12">
        <f>IF(BANK_RAW!A278="","",ABS(I278))</f>
        <v/>
      </c>
      <c r="K278" s="11">
        <f>IF(BANK_RAW!A278="","",IF(H278="CR","IN","OUT"))</f>
        <v/>
      </c>
      <c r="L278" s="11" t="inlineStr"/>
      <c r="M278" s="11" t="inlineStr"/>
    </row>
    <row r="279">
      <c r="A279" s="13">
        <f>IF(BANK_RAW!A279="","",ROW()-1)</f>
        <v/>
      </c>
      <c r="B279" s="10">
        <f>IF(BANK_RAW!A279="","",IF(ISNUMBER(BANK_RAW!A279),BANK_RAW!A279,DATEVALUE(TEXT(BANK_RAW!A279,"YYYY-MM-DD"))))</f>
        <v/>
      </c>
      <c r="C279" s="11">
        <f>IF(BANK_RAW!A279="","",TRIM(BANK_RAW!B279))</f>
        <v/>
      </c>
      <c r="D279" s="11">
        <f>IF(BANK_RAW!A279="","",TRIM(BANK_RAW!C279))</f>
        <v/>
      </c>
      <c r="E279" s="12">
        <f>IF(BANK_RAW!A279="","",IFERROR(ABS(BANK_RAW!D279),0))</f>
        <v/>
      </c>
      <c r="F279" s="12">
        <f>IF(BANK_RAW!A279="","",IFERROR(ABS(BANK_RAW!E279),0))</f>
        <v/>
      </c>
      <c r="G279" s="12">
        <f>IF(BANK_RAW!A279="","",IFERROR(BANK_RAW!F279,0))</f>
        <v/>
      </c>
      <c r="H279" s="11">
        <f>IF(BANK_RAW!A279="","",IF(E279&gt;0,"CR",IF(F279&gt;0,"DR","CR")))</f>
        <v/>
      </c>
      <c r="I279" s="12">
        <f>IF(BANK_RAW!A279="","",E279-F279)</f>
        <v/>
      </c>
      <c r="J279" s="12">
        <f>IF(BANK_RAW!A279="","",ABS(I279))</f>
        <v/>
      </c>
      <c r="K279" s="11">
        <f>IF(BANK_RAW!A279="","",IF(H279="CR","IN","OUT"))</f>
        <v/>
      </c>
      <c r="L279" s="11" t="inlineStr"/>
      <c r="M279" s="11" t="inlineStr"/>
    </row>
    <row r="280">
      <c r="A280" s="13">
        <f>IF(BANK_RAW!A280="","",ROW()-1)</f>
        <v/>
      </c>
      <c r="B280" s="10">
        <f>IF(BANK_RAW!A280="","",IF(ISNUMBER(BANK_RAW!A280),BANK_RAW!A280,DATEVALUE(TEXT(BANK_RAW!A280,"YYYY-MM-DD"))))</f>
        <v/>
      </c>
      <c r="C280" s="11">
        <f>IF(BANK_RAW!A280="","",TRIM(BANK_RAW!B280))</f>
        <v/>
      </c>
      <c r="D280" s="11">
        <f>IF(BANK_RAW!A280="","",TRIM(BANK_RAW!C280))</f>
        <v/>
      </c>
      <c r="E280" s="12">
        <f>IF(BANK_RAW!A280="","",IFERROR(ABS(BANK_RAW!D280),0))</f>
        <v/>
      </c>
      <c r="F280" s="12">
        <f>IF(BANK_RAW!A280="","",IFERROR(ABS(BANK_RAW!E280),0))</f>
        <v/>
      </c>
      <c r="G280" s="12">
        <f>IF(BANK_RAW!A280="","",IFERROR(BANK_RAW!F280,0))</f>
        <v/>
      </c>
      <c r="H280" s="11">
        <f>IF(BANK_RAW!A280="","",IF(E280&gt;0,"CR",IF(F280&gt;0,"DR","CR")))</f>
        <v/>
      </c>
      <c r="I280" s="12">
        <f>IF(BANK_RAW!A280="","",E280-F280)</f>
        <v/>
      </c>
      <c r="J280" s="12">
        <f>IF(BANK_RAW!A280="","",ABS(I280))</f>
        <v/>
      </c>
      <c r="K280" s="11">
        <f>IF(BANK_RAW!A280="","",IF(H280="CR","IN","OUT"))</f>
        <v/>
      </c>
      <c r="L280" s="11" t="inlineStr"/>
      <c r="M280" s="11" t="inlineStr"/>
    </row>
    <row r="281">
      <c r="A281" s="13">
        <f>IF(BANK_RAW!A281="","",ROW()-1)</f>
        <v/>
      </c>
      <c r="B281" s="10">
        <f>IF(BANK_RAW!A281="","",IF(ISNUMBER(BANK_RAW!A281),BANK_RAW!A281,DATEVALUE(TEXT(BANK_RAW!A281,"YYYY-MM-DD"))))</f>
        <v/>
      </c>
      <c r="C281" s="11">
        <f>IF(BANK_RAW!A281="","",TRIM(BANK_RAW!B281))</f>
        <v/>
      </c>
      <c r="D281" s="11">
        <f>IF(BANK_RAW!A281="","",TRIM(BANK_RAW!C281))</f>
        <v/>
      </c>
      <c r="E281" s="12">
        <f>IF(BANK_RAW!A281="","",IFERROR(ABS(BANK_RAW!D281),0))</f>
        <v/>
      </c>
      <c r="F281" s="12">
        <f>IF(BANK_RAW!A281="","",IFERROR(ABS(BANK_RAW!E281),0))</f>
        <v/>
      </c>
      <c r="G281" s="12">
        <f>IF(BANK_RAW!A281="","",IFERROR(BANK_RAW!F281,0))</f>
        <v/>
      </c>
      <c r="H281" s="11">
        <f>IF(BANK_RAW!A281="","",IF(E281&gt;0,"CR",IF(F281&gt;0,"DR","CR")))</f>
        <v/>
      </c>
      <c r="I281" s="12">
        <f>IF(BANK_RAW!A281="","",E281-F281)</f>
        <v/>
      </c>
      <c r="J281" s="12">
        <f>IF(BANK_RAW!A281="","",ABS(I281))</f>
        <v/>
      </c>
      <c r="K281" s="11">
        <f>IF(BANK_RAW!A281="","",IF(H281="CR","IN","OUT"))</f>
        <v/>
      </c>
      <c r="L281" s="11" t="inlineStr"/>
      <c r="M281" s="11" t="inlineStr"/>
    </row>
    <row r="282">
      <c r="A282" s="13">
        <f>IF(BANK_RAW!A282="","",ROW()-1)</f>
        <v/>
      </c>
      <c r="B282" s="10">
        <f>IF(BANK_RAW!A282="","",IF(ISNUMBER(BANK_RAW!A282),BANK_RAW!A282,DATEVALUE(TEXT(BANK_RAW!A282,"YYYY-MM-DD"))))</f>
        <v/>
      </c>
      <c r="C282" s="11">
        <f>IF(BANK_RAW!A282="","",TRIM(BANK_RAW!B282))</f>
        <v/>
      </c>
      <c r="D282" s="11">
        <f>IF(BANK_RAW!A282="","",TRIM(BANK_RAW!C282))</f>
        <v/>
      </c>
      <c r="E282" s="12">
        <f>IF(BANK_RAW!A282="","",IFERROR(ABS(BANK_RAW!D282),0))</f>
        <v/>
      </c>
      <c r="F282" s="12">
        <f>IF(BANK_RAW!A282="","",IFERROR(ABS(BANK_RAW!E282),0))</f>
        <v/>
      </c>
      <c r="G282" s="12">
        <f>IF(BANK_RAW!A282="","",IFERROR(BANK_RAW!F282,0))</f>
        <v/>
      </c>
      <c r="H282" s="11">
        <f>IF(BANK_RAW!A282="","",IF(E282&gt;0,"CR",IF(F282&gt;0,"DR","CR")))</f>
        <v/>
      </c>
      <c r="I282" s="12">
        <f>IF(BANK_RAW!A282="","",E282-F282)</f>
        <v/>
      </c>
      <c r="J282" s="12">
        <f>IF(BANK_RAW!A282="","",ABS(I282))</f>
        <v/>
      </c>
      <c r="K282" s="11">
        <f>IF(BANK_RAW!A282="","",IF(H282="CR","IN","OUT"))</f>
        <v/>
      </c>
      <c r="L282" s="11" t="inlineStr"/>
      <c r="M282" s="11" t="inlineStr"/>
    </row>
    <row r="283">
      <c r="A283" s="13">
        <f>IF(BANK_RAW!A283="","",ROW()-1)</f>
        <v/>
      </c>
      <c r="B283" s="10">
        <f>IF(BANK_RAW!A283="","",IF(ISNUMBER(BANK_RAW!A283),BANK_RAW!A283,DATEVALUE(TEXT(BANK_RAW!A283,"YYYY-MM-DD"))))</f>
        <v/>
      </c>
      <c r="C283" s="11">
        <f>IF(BANK_RAW!A283="","",TRIM(BANK_RAW!B283))</f>
        <v/>
      </c>
      <c r="D283" s="11">
        <f>IF(BANK_RAW!A283="","",TRIM(BANK_RAW!C283))</f>
        <v/>
      </c>
      <c r="E283" s="12">
        <f>IF(BANK_RAW!A283="","",IFERROR(ABS(BANK_RAW!D283),0))</f>
        <v/>
      </c>
      <c r="F283" s="12">
        <f>IF(BANK_RAW!A283="","",IFERROR(ABS(BANK_RAW!E283),0))</f>
        <v/>
      </c>
      <c r="G283" s="12">
        <f>IF(BANK_RAW!A283="","",IFERROR(BANK_RAW!F283,0))</f>
        <v/>
      </c>
      <c r="H283" s="11">
        <f>IF(BANK_RAW!A283="","",IF(E283&gt;0,"CR",IF(F283&gt;0,"DR","CR")))</f>
        <v/>
      </c>
      <c r="I283" s="12">
        <f>IF(BANK_RAW!A283="","",E283-F283)</f>
        <v/>
      </c>
      <c r="J283" s="12">
        <f>IF(BANK_RAW!A283="","",ABS(I283))</f>
        <v/>
      </c>
      <c r="K283" s="11">
        <f>IF(BANK_RAW!A283="","",IF(H283="CR","IN","OUT"))</f>
        <v/>
      </c>
      <c r="L283" s="11" t="inlineStr"/>
      <c r="M283" s="11" t="inlineStr"/>
    </row>
    <row r="284">
      <c r="A284" s="13">
        <f>IF(BANK_RAW!A284="","",ROW()-1)</f>
        <v/>
      </c>
      <c r="B284" s="10">
        <f>IF(BANK_RAW!A284="","",IF(ISNUMBER(BANK_RAW!A284),BANK_RAW!A284,DATEVALUE(TEXT(BANK_RAW!A284,"YYYY-MM-DD"))))</f>
        <v/>
      </c>
      <c r="C284" s="11">
        <f>IF(BANK_RAW!A284="","",TRIM(BANK_RAW!B284))</f>
        <v/>
      </c>
      <c r="D284" s="11">
        <f>IF(BANK_RAW!A284="","",TRIM(BANK_RAW!C284))</f>
        <v/>
      </c>
      <c r="E284" s="12">
        <f>IF(BANK_RAW!A284="","",IFERROR(ABS(BANK_RAW!D284),0))</f>
        <v/>
      </c>
      <c r="F284" s="12">
        <f>IF(BANK_RAW!A284="","",IFERROR(ABS(BANK_RAW!E284),0))</f>
        <v/>
      </c>
      <c r="G284" s="12">
        <f>IF(BANK_RAW!A284="","",IFERROR(BANK_RAW!F284,0))</f>
        <v/>
      </c>
      <c r="H284" s="11">
        <f>IF(BANK_RAW!A284="","",IF(E284&gt;0,"CR",IF(F284&gt;0,"DR","CR")))</f>
        <v/>
      </c>
      <c r="I284" s="12">
        <f>IF(BANK_RAW!A284="","",E284-F284)</f>
        <v/>
      </c>
      <c r="J284" s="12">
        <f>IF(BANK_RAW!A284="","",ABS(I284))</f>
        <v/>
      </c>
      <c r="K284" s="11">
        <f>IF(BANK_RAW!A284="","",IF(H284="CR","IN","OUT"))</f>
        <v/>
      </c>
      <c r="L284" s="11" t="inlineStr"/>
      <c r="M284" s="11" t="inlineStr"/>
    </row>
    <row r="285">
      <c r="A285" s="13">
        <f>IF(BANK_RAW!A285="","",ROW()-1)</f>
        <v/>
      </c>
      <c r="B285" s="10">
        <f>IF(BANK_RAW!A285="","",IF(ISNUMBER(BANK_RAW!A285),BANK_RAW!A285,DATEVALUE(TEXT(BANK_RAW!A285,"YYYY-MM-DD"))))</f>
        <v/>
      </c>
      <c r="C285" s="11">
        <f>IF(BANK_RAW!A285="","",TRIM(BANK_RAW!B285))</f>
        <v/>
      </c>
      <c r="D285" s="11">
        <f>IF(BANK_RAW!A285="","",TRIM(BANK_RAW!C285))</f>
        <v/>
      </c>
      <c r="E285" s="12">
        <f>IF(BANK_RAW!A285="","",IFERROR(ABS(BANK_RAW!D285),0))</f>
        <v/>
      </c>
      <c r="F285" s="12">
        <f>IF(BANK_RAW!A285="","",IFERROR(ABS(BANK_RAW!E285),0))</f>
        <v/>
      </c>
      <c r="G285" s="12">
        <f>IF(BANK_RAW!A285="","",IFERROR(BANK_RAW!F285,0))</f>
        <v/>
      </c>
      <c r="H285" s="11">
        <f>IF(BANK_RAW!A285="","",IF(E285&gt;0,"CR",IF(F285&gt;0,"DR","CR")))</f>
        <v/>
      </c>
      <c r="I285" s="12">
        <f>IF(BANK_RAW!A285="","",E285-F285)</f>
        <v/>
      </c>
      <c r="J285" s="12">
        <f>IF(BANK_RAW!A285="","",ABS(I285))</f>
        <v/>
      </c>
      <c r="K285" s="11">
        <f>IF(BANK_RAW!A285="","",IF(H285="CR","IN","OUT"))</f>
        <v/>
      </c>
      <c r="L285" s="11" t="inlineStr"/>
      <c r="M285" s="11" t="inlineStr"/>
    </row>
    <row r="286">
      <c r="A286" s="13">
        <f>IF(BANK_RAW!A286="","",ROW()-1)</f>
        <v/>
      </c>
      <c r="B286" s="10">
        <f>IF(BANK_RAW!A286="","",IF(ISNUMBER(BANK_RAW!A286),BANK_RAW!A286,DATEVALUE(TEXT(BANK_RAW!A286,"YYYY-MM-DD"))))</f>
        <v/>
      </c>
      <c r="C286" s="11">
        <f>IF(BANK_RAW!A286="","",TRIM(BANK_RAW!B286))</f>
        <v/>
      </c>
      <c r="D286" s="11">
        <f>IF(BANK_RAW!A286="","",TRIM(BANK_RAW!C286))</f>
        <v/>
      </c>
      <c r="E286" s="12">
        <f>IF(BANK_RAW!A286="","",IFERROR(ABS(BANK_RAW!D286),0))</f>
        <v/>
      </c>
      <c r="F286" s="12">
        <f>IF(BANK_RAW!A286="","",IFERROR(ABS(BANK_RAW!E286),0))</f>
        <v/>
      </c>
      <c r="G286" s="12">
        <f>IF(BANK_RAW!A286="","",IFERROR(BANK_RAW!F286,0))</f>
        <v/>
      </c>
      <c r="H286" s="11">
        <f>IF(BANK_RAW!A286="","",IF(E286&gt;0,"CR",IF(F286&gt;0,"DR","CR")))</f>
        <v/>
      </c>
      <c r="I286" s="12">
        <f>IF(BANK_RAW!A286="","",E286-F286)</f>
        <v/>
      </c>
      <c r="J286" s="12">
        <f>IF(BANK_RAW!A286="","",ABS(I286))</f>
        <v/>
      </c>
      <c r="K286" s="11">
        <f>IF(BANK_RAW!A286="","",IF(H286="CR","IN","OUT"))</f>
        <v/>
      </c>
      <c r="L286" s="11" t="inlineStr"/>
      <c r="M286" s="11" t="inlineStr"/>
    </row>
    <row r="287">
      <c r="A287" s="13">
        <f>IF(BANK_RAW!A287="","",ROW()-1)</f>
        <v/>
      </c>
      <c r="B287" s="10">
        <f>IF(BANK_RAW!A287="","",IF(ISNUMBER(BANK_RAW!A287),BANK_RAW!A287,DATEVALUE(TEXT(BANK_RAW!A287,"YYYY-MM-DD"))))</f>
        <v/>
      </c>
      <c r="C287" s="11">
        <f>IF(BANK_RAW!A287="","",TRIM(BANK_RAW!B287))</f>
        <v/>
      </c>
      <c r="D287" s="11">
        <f>IF(BANK_RAW!A287="","",TRIM(BANK_RAW!C287))</f>
        <v/>
      </c>
      <c r="E287" s="12">
        <f>IF(BANK_RAW!A287="","",IFERROR(ABS(BANK_RAW!D287),0))</f>
        <v/>
      </c>
      <c r="F287" s="12">
        <f>IF(BANK_RAW!A287="","",IFERROR(ABS(BANK_RAW!E287),0))</f>
        <v/>
      </c>
      <c r="G287" s="12">
        <f>IF(BANK_RAW!A287="","",IFERROR(BANK_RAW!F287,0))</f>
        <v/>
      </c>
      <c r="H287" s="11">
        <f>IF(BANK_RAW!A287="","",IF(E287&gt;0,"CR",IF(F287&gt;0,"DR","CR")))</f>
        <v/>
      </c>
      <c r="I287" s="12">
        <f>IF(BANK_RAW!A287="","",E287-F287)</f>
        <v/>
      </c>
      <c r="J287" s="12">
        <f>IF(BANK_RAW!A287="","",ABS(I287))</f>
        <v/>
      </c>
      <c r="K287" s="11">
        <f>IF(BANK_RAW!A287="","",IF(H287="CR","IN","OUT"))</f>
        <v/>
      </c>
      <c r="L287" s="11" t="inlineStr"/>
      <c r="M287" s="11" t="inlineStr"/>
    </row>
    <row r="288">
      <c r="A288" s="13">
        <f>IF(BANK_RAW!A288="","",ROW()-1)</f>
        <v/>
      </c>
      <c r="B288" s="10">
        <f>IF(BANK_RAW!A288="","",IF(ISNUMBER(BANK_RAW!A288),BANK_RAW!A288,DATEVALUE(TEXT(BANK_RAW!A288,"YYYY-MM-DD"))))</f>
        <v/>
      </c>
      <c r="C288" s="11">
        <f>IF(BANK_RAW!A288="","",TRIM(BANK_RAW!B288))</f>
        <v/>
      </c>
      <c r="D288" s="11">
        <f>IF(BANK_RAW!A288="","",TRIM(BANK_RAW!C288))</f>
        <v/>
      </c>
      <c r="E288" s="12">
        <f>IF(BANK_RAW!A288="","",IFERROR(ABS(BANK_RAW!D288),0))</f>
        <v/>
      </c>
      <c r="F288" s="12">
        <f>IF(BANK_RAW!A288="","",IFERROR(ABS(BANK_RAW!E288),0))</f>
        <v/>
      </c>
      <c r="G288" s="12">
        <f>IF(BANK_RAW!A288="","",IFERROR(BANK_RAW!F288,0))</f>
        <v/>
      </c>
      <c r="H288" s="11">
        <f>IF(BANK_RAW!A288="","",IF(E288&gt;0,"CR",IF(F288&gt;0,"DR","CR")))</f>
        <v/>
      </c>
      <c r="I288" s="12">
        <f>IF(BANK_RAW!A288="","",E288-F288)</f>
        <v/>
      </c>
      <c r="J288" s="12">
        <f>IF(BANK_RAW!A288="","",ABS(I288))</f>
        <v/>
      </c>
      <c r="K288" s="11">
        <f>IF(BANK_RAW!A288="","",IF(H288="CR","IN","OUT"))</f>
        <v/>
      </c>
      <c r="L288" s="11" t="inlineStr"/>
      <c r="M288" s="11" t="inlineStr"/>
    </row>
    <row r="289">
      <c r="A289" s="13">
        <f>IF(BANK_RAW!A289="","",ROW()-1)</f>
        <v/>
      </c>
      <c r="B289" s="10">
        <f>IF(BANK_RAW!A289="","",IF(ISNUMBER(BANK_RAW!A289),BANK_RAW!A289,DATEVALUE(TEXT(BANK_RAW!A289,"YYYY-MM-DD"))))</f>
        <v/>
      </c>
      <c r="C289" s="11">
        <f>IF(BANK_RAW!A289="","",TRIM(BANK_RAW!B289))</f>
        <v/>
      </c>
      <c r="D289" s="11">
        <f>IF(BANK_RAW!A289="","",TRIM(BANK_RAW!C289))</f>
        <v/>
      </c>
      <c r="E289" s="12">
        <f>IF(BANK_RAW!A289="","",IFERROR(ABS(BANK_RAW!D289),0))</f>
        <v/>
      </c>
      <c r="F289" s="12">
        <f>IF(BANK_RAW!A289="","",IFERROR(ABS(BANK_RAW!E289),0))</f>
        <v/>
      </c>
      <c r="G289" s="12">
        <f>IF(BANK_RAW!A289="","",IFERROR(BANK_RAW!F289,0))</f>
        <v/>
      </c>
      <c r="H289" s="11">
        <f>IF(BANK_RAW!A289="","",IF(E289&gt;0,"CR",IF(F289&gt;0,"DR","CR")))</f>
        <v/>
      </c>
      <c r="I289" s="12">
        <f>IF(BANK_RAW!A289="","",E289-F289)</f>
        <v/>
      </c>
      <c r="J289" s="12">
        <f>IF(BANK_RAW!A289="","",ABS(I289))</f>
        <v/>
      </c>
      <c r="K289" s="11">
        <f>IF(BANK_RAW!A289="","",IF(H289="CR","IN","OUT"))</f>
        <v/>
      </c>
      <c r="L289" s="11" t="inlineStr"/>
      <c r="M289" s="11" t="inlineStr"/>
    </row>
    <row r="290">
      <c r="A290" s="13">
        <f>IF(BANK_RAW!A290="","",ROW()-1)</f>
        <v/>
      </c>
      <c r="B290" s="10">
        <f>IF(BANK_RAW!A290="","",IF(ISNUMBER(BANK_RAW!A290),BANK_RAW!A290,DATEVALUE(TEXT(BANK_RAW!A290,"YYYY-MM-DD"))))</f>
        <v/>
      </c>
      <c r="C290" s="11">
        <f>IF(BANK_RAW!A290="","",TRIM(BANK_RAW!B290))</f>
        <v/>
      </c>
      <c r="D290" s="11">
        <f>IF(BANK_RAW!A290="","",TRIM(BANK_RAW!C290))</f>
        <v/>
      </c>
      <c r="E290" s="12">
        <f>IF(BANK_RAW!A290="","",IFERROR(ABS(BANK_RAW!D290),0))</f>
        <v/>
      </c>
      <c r="F290" s="12">
        <f>IF(BANK_RAW!A290="","",IFERROR(ABS(BANK_RAW!E290),0))</f>
        <v/>
      </c>
      <c r="G290" s="12">
        <f>IF(BANK_RAW!A290="","",IFERROR(BANK_RAW!F290,0))</f>
        <v/>
      </c>
      <c r="H290" s="11">
        <f>IF(BANK_RAW!A290="","",IF(E290&gt;0,"CR",IF(F290&gt;0,"DR","CR")))</f>
        <v/>
      </c>
      <c r="I290" s="12">
        <f>IF(BANK_RAW!A290="","",E290-F290)</f>
        <v/>
      </c>
      <c r="J290" s="12">
        <f>IF(BANK_RAW!A290="","",ABS(I290))</f>
        <v/>
      </c>
      <c r="K290" s="11">
        <f>IF(BANK_RAW!A290="","",IF(H290="CR","IN","OUT"))</f>
        <v/>
      </c>
      <c r="L290" s="11" t="inlineStr"/>
      <c r="M290" s="11" t="inlineStr"/>
    </row>
    <row r="291">
      <c r="A291" s="13">
        <f>IF(BANK_RAW!A291="","",ROW()-1)</f>
        <v/>
      </c>
      <c r="B291" s="10">
        <f>IF(BANK_RAW!A291="","",IF(ISNUMBER(BANK_RAW!A291),BANK_RAW!A291,DATEVALUE(TEXT(BANK_RAW!A291,"YYYY-MM-DD"))))</f>
        <v/>
      </c>
      <c r="C291" s="11">
        <f>IF(BANK_RAW!A291="","",TRIM(BANK_RAW!B291))</f>
        <v/>
      </c>
      <c r="D291" s="11">
        <f>IF(BANK_RAW!A291="","",TRIM(BANK_RAW!C291))</f>
        <v/>
      </c>
      <c r="E291" s="12">
        <f>IF(BANK_RAW!A291="","",IFERROR(ABS(BANK_RAW!D291),0))</f>
        <v/>
      </c>
      <c r="F291" s="12">
        <f>IF(BANK_RAW!A291="","",IFERROR(ABS(BANK_RAW!E291),0))</f>
        <v/>
      </c>
      <c r="G291" s="12">
        <f>IF(BANK_RAW!A291="","",IFERROR(BANK_RAW!F291,0))</f>
        <v/>
      </c>
      <c r="H291" s="11">
        <f>IF(BANK_RAW!A291="","",IF(E291&gt;0,"CR",IF(F291&gt;0,"DR","CR")))</f>
        <v/>
      </c>
      <c r="I291" s="12">
        <f>IF(BANK_RAW!A291="","",E291-F291)</f>
        <v/>
      </c>
      <c r="J291" s="12">
        <f>IF(BANK_RAW!A291="","",ABS(I291))</f>
        <v/>
      </c>
      <c r="K291" s="11">
        <f>IF(BANK_RAW!A291="","",IF(H291="CR","IN","OUT"))</f>
        <v/>
      </c>
      <c r="L291" s="11" t="inlineStr"/>
      <c r="M291" s="11" t="inlineStr"/>
    </row>
    <row r="292">
      <c r="A292" s="13">
        <f>IF(BANK_RAW!A292="","",ROW()-1)</f>
        <v/>
      </c>
      <c r="B292" s="10">
        <f>IF(BANK_RAW!A292="","",IF(ISNUMBER(BANK_RAW!A292),BANK_RAW!A292,DATEVALUE(TEXT(BANK_RAW!A292,"YYYY-MM-DD"))))</f>
        <v/>
      </c>
      <c r="C292" s="11">
        <f>IF(BANK_RAW!A292="","",TRIM(BANK_RAW!B292))</f>
        <v/>
      </c>
      <c r="D292" s="11">
        <f>IF(BANK_RAW!A292="","",TRIM(BANK_RAW!C292))</f>
        <v/>
      </c>
      <c r="E292" s="12">
        <f>IF(BANK_RAW!A292="","",IFERROR(ABS(BANK_RAW!D292),0))</f>
        <v/>
      </c>
      <c r="F292" s="12">
        <f>IF(BANK_RAW!A292="","",IFERROR(ABS(BANK_RAW!E292),0))</f>
        <v/>
      </c>
      <c r="G292" s="12">
        <f>IF(BANK_RAW!A292="","",IFERROR(BANK_RAW!F292,0))</f>
        <v/>
      </c>
      <c r="H292" s="11">
        <f>IF(BANK_RAW!A292="","",IF(E292&gt;0,"CR",IF(F292&gt;0,"DR","CR")))</f>
        <v/>
      </c>
      <c r="I292" s="12">
        <f>IF(BANK_RAW!A292="","",E292-F292)</f>
        <v/>
      </c>
      <c r="J292" s="12">
        <f>IF(BANK_RAW!A292="","",ABS(I292))</f>
        <v/>
      </c>
      <c r="K292" s="11">
        <f>IF(BANK_RAW!A292="","",IF(H292="CR","IN","OUT"))</f>
        <v/>
      </c>
      <c r="L292" s="11" t="inlineStr"/>
      <c r="M292" s="11" t="inlineStr"/>
    </row>
    <row r="293">
      <c r="A293" s="13">
        <f>IF(BANK_RAW!A293="","",ROW()-1)</f>
        <v/>
      </c>
      <c r="B293" s="10">
        <f>IF(BANK_RAW!A293="","",IF(ISNUMBER(BANK_RAW!A293),BANK_RAW!A293,DATEVALUE(TEXT(BANK_RAW!A293,"YYYY-MM-DD"))))</f>
        <v/>
      </c>
      <c r="C293" s="11">
        <f>IF(BANK_RAW!A293="","",TRIM(BANK_RAW!B293))</f>
        <v/>
      </c>
      <c r="D293" s="11">
        <f>IF(BANK_RAW!A293="","",TRIM(BANK_RAW!C293))</f>
        <v/>
      </c>
      <c r="E293" s="12">
        <f>IF(BANK_RAW!A293="","",IFERROR(ABS(BANK_RAW!D293),0))</f>
        <v/>
      </c>
      <c r="F293" s="12">
        <f>IF(BANK_RAW!A293="","",IFERROR(ABS(BANK_RAW!E293),0))</f>
        <v/>
      </c>
      <c r="G293" s="12">
        <f>IF(BANK_RAW!A293="","",IFERROR(BANK_RAW!F293,0))</f>
        <v/>
      </c>
      <c r="H293" s="11">
        <f>IF(BANK_RAW!A293="","",IF(E293&gt;0,"CR",IF(F293&gt;0,"DR","CR")))</f>
        <v/>
      </c>
      <c r="I293" s="12">
        <f>IF(BANK_RAW!A293="","",E293-F293)</f>
        <v/>
      </c>
      <c r="J293" s="12">
        <f>IF(BANK_RAW!A293="","",ABS(I293))</f>
        <v/>
      </c>
      <c r="K293" s="11">
        <f>IF(BANK_RAW!A293="","",IF(H293="CR","IN","OUT"))</f>
        <v/>
      </c>
      <c r="L293" s="11" t="inlineStr"/>
      <c r="M293" s="11" t="inlineStr"/>
    </row>
    <row r="294">
      <c r="A294" s="13">
        <f>IF(BANK_RAW!A294="","",ROW()-1)</f>
        <v/>
      </c>
      <c r="B294" s="10">
        <f>IF(BANK_RAW!A294="","",IF(ISNUMBER(BANK_RAW!A294),BANK_RAW!A294,DATEVALUE(TEXT(BANK_RAW!A294,"YYYY-MM-DD"))))</f>
        <v/>
      </c>
      <c r="C294" s="11">
        <f>IF(BANK_RAW!A294="","",TRIM(BANK_RAW!B294))</f>
        <v/>
      </c>
      <c r="D294" s="11">
        <f>IF(BANK_RAW!A294="","",TRIM(BANK_RAW!C294))</f>
        <v/>
      </c>
      <c r="E294" s="12">
        <f>IF(BANK_RAW!A294="","",IFERROR(ABS(BANK_RAW!D294),0))</f>
        <v/>
      </c>
      <c r="F294" s="12">
        <f>IF(BANK_RAW!A294="","",IFERROR(ABS(BANK_RAW!E294),0))</f>
        <v/>
      </c>
      <c r="G294" s="12">
        <f>IF(BANK_RAW!A294="","",IFERROR(BANK_RAW!F294,0))</f>
        <v/>
      </c>
      <c r="H294" s="11">
        <f>IF(BANK_RAW!A294="","",IF(E294&gt;0,"CR",IF(F294&gt;0,"DR","CR")))</f>
        <v/>
      </c>
      <c r="I294" s="12">
        <f>IF(BANK_RAW!A294="","",E294-F294)</f>
        <v/>
      </c>
      <c r="J294" s="12">
        <f>IF(BANK_RAW!A294="","",ABS(I294))</f>
        <v/>
      </c>
      <c r="K294" s="11">
        <f>IF(BANK_RAW!A294="","",IF(H294="CR","IN","OUT"))</f>
        <v/>
      </c>
      <c r="L294" s="11" t="inlineStr"/>
      <c r="M294" s="11" t="inlineStr"/>
    </row>
    <row r="295">
      <c r="A295" s="13">
        <f>IF(BANK_RAW!A295="","",ROW()-1)</f>
        <v/>
      </c>
      <c r="B295" s="10">
        <f>IF(BANK_RAW!A295="","",IF(ISNUMBER(BANK_RAW!A295),BANK_RAW!A295,DATEVALUE(TEXT(BANK_RAW!A295,"YYYY-MM-DD"))))</f>
        <v/>
      </c>
      <c r="C295" s="11">
        <f>IF(BANK_RAW!A295="","",TRIM(BANK_RAW!B295))</f>
        <v/>
      </c>
      <c r="D295" s="11">
        <f>IF(BANK_RAW!A295="","",TRIM(BANK_RAW!C295))</f>
        <v/>
      </c>
      <c r="E295" s="12">
        <f>IF(BANK_RAW!A295="","",IFERROR(ABS(BANK_RAW!D295),0))</f>
        <v/>
      </c>
      <c r="F295" s="12">
        <f>IF(BANK_RAW!A295="","",IFERROR(ABS(BANK_RAW!E295),0))</f>
        <v/>
      </c>
      <c r="G295" s="12">
        <f>IF(BANK_RAW!A295="","",IFERROR(BANK_RAW!F295,0))</f>
        <v/>
      </c>
      <c r="H295" s="11">
        <f>IF(BANK_RAW!A295="","",IF(E295&gt;0,"CR",IF(F295&gt;0,"DR","CR")))</f>
        <v/>
      </c>
      <c r="I295" s="12">
        <f>IF(BANK_RAW!A295="","",E295-F295)</f>
        <v/>
      </c>
      <c r="J295" s="12">
        <f>IF(BANK_RAW!A295="","",ABS(I295))</f>
        <v/>
      </c>
      <c r="K295" s="11">
        <f>IF(BANK_RAW!A295="","",IF(H295="CR","IN","OUT"))</f>
        <v/>
      </c>
      <c r="L295" s="11" t="inlineStr"/>
      <c r="M295" s="11" t="inlineStr"/>
    </row>
    <row r="296">
      <c r="A296" s="13">
        <f>IF(BANK_RAW!A296="","",ROW()-1)</f>
        <v/>
      </c>
      <c r="B296" s="10">
        <f>IF(BANK_RAW!A296="","",IF(ISNUMBER(BANK_RAW!A296),BANK_RAW!A296,DATEVALUE(TEXT(BANK_RAW!A296,"YYYY-MM-DD"))))</f>
        <v/>
      </c>
      <c r="C296" s="11">
        <f>IF(BANK_RAW!A296="","",TRIM(BANK_RAW!B296))</f>
        <v/>
      </c>
      <c r="D296" s="11">
        <f>IF(BANK_RAW!A296="","",TRIM(BANK_RAW!C296))</f>
        <v/>
      </c>
      <c r="E296" s="12">
        <f>IF(BANK_RAW!A296="","",IFERROR(ABS(BANK_RAW!D296),0))</f>
        <v/>
      </c>
      <c r="F296" s="12">
        <f>IF(BANK_RAW!A296="","",IFERROR(ABS(BANK_RAW!E296),0))</f>
        <v/>
      </c>
      <c r="G296" s="12">
        <f>IF(BANK_RAW!A296="","",IFERROR(BANK_RAW!F296,0))</f>
        <v/>
      </c>
      <c r="H296" s="11">
        <f>IF(BANK_RAW!A296="","",IF(E296&gt;0,"CR",IF(F296&gt;0,"DR","CR")))</f>
        <v/>
      </c>
      <c r="I296" s="12">
        <f>IF(BANK_RAW!A296="","",E296-F296)</f>
        <v/>
      </c>
      <c r="J296" s="12">
        <f>IF(BANK_RAW!A296="","",ABS(I296))</f>
        <v/>
      </c>
      <c r="K296" s="11">
        <f>IF(BANK_RAW!A296="","",IF(H296="CR","IN","OUT"))</f>
        <v/>
      </c>
      <c r="L296" s="11" t="inlineStr"/>
      <c r="M296" s="11" t="inlineStr"/>
    </row>
    <row r="297">
      <c r="A297" s="13">
        <f>IF(BANK_RAW!A297="","",ROW()-1)</f>
        <v/>
      </c>
      <c r="B297" s="10">
        <f>IF(BANK_RAW!A297="","",IF(ISNUMBER(BANK_RAW!A297),BANK_RAW!A297,DATEVALUE(TEXT(BANK_RAW!A297,"YYYY-MM-DD"))))</f>
        <v/>
      </c>
      <c r="C297" s="11">
        <f>IF(BANK_RAW!A297="","",TRIM(BANK_RAW!B297))</f>
        <v/>
      </c>
      <c r="D297" s="11">
        <f>IF(BANK_RAW!A297="","",TRIM(BANK_RAW!C297))</f>
        <v/>
      </c>
      <c r="E297" s="12">
        <f>IF(BANK_RAW!A297="","",IFERROR(ABS(BANK_RAW!D297),0))</f>
        <v/>
      </c>
      <c r="F297" s="12">
        <f>IF(BANK_RAW!A297="","",IFERROR(ABS(BANK_RAW!E297),0))</f>
        <v/>
      </c>
      <c r="G297" s="12">
        <f>IF(BANK_RAW!A297="","",IFERROR(BANK_RAW!F297,0))</f>
        <v/>
      </c>
      <c r="H297" s="11">
        <f>IF(BANK_RAW!A297="","",IF(E297&gt;0,"CR",IF(F297&gt;0,"DR","CR")))</f>
        <v/>
      </c>
      <c r="I297" s="12">
        <f>IF(BANK_RAW!A297="","",E297-F297)</f>
        <v/>
      </c>
      <c r="J297" s="12">
        <f>IF(BANK_RAW!A297="","",ABS(I297))</f>
        <v/>
      </c>
      <c r="K297" s="11">
        <f>IF(BANK_RAW!A297="","",IF(H297="CR","IN","OUT"))</f>
        <v/>
      </c>
      <c r="L297" s="11" t="inlineStr"/>
      <c r="M297" s="11" t="inlineStr"/>
    </row>
    <row r="298">
      <c r="A298" s="13">
        <f>IF(BANK_RAW!A298="","",ROW()-1)</f>
        <v/>
      </c>
      <c r="B298" s="10">
        <f>IF(BANK_RAW!A298="","",IF(ISNUMBER(BANK_RAW!A298),BANK_RAW!A298,DATEVALUE(TEXT(BANK_RAW!A298,"YYYY-MM-DD"))))</f>
        <v/>
      </c>
      <c r="C298" s="11">
        <f>IF(BANK_RAW!A298="","",TRIM(BANK_RAW!B298))</f>
        <v/>
      </c>
      <c r="D298" s="11">
        <f>IF(BANK_RAW!A298="","",TRIM(BANK_RAW!C298))</f>
        <v/>
      </c>
      <c r="E298" s="12">
        <f>IF(BANK_RAW!A298="","",IFERROR(ABS(BANK_RAW!D298),0))</f>
        <v/>
      </c>
      <c r="F298" s="12">
        <f>IF(BANK_RAW!A298="","",IFERROR(ABS(BANK_RAW!E298),0))</f>
        <v/>
      </c>
      <c r="G298" s="12">
        <f>IF(BANK_RAW!A298="","",IFERROR(BANK_RAW!F298,0))</f>
        <v/>
      </c>
      <c r="H298" s="11">
        <f>IF(BANK_RAW!A298="","",IF(E298&gt;0,"CR",IF(F298&gt;0,"DR","CR")))</f>
        <v/>
      </c>
      <c r="I298" s="12">
        <f>IF(BANK_RAW!A298="","",E298-F298)</f>
        <v/>
      </c>
      <c r="J298" s="12">
        <f>IF(BANK_RAW!A298="","",ABS(I298))</f>
        <v/>
      </c>
      <c r="K298" s="11">
        <f>IF(BANK_RAW!A298="","",IF(H298="CR","IN","OUT"))</f>
        <v/>
      </c>
      <c r="L298" s="11" t="inlineStr"/>
      <c r="M298" s="11" t="inlineStr"/>
    </row>
    <row r="299">
      <c r="A299" s="13">
        <f>IF(BANK_RAW!A299="","",ROW()-1)</f>
        <v/>
      </c>
      <c r="B299" s="10">
        <f>IF(BANK_RAW!A299="","",IF(ISNUMBER(BANK_RAW!A299),BANK_RAW!A299,DATEVALUE(TEXT(BANK_RAW!A299,"YYYY-MM-DD"))))</f>
        <v/>
      </c>
      <c r="C299" s="11">
        <f>IF(BANK_RAW!A299="","",TRIM(BANK_RAW!B299))</f>
        <v/>
      </c>
      <c r="D299" s="11">
        <f>IF(BANK_RAW!A299="","",TRIM(BANK_RAW!C299))</f>
        <v/>
      </c>
      <c r="E299" s="12">
        <f>IF(BANK_RAW!A299="","",IFERROR(ABS(BANK_RAW!D299),0))</f>
        <v/>
      </c>
      <c r="F299" s="12">
        <f>IF(BANK_RAW!A299="","",IFERROR(ABS(BANK_RAW!E299),0))</f>
        <v/>
      </c>
      <c r="G299" s="12">
        <f>IF(BANK_RAW!A299="","",IFERROR(BANK_RAW!F299,0))</f>
        <v/>
      </c>
      <c r="H299" s="11">
        <f>IF(BANK_RAW!A299="","",IF(E299&gt;0,"CR",IF(F299&gt;0,"DR","CR")))</f>
        <v/>
      </c>
      <c r="I299" s="12">
        <f>IF(BANK_RAW!A299="","",E299-F299)</f>
        <v/>
      </c>
      <c r="J299" s="12">
        <f>IF(BANK_RAW!A299="","",ABS(I299))</f>
        <v/>
      </c>
      <c r="K299" s="11">
        <f>IF(BANK_RAW!A299="","",IF(H299="CR","IN","OUT"))</f>
        <v/>
      </c>
      <c r="L299" s="11" t="inlineStr"/>
      <c r="M299" s="11" t="inlineStr"/>
    </row>
    <row r="300">
      <c r="A300" s="13">
        <f>IF(BANK_RAW!A300="","",ROW()-1)</f>
        <v/>
      </c>
      <c r="B300" s="10">
        <f>IF(BANK_RAW!A300="","",IF(ISNUMBER(BANK_RAW!A300),BANK_RAW!A300,DATEVALUE(TEXT(BANK_RAW!A300,"YYYY-MM-DD"))))</f>
        <v/>
      </c>
      <c r="C300" s="11">
        <f>IF(BANK_RAW!A300="","",TRIM(BANK_RAW!B300))</f>
        <v/>
      </c>
      <c r="D300" s="11">
        <f>IF(BANK_RAW!A300="","",TRIM(BANK_RAW!C300))</f>
        <v/>
      </c>
      <c r="E300" s="12">
        <f>IF(BANK_RAW!A300="","",IFERROR(ABS(BANK_RAW!D300),0))</f>
        <v/>
      </c>
      <c r="F300" s="12">
        <f>IF(BANK_RAW!A300="","",IFERROR(ABS(BANK_RAW!E300),0))</f>
        <v/>
      </c>
      <c r="G300" s="12">
        <f>IF(BANK_RAW!A300="","",IFERROR(BANK_RAW!F300,0))</f>
        <v/>
      </c>
      <c r="H300" s="11">
        <f>IF(BANK_RAW!A300="","",IF(E300&gt;0,"CR",IF(F300&gt;0,"DR","CR")))</f>
        <v/>
      </c>
      <c r="I300" s="12">
        <f>IF(BANK_RAW!A300="","",E300-F300)</f>
        <v/>
      </c>
      <c r="J300" s="12">
        <f>IF(BANK_RAW!A300="","",ABS(I300))</f>
        <v/>
      </c>
      <c r="K300" s="11">
        <f>IF(BANK_RAW!A300="","",IF(H300="CR","IN","OUT"))</f>
        <v/>
      </c>
      <c r="L300" s="11" t="inlineStr"/>
      <c r="M300" s="11" t="inlineStr"/>
    </row>
    <row r="301">
      <c r="A301" s="13">
        <f>IF(BANK_RAW!A301="","",ROW()-1)</f>
        <v/>
      </c>
      <c r="B301" s="10">
        <f>IF(BANK_RAW!A301="","",IF(ISNUMBER(BANK_RAW!A301),BANK_RAW!A301,DATEVALUE(TEXT(BANK_RAW!A301,"YYYY-MM-DD"))))</f>
        <v/>
      </c>
      <c r="C301" s="11">
        <f>IF(BANK_RAW!A301="","",TRIM(BANK_RAW!B301))</f>
        <v/>
      </c>
      <c r="D301" s="11">
        <f>IF(BANK_RAW!A301="","",TRIM(BANK_RAW!C301))</f>
        <v/>
      </c>
      <c r="E301" s="12">
        <f>IF(BANK_RAW!A301="","",IFERROR(ABS(BANK_RAW!D301),0))</f>
        <v/>
      </c>
      <c r="F301" s="12">
        <f>IF(BANK_RAW!A301="","",IFERROR(ABS(BANK_RAW!E301),0))</f>
        <v/>
      </c>
      <c r="G301" s="12">
        <f>IF(BANK_RAW!A301="","",IFERROR(BANK_RAW!F301,0))</f>
        <v/>
      </c>
      <c r="H301" s="11">
        <f>IF(BANK_RAW!A301="","",IF(E301&gt;0,"CR",IF(F301&gt;0,"DR","CR")))</f>
        <v/>
      </c>
      <c r="I301" s="12">
        <f>IF(BANK_RAW!A301="","",E301-F301)</f>
        <v/>
      </c>
      <c r="J301" s="12">
        <f>IF(BANK_RAW!A301="","",ABS(I301))</f>
        <v/>
      </c>
      <c r="K301" s="11">
        <f>IF(BANK_RAW!A301="","",IF(H301="CR","IN","OUT"))</f>
        <v/>
      </c>
      <c r="L301" s="11" t="inlineStr"/>
      <c r="M301" s="11" t="inlineStr"/>
    </row>
    <row r="302">
      <c r="A302" s="13">
        <f>IF(BANK_RAW!A302="","",ROW()-1)</f>
        <v/>
      </c>
      <c r="B302" s="10">
        <f>IF(BANK_RAW!A302="","",IF(ISNUMBER(BANK_RAW!A302),BANK_RAW!A302,DATEVALUE(TEXT(BANK_RAW!A302,"YYYY-MM-DD"))))</f>
        <v/>
      </c>
      <c r="C302" s="11">
        <f>IF(BANK_RAW!A302="","",TRIM(BANK_RAW!B302))</f>
        <v/>
      </c>
      <c r="D302" s="11">
        <f>IF(BANK_RAW!A302="","",TRIM(BANK_RAW!C302))</f>
        <v/>
      </c>
      <c r="E302" s="12">
        <f>IF(BANK_RAW!A302="","",IFERROR(ABS(BANK_RAW!D302),0))</f>
        <v/>
      </c>
      <c r="F302" s="12">
        <f>IF(BANK_RAW!A302="","",IFERROR(ABS(BANK_RAW!E302),0))</f>
        <v/>
      </c>
      <c r="G302" s="12">
        <f>IF(BANK_RAW!A302="","",IFERROR(BANK_RAW!F302,0))</f>
        <v/>
      </c>
      <c r="H302" s="11">
        <f>IF(BANK_RAW!A302="","",IF(E302&gt;0,"CR",IF(F302&gt;0,"DR","CR")))</f>
        <v/>
      </c>
      <c r="I302" s="12">
        <f>IF(BANK_RAW!A302="","",E302-F302)</f>
        <v/>
      </c>
      <c r="J302" s="12">
        <f>IF(BANK_RAW!A302="","",ABS(I302))</f>
        <v/>
      </c>
      <c r="K302" s="11">
        <f>IF(BANK_RAW!A302="","",IF(H302="CR","IN","OUT"))</f>
        <v/>
      </c>
      <c r="L302" s="11" t="inlineStr"/>
      <c r="M302" s="11" t="inlineStr"/>
    </row>
    <row r="303">
      <c r="A303" s="13">
        <f>IF(BANK_RAW!A303="","",ROW()-1)</f>
        <v/>
      </c>
      <c r="B303" s="10">
        <f>IF(BANK_RAW!A303="","",IF(ISNUMBER(BANK_RAW!A303),BANK_RAW!A303,DATEVALUE(TEXT(BANK_RAW!A303,"YYYY-MM-DD"))))</f>
        <v/>
      </c>
      <c r="C303" s="11">
        <f>IF(BANK_RAW!A303="","",TRIM(BANK_RAW!B303))</f>
        <v/>
      </c>
      <c r="D303" s="11">
        <f>IF(BANK_RAW!A303="","",TRIM(BANK_RAW!C303))</f>
        <v/>
      </c>
      <c r="E303" s="12">
        <f>IF(BANK_RAW!A303="","",IFERROR(ABS(BANK_RAW!D303),0))</f>
        <v/>
      </c>
      <c r="F303" s="12">
        <f>IF(BANK_RAW!A303="","",IFERROR(ABS(BANK_RAW!E303),0))</f>
        <v/>
      </c>
      <c r="G303" s="12">
        <f>IF(BANK_RAW!A303="","",IFERROR(BANK_RAW!F303,0))</f>
        <v/>
      </c>
      <c r="H303" s="11">
        <f>IF(BANK_RAW!A303="","",IF(E303&gt;0,"CR",IF(F303&gt;0,"DR","CR")))</f>
        <v/>
      </c>
      <c r="I303" s="12">
        <f>IF(BANK_RAW!A303="","",E303-F303)</f>
        <v/>
      </c>
      <c r="J303" s="12">
        <f>IF(BANK_RAW!A303="","",ABS(I303))</f>
        <v/>
      </c>
      <c r="K303" s="11">
        <f>IF(BANK_RAW!A303="","",IF(H303="CR","IN","OUT"))</f>
        <v/>
      </c>
      <c r="L303" s="11" t="inlineStr"/>
      <c r="M303" s="11" t="inlineStr"/>
    </row>
    <row r="304">
      <c r="A304" s="13">
        <f>IF(BANK_RAW!A304="","",ROW()-1)</f>
        <v/>
      </c>
      <c r="B304" s="10">
        <f>IF(BANK_RAW!A304="","",IF(ISNUMBER(BANK_RAW!A304),BANK_RAW!A304,DATEVALUE(TEXT(BANK_RAW!A304,"YYYY-MM-DD"))))</f>
        <v/>
      </c>
      <c r="C304" s="11">
        <f>IF(BANK_RAW!A304="","",TRIM(BANK_RAW!B304))</f>
        <v/>
      </c>
      <c r="D304" s="11">
        <f>IF(BANK_RAW!A304="","",TRIM(BANK_RAW!C304))</f>
        <v/>
      </c>
      <c r="E304" s="12">
        <f>IF(BANK_RAW!A304="","",IFERROR(ABS(BANK_RAW!D304),0))</f>
        <v/>
      </c>
      <c r="F304" s="12">
        <f>IF(BANK_RAW!A304="","",IFERROR(ABS(BANK_RAW!E304),0))</f>
        <v/>
      </c>
      <c r="G304" s="12">
        <f>IF(BANK_RAW!A304="","",IFERROR(BANK_RAW!F304,0))</f>
        <v/>
      </c>
      <c r="H304" s="11">
        <f>IF(BANK_RAW!A304="","",IF(E304&gt;0,"CR",IF(F304&gt;0,"DR","CR")))</f>
        <v/>
      </c>
      <c r="I304" s="12">
        <f>IF(BANK_RAW!A304="","",E304-F304)</f>
        <v/>
      </c>
      <c r="J304" s="12">
        <f>IF(BANK_RAW!A304="","",ABS(I304))</f>
        <v/>
      </c>
      <c r="K304" s="11">
        <f>IF(BANK_RAW!A304="","",IF(H304="CR","IN","OUT"))</f>
        <v/>
      </c>
      <c r="L304" s="11" t="inlineStr"/>
      <c r="M304" s="11" t="inlineStr"/>
    </row>
    <row r="305">
      <c r="A305" s="13">
        <f>IF(BANK_RAW!A305="","",ROW()-1)</f>
        <v/>
      </c>
      <c r="B305" s="10">
        <f>IF(BANK_RAW!A305="","",IF(ISNUMBER(BANK_RAW!A305),BANK_RAW!A305,DATEVALUE(TEXT(BANK_RAW!A305,"YYYY-MM-DD"))))</f>
        <v/>
      </c>
      <c r="C305" s="11">
        <f>IF(BANK_RAW!A305="","",TRIM(BANK_RAW!B305))</f>
        <v/>
      </c>
      <c r="D305" s="11">
        <f>IF(BANK_RAW!A305="","",TRIM(BANK_RAW!C305))</f>
        <v/>
      </c>
      <c r="E305" s="12">
        <f>IF(BANK_RAW!A305="","",IFERROR(ABS(BANK_RAW!D305),0))</f>
        <v/>
      </c>
      <c r="F305" s="12">
        <f>IF(BANK_RAW!A305="","",IFERROR(ABS(BANK_RAW!E305),0))</f>
        <v/>
      </c>
      <c r="G305" s="12">
        <f>IF(BANK_RAW!A305="","",IFERROR(BANK_RAW!F305,0))</f>
        <v/>
      </c>
      <c r="H305" s="11">
        <f>IF(BANK_RAW!A305="","",IF(E305&gt;0,"CR",IF(F305&gt;0,"DR","CR")))</f>
        <v/>
      </c>
      <c r="I305" s="12">
        <f>IF(BANK_RAW!A305="","",E305-F305)</f>
        <v/>
      </c>
      <c r="J305" s="12">
        <f>IF(BANK_RAW!A305="","",ABS(I305))</f>
        <v/>
      </c>
      <c r="K305" s="11">
        <f>IF(BANK_RAW!A305="","",IF(H305="CR","IN","OUT"))</f>
        <v/>
      </c>
      <c r="L305" s="11" t="inlineStr"/>
      <c r="M305" s="11" t="inlineStr"/>
    </row>
    <row r="306">
      <c r="A306" s="13">
        <f>IF(BANK_RAW!A306="","",ROW()-1)</f>
        <v/>
      </c>
      <c r="B306" s="10">
        <f>IF(BANK_RAW!A306="","",IF(ISNUMBER(BANK_RAW!A306),BANK_RAW!A306,DATEVALUE(TEXT(BANK_RAW!A306,"YYYY-MM-DD"))))</f>
        <v/>
      </c>
      <c r="C306" s="11">
        <f>IF(BANK_RAW!A306="","",TRIM(BANK_RAW!B306))</f>
        <v/>
      </c>
      <c r="D306" s="11">
        <f>IF(BANK_RAW!A306="","",TRIM(BANK_RAW!C306))</f>
        <v/>
      </c>
      <c r="E306" s="12">
        <f>IF(BANK_RAW!A306="","",IFERROR(ABS(BANK_RAW!D306),0))</f>
        <v/>
      </c>
      <c r="F306" s="12">
        <f>IF(BANK_RAW!A306="","",IFERROR(ABS(BANK_RAW!E306),0))</f>
        <v/>
      </c>
      <c r="G306" s="12">
        <f>IF(BANK_RAW!A306="","",IFERROR(BANK_RAW!F306,0))</f>
        <v/>
      </c>
      <c r="H306" s="11">
        <f>IF(BANK_RAW!A306="","",IF(E306&gt;0,"CR",IF(F306&gt;0,"DR","CR")))</f>
        <v/>
      </c>
      <c r="I306" s="12">
        <f>IF(BANK_RAW!A306="","",E306-F306)</f>
        <v/>
      </c>
      <c r="J306" s="12">
        <f>IF(BANK_RAW!A306="","",ABS(I306))</f>
        <v/>
      </c>
      <c r="K306" s="11">
        <f>IF(BANK_RAW!A306="","",IF(H306="CR","IN","OUT"))</f>
        <v/>
      </c>
      <c r="L306" s="11" t="inlineStr"/>
      <c r="M306" s="11" t="inlineStr"/>
    </row>
    <row r="307">
      <c r="A307" s="13">
        <f>IF(BANK_RAW!A307="","",ROW()-1)</f>
        <v/>
      </c>
      <c r="B307" s="10">
        <f>IF(BANK_RAW!A307="","",IF(ISNUMBER(BANK_RAW!A307),BANK_RAW!A307,DATEVALUE(TEXT(BANK_RAW!A307,"YYYY-MM-DD"))))</f>
        <v/>
      </c>
      <c r="C307" s="11">
        <f>IF(BANK_RAW!A307="","",TRIM(BANK_RAW!B307))</f>
        <v/>
      </c>
      <c r="D307" s="11">
        <f>IF(BANK_RAW!A307="","",TRIM(BANK_RAW!C307))</f>
        <v/>
      </c>
      <c r="E307" s="12">
        <f>IF(BANK_RAW!A307="","",IFERROR(ABS(BANK_RAW!D307),0))</f>
        <v/>
      </c>
      <c r="F307" s="12">
        <f>IF(BANK_RAW!A307="","",IFERROR(ABS(BANK_RAW!E307),0))</f>
        <v/>
      </c>
      <c r="G307" s="12">
        <f>IF(BANK_RAW!A307="","",IFERROR(BANK_RAW!F307,0))</f>
        <v/>
      </c>
      <c r="H307" s="11">
        <f>IF(BANK_RAW!A307="","",IF(E307&gt;0,"CR",IF(F307&gt;0,"DR","CR")))</f>
        <v/>
      </c>
      <c r="I307" s="12">
        <f>IF(BANK_RAW!A307="","",E307-F307)</f>
        <v/>
      </c>
      <c r="J307" s="12">
        <f>IF(BANK_RAW!A307="","",ABS(I307))</f>
        <v/>
      </c>
      <c r="K307" s="11">
        <f>IF(BANK_RAW!A307="","",IF(H307="CR","IN","OUT"))</f>
        <v/>
      </c>
      <c r="L307" s="11" t="inlineStr"/>
      <c r="M307" s="11" t="inlineStr"/>
    </row>
    <row r="308">
      <c r="A308" s="13">
        <f>IF(BANK_RAW!A308="","",ROW()-1)</f>
        <v/>
      </c>
      <c r="B308" s="10">
        <f>IF(BANK_RAW!A308="","",IF(ISNUMBER(BANK_RAW!A308),BANK_RAW!A308,DATEVALUE(TEXT(BANK_RAW!A308,"YYYY-MM-DD"))))</f>
        <v/>
      </c>
      <c r="C308" s="11">
        <f>IF(BANK_RAW!A308="","",TRIM(BANK_RAW!B308))</f>
        <v/>
      </c>
      <c r="D308" s="11">
        <f>IF(BANK_RAW!A308="","",TRIM(BANK_RAW!C308))</f>
        <v/>
      </c>
      <c r="E308" s="12">
        <f>IF(BANK_RAW!A308="","",IFERROR(ABS(BANK_RAW!D308),0))</f>
        <v/>
      </c>
      <c r="F308" s="12">
        <f>IF(BANK_RAW!A308="","",IFERROR(ABS(BANK_RAW!E308),0))</f>
        <v/>
      </c>
      <c r="G308" s="12">
        <f>IF(BANK_RAW!A308="","",IFERROR(BANK_RAW!F308,0))</f>
        <v/>
      </c>
      <c r="H308" s="11">
        <f>IF(BANK_RAW!A308="","",IF(E308&gt;0,"CR",IF(F308&gt;0,"DR","CR")))</f>
        <v/>
      </c>
      <c r="I308" s="12">
        <f>IF(BANK_RAW!A308="","",E308-F308)</f>
        <v/>
      </c>
      <c r="J308" s="12">
        <f>IF(BANK_RAW!A308="","",ABS(I308))</f>
        <v/>
      </c>
      <c r="K308" s="11">
        <f>IF(BANK_RAW!A308="","",IF(H308="CR","IN","OUT"))</f>
        <v/>
      </c>
      <c r="L308" s="11" t="inlineStr"/>
      <c r="M308" s="11" t="inlineStr"/>
    </row>
    <row r="309">
      <c r="A309" s="13">
        <f>IF(BANK_RAW!A309="","",ROW()-1)</f>
        <v/>
      </c>
      <c r="B309" s="10">
        <f>IF(BANK_RAW!A309="","",IF(ISNUMBER(BANK_RAW!A309),BANK_RAW!A309,DATEVALUE(TEXT(BANK_RAW!A309,"YYYY-MM-DD"))))</f>
        <v/>
      </c>
      <c r="C309" s="11">
        <f>IF(BANK_RAW!A309="","",TRIM(BANK_RAW!B309))</f>
        <v/>
      </c>
      <c r="D309" s="11">
        <f>IF(BANK_RAW!A309="","",TRIM(BANK_RAW!C309))</f>
        <v/>
      </c>
      <c r="E309" s="12">
        <f>IF(BANK_RAW!A309="","",IFERROR(ABS(BANK_RAW!D309),0))</f>
        <v/>
      </c>
      <c r="F309" s="12">
        <f>IF(BANK_RAW!A309="","",IFERROR(ABS(BANK_RAW!E309),0))</f>
        <v/>
      </c>
      <c r="G309" s="12">
        <f>IF(BANK_RAW!A309="","",IFERROR(BANK_RAW!F309,0))</f>
        <v/>
      </c>
      <c r="H309" s="11">
        <f>IF(BANK_RAW!A309="","",IF(E309&gt;0,"CR",IF(F309&gt;0,"DR","CR")))</f>
        <v/>
      </c>
      <c r="I309" s="12">
        <f>IF(BANK_RAW!A309="","",E309-F309)</f>
        <v/>
      </c>
      <c r="J309" s="12">
        <f>IF(BANK_RAW!A309="","",ABS(I309))</f>
        <v/>
      </c>
      <c r="K309" s="11">
        <f>IF(BANK_RAW!A309="","",IF(H309="CR","IN","OUT"))</f>
        <v/>
      </c>
      <c r="L309" s="11" t="inlineStr"/>
      <c r="M309" s="11" t="inlineStr"/>
    </row>
    <row r="310">
      <c r="A310" s="13">
        <f>IF(BANK_RAW!A310="","",ROW()-1)</f>
        <v/>
      </c>
      <c r="B310" s="10">
        <f>IF(BANK_RAW!A310="","",IF(ISNUMBER(BANK_RAW!A310),BANK_RAW!A310,DATEVALUE(TEXT(BANK_RAW!A310,"YYYY-MM-DD"))))</f>
        <v/>
      </c>
      <c r="C310" s="11">
        <f>IF(BANK_RAW!A310="","",TRIM(BANK_RAW!B310))</f>
        <v/>
      </c>
      <c r="D310" s="11">
        <f>IF(BANK_RAW!A310="","",TRIM(BANK_RAW!C310))</f>
        <v/>
      </c>
      <c r="E310" s="12">
        <f>IF(BANK_RAW!A310="","",IFERROR(ABS(BANK_RAW!D310),0))</f>
        <v/>
      </c>
      <c r="F310" s="12">
        <f>IF(BANK_RAW!A310="","",IFERROR(ABS(BANK_RAW!E310),0))</f>
        <v/>
      </c>
      <c r="G310" s="12">
        <f>IF(BANK_RAW!A310="","",IFERROR(BANK_RAW!F310,0))</f>
        <v/>
      </c>
      <c r="H310" s="11">
        <f>IF(BANK_RAW!A310="","",IF(E310&gt;0,"CR",IF(F310&gt;0,"DR","CR")))</f>
        <v/>
      </c>
      <c r="I310" s="12">
        <f>IF(BANK_RAW!A310="","",E310-F310)</f>
        <v/>
      </c>
      <c r="J310" s="12">
        <f>IF(BANK_RAW!A310="","",ABS(I310))</f>
        <v/>
      </c>
      <c r="K310" s="11">
        <f>IF(BANK_RAW!A310="","",IF(H310="CR","IN","OUT"))</f>
        <v/>
      </c>
      <c r="L310" s="11" t="inlineStr"/>
      <c r="M310" s="11" t="inlineStr"/>
    </row>
    <row r="311">
      <c r="A311" s="13">
        <f>IF(BANK_RAW!A311="","",ROW()-1)</f>
        <v/>
      </c>
      <c r="B311" s="10">
        <f>IF(BANK_RAW!A311="","",IF(ISNUMBER(BANK_RAW!A311),BANK_RAW!A311,DATEVALUE(TEXT(BANK_RAW!A311,"YYYY-MM-DD"))))</f>
        <v/>
      </c>
      <c r="C311" s="11">
        <f>IF(BANK_RAW!A311="","",TRIM(BANK_RAW!B311))</f>
        <v/>
      </c>
      <c r="D311" s="11">
        <f>IF(BANK_RAW!A311="","",TRIM(BANK_RAW!C311))</f>
        <v/>
      </c>
      <c r="E311" s="12">
        <f>IF(BANK_RAW!A311="","",IFERROR(ABS(BANK_RAW!D311),0))</f>
        <v/>
      </c>
      <c r="F311" s="12">
        <f>IF(BANK_RAW!A311="","",IFERROR(ABS(BANK_RAW!E311),0))</f>
        <v/>
      </c>
      <c r="G311" s="12">
        <f>IF(BANK_RAW!A311="","",IFERROR(BANK_RAW!F311,0))</f>
        <v/>
      </c>
      <c r="H311" s="11">
        <f>IF(BANK_RAW!A311="","",IF(E311&gt;0,"CR",IF(F311&gt;0,"DR","CR")))</f>
        <v/>
      </c>
      <c r="I311" s="12">
        <f>IF(BANK_RAW!A311="","",E311-F311)</f>
        <v/>
      </c>
      <c r="J311" s="12">
        <f>IF(BANK_RAW!A311="","",ABS(I311))</f>
        <v/>
      </c>
      <c r="K311" s="11">
        <f>IF(BANK_RAW!A311="","",IF(H311="CR","IN","OUT"))</f>
        <v/>
      </c>
      <c r="L311" s="11" t="inlineStr"/>
      <c r="M311" s="11" t="inlineStr"/>
    </row>
    <row r="312">
      <c r="A312" s="13">
        <f>IF(BANK_RAW!A312="","",ROW()-1)</f>
        <v/>
      </c>
      <c r="B312" s="10">
        <f>IF(BANK_RAW!A312="","",IF(ISNUMBER(BANK_RAW!A312),BANK_RAW!A312,DATEVALUE(TEXT(BANK_RAW!A312,"YYYY-MM-DD"))))</f>
        <v/>
      </c>
      <c r="C312" s="11">
        <f>IF(BANK_RAW!A312="","",TRIM(BANK_RAW!B312))</f>
        <v/>
      </c>
      <c r="D312" s="11">
        <f>IF(BANK_RAW!A312="","",TRIM(BANK_RAW!C312))</f>
        <v/>
      </c>
      <c r="E312" s="12">
        <f>IF(BANK_RAW!A312="","",IFERROR(ABS(BANK_RAW!D312),0))</f>
        <v/>
      </c>
      <c r="F312" s="12">
        <f>IF(BANK_RAW!A312="","",IFERROR(ABS(BANK_RAW!E312),0))</f>
        <v/>
      </c>
      <c r="G312" s="12">
        <f>IF(BANK_RAW!A312="","",IFERROR(BANK_RAW!F312,0))</f>
        <v/>
      </c>
      <c r="H312" s="11">
        <f>IF(BANK_RAW!A312="","",IF(E312&gt;0,"CR",IF(F312&gt;0,"DR","CR")))</f>
        <v/>
      </c>
      <c r="I312" s="12">
        <f>IF(BANK_RAW!A312="","",E312-F312)</f>
        <v/>
      </c>
      <c r="J312" s="12">
        <f>IF(BANK_RAW!A312="","",ABS(I312))</f>
        <v/>
      </c>
      <c r="K312" s="11">
        <f>IF(BANK_RAW!A312="","",IF(H312="CR","IN","OUT"))</f>
        <v/>
      </c>
      <c r="L312" s="11" t="inlineStr"/>
      <c r="M312" s="11" t="inlineStr"/>
    </row>
    <row r="313">
      <c r="A313" s="13">
        <f>IF(BANK_RAW!A313="","",ROW()-1)</f>
        <v/>
      </c>
      <c r="B313" s="10">
        <f>IF(BANK_RAW!A313="","",IF(ISNUMBER(BANK_RAW!A313),BANK_RAW!A313,DATEVALUE(TEXT(BANK_RAW!A313,"YYYY-MM-DD"))))</f>
        <v/>
      </c>
      <c r="C313" s="11">
        <f>IF(BANK_RAW!A313="","",TRIM(BANK_RAW!B313))</f>
        <v/>
      </c>
      <c r="D313" s="11">
        <f>IF(BANK_RAW!A313="","",TRIM(BANK_RAW!C313))</f>
        <v/>
      </c>
      <c r="E313" s="12">
        <f>IF(BANK_RAW!A313="","",IFERROR(ABS(BANK_RAW!D313),0))</f>
        <v/>
      </c>
      <c r="F313" s="12">
        <f>IF(BANK_RAW!A313="","",IFERROR(ABS(BANK_RAW!E313),0))</f>
        <v/>
      </c>
      <c r="G313" s="12">
        <f>IF(BANK_RAW!A313="","",IFERROR(BANK_RAW!F313,0))</f>
        <v/>
      </c>
      <c r="H313" s="11">
        <f>IF(BANK_RAW!A313="","",IF(E313&gt;0,"CR",IF(F313&gt;0,"DR","CR")))</f>
        <v/>
      </c>
      <c r="I313" s="12">
        <f>IF(BANK_RAW!A313="","",E313-F313)</f>
        <v/>
      </c>
      <c r="J313" s="12">
        <f>IF(BANK_RAW!A313="","",ABS(I313))</f>
        <v/>
      </c>
      <c r="K313" s="11">
        <f>IF(BANK_RAW!A313="","",IF(H313="CR","IN","OUT"))</f>
        <v/>
      </c>
      <c r="L313" s="11" t="inlineStr"/>
      <c r="M313" s="11" t="inlineStr"/>
    </row>
    <row r="314">
      <c r="A314" s="13">
        <f>IF(BANK_RAW!A314="","",ROW()-1)</f>
        <v/>
      </c>
      <c r="B314" s="10">
        <f>IF(BANK_RAW!A314="","",IF(ISNUMBER(BANK_RAW!A314),BANK_RAW!A314,DATEVALUE(TEXT(BANK_RAW!A314,"YYYY-MM-DD"))))</f>
        <v/>
      </c>
      <c r="C314" s="11">
        <f>IF(BANK_RAW!A314="","",TRIM(BANK_RAW!B314))</f>
        <v/>
      </c>
      <c r="D314" s="11">
        <f>IF(BANK_RAW!A314="","",TRIM(BANK_RAW!C314))</f>
        <v/>
      </c>
      <c r="E314" s="12">
        <f>IF(BANK_RAW!A314="","",IFERROR(ABS(BANK_RAW!D314),0))</f>
        <v/>
      </c>
      <c r="F314" s="12">
        <f>IF(BANK_RAW!A314="","",IFERROR(ABS(BANK_RAW!E314),0))</f>
        <v/>
      </c>
      <c r="G314" s="12">
        <f>IF(BANK_RAW!A314="","",IFERROR(BANK_RAW!F314,0))</f>
        <v/>
      </c>
      <c r="H314" s="11">
        <f>IF(BANK_RAW!A314="","",IF(E314&gt;0,"CR",IF(F314&gt;0,"DR","CR")))</f>
        <v/>
      </c>
      <c r="I314" s="12">
        <f>IF(BANK_RAW!A314="","",E314-F314)</f>
        <v/>
      </c>
      <c r="J314" s="12">
        <f>IF(BANK_RAW!A314="","",ABS(I314))</f>
        <v/>
      </c>
      <c r="K314" s="11">
        <f>IF(BANK_RAW!A314="","",IF(H314="CR","IN","OUT"))</f>
        <v/>
      </c>
      <c r="L314" s="11" t="inlineStr"/>
      <c r="M314" s="11" t="inlineStr"/>
    </row>
    <row r="315">
      <c r="A315" s="13">
        <f>IF(BANK_RAW!A315="","",ROW()-1)</f>
        <v/>
      </c>
      <c r="B315" s="10">
        <f>IF(BANK_RAW!A315="","",IF(ISNUMBER(BANK_RAW!A315),BANK_RAW!A315,DATEVALUE(TEXT(BANK_RAW!A315,"YYYY-MM-DD"))))</f>
        <v/>
      </c>
      <c r="C315" s="11">
        <f>IF(BANK_RAW!A315="","",TRIM(BANK_RAW!B315))</f>
        <v/>
      </c>
      <c r="D315" s="11">
        <f>IF(BANK_RAW!A315="","",TRIM(BANK_RAW!C315))</f>
        <v/>
      </c>
      <c r="E315" s="12">
        <f>IF(BANK_RAW!A315="","",IFERROR(ABS(BANK_RAW!D315),0))</f>
        <v/>
      </c>
      <c r="F315" s="12">
        <f>IF(BANK_RAW!A315="","",IFERROR(ABS(BANK_RAW!E315),0))</f>
        <v/>
      </c>
      <c r="G315" s="12">
        <f>IF(BANK_RAW!A315="","",IFERROR(BANK_RAW!F315,0))</f>
        <v/>
      </c>
      <c r="H315" s="11">
        <f>IF(BANK_RAW!A315="","",IF(E315&gt;0,"CR",IF(F315&gt;0,"DR","CR")))</f>
        <v/>
      </c>
      <c r="I315" s="12">
        <f>IF(BANK_RAW!A315="","",E315-F315)</f>
        <v/>
      </c>
      <c r="J315" s="12">
        <f>IF(BANK_RAW!A315="","",ABS(I315))</f>
        <v/>
      </c>
      <c r="K315" s="11">
        <f>IF(BANK_RAW!A315="","",IF(H315="CR","IN","OUT"))</f>
        <v/>
      </c>
      <c r="L315" s="11" t="inlineStr"/>
      <c r="M315" s="11" t="inlineStr"/>
    </row>
    <row r="316">
      <c r="A316" s="13">
        <f>IF(BANK_RAW!A316="","",ROW()-1)</f>
        <v/>
      </c>
      <c r="B316" s="10">
        <f>IF(BANK_RAW!A316="","",IF(ISNUMBER(BANK_RAW!A316),BANK_RAW!A316,DATEVALUE(TEXT(BANK_RAW!A316,"YYYY-MM-DD"))))</f>
        <v/>
      </c>
      <c r="C316" s="11">
        <f>IF(BANK_RAW!A316="","",TRIM(BANK_RAW!B316))</f>
        <v/>
      </c>
      <c r="D316" s="11">
        <f>IF(BANK_RAW!A316="","",TRIM(BANK_RAW!C316))</f>
        <v/>
      </c>
      <c r="E316" s="12">
        <f>IF(BANK_RAW!A316="","",IFERROR(ABS(BANK_RAW!D316),0))</f>
        <v/>
      </c>
      <c r="F316" s="12">
        <f>IF(BANK_RAW!A316="","",IFERROR(ABS(BANK_RAW!E316),0))</f>
        <v/>
      </c>
      <c r="G316" s="12">
        <f>IF(BANK_RAW!A316="","",IFERROR(BANK_RAW!F316,0))</f>
        <v/>
      </c>
      <c r="H316" s="11">
        <f>IF(BANK_RAW!A316="","",IF(E316&gt;0,"CR",IF(F316&gt;0,"DR","CR")))</f>
        <v/>
      </c>
      <c r="I316" s="12">
        <f>IF(BANK_RAW!A316="","",E316-F316)</f>
        <v/>
      </c>
      <c r="J316" s="12">
        <f>IF(BANK_RAW!A316="","",ABS(I316))</f>
        <v/>
      </c>
      <c r="K316" s="11">
        <f>IF(BANK_RAW!A316="","",IF(H316="CR","IN","OUT"))</f>
        <v/>
      </c>
      <c r="L316" s="11" t="inlineStr"/>
      <c r="M316" s="11" t="inlineStr"/>
    </row>
    <row r="317">
      <c r="A317" s="13">
        <f>IF(BANK_RAW!A317="","",ROW()-1)</f>
        <v/>
      </c>
      <c r="B317" s="10">
        <f>IF(BANK_RAW!A317="","",IF(ISNUMBER(BANK_RAW!A317),BANK_RAW!A317,DATEVALUE(TEXT(BANK_RAW!A317,"YYYY-MM-DD"))))</f>
        <v/>
      </c>
      <c r="C317" s="11">
        <f>IF(BANK_RAW!A317="","",TRIM(BANK_RAW!B317))</f>
        <v/>
      </c>
      <c r="D317" s="11">
        <f>IF(BANK_RAW!A317="","",TRIM(BANK_RAW!C317))</f>
        <v/>
      </c>
      <c r="E317" s="12">
        <f>IF(BANK_RAW!A317="","",IFERROR(ABS(BANK_RAW!D317),0))</f>
        <v/>
      </c>
      <c r="F317" s="12">
        <f>IF(BANK_RAW!A317="","",IFERROR(ABS(BANK_RAW!E317),0))</f>
        <v/>
      </c>
      <c r="G317" s="12">
        <f>IF(BANK_RAW!A317="","",IFERROR(BANK_RAW!F317,0))</f>
        <v/>
      </c>
      <c r="H317" s="11">
        <f>IF(BANK_RAW!A317="","",IF(E317&gt;0,"CR",IF(F317&gt;0,"DR","CR")))</f>
        <v/>
      </c>
      <c r="I317" s="12">
        <f>IF(BANK_RAW!A317="","",E317-F317)</f>
        <v/>
      </c>
      <c r="J317" s="12">
        <f>IF(BANK_RAW!A317="","",ABS(I317))</f>
        <v/>
      </c>
      <c r="K317" s="11">
        <f>IF(BANK_RAW!A317="","",IF(H317="CR","IN","OUT"))</f>
        <v/>
      </c>
      <c r="L317" s="11" t="inlineStr"/>
      <c r="M317" s="11" t="inlineStr"/>
    </row>
    <row r="318">
      <c r="A318" s="13">
        <f>IF(BANK_RAW!A318="","",ROW()-1)</f>
        <v/>
      </c>
      <c r="B318" s="10">
        <f>IF(BANK_RAW!A318="","",IF(ISNUMBER(BANK_RAW!A318),BANK_RAW!A318,DATEVALUE(TEXT(BANK_RAW!A318,"YYYY-MM-DD"))))</f>
        <v/>
      </c>
      <c r="C318" s="11">
        <f>IF(BANK_RAW!A318="","",TRIM(BANK_RAW!B318))</f>
        <v/>
      </c>
      <c r="D318" s="11">
        <f>IF(BANK_RAW!A318="","",TRIM(BANK_RAW!C318))</f>
        <v/>
      </c>
      <c r="E318" s="12">
        <f>IF(BANK_RAW!A318="","",IFERROR(ABS(BANK_RAW!D318),0))</f>
        <v/>
      </c>
      <c r="F318" s="12">
        <f>IF(BANK_RAW!A318="","",IFERROR(ABS(BANK_RAW!E318),0))</f>
        <v/>
      </c>
      <c r="G318" s="12">
        <f>IF(BANK_RAW!A318="","",IFERROR(BANK_RAW!F318,0))</f>
        <v/>
      </c>
      <c r="H318" s="11">
        <f>IF(BANK_RAW!A318="","",IF(E318&gt;0,"CR",IF(F318&gt;0,"DR","CR")))</f>
        <v/>
      </c>
      <c r="I318" s="12">
        <f>IF(BANK_RAW!A318="","",E318-F318)</f>
        <v/>
      </c>
      <c r="J318" s="12">
        <f>IF(BANK_RAW!A318="","",ABS(I318))</f>
        <v/>
      </c>
      <c r="K318" s="11">
        <f>IF(BANK_RAW!A318="","",IF(H318="CR","IN","OUT"))</f>
        <v/>
      </c>
      <c r="L318" s="11" t="inlineStr"/>
      <c r="M318" s="11" t="inlineStr"/>
    </row>
    <row r="319">
      <c r="A319" s="13">
        <f>IF(BANK_RAW!A319="","",ROW()-1)</f>
        <v/>
      </c>
      <c r="B319" s="10">
        <f>IF(BANK_RAW!A319="","",IF(ISNUMBER(BANK_RAW!A319),BANK_RAW!A319,DATEVALUE(TEXT(BANK_RAW!A319,"YYYY-MM-DD"))))</f>
        <v/>
      </c>
      <c r="C319" s="11">
        <f>IF(BANK_RAW!A319="","",TRIM(BANK_RAW!B319))</f>
        <v/>
      </c>
      <c r="D319" s="11">
        <f>IF(BANK_RAW!A319="","",TRIM(BANK_RAW!C319))</f>
        <v/>
      </c>
      <c r="E319" s="12">
        <f>IF(BANK_RAW!A319="","",IFERROR(ABS(BANK_RAW!D319),0))</f>
        <v/>
      </c>
      <c r="F319" s="12">
        <f>IF(BANK_RAW!A319="","",IFERROR(ABS(BANK_RAW!E319),0))</f>
        <v/>
      </c>
      <c r="G319" s="12">
        <f>IF(BANK_RAW!A319="","",IFERROR(BANK_RAW!F319,0))</f>
        <v/>
      </c>
      <c r="H319" s="11">
        <f>IF(BANK_RAW!A319="","",IF(E319&gt;0,"CR",IF(F319&gt;0,"DR","CR")))</f>
        <v/>
      </c>
      <c r="I319" s="12">
        <f>IF(BANK_RAW!A319="","",E319-F319)</f>
        <v/>
      </c>
      <c r="J319" s="12">
        <f>IF(BANK_RAW!A319="","",ABS(I319))</f>
        <v/>
      </c>
      <c r="K319" s="11">
        <f>IF(BANK_RAW!A319="","",IF(H319="CR","IN","OUT"))</f>
        <v/>
      </c>
      <c r="L319" s="11" t="inlineStr"/>
      <c r="M319" s="11" t="inlineStr"/>
    </row>
    <row r="320">
      <c r="A320" s="13">
        <f>IF(BANK_RAW!A320="","",ROW()-1)</f>
        <v/>
      </c>
      <c r="B320" s="10">
        <f>IF(BANK_RAW!A320="","",IF(ISNUMBER(BANK_RAW!A320),BANK_RAW!A320,DATEVALUE(TEXT(BANK_RAW!A320,"YYYY-MM-DD"))))</f>
        <v/>
      </c>
      <c r="C320" s="11">
        <f>IF(BANK_RAW!A320="","",TRIM(BANK_RAW!B320))</f>
        <v/>
      </c>
      <c r="D320" s="11">
        <f>IF(BANK_RAW!A320="","",TRIM(BANK_RAW!C320))</f>
        <v/>
      </c>
      <c r="E320" s="12">
        <f>IF(BANK_RAW!A320="","",IFERROR(ABS(BANK_RAW!D320),0))</f>
        <v/>
      </c>
      <c r="F320" s="12">
        <f>IF(BANK_RAW!A320="","",IFERROR(ABS(BANK_RAW!E320),0))</f>
        <v/>
      </c>
      <c r="G320" s="12">
        <f>IF(BANK_RAW!A320="","",IFERROR(BANK_RAW!F320,0))</f>
        <v/>
      </c>
      <c r="H320" s="11">
        <f>IF(BANK_RAW!A320="","",IF(E320&gt;0,"CR",IF(F320&gt;0,"DR","CR")))</f>
        <v/>
      </c>
      <c r="I320" s="12">
        <f>IF(BANK_RAW!A320="","",E320-F320)</f>
        <v/>
      </c>
      <c r="J320" s="12">
        <f>IF(BANK_RAW!A320="","",ABS(I320))</f>
        <v/>
      </c>
      <c r="K320" s="11">
        <f>IF(BANK_RAW!A320="","",IF(H320="CR","IN","OUT"))</f>
        <v/>
      </c>
      <c r="L320" s="11" t="inlineStr"/>
      <c r="M320" s="11" t="inlineStr"/>
    </row>
    <row r="321">
      <c r="A321" s="13">
        <f>IF(BANK_RAW!A321="","",ROW()-1)</f>
        <v/>
      </c>
      <c r="B321" s="10">
        <f>IF(BANK_RAW!A321="","",IF(ISNUMBER(BANK_RAW!A321),BANK_RAW!A321,DATEVALUE(TEXT(BANK_RAW!A321,"YYYY-MM-DD"))))</f>
        <v/>
      </c>
      <c r="C321" s="11">
        <f>IF(BANK_RAW!A321="","",TRIM(BANK_RAW!B321))</f>
        <v/>
      </c>
      <c r="D321" s="11">
        <f>IF(BANK_RAW!A321="","",TRIM(BANK_RAW!C321))</f>
        <v/>
      </c>
      <c r="E321" s="12">
        <f>IF(BANK_RAW!A321="","",IFERROR(ABS(BANK_RAW!D321),0))</f>
        <v/>
      </c>
      <c r="F321" s="12">
        <f>IF(BANK_RAW!A321="","",IFERROR(ABS(BANK_RAW!E321),0))</f>
        <v/>
      </c>
      <c r="G321" s="12">
        <f>IF(BANK_RAW!A321="","",IFERROR(BANK_RAW!F321,0))</f>
        <v/>
      </c>
      <c r="H321" s="11">
        <f>IF(BANK_RAW!A321="","",IF(E321&gt;0,"CR",IF(F321&gt;0,"DR","CR")))</f>
        <v/>
      </c>
      <c r="I321" s="12">
        <f>IF(BANK_RAW!A321="","",E321-F321)</f>
        <v/>
      </c>
      <c r="J321" s="12">
        <f>IF(BANK_RAW!A321="","",ABS(I321))</f>
        <v/>
      </c>
      <c r="K321" s="11">
        <f>IF(BANK_RAW!A321="","",IF(H321="CR","IN","OUT"))</f>
        <v/>
      </c>
      <c r="L321" s="11" t="inlineStr"/>
      <c r="M321" s="11" t="inlineStr"/>
    </row>
    <row r="322">
      <c r="A322" s="13">
        <f>IF(BANK_RAW!A322="","",ROW()-1)</f>
        <v/>
      </c>
      <c r="B322" s="10">
        <f>IF(BANK_RAW!A322="","",IF(ISNUMBER(BANK_RAW!A322),BANK_RAW!A322,DATEVALUE(TEXT(BANK_RAW!A322,"YYYY-MM-DD"))))</f>
        <v/>
      </c>
      <c r="C322" s="11">
        <f>IF(BANK_RAW!A322="","",TRIM(BANK_RAW!B322))</f>
        <v/>
      </c>
      <c r="D322" s="11">
        <f>IF(BANK_RAW!A322="","",TRIM(BANK_RAW!C322))</f>
        <v/>
      </c>
      <c r="E322" s="12">
        <f>IF(BANK_RAW!A322="","",IFERROR(ABS(BANK_RAW!D322),0))</f>
        <v/>
      </c>
      <c r="F322" s="12">
        <f>IF(BANK_RAW!A322="","",IFERROR(ABS(BANK_RAW!E322),0))</f>
        <v/>
      </c>
      <c r="G322" s="12">
        <f>IF(BANK_RAW!A322="","",IFERROR(BANK_RAW!F322,0))</f>
        <v/>
      </c>
      <c r="H322" s="11">
        <f>IF(BANK_RAW!A322="","",IF(E322&gt;0,"CR",IF(F322&gt;0,"DR","CR")))</f>
        <v/>
      </c>
      <c r="I322" s="12">
        <f>IF(BANK_RAW!A322="","",E322-F322)</f>
        <v/>
      </c>
      <c r="J322" s="12">
        <f>IF(BANK_RAW!A322="","",ABS(I322))</f>
        <v/>
      </c>
      <c r="K322" s="11">
        <f>IF(BANK_RAW!A322="","",IF(H322="CR","IN","OUT"))</f>
        <v/>
      </c>
      <c r="L322" s="11" t="inlineStr"/>
      <c r="M322" s="11" t="inlineStr"/>
    </row>
    <row r="323">
      <c r="A323" s="13">
        <f>IF(BANK_RAW!A323="","",ROW()-1)</f>
        <v/>
      </c>
      <c r="B323" s="10">
        <f>IF(BANK_RAW!A323="","",IF(ISNUMBER(BANK_RAW!A323),BANK_RAW!A323,DATEVALUE(TEXT(BANK_RAW!A323,"YYYY-MM-DD"))))</f>
        <v/>
      </c>
      <c r="C323" s="11">
        <f>IF(BANK_RAW!A323="","",TRIM(BANK_RAW!B323))</f>
        <v/>
      </c>
      <c r="D323" s="11">
        <f>IF(BANK_RAW!A323="","",TRIM(BANK_RAW!C323))</f>
        <v/>
      </c>
      <c r="E323" s="12">
        <f>IF(BANK_RAW!A323="","",IFERROR(ABS(BANK_RAW!D323),0))</f>
        <v/>
      </c>
      <c r="F323" s="12">
        <f>IF(BANK_RAW!A323="","",IFERROR(ABS(BANK_RAW!E323),0))</f>
        <v/>
      </c>
      <c r="G323" s="12">
        <f>IF(BANK_RAW!A323="","",IFERROR(BANK_RAW!F323,0))</f>
        <v/>
      </c>
      <c r="H323" s="11">
        <f>IF(BANK_RAW!A323="","",IF(E323&gt;0,"CR",IF(F323&gt;0,"DR","CR")))</f>
        <v/>
      </c>
      <c r="I323" s="12">
        <f>IF(BANK_RAW!A323="","",E323-F323)</f>
        <v/>
      </c>
      <c r="J323" s="12">
        <f>IF(BANK_RAW!A323="","",ABS(I323))</f>
        <v/>
      </c>
      <c r="K323" s="11">
        <f>IF(BANK_RAW!A323="","",IF(H323="CR","IN","OUT"))</f>
        <v/>
      </c>
      <c r="L323" s="11" t="inlineStr"/>
      <c r="M323" s="11" t="inlineStr"/>
    </row>
    <row r="324">
      <c r="A324" s="13">
        <f>IF(BANK_RAW!A324="","",ROW()-1)</f>
        <v/>
      </c>
      <c r="B324" s="10">
        <f>IF(BANK_RAW!A324="","",IF(ISNUMBER(BANK_RAW!A324),BANK_RAW!A324,DATEVALUE(TEXT(BANK_RAW!A324,"YYYY-MM-DD"))))</f>
        <v/>
      </c>
      <c r="C324" s="11">
        <f>IF(BANK_RAW!A324="","",TRIM(BANK_RAW!B324))</f>
        <v/>
      </c>
      <c r="D324" s="11">
        <f>IF(BANK_RAW!A324="","",TRIM(BANK_RAW!C324))</f>
        <v/>
      </c>
      <c r="E324" s="12">
        <f>IF(BANK_RAW!A324="","",IFERROR(ABS(BANK_RAW!D324),0))</f>
        <v/>
      </c>
      <c r="F324" s="12">
        <f>IF(BANK_RAW!A324="","",IFERROR(ABS(BANK_RAW!E324),0))</f>
        <v/>
      </c>
      <c r="G324" s="12">
        <f>IF(BANK_RAW!A324="","",IFERROR(BANK_RAW!F324,0))</f>
        <v/>
      </c>
      <c r="H324" s="11">
        <f>IF(BANK_RAW!A324="","",IF(E324&gt;0,"CR",IF(F324&gt;0,"DR","CR")))</f>
        <v/>
      </c>
      <c r="I324" s="12">
        <f>IF(BANK_RAW!A324="","",E324-F324)</f>
        <v/>
      </c>
      <c r="J324" s="12">
        <f>IF(BANK_RAW!A324="","",ABS(I324))</f>
        <v/>
      </c>
      <c r="K324" s="11">
        <f>IF(BANK_RAW!A324="","",IF(H324="CR","IN","OUT"))</f>
        <v/>
      </c>
      <c r="L324" s="11" t="inlineStr"/>
      <c r="M324" s="11" t="inlineStr"/>
    </row>
    <row r="325">
      <c r="A325" s="13">
        <f>IF(BANK_RAW!A325="","",ROW()-1)</f>
        <v/>
      </c>
      <c r="B325" s="10">
        <f>IF(BANK_RAW!A325="","",IF(ISNUMBER(BANK_RAW!A325),BANK_RAW!A325,DATEVALUE(TEXT(BANK_RAW!A325,"YYYY-MM-DD"))))</f>
        <v/>
      </c>
      <c r="C325" s="11">
        <f>IF(BANK_RAW!A325="","",TRIM(BANK_RAW!B325))</f>
        <v/>
      </c>
      <c r="D325" s="11">
        <f>IF(BANK_RAW!A325="","",TRIM(BANK_RAW!C325))</f>
        <v/>
      </c>
      <c r="E325" s="12">
        <f>IF(BANK_RAW!A325="","",IFERROR(ABS(BANK_RAW!D325),0))</f>
        <v/>
      </c>
      <c r="F325" s="12">
        <f>IF(BANK_RAW!A325="","",IFERROR(ABS(BANK_RAW!E325),0))</f>
        <v/>
      </c>
      <c r="G325" s="12">
        <f>IF(BANK_RAW!A325="","",IFERROR(BANK_RAW!F325,0))</f>
        <v/>
      </c>
      <c r="H325" s="11">
        <f>IF(BANK_RAW!A325="","",IF(E325&gt;0,"CR",IF(F325&gt;0,"DR","CR")))</f>
        <v/>
      </c>
      <c r="I325" s="12">
        <f>IF(BANK_RAW!A325="","",E325-F325)</f>
        <v/>
      </c>
      <c r="J325" s="12">
        <f>IF(BANK_RAW!A325="","",ABS(I325))</f>
        <v/>
      </c>
      <c r="K325" s="11">
        <f>IF(BANK_RAW!A325="","",IF(H325="CR","IN","OUT"))</f>
        <v/>
      </c>
      <c r="L325" s="11" t="inlineStr"/>
      <c r="M325" s="11" t="inlineStr"/>
    </row>
    <row r="326">
      <c r="A326" s="13">
        <f>IF(BANK_RAW!A326="","",ROW()-1)</f>
        <v/>
      </c>
      <c r="B326" s="10">
        <f>IF(BANK_RAW!A326="","",IF(ISNUMBER(BANK_RAW!A326),BANK_RAW!A326,DATEVALUE(TEXT(BANK_RAW!A326,"YYYY-MM-DD"))))</f>
        <v/>
      </c>
      <c r="C326" s="11">
        <f>IF(BANK_RAW!A326="","",TRIM(BANK_RAW!B326))</f>
        <v/>
      </c>
      <c r="D326" s="11">
        <f>IF(BANK_RAW!A326="","",TRIM(BANK_RAW!C326))</f>
        <v/>
      </c>
      <c r="E326" s="12">
        <f>IF(BANK_RAW!A326="","",IFERROR(ABS(BANK_RAW!D326),0))</f>
        <v/>
      </c>
      <c r="F326" s="12">
        <f>IF(BANK_RAW!A326="","",IFERROR(ABS(BANK_RAW!E326),0))</f>
        <v/>
      </c>
      <c r="G326" s="12">
        <f>IF(BANK_RAW!A326="","",IFERROR(BANK_RAW!F326,0))</f>
        <v/>
      </c>
      <c r="H326" s="11">
        <f>IF(BANK_RAW!A326="","",IF(E326&gt;0,"CR",IF(F326&gt;0,"DR","CR")))</f>
        <v/>
      </c>
      <c r="I326" s="12">
        <f>IF(BANK_RAW!A326="","",E326-F326)</f>
        <v/>
      </c>
      <c r="J326" s="12">
        <f>IF(BANK_RAW!A326="","",ABS(I326))</f>
        <v/>
      </c>
      <c r="K326" s="11">
        <f>IF(BANK_RAW!A326="","",IF(H326="CR","IN","OUT"))</f>
        <v/>
      </c>
      <c r="L326" s="11" t="inlineStr"/>
      <c r="M326" s="11" t="inlineStr"/>
    </row>
    <row r="327">
      <c r="A327" s="13">
        <f>IF(BANK_RAW!A327="","",ROW()-1)</f>
        <v/>
      </c>
      <c r="B327" s="10">
        <f>IF(BANK_RAW!A327="","",IF(ISNUMBER(BANK_RAW!A327),BANK_RAW!A327,DATEVALUE(TEXT(BANK_RAW!A327,"YYYY-MM-DD"))))</f>
        <v/>
      </c>
      <c r="C327" s="11">
        <f>IF(BANK_RAW!A327="","",TRIM(BANK_RAW!B327))</f>
        <v/>
      </c>
      <c r="D327" s="11">
        <f>IF(BANK_RAW!A327="","",TRIM(BANK_RAW!C327))</f>
        <v/>
      </c>
      <c r="E327" s="12">
        <f>IF(BANK_RAW!A327="","",IFERROR(ABS(BANK_RAW!D327),0))</f>
        <v/>
      </c>
      <c r="F327" s="12">
        <f>IF(BANK_RAW!A327="","",IFERROR(ABS(BANK_RAW!E327),0))</f>
        <v/>
      </c>
      <c r="G327" s="12">
        <f>IF(BANK_RAW!A327="","",IFERROR(BANK_RAW!F327,0))</f>
        <v/>
      </c>
      <c r="H327" s="11">
        <f>IF(BANK_RAW!A327="","",IF(E327&gt;0,"CR",IF(F327&gt;0,"DR","CR")))</f>
        <v/>
      </c>
      <c r="I327" s="12">
        <f>IF(BANK_RAW!A327="","",E327-F327)</f>
        <v/>
      </c>
      <c r="J327" s="12">
        <f>IF(BANK_RAW!A327="","",ABS(I327))</f>
        <v/>
      </c>
      <c r="K327" s="11">
        <f>IF(BANK_RAW!A327="","",IF(H327="CR","IN","OUT"))</f>
        <v/>
      </c>
      <c r="L327" s="11" t="inlineStr"/>
      <c r="M327" s="11" t="inlineStr"/>
    </row>
    <row r="328">
      <c r="A328" s="13">
        <f>IF(BANK_RAW!A328="","",ROW()-1)</f>
        <v/>
      </c>
      <c r="B328" s="10">
        <f>IF(BANK_RAW!A328="","",IF(ISNUMBER(BANK_RAW!A328),BANK_RAW!A328,DATEVALUE(TEXT(BANK_RAW!A328,"YYYY-MM-DD"))))</f>
        <v/>
      </c>
      <c r="C328" s="11">
        <f>IF(BANK_RAW!A328="","",TRIM(BANK_RAW!B328))</f>
        <v/>
      </c>
      <c r="D328" s="11">
        <f>IF(BANK_RAW!A328="","",TRIM(BANK_RAW!C328))</f>
        <v/>
      </c>
      <c r="E328" s="12">
        <f>IF(BANK_RAW!A328="","",IFERROR(ABS(BANK_RAW!D328),0))</f>
        <v/>
      </c>
      <c r="F328" s="12">
        <f>IF(BANK_RAW!A328="","",IFERROR(ABS(BANK_RAW!E328),0))</f>
        <v/>
      </c>
      <c r="G328" s="12">
        <f>IF(BANK_RAW!A328="","",IFERROR(BANK_RAW!F328,0))</f>
        <v/>
      </c>
      <c r="H328" s="11">
        <f>IF(BANK_RAW!A328="","",IF(E328&gt;0,"CR",IF(F328&gt;0,"DR","CR")))</f>
        <v/>
      </c>
      <c r="I328" s="12">
        <f>IF(BANK_RAW!A328="","",E328-F328)</f>
        <v/>
      </c>
      <c r="J328" s="12">
        <f>IF(BANK_RAW!A328="","",ABS(I328))</f>
        <v/>
      </c>
      <c r="K328" s="11">
        <f>IF(BANK_RAW!A328="","",IF(H328="CR","IN","OUT"))</f>
        <v/>
      </c>
      <c r="L328" s="11" t="inlineStr"/>
      <c r="M328" s="11" t="inlineStr"/>
    </row>
    <row r="329">
      <c r="A329" s="13">
        <f>IF(BANK_RAW!A329="","",ROW()-1)</f>
        <v/>
      </c>
      <c r="B329" s="10">
        <f>IF(BANK_RAW!A329="","",IF(ISNUMBER(BANK_RAW!A329),BANK_RAW!A329,DATEVALUE(TEXT(BANK_RAW!A329,"YYYY-MM-DD"))))</f>
        <v/>
      </c>
      <c r="C329" s="11">
        <f>IF(BANK_RAW!A329="","",TRIM(BANK_RAW!B329))</f>
        <v/>
      </c>
      <c r="D329" s="11">
        <f>IF(BANK_RAW!A329="","",TRIM(BANK_RAW!C329))</f>
        <v/>
      </c>
      <c r="E329" s="12">
        <f>IF(BANK_RAW!A329="","",IFERROR(ABS(BANK_RAW!D329),0))</f>
        <v/>
      </c>
      <c r="F329" s="12">
        <f>IF(BANK_RAW!A329="","",IFERROR(ABS(BANK_RAW!E329),0))</f>
        <v/>
      </c>
      <c r="G329" s="12">
        <f>IF(BANK_RAW!A329="","",IFERROR(BANK_RAW!F329,0))</f>
        <v/>
      </c>
      <c r="H329" s="11">
        <f>IF(BANK_RAW!A329="","",IF(E329&gt;0,"CR",IF(F329&gt;0,"DR","CR")))</f>
        <v/>
      </c>
      <c r="I329" s="12">
        <f>IF(BANK_RAW!A329="","",E329-F329)</f>
        <v/>
      </c>
      <c r="J329" s="12">
        <f>IF(BANK_RAW!A329="","",ABS(I329))</f>
        <v/>
      </c>
      <c r="K329" s="11">
        <f>IF(BANK_RAW!A329="","",IF(H329="CR","IN","OUT"))</f>
        <v/>
      </c>
      <c r="L329" s="11" t="inlineStr"/>
      <c r="M329" s="11" t="inlineStr"/>
    </row>
    <row r="330">
      <c r="A330" s="13">
        <f>IF(BANK_RAW!A330="","",ROW()-1)</f>
        <v/>
      </c>
      <c r="B330" s="10">
        <f>IF(BANK_RAW!A330="","",IF(ISNUMBER(BANK_RAW!A330),BANK_RAW!A330,DATEVALUE(TEXT(BANK_RAW!A330,"YYYY-MM-DD"))))</f>
        <v/>
      </c>
      <c r="C330" s="11">
        <f>IF(BANK_RAW!A330="","",TRIM(BANK_RAW!B330))</f>
        <v/>
      </c>
      <c r="D330" s="11">
        <f>IF(BANK_RAW!A330="","",TRIM(BANK_RAW!C330))</f>
        <v/>
      </c>
      <c r="E330" s="12">
        <f>IF(BANK_RAW!A330="","",IFERROR(ABS(BANK_RAW!D330),0))</f>
        <v/>
      </c>
      <c r="F330" s="12">
        <f>IF(BANK_RAW!A330="","",IFERROR(ABS(BANK_RAW!E330),0))</f>
        <v/>
      </c>
      <c r="G330" s="12">
        <f>IF(BANK_RAW!A330="","",IFERROR(BANK_RAW!F330,0))</f>
        <v/>
      </c>
      <c r="H330" s="11">
        <f>IF(BANK_RAW!A330="","",IF(E330&gt;0,"CR",IF(F330&gt;0,"DR","CR")))</f>
        <v/>
      </c>
      <c r="I330" s="12">
        <f>IF(BANK_RAW!A330="","",E330-F330)</f>
        <v/>
      </c>
      <c r="J330" s="12">
        <f>IF(BANK_RAW!A330="","",ABS(I330))</f>
        <v/>
      </c>
      <c r="K330" s="11">
        <f>IF(BANK_RAW!A330="","",IF(H330="CR","IN","OUT"))</f>
        <v/>
      </c>
      <c r="L330" s="11" t="inlineStr"/>
      <c r="M330" s="11" t="inlineStr"/>
    </row>
    <row r="331">
      <c r="A331" s="13">
        <f>IF(BANK_RAW!A331="","",ROW()-1)</f>
        <v/>
      </c>
      <c r="B331" s="10">
        <f>IF(BANK_RAW!A331="","",IF(ISNUMBER(BANK_RAW!A331),BANK_RAW!A331,DATEVALUE(TEXT(BANK_RAW!A331,"YYYY-MM-DD"))))</f>
        <v/>
      </c>
      <c r="C331" s="11">
        <f>IF(BANK_RAW!A331="","",TRIM(BANK_RAW!B331))</f>
        <v/>
      </c>
      <c r="D331" s="11">
        <f>IF(BANK_RAW!A331="","",TRIM(BANK_RAW!C331))</f>
        <v/>
      </c>
      <c r="E331" s="12">
        <f>IF(BANK_RAW!A331="","",IFERROR(ABS(BANK_RAW!D331),0))</f>
        <v/>
      </c>
      <c r="F331" s="12">
        <f>IF(BANK_RAW!A331="","",IFERROR(ABS(BANK_RAW!E331),0))</f>
        <v/>
      </c>
      <c r="G331" s="12">
        <f>IF(BANK_RAW!A331="","",IFERROR(BANK_RAW!F331,0))</f>
        <v/>
      </c>
      <c r="H331" s="11">
        <f>IF(BANK_RAW!A331="","",IF(E331&gt;0,"CR",IF(F331&gt;0,"DR","CR")))</f>
        <v/>
      </c>
      <c r="I331" s="12">
        <f>IF(BANK_RAW!A331="","",E331-F331)</f>
        <v/>
      </c>
      <c r="J331" s="12">
        <f>IF(BANK_RAW!A331="","",ABS(I331))</f>
        <v/>
      </c>
      <c r="K331" s="11">
        <f>IF(BANK_RAW!A331="","",IF(H331="CR","IN","OUT"))</f>
        <v/>
      </c>
      <c r="L331" s="11" t="inlineStr"/>
      <c r="M331" s="11" t="inlineStr"/>
    </row>
    <row r="332">
      <c r="A332" s="13">
        <f>IF(BANK_RAW!A332="","",ROW()-1)</f>
        <v/>
      </c>
      <c r="B332" s="10">
        <f>IF(BANK_RAW!A332="","",IF(ISNUMBER(BANK_RAW!A332),BANK_RAW!A332,DATEVALUE(TEXT(BANK_RAW!A332,"YYYY-MM-DD"))))</f>
        <v/>
      </c>
      <c r="C332" s="11">
        <f>IF(BANK_RAW!A332="","",TRIM(BANK_RAW!B332))</f>
        <v/>
      </c>
      <c r="D332" s="11">
        <f>IF(BANK_RAW!A332="","",TRIM(BANK_RAW!C332))</f>
        <v/>
      </c>
      <c r="E332" s="12">
        <f>IF(BANK_RAW!A332="","",IFERROR(ABS(BANK_RAW!D332),0))</f>
        <v/>
      </c>
      <c r="F332" s="12">
        <f>IF(BANK_RAW!A332="","",IFERROR(ABS(BANK_RAW!E332),0))</f>
        <v/>
      </c>
      <c r="G332" s="12">
        <f>IF(BANK_RAW!A332="","",IFERROR(BANK_RAW!F332,0))</f>
        <v/>
      </c>
      <c r="H332" s="11">
        <f>IF(BANK_RAW!A332="","",IF(E332&gt;0,"CR",IF(F332&gt;0,"DR","CR")))</f>
        <v/>
      </c>
      <c r="I332" s="12">
        <f>IF(BANK_RAW!A332="","",E332-F332)</f>
        <v/>
      </c>
      <c r="J332" s="12">
        <f>IF(BANK_RAW!A332="","",ABS(I332))</f>
        <v/>
      </c>
      <c r="K332" s="11">
        <f>IF(BANK_RAW!A332="","",IF(H332="CR","IN","OUT"))</f>
        <v/>
      </c>
      <c r="L332" s="11" t="inlineStr"/>
      <c r="M332" s="11" t="inlineStr"/>
    </row>
    <row r="333">
      <c r="A333" s="13">
        <f>IF(BANK_RAW!A333="","",ROW()-1)</f>
        <v/>
      </c>
      <c r="B333" s="10">
        <f>IF(BANK_RAW!A333="","",IF(ISNUMBER(BANK_RAW!A333),BANK_RAW!A333,DATEVALUE(TEXT(BANK_RAW!A333,"YYYY-MM-DD"))))</f>
        <v/>
      </c>
      <c r="C333" s="11">
        <f>IF(BANK_RAW!A333="","",TRIM(BANK_RAW!B333))</f>
        <v/>
      </c>
      <c r="D333" s="11">
        <f>IF(BANK_RAW!A333="","",TRIM(BANK_RAW!C333))</f>
        <v/>
      </c>
      <c r="E333" s="12">
        <f>IF(BANK_RAW!A333="","",IFERROR(ABS(BANK_RAW!D333),0))</f>
        <v/>
      </c>
      <c r="F333" s="12">
        <f>IF(BANK_RAW!A333="","",IFERROR(ABS(BANK_RAW!E333),0))</f>
        <v/>
      </c>
      <c r="G333" s="12">
        <f>IF(BANK_RAW!A333="","",IFERROR(BANK_RAW!F333,0))</f>
        <v/>
      </c>
      <c r="H333" s="11">
        <f>IF(BANK_RAW!A333="","",IF(E333&gt;0,"CR",IF(F333&gt;0,"DR","CR")))</f>
        <v/>
      </c>
      <c r="I333" s="12">
        <f>IF(BANK_RAW!A333="","",E333-F333)</f>
        <v/>
      </c>
      <c r="J333" s="12">
        <f>IF(BANK_RAW!A333="","",ABS(I333))</f>
        <v/>
      </c>
      <c r="K333" s="11">
        <f>IF(BANK_RAW!A333="","",IF(H333="CR","IN","OUT"))</f>
        <v/>
      </c>
      <c r="L333" s="11" t="inlineStr"/>
      <c r="M333" s="11" t="inlineStr"/>
    </row>
    <row r="334">
      <c r="A334" s="13">
        <f>IF(BANK_RAW!A334="","",ROW()-1)</f>
        <v/>
      </c>
      <c r="B334" s="10">
        <f>IF(BANK_RAW!A334="","",IF(ISNUMBER(BANK_RAW!A334),BANK_RAW!A334,DATEVALUE(TEXT(BANK_RAW!A334,"YYYY-MM-DD"))))</f>
        <v/>
      </c>
      <c r="C334" s="11">
        <f>IF(BANK_RAW!A334="","",TRIM(BANK_RAW!B334))</f>
        <v/>
      </c>
      <c r="D334" s="11">
        <f>IF(BANK_RAW!A334="","",TRIM(BANK_RAW!C334))</f>
        <v/>
      </c>
      <c r="E334" s="12">
        <f>IF(BANK_RAW!A334="","",IFERROR(ABS(BANK_RAW!D334),0))</f>
        <v/>
      </c>
      <c r="F334" s="12">
        <f>IF(BANK_RAW!A334="","",IFERROR(ABS(BANK_RAW!E334),0))</f>
        <v/>
      </c>
      <c r="G334" s="12">
        <f>IF(BANK_RAW!A334="","",IFERROR(BANK_RAW!F334,0))</f>
        <v/>
      </c>
      <c r="H334" s="11">
        <f>IF(BANK_RAW!A334="","",IF(E334&gt;0,"CR",IF(F334&gt;0,"DR","CR")))</f>
        <v/>
      </c>
      <c r="I334" s="12">
        <f>IF(BANK_RAW!A334="","",E334-F334)</f>
        <v/>
      </c>
      <c r="J334" s="12">
        <f>IF(BANK_RAW!A334="","",ABS(I334))</f>
        <v/>
      </c>
      <c r="K334" s="11">
        <f>IF(BANK_RAW!A334="","",IF(H334="CR","IN","OUT"))</f>
        <v/>
      </c>
      <c r="L334" s="11" t="inlineStr"/>
      <c r="M334" s="11" t="inlineStr"/>
    </row>
    <row r="335">
      <c r="A335" s="13">
        <f>IF(BANK_RAW!A335="","",ROW()-1)</f>
        <v/>
      </c>
      <c r="B335" s="10">
        <f>IF(BANK_RAW!A335="","",IF(ISNUMBER(BANK_RAW!A335),BANK_RAW!A335,DATEVALUE(TEXT(BANK_RAW!A335,"YYYY-MM-DD"))))</f>
        <v/>
      </c>
      <c r="C335" s="11">
        <f>IF(BANK_RAW!A335="","",TRIM(BANK_RAW!B335))</f>
        <v/>
      </c>
      <c r="D335" s="11">
        <f>IF(BANK_RAW!A335="","",TRIM(BANK_RAW!C335))</f>
        <v/>
      </c>
      <c r="E335" s="12">
        <f>IF(BANK_RAW!A335="","",IFERROR(ABS(BANK_RAW!D335),0))</f>
        <v/>
      </c>
      <c r="F335" s="12">
        <f>IF(BANK_RAW!A335="","",IFERROR(ABS(BANK_RAW!E335),0))</f>
        <v/>
      </c>
      <c r="G335" s="12">
        <f>IF(BANK_RAW!A335="","",IFERROR(BANK_RAW!F335,0))</f>
        <v/>
      </c>
      <c r="H335" s="11">
        <f>IF(BANK_RAW!A335="","",IF(E335&gt;0,"CR",IF(F335&gt;0,"DR","CR")))</f>
        <v/>
      </c>
      <c r="I335" s="12">
        <f>IF(BANK_RAW!A335="","",E335-F335)</f>
        <v/>
      </c>
      <c r="J335" s="12">
        <f>IF(BANK_RAW!A335="","",ABS(I335))</f>
        <v/>
      </c>
      <c r="K335" s="11">
        <f>IF(BANK_RAW!A335="","",IF(H335="CR","IN","OUT"))</f>
        <v/>
      </c>
      <c r="L335" s="11" t="inlineStr"/>
      <c r="M335" s="11" t="inlineStr"/>
    </row>
    <row r="336">
      <c r="A336" s="13">
        <f>IF(BANK_RAW!A336="","",ROW()-1)</f>
        <v/>
      </c>
      <c r="B336" s="10">
        <f>IF(BANK_RAW!A336="","",IF(ISNUMBER(BANK_RAW!A336),BANK_RAW!A336,DATEVALUE(TEXT(BANK_RAW!A336,"YYYY-MM-DD"))))</f>
        <v/>
      </c>
      <c r="C336" s="11">
        <f>IF(BANK_RAW!A336="","",TRIM(BANK_RAW!B336))</f>
        <v/>
      </c>
      <c r="D336" s="11">
        <f>IF(BANK_RAW!A336="","",TRIM(BANK_RAW!C336))</f>
        <v/>
      </c>
      <c r="E336" s="12">
        <f>IF(BANK_RAW!A336="","",IFERROR(ABS(BANK_RAW!D336),0))</f>
        <v/>
      </c>
      <c r="F336" s="12">
        <f>IF(BANK_RAW!A336="","",IFERROR(ABS(BANK_RAW!E336),0))</f>
        <v/>
      </c>
      <c r="G336" s="12">
        <f>IF(BANK_RAW!A336="","",IFERROR(BANK_RAW!F336,0))</f>
        <v/>
      </c>
      <c r="H336" s="11">
        <f>IF(BANK_RAW!A336="","",IF(E336&gt;0,"CR",IF(F336&gt;0,"DR","CR")))</f>
        <v/>
      </c>
      <c r="I336" s="12">
        <f>IF(BANK_RAW!A336="","",E336-F336)</f>
        <v/>
      </c>
      <c r="J336" s="12">
        <f>IF(BANK_RAW!A336="","",ABS(I336))</f>
        <v/>
      </c>
      <c r="K336" s="11">
        <f>IF(BANK_RAW!A336="","",IF(H336="CR","IN","OUT"))</f>
        <v/>
      </c>
      <c r="L336" s="11" t="inlineStr"/>
      <c r="M336" s="11" t="inlineStr"/>
    </row>
    <row r="337">
      <c r="A337" s="13">
        <f>IF(BANK_RAW!A337="","",ROW()-1)</f>
        <v/>
      </c>
      <c r="B337" s="10">
        <f>IF(BANK_RAW!A337="","",IF(ISNUMBER(BANK_RAW!A337),BANK_RAW!A337,DATEVALUE(TEXT(BANK_RAW!A337,"YYYY-MM-DD"))))</f>
        <v/>
      </c>
      <c r="C337" s="11">
        <f>IF(BANK_RAW!A337="","",TRIM(BANK_RAW!B337))</f>
        <v/>
      </c>
      <c r="D337" s="11">
        <f>IF(BANK_RAW!A337="","",TRIM(BANK_RAW!C337))</f>
        <v/>
      </c>
      <c r="E337" s="12">
        <f>IF(BANK_RAW!A337="","",IFERROR(ABS(BANK_RAW!D337),0))</f>
        <v/>
      </c>
      <c r="F337" s="12">
        <f>IF(BANK_RAW!A337="","",IFERROR(ABS(BANK_RAW!E337),0))</f>
        <v/>
      </c>
      <c r="G337" s="12">
        <f>IF(BANK_RAW!A337="","",IFERROR(BANK_RAW!F337,0))</f>
        <v/>
      </c>
      <c r="H337" s="11">
        <f>IF(BANK_RAW!A337="","",IF(E337&gt;0,"CR",IF(F337&gt;0,"DR","CR")))</f>
        <v/>
      </c>
      <c r="I337" s="12">
        <f>IF(BANK_RAW!A337="","",E337-F337)</f>
        <v/>
      </c>
      <c r="J337" s="12">
        <f>IF(BANK_RAW!A337="","",ABS(I337))</f>
        <v/>
      </c>
      <c r="K337" s="11">
        <f>IF(BANK_RAW!A337="","",IF(H337="CR","IN","OUT"))</f>
        <v/>
      </c>
      <c r="L337" s="11" t="inlineStr"/>
      <c r="M337" s="11" t="inlineStr"/>
    </row>
    <row r="338">
      <c r="A338" s="13">
        <f>IF(BANK_RAW!A338="","",ROW()-1)</f>
        <v/>
      </c>
      <c r="B338" s="10">
        <f>IF(BANK_RAW!A338="","",IF(ISNUMBER(BANK_RAW!A338),BANK_RAW!A338,DATEVALUE(TEXT(BANK_RAW!A338,"YYYY-MM-DD"))))</f>
        <v/>
      </c>
      <c r="C338" s="11">
        <f>IF(BANK_RAW!A338="","",TRIM(BANK_RAW!B338))</f>
        <v/>
      </c>
      <c r="D338" s="11">
        <f>IF(BANK_RAW!A338="","",TRIM(BANK_RAW!C338))</f>
        <v/>
      </c>
      <c r="E338" s="12">
        <f>IF(BANK_RAW!A338="","",IFERROR(ABS(BANK_RAW!D338),0))</f>
        <v/>
      </c>
      <c r="F338" s="12">
        <f>IF(BANK_RAW!A338="","",IFERROR(ABS(BANK_RAW!E338),0))</f>
        <v/>
      </c>
      <c r="G338" s="12">
        <f>IF(BANK_RAW!A338="","",IFERROR(BANK_RAW!F338,0))</f>
        <v/>
      </c>
      <c r="H338" s="11">
        <f>IF(BANK_RAW!A338="","",IF(E338&gt;0,"CR",IF(F338&gt;0,"DR","CR")))</f>
        <v/>
      </c>
      <c r="I338" s="12">
        <f>IF(BANK_RAW!A338="","",E338-F338)</f>
        <v/>
      </c>
      <c r="J338" s="12">
        <f>IF(BANK_RAW!A338="","",ABS(I338))</f>
        <v/>
      </c>
      <c r="K338" s="11">
        <f>IF(BANK_RAW!A338="","",IF(H338="CR","IN","OUT"))</f>
        <v/>
      </c>
      <c r="L338" s="11" t="inlineStr"/>
      <c r="M338" s="11" t="inlineStr"/>
    </row>
    <row r="339">
      <c r="A339" s="13">
        <f>IF(BANK_RAW!A339="","",ROW()-1)</f>
        <v/>
      </c>
      <c r="B339" s="10">
        <f>IF(BANK_RAW!A339="","",IF(ISNUMBER(BANK_RAW!A339),BANK_RAW!A339,DATEVALUE(TEXT(BANK_RAW!A339,"YYYY-MM-DD"))))</f>
        <v/>
      </c>
      <c r="C339" s="11">
        <f>IF(BANK_RAW!A339="","",TRIM(BANK_RAW!B339))</f>
        <v/>
      </c>
      <c r="D339" s="11">
        <f>IF(BANK_RAW!A339="","",TRIM(BANK_RAW!C339))</f>
        <v/>
      </c>
      <c r="E339" s="12">
        <f>IF(BANK_RAW!A339="","",IFERROR(ABS(BANK_RAW!D339),0))</f>
        <v/>
      </c>
      <c r="F339" s="12">
        <f>IF(BANK_RAW!A339="","",IFERROR(ABS(BANK_RAW!E339),0))</f>
        <v/>
      </c>
      <c r="G339" s="12">
        <f>IF(BANK_RAW!A339="","",IFERROR(BANK_RAW!F339,0))</f>
        <v/>
      </c>
      <c r="H339" s="11">
        <f>IF(BANK_RAW!A339="","",IF(E339&gt;0,"CR",IF(F339&gt;0,"DR","CR")))</f>
        <v/>
      </c>
      <c r="I339" s="12">
        <f>IF(BANK_RAW!A339="","",E339-F339)</f>
        <v/>
      </c>
      <c r="J339" s="12">
        <f>IF(BANK_RAW!A339="","",ABS(I339))</f>
        <v/>
      </c>
      <c r="K339" s="11">
        <f>IF(BANK_RAW!A339="","",IF(H339="CR","IN","OUT"))</f>
        <v/>
      </c>
      <c r="L339" s="11" t="inlineStr"/>
      <c r="M339" s="11" t="inlineStr"/>
    </row>
    <row r="340">
      <c r="A340" s="13">
        <f>IF(BANK_RAW!A340="","",ROW()-1)</f>
        <v/>
      </c>
      <c r="B340" s="10">
        <f>IF(BANK_RAW!A340="","",IF(ISNUMBER(BANK_RAW!A340),BANK_RAW!A340,DATEVALUE(TEXT(BANK_RAW!A340,"YYYY-MM-DD"))))</f>
        <v/>
      </c>
      <c r="C340" s="11">
        <f>IF(BANK_RAW!A340="","",TRIM(BANK_RAW!B340))</f>
        <v/>
      </c>
      <c r="D340" s="11">
        <f>IF(BANK_RAW!A340="","",TRIM(BANK_RAW!C340))</f>
        <v/>
      </c>
      <c r="E340" s="12">
        <f>IF(BANK_RAW!A340="","",IFERROR(ABS(BANK_RAW!D340),0))</f>
        <v/>
      </c>
      <c r="F340" s="12">
        <f>IF(BANK_RAW!A340="","",IFERROR(ABS(BANK_RAW!E340),0))</f>
        <v/>
      </c>
      <c r="G340" s="12">
        <f>IF(BANK_RAW!A340="","",IFERROR(BANK_RAW!F340,0))</f>
        <v/>
      </c>
      <c r="H340" s="11">
        <f>IF(BANK_RAW!A340="","",IF(E340&gt;0,"CR",IF(F340&gt;0,"DR","CR")))</f>
        <v/>
      </c>
      <c r="I340" s="12">
        <f>IF(BANK_RAW!A340="","",E340-F340)</f>
        <v/>
      </c>
      <c r="J340" s="12">
        <f>IF(BANK_RAW!A340="","",ABS(I340))</f>
        <v/>
      </c>
      <c r="K340" s="11">
        <f>IF(BANK_RAW!A340="","",IF(H340="CR","IN","OUT"))</f>
        <v/>
      </c>
      <c r="L340" s="11" t="inlineStr"/>
      <c r="M340" s="11" t="inlineStr"/>
    </row>
    <row r="341">
      <c r="A341" s="13">
        <f>IF(BANK_RAW!A341="","",ROW()-1)</f>
        <v/>
      </c>
      <c r="B341" s="10">
        <f>IF(BANK_RAW!A341="","",IF(ISNUMBER(BANK_RAW!A341),BANK_RAW!A341,DATEVALUE(TEXT(BANK_RAW!A341,"YYYY-MM-DD"))))</f>
        <v/>
      </c>
      <c r="C341" s="11">
        <f>IF(BANK_RAW!A341="","",TRIM(BANK_RAW!B341))</f>
        <v/>
      </c>
      <c r="D341" s="11">
        <f>IF(BANK_RAW!A341="","",TRIM(BANK_RAW!C341))</f>
        <v/>
      </c>
      <c r="E341" s="12">
        <f>IF(BANK_RAW!A341="","",IFERROR(ABS(BANK_RAW!D341),0))</f>
        <v/>
      </c>
      <c r="F341" s="12">
        <f>IF(BANK_RAW!A341="","",IFERROR(ABS(BANK_RAW!E341),0))</f>
        <v/>
      </c>
      <c r="G341" s="12">
        <f>IF(BANK_RAW!A341="","",IFERROR(BANK_RAW!F341,0))</f>
        <v/>
      </c>
      <c r="H341" s="11">
        <f>IF(BANK_RAW!A341="","",IF(E341&gt;0,"CR",IF(F341&gt;0,"DR","CR")))</f>
        <v/>
      </c>
      <c r="I341" s="12">
        <f>IF(BANK_RAW!A341="","",E341-F341)</f>
        <v/>
      </c>
      <c r="J341" s="12">
        <f>IF(BANK_RAW!A341="","",ABS(I341))</f>
        <v/>
      </c>
      <c r="K341" s="11">
        <f>IF(BANK_RAW!A341="","",IF(H341="CR","IN","OUT"))</f>
        <v/>
      </c>
      <c r="L341" s="11" t="inlineStr"/>
      <c r="M341" s="11" t="inlineStr"/>
    </row>
    <row r="342">
      <c r="A342" s="13">
        <f>IF(BANK_RAW!A342="","",ROW()-1)</f>
        <v/>
      </c>
      <c r="B342" s="10">
        <f>IF(BANK_RAW!A342="","",IF(ISNUMBER(BANK_RAW!A342),BANK_RAW!A342,DATEVALUE(TEXT(BANK_RAW!A342,"YYYY-MM-DD"))))</f>
        <v/>
      </c>
      <c r="C342" s="11">
        <f>IF(BANK_RAW!A342="","",TRIM(BANK_RAW!B342))</f>
        <v/>
      </c>
      <c r="D342" s="11">
        <f>IF(BANK_RAW!A342="","",TRIM(BANK_RAW!C342))</f>
        <v/>
      </c>
      <c r="E342" s="12">
        <f>IF(BANK_RAW!A342="","",IFERROR(ABS(BANK_RAW!D342),0))</f>
        <v/>
      </c>
      <c r="F342" s="12">
        <f>IF(BANK_RAW!A342="","",IFERROR(ABS(BANK_RAW!E342),0))</f>
        <v/>
      </c>
      <c r="G342" s="12">
        <f>IF(BANK_RAW!A342="","",IFERROR(BANK_RAW!F342,0))</f>
        <v/>
      </c>
      <c r="H342" s="11">
        <f>IF(BANK_RAW!A342="","",IF(E342&gt;0,"CR",IF(F342&gt;0,"DR","CR")))</f>
        <v/>
      </c>
      <c r="I342" s="12">
        <f>IF(BANK_RAW!A342="","",E342-F342)</f>
        <v/>
      </c>
      <c r="J342" s="12">
        <f>IF(BANK_RAW!A342="","",ABS(I342))</f>
        <v/>
      </c>
      <c r="K342" s="11">
        <f>IF(BANK_RAW!A342="","",IF(H342="CR","IN","OUT"))</f>
        <v/>
      </c>
      <c r="L342" s="11" t="inlineStr"/>
      <c r="M342" s="11" t="inlineStr"/>
    </row>
    <row r="343">
      <c r="A343" s="13">
        <f>IF(BANK_RAW!A343="","",ROW()-1)</f>
        <v/>
      </c>
      <c r="B343" s="10">
        <f>IF(BANK_RAW!A343="","",IF(ISNUMBER(BANK_RAW!A343),BANK_RAW!A343,DATEVALUE(TEXT(BANK_RAW!A343,"YYYY-MM-DD"))))</f>
        <v/>
      </c>
      <c r="C343" s="11">
        <f>IF(BANK_RAW!A343="","",TRIM(BANK_RAW!B343))</f>
        <v/>
      </c>
      <c r="D343" s="11">
        <f>IF(BANK_RAW!A343="","",TRIM(BANK_RAW!C343))</f>
        <v/>
      </c>
      <c r="E343" s="12">
        <f>IF(BANK_RAW!A343="","",IFERROR(ABS(BANK_RAW!D343),0))</f>
        <v/>
      </c>
      <c r="F343" s="12">
        <f>IF(BANK_RAW!A343="","",IFERROR(ABS(BANK_RAW!E343),0))</f>
        <v/>
      </c>
      <c r="G343" s="12">
        <f>IF(BANK_RAW!A343="","",IFERROR(BANK_RAW!F343,0))</f>
        <v/>
      </c>
      <c r="H343" s="11">
        <f>IF(BANK_RAW!A343="","",IF(E343&gt;0,"CR",IF(F343&gt;0,"DR","CR")))</f>
        <v/>
      </c>
      <c r="I343" s="12">
        <f>IF(BANK_RAW!A343="","",E343-F343)</f>
        <v/>
      </c>
      <c r="J343" s="12">
        <f>IF(BANK_RAW!A343="","",ABS(I343))</f>
        <v/>
      </c>
      <c r="K343" s="11">
        <f>IF(BANK_RAW!A343="","",IF(H343="CR","IN","OUT"))</f>
        <v/>
      </c>
      <c r="L343" s="11" t="inlineStr"/>
      <c r="M343" s="11" t="inlineStr"/>
    </row>
    <row r="344">
      <c r="A344" s="13">
        <f>IF(BANK_RAW!A344="","",ROW()-1)</f>
        <v/>
      </c>
      <c r="B344" s="10">
        <f>IF(BANK_RAW!A344="","",IF(ISNUMBER(BANK_RAW!A344),BANK_RAW!A344,DATEVALUE(TEXT(BANK_RAW!A344,"YYYY-MM-DD"))))</f>
        <v/>
      </c>
      <c r="C344" s="11">
        <f>IF(BANK_RAW!A344="","",TRIM(BANK_RAW!B344))</f>
        <v/>
      </c>
      <c r="D344" s="11">
        <f>IF(BANK_RAW!A344="","",TRIM(BANK_RAW!C344))</f>
        <v/>
      </c>
      <c r="E344" s="12">
        <f>IF(BANK_RAW!A344="","",IFERROR(ABS(BANK_RAW!D344),0))</f>
        <v/>
      </c>
      <c r="F344" s="12">
        <f>IF(BANK_RAW!A344="","",IFERROR(ABS(BANK_RAW!E344),0))</f>
        <v/>
      </c>
      <c r="G344" s="12">
        <f>IF(BANK_RAW!A344="","",IFERROR(BANK_RAW!F344,0))</f>
        <v/>
      </c>
      <c r="H344" s="11">
        <f>IF(BANK_RAW!A344="","",IF(E344&gt;0,"CR",IF(F344&gt;0,"DR","CR")))</f>
        <v/>
      </c>
      <c r="I344" s="12">
        <f>IF(BANK_RAW!A344="","",E344-F344)</f>
        <v/>
      </c>
      <c r="J344" s="12">
        <f>IF(BANK_RAW!A344="","",ABS(I344))</f>
        <v/>
      </c>
      <c r="K344" s="11">
        <f>IF(BANK_RAW!A344="","",IF(H344="CR","IN","OUT"))</f>
        <v/>
      </c>
      <c r="L344" s="11" t="inlineStr"/>
      <c r="M344" s="11" t="inlineStr"/>
    </row>
    <row r="345">
      <c r="A345" s="13">
        <f>IF(BANK_RAW!A345="","",ROW()-1)</f>
        <v/>
      </c>
      <c r="B345" s="10">
        <f>IF(BANK_RAW!A345="","",IF(ISNUMBER(BANK_RAW!A345),BANK_RAW!A345,DATEVALUE(TEXT(BANK_RAW!A345,"YYYY-MM-DD"))))</f>
        <v/>
      </c>
      <c r="C345" s="11">
        <f>IF(BANK_RAW!A345="","",TRIM(BANK_RAW!B345))</f>
        <v/>
      </c>
      <c r="D345" s="11">
        <f>IF(BANK_RAW!A345="","",TRIM(BANK_RAW!C345))</f>
        <v/>
      </c>
      <c r="E345" s="12">
        <f>IF(BANK_RAW!A345="","",IFERROR(ABS(BANK_RAW!D345),0))</f>
        <v/>
      </c>
      <c r="F345" s="12">
        <f>IF(BANK_RAW!A345="","",IFERROR(ABS(BANK_RAW!E345),0))</f>
        <v/>
      </c>
      <c r="G345" s="12">
        <f>IF(BANK_RAW!A345="","",IFERROR(BANK_RAW!F345,0))</f>
        <v/>
      </c>
      <c r="H345" s="11">
        <f>IF(BANK_RAW!A345="","",IF(E345&gt;0,"CR",IF(F345&gt;0,"DR","CR")))</f>
        <v/>
      </c>
      <c r="I345" s="12">
        <f>IF(BANK_RAW!A345="","",E345-F345)</f>
        <v/>
      </c>
      <c r="J345" s="12">
        <f>IF(BANK_RAW!A345="","",ABS(I345))</f>
        <v/>
      </c>
      <c r="K345" s="11">
        <f>IF(BANK_RAW!A345="","",IF(H345="CR","IN","OUT"))</f>
        <v/>
      </c>
      <c r="L345" s="11" t="inlineStr"/>
      <c r="M345" s="11" t="inlineStr"/>
    </row>
    <row r="346">
      <c r="A346" s="13">
        <f>IF(BANK_RAW!A346="","",ROW()-1)</f>
        <v/>
      </c>
      <c r="B346" s="10">
        <f>IF(BANK_RAW!A346="","",IF(ISNUMBER(BANK_RAW!A346),BANK_RAW!A346,DATEVALUE(TEXT(BANK_RAW!A346,"YYYY-MM-DD"))))</f>
        <v/>
      </c>
      <c r="C346" s="11">
        <f>IF(BANK_RAW!A346="","",TRIM(BANK_RAW!B346))</f>
        <v/>
      </c>
      <c r="D346" s="11">
        <f>IF(BANK_RAW!A346="","",TRIM(BANK_RAW!C346))</f>
        <v/>
      </c>
      <c r="E346" s="12">
        <f>IF(BANK_RAW!A346="","",IFERROR(ABS(BANK_RAW!D346),0))</f>
        <v/>
      </c>
      <c r="F346" s="12">
        <f>IF(BANK_RAW!A346="","",IFERROR(ABS(BANK_RAW!E346),0))</f>
        <v/>
      </c>
      <c r="G346" s="12">
        <f>IF(BANK_RAW!A346="","",IFERROR(BANK_RAW!F346,0))</f>
        <v/>
      </c>
      <c r="H346" s="11">
        <f>IF(BANK_RAW!A346="","",IF(E346&gt;0,"CR",IF(F346&gt;0,"DR","CR")))</f>
        <v/>
      </c>
      <c r="I346" s="12">
        <f>IF(BANK_RAW!A346="","",E346-F346)</f>
        <v/>
      </c>
      <c r="J346" s="12">
        <f>IF(BANK_RAW!A346="","",ABS(I346))</f>
        <v/>
      </c>
      <c r="K346" s="11">
        <f>IF(BANK_RAW!A346="","",IF(H346="CR","IN","OUT"))</f>
        <v/>
      </c>
      <c r="L346" s="11" t="inlineStr"/>
      <c r="M346" s="11" t="inlineStr"/>
    </row>
    <row r="347">
      <c r="A347" s="13">
        <f>IF(BANK_RAW!A347="","",ROW()-1)</f>
        <v/>
      </c>
      <c r="B347" s="10">
        <f>IF(BANK_RAW!A347="","",IF(ISNUMBER(BANK_RAW!A347),BANK_RAW!A347,DATEVALUE(TEXT(BANK_RAW!A347,"YYYY-MM-DD"))))</f>
        <v/>
      </c>
      <c r="C347" s="11">
        <f>IF(BANK_RAW!A347="","",TRIM(BANK_RAW!B347))</f>
        <v/>
      </c>
      <c r="D347" s="11">
        <f>IF(BANK_RAW!A347="","",TRIM(BANK_RAW!C347))</f>
        <v/>
      </c>
      <c r="E347" s="12">
        <f>IF(BANK_RAW!A347="","",IFERROR(ABS(BANK_RAW!D347),0))</f>
        <v/>
      </c>
      <c r="F347" s="12">
        <f>IF(BANK_RAW!A347="","",IFERROR(ABS(BANK_RAW!E347),0))</f>
        <v/>
      </c>
      <c r="G347" s="12">
        <f>IF(BANK_RAW!A347="","",IFERROR(BANK_RAW!F347,0))</f>
        <v/>
      </c>
      <c r="H347" s="11">
        <f>IF(BANK_RAW!A347="","",IF(E347&gt;0,"CR",IF(F347&gt;0,"DR","CR")))</f>
        <v/>
      </c>
      <c r="I347" s="12">
        <f>IF(BANK_RAW!A347="","",E347-F347)</f>
        <v/>
      </c>
      <c r="J347" s="12">
        <f>IF(BANK_RAW!A347="","",ABS(I347))</f>
        <v/>
      </c>
      <c r="K347" s="11">
        <f>IF(BANK_RAW!A347="","",IF(H347="CR","IN","OUT"))</f>
        <v/>
      </c>
      <c r="L347" s="11" t="inlineStr"/>
      <c r="M347" s="11" t="inlineStr"/>
    </row>
    <row r="348">
      <c r="A348" s="13">
        <f>IF(BANK_RAW!A348="","",ROW()-1)</f>
        <v/>
      </c>
      <c r="B348" s="10">
        <f>IF(BANK_RAW!A348="","",IF(ISNUMBER(BANK_RAW!A348),BANK_RAW!A348,DATEVALUE(TEXT(BANK_RAW!A348,"YYYY-MM-DD"))))</f>
        <v/>
      </c>
      <c r="C348" s="11">
        <f>IF(BANK_RAW!A348="","",TRIM(BANK_RAW!B348))</f>
        <v/>
      </c>
      <c r="D348" s="11">
        <f>IF(BANK_RAW!A348="","",TRIM(BANK_RAW!C348))</f>
        <v/>
      </c>
      <c r="E348" s="12">
        <f>IF(BANK_RAW!A348="","",IFERROR(ABS(BANK_RAW!D348),0))</f>
        <v/>
      </c>
      <c r="F348" s="12">
        <f>IF(BANK_RAW!A348="","",IFERROR(ABS(BANK_RAW!E348),0))</f>
        <v/>
      </c>
      <c r="G348" s="12">
        <f>IF(BANK_RAW!A348="","",IFERROR(BANK_RAW!F348,0))</f>
        <v/>
      </c>
      <c r="H348" s="11">
        <f>IF(BANK_RAW!A348="","",IF(E348&gt;0,"CR",IF(F348&gt;0,"DR","CR")))</f>
        <v/>
      </c>
      <c r="I348" s="12">
        <f>IF(BANK_RAW!A348="","",E348-F348)</f>
        <v/>
      </c>
      <c r="J348" s="12">
        <f>IF(BANK_RAW!A348="","",ABS(I348))</f>
        <v/>
      </c>
      <c r="K348" s="11">
        <f>IF(BANK_RAW!A348="","",IF(H348="CR","IN","OUT"))</f>
        <v/>
      </c>
      <c r="L348" s="11" t="inlineStr"/>
      <c r="M348" s="11" t="inlineStr"/>
    </row>
    <row r="349">
      <c r="A349" s="13">
        <f>IF(BANK_RAW!A349="","",ROW()-1)</f>
        <v/>
      </c>
      <c r="B349" s="10">
        <f>IF(BANK_RAW!A349="","",IF(ISNUMBER(BANK_RAW!A349),BANK_RAW!A349,DATEVALUE(TEXT(BANK_RAW!A349,"YYYY-MM-DD"))))</f>
        <v/>
      </c>
      <c r="C349" s="11">
        <f>IF(BANK_RAW!A349="","",TRIM(BANK_RAW!B349))</f>
        <v/>
      </c>
      <c r="D349" s="11">
        <f>IF(BANK_RAW!A349="","",TRIM(BANK_RAW!C349))</f>
        <v/>
      </c>
      <c r="E349" s="12">
        <f>IF(BANK_RAW!A349="","",IFERROR(ABS(BANK_RAW!D349),0))</f>
        <v/>
      </c>
      <c r="F349" s="12">
        <f>IF(BANK_RAW!A349="","",IFERROR(ABS(BANK_RAW!E349),0))</f>
        <v/>
      </c>
      <c r="G349" s="12">
        <f>IF(BANK_RAW!A349="","",IFERROR(BANK_RAW!F349,0))</f>
        <v/>
      </c>
      <c r="H349" s="11">
        <f>IF(BANK_RAW!A349="","",IF(E349&gt;0,"CR",IF(F349&gt;0,"DR","CR")))</f>
        <v/>
      </c>
      <c r="I349" s="12">
        <f>IF(BANK_RAW!A349="","",E349-F349)</f>
        <v/>
      </c>
      <c r="J349" s="12">
        <f>IF(BANK_RAW!A349="","",ABS(I349))</f>
        <v/>
      </c>
      <c r="K349" s="11">
        <f>IF(BANK_RAW!A349="","",IF(H349="CR","IN","OUT"))</f>
        <v/>
      </c>
      <c r="L349" s="11" t="inlineStr"/>
      <c r="M349" s="11" t="inlineStr"/>
    </row>
    <row r="350">
      <c r="A350" s="13">
        <f>IF(BANK_RAW!A350="","",ROW()-1)</f>
        <v/>
      </c>
      <c r="B350" s="10">
        <f>IF(BANK_RAW!A350="","",IF(ISNUMBER(BANK_RAW!A350),BANK_RAW!A350,DATEVALUE(TEXT(BANK_RAW!A350,"YYYY-MM-DD"))))</f>
        <v/>
      </c>
      <c r="C350" s="11">
        <f>IF(BANK_RAW!A350="","",TRIM(BANK_RAW!B350))</f>
        <v/>
      </c>
      <c r="D350" s="11">
        <f>IF(BANK_RAW!A350="","",TRIM(BANK_RAW!C350))</f>
        <v/>
      </c>
      <c r="E350" s="12">
        <f>IF(BANK_RAW!A350="","",IFERROR(ABS(BANK_RAW!D350),0))</f>
        <v/>
      </c>
      <c r="F350" s="12">
        <f>IF(BANK_RAW!A350="","",IFERROR(ABS(BANK_RAW!E350),0))</f>
        <v/>
      </c>
      <c r="G350" s="12">
        <f>IF(BANK_RAW!A350="","",IFERROR(BANK_RAW!F350,0))</f>
        <v/>
      </c>
      <c r="H350" s="11">
        <f>IF(BANK_RAW!A350="","",IF(E350&gt;0,"CR",IF(F350&gt;0,"DR","CR")))</f>
        <v/>
      </c>
      <c r="I350" s="12">
        <f>IF(BANK_RAW!A350="","",E350-F350)</f>
        <v/>
      </c>
      <c r="J350" s="12">
        <f>IF(BANK_RAW!A350="","",ABS(I350))</f>
        <v/>
      </c>
      <c r="K350" s="11">
        <f>IF(BANK_RAW!A350="","",IF(H350="CR","IN","OUT"))</f>
        <v/>
      </c>
      <c r="L350" s="11" t="inlineStr"/>
      <c r="M350" s="11" t="inlineStr"/>
    </row>
    <row r="351">
      <c r="A351" s="13">
        <f>IF(BANK_RAW!A351="","",ROW()-1)</f>
        <v/>
      </c>
      <c r="B351" s="10">
        <f>IF(BANK_RAW!A351="","",IF(ISNUMBER(BANK_RAW!A351),BANK_RAW!A351,DATEVALUE(TEXT(BANK_RAW!A351,"YYYY-MM-DD"))))</f>
        <v/>
      </c>
      <c r="C351" s="11">
        <f>IF(BANK_RAW!A351="","",TRIM(BANK_RAW!B351))</f>
        <v/>
      </c>
      <c r="D351" s="11">
        <f>IF(BANK_RAW!A351="","",TRIM(BANK_RAW!C351))</f>
        <v/>
      </c>
      <c r="E351" s="12">
        <f>IF(BANK_RAW!A351="","",IFERROR(ABS(BANK_RAW!D351),0))</f>
        <v/>
      </c>
      <c r="F351" s="12">
        <f>IF(BANK_RAW!A351="","",IFERROR(ABS(BANK_RAW!E351),0))</f>
        <v/>
      </c>
      <c r="G351" s="12">
        <f>IF(BANK_RAW!A351="","",IFERROR(BANK_RAW!F351,0))</f>
        <v/>
      </c>
      <c r="H351" s="11">
        <f>IF(BANK_RAW!A351="","",IF(E351&gt;0,"CR",IF(F351&gt;0,"DR","CR")))</f>
        <v/>
      </c>
      <c r="I351" s="12">
        <f>IF(BANK_RAW!A351="","",E351-F351)</f>
        <v/>
      </c>
      <c r="J351" s="12">
        <f>IF(BANK_RAW!A351="","",ABS(I351))</f>
        <v/>
      </c>
      <c r="K351" s="11">
        <f>IF(BANK_RAW!A351="","",IF(H351="CR","IN","OUT"))</f>
        <v/>
      </c>
      <c r="L351" s="11" t="inlineStr"/>
      <c r="M351" s="11" t="inlineStr"/>
    </row>
    <row r="352">
      <c r="A352" s="13">
        <f>IF(BANK_RAW!A352="","",ROW()-1)</f>
        <v/>
      </c>
      <c r="B352" s="10">
        <f>IF(BANK_RAW!A352="","",IF(ISNUMBER(BANK_RAW!A352),BANK_RAW!A352,DATEVALUE(TEXT(BANK_RAW!A352,"YYYY-MM-DD"))))</f>
        <v/>
      </c>
      <c r="C352" s="11">
        <f>IF(BANK_RAW!A352="","",TRIM(BANK_RAW!B352))</f>
        <v/>
      </c>
      <c r="D352" s="11">
        <f>IF(BANK_RAW!A352="","",TRIM(BANK_RAW!C352))</f>
        <v/>
      </c>
      <c r="E352" s="12">
        <f>IF(BANK_RAW!A352="","",IFERROR(ABS(BANK_RAW!D352),0))</f>
        <v/>
      </c>
      <c r="F352" s="12">
        <f>IF(BANK_RAW!A352="","",IFERROR(ABS(BANK_RAW!E352),0))</f>
        <v/>
      </c>
      <c r="G352" s="12">
        <f>IF(BANK_RAW!A352="","",IFERROR(BANK_RAW!F352,0))</f>
        <v/>
      </c>
      <c r="H352" s="11">
        <f>IF(BANK_RAW!A352="","",IF(E352&gt;0,"CR",IF(F352&gt;0,"DR","CR")))</f>
        <v/>
      </c>
      <c r="I352" s="12">
        <f>IF(BANK_RAW!A352="","",E352-F352)</f>
        <v/>
      </c>
      <c r="J352" s="12">
        <f>IF(BANK_RAW!A352="","",ABS(I352))</f>
        <v/>
      </c>
      <c r="K352" s="11">
        <f>IF(BANK_RAW!A352="","",IF(H352="CR","IN","OUT"))</f>
        <v/>
      </c>
      <c r="L352" s="11" t="inlineStr"/>
      <c r="M352" s="11" t="inlineStr"/>
    </row>
    <row r="353">
      <c r="A353" s="13">
        <f>IF(BANK_RAW!A353="","",ROW()-1)</f>
        <v/>
      </c>
      <c r="B353" s="10">
        <f>IF(BANK_RAW!A353="","",IF(ISNUMBER(BANK_RAW!A353),BANK_RAW!A353,DATEVALUE(TEXT(BANK_RAW!A353,"YYYY-MM-DD"))))</f>
        <v/>
      </c>
      <c r="C353" s="11">
        <f>IF(BANK_RAW!A353="","",TRIM(BANK_RAW!B353))</f>
        <v/>
      </c>
      <c r="D353" s="11">
        <f>IF(BANK_RAW!A353="","",TRIM(BANK_RAW!C353))</f>
        <v/>
      </c>
      <c r="E353" s="12">
        <f>IF(BANK_RAW!A353="","",IFERROR(ABS(BANK_RAW!D353),0))</f>
        <v/>
      </c>
      <c r="F353" s="12">
        <f>IF(BANK_RAW!A353="","",IFERROR(ABS(BANK_RAW!E353),0))</f>
        <v/>
      </c>
      <c r="G353" s="12">
        <f>IF(BANK_RAW!A353="","",IFERROR(BANK_RAW!F353,0))</f>
        <v/>
      </c>
      <c r="H353" s="11">
        <f>IF(BANK_RAW!A353="","",IF(E353&gt;0,"CR",IF(F353&gt;0,"DR","CR")))</f>
        <v/>
      </c>
      <c r="I353" s="12">
        <f>IF(BANK_RAW!A353="","",E353-F353)</f>
        <v/>
      </c>
      <c r="J353" s="12">
        <f>IF(BANK_RAW!A353="","",ABS(I353))</f>
        <v/>
      </c>
      <c r="K353" s="11">
        <f>IF(BANK_RAW!A353="","",IF(H353="CR","IN","OUT"))</f>
        <v/>
      </c>
      <c r="L353" s="11" t="inlineStr"/>
      <c r="M353" s="11" t="inlineStr"/>
    </row>
    <row r="354">
      <c r="A354" s="13">
        <f>IF(BANK_RAW!A354="","",ROW()-1)</f>
        <v/>
      </c>
      <c r="B354" s="10">
        <f>IF(BANK_RAW!A354="","",IF(ISNUMBER(BANK_RAW!A354),BANK_RAW!A354,DATEVALUE(TEXT(BANK_RAW!A354,"YYYY-MM-DD"))))</f>
        <v/>
      </c>
      <c r="C354" s="11">
        <f>IF(BANK_RAW!A354="","",TRIM(BANK_RAW!B354))</f>
        <v/>
      </c>
      <c r="D354" s="11">
        <f>IF(BANK_RAW!A354="","",TRIM(BANK_RAW!C354))</f>
        <v/>
      </c>
      <c r="E354" s="12">
        <f>IF(BANK_RAW!A354="","",IFERROR(ABS(BANK_RAW!D354),0))</f>
        <v/>
      </c>
      <c r="F354" s="12">
        <f>IF(BANK_RAW!A354="","",IFERROR(ABS(BANK_RAW!E354),0))</f>
        <v/>
      </c>
      <c r="G354" s="12">
        <f>IF(BANK_RAW!A354="","",IFERROR(BANK_RAW!F354,0))</f>
        <v/>
      </c>
      <c r="H354" s="11">
        <f>IF(BANK_RAW!A354="","",IF(E354&gt;0,"CR",IF(F354&gt;0,"DR","CR")))</f>
        <v/>
      </c>
      <c r="I354" s="12">
        <f>IF(BANK_RAW!A354="","",E354-F354)</f>
        <v/>
      </c>
      <c r="J354" s="12">
        <f>IF(BANK_RAW!A354="","",ABS(I354))</f>
        <v/>
      </c>
      <c r="K354" s="11">
        <f>IF(BANK_RAW!A354="","",IF(H354="CR","IN","OUT"))</f>
        <v/>
      </c>
      <c r="L354" s="11" t="inlineStr"/>
      <c r="M354" s="11" t="inlineStr"/>
    </row>
    <row r="355">
      <c r="A355" s="13">
        <f>IF(BANK_RAW!A355="","",ROW()-1)</f>
        <v/>
      </c>
      <c r="B355" s="10">
        <f>IF(BANK_RAW!A355="","",IF(ISNUMBER(BANK_RAW!A355),BANK_RAW!A355,DATEVALUE(TEXT(BANK_RAW!A355,"YYYY-MM-DD"))))</f>
        <v/>
      </c>
      <c r="C355" s="11">
        <f>IF(BANK_RAW!A355="","",TRIM(BANK_RAW!B355))</f>
        <v/>
      </c>
      <c r="D355" s="11">
        <f>IF(BANK_RAW!A355="","",TRIM(BANK_RAW!C355))</f>
        <v/>
      </c>
      <c r="E355" s="12">
        <f>IF(BANK_RAW!A355="","",IFERROR(ABS(BANK_RAW!D355),0))</f>
        <v/>
      </c>
      <c r="F355" s="12">
        <f>IF(BANK_RAW!A355="","",IFERROR(ABS(BANK_RAW!E355),0))</f>
        <v/>
      </c>
      <c r="G355" s="12">
        <f>IF(BANK_RAW!A355="","",IFERROR(BANK_RAW!F355,0))</f>
        <v/>
      </c>
      <c r="H355" s="11">
        <f>IF(BANK_RAW!A355="","",IF(E355&gt;0,"CR",IF(F355&gt;0,"DR","CR")))</f>
        <v/>
      </c>
      <c r="I355" s="12">
        <f>IF(BANK_RAW!A355="","",E355-F355)</f>
        <v/>
      </c>
      <c r="J355" s="12">
        <f>IF(BANK_RAW!A355="","",ABS(I355))</f>
        <v/>
      </c>
      <c r="K355" s="11">
        <f>IF(BANK_RAW!A355="","",IF(H355="CR","IN","OUT"))</f>
        <v/>
      </c>
      <c r="L355" s="11" t="inlineStr"/>
      <c r="M355" s="11" t="inlineStr"/>
    </row>
    <row r="356">
      <c r="A356" s="13">
        <f>IF(BANK_RAW!A356="","",ROW()-1)</f>
        <v/>
      </c>
      <c r="B356" s="10">
        <f>IF(BANK_RAW!A356="","",IF(ISNUMBER(BANK_RAW!A356),BANK_RAW!A356,DATEVALUE(TEXT(BANK_RAW!A356,"YYYY-MM-DD"))))</f>
        <v/>
      </c>
      <c r="C356" s="11">
        <f>IF(BANK_RAW!A356="","",TRIM(BANK_RAW!B356))</f>
        <v/>
      </c>
      <c r="D356" s="11">
        <f>IF(BANK_RAW!A356="","",TRIM(BANK_RAW!C356))</f>
        <v/>
      </c>
      <c r="E356" s="12">
        <f>IF(BANK_RAW!A356="","",IFERROR(ABS(BANK_RAW!D356),0))</f>
        <v/>
      </c>
      <c r="F356" s="12">
        <f>IF(BANK_RAW!A356="","",IFERROR(ABS(BANK_RAW!E356),0))</f>
        <v/>
      </c>
      <c r="G356" s="12">
        <f>IF(BANK_RAW!A356="","",IFERROR(BANK_RAW!F356,0))</f>
        <v/>
      </c>
      <c r="H356" s="11">
        <f>IF(BANK_RAW!A356="","",IF(E356&gt;0,"CR",IF(F356&gt;0,"DR","CR")))</f>
        <v/>
      </c>
      <c r="I356" s="12">
        <f>IF(BANK_RAW!A356="","",E356-F356)</f>
        <v/>
      </c>
      <c r="J356" s="12">
        <f>IF(BANK_RAW!A356="","",ABS(I356))</f>
        <v/>
      </c>
      <c r="K356" s="11">
        <f>IF(BANK_RAW!A356="","",IF(H356="CR","IN","OUT"))</f>
        <v/>
      </c>
      <c r="L356" s="11" t="inlineStr"/>
      <c r="M356" s="11" t="inlineStr"/>
    </row>
    <row r="357">
      <c r="A357" s="13">
        <f>IF(BANK_RAW!A357="","",ROW()-1)</f>
        <v/>
      </c>
      <c r="B357" s="10">
        <f>IF(BANK_RAW!A357="","",IF(ISNUMBER(BANK_RAW!A357),BANK_RAW!A357,DATEVALUE(TEXT(BANK_RAW!A357,"YYYY-MM-DD"))))</f>
        <v/>
      </c>
      <c r="C357" s="11">
        <f>IF(BANK_RAW!A357="","",TRIM(BANK_RAW!B357))</f>
        <v/>
      </c>
      <c r="D357" s="11">
        <f>IF(BANK_RAW!A357="","",TRIM(BANK_RAW!C357))</f>
        <v/>
      </c>
      <c r="E357" s="12">
        <f>IF(BANK_RAW!A357="","",IFERROR(ABS(BANK_RAW!D357),0))</f>
        <v/>
      </c>
      <c r="F357" s="12">
        <f>IF(BANK_RAW!A357="","",IFERROR(ABS(BANK_RAW!E357),0))</f>
        <v/>
      </c>
      <c r="G357" s="12">
        <f>IF(BANK_RAW!A357="","",IFERROR(BANK_RAW!F357,0))</f>
        <v/>
      </c>
      <c r="H357" s="11">
        <f>IF(BANK_RAW!A357="","",IF(E357&gt;0,"CR",IF(F357&gt;0,"DR","CR")))</f>
        <v/>
      </c>
      <c r="I357" s="12">
        <f>IF(BANK_RAW!A357="","",E357-F357)</f>
        <v/>
      </c>
      <c r="J357" s="12">
        <f>IF(BANK_RAW!A357="","",ABS(I357))</f>
        <v/>
      </c>
      <c r="K357" s="11">
        <f>IF(BANK_RAW!A357="","",IF(H357="CR","IN","OUT"))</f>
        <v/>
      </c>
      <c r="L357" s="11" t="inlineStr"/>
      <c r="M357" s="11" t="inlineStr"/>
    </row>
    <row r="358">
      <c r="A358" s="13">
        <f>IF(BANK_RAW!A358="","",ROW()-1)</f>
        <v/>
      </c>
      <c r="B358" s="10">
        <f>IF(BANK_RAW!A358="","",IF(ISNUMBER(BANK_RAW!A358),BANK_RAW!A358,DATEVALUE(TEXT(BANK_RAW!A358,"YYYY-MM-DD"))))</f>
        <v/>
      </c>
      <c r="C358" s="11">
        <f>IF(BANK_RAW!A358="","",TRIM(BANK_RAW!B358))</f>
        <v/>
      </c>
      <c r="D358" s="11">
        <f>IF(BANK_RAW!A358="","",TRIM(BANK_RAW!C358))</f>
        <v/>
      </c>
      <c r="E358" s="12">
        <f>IF(BANK_RAW!A358="","",IFERROR(ABS(BANK_RAW!D358),0))</f>
        <v/>
      </c>
      <c r="F358" s="12">
        <f>IF(BANK_RAW!A358="","",IFERROR(ABS(BANK_RAW!E358),0))</f>
        <v/>
      </c>
      <c r="G358" s="12">
        <f>IF(BANK_RAW!A358="","",IFERROR(BANK_RAW!F358,0))</f>
        <v/>
      </c>
      <c r="H358" s="11">
        <f>IF(BANK_RAW!A358="","",IF(E358&gt;0,"CR",IF(F358&gt;0,"DR","CR")))</f>
        <v/>
      </c>
      <c r="I358" s="12">
        <f>IF(BANK_RAW!A358="","",E358-F358)</f>
        <v/>
      </c>
      <c r="J358" s="12">
        <f>IF(BANK_RAW!A358="","",ABS(I358))</f>
        <v/>
      </c>
      <c r="K358" s="11">
        <f>IF(BANK_RAW!A358="","",IF(H358="CR","IN","OUT"))</f>
        <v/>
      </c>
      <c r="L358" s="11" t="inlineStr"/>
      <c r="M358" s="11" t="inlineStr"/>
    </row>
    <row r="359">
      <c r="A359" s="13">
        <f>IF(BANK_RAW!A359="","",ROW()-1)</f>
        <v/>
      </c>
      <c r="B359" s="10">
        <f>IF(BANK_RAW!A359="","",IF(ISNUMBER(BANK_RAW!A359),BANK_RAW!A359,DATEVALUE(TEXT(BANK_RAW!A359,"YYYY-MM-DD"))))</f>
        <v/>
      </c>
      <c r="C359" s="11">
        <f>IF(BANK_RAW!A359="","",TRIM(BANK_RAW!B359))</f>
        <v/>
      </c>
      <c r="D359" s="11">
        <f>IF(BANK_RAW!A359="","",TRIM(BANK_RAW!C359))</f>
        <v/>
      </c>
      <c r="E359" s="12">
        <f>IF(BANK_RAW!A359="","",IFERROR(ABS(BANK_RAW!D359),0))</f>
        <v/>
      </c>
      <c r="F359" s="12">
        <f>IF(BANK_RAW!A359="","",IFERROR(ABS(BANK_RAW!E359),0))</f>
        <v/>
      </c>
      <c r="G359" s="12">
        <f>IF(BANK_RAW!A359="","",IFERROR(BANK_RAW!F359,0))</f>
        <v/>
      </c>
      <c r="H359" s="11">
        <f>IF(BANK_RAW!A359="","",IF(E359&gt;0,"CR",IF(F359&gt;0,"DR","CR")))</f>
        <v/>
      </c>
      <c r="I359" s="12">
        <f>IF(BANK_RAW!A359="","",E359-F359)</f>
        <v/>
      </c>
      <c r="J359" s="12">
        <f>IF(BANK_RAW!A359="","",ABS(I359))</f>
        <v/>
      </c>
      <c r="K359" s="11">
        <f>IF(BANK_RAW!A359="","",IF(H359="CR","IN","OUT"))</f>
        <v/>
      </c>
      <c r="L359" s="11" t="inlineStr"/>
      <c r="M359" s="11" t="inlineStr"/>
    </row>
    <row r="360">
      <c r="A360" s="13">
        <f>IF(BANK_RAW!A360="","",ROW()-1)</f>
        <v/>
      </c>
      <c r="B360" s="10">
        <f>IF(BANK_RAW!A360="","",IF(ISNUMBER(BANK_RAW!A360),BANK_RAW!A360,DATEVALUE(TEXT(BANK_RAW!A360,"YYYY-MM-DD"))))</f>
        <v/>
      </c>
      <c r="C360" s="11">
        <f>IF(BANK_RAW!A360="","",TRIM(BANK_RAW!B360))</f>
        <v/>
      </c>
      <c r="D360" s="11">
        <f>IF(BANK_RAW!A360="","",TRIM(BANK_RAW!C360))</f>
        <v/>
      </c>
      <c r="E360" s="12">
        <f>IF(BANK_RAW!A360="","",IFERROR(ABS(BANK_RAW!D360),0))</f>
        <v/>
      </c>
      <c r="F360" s="12">
        <f>IF(BANK_RAW!A360="","",IFERROR(ABS(BANK_RAW!E360),0))</f>
        <v/>
      </c>
      <c r="G360" s="12">
        <f>IF(BANK_RAW!A360="","",IFERROR(BANK_RAW!F360,0))</f>
        <v/>
      </c>
      <c r="H360" s="11">
        <f>IF(BANK_RAW!A360="","",IF(E360&gt;0,"CR",IF(F360&gt;0,"DR","CR")))</f>
        <v/>
      </c>
      <c r="I360" s="12">
        <f>IF(BANK_RAW!A360="","",E360-F360)</f>
        <v/>
      </c>
      <c r="J360" s="12">
        <f>IF(BANK_RAW!A360="","",ABS(I360))</f>
        <v/>
      </c>
      <c r="K360" s="11">
        <f>IF(BANK_RAW!A360="","",IF(H360="CR","IN","OUT"))</f>
        <v/>
      </c>
      <c r="L360" s="11" t="inlineStr"/>
      <c r="M360" s="11" t="inlineStr"/>
    </row>
    <row r="361">
      <c r="A361" s="13">
        <f>IF(BANK_RAW!A361="","",ROW()-1)</f>
        <v/>
      </c>
      <c r="B361" s="10">
        <f>IF(BANK_RAW!A361="","",IF(ISNUMBER(BANK_RAW!A361),BANK_RAW!A361,DATEVALUE(TEXT(BANK_RAW!A361,"YYYY-MM-DD"))))</f>
        <v/>
      </c>
      <c r="C361" s="11">
        <f>IF(BANK_RAW!A361="","",TRIM(BANK_RAW!B361))</f>
        <v/>
      </c>
      <c r="D361" s="11">
        <f>IF(BANK_RAW!A361="","",TRIM(BANK_RAW!C361))</f>
        <v/>
      </c>
      <c r="E361" s="12">
        <f>IF(BANK_RAW!A361="","",IFERROR(ABS(BANK_RAW!D361),0))</f>
        <v/>
      </c>
      <c r="F361" s="12">
        <f>IF(BANK_RAW!A361="","",IFERROR(ABS(BANK_RAW!E361),0))</f>
        <v/>
      </c>
      <c r="G361" s="12">
        <f>IF(BANK_RAW!A361="","",IFERROR(BANK_RAW!F361,0))</f>
        <v/>
      </c>
      <c r="H361" s="11">
        <f>IF(BANK_RAW!A361="","",IF(E361&gt;0,"CR",IF(F361&gt;0,"DR","CR")))</f>
        <v/>
      </c>
      <c r="I361" s="12">
        <f>IF(BANK_RAW!A361="","",E361-F361)</f>
        <v/>
      </c>
      <c r="J361" s="12">
        <f>IF(BANK_RAW!A361="","",ABS(I361))</f>
        <v/>
      </c>
      <c r="K361" s="11">
        <f>IF(BANK_RAW!A361="","",IF(H361="CR","IN","OUT"))</f>
        <v/>
      </c>
      <c r="L361" s="11" t="inlineStr"/>
      <c r="M361" s="11" t="inlineStr"/>
    </row>
    <row r="362">
      <c r="A362" s="13">
        <f>IF(BANK_RAW!A362="","",ROW()-1)</f>
        <v/>
      </c>
      <c r="B362" s="10">
        <f>IF(BANK_RAW!A362="","",IF(ISNUMBER(BANK_RAW!A362),BANK_RAW!A362,DATEVALUE(TEXT(BANK_RAW!A362,"YYYY-MM-DD"))))</f>
        <v/>
      </c>
      <c r="C362" s="11">
        <f>IF(BANK_RAW!A362="","",TRIM(BANK_RAW!B362))</f>
        <v/>
      </c>
      <c r="D362" s="11">
        <f>IF(BANK_RAW!A362="","",TRIM(BANK_RAW!C362))</f>
        <v/>
      </c>
      <c r="E362" s="12">
        <f>IF(BANK_RAW!A362="","",IFERROR(ABS(BANK_RAW!D362),0))</f>
        <v/>
      </c>
      <c r="F362" s="12">
        <f>IF(BANK_RAW!A362="","",IFERROR(ABS(BANK_RAW!E362),0))</f>
        <v/>
      </c>
      <c r="G362" s="12">
        <f>IF(BANK_RAW!A362="","",IFERROR(BANK_RAW!F362,0))</f>
        <v/>
      </c>
      <c r="H362" s="11">
        <f>IF(BANK_RAW!A362="","",IF(E362&gt;0,"CR",IF(F362&gt;0,"DR","CR")))</f>
        <v/>
      </c>
      <c r="I362" s="12">
        <f>IF(BANK_RAW!A362="","",E362-F362)</f>
        <v/>
      </c>
      <c r="J362" s="12">
        <f>IF(BANK_RAW!A362="","",ABS(I362))</f>
        <v/>
      </c>
      <c r="K362" s="11">
        <f>IF(BANK_RAW!A362="","",IF(H362="CR","IN","OUT"))</f>
        <v/>
      </c>
      <c r="L362" s="11" t="inlineStr"/>
      <c r="M362" s="11" t="inlineStr"/>
    </row>
    <row r="363">
      <c r="A363" s="13">
        <f>IF(BANK_RAW!A363="","",ROW()-1)</f>
        <v/>
      </c>
      <c r="B363" s="10">
        <f>IF(BANK_RAW!A363="","",IF(ISNUMBER(BANK_RAW!A363),BANK_RAW!A363,DATEVALUE(TEXT(BANK_RAW!A363,"YYYY-MM-DD"))))</f>
        <v/>
      </c>
      <c r="C363" s="11">
        <f>IF(BANK_RAW!A363="","",TRIM(BANK_RAW!B363))</f>
        <v/>
      </c>
      <c r="D363" s="11">
        <f>IF(BANK_RAW!A363="","",TRIM(BANK_RAW!C363))</f>
        <v/>
      </c>
      <c r="E363" s="12">
        <f>IF(BANK_RAW!A363="","",IFERROR(ABS(BANK_RAW!D363),0))</f>
        <v/>
      </c>
      <c r="F363" s="12">
        <f>IF(BANK_RAW!A363="","",IFERROR(ABS(BANK_RAW!E363),0))</f>
        <v/>
      </c>
      <c r="G363" s="12">
        <f>IF(BANK_RAW!A363="","",IFERROR(BANK_RAW!F363,0))</f>
        <v/>
      </c>
      <c r="H363" s="11">
        <f>IF(BANK_RAW!A363="","",IF(E363&gt;0,"CR",IF(F363&gt;0,"DR","CR")))</f>
        <v/>
      </c>
      <c r="I363" s="12">
        <f>IF(BANK_RAW!A363="","",E363-F363)</f>
        <v/>
      </c>
      <c r="J363" s="12">
        <f>IF(BANK_RAW!A363="","",ABS(I363))</f>
        <v/>
      </c>
      <c r="K363" s="11">
        <f>IF(BANK_RAW!A363="","",IF(H363="CR","IN","OUT"))</f>
        <v/>
      </c>
      <c r="L363" s="11" t="inlineStr"/>
      <c r="M363" s="11" t="inlineStr"/>
    </row>
    <row r="364">
      <c r="A364" s="13">
        <f>IF(BANK_RAW!A364="","",ROW()-1)</f>
        <v/>
      </c>
      <c r="B364" s="10">
        <f>IF(BANK_RAW!A364="","",IF(ISNUMBER(BANK_RAW!A364),BANK_RAW!A364,DATEVALUE(TEXT(BANK_RAW!A364,"YYYY-MM-DD"))))</f>
        <v/>
      </c>
      <c r="C364" s="11">
        <f>IF(BANK_RAW!A364="","",TRIM(BANK_RAW!B364))</f>
        <v/>
      </c>
      <c r="D364" s="11">
        <f>IF(BANK_RAW!A364="","",TRIM(BANK_RAW!C364))</f>
        <v/>
      </c>
      <c r="E364" s="12">
        <f>IF(BANK_RAW!A364="","",IFERROR(ABS(BANK_RAW!D364),0))</f>
        <v/>
      </c>
      <c r="F364" s="12">
        <f>IF(BANK_RAW!A364="","",IFERROR(ABS(BANK_RAW!E364),0))</f>
        <v/>
      </c>
      <c r="G364" s="12">
        <f>IF(BANK_RAW!A364="","",IFERROR(BANK_RAW!F364,0))</f>
        <v/>
      </c>
      <c r="H364" s="11">
        <f>IF(BANK_RAW!A364="","",IF(E364&gt;0,"CR",IF(F364&gt;0,"DR","CR")))</f>
        <v/>
      </c>
      <c r="I364" s="12">
        <f>IF(BANK_RAW!A364="","",E364-F364)</f>
        <v/>
      </c>
      <c r="J364" s="12">
        <f>IF(BANK_RAW!A364="","",ABS(I364))</f>
        <v/>
      </c>
      <c r="K364" s="11">
        <f>IF(BANK_RAW!A364="","",IF(H364="CR","IN","OUT"))</f>
        <v/>
      </c>
      <c r="L364" s="11" t="inlineStr"/>
      <c r="M364" s="11" t="inlineStr"/>
    </row>
    <row r="365">
      <c r="A365" s="13">
        <f>IF(BANK_RAW!A365="","",ROW()-1)</f>
        <v/>
      </c>
      <c r="B365" s="10">
        <f>IF(BANK_RAW!A365="","",IF(ISNUMBER(BANK_RAW!A365),BANK_RAW!A365,DATEVALUE(TEXT(BANK_RAW!A365,"YYYY-MM-DD"))))</f>
        <v/>
      </c>
      <c r="C365" s="11">
        <f>IF(BANK_RAW!A365="","",TRIM(BANK_RAW!B365))</f>
        <v/>
      </c>
      <c r="D365" s="11">
        <f>IF(BANK_RAW!A365="","",TRIM(BANK_RAW!C365))</f>
        <v/>
      </c>
      <c r="E365" s="12">
        <f>IF(BANK_RAW!A365="","",IFERROR(ABS(BANK_RAW!D365),0))</f>
        <v/>
      </c>
      <c r="F365" s="12">
        <f>IF(BANK_RAW!A365="","",IFERROR(ABS(BANK_RAW!E365),0))</f>
        <v/>
      </c>
      <c r="G365" s="12">
        <f>IF(BANK_RAW!A365="","",IFERROR(BANK_RAW!F365,0))</f>
        <v/>
      </c>
      <c r="H365" s="11">
        <f>IF(BANK_RAW!A365="","",IF(E365&gt;0,"CR",IF(F365&gt;0,"DR","CR")))</f>
        <v/>
      </c>
      <c r="I365" s="12">
        <f>IF(BANK_RAW!A365="","",E365-F365)</f>
        <v/>
      </c>
      <c r="J365" s="12">
        <f>IF(BANK_RAW!A365="","",ABS(I365))</f>
        <v/>
      </c>
      <c r="K365" s="11">
        <f>IF(BANK_RAW!A365="","",IF(H365="CR","IN","OUT"))</f>
        <v/>
      </c>
      <c r="L365" s="11" t="inlineStr"/>
      <c r="M365" s="11" t="inlineStr"/>
    </row>
    <row r="366">
      <c r="A366" s="13">
        <f>IF(BANK_RAW!A366="","",ROW()-1)</f>
        <v/>
      </c>
      <c r="B366" s="10">
        <f>IF(BANK_RAW!A366="","",IF(ISNUMBER(BANK_RAW!A366),BANK_RAW!A366,DATEVALUE(TEXT(BANK_RAW!A366,"YYYY-MM-DD"))))</f>
        <v/>
      </c>
      <c r="C366" s="11">
        <f>IF(BANK_RAW!A366="","",TRIM(BANK_RAW!B366))</f>
        <v/>
      </c>
      <c r="D366" s="11">
        <f>IF(BANK_RAW!A366="","",TRIM(BANK_RAW!C366))</f>
        <v/>
      </c>
      <c r="E366" s="12">
        <f>IF(BANK_RAW!A366="","",IFERROR(ABS(BANK_RAW!D366),0))</f>
        <v/>
      </c>
      <c r="F366" s="12">
        <f>IF(BANK_RAW!A366="","",IFERROR(ABS(BANK_RAW!E366),0))</f>
        <v/>
      </c>
      <c r="G366" s="12">
        <f>IF(BANK_RAW!A366="","",IFERROR(BANK_RAW!F366,0))</f>
        <v/>
      </c>
      <c r="H366" s="11">
        <f>IF(BANK_RAW!A366="","",IF(E366&gt;0,"CR",IF(F366&gt;0,"DR","CR")))</f>
        <v/>
      </c>
      <c r="I366" s="12">
        <f>IF(BANK_RAW!A366="","",E366-F366)</f>
        <v/>
      </c>
      <c r="J366" s="12">
        <f>IF(BANK_RAW!A366="","",ABS(I366))</f>
        <v/>
      </c>
      <c r="K366" s="11">
        <f>IF(BANK_RAW!A366="","",IF(H366="CR","IN","OUT"))</f>
        <v/>
      </c>
      <c r="L366" s="11" t="inlineStr"/>
      <c r="M366" s="11" t="inlineStr"/>
    </row>
    <row r="367">
      <c r="A367" s="13">
        <f>IF(BANK_RAW!A367="","",ROW()-1)</f>
        <v/>
      </c>
      <c r="B367" s="10">
        <f>IF(BANK_RAW!A367="","",IF(ISNUMBER(BANK_RAW!A367),BANK_RAW!A367,DATEVALUE(TEXT(BANK_RAW!A367,"YYYY-MM-DD"))))</f>
        <v/>
      </c>
      <c r="C367" s="11">
        <f>IF(BANK_RAW!A367="","",TRIM(BANK_RAW!B367))</f>
        <v/>
      </c>
      <c r="D367" s="11">
        <f>IF(BANK_RAW!A367="","",TRIM(BANK_RAW!C367))</f>
        <v/>
      </c>
      <c r="E367" s="12">
        <f>IF(BANK_RAW!A367="","",IFERROR(ABS(BANK_RAW!D367),0))</f>
        <v/>
      </c>
      <c r="F367" s="12">
        <f>IF(BANK_RAW!A367="","",IFERROR(ABS(BANK_RAW!E367),0))</f>
        <v/>
      </c>
      <c r="G367" s="12">
        <f>IF(BANK_RAW!A367="","",IFERROR(BANK_RAW!F367,0))</f>
        <v/>
      </c>
      <c r="H367" s="11">
        <f>IF(BANK_RAW!A367="","",IF(E367&gt;0,"CR",IF(F367&gt;0,"DR","CR")))</f>
        <v/>
      </c>
      <c r="I367" s="12">
        <f>IF(BANK_RAW!A367="","",E367-F367)</f>
        <v/>
      </c>
      <c r="J367" s="12">
        <f>IF(BANK_RAW!A367="","",ABS(I367))</f>
        <v/>
      </c>
      <c r="K367" s="11">
        <f>IF(BANK_RAW!A367="","",IF(H367="CR","IN","OUT"))</f>
        <v/>
      </c>
      <c r="L367" s="11" t="inlineStr"/>
      <c r="M367" s="11" t="inlineStr"/>
    </row>
    <row r="368">
      <c r="A368" s="13">
        <f>IF(BANK_RAW!A368="","",ROW()-1)</f>
        <v/>
      </c>
      <c r="B368" s="10">
        <f>IF(BANK_RAW!A368="","",IF(ISNUMBER(BANK_RAW!A368),BANK_RAW!A368,DATEVALUE(TEXT(BANK_RAW!A368,"YYYY-MM-DD"))))</f>
        <v/>
      </c>
      <c r="C368" s="11">
        <f>IF(BANK_RAW!A368="","",TRIM(BANK_RAW!B368))</f>
        <v/>
      </c>
      <c r="D368" s="11">
        <f>IF(BANK_RAW!A368="","",TRIM(BANK_RAW!C368))</f>
        <v/>
      </c>
      <c r="E368" s="12">
        <f>IF(BANK_RAW!A368="","",IFERROR(ABS(BANK_RAW!D368),0))</f>
        <v/>
      </c>
      <c r="F368" s="12">
        <f>IF(BANK_RAW!A368="","",IFERROR(ABS(BANK_RAW!E368),0))</f>
        <v/>
      </c>
      <c r="G368" s="12">
        <f>IF(BANK_RAW!A368="","",IFERROR(BANK_RAW!F368,0))</f>
        <v/>
      </c>
      <c r="H368" s="11">
        <f>IF(BANK_RAW!A368="","",IF(E368&gt;0,"CR",IF(F368&gt;0,"DR","CR")))</f>
        <v/>
      </c>
      <c r="I368" s="12">
        <f>IF(BANK_RAW!A368="","",E368-F368)</f>
        <v/>
      </c>
      <c r="J368" s="12">
        <f>IF(BANK_RAW!A368="","",ABS(I368))</f>
        <v/>
      </c>
      <c r="K368" s="11">
        <f>IF(BANK_RAW!A368="","",IF(H368="CR","IN","OUT"))</f>
        <v/>
      </c>
      <c r="L368" s="11" t="inlineStr"/>
      <c r="M368" s="11" t="inlineStr"/>
    </row>
    <row r="369">
      <c r="A369" s="13">
        <f>IF(BANK_RAW!A369="","",ROW()-1)</f>
        <v/>
      </c>
      <c r="B369" s="10">
        <f>IF(BANK_RAW!A369="","",IF(ISNUMBER(BANK_RAW!A369),BANK_RAW!A369,DATEVALUE(TEXT(BANK_RAW!A369,"YYYY-MM-DD"))))</f>
        <v/>
      </c>
      <c r="C369" s="11">
        <f>IF(BANK_RAW!A369="","",TRIM(BANK_RAW!B369))</f>
        <v/>
      </c>
      <c r="D369" s="11">
        <f>IF(BANK_RAW!A369="","",TRIM(BANK_RAW!C369))</f>
        <v/>
      </c>
      <c r="E369" s="12">
        <f>IF(BANK_RAW!A369="","",IFERROR(ABS(BANK_RAW!D369),0))</f>
        <v/>
      </c>
      <c r="F369" s="12">
        <f>IF(BANK_RAW!A369="","",IFERROR(ABS(BANK_RAW!E369),0))</f>
        <v/>
      </c>
      <c r="G369" s="12">
        <f>IF(BANK_RAW!A369="","",IFERROR(BANK_RAW!F369,0))</f>
        <v/>
      </c>
      <c r="H369" s="11">
        <f>IF(BANK_RAW!A369="","",IF(E369&gt;0,"CR",IF(F369&gt;0,"DR","CR")))</f>
        <v/>
      </c>
      <c r="I369" s="12">
        <f>IF(BANK_RAW!A369="","",E369-F369)</f>
        <v/>
      </c>
      <c r="J369" s="12">
        <f>IF(BANK_RAW!A369="","",ABS(I369))</f>
        <v/>
      </c>
      <c r="K369" s="11">
        <f>IF(BANK_RAW!A369="","",IF(H369="CR","IN","OUT"))</f>
        <v/>
      </c>
      <c r="L369" s="11" t="inlineStr"/>
      <c r="M369" s="11" t="inlineStr"/>
    </row>
    <row r="370">
      <c r="A370" s="13">
        <f>IF(BANK_RAW!A370="","",ROW()-1)</f>
        <v/>
      </c>
      <c r="B370" s="10">
        <f>IF(BANK_RAW!A370="","",IF(ISNUMBER(BANK_RAW!A370),BANK_RAW!A370,DATEVALUE(TEXT(BANK_RAW!A370,"YYYY-MM-DD"))))</f>
        <v/>
      </c>
      <c r="C370" s="11">
        <f>IF(BANK_RAW!A370="","",TRIM(BANK_RAW!B370))</f>
        <v/>
      </c>
      <c r="D370" s="11">
        <f>IF(BANK_RAW!A370="","",TRIM(BANK_RAW!C370))</f>
        <v/>
      </c>
      <c r="E370" s="12">
        <f>IF(BANK_RAW!A370="","",IFERROR(ABS(BANK_RAW!D370),0))</f>
        <v/>
      </c>
      <c r="F370" s="12">
        <f>IF(BANK_RAW!A370="","",IFERROR(ABS(BANK_RAW!E370),0))</f>
        <v/>
      </c>
      <c r="G370" s="12">
        <f>IF(BANK_RAW!A370="","",IFERROR(BANK_RAW!F370,0))</f>
        <v/>
      </c>
      <c r="H370" s="11">
        <f>IF(BANK_RAW!A370="","",IF(E370&gt;0,"CR",IF(F370&gt;0,"DR","CR")))</f>
        <v/>
      </c>
      <c r="I370" s="12">
        <f>IF(BANK_RAW!A370="","",E370-F370)</f>
        <v/>
      </c>
      <c r="J370" s="12">
        <f>IF(BANK_RAW!A370="","",ABS(I370))</f>
        <v/>
      </c>
      <c r="K370" s="11">
        <f>IF(BANK_RAW!A370="","",IF(H370="CR","IN","OUT"))</f>
        <v/>
      </c>
      <c r="L370" s="11" t="inlineStr"/>
      <c r="M370" s="11" t="inlineStr"/>
    </row>
    <row r="371">
      <c r="A371" s="13">
        <f>IF(BANK_RAW!A371="","",ROW()-1)</f>
        <v/>
      </c>
      <c r="B371" s="10">
        <f>IF(BANK_RAW!A371="","",IF(ISNUMBER(BANK_RAW!A371),BANK_RAW!A371,DATEVALUE(TEXT(BANK_RAW!A371,"YYYY-MM-DD"))))</f>
        <v/>
      </c>
      <c r="C371" s="11">
        <f>IF(BANK_RAW!A371="","",TRIM(BANK_RAW!B371))</f>
        <v/>
      </c>
      <c r="D371" s="11">
        <f>IF(BANK_RAW!A371="","",TRIM(BANK_RAW!C371))</f>
        <v/>
      </c>
      <c r="E371" s="12">
        <f>IF(BANK_RAW!A371="","",IFERROR(ABS(BANK_RAW!D371),0))</f>
        <v/>
      </c>
      <c r="F371" s="12">
        <f>IF(BANK_RAW!A371="","",IFERROR(ABS(BANK_RAW!E371),0))</f>
        <v/>
      </c>
      <c r="G371" s="12">
        <f>IF(BANK_RAW!A371="","",IFERROR(BANK_RAW!F371,0))</f>
        <v/>
      </c>
      <c r="H371" s="11">
        <f>IF(BANK_RAW!A371="","",IF(E371&gt;0,"CR",IF(F371&gt;0,"DR","CR")))</f>
        <v/>
      </c>
      <c r="I371" s="12">
        <f>IF(BANK_RAW!A371="","",E371-F371)</f>
        <v/>
      </c>
      <c r="J371" s="12">
        <f>IF(BANK_RAW!A371="","",ABS(I371))</f>
        <v/>
      </c>
      <c r="K371" s="11">
        <f>IF(BANK_RAW!A371="","",IF(H371="CR","IN","OUT"))</f>
        <v/>
      </c>
      <c r="L371" s="11" t="inlineStr"/>
      <c r="M371" s="11" t="inlineStr"/>
    </row>
    <row r="372">
      <c r="A372" s="13">
        <f>IF(BANK_RAW!A372="","",ROW()-1)</f>
        <v/>
      </c>
      <c r="B372" s="10">
        <f>IF(BANK_RAW!A372="","",IF(ISNUMBER(BANK_RAW!A372),BANK_RAW!A372,DATEVALUE(TEXT(BANK_RAW!A372,"YYYY-MM-DD"))))</f>
        <v/>
      </c>
      <c r="C372" s="11">
        <f>IF(BANK_RAW!A372="","",TRIM(BANK_RAW!B372))</f>
        <v/>
      </c>
      <c r="D372" s="11">
        <f>IF(BANK_RAW!A372="","",TRIM(BANK_RAW!C372))</f>
        <v/>
      </c>
      <c r="E372" s="12">
        <f>IF(BANK_RAW!A372="","",IFERROR(ABS(BANK_RAW!D372),0))</f>
        <v/>
      </c>
      <c r="F372" s="12">
        <f>IF(BANK_RAW!A372="","",IFERROR(ABS(BANK_RAW!E372),0))</f>
        <v/>
      </c>
      <c r="G372" s="12">
        <f>IF(BANK_RAW!A372="","",IFERROR(BANK_RAW!F372,0))</f>
        <v/>
      </c>
      <c r="H372" s="11">
        <f>IF(BANK_RAW!A372="","",IF(E372&gt;0,"CR",IF(F372&gt;0,"DR","CR")))</f>
        <v/>
      </c>
      <c r="I372" s="12">
        <f>IF(BANK_RAW!A372="","",E372-F372)</f>
        <v/>
      </c>
      <c r="J372" s="12">
        <f>IF(BANK_RAW!A372="","",ABS(I372))</f>
        <v/>
      </c>
      <c r="K372" s="11">
        <f>IF(BANK_RAW!A372="","",IF(H372="CR","IN","OUT"))</f>
        <v/>
      </c>
      <c r="L372" s="11" t="inlineStr"/>
      <c r="M372" s="11" t="inlineStr"/>
    </row>
    <row r="373">
      <c r="A373" s="13">
        <f>IF(BANK_RAW!A373="","",ROW()-1)</f>
        <v/>
      </c>
      <c r="B373" s="10">
        <f>IF(BANK_RAW!A373="","",IF(ISNUMBER(BANK_RAW!A373),BANK_RAW!A373,DATEVALUE(TEXT(BANK_RAW!A373,"YYYY-MM-DD"))))</f>
        <v/>
      </c>
      <c r="C373" s="11">
        <f>IF(BANK_RAW!A373="","",TRIM(BANK_RAW!B373))</f>
        <v/>
      </c>
      <c r="D373" s="11">
        <f>IF(BANK_RAW!A373="","",TRIM(BANK_RAW!C373))</f>
        <v/>
      </c>
      <c r="E373" s="12">
        <f>IF(BANK_RAW!A373="","",IFERROR(ABS(BANK_RAW!D373),0))</f>
        <v/>
      </c>
      <c r="F373" s="12">
        <f>IF(BANK_RAW!A373="","",IFERROR(ABS(BANK_RAW!E373),0))</f>
        <v/>
      </c>
      <c r="G373" s="12">
        <f>IF(BANK_RAW!A373="","",IFERROR(BANK_RAW!F373,0))</f>
        <v/>
      </c>
      <c r="H373" s="11">
        <f>IF(BANK_RAW!A373="","",IF(E373&gt;0,"CR",IF(F373&gt;0,"DR","CR")))</f>
        <v/>
      </c>
      <c r="I373" s="12">
        <f>IF(BANK_RAW!A373="","",E373-F373)</f>
        <v/>
      </c>
      <c r="J373" s="12">
        <f>IF(BANK_RAW!A373="","",ABS(I373))</f>
        <v/>
      </c>
      <c r="K373" s="11">
        <f>IF(BANK_RAW!A373="","",IF(H373="CR","IN","OUT"))</f>
        <v/>
      </c>
      <c r="L373" s="11" t="inlineStr"/>
      <c r="M373" s="11" t="inlineStr"/>
    </row>
    <row r="374">
      <c r="A374" s="13">
        <f>IF(BANK_RAW!A374="","",ROW()-1)</f>
        <v/>
      </c>
      <c r="B374" s="10">
        <f>IF(BANK_RAW!A374="","",IF(ISNUMBER(BANK_RAW!A374),BANK_RAW!A374,DATEVALUE(TEXT(BANK_RAW!A374,"YYYY-MM-DD"))))</f>
        <v/>
      </c>
      <c r="C374" s="11">
        <f>IF(BANK_RAW!A374="","",TRIM(BANK_RAW!B374))</f>
        <v/>
      </c>
      <c r="D374" s="11">
        <f>IF(BANK_RAW!A374="","",TRIM(BANK_RAW!C374))</f>
        <v/>
      </c>
      <c r="E374" s="12">
        <f>IF(BANK_RAW!A374="","",IFERROR(ABS(BANK_RAW!D374),0))</f>
        <v/>
      </c>
      <c r="F374" s="12">
        <f>IF(BANK_RAW!A374="","",IFERROR(ABS(BANK_RAW!E374),0))</f>
        <v/>
      </c>
      <c r="G374" s="12">
        <f>IF(BANK_RAW!A374="","",IFERROR(BANK_RAW!F374,0))</f>
        <v/>
      </c>
      <c r="H374" s="11">
        <f>IF(BANK_RAW!A374="","",IF(E374&gt;0,"CR",IF(F374&gt;0,"DR","CR")))</f>
        <v/>
      </c>
      <c r="I374" s="12">
        <f>IF(BANK_RAW!A374="","",E374-F374)</f>
        <v/>
      </c>
      <c r="J374" s="12">
        <f>IF(BANK_RAW!A374="","",ABS(I374))</f>
        <v/>
      </c>
      <c r="K374" s="11">
        <f>IF(BANK_RAW!A374="","",IF(H374="CR","IN","OUT"))</f>
        <v/>
      </c>
      <c r="L374" s="11" t="inlineStr"/>
      <c r="M374" s="11" t="inlineStr"/>
    </row>
    <row r="375">
      <c r="A375" s="13">
        <f>IF(BANK_RAW!A375="","",ROW()-1)</f>
        <v/>
      </c>
      <c r="B375" s="10">
        <f>IF(BANK_RAW!A375="","",IF(ISNUMBER(BANK_RAW!A375),BANK_RAW!A375,DATEVALUE(TEXT(BANK_RAW!A375,"YYYY-MM-DD"))))</f>
        <v/>
      </c>
      <c r="C375" s="11">
        <f>IF(BANK_RAW!A375="","",TRIM(BANK_RAW!B375))</f>
        <v/>
      </c>
      <c r="D375" s="11">
        <f>IF(BANK_RAW!A375="","",TRIM(BANK_RAW!C375))</f>
        <v/>
      </c>
      <c r="E375" s="12">
        <f>IF(BANK_RAW!A375="","",IFERROR(ABS(BANK_RAW!D375),0))</f>
        <v/>
      </c>
      <c r="F375" s="12">
        <f>IF(BANK_RAW!A375="","",IFERROR(ABS(BANK_RAW!E375),0))</f>
        <v/>
      </c>
      <c r="G375" s="12">
        <f>IF(BANK_RAW!A375="","",IFERROR(BANK_RAW!F375,0))</f>
        <v/>
      </c>
      <c r="H375" s="11">
        <f>IF(BANK_RAW!A375="","",IF(E375&gt;0,"CR",IF(F375&gt;0,"DR","CR")))</f>
        <v/>
      </c>
      <c r="I375" s="12">
        <f>IF(BANK_RAW!A375="","",E375-F375)</f>
        <v/>
      </c>
      <c r="J375" s="12">
        <f>IF(BANK_RAW!A375="","",ABS(I375))</f>
        <v/>
      </c>
      <c r="K375" s="11">
        <f>IF(BANK_RAW!A375="","",IF(H375="CR","IN","OUT"))</f>
        <v/>
      </c>
      <c r="L375" s="11" t="inlineStr"/>
      <c r="M375" s="11" t="inlineStr"/>
    </row>
    <row r="376">
      <c r="A376" s="13">
        <f>IF(BANK_RAW!A376="","",ROW()-1)</f>
        <v/>
      </c>
      <c r="B376" s="10">
        <f>IF(BANK_RAW!A376="","",IF(ISNUMBER(BANK_RAW!A376),BANK_RAW!A376,DATEVALUE(TEXT(BANK_RAW!A376,"YYYY-MM-DD"))))</f>
        <v/>
      </c>
      <c r="C376" s="11">
        <f>IF(BANK_RAW!A376="","",TRIM(BANK_RAW!B376))</f>
        <v/>
      </c>
      <c r="D376" s="11">
        <f>IF(BANK_RAW!A376="","",TRIM(BANK_RAW!C376))</f>
        <v/>
      </c>
      <c r="E376" s="12">
        <f>IF(BANK_RAW!A376="","",IFERROR(ABS(BANK_RAW!D376),0))</f>
        <v/>
      </c>
      <c r="F376" s="12">
        <f>IF(BANK_RAW!A376="","",IFERROR(ABS(BANK_RAW!E376),0))</f>
        <v/>
      </c>
      <c r="G376" s="12">
        <f>IF(BANK_RAW!A376="","",IFERROR(BANK_RAW!F376,0))</f>
        <v/>
      </c>
      <c r="H376" s="11">
        <f>IF(BANK_RAW!A376="","",IF(E376&gt;0,"CR",IF(F376&gt;0,"DR","CR")))</f>
        <v/>
      </c>
      <c r="I376" s="12">
        <f>IF(BANK_RAW!A376="","",E376-F376)</f>
        <v/>
      </c>
      <c r="J376" s="12">
        <f>IF(BANK_RAW!A376="","",ABS(I376))</f>
        <v/>
      </c>
      <c r="K376" s="11">
        <f>IF(BANK_RAW!A376="","",IF(H376="CR","IN","OUT"))</f>
        <v/>
      </c>
      <c r="L376" s="11" t="inlineStr"/>
      <c r="M376" s="11" t="inlineStr"/>
    </row>
    <row r="377">
      <c r="A377" s="13">
        <f>IF(BANK_RAW!A377="","",ROW()-1)</f>
        <v/>
      </c>
      <c r="B377" s="10">
        <f>IF(BANK_RAW!A377="","",IF(ISNUMBER(BANK_RAW!A377),BANK_RAW!A377,DATEVALUE(TEXT(BANK_RAW!A377,"YYYY-MM-DD"))))</f>
        <v/>
      </c>
      <c r="C377" s="11">
        <f>IF(BANK_RAW!A377="","",TRIM(BANK_RAW!B377))</f>
        <v/>
      </c>
      <c r="D377" s="11">
        <f>IF(BANK_RAW!A377="","",TRIM(BANK_RAW!C377))</f>
        <v/>
      </c>
      <c r="E377" s="12">
        <f>IF(BANK_RAW!A377="","",IFERROR(ABS(BANK_RAW!D377),0))</f>
        <v/>
      </c>
      <c r="F377" s="12">
        <f>IF(BANK_RAW!A377="","",IFERROR(ABS(BANK_RAW!E377),0))</f>
        <v/>
      </c>
      <c r="G377" s="12">
        <f>IF(BANK_RAW!A377="","",IFERROR(BANK_RAW!F377,0))</f>
        <v/>
      </c>
      <c r="H377" s="11">
        <f>IF(BANK_RAW!A377="","",IF(E377&gt;0,"CR",IF(F377&gt;0,"DR","CR")))</f>
        <v/>
      </c>
      <c r="I377" s="12">
        <f>IF(BANK_RAW!A377="","",E377-F377)</f>
        <v/>
      </c>
      <c r="J377" s="12">
        <f>IF(BANK_RAW!A377="","",ABS(I377))</f>
        <v/>
      </c>
      <c r="K377" s="11">
        <f>IF(BANK_RAW!A377="","",IF(H377="CR","IN","OUT"))</f>
        <v/>
      </c>
      <c r="L377" s="11" t="inlineStr"/>
      <c r="M377" s="11" t="inlineStr"/>
    </row>
    <row r="378">
      <c r="A378" s="13">
        <f>IF(BANK_RAW!A378="","",ROW()-1)</f>
        <v/>
      </c>
      <c r="B378" s="10">
        <f>IF(BANK_RAW!A378="","",IF(ISNUMBER(BANK_RAW!A378),BANK_RAW!A378,DATEVALUE(TEXT(BANK_RAW!A378,"YYYY-MM-DD"))))</f>
        <v/>
      </c>
      <c r="C378" s="11">
        <f>IF(BANK_RAW!A378="","",TRIM(BANK_RAW!B378))</f>
        <v/>
      </c>
      <c r="D378" s="11">
        <f>IF(BANK_RAW!A378="","",TRIM(BANK_RAW!C378))</f>
        <v/>
      </c>
      <c r="E378" s="12">
        <f>IF(BANK_RAW!A378="","",IFERROR(ABS(BANK_RAW!D378),0))</f>
        <v/>
      </c>
      <c r="F378" s="12">
        <f>IF(BANK_RAW!A378="","",IFERROR(ABS(BANK_RAW!E378),0))</f>
        <v/>
      </c>
      <c r="G378" s="12">
        <f>IF(BANK_RAW!A378="","",IFERROR(BANK_RAW!F378,0))</f>
        <v/>
      </c>
      <c r="H378" s="11">
        <f>IF(BANK_RAW!A378="","",IF(E378&gt;0,"CR",IF(F378&gt;0,"DR","CR")))</f>
        <v/>
      </c>
      <c r="I378" s="12">
        <f>IF(BANK_RAW!A378="","",E378-F378)</f>
        <v/>
      </c>
      <c r="J378" s="12">
        <f>IF(BANK_RAW!A378="","",ABS(I378))</f>
        <v/>
      </c>
      <c r="K378" s="11">
        <f>IF(BANK_RAW!A378="","",IF(H378="CR","IN","OUT"))</f>
        <v/>
      </c>
      <c r="L378" s="11" t="inlineStr"/>
      <c r="M378" s="11" t="inlineStr"/>
    </row>
    <row r="379">
      <c r="A379" s="13">
        <f>IF(BANK_RAW!A379="","",ROW()-1)</f>
        <v/>
      </c>
      <c r="B379" s="10">
        <f>IF(BANK_RAW!A379="","",IF(ISNUMBER(BANK_RAW!A379),BANK_RAW!A379,DATEVALUE(TEXT(BANK_RAW!A379,"YYYY-MM-DD"))))</f>
        <v/>
      </c>
      <c r="C379" s="11">
        <f>IF(BANK_RAW!A379="","",TRIM(BANK_RAW!B379))</f>
        <v/>
      </c>
      <c r="D379" s="11">
        <f>IF(BANK_RAW!A379="","",TRIM(BANK_RAW!C379))</f>
        <v/>
      </c>
      <c r="E379" s="12">
        <f>IF(BANK_RAW!A379="","",IFERROR(ABS(BANK_RAW!D379),0))</f>
        <v/>
      </c>
      <c r="F379" s="12">
        <f>IF(BANK_RAW!A379="","",IFERROR(ABS(BANK_RAW!E379),0))</f>
        <v/>
      </c>
      <c r="G379" s="12">
        <f>IF(BANK_RAW!A379="","",IFERROR(BANK_RAW!F379,0))</f>
        <v/>
      </c>
      <c r="H379" s="11">
        <f>IF(BANK_RAW!A379="","",IF(E379&gt;0,"CR",IF(F379&gt;0,"DR","CR")))</f>
        <v/>
      </c>
      <c r="I379" s="12">
        <f>IF(BANK_RAW!A379="","",E379-F379)</f>
        <v/>
      </c>
      <c r="J379" s="12">
        <f>IF(BANK_RAW!A379="","",ABS(I379))</f>
        <v/>
      </c>
      <c r="K379" s="11">
        <f>IF(BANK_RAW!A379="","",IF(H379="CR","IN","OUT"))</f>
        <v/>
      </c>
      <c r="L379" s="11" t="inlineStr"/>
      <c r="M379" s="11" t="inlineStr"/>
    </row>
    <row r="380">
      <c r="A380" s="13">
        <f>IF(BANK_RAW!A380="","",ROW()-1)</f>
        <v/>
      </c>
      <c r="B380" s="10">
        <f>IF(BANK_RAW!A380="","",IF(ISNUMBER(BANK_RAW!A380),BANK_RAW!A380,DATEVALUE(TEXT(BANK_RAW!A380,"YYYY-MM-DD"))))</f>
        <v/>
      </c>
      <c r="C380" s="11">
        <f>IF(BANK_RAW!A380="","",TRIM(BANK_RAW!B380))</f>
        <v/>
      </c>
      <c r="D380" s="11">
        <f>IF(BANK_RAW!A380="","",TRIM(BANK_RAW!C380))</f>
        <v/>
      </c>
      <c r="E380" s="12">
        <f>IF(BANK_RAW!A380="","",IFERROR(ABS(BANK_RAW!D380),0))</f>
        <v/>
      </c>
      <c r="F380" s="12">
        <f>IF(BANK_RAW!A380="","",IFERROR(ABS(BANK_RAW!E380),0))</f>
        <v/>
      </c>
      <c r="G380" s="12">
        <f>IF(BANK_RAW!A380="","",IFERROR(BANK_RAW!F380,0))</f>
        <v/>
      </c>
      <c r="H380" s="11">
        <f>IF(BANK_RAW!A380="","",IF(E380&gt;0,"CR",IF(F380&gt;0,"DR","CR")))</f>
        <v/>
      </c>
      <c r="I380" s="12">
        <f>IF(BANK_RAW!A380="","",E380-F380)</f>
        <v/>
      </c>
      <c r="J380" s="12">
        <f>IF(BANK_RAW!A380="","",ABS(I380))</f>
        <v/>
      </c>
      <c r="K380" s="11">
        <f>IF(BANK_RAW!A380="","",IF(H380="CR","IN","OUT"))</f>
        <v/>
      </c>
      <c r="L380" s="11" t="inlineStr"/>
      <c r="M380" s="11" t="inlineStr"/>
    </row>
    <row r="381">
      <c r="A381" s="13">
        <f>IF(BANK_RAW!A381="","",ROW()-1)</f>
        <v/>
      </c>
      <c r="B381" s="10">
        <f>IF(BANK_RAW!A381="","",IF(ISNUMBER(BANK_RAW!A381),BANK_RAW!A381,DATEVALUE(TEXT(BANK_RAW!A381,"YYYY-MM-DD"))))</f>
        <v/>
      </c>
      <c r="C381" s="11">
        <f>IF(BANK_RAW!A381="","",TRIM(BANK_RAW!B381))</f>
        <v/>
      </c>
      <c r="D381" s="11">
        <f>IF(BANK_RAW!A381="","",TRIM(BANK_RAW!C381))</f>
        <v/>
      </c>
      <c r="E381" s="12">
        <f>IF(BANK_RAW!A381="","",IFERROR(ABS(BANK_RAW!D381),0))</f>
        <v/>
      </c>
      <c r="F381" s="12">
        <f>IF(BANK_RAW!A381="","",IFERROR(ABS(BANK_RAW!E381),0))</f>
        <v/>
      </c>
      <c r="G381" s="12">
        <f>IF(BANK_RAW!A381="","",IFERROR(BANK_RAW!F381,0))</f>
        <v/>
      </c>
      <c r="H381" s="11">
        <f>IF(BANK_RAW!A381="","",IF(E381&gt;0,"CR",IF(F381&gt;0,"DR","CR")))</f>
        <v/>
      </c>
      <c r="I381" s="12">
        <f>IF(BANK_RAW!A381="","",E381-F381)</f>
        <v/>
      </c>
      <c r="J381" s="12">
        <f>IF(BANK_RAW!A381="","",ABS(I381))</f>
        <v/>
      </c>
      <c r="K381" s="11">
        <f>IF(BANK_RAW!A381="","",IF(H381="CR","IN","OUT"))</f>
        <v/>
      </c>
      <c r="L381" s="11" t="inlineStr"/>
      <c r="M381" s="11" t="inlineStr"/>
    </row>
    <row r="382">
      <c r="A382" s="13">
        <f>IF(BANK_RAW!A382="","",ROW()-1)</f>
        <v/>
      </c>
      <c r="B382" s="10">
        <f>IF(BANK_RAW!A382="","",IF(ISNUMBER(BANK_RAW!A382),BANK_RAW!A382,DATEVALUE(TEXT(BANK_RAW!A382,"YYYY-MM-DD"))))</f>
        <v/>
      </c>
      <c r="C382" s="11">
        <f>IF(BANK_RAW!A382="","",TRIM(BANK_RAW!B382))</f>
        <v/>
      </c>
      <c r="D382" s="11">
        <f>IF(BANK_RAW!A382="","",TRIM(BANK_RAW!C382))</f>
        <v/>
      </c>
      <c r="E382" s="12">
        <f>IF(BANK_RAW!A382="","",IFERROR(ABS(BANK_RAW!D382),0))</f>
        <v/>
      </c>
      <c r="F382" s="12">
        <f>IF(BANK_RAW!A382="","",IFERROR(ABS(BANK_RAW!E382),0))</f>
        <v/>
      </c>
      <c r="G382" s="12">
        <f>IF(BANK_RAW!A382="","",IFERROR(BANK_RAW!F382,0))</f>
        <v/>
      </c>
      <c r="H382" s="11">
        <f>IF(BANK_RAW!A382="","",IF(E382&gt;0,"CR",IF(F382&gt;0,"DR","CR")))</f>
        <v/>
      </c>
      <c r="I382" s="12">
        <f>IF(BANK_RAW!A382="","",E382-F382)</f>
        <v/>
      </c>
      <c r="J382" s="12">
        <f>IF(BANK_RAW!A382="","",ABS(I382))</f>
        <v/>
      </c>
      <c r="K382" s="11">
        <f>IF(BANK_RAW!A382="","",IF(H382="CR","IN","OUT"))</f>
        <v/>
      </c>
      <c r="L382" s="11" t="inlineStr"/>
      <c r="M382" s="11" t="inlineStr"/>
    </row>
    <row r="383">
      <c r="A383" s="13">
        <f>IF(BANK_RAW!A383="","",ROW()-1)</f>
        <v/>
      </c>
      <c r="B383" s="10">
        <f>IF(BANK_RAW!A383="","",IF(ISNUMBER(BANK_RAW!A383),BANK_RAW!A383,DATEVALUE(TEXT(BANK_RAW!A383,"YYYY-MM-DD"))))</f>
        <v/>
      </c>
      <c r="C383" s="11">
        <f>IF(BANK_RAW!A383="","",TRIM(BANK_RAW!B383))</f>
        <v/>
      </c>
      <c r="D383" s="11">
        <f>IF(BANK_RAW!A383="","",TRIM(BANK_RAW!C383))</f>
        <v/>
      </c>
      <c r="E383" s="12">
        <f>IF(BANK_RAW!A383="","",IFERROR(ABS(BANK_RAW!D383),0))</f>
        <v/>
      </c>
      <c r="F383" s="12">
        <f>IF(BANK_RAW!A383="","",IFERROR(ABS(BANK_RAW!E383),0))</f>
        <v/>
      </c>
      <c r="G383" s="12">
        <f>IF(BANK_RAW!A383="","",IFERROR(BANK_RAW!F383,0))</f>
        <v/>
      </c>
      <c r="H383" s="11">
        <f>IF(BANK_RAW!A383="","",IF(E383&gt;0,"CR",IF(F383&gt;0,"DR","CR")))</f>
        <v/>
      </c>
      <c r="I383" s="12">
        <f>IF(BANK_RAW!A383="","",E383-F383)</f>
        <v/>
      </c>
      <c r="J383" s="12">
        <f>IF(BANK_RAW!A383="","",ABS(I383))</f>
        <v/>
      </c>
      <c r="K383" s="11">
        <f>IF(BANK_RAW!A383="","",IF(H383="CR","IN","OUT"))</f>
        <v/>
      </c>
      <c r="L383" s="11" t="inlineStr"/>
      <c r="M383" s="11" t="inlineStr"/>
    </row>
    <row r="384">
      <c r="A384" s="13">
        <f>IF(BANK_RAW!A384="","",ROW()-1)</f>
        <v/>
      </c>
      <c r="B384" s="10">
        <f>IF(BANK_RAW!A384="","",IF(ISNUMBER(BANK_RAW!A384),BANK_RAW!A384,DATEVALUE(TEXT(BANK_RAW!A384,"YYYY-MM-DD"))))</f>
        <v/>
      </c>
      <c r="C384" s="11">
        <f>IF(BANK_RAW!A384="","",TRIM(BANK_RAW!B384))</f>
        <v/>
      </c>
      <c r="D384" s="11">
        <f>IF(BANK_RAW!A384="","",TRIM(BANK_RAW!C384))</f>
        <v/>
      </c>
      <c r="E384" s="12">
        <f>IF(BANK_RAW!A384="","",IFERROR(ABS(BANK_RAW!D384),0))</f>
        <v/>
      </c>
      <c r="F384" s="12">
        <f>IF(BANK_RAW!A384="","",IFERROR(ABS(BANK_RAW!E384),0))</f>
        <v/>
      </c>
      <c r="G384" s="12">
        <f>IF(BANK_RAW!A384="","",IFERROR(BANK_RAW!F384,0))</f>
        <v/>
      </c>
      <c r="H384" s="11">
        <f>IF(BANK_RAW!A384="","",IF(E384&gt;0,"CR",IF(F384&gt;0,"DR","CR")))</f>
        <v/>
      </c>
      <c r="I384" s="12">
        <f>IF(BANK_RAW!A384="","",E384-F384)</f>
        <v/>
      </c>
      <c r="J384" s="12">
        <f>IF(BANK_RAW!A384="","",ABS(I384))</f>
        <v/>
      </c>
      <c r="K384" s="11">
        <f>IF(BANK_RAW!A384="","",IF(H384="CR","IN","OUT"))</f>
        <v/>
      </c>
      <c r="L384" s="11" t="inlineStr"/>
      <c r="M384" s="11" t="inlineStr"/>
    </row>
    <row r="385">
      <c r="A385" s="13">
        <f>IF(BANK_RAW!A385="","",ROW()-1)</f>
        <v/>
      </c>
      <c r="B385" s="10">
        <f>IF(BANK_RAW!A385="","",IF(ISNUMBER(BANK_RAW!A385),BANK_RAW!A385,DATEVALUE(TEXT(BANK_RAW!A385,"YYYY-MM-DD"))))</f>
        <v/>
      </c>
      <c r="C385" s="11">
        <f>IF(BANK_RAW!A385="","",TRIM(BANK_RAW!B385))</f>
        <v/>
      </c>
      <c r="D385" s="11">
        <f>IF(BANK_RAW!A385="","",TRIM(BANK_RAW!C385))</f>
        <v/>
      </c>
      <c r="E385" s="12">
        <f>IF(BANK_RAW!A385="","",IFERROR(ABS(BANK_RAW!D385),0))</f>
        <v/>
      </c>
      <c r="F385" s="12">
        <f>IF(BANK_RAW!A385="","",IFERROR(ABS(BANK_RAW!E385),0))</f>
        <v/>
      </c>
      <c r="G385" s="12">
        <f>IF(BANK_RAW!A385="","",IFERROR(BANK_RAW!F385,0))</f>
        <v/>
      </c>
      <c r="H385" s="11">
        <f>IF(BANK_RAW!A385="","",IF(E385&gt;0,"CR",IF(F385&gt;0,"DR","CR")))</f>
        <v/>
      </c>
      <c r="I385" s="12">
        <f>IF(BANK_RAW!A385="","",E385-F385)</f>
        <v/>
      </c>
      <c r="J385" s="12">
        <f>IF(BANK_RAW!A385="","",ABS(I385))</f>
        <v/>
      </c>
      <c r="K385" s="11">
        <f>IF(BANK_RAW!A385="","",IF(H385="CR","IN","OUT"))</f>
        <v/>
      </c>
      <c r="L385" s="11" t="inlineStr"/>
      <c r="M385" s="11" t="inlineStr"/>
    </row>
    <row r="386">
      <c r="A386" s="13">
        <f>IF(BANK_RAW!A386="","",ROW()-1)</f>
        <v/>
      </c>
      <c r="B386" s="10">
        <f>IF(BANK_RAW!A386="","",IF(ISNUMBER(BANK_RAW!A386),BANK_RAW!A386,DATEVALUE(TEXT(BANK_RAW!A386,"YYYY-MM-DD"))))</f>
        <v/>
      </c>
      <c r="C386" s="11">
        <f>IF(BANK_RAW!A386="","",TRIM(BANK_RAW!B386))</f>
        <v/>
      </c>
      <c r="D386" s="11">
        <f>IF(BANK_RAW!A386="","",TRIM(BANK_RAW!C386))</f>
        <v/>
      </c>
      <c r="E386" s="12">
        <f>IF(BANK_RAW!A386="","",IFERROR(ABS(BANK_RAW!D386),0))</f>
        <v/>
      </c>
      <c r="F386" s="12">
        <f>IF(BANK_RAW!A386="","",IFERROR(ABS(BANK_RAW!E386),0))</f>
        <v/>
      </c>
      <c r="G386" s="12">
        <f>IF(BANK_RAW!A386="","",IFERROR(BANK_RAW!F386,0))</f>
        <v/>
      </c>
      <c r="H386" s="11">
        <f>IF(BANK_RAW!A386="","",IF(E386&gt;0,"CR",IF(F386&gt;0,"DR","CR")))</f>
        <v/>
      </c>
      <c r="I386" s="12">
        <f>IF(BANK_RAW!A386="","",E386-F386)</f>
        <v/>
      </c>
      <c r="J386" s="12">
        <f>IF(BANK_RAW!A386="","",ABS(I386))</f>
        <v/>
      </c>
      <c r="K386" s="11">
        <f>IF(BANK_RAW!A386="","",IF(H386="CR","IN","OUT"))</f>
        <v/>
      </c>
      <c r="L386" s="11" t="inlineStr"/>
      <c r="M386" s="11" t="inlineStr"/>
    </row>
    <row r="387">
      <c r="A387" s="13">
        <f>IF(BANK_RAW!A387="","",ROW()-1)</f>
        <v/>
      </c>
      <c r="B387" s="10">
        <f>IF(BANK_RAW!A387="","",IF(ISNUMBER(BANK_RAW!A387),BANK_RAW!A387,DATEVALUE(TEXT(BANK_RAW!A387,"YYYY-MM-DD"))))</f>
        <v/>
      </c>
      <c r="C387" s="11">
        <f>IF(BANK_RAW!A387="","",TRIM(BANK_RAW!B387))</f>
        <v/>
      </c>
      <c r="D387" s="11">
        <f>IF(BANK_RAW!A387="","",TRIM(BANK_RAW!C387))</f>
        <v/>
      </c>
      <c r="E387" s="12">
        <f>IF(BANK_RAW!A387="","",IFERROR(ABS(BANK_RAW!D387),0))</f>
        <v/>
      </c>
      <c r="F387" s="12">
        <f>IF(BANK_RAW!A387="","",IFERROR(ABS(BANK_RAW!E387),0))</f>
        <v/>
      </c>
      <c r="G387" s="12">
        <f>IF(BANK_RAW!A387="","",IFERROR(BANK_RAW!F387,0))</f>
        <v/>
      </c>
      <c r="H387" s="11">
        <f>IF(BANK_RAW!A387="","",IF(E387&gt;0,"CR",IF(F387&gt;0,"DR","CR")))</f>
        <v/>
      </c>
      <c r="I387" s="12">
        <f>IF(BANK_RAW!A387="","",E387-F387)</f>
        <v/>
      </c>
      <c r="J387" s="12">
        <f>IF(BANK_RAW!A387="","",ABS(I387))</f>
        <v/>
      </c>
      <c r="K387" s="11">
        <f>IF(BANK_RAW!A387="","",IF(H387="CR","IN","OUT"))</f>
        <v/>
      </c>
      <c r="L387" s="11" t="inlineStr"/>
      <c r="M387" s="11" t="inlineStr"/>
    </row>
    <row r="388">
      <c r="A388" s="13">
        <f>IF(BANK_RAW!A388="","",ROW()-1)</f>
        <v/>
      </c>
      <c r="B388" s="10">
        <f>IF(BANK_RAW!A388="","",IF(ISNUMBER(BANK_RAW!A388),BANK_RAW!A388,DATEVALUE(TEXT(BANK_RAW!A388,"YYYY-MM-DD"))))</f>
        <v/>
      </c>
      <c r="C388" s="11">
        <f>IF(BANK_RAW!A388="","",TRIM(BANK_RAW!B388))</f>
        <v/>
      </c>
      <c r="D388" s="11">
        <f>IF(BANK_RAW!A388="","",TRIM(BANK_RAW!C388))</f>
        <v/>
      </c>
      <c r="E388" s="12">
        <f>IF(BANK_RAW!A388="","",IFERROR(ABS(BANK_RAW!D388),0))</f>
        <v/>
      </c>
      <c r="F388" s="12">
        <f>IF(BANK_RAW!A388="","",IFERROR(ABS(BANK_RAW!E388),0))</f>
        <v/>
      </c>
      <c r="G388" s="12">
        <f>IF(BANK_RAW!A388="","",IFERROR(BANK_RAW!F388,0))</f>
        <v/>
      </c>
      <c r="H388" s="11">
        <f>IF(BANK_RAW!A388="","",IF(E388&gt;0,"CR",IF(F388&gt;0,"DR","CR")))</f>
        <v/>
      </c>
      <c r="I388" s="12">
        <f>IF(BANK_RAW!A388="","",E388-F388)</f>
        <v/>
      </c>
      <c r="J388" s="12">
        <f>IF(BANK_RAW!A388="","",ABS(I388))</f>
        <v/>
      </c>
      <c r="K388" s="11">
        <f>IF(BANK_RAW!A388="","",IF(H388="CR","IN","OUT"))</f>
        <v/>
      </c>
      <c r="L388" s="11" t="inlineStr"/>
      <c r="M388" s="11" t="inlineStr"/>
    </row>
    <row r="389">
      <c r="A389" s="13">
        <f>IF(BANK_RAW!A389="","",ROW()-1)</f>
        <v/>
      </c>
      <c r="B389" s="10">
        <f>IF(BANK_RAW!A389="","",IF(ISNUMBER(BANK_RAW!A389),BANK_RAW!A389,DATEVALUE(TEXT(BANK_RAW!A389,"YYYY-MM-DD"))))</f>
        <v/>
      </c>
      <c r="C389" s="11">
        <f>IF(BANK_RAW!A389="","",TRIM(BANK_RAW!B389))</f>
        <v/>
      </c>
      <c r="D389" s="11">
        <f>IF(BANK_RAW!A389="","",TRIM(BANK_RAW!C389))</f>
        <v/>
      </c>
      <c r="E389" s="12">
        <f>IF(BANK_RAW!A389="","",IFERROR(ABS(BANK_RAW!D389),0))</f>
        <v/>
      </c>
      <c r="F389" s="12">
        <f>IF(BANK_RAW!A389="","",IFERROR(ABS(BANK_RAW!E389),0))</f>
        <v/>
      </c>
      <c r="G389" s="12">
        <f>IF(BANK_RAW!A389="","",IFERROR(BANK_RAW!F389,0))</f>
        <v/>
      </c>
      <c r="H389" s="11">
        <f>IF(BANK_RAW!A389="","",IF(E389&gt;0,"CR",IF(F389&gt;0,"DR","CR")))</f>
        <v/>
      </c>
      <c r="I389" s="12">
        <f>IF(BANK_RAW!A389="","",E389-F389)</f>
        <v/>
      </c>
      <c r="J389" s="12">
        <f>IF(BANK_RAW!A389="","",ABS(I389))</f>
        <v/>
      </c>
      <c r="K389" s="11">
        <f>IF(BANK_RAW!A389="","",IF(H389="CR","IN","OUT"))</f>
        <v/>
      </c>
      <c r="L389" s="11" t="inlineStr"/>
      <c r="M389" s="11" t="inlineStr"/>
    </row>
    <row r="390">
      <c r="A390" s="13">
        <f>IF(BANK_RAW!A390="","",ROW()-1)</f>
        <v/>
      </c>
      <c r="B390" s="10">
        <f>IF(BANK_RAW!A390="","",IF(ISNUMBER(BANK_RAW!A390),BANK_RAW!A390,DATEVALUE(TEXT(BANK_RAW!A390,"YYYY-MM-DD"))))</f>
        <v/>
      </c>
      <c r="C390" s="11">
        <f>IF(BANK_RAW!A390="","",TRIM(BANK_RAW!B390))</f>
        <v/>
      </c>
      <c r="D390" s="11">
        <f>IF(BANK_RAW!A390="","",TRIM(BANK_RAW!C390))</f>
        <v/>
      </c>
      <c r="E390" s="12">
        <f>IF(BANK_RAW!A390="","",IFERROR(ABS(BANK_RAW!D390),0))</f>
        <v/>
      </c>
      <c r="F390" s="12">
        <f>IF(BANK_RAW!A390="","",IFERROR(ABS(BANK_RAW!E390),0))</f>
        <v/>
      </c>
      <c r="G390" s="12">
        <f>IF(BANK_RAW!A390="","",IFERROR(BANK_RAW!F390,0))</f>
        <v/>
      </c>
      <c r="H390" s="11">
        <f>IF(BANK_RAW!A390="","",IF(E390&gt;0,"CR",IF(F390&gt;0,"DR","CR")))</f>
        <v/>
      </c>
      <c r="I390" s="12">
        <f>IF(BANK_RAW!A390="","",E390-F390)</f>
        <v/>
      </c>
      <c r="J390" s="12">
        <f>IF(BANK_RAW!A390="","",ABS(I390))</f>
        <v/>
      </c>
      <c r="K390" s="11">
        <f>IF(BANK_RAW!A390="","",IF(H390="CR","IN","OUT"))</f>
        <v/>
      </c>
      <c r="L390" s="11" t="inlineStr"/>
      <c r="M390" s="11" t="inlineStr"/>
    </row>
    <row r="391">
      <c r="A391" s="13">
        <f>IF(BANK_RAW!A391="","",ROW()-1)</f>
        <v/>
      </c>
      <c r="B391" s="10">
        <f>IF(BANK_RAW!A391="","",IF(ISNUMBER(BANK_RAW!A391),BANK_RAW!A391,DATEVALUE(TEXT(BANK_RAW!A391,"YYYY-MM-DD"))))</f>
        <v/>
      </c>
      <c r="C391" s="11">
        <f>IF(BANK_RAW!A391="","",TRIM(BANK_RAW!B391))</f>
        <v/>
      </c>
      <c r="D391" s="11">
        <f>IF(BANK_RAW!A391="","",TRIM(BANK_RAW!C391))</f>
        <v/>
      </c>
      <c r="E391" s="12">
        <f>IF(BANK_RAW!A391="","",IFERROR(ABS(BANK_RAW!D391),0))</f>
        <v/>
      </c>
      <c r="F391" s="12">
        <f>IF(BANK_RAW!A391="","",IFERROR(ABS(BANK_RAW!E391),0))</f>
        <v/>
      </c>
      <c r="G391" s="12">
        <f>IF(BANK_RAW!A391="","",IFERROR(BANK_RAW!F391,0))</f>
        <v/>
      </c>
      <c r="H391" s="11">
        <f>IF(BANK_RAW!A391="","",IF(E391&gt;0,"CR",IF(F391&gt;0,"DR","CR")))</f>
        <v/>
      </c>
      <c r="I391" s="12">
        <f>IF(BANK_RAW!A391="","",E391-F391)</f>
        <v/>
      </c>
      <c r="J391" s="12">
        <f>IF(BANK_RAW!A391="","",ABS(I391))</f>
        <v/>
      </c>
      <c r="K391" s="11">
        <f>IF(BANK_RAW!A391="","",IF(H391="CR","IN","OUT"))</f>
        <v/>
      </c>
      <c r="L391" s="11" t="inlineStr"/>
      <c r="M391" s="11" t="inlineStr"/>
    </row>
    <row r="392">
      <c r="A392" s="13">
        <f>IF(BANK_RAW!A392="","",ROW()-1)</f>
        <v/>
      </c>
      <c r="B392" s="10">
        <f>IF(BANK_RAW!A392="","",IF(ISNUMBER(BANK_RAW!A392),BANK_RAW!A392,DATEVALUE(TEXT(BANK_RAW!A392,"YYYY-MM-DD"))))</f>
        <v/>
      </c>
      <c r="C392" s="11">
        <f>IF(BANK_RAW!A392="","",TRIM(BANK_RAW!B392))</f>
        <v/>
      </c>
      <c r="D392" s="11">
        <f>IF(BANK_RAW!A392="","",TRIM(BANK_RAW!C392))</f>
        <v/>
      </c>
      <c r="E392" s="12">
        <f>IF(BANK_RAW!A392="","",IFERROR(ABS(BANK_RAW!D392),0))</f>
        <v/>
      </c>
      <c r="F392" s="12">
        <f>IF(BANK_RAW!A392="","",IFERROR(ABS(BANK_RAW!E392),0))</f>
        <v/>
      </c>
      <c r="G392" s="12">
        <f>IF(BANK_RAW!A392="","",IFERROR(BANK_RAW!F392,0))</f>
        <v/>
      </c>
      <c r="H392" s="11">
        <f>IF(BANK_RAW!A392="","",IF(E392&gt;0,"CR",IF(F392&gt;0,"DR","CR")))</f>
        <v/>
      </c>
      <c r="I392" s="12">
        <f>IF(BANK_RAW!A392="","",E392-F392)</f>
        <v/>
      </c>
      <c r="J392" s="12">
        <f>IF(BANK_RAW!A392="","",ABS(I392))</f>
        <v/>
      </c>
      <c r="K392" s="11">
        <f>IF(BANK_RAW!A392="","",IF(H392="CR","IN","OUT"))</f>
        <v/>
      </c>
      <c r="L392" s="11" t="inlineStr"/>
      <c r="M392" s="11" t="inlineStr"/>
    </row>
    <row r="393">
      <c r="A393" s="13">
        <f>IF(BANK_RAW!A393="","",ROW()-1)</f>
        <v/>
      </c>
      <c r="B393" s="10">
        <f>IF(BANK_RAW!A393="","",IF(ISNUMBER(BANK_RAW!A393),BANK_RAW!A393,DATEVALUE(TEXT(BANK_RAW!A393,"YYYY-MM-DD"))))</f>
        <v/>
      </c>
      <c r="C393" s="11">
        <f>IF(BANK_RAW!A393="","",TRIM(BANK_RAW!B393))</f>
        <v/>
      </c>
      <c r="D393" s="11">
        <f>IF(BANK_RAW!A393="","",TRIM(BANK_RAW!C393))</f>
        <v/>
      </c>
      <c r="E393" s="12">
        <f>IF(BANK_RAW!A393="","",IFERROR(ABS(BANK_RAW!D393),0))</f>
        <v/>
      </c>
      <c r="F393" s="12">
        <f>IF(BANK_RAW!A393="","",IFERROR(ABS(BANK_RAW!E393),0))</f>
        <v/>
      </c>
      <c r="G393" s="12">
        <f>IF(BANK_RAW!A393="","",IFERROR(BANK_RAW!F393,0))</f>
        <v/>
      </c>
      <c r="H393" s="11">
        <f>IF(BANK_RAW!A393="","",IF(E393&gt;0,"CR",IF(F393&gt;0,"DR","CR")))</f>
        <v/>
      </c>
      <c r="I393" s="12">
        <f>IF(BANK_RAW!A393="","",E393-F393)</f>
        <v/>
      </c>
      <c r="J393" s="12">
        <f>IF(BANK_RAW!A393="","",ABS(I393))</f>
        <v/>
      </c>
      <c r="K393" s="11">
        <f>IF(BANK_RAW!A393="","",IF(H393="CR","IN","OUT"))</f>
        <v/>
      </c>
      <c r="L393" s="11" t="inlineStr"/>
      <c r="M393" s="11" t="inlineStr"/>
    </row>
    <row r="394">
      <c r="A394" s="13">
        <f>IF(BANK_RAW!A394="","",ROW()-1)</f>
        <v/>
      </c>
      <c r="B394" s="10">
        <f>IF(BANK_RAW!A394="","",IF(ISNUMBER(BANK_RAW!A394),BANK_RAW!A394,DATEVALUE(TEXT(BANK_RAW!A394,"YYYY-MM-DD"))))</f>
        <v/>
      </c>
      <c r="C394" s="11">
        <f>IF(BANK_RAW!A394="","",TRIM(BANK_RAW!B394))</f>
        <v/>
      </c>
      <c r="D394" s="11">
        <f>IF(BANK_RAW!A394="","",TRIM(BANK_RAW!C394))</f>
        <v/>
      </c>
      <c r="E394" s="12">
        <f>IF(BANK_RAW!A394="","",IFERROR(ABS(BANK_RAW!D394),0))</f>
        <v/>
      </c>
      <c r="F394" s="12">
        <f>IF(BANK_RAW!A394="","",IFERROR(ABS(BANK_RAW!E394),0))</f>
        <v/>
      </c>
      <c r="G394" s="12">
        <f>IF(BANK_RAW!A394="","",IFERROR(BANK_RAW!F394,0))</f>
        <v/>
      </c>
      <c r="H394" s="11">
        <f>IF(BANK_RAW!A394="","",IF(E394&gt;0,"CR",IF(F394&gt;0,"DR","CR")))</f>
        <v/>
      </c>
      <c r="I394" s="12">
        <f>IF(BANK_RAW!A394="","",E394-F394)</f>
        <v/>
      </c>
      <c r="J394" s="12">
        <f>IF(BANK_RAW!A394="","",ABS(I394))</f>
        <v/>
      </c>
      <c r="K394" s="11">
        <f>IF(BANK_RAW!A394="","",IF(H394="CR","IN","OUT"))</f>
        <v/>
      </c>
      <c r="L394" s="11" t="inlineStr"/>
      <c r="M394" s="11" t="inlineStr"/>
    </row>
    <row r="395">
      <c r="A395" s="13">
        <f>IF(BANK_RAW!A395="","",ROW()-1)</f>
        <v/>
      </c>
      <c r="B395" s="10">
        <f>IF(BANK_RAW!A395="","",IF(ISNUMBER(BANK_RAW!A395),BANK_RAW!A395,DATEVALUE(TEXT(BANK_RAW!A395,"YYYY-MM-DD"))))</f>
        <v/>
      </c>
      <c r="C395" s="11">
        <f>IF(BANK_RAW!A395="","",TRIM(BANK_RAW!B395))</f>
        <v/>
      </c>
      <c r="D395" s="11">
        <f>IF(BANK_RAW!A395="","",TRIM(BANK_RAW!C395))</f>
        <v/>
      </c>
      <c r="E395" s="12">
        <f>IF(BANK_RAW!A395="","",IFERROR(ABS(BANK_RAW!D395),0))</f>
        <v/>
      </c>
      <c r="F395" s="12">
        <f>IF(BANK_RAW!A395="","",IFERROR(ABS(BANK_RAW!E395),0))</f>
        <v/>
      </c>
      <c r="G395" s="12">
        <f>IF(BANK_RAW!A395="","",IFERROR(BANK_RAW!F395,0))</f>
        <v/>
      </c>
      <c r="H395" s="11">
        <f>IF(BANK_RAW!A395="","",IF(E395&gt;0,"CR",IF(F395&gt;0,"DR","CR")))</f>
        <v/>
      </c>
      <c r="I395" s="12">
        <f>IF(BANK_RAW!A395="","",E395-F395)</f>
        <v/>
      </c>
      <c r="J395" s="12">
        <f>IF(BANK_RAW!A395="","",ABS(I395))</f>
        <v/>
      </c>
      <c r="K395" s="11">
        <f>IF(BANK_RAW!A395="","",IF(H395="CR","IN","OUT"))</f>
        <v/>
      </c>
      <c r="L395" s="11" t="inlineStr"/>
      <c r="M395" s="11" t="inlineStr"/>
    </row>
    <row r="396">
      <c r="A396" s="13">
        <f>IF(BANK_RAW!A396="","",ROW()-1)</f>
        <v/>
      </c>
      <c r="B396" s="10">
        <f>IF(BANK_RAW!A396="","",IF(ISNUMBER(BANK_RAW!A396),BANK_RAW!A396,DATEVALUE(TEXT(BANK_RAW!A396,"YYYY-MM-DD"))))</f>
        <v/>
      </c>
      <c r="C396" s="11">
        <f>IF(BANK_RAW!A396="","",TRIM(BANK_RAW!B396))</f>
        <v/>
      </c>
      <c r="D396" s="11">
        <f>IF(BANK_RAW!A396="","",TRIM(BANK_RAW!C396))</f>
        <v/>
      </c>
      <c r="E396" s="12">
        <f>IF(BANK_RAW!A396="","",IFERROR(ABS(BANK_RAW!D396),0))</f>
        <v/>
      </c>
      <c r="F396" s="12">
        <f>IF(BANK_RAW!A396="","",IFERROR(ABS(BANK_RAW!E396),0))</f>
        <v/>
      </c>
      <c r="G396" s="12">
        <f>IF(BANK_RAW!A396="","",IFERROR(BANK_RAW!F396,0))</f>
        <v/>
      </c>
      <c r="H396" s="11">
        <f>IF(BANK_RAW!A396="","",IF(E396&gt;0,"CR",IF(F396&gt;0,"DR","CR")))</f>
        <v/>
      </c>
      <c r="I396" s="12">
        <f>IF(BANK_RAW!A396="","",E396-F396)</f>
        <v/>
      </c>
      <c r="J396" s="12">
        <f>IF(BANK_RAW!A396="","",ABS(I396))</f>
        <v/>
      </c>
      <c r="K396" s="11">
        <f>IF(BANK_RAW!A396="","",IF(H396="CR","IN","OUT"))</f>
        <v/>
      </c>
      <c r="L396" s="11" t="inlineStr"/>
      <c r="M396" s="11" t="inlineStr"/>
    </row>
    <row r="397">
      <c r="A397" s="13">
        <f>IF(BANK_RAW!A397="","",ROW()-1)</f>
        <v/>
      </c>
      <c r="B397" s="10">
        <f>IF(BANK_RAW!A397="","",IF(ISNUMBER(BANK_RAW!A397),BANK_RAW!A397,DATEVALUE(TEXT(BANK_RAW!A397,"YYYY-MM-DD"))))</f>
        <v/>
      </c>
      <c r="C397" s="11">
        <f>IF(BANK_RAW!A397="","",TRIM(BANK_RAW!B397))</f>
        <v/>
      </c>
      <c r="D397" s="11">
        <f>IF(BANK_RAW!A397="","",TRIM(BANK_RAW!C397))</f>
        <v/>
      </c>
      <c r="E397" s="12">
        <f>IF(BANK_RAW!A397="","",IFERROR(ABS(BANK_RAW!D397),0))</f>
        <v/>
      </c>
      <c r="F397" s="12">
        <f>IF(BANK_RAW!A397="","",IFERROR(ABS(BANK_RAW!E397),0))</f>
        <v/>
      </c>
      <c r="G397" s="12">
        <f>IF(BANK_RAW!A397="","",IFERROR(BANK_RAW!F397,0))</f>
        <v/>
      </c>
      <c r="H397" s="11">
        <f>IF(BANK_RAW!A397="","",IF(E397&gt;0,"CR",IF(F397&gt;0,"DR","CR")))</f>
        <v/>
      </c>
      <c r="I397" s="12">
        <f>IF(BANK_RAW!A397="","",E397-F397)</f>
        <v/>
      </c>
      <c r="J397" s="12">
        <f>IF(BANK_RAW!A397="","",ABS(I397))</f>
        <v/>
      </c>
      <c r="K397" s="11">
        <f>IF(BANK_RAW!A397="","",IF(H397="CR","IN","OUT"))</f>
        <v/>
      </c>
      <c r="L397" s="11" t="inlineStr"/>
      <c r="M397" s="11" t="inlineStr"/>
    </row>
    <row r="398">
      <c r="A398" s="13">
        <f>IF(BANK_RAW!A398="","",ROW()-1)</f>
        <v/>
      </c>
      <c r="B398" s="10">
        <f>IF(BANK_RAW!A398="","",IF(ISNUMBER(BANK_RAW!A398),BANK_RAW!A398,DATEVALUE(TEXT(BANK_RAW!A398,"YYYY-MM-DD"))))</f>
        <v/>
      </c>
      <c r="C398" s="11">
        <f>IF(BANK_RAW!A398="","",TRIM(BANK_RAW!B398))</f>
        <v/>
      </c>
      <c r="D398" s="11">
        <f>IF(BANK_RAW!A398="","",TRIM(BANK_RAW!C398))</f>
        <v/>
      </c>
      <c r="E398" s="12">
        <f>IF(BANK_RAW!A398="","",IFERROR(ABS(BANK_RAW!D398),0))</f>
        <v/>
      </c>
      <c r="F398" s="12">
        <f>IF(BANK_RAW!A398="","",IFERROR(ABS(BANK_RAW!E398),0))</f>
        <v/>
      </c>
      <c r="G398" s="12">
        <f>IF(BANK_RAW!A398="","",IFERROR(BANK_RAW!F398,0))</f>
        <v/>
      </c>
      <c r="H398" s="11">
        <f>IF(BANK_RAW!A398="","",IF(E398&gt;0,"CR",IF(F398&gt;0,"DR","CR")))</f>
        <v/>
      </c>
      <c r="I398" s="12">
        <f>IF(BANK_RAW!A398="","",E398-F398)</f>
        <v/>
      </c>
      <c r="J398" s="12">
        <f>IF(BANK_RAW!A398="","",ABS(I398))</f>
        <v/>
      </c>
      <c r="K398" s="11">
        <f>IF(BANK_RAW!A398="","",IF(H398="CR","IN","OUT"))</f>
        <v/>
      </c>
      <c r="L398" s="11" t="inlineStr"/>
      <c r="M398" s="11" t="inlineStr"/>
    </row>
    <row r="399">
      <c r="A399" s="13">
        <f>IF(BANK_RAW!A399="","",ROW()-1)</f>
        <v/>
      </c>
      <c r="B399" s="10">
        <f>IF(BANK_RAW!A399="","",IF(ISNUMBER(BANK_RAW!A399),BANK_RAW!A399,DATEVALUE(TEXT(BANK_RAW!A399,"YYYY-MM-DD"))))</f>
        <v/>
      </c>
      <c r="C399" s="11">
        <f>IF(BANK_RAW!A399="","",TRIM(BANK_RAW!B399))</f>
        <v/>
      </c>
      <c r="D399" s="11">
        <f>IF(BANK_RAW!A399="","",TRIM(BANK_RAW!C399))</f>
        <v/>
      </c>
      <c r="E399" s="12">
        <f>IF(BANK_RAW!A399="","",IFERROR(ABS(BANK_RAW!D399),0))</f>
        <v/>
      </c>
      <c r="F399" s="12">
        <f>IF(BANK_RAW!A399="","",IFERROR(ABS(BANK_RAW!E399),0))</f>
        <v/>
      </c>
      <c r="G399" s="12">
        <f>IF(BANK_RAW!A399="","",IFERROR(BANK_RAW!F399,0))</f>
        <v/>
      </c>
      <c r="H399" s="11">
        <f>IF(BANK_RAW!A399="","",IF(E399&gt;0,"CR",IF(F399&gt;0,"DR","CR")))</f>
        <v/>
      </c>
      <c r="I399" s="12">
        <f>IF(BANK_RAW!A399="","",E399-F399)</f>
        <v/>
      </c>
      <c r="J399" s="12">
        <f>IF(BANK_RAW!A399="","",ABS(I399))</f>
        <v/>
      </c>
      <c r="K399" s="11">
        <f>IF(BANK_RAW!A399="","",IF(H399="CR","IN","OUT"))</f>
        <v/>
      </c>
      <c r="L399" s="11" t="inlineStr"/>
      <c r="M399" s="11" t="inlineStr"/>
    </row>
    <row r="400">
      <c r="A400" s="13">
        <f>IF(BANK_RAW!A400="","",ROW()-1)</f>
        <v/>
      </c>
      <c r="B400" s="10">
        <f>IF(BANK_RAW!A400="","",IF(ISNUMBER(BANK_RAW!A400),BANK_RAW!A400,DATEVALUE(TEXT(BANK_RAW!A400,"YYYY-MM-DD"))))</f>
        <v/>
      </c>
      <c r="C400" s="11">
        <f>IF(BANK_RAW!A400="","",TRIM(BANK_RAW!B400))</f>
        <v/>
      </c>
      <c r="D400" s="11">
        <f>IF(BANK_RAW!A400="","",TRIM(BANK_RAW!C400))</f>
        <v/>
      </c>
      <c r="E400" s="12">
        <f>IF(BANK_RAW!A400="","",IFERROR(ABS(BANK_RAW!D400),0))</f>
        <v/>
      </c>
      <c r="F400" s="12">
        <f>IF(BANK_RAW!A400="","",IFERROR(ABS(BANK_RAW!E400),0))</f>
        <v/>
      </c>
      <c r="G400" s="12">
        <f>IF(BANK_RAW!A400="","",IFERROR(BANK_RAW!F400,0))</f>
        <v/>
      </c>
      <c r="H400" s="11">
        <f>IF(BANK_RAW!A400="","",IF(E400&gt;0,"CR",IF(F400&gt;0,"DR","CR")))</f>
        <v/>
      </c>
      <c r="I400" s="12">
        <f>IF(BANK_RAW!A400="","",E400-F400)</f>
        <v/>
      </c>
      <c r="J400" s="12">
        <f>IF(BANK_RAW!A400="","",ABS(I400))</f>
        <v/>
      </c>
      <c r="K400" s="11">
        <f>IF(BANK_RAW!A400="","",IF(H400="CR","IN","OUT"))</f>
        <v/>
      </c>
      <c r="L400" s="11" t="inlineStr"/>
      <c r="M400" s="11" t="inlineStr"/>
    </row>
    <row r="401">
      <c r="A401" s="13">
        <f>IF(BANK_RAW!A401="","",ROW()-1)</f>
        <v/>
      </c>
      <c r="B401" s="10">
        <f>IF(BANK_RAW!A401="","",IF(ISNUMBER(BANK_RAW!A401),BANK_RAW!A401,DATEVALUE(TEXT(BANK_RAW!A401,"YYYY-MM-DD"))))</f>
        <v/>
      </c>
      <c r="C401" s="11">
        <f>IF(BANK_RAW!A401="","",TRIM(BANK_RAW!B401))</f>
        <v/>
      </c>
      <c r="D401" s="11">
        <f>IF(BANK_RAW!A401="","",TRIM(BANK_RAW!C401))</f>
        <v/>
      </c>
      <c r="E401" s="12">
        <f>IF(BANK_RAW!A401="","",IFERROR(ABS(BANK_RAW!D401),0))</f>
        <v/>
      </c>
      <c r="F401" s="12">
        <f>IF(BANK_RAW!A401="","",IFERROR(ABS(BANK_RAW!E401),0))</f>
        <v/>
      </c>
      <c r="G401" s="12">
        <f>IF(BANK_RAW!A401="","",IFERROR(BANK_RAW!F401,0))</f>
        <v/>
      </c>
      <c r="H401" s="11">
        <f>IF(BANK_RAW!A401="","",IF(E401&gt;0,"CR",IF(F401&gt;0,"DR","CR")))</f>
        <v/>
      </c>
      <c r="I401" s="12">
        <f>IF(BANK_RAW!A401="","",E401-F401)</f>
        <v/>
      </c>
      <c r="J401" s="12">
        <f>IF(BANK_RAW!A401="","",ABS(I401))</f>
        <v/>
      </c>
      <c r="K401" s="11">
        <f>IF(BANK_RAW!A401="","",IF(H401="CR","IN","OUT"))</f>
        <v/>
      </c>
      <c r="L401" s="11" t="inlineStr"/>
      <c r="M401" s="11" t="inlineStr"/>
    </row>
    <row r="402">
      <c r="A402" s="13">
        <f>IF(BANK_RAW!A402="","",ROW()-1)</f>
        <v/>
      </c>
      <c r="B402" s="10">
        <f>IF(BANK_RAW!A402="","",IF(ISNUMBER(BANK_RAW!A402),BANK_RAW!A402,DATEVALUE(TEXT(BANK_RAW!A402,"YYYY-MM-DD"))))</f>
        <v/>
      </c>
      <c r="C402" s="11">
        <f>IF(BANK_RAW!A402="","",TRIM(BANK_RAW!B402))</f>
        <v/>
      </c>
      <c r="D402" s="11">
        <f>IF(BANK_RAW!A402="","",TRIM(BANK_RAW!C402))</f>
        <v/>
      </c>
      <c r="E402" s="12">
        <f>IF(BANK_RAW!A402="","",IFERROR(ABS(BANK_RAW!D402),0))</f>
        <v/>
      </c>
      <c r="F402" s="12">
        <f>IF(BANK_RAW!A402="","",IFERROR(ABS(BANK_RAW!E402),0))</f>
        <v/>
      </c>
      <c r="G402" s="12">
        <f>IF(BANK_RAW!A402="","",IFERROR(BANK_RAW!F402,0))</f>
        <v/>
      </c>
      <c r="H402" s="11">
        <f>IF(BANK_RAW!A402="","",IF(E402&gt;0,"CR",IF(F402&gt;0,"DR","CR")))</f>
        <v/>
      </c>
      <c r="I402" s="12">
        <f>IF(BANK_RAW!A402="","",E402-F402)</f>
        <v/>
      </c>
      <c r="J402" s="12">
        <f>IF(BANK_RAW!A402="","",ABS(I402))</f>
        <v/>
      </c>
      <c r="K402" s="11">
        <f>IF(BANK_RAW!A402="","",IF(H402="CR","IN","OUT"))</f>
        <v/>
      </c>
      <c r="L402" s="11" t="inlineStr"/>
      <c r="M402" s="11" t="inlineStr"/>
    </row>
    <row r="403">
      <c r="A403" s="13">
        <f>IF(BANK_RAW!A403="","",ROW()-1)</f>
        <v/>
      </c>
      <c r="B403" s="10">
        <f>IF(BANK_RAW!A403="","",IF(ISNUMBER(BANK_RAW!A403),BANK_RAW!A403,DATEVALUE(TEXT(BANK_RAW!A403,"YYYY-MM-DD"))))</f>
        <v/>
      </c>
      <c r="C403" s="11">
        <f>IF(BANK_RAW!A403="","",TRIM(BANK_RAW!B403))</f>
        <v/>
      </c>
      <c r="D403" s="11">
        <f>IF(BANK_RAW!A403="","",TRIM(BANK_RAW!C403))</f>
        <v/>
      </c>
      <c r="E403" s="12">
        <f>IF(BANK_RAW!A403="","",IFERROR(ABS(BANK_RAW!D403),0))</f>
        <v/>
      </c>
      <c r="F403" s="12">
        <f>IF(BANK_RAW!A403="","",IFERROR(ABS(BANK_RAW!E403),0))</f>
        <v/>
      </c>
      <c r="G403" s="12">
        <f>IF(BANK_RAW!A403="","",IFERROR(BANK_RAW!F403,0))</f>
        <v/>
      </c>
      <c r="H403" s="11">
        <f>IF(BANK_RAW!A403="","",IF(E403&gt;0,"CR",IF(F403&gt;0,"DR","CR")))</f>
        <v/>
      </c>
      <c r="I403" s="12">
        <f>IF(BANK_RAW!A403="","",E403-F403)</f>
        <v/>
      </c>
      <c r="J403" s="12">
        <f>IF(BANK_RAW!A403="","",ABS(I403))</f>
        <v/>
      </c>
      <c r="K403" s="11">
        <f>IF(BANK_RAW!A403="","",IF(H403="CR","IN","OUT"))</f>
        <v/>
      </c>
      <c r="L403" s="11" t="inlineStr"/>
      <c r="M403" s="11" t="inlineStr"/>
    </row>
    <row r="404">
      <c r="A404" s="13">
        <f>IF(BANK_RAW!A404="","",ROW()-1)</f>
        <v/>
      </c>
      <c r="B404" s="10">
        <f>IF(BANK_RAW!A404="","",IF(ISNUMBER(BANK_RAW!A404),BANK_RAW!A404,DATEVALUE(TEXT(BANK_RAW!A404,"YYYY-MM-DD"))))</f>
        <v/>
      </c>
      <c r="C404" s="11">
        <f>IF(BANK_RAW!A404="","",TRIM(BANK_RAW!B404))</f>
        <v/>
      </c>
      <c r="D404" s="11">
        <f>IF(BANK_RAW!A404="","",TRIM(BANK_RAW!C404))</f>
        <v/>
      </c>
      <c r="E404" s="12">
        <f>IF(BANK_RAW!A404="","",IFERROR(ABS(BANK_RAW!D404),0))</f>
        <v/>
      </c>
      <c r="F404" s="12">
        <f>IF(BANK_RAW!A404="","",IFERROR(ABS(BANK_RAW!E404),0))</f>
        <v/>
      </c>
      <c r="G404" s="12">
        <f>IF(BANK_RAW!A404="","",IFERROR(BANK_RAW!F404,0))</f>
        <v/>
      </c>
      <c r="H404" s="11">
        <f>IF(BANK_RAW!A404="","",IF(E404&gt;0,"CR",IF(F404&gt;0,"DR","CR")))</f>
        <v/>
      </c>
      <c r="I404" s="12">
        <f>IF(BANK_RAW!A404="","",E404-F404)</f>
        <v/>
      </c>
      <c r="J404" s="12">
        <f>IF(BANK_RAW!A404="","",ABS(I404))</f>
        <v/>
      </c>
      <c r="K404" s="11">
        <f>IF(BANK_RAW!A404="","",IF(H404="CR","IN","OUT"))</f>
        <v/>
      </c>
      <c r="L404" s="11" t="inlineStr"/>
      <c r="M404" s="11" t="inlineStr"/>
    </row>
    <row r="405">
      <c r="A405" s="13">
        <f>IF(BANK_RAW!A405="","",ROW()-1)</f>
        <v/>
      </c>
      <c r="B405" s="10">
        <f>IF(BANK_RAW!A405="","",IF(ISNUMBER(BANK_RAW!A405),BANK_RAW!A405,DATEVALUE(TEXT(BANK_RAW!A405,"YYYY-MM-DD"))))</f>
        <v/>
      </c>
      <c r="C405" s="11">
        <f>IF(BANK_RAW!A405="","",TRIM(BANK_RAW!B405))</f>
        <v/>
      </c>
      <c r="D405" s="11">
        <f>IF(BANK_RAW!A405="","",TRIM(BANK_RAW!C405))</f>
        <v/>
      </c>
      <c r="E405" s="12">
        <f>IF(BANK_RAW!A405="","",IFERROR(ABS(BANK_RAW!D405),0))</f>
        <v/>
      </c>
      <c r="F405" s="12">
        <f>IF(BANK_RAW!A405="","",IFERROR(ABS(BANK_RAW!E405),0))</f>
        <v/>
      </c>
      <c r="G405" s="12">
        <f>IF(BANK_RAW!A405="","",IFERROR(BANK_RAW!F405,0))</f>
        <v/>
      </c>
      <c r="H405" s="11">
        <f>IF(BANK_RAW!A405="","",IF(E405&gt;0,"CR",IF(F405&gt;0,"DR","CR")))</f>
        <v/>
      </c>
      <c r="I405" s="12">
        <f>IF(BANK_RAW!A405="","",E405-F405)</f>
        <v/>
      </c>
      <c r="J405" s="12">
        <f>IF(BANK_RAW!A405="","",ABS(I405))</f>
        <v/>
      </c>
      <c r="K405" s="11">
        <f>IF(BANK_RAW!A405="","",IF(H405="CR","IN","OUT"))</f>
        <v/>
      </c>
      <c r="L405" s="11" t="inlineStr"/>
      <c r="M405" s="11" t="inlineStr"/>
    </row>
    <row r="406">
      <c r="A406" s="13">
        <f>IF(BANK_RAW!A406="","",ROW()-1)</f>
        <v/>
      </c>
      <c r="B406" s="10">
        <f>IF(BANK_RAW!A406="","",IF(ISNUMBER(BANK_RAW!A406),BANK_RAW!A406,DATEVALUE(TEXT(BANK_RAW!A406,"YYYY-MM-DD"))))</f>
        <v/>
      </c>
      <c r="C406" s="11">
        <f>IF(BANK_RAW!A406="","",TRIM(BANK_RAW!B406))</f>
        <v/>
      </c>
      <c r="D406" s="11">
        <f>IF(BANK_RAW!A406="","",TRIM(BANK_RAW!C406))</f>
        <v/>
      </c>
      <c r="E406" s="12">
        <f>IF(BANK_RAW!A406="","",IFERROR(ABS(BANK_RAW!D406),0))</f>
        <v/>
      </c>
      <c r="F406" s="12">
        <f>IF(BANK_RAW!A406="","",IFERROR(ABS(BANK_RAW!E406),0))</f>
        <v/>
      </c>
      <c r="G406" s="12">
        <f>IF(BANK_RAW!A406="","",IFERROR(BANK_RAW!F406,0))</f>
        <v/>
      </c>
      <c r="H406" s="11">
        <f>IF(BANK_RAW!A406="","",IF(E406&gt;0,"CR",IF(F406&gt;0,"DR","CR")))</f>
        <v/>
      </c>
      <c r="I406" s="12">
        <f>IF(BANK_RAW!A406="","",E406-F406)</f>
        <v/>
      </c>
      <c r="J406" s="12">
        <f>IF(BANK_RAW!A406="","",ABS(I406))</f>
        <v/>
      </c>
      <c r="K406" s="11">
        <f>IF(BANK_RAW!A406="","",IF(H406="CR","IN","OUT"))</f>
        <v/>
      </c>
      <c r="L406" s="11" t="inlineStr"/>
      <c r="M406" s="11" t="inlineStr"/>
    </row>
    <row r="407">
      <c r="A407" s="13">
        <f>IF(BANK_RAW!A407="","",ROW()-1)</f>
        <v/>
      </c>
      <c r="B407" s="10">
        <f>IF(BANK_RAW!A407="","",IF(ISNUMBER(BANK_RAW!A407),BANK_RAW!A407,DATEVALUE(TEXT(BANK_RAW!A407,"YYYY-MM-DD"))))</f>
        <v/>
      </c>
      <c r="C407" s="11">
        <f>IF(BANK_RAW!A407="","",TRIM(BANK_RAW!B407))</f>
        <v/>
      </c>
      <c r="D407" s="11">
        <f>IF(BANK_RAW!A407="","",TRIM(BANK_RAW!C407))</f>
        <v/>
      </c>
      <c r="E407" s="12">
        <f>IF(BANK_RAW!A407="","",IFERROR(ABS(BANK_RAW!D407),0))</f>
        <v/>
      </c>
      <c r="F407" s="12">
        <f>IF(BANK_RAW!A407="","",IFERROR(ABS(BANK_RAW!E407),0))</f>
        <v/>
      </c>
      <c r="G407" s="12">
        <f>IF(BANK_RAW!A407="","",IFERROR(BANK_RAW!F407,0))</f>
        <v/>
      </c>
      <c r="H407" s="11">
        <f>IF(BANK_RAW!A407="","",IF(E407&gt;0,"CR",IF(F407&gt;0,"DR","CR")))</f>
        <v/>
      </c>
      <c r="I407" s="12">
        <f>IF(BANK_RAW!A407="","",E407-F407)</f>
        <v/>
      </c>
      <c r="J407" s="12">
        <f>IF(BANK_RAW!A407="","",ABS(I407))</f>
        <v/>
      </c>
      <c r="K407" s="11">
        <f>IF(BANK_RAW!A407="","",IF(H407="CR","IN","OUT"))</f>
        <v/>
      </c>
      <c r="L407" s="11" t="inlineStr"/>
      <c r="M407" s="11" t="inlineStr"/>
    </row>
    <row r="408">
      <c r="A408" s="13">
        <f>IF(BANK_RAW!A408="","",ROW()-1)</f>
        <v/>
      </c>
      <c r="B408" s="10">
        <f>IF(BANK_RAW!A408="","",IF(ISNUMBER(BANK_RAW!A408),BANK_RAW!A408,DATEVALUE(TEXT(BANK_RAW!A408,"YYYY-MM-DD"))))</f>
        <v/>
      </c>
      <c r="C408" s="11">
        <f>IF(BANK_RAW!A408="","",TRIM(BANK_RAW!B408))</f>
        <v/>
      </c>
      <c r="D408" s="11">
        <f>IF(BANK_RAW!A408="","",TRIM(BANK_RAW!C408))</f>
        <v/>
      </c>
      <c r="E408" s="12">
        <f>IF(BANK_RAW!A408="","",IFERROR(ABS(BANK_RAW!D408),0))</f>
        <v/>
      </c>
      <c r="F408" s="12">
        <f>IF(BANK_RAW!A408="","",IFERROR(ABS(BANK_RAW!E408),0))</f>
        <v/>
      </c>
      <c r="G408" s="12">
        <f>IF(BANK_RAW!A408="","",IFERROR(BANK_RAW!F408,0))</f>
        <v/>
      </c>
      <c r="H408" s="11">
        <f>IF(BANK_RAW!A408="","",IF(E408&gt;0,"CR",IF(F408&gt;0,"DR","CR")))</f>
        <v/>
      </c>
      <c r="I408" s="12">
        <f>IF(BANK_RAW!A408="","",E408-F408)</f>
        <v/>
      </c>
      <c r="J408" s="12">
        <f>IF(BANK_RAW!A408="","",ABS(I408))</f>
        <v/>
      </c>
      <c r="K408" s="11">
        <f>IF(BANK_RAW!A408="","",IF(H408="CR","IN","OUT"))</f>
        <v/>
      </c>
      <c r="L408" s="11" t="inlineStr"/>
      <c r="M408" s="11" t="inlineStr"/>
    </row>
    <row r="409">
      <c r="A409" s="13">
        <f>IF(BANK_RAW!A409="","",ROW()-1)</f>
        <v/>
      </c>
      <c r="B409" s="10">
        <f>IF(BANK_RAW!A409="","",IF(ISNUMBER(BANK_RAW!A409),BANK_RAW!A409,DATEVALUE(TEXT(BANK_RAW!A409,"YYYY-MM-DD"))))</f>
        <v/>
      </c>
      <c r="C409" s="11">
        <f>IF(BANK_RAW!A409="","",TRIM(BANK_RAW!B409))</f>
        <v/>
      </c>
      <c r="D409" s="11">
        <f>IF(BANK_RAW!A409="","",TRIM(BANK_RAW!C409))</f>
        <v/>
      </c>
      <c r="E409" s="12">
        <f>IF(BANK_RAW!A409="","",IFERROR(ABS(BANK_RAW!D409),0))</f>
        <v/>
      </c>
      <c r="F409" s="12">
        <f>IF(BANK_RAW!A409="","",IFERROR(ABS(BANK_RAW!E409),0))</f>
        <v/>
      </c>
      <c r="G409" s="12">
        <f>IF(BANK_RAW!A409="","",IFERROR(BANK_RAW!F409,0))</f>
        <v/>
      </c>
      <c r="H409" s="11">
        <f>IF(BANK_RAW!A409="","",IF(E409&gt;0,"CR",IF(F409&gt;0,"DR","CR")))</f>
        <v/>
      </c>
      <c r="I409" s="12">
        <f>IF(BANK_RAW!A409="","",E409-F409)</f>
        <v/>
      </c>
      <c r="J409" s="12">
        <f>IF(BANK_RAW!A409="","",ABS(I409))</f>
        <v/>
      </c>
      <c r="K409" s="11">
        <f>IF(BANK_RAW!A409="","",IF(H409="CR","IN","OUT"))</f>
        <v/>
      </c>
      <c r="L409" s="11" t="inlineStr"/>
      <c r="M409" s="11" t="inlineStr"/>
    </row>
    <row r="410">
      <c r="A410" s="13">
        <f>IF(BANK_RAW!A410="","",ROW()-1)</f>
        <v/>
      </c>
      <c r="B410" s="10">
        <f>IF(BANK_RAW!A410="","",IF(ISNUMBER(BANK_RAW!A410),BANK_RAW!A410,DATEVALUE(TEXT(BANK_RAW!A410,"YYYY-MM-DD"))))</f>
        <v/>
      </c>
      <c r="C410" s="11">
        <f>IF(BANK_RAW!A410="","",TRIM(BANK_RAW!B410))</f>
        <v/>
      </c>
      <c r="D410" s="11">
        <f>IF(BANK_RAW!A410="","",TRIM(BANK_RAW!C410))</f>
        <v/>
      </c>
      <c r="E410" s="12">
        <f>IF(BANK_RAW!A410="","",IFERROR(ABS(BANK_RAW!D410),0))</f>
        <v/>
      </c>
      <c r="F410" s="12">
        <f>IF(BANK_RAW!A410="","",IFERROR(ABS(BANK_RAW!E410),0))</f>
        <v/>
      </c>
      <c r="G410" s="12">
        <f>IF(BANK_RAW!A410="","",IFERROR(BANK_RAW!F410,0))</f>
        <v/>
      </c>
      <c r="H410" s="11">
        <f>IF(BANK_RAW!A410="","",IF(E410&gt;0,"CR",IF(F410&gt;0,"DR","CR")))</f>
        <v/>
      </c>
      <c r="I410" s="12">
        <f>IF(BANK_RAW!A410="","",E410-F410)</f>
        <v/>
      </c>
      <c r="J410" s="12">
        <f>IF(BANK_RAW!A410="","",ABS(I410))</f>
        <v/>
      </c>
      <c r="K410" s="11">
        <f>IF(BANK_RAW!A410="","",IF(H410="CR","IN","OUT"))</f>
        <v/>
      </c>
      <c r="L410" s="11" t="inlineStr"/>
      <c r="M410" s="11" t="inlineStr"/>
    </row>
    <row r="411">
      <c r="A411" s="13">
        <f>IF(BANK_RAW!A411="","",ROW()-1)</f>
        <v/>
      </c>
      <c r="B411" s="10">
        <f>IF(BANK_RAW!A411="","",IF(ISNUMBER(BANK_RAW!A411),BANK_RAW!A411,DATEVALUE(TEXT(BANK_RAW!A411,"YYYY-MM-DD"))))</f>
        <v/>
      </c>
      <c r="C411" s="11">
        <f>IF(BANK_RAW!A411="","",TRIM(BANK_RAW!B411))</f>
        <v/>
      </c>
      <c r="D411" s="11">
        <f>IF(BANK_RAW!A411="","",TRIM(BANK_RAW!C411))</f>
        <v/>
      </c>
      <c r="E411" s="12">
        <f>IF(BANK_RAW!A411="","",IFERROR(ABS(BANK_RAW!D411),0))</f>
        <v/>
      </c>
      <c r="F411" s="12">
        <f>IF(BANK_RAW!A411="","",IFERROR(ABS(BANK_RAW!E411),0))</f>
        <v/>
      </c>
      <c r="G411" s="12">
        <f>IF(BANK_RAW!A411="","",IFERROR(BANK_RAW!F411,0))</f>
        <v/>
      </c>
      <c r="H411" s="11">
        <f>IF(BANK_RAW!A411="","",IF(E411&gt;0,"CR",IF(F411&gt;0,"DR","CR")))</f>
        <v/>
      </c>
      <c r="I411" s="12">
        <f>IF(BANK_RAW!A411="","",E411-F411)</f>
        <v/>
      </c>
      <c r="J411" s="12">
        <f>IF(BANK_RAW!A411="","",ABS(I411))</f>
        <v/>
      </c>
      <c r="K411" s="11">
        <f>IF(BANK_RAW!A411="","",IF(H411="CR","IN","OUT"))</f>
        <v/>
      </c>
      <c r="L411" s="11" t="inlineStr"/>
      <c r="M411" s="11" t="inlineStr"/>
    </row>
    <row r="412">
      <c r="A412" s="13">
        <f>IF(BANK_RAW!A412="","",ROW()-1)</f>
        <v/>
      </c>
      <c r="B412" s="10">
        <f>IF(BANK_RAW!A412="","",IF(ISNUMBER(BANK_RAW!A412),BANK_RAW!A412,DATEVALUE(TEXT(BANK_RAW!A412,"YYYY-MM-DD"))))</f>
        <v/>
      </c>
      <c r="C412" s="11">
        <f>IF(BANK_RAW!A412="","",TRIM(BANK_RAW!B412))</f>
        <v/>
      </c>
      <c r="D412" s="11">
        <f>IF(BANK_RAW!A412="","",TRIM(BANK_RAW!C412))</f>
        <v/>
      </c>
      <c r="E412" s="12">
        <f>IF(BANK_RAW!A412="","",IFERROR(ABS(BANK_RAW!D412),0))</f>
        <v/>
      </c>
      <c r="F412" s="12">
        <f>IF(BANK_RAW!A412="","",IFERROR(ABS(BANK_RAW!E412),0))</f>
        <v/>
      </c>
      <c r="G412" s="12">
        <f>IF(BANK_RAW!A412="","",IFERROR(BANK_RAW!F412,0))</f>
        <v/>
      </c>
      <c r="H412" s="11">
        <f>IF(BANK_RAW!A412="","",IF(E412&gt;0,"CR",IF(F412&gt;0,"DR","CR")))</f>
        <v/>
      </c>
      <c r="I412" s="12">
        <f>IF(BANK_RAW!A412="","",E412-F412)</f>
        <v/>
      </c>
      <c r="J412" s="12">
        <f>IF(BANK_RAW!A412="","",ABS(I412))</f>
        <v/>
      </c>
      <c r="K412" s="11">
        <f>IF(BANK_RAW!A412="","",IF(H412="CR","IN","OUT"))</f>
        <v/>
      </c>
      <c r="L412" s="11" t="inlineStr"/>
      <c r="M412" s="11" t="inlineStr"/>
    </row>
    <row r="413">
      <c r="A413" s="13">
        <f>IF(BANK_RAW!A413="","",ROW()-1)</f>
        <v/>
      </c>
      <c r="B413" s="10">
        <f>IF(BANK_RAW!A413="","",IF(ISNUMBER(BANK_RAW!A413),BANK_RAW!A413,DATEVALUE(TEXT(BANK_RAW!A413,"YYYY-MM-DD"))))</f>
        <v/>
      </c>
      <c r="C413" s="11">
        <f>IF(BANK_RAW!A413="","",TRIM(BANK_RAW!B413))</f>
        <v/>
      </c>
      <c r="D413" s="11">
        <f>IF(BANK_RAW!A413="","",TRIM(BANK_RAW!C413))</f>
        <v/>
      </c>
      <c r="E413" s="12">
        <f>IF(BANK_RAW!A413="","",IFERROR(ABS(BANK_RAW!D413),0))</f>
        <v/>
      </c>
      <c r="F413" s="12">
        <f>IF(BANK_RAW!A413="","",IFERROR(ABS(BANK_RAW!E413),0))</f>
        <v/>
      </c>
      <c r="G413" s="12">
        <f>IF(BANK_RAW!A413="","",IFERROR(BANK_RAW!F413,0))</f>
        <v/>
      </c>
      <c r="H413" s="11">
        <f>IF(BANK_RAW!A413="","",IF(E413&gt;0,"CR",IF(F413&gt;0,"DR","CR")))</f>
        <v/>
      </c>
      <c r="I413" s="12">
        <f>IF(BANK_RAW!A413="","",E413-F413)</f>
        <v/>
      </c>
      <c r="J413" s="12">
        <f>IF(BANK_RAW!A413="","",ABS(I413))</f>
        <v/>
      </c>
      <c r="K413" s="11">
        <f>IF(BANK_RAW!A413="","",IF(H413="CR","IN","OUT"))</f>
        <v/>
      </c>
      <c r="L413" s="11" t="inlineStr"/>
      <c r="M413" s="11" t="inlineStr"/>
    </row>
    <row r="414">
      <c r="A414" s="13">
        <f>IF(BANK_RAW!A414="","",ROW()-1)</f>
        <v/>
      </c>
      <c r="B414" s="10">
        <f>IF(BANK_RAW!A414="","",IF(ISNUMBER(BANK_RAW!A414),BANK_RAW!A414,DATEVALUE(TEXT(BANK_RAW!A414,"YYYY-MM-DD"))))</f>
        <v/>
      </c>
      <c r="C414" s="11">
        <f>IF(BANK_RAW!A414="","",TRIM(BANK_RAW!B414))</f>
        <v/>
      </c>
      <c r="D414" s="11">
        <f>IF(BANK_RAW!A414="","",TRIM(BANK_RAW!C414))</f>
        <v/>
      </c>
      <c r="E414" s="12">
        <f>IF(BANK_RAW!A414="","",IFERROR(ABS(BANK_RAW!D414),0))</f>
        <v/>
      </c>
      <c r="F414" s="12">
        <f>IF(BANK_RAW!A414="","",IFERROR(ABS(BANK_RAW!E414),0))</f>
        <v/>
      </c>
      <c r="G414" s="12">
        <f>IF(BANK_RAW!A414="","",IFERROR(BANK_RAW!F414,0))</f>
        <v/>
      </c>
      <c r="H414" s="11">
        <f>IF(BANK_RAW!A414="","",IF(E414&gt;0,"CR",IF(F414&gt;0,"DR","CR")))</f>
        <v/>
      </c>
      <c r="I414" s="12">
        <f>IF(BANK_RAW!A414="","",E414-F414)</f>
        <v/>
      </c>
      <c r="J414" s="12">
        <f>IF(BANK_RAW!A414="","",ABS(I414))</f>
        <v/>
      </c>
      <c r="K414" s="11">
        <f>IF(BANK_RAW!A414="","",IF(H414="CR","IN","OUT"))</f>
        <v/>
      </c>
      <c r="L414" s="11" t="inlineStr"/>
      <c r="M414" s="11" t="inlineStr"/>
    </row>
    <row r="415">
      <c r="A415" s="13">
        <f>IF(BANK_RAW!A415="","",ROW()-1)</f>
        <v/>
      </c>
      <c r="B415" s="10">
        <f>IF(BANK_RAW!A415="","",IF(ISNUMBER(BANK_RAW!A415),BANK_RAW!A415,DATEVALUE(TEXT(BANK_RAW!A415,"YYYY-MM-DD"))))</f>
        <v/>
      </c>
      <c r="C415" s="11">
        <f>IF(BANK_RAW!A415="","",TRIM(BANK_RAW!B415))</f>
        <v/>
      </c>
      <c r="D415" s="11">
        <f>IF(BANK_RAW!A415="","",TRIM(BANK_RAW!C415))</f>
        <v/>
      </c>
      <c r="E415" s="12">
        <f>IF(BANK_RAW!A415="","",IFERROR(ABS(BANK_RAW!D415),0))</f>
        <v/>
      </c>
      <c r="F415" s="12">
        <f>IF(BANK_RAW!A415="","",IFERROR(ABS(BANK_RAW!E415),0))</f>
        <v/>
      </c>
      <c r="G415" s="12">
        <f>IF(BANK_RAW!A415="","",IFERROR(BANK_RAW!F415,0))</f>
        <v/>
      </c>
      <c r="H415" s="11">
        <f>IF(BANK_RAW!A415="","",IF(E415&gt;0,"CR",IF(F415&gt;0,"DR","CR")))</f>
        <v/>
      </c>
      <c r="I415" s="12">
        <f>IF(BANK_RAW!A415="","",E415-F415)</f>
        <v/>
      </c>
      <c r="J415" s="12">
        <f>IF(BANK_RAW!A415="","",ABS(I415))</f>
        <v/>
      </c>
      <c r="K415" s="11">
        <f>IF(BANK_RAW!A415="","",IF(H415="CR","IN","OUT"))</f>
        <v/>
      </c>
      <c r="L415" s="11" t="inlineStr"/>
      <c r="M415" s="11" t="inlineStr"/>
    </row>
    <row r="416">
      <c r="A416" s="13">
        <f>IF(BANK_RAW!A416="","",ROW()-1)</f>
        <v/>
      </c>
      <c r="B416" s="10">
        <f>IF(BANK_RAW!A416="","",IF(ISNUMBER(BANK_RAW!A416),BANK_RAW!A416,DATEVALUE(TEXT(BANK_RAW!A416,"YYYY-MM-DD"))))</f>
        <v/>
      </c>
      <c r="C416" s="11">
        <f>IF(BANK_RAW!A416="","",TRIM(BANK_RAW!B416))</f>
        <v/>
      </c>
      <c r="D416" s="11">
        <f>IF(BANK_RAW!A416="","",TRIM(BANK_RAW!C416))</f>
        <v/>
      </c>
      <c r="E416" s="12">
        <f>IF(BANK_RAW!A416="","",IFERROR(ABS(BANK_RAW!D416),0))</f>
        <v/>
      </c>
      <c r="F416" s="12">
        <f>IF(BANK_RAW!A416="","",IFERROR(ABS(BANK_RAW!E416),0))</f>
        <v/>
      </c>
      <c r="G416" s="12">
        <f>IF(BANK_RAW!A416="","",IFERROR(BANK_RAW!F416,0))</f>
        <v/>
      </c>
      <c r="H416" s="11">
        <f>IF(BANK_RAW!A416="","",IF(E416&gt;0,"CR",IF(F416&gt;0,"DR","CR")))</f>
        <v/>
      </c>
      <c r="I416" s="12">
        <f>IF(BANK_RAW!A416="","",E416-F416)</f>
        <v/>
      </c>
      <c r="J416" s="12">
        <f>IF(BANK_RAW!A416="","",ABS(I416))</f>
        <v/>
      </c>
      <c r="K416" s="11">
        <f>IF(BANK_RAW!A416="","",IF(H416="CR","IN","OUT"))</f>
        <v/>
      </c>
      <c r="L416" s="11" t="inlineStr"/>
      <c r="M416" s="11" t="inlineStr"/>
    </row>
    <row r="417">
      <c r="A417" s="13">
        <f>IF(BANK_RAW!A417="","",ROW()-1)</f>
        <v/>
      </c>
      <c r="B417" s="10">
        <f>IF(BANK_RAW!A417="","",IF(ISNUMBER(BANK_RAW!A417),BANK_RAW!A417,DATEVALUE(TEXT(BANK_RAW!A417,"YYYY-MM-DD"))))</f>
        <v/>
      </c>
      <c r="C417" s="11">
        <f>IF(BANK_RAW!A417="","",TRIM(BANK_RAW!B417))</f>
        <v/>
      </c>
      <c r="D417" s="11">
        <f>IF(BANK_RAW!A417="","",TRIM(BANK_RAW!C417))</f>
        <v/>
      </c>
      <c r="E417" s="12">
        <f>IF(BANK_RAW!A417="","",IFERROR(ABS(BANK_RAW!D417),0))</f>
        <v/>
      </c>
      <c r="F417" s="12">
        <f>IF(BANK_RAW!A417="","",IFERROR(ABS(BANK_RAW!E417),0))</f>
        <v/>
      </c>
      <c r="G417" s="12">
        <f>IF(BANK_RAW!A417="","",IFERROR(BANK_RAW!F417,0))</f>
        <v/>
      </c>
      <c r="H417" s="11">
        <f>IF(BANK_RAW!A417="","",IF(E417&gt;0,"CR",IF(F417&gt;0,"DR","CR")))</f>
        <v/>
      </c>
      <c r="I417" s="12">
        <f>IF(BANK_RAW!A417="","",E417-F417)</f>
        <v/>
      </c>
      <c r="J417" s="12">
        <f>IF(BANK_RAW!A417="","",ABS(I417))</f>
        <v/>
      </c>
      <c r="K417" s="11">
        <f>IF(BANK_RAW!A417="","",IF(H417="CR","IN","OUT"))</f>
        <v/>
      </c>
      <c r="L417" s="11" t="inlineStr"/>
      <c r="M417" s="11" t="inlineStr"/>
    </row>
    <row r="418">
      <c r="A418" s="13">
        <f>IF(BANK_RAW!A418="","",ROW()-1)</f>
        <v/>
      </c>
      <c r="B418" s="10">
        <f>IF(BANK_RAW!A418="","",IF(ISNUMBER(BANK_RAW!A418),BANK_RAW!A418,DATEVALUE(TEXT(BANK_RAW!A418,"YYYY-MM-DD"))))</f>
        <v/>
      </c>
      <c r="C418" s="11">
        <f>IF(BANK_RAW!A418="","",TRIM(BANK_RAW!B418))</f>
        <v/>
      </c>
      <c r="D418" s="11">
        <f>IF(BANK_RAW!A418="","",TRIM(BANK_RAW!C418))</f>
        <v/>
      </c>
      <c r="E418" s="12">
        <f>IF(BANK_RAW!A418="","",IFERROR(ABS(BANK_RAW!D418),0))</f>
        <v/>
      </c>
      <c r="F418" s="12">
        <f>IF(BANK_RAW!A418="","",IFERROR(ABS(BANK_RAW!E418),0))</f>
        <v/>
      </c>
      <c r="G418" s="12">
        <f>IF(BANK_RAW!A418="","",IFERROR(BANK_RAW!F418,0))</f>
        <v/>
      </c>
      <c r="H418" s="11">
        <f>IF(BANK_RAW!A418="","",IF(E418&gt;0,"CR",IF(F418&gt;0,"DR","CR")))</f>
        <v/>
      </c>
      <c r="I418" s="12">
        <f>IF(BANK_RAW!A418="","",E418-F418)</f>
        <v/>
      </c>
      <c r="J418" s="12">
        <f>IF(BANK_RAW!A418="","",ABS(I418))</f>
        <v/>
      </c>
      <c r="K418" s="11">
        <f>IF(BANK_RAW!A418="","",IF(H418="CR","IN","OUT"))</f>
        <v/>
      </c>
      <c r="L418" s="11" t="inlineStr"/>
      <c r="M418" s="11" t="inlineStr"/>
    </row>
    <row r="419">
      <c r="A419" s="13">
        <f>IF(BANK_RAW!A419="","",ROW()-1)</f>
        <v/>
      </c>
      <c r="B419" s="10">
        <f>IF(BANK_RAW!A419="","",IF(ISNUMBER(BANK_RAW!A419),BANK_RAW!A419,DATEVALUE(TEXT(BANK_RAW!A419,"YYYY-MM-DD"))))</f>
        <v/>
      </c>
      <c r="C419" s="11">
        <f>IF(BANK_RAW!A419="","",TRIM(BANK_RAW!B419))</f>
        <v/>
      </c>
      <c r="D419" s="11">
        <f>IF(BANK_RAW!A419="","",TRIM(BANK_RAW!C419))</f>
        <v/>
      </c>
      <c r="E419" s="12">
        <f>IF(BANK_RAW!A419="","",IFERROR(ABS(BANK_RAW!D419),0))</f>
        <v/>
      </c>
      <c r="F419" s="12">
        <f>IF(BANK_RAW!A419="","",IFERROR(ABS(BANK_RAW!E419),0))</f>
        <v/>
      </c>
      <c r="G419" s="12">
        <f>IF(BANK_RAW!A419="","",IFERROR(BANK_RAW!F419,0))</f>
        <v/>
      </c>
      <c r="H419" s="11">
        <f>IF(BANK_RAW!A419="","",IF(E419&gt;0,"CR",IF(F419&gt;0,"DR","CR")))</f>
        <v/>
      </c>
      <c r="I419" s="12">
        <f>IF(BANK_RAW!A419="","",E419-F419)</f>
        <v/>
      </c>
      <c r="J419" s="12">
        <f>IF(BANK_RAW!A419="","",ABS(I419))</f>
        <v/>
      </c>
      <c r="K419" s="11">
        <f>IF(BANK_RAW!A419="","",IF(H419="CR","IN","OUT"))</f>
        <v/>
      </c>
      <c r="L419" s="11" t="inlineStr"/>
      <c r="M419" s="11" t="inlineStr"/>
    </row>
    <row r="420">
      <c r="A420" s="13">
        <f>IF(BANK_RAW!A420="","",ROW()-1)</f>
        <v/>
      </c>
      <c r="B420" s="10">
        <f>IF(BANK_RAW!A420="","",IF(ISNUMBER(BANK_RAW!A420),BANK_RAW!A420,DATEVALUE(TEXT(BANK_RAW!A420,"YYYY-MM-DD"))))</f>
        <v/>
      </c>
      <c r="C420" s="11">
        <f>IF(BANK_RAW!A420="","",TRIM(BANK_RAW!B420))</f>
        <v/>
      </c>
      <c r="D420" s="11">
        <f>IF(BANK_RAW!A420="","",TRIM(BANK_RAW!C420))</f>
        <v/>
      </c>
      <c r="E420" s="12">
        <f>IF(BANK_RAW!A420="","",IFERROR(ABS(BANK_RAW!D420),0))</f>
        <v/>
      </c>
      <c r="F420" s="12">
        <f>IF(BANK_RAW!A420="","",IFERROR(ABS(BANK_RAW!E420),0))</f>
        <v/>
      </c>
      <c r="G420" s="12">
        <f>IF(BANK_RAW!A420="","",IFERROR(BANK_RAW!F420,0))</f>
        <v/>
      </c>
      <c r="H420" s="11">
        <f>IF(BANK_RAW!A420="","",IF(E420&gt;0,"CR",IF(F420&gt;0,"DR","CR")))</f>
        <v/>
      </c>
      <c r="I420" s="12">
        <f>IF(BANK_RAW!A420="","",E420-F420)</f>
        <v/>
      </c>
      <c r="J420" s="12">
        <f>IF(BANK_RAW!A420="","",ABS(I420))</f>
        <v/>
      </c>
      <c r="K420" s="11">
        <f>IF(BANK_RAW!A420="","",IF(H420="CR","IN","OUT"))</f>
        <v/>
      </c>
      <c r="L420" s="11" t="inlineStr"/>
      <c r="M420" s="11" t="inlineStr"/>
    </row>
    <row r="421">
      <c r="A421" s="13">
        <f>IF(BANK_RAW!A421="","",ROW()-1)</f>
        <v/>
      </c>
      <c r="B421" s="10">
        <f>IF(BANK_RAW!A421="","",IF(ISNUMBER(BANK_RAW!A421),BANK_RAW!A421,DATEVALUE(TEXT(BANK_RAW!A421,"YYYY-MM-DD"))))</f>
        <v/>
      </c>
      <c r="C421" s="11">
        <f>IF(BANK_RAW!A421="","",TRIM(BANK_RAW!B421))</f>
        <v/>
      </c>
      <c r="D421" s="11">
        <f>IF(BANK_RAW!A421="","",TRIM(BANK_RAW!C421))</f>
        <v/>
      </c>
      <c r="E421" s="12">
        <f>IF(BANK_RAW!A421="","",IFERROR(ABS(BANK_RAW!D421),0))</f>
        <v/>
      </c>
      <c r="F421" s="12">
        <f>IF(BANK_RAW!A421="","",IFERROR(ABS(BANK_RAW!E421),0))</f>
        <v/>
      </c>
      <c r="G421" s="12">
        <f>IF(BANK_RAW!A421="","",IFERROR(BANK_RAW!F421,0))</f>
        <v/>
      </c>
      <c r="H421" s="11">
        <f>IF(BANK_RAW!A421="","",IF(E421&gt;0,"CR",IF(F421&gt;0,"DR","CR")))</f>
        <v/>
      </c>
      <c r="I421" s="12">
        <f>IF(BANK_RAW!A421="","",E421-F421)</f>
        <v/>
      </c>
      <c r="J421" s="12">
        <f>IF(BANK_RAW!A421="","",ABS(I421))</f>
        <v/>
      </c>
      <c r="K421" s="11">
        <f>IF(BANK_RAW!A421="","",IF(H421="CR","IN","OUT"))</f>
        <v/>
      </c>
      <c r="L421" s="11" t="inlineStr"/>
      <c r="M421" s="11" t="inlineStr"/>
    </row>
    <row r="422">
      <c r="A422" s="13">
        <f>IF(BANK_RAW!A422="","",ROW()-1)</f>
        <v/>
      </c>
      <c r="B422" s="10">
        <f>IF(BANK_RAW!A422="","",IF(ISNUMBER(BANK_RAW!A422),BANK_RAW!A422,DATEVALUE(TEXT(BANK_RAW!A422,"YYYY-MM-DD"))))</f>
        <v/>
      </c>
      <c r="C422" s="11">
        <f>IF(BANK_RAW!A422="","",TRIM(BANK_RAW!B422))</f>
        <v/>
      </c>
      <c r="D422" s="11">
        <f>IF(BANK_RAW!A422="","",TRIM(BANK_RAW!C422))</f>
        <v/>
      </c>
      <c r="E422" s="12">
        <f>IF(BANK_RAW!A422="","",IFERROR(ABS(BANK_RAW!D422),0))</f>
        <v/>
      </c>
      <c r="F422" s="12">
        <f>IF(BANK_RAW!A422="","",IFERROR(ABS(BANK_RAW!E422),0))</f>
        <v/>
      </c>
      <c r="G422" s="12">
        <f>IF(BANK_RAW!A422="","",IFERROR(BANK_RAW!F422,0))</f>
        <v/>
      </c>
      <c r="H422" s="11">
        <f>IF(BANK_RAW!A422="","",IF(E422&gt;0,"CR",IF(F422&gt;0,"DR","CR")))</f>
        <v/>
      </c>
      <c r="I422" s="12">
        <f>IF(BANK_RAW!A422="","",E422-F422)</f>
        <v/>
      </c>
      <c r="J422" s="12">
        <f>IF(BANK_RAW!A422="","",ABS(I422))</f>
        <v/>
      </c>
      <c r="K422" s="11">
        <f>IF(BANK_RAW!A422="","",IF(H422="CR","IN","OUT"))</f>
        <v/>
      </c>
      <c r="L422" s="11" t="inlineStr"/>
      <c r="M422" s="11" t="inlineStr"/>
    </row>
    <row r="423">
      <c r="A423" s="13">
        <f>IF(BANK_RAW!A423="","",ROW()-1)</f>
        <v/>
      </c>
      <c r="B423" s="10">
        <f>IF(BANK_RAW!A423="","",IF(ISNUMBER(BANK_RAW!A423),BANK_RAW!A423,DATEVALUE(TEXT(BANK_RAW!A423,"YYYY-MM-DD"))))</f>
        <v/>
      </c>
      <c r="C423" s="11">
        <f>IF(BANK_RAW!A423="","",TRIM(BANK_RAW!B423))</f>
        <v/>
      </c>
      <c r="D423" s="11">
        <f>IF(BANK_RAW!A423="","",TRIM(BANK_RAW!C423))</f>
        <v/>
      </c>
      <c r="E423" s="12">
        <f>IF(BANK_RAW!A423="","",IFERROR(ABS(BANK_RAW!D423),0))</f>
        <v/>
      </c>
      <c r="F423" s="12">
        <f>IF(BANK_RAW!A423="","",IFERROR(ABS(BANK_RAW!E423),0))</f>
        <v/>
      </c>
      <c r="G423" s="12">
        <f>IF(BANK_RAW!A423="","",IFERROR(BANK_RAW!F423,0))</f>
        <v/>
      </c>
      <c r="H423" s="11">
        <f>IF(BANK_RAW!A423="","",IF(E423&gt;0,"CR",IF(F423&gt;0,"DR","CR")))</f>
        <v/>
      </c>
      <c r="I423" s="12">
        <f>IF(BANK_RAW!A423="","",E423-F423)</f>
        <v/>
      </c>
      <c r="J423" s="12">
        <f>IF(BANK_RAW!A423="","",ABS(I423))</f>
        <v/>
      </c>
      <c r="K423" s="11">
        <f>IF(BANK_RAW!A423="","",IF(H423="CR","IN","OUT"))</f>
        <v/>
      </c>
      <c r="L423" s="11" t="inlineStr"/>
      <c r="M423" s="11" t="inlineStr"/>
    </row>
    <row r="424">
      <c r="A424" s="13">
        <f>IF(BANK_RAW!A424="","",ROW()-1)</f>
        <v/>
      </c>
      <c r="B424" s="10">
        <f>IF(BANK_RAW!A424="","",IF(ISNUMBER(BANK_RAW!A424),BANK_RAW!A424,DATEVALUE(TEXT(BANK_RAW!A424,"YYYY-MM-DD"))))</f>
        <v/>
      </c>
      <c r="C424" s="11">
        <f>IF(BANK_RAW!A424="","",TRIM(BANK_RAW!B424))</f>
        <v/>
      </c>
      <c r="D424" s="11">
        <f>IF(BANK_RAW!A424="","",TRIM(BANK_RAW!C424))</f>
        <v/>
      </c>
      <c r="E424" s="12">
        <f>IF(BANK_RAW!A424="","",IFERROR(ABS(BANK_RAW!D424),0))</f>
        <v/>
      </c>
      <c r="F424" s="12">
        <f>IF(BANK_RAW!A424="","",IFERROR(ABS(BANK_RAW!E424),0))</f>
        <v/>
      </c>
      <c r="G424" s="12">
        <f>IF(BANK_RAW!A424="","",IFERROR(BANK_RAW!F424,0))</f>
        <v/>
      </c>
      <c r="H424" s="11">
        <f>IF(BANK_RAW!A424="","",IF(E424&gt;0,"CR",IF(F424&gt;0,"DR","CR")))</f>
        <v/>
      </c>
      <c r="I424" s="12">
        <f>IF(BANK_RAW!A424="","",E424-F424)</f>
        <v/>
      </c>
      <c r="J424" s="12">
        <f>IF(BANK_RAW!A424="","",ABS(I424))</f>
        <v/>
      </c>
      <c r="K424" s="11">
        <f>IF(BANK_RAW!A424="","",IF(H424="CR","IN","OUT"))</f>
        <v/>
      </c>
      <c r="L424" s="11" t="inlineStr"/>
      <c r="M424" s="11" t="inlineStr"/>
    </row>
    <row r="425">
      <c r="A425" s="13">
        <f>IF(BANK_RAW!A425="","",ROW()-1)</f>
        <v/>
      </c>
      <c r="B425" s="10">
        <f>IF(BANK_RAW!A425="","",IF(ISNUMBER(BANK_RAW!A425),BANK_RAW!A425,DATEVALUE(TEXT(BANK_RAW!A425,"YYYY-MM-DD"))))</f>
        <v/>
      </c>
      <c r="C425" s="11">
        <f>IF(BANK_RAW!A425="","",TRIM(BANK_RAW!B425))</f>
        <v/>
      </c>
      <c r="D425" s="11">
        <f>IF(BANK_RAW!A425="","",TRIM(BANK_RAW!C425))</f>
        <v/>
      </c>
      <c r="E425" s="12">
        <f>IF(BANK_RAW!A425="","",IFERROR(ABS(BANK_RAW!D425),0))</f>
        <v/>
      </c>
      <c r="F425" s="12">
        <f>IF(BANK_RAW!A425="","",IFERROR(ABS(BANK_RAW!E425),0))</f>
        <v/>
      </c>
      <c r="G425" s="12">
        <f>IF(BANK_RAW!A425="","",IFERROR(BANK_RAW!F425,0))</f>
        <v/>
      </c>
      <c r="H425" s="11">
        <f>IF(BANK_RAW!A425="","",IF(E425&gt;0,"CR",IF(F425&gt;0,"DR","CR")))</f>
        <v/>
      </c>
      <c r="I425" s="12">
        <f>IF(BANK_RAW!A425="","",E425-F425)</f>
        <v/>
      </c>
      <c r="J425" s="12">
        <f>IF(BANK_RAW!A425="","",ABS(I425))</f>
        <v/>
      </c>
      <c r="K425" s="11">
        <f>IF(BANK_RAW!A425="","",IF(H425="CR","IN","OUT"))</f>
        <v/>
      </c>
      <c r="L425" s="11" t="inlineStr"/>
      <c r="M425" s="11" t="inlineStr"/>
    </row>
    <row r="426">
      <c r="A426" s="13">
        <f>IF(BANK_RAW!A426="","",ROW()-1)</f>
        <v/>
      </c>
      <c r="B426" s="10">
        <f>IF(BANK_RAW!A426="","",IF(ISNUMBER(BANK_RAW!A426),BANK_RAW!A426,DATEVALUE(TEXT(BANK_RAW!A426,"YYYY-MM-DD"))))</f>
        <v/>
      </c>
      <c r="C426" s="11">
        <f>IF(BANK_RAW!A426="","",TRIM(BANK_RAW!B426))</f>
        <v/>
      </c>
      <c r="D426" s="11">
        <f>IF(BANK_RAW!A426="","",TRIM(BANK_RAW!C426))</f>
        <v/>
      </c>
      <c r="E426" s="12">
        <f>IF(BANK_RAW!A426="","",IFERROR(ABS(BANK_RAW!D426),0))</f>
        <v/>
      </c>
      <c r="F426" s="12">
        <f>IF(BANK_RAW!A426="","",IFERROR(ABS(BANK_RAW!E426),0))</f>
        <v/>
      </c>
      <c r="G426" s="12">
        <f>IF(BANK_RAW!A426="","",IFERROR(BANK_RAW!F426,0))</f>
        <v/>
      </c>
      <c r="H426" s="11">
        <f>IF(BANK_RAW!A426="","",IF(E426&gt;0,"CR",IF(F426&gt;0,"DR","CR")))</f>
        <v/>
      </c>
      <c r="I426" s="12">
        <f>IF(BANK_RAW!A426="","",E426-F426)</f>
        <v/>
      </c>
      <c r="J426" s="12">
        <f>IF(BANK_RAW!A426="","",ABS(I426))</f>
        <v/>
      </c>
      <c r="K426" s="11">
        <f>IF(BANK_RAW!A426="","",IF(H426="CR","IN","OUT"))</f>
        <v/>
      </c>
      <c r="L426" s="11" t="inlineStr"/>
      <c r="M426" s="11" t="inlineStr"/>
    </row>
    <row r="427">
      <c r="A427" s="13">
        <f>IF(BANK_RAW!A427="","",ROW()-1)</f>
        <v/>
      </c>
      <c r="B427" s="10">
        <f>IF(BANK_RAW!A427="","",IF(ISNUMBER(BANK_RAW!A427),BANK_RAW!A427,DATEVALUE(TEXT(BANK_RAW!A427,"YYYY-MM-DD"))))</f>
        <v/>
      </c>
      <c r="C427" s="11">
        <f>IF(BANK_RAW!A427="","",TRIM(BANK_RAW!B427))</f>
        <v/>
      </c>
      <c r="D427" s="11">
        <f>IF(BANK_RAW!A427="","",TRIM(BANK_RAW!C427))</f>
        <v/>
      </c>
      <c r="E427" s="12">
        <f>IF(BANK_RAW!A427="","",IFERROR(ABS(BANK_RAW!D427),0))</f>
        <v/>
      </c>
      <c r="F427" s="12">
        <f>IF(BANK_RAW!A427="","",IFERROR(ABS(BANK_RAW!E427),0))</f>
        <v/>
      </c>
      <c r="G427" s="12">
        <f>IF(BANK_RAW!A427="","",IFERROR(BANK_RAW!F427,0))</f>
        <v/>
      </c>
      <c r="H427" s="11">
        <f>IF(BANK_RAW!A427="","",IF(E427&gt;0,"CR",IF(F427&gt;0,"DR","CR")))</f>
        <v/>
      </c>
      <c r="I427" s="12">
        <f>IF(BANK_RAW!A427="","",E427-F427)</f>
        <v/>
      </c>
      <c r="J427" s="12">
        <f>IF(BANK_RAW!A427="","",ABS(I427))</f>
        <v/>
      </c>
      <c r="K427" s="11">
        <f>IF(BANK_RAW!A427="","",IF(H427="CR","IN","OUT"))</f>
        <v/>
      </c>
      <c r="L427" s="11" t="inlineStr"/>
      <c r="M427" s="11" t="inlineStr"/>
    </row>
    <row r="428">
      <c r="A428" s="13">
        <f>IF(BANK_RAW!A428="","",ROW()-1)</f>
        <v/>
      </c>
      <c r="B428" s="10">
        <f>IF(BANK_RAW!A428="","",IF(ISNUMBER(BANK_RAW!A428),BANK_RAW!A428,DATEVALUE(TEXT(BANK_RAW!A428,"YYYY-MM-DD"))))</f>
        <v/>
      </c>
      <c r="C428" s="11">
        <f>IF(BANK_RAW!A428="","",TRIM(BANK_RAW!B428))</f>
        <v/>
      </c>
      <c r="D428" s="11">
        <f>IF(BANK_RAW!A428="","",TRIM(BANK_RAW!C428))</f>
        <v/>
      </c>
      <c r="E428" s="12">
        <f>IF(BANK_RAW!A428="","",IFERROR(ABS(BANK_RAW!D428),0))</f>
        <v/>
      </c>
      <c r="F428" s="12">
        <f>IF(BANK_RAW!A428="","",IFERROR(ABS(BANK_RAW!E428),0))</f>
        <v/>
      </c>
      <c r="G428" s="12">
        <f>IF(BANK_RAW!A428="","",IFERROR(BANK_RAW!F428,0))</f>
        <v/>
      </c>
      <c r="H428" s="11">
        <f>IF(BANK_RAW!A428="","",IF(E428&gt;0,"CR",IF(F428&gt;0,"DR","CR")))</f>
        <v/>
      </c>
      <c r="I428" s="12">
        <f>IF(BANK_RAW!A428="","",E428-F428)</f>
        <v/>
      </c>
      <c r="J428" s="12">
        <f>IF(BANK_RAW!A428="","",ABS(I428))</f>
        <v/>
      </c>
      <c r="K428" s="11">
        <f>IF(BANK_RAW!A428="","",IF(H428="CR","IN","OUT"))</f>
        <v/>
      </c>
      <c r="L428" s="11" t="inlineStr"/>
      <c r="M428" s="11" t="inlineStr"/>
    </row>
    <row r="429">
      <c r="A429" s="13">
        <f>IF(BANK_RAW!A429="","",ROW()-1)</f>
        <v/>
      </c>
      <c r="B429" s="10">
        <f>IF(BANK_RAW!A429="","",IF(ISNUMBER(BANK_RAW!A429),BANK_RAW!A429,DATEVALUE(TEXT(BANK_RAW!A429,"YYYY-MM-DD"))))</f>
        <v/>
      </c>
      <c r="C429" s="11">
        <f>IF(BANK_RAW!A429="","",TRIM(BANK_RAW!B429))</f>
        <v/>
      </c>
      <c r="D429" s="11">
        <f>IF(BANK_RAW!A429="","",TRIM(BANK_RAW!C429))</f>
        <v/>
      </c>
      <c r="E429" s="12">
        <f>IF(BANK_RAW!A429="","",IFERROR(ABS(BANK_RAW!D429),0))</f>
        <v/>
      </c>
      <c r="F429" s="12">
        <f>IF(BANK_RAW!A429="","",IFERROR(ABS(BANK_RAW!E429),0))</f>
        <v/>
      </c>
      <c r="G429" s="12">
        <f>IF(BANK_RAW!A429="","",IFERROR(BANK_RAW!F429,0))</f>
        <v/>
      </c>
      <c r="H429" s="11">
        <f>IF(BANK_RAW!A429="","",IF(E429&gt;0,"CR",IF(F429&gt;0,"DR","CR")))</f>
        <v/>
      </c>
      <c r="I429" s="12">
        <f>IF(BANK_RAW!A429="","",E429-F429)</f>
        <v/>
      </c>
      <c r="J429" s="12">
        <f>IF(BANK_RAW!A429="","",ABS(I429))</f>
        <v/>
      </c>
      <c r="K429" s="11">
        <f>IF(BANK_RAW!A429="","",IF(H429="CR","IN","OUT"))</f>
        <v/>
      </c>
      <c r="L429" s="11" t="inlineStr"/>
      <c r="M429" s="11" t="inlineStr"/>
    </row>
    <row r="430">
      <c r="A430" s="13">
        <f>IF(BANK_RAW!A430="","",ROW()-1)</f>
        <v/>
      </c>
      <c r="B430" s="10">
        <f>IF(BANK_RAW!A430="","",IF(ISNUMBER(BANK_RAW!A430),BANK_RAW!A430,DATEVALUE(TEXT(BANK_RAW!A430,"YYYY-MM-DD"))))</f>
        <v/>
      </c>
      <c r="C430" s="11">
        <f>IF(BANK_RAW!A430="","",TRIM(BANK_RAW!B430))</f>
        <v/>
      </c>
      <c r="D430" s="11">
        <f>IF(BANK_RAW!A430="","",TRIM(BANK_RAW!C430))</f>
        <v/>
      </c>
      <c r="E430" s="12">
        <f>IF(BANK_RAW!A430="","",IFERROR(ABS(BANK_RAW!D430),0))</f>
        <v/>
      </c>
      <c r="F430" s="12">
        <f>IF(BANK_RAW!A430="","",IFERROR(ABS(BANK_RAW!E430),0))</f>
        <v/>
      </c>
      <c r="G430" s="12">
        <f>IF(BANK_RAW!A430="","",IFERROR(BANK_RAW!F430,0))</f>
        <v/>
      </c>
      <c r="H430" s="11">
        <f>IF(BANK_RAW!A430="","",IF(E430&gt;0,"CR",IF(F430&gt;0,"DR","CR")))</f>
        <v/>
      </c>
      <c r="I430" s="12">
        <f>IF(BANK_RAW!A430="","",E430-F430)</f>
        <v/>
      </c>
      <c r="J430" s="12">
        <f>IF(BANK_RAW!A430="","",ABS(I430))</f>
        <v/>
      </c>
      <c r="K430" s="11">
        <f>IF(BANK_RAW!A430="","",IF(H430="CR","IN","OUT"))</f>
        <v/>
      </c>
      <c r="L430" s="11" t="inlineStr"/>
      <c r="M430" s="11" t="inlineStr"/>
    </row>
    <row r="431">
      <c r="A431" s="13">
        <f>IF(BANK_RAW!A431="","",ROW()-1)</f>
        <v/>
      </c>
      <c r="B431" s="10">
        <f>IF(BANK_RAW!A431="","",IF(ISNUMBER(BANK_RAW!A431),BANK_RAW!A431,DATEVALUE(TEXT(BANK_RAW!A431,"YYYY-MM-DD"))))</f>
        <v/>
      </c>
      <c r="C431" s="11">
        <f>IF(BANK_RAW!A431="","",TRIM(BANK_RAW!B431))</f>
        <v/>
      </c>
      <c r="D431" s="11">
        <f>IF(BANK_RAW!A431="","",TRIM(BANK_RAW!C431))</f>
        <v/>
      </c>
      <c r="E431" s="12">
        <f>IF(BANK_RAW!A431="","",IFERROR(ABS(BANK_RAW!D431),0))</f>
        <v/>
      </c>
      <c r="F431" s="12">
        <f>IF(BANK_RAW!A431="","",IFERROR(ABS(BANK_RAW!E431),0))</f>
        <v/>
      </c>
      <c r="G431" s="12">
        <f>IF(BANK_RAW!A431="","",IFERROR(BANK_RAW!F431,0))</f>
        <v/>
      </c>
      <c r="H431" s="11">
        <f>IF(BANK_RAW!A431="","",IF(E431&gt;0,"CR",IF(F431&gt;0,"DR","CR")))</f>
        <v/>
      </c>
      <c r="I431" s="12">
        <f>IF(BANK_RAW!A431="","",E431-F431)</f>
        <v/>
      </c>
      <c r="J431" s="12">
        <f>IF(BANK_RAW!A431="","",ABS(I431))</f>
        <v/>
      </c>
      <c r="K431" s="11">
        <f>IF(BANK_RAW!A431="","",IF(H431="CR","IN","OUT"))</f>
        <v/>
      </c>
      <c r="L431" s="11" t="inlineStr"/>
      <c r="M431" s="11" t="inlineStr"/>
    </row>
    <row r="432">
      <c r="A432" s="13">
        <f>IF(BANK_RAW!A432="","",ROW()-1)</f>
        <v/>
      </c>
      <c r="B432" s="10">
        <f>IF(BANK_RAW!A432="","",IF(ISNUMBER(BANK_RAW!A432),BANK_RAW!A432,DATEVALUE(TEXT(BANK_RAW!A432,"YYYY-MM-DD"))))</f>
        <v/>
      </c>
      <c r="C432" s="11">
        <f>IF(BANK_RAW!A432="","",TRIM(BANK_RAW!B432))</f>
        <v/>
      </c>
      <c r="D432" s="11">
        <f>IF(BANK_RAW!A432="","",TRIM(BANK_RAW!C432))</f>
        <v/>
      </c>
      <c r="E432" s="12">
        <f>IF(BANK_RAW!A432="","",IFERROR(ABS(BANK_RAW!D432),0))</f>
        <v/>
      </c>
      <c r="F432" s="12">
        <f>IF(BANK_RAW!A432="","",IFERROR(ABS(BANK_RAW!E432),0))</f>
        <v/>
      </c>
      <c r="G432" s="12">
        <f>IF(BANK_RAW!A432="","",IFERROR(BANK_RAW!F432,0))</f>
        <v/>
      </c>
      <c r="H432" s="11">
        <f>IF(BANK_RAW!A432="","",IF(E432&gt;0,"CR",IF(F432&gt;0,"DR","CR")))</f>
        <v/>
      </c>
      <c r="I432" s="12">
        <f>IF(BANK_RAW!A432="","",E432-F432)</f>
        <v/>
      </c>
      <c r="J432" s="12">
        <f>IF(BANK_RAW!A432="","",ABS(I432))</f>
        <v/>
      </c>
      <c r="K432" s="11">
        <f>IF(BANK_RAW!A432="","",IF(H432="CR","IN","OUT"))</f>
        <v/>
      </c>
      <c r="L432" s="11" t="inlineStr"/>
      <c r="M432" s="11" t="inlineStr"/>
    </row>
    <row r="433">
      <c r="A433" s="13">
        <f>IF(BANK_RAW!A433="","",ROW()-1)</f>
        <v/>
      </c>
      <c r="B433" s="10">
        <f>IF(BANK_RAW!A433="","",IF(ISNUMBER(BANK_RAW!A433),BANK_RAW!A433,DATEVALUE(TEXT(BANK_RAW!A433,"YYYY-MM-DD"))))</f>
        <v/>
      </c>
      <c r="C433" s="11">
        <f>IF(BANK_RAW!A433="","",TRIM(BANK_RAW!B433))</f>
        <v/>
      </c>
      <c r="D433" s="11">
        <f>IF(BANK_RAW!A433="","",TRIM(BANK_RAW!C433))</f>
        <v/>
      </c>
      <c r="E433" s="12">
        <f>IF(BANK_RAW!A433="","",IFERROR(ABS(BANK_RAW!D433),0))</f>
        <v/>
      </c>
      <c r="F433" s="12">
        <f>IF(BANK_RAW!A433="","",IFERROR(ABS(BANK_RAW!E433),0))</f>
        <v/>
      </c>
      <c r="G433" s="12">
        <f>IF(BANK_RAW!A433="","",IFERROR(BANK_RAW!F433,0))</f>
        <v/>
      </c>
      <c r="H433" s="11">
        <f>IF(BANK_RAW!A433="","",IF(E433&gt;0,"CR",IF(F433&gt;0,"DR","CR")))</f>
        <v/>
      </c>
      <c r="I433" s="12">
        <f>IF(BANK_RAW!A433="","",E433-F433)</f>
        <v/>
      </c>
      <c r="J433" s="12">
        <f>IF(BANK_RAW!A433="","",ABS(I433))</f>
        <v/>
      </c>
      <c r="K433" s="11">
        <f>IF(BANK_RAW!A433="","",IF(H433="CR","IN","OUT"))</f>
        <v/>
      </c>
      <c r="L433" s="11" t="inlineStr"/>
      <c r="M433" s="11" t="inlineStr"/>
    </row>
    <row r="434">
      <c r="A434" s="13">
        <f>IF(BANK_RAW!A434="","",ROW()-1)</f>
        <v/>
      </c>
      <c r="B434" s="10">
        <f>IF(BANK_RAW!A434="","",IF(ISNUMBER(BANK_RAW!A434),BANK_RAW!A434,DATEVALUE(TEXT(BANK_RAW!A434,"YYYY-MM-DD"))))</f>
        <v/>
      </c>
      <c r="C434" s="11">
        <f>IF(BANK_RAW!A434="","",TRIM(BANK_RAW!B434))</f>
        <v/>
      </c>
      <c r="D434" s="11">
        <f>IF(BANK_RAW!A434="","",TRIM(BANK_RAW!C434))</f>
        <v/>
      </c>
      <c r="E434" s="12">
        <f>IF(BANK_RAW!A434="","",IFERROR(ABS(BANK_RAW!D434),0))</f>
        <v/>
      </c>
      <c r="F434" s="12">
        <f>IF(BANK_RAW!A434="","",IFERROR(ABS(BANK_RAW!E434),0))</f>
        <v/>
      </c>
      <c r="G434" s="12">
        <f>IF(BANK_RAW!A434="","",IFERROR(BANK_RAW!F434,0))</f>
        <v/>
      </c>
      <c r="H434" s="11">
        <f>IF(BANK_RAW!A434="","",IF(E434&gt;0,"CR",IF(F434&gt;0,"DR","CR")))</f>
        <v/>
      </c>
      <c r="I434" s="12">
        <f>IF(BANK_RAW!A434="","",E434-F434)</f>
        <v/>
      </c>
      <c r="J434" s="12">
        <f>IF(BANK_RAW!A434="","",ABS(I434))</f>
        <v/>
      </c>
      <c r="K434" s="11">
        <f>IF(BANK_RAW!A434="","",IF(H434="CR","IN","OUT"))</f>
        <v/>
      </c>
      <c r="L434" s="11" t="inlineStr"/>
      <c r="M434" s="11" t="inlineStr"/>
    </row>
    <row r="435">
      <c r="A435" s="13">
        <f>IF(BANK_RAW!A435="","",ROW()-1)</f>
        <v/>
      </c>
      <c r="B435" s="10">
        <f>IF(BANK_RAW!A435="","",IF(ISNUMBER(BANK_RAW!A435),BANK_RAW!A435,DATEVALUE(TEXT(BANK_RAW!A435,"YYYY-MM-DD"))))</f>
        <v/>
      </c>
      <c r="C435" s="11">
        <f>IF(BANK_RAW!A435="","",TRIM(BANK_RAW!B435))</f>
        <v/>
      </c>
      <c r="D435" s="11">
        <f>IF(BANK_RAW!A435="","",TRIM(BANK_RAW!C435))</f>
        <v/>
      </c>
      <c r="E435" s="12">
        <f>IF(BANK_RAW!A435="","",IFERROR(ABS(BANK_RAW!D435),0))</f>
        <v/>
      </c>
      <c r="F435" s="12">
        <f>IF(BANK_RAW!A435="","",IFERROR(ABS(BANK_RAW!E435),0))</f>
        <v/>
      </c>
      <c r="G435" s="12">
        <f>IF(BANK_RAW!A435="","",IFERROR(BANK_RAW!F435,0))</f>
        <v/>
      </c>
      <c r="H435" s="11">
        <f>IF(BANK_RAW!A435="","",IF(E435&gt;0,"CR",IF(F435&gt;0,"DR","CR")))</f>
        <v/>
      </c>
      <c r="I435" s="12">
        <f>IF(BANK_RAW!A435="","",E435-F435)</f>
        <v/>
      </c>
      <c r="J435" s="12">
        <f>IF(BANK_RAW!A435="","",ABS(I435))</f>
        <v/>
      </c>
      <c r="K435" s="11">
        <f>IF(BANK_RAW!A435="","",IF(H435="CR","IN","OUT"))</f>
        <v/>
      </c>
      <c r="L435" s="11" t="inlineStr"/>
      <c r="M435" s="11" t="inlineStr"/>
    </row>
    <row r="436">
      <c r="A436" s="13">
        <f>IF(BANK_RAW!A436="","",ROW()-1)</f>
        <v/>
      </c>
      <c r="B436" s="10">
        <f>IF(BANK_RAW!A436="","",IF(ISNUMBER(BANK_RAW!A436),BANK_RAW!A436,DATEVALUE(TEXT(BANK_RAW!A436,"YYYY-MM-DD"))))</f>
        <v/>
      </c>
      <c r="C436" s="11">
        <f>IF(BANK_RAW!A436="","",TRIM(BANK_RAW!B436))</f>
        <v/>
      </c>
      <c r="D436" s="11">
        <f>IF(BANK_RAW!A436="","",TRIM(BANK_RAW!C436))</f>
        <v/>
      </c>
      <c r="E436" s="12">
        <f>IF(BANK_RAW!A436="","",IFERROR(ABS(BANK_RAW!D436),0))</f>
        <v/>
      </c>
      <c r="F436" s="12">
        <f>IF(BANK_RAW!A436="","",IFERROR(ABS(BANK_RAW!E436),0))</f>
        <v/>
      </c>
      <c r="G436" s="12">
        <f>IF(BANK_RAW!A436="","",IFERROR(BANK_RAW!F436,0))</f>
        <v/>
      </c>
      <c r="H436" s="11">
        <f>IF(BANK_RAW!A436="","",IF(E436&gt;0,"CR",IF(F436&gt;0,"DR","CR")))</f>
        <v/>
      </c>
      <c r="I436" s="12">
        <f>IF(BANK_RAW!A436="","",E436-F436)</f>
        <v/>
      </c>
      <c r="J436" s="12">
        <f>IF(BANK_RAW!A436="","",ABS(I436))</f>
        <v/>
      </c>
      <c r="K436" s="11">
        <f>IF(BANK_RAW!A436="","",IF(H436="CR","IN","OUT"))</f>
        <v/>
      </c>
      <c r="L436" s="11" t="inlineStr"/>
      <c r="M436" s="11" t="inlineStr"/>
    </row>
    <row r="437">
      <c r="A437" s="13">
        <f>IF(BANK_RAW!A437="","",ROW()-1)</f>
        <v/>
      </c>
      <c r="B437" s="10">
        <f>IF(BANK_RAW!A437="","",IF(ISNUMBER(BANK_RAW!A437),BANK_RAW!A437,DATEVALUE(TEXT(BANK_RAW!A437,"YYYY-MM-DD"))))</f>
        <v/>
      </c>
      <c r="C437" s="11">
        <f>IF(BANK_RAW!A437="","",TRIM(BANK_RAW!B437))</f>
        <v/>
      </c>
      <c r="D437" s="11">
        <f>IF(BANK_RAW!A437="","",TRIM(BANK_RAW!C437))</f>
        <v/>
      </c>
      <c r="E437" s="12">
        <f>IF(BANK_RAW!A437="","",IFERROR(ABS(BANK_RAW!D437),0))</f>
        <v/>
      </c>
      <c r="F437" s="12">
        <f>IF(BANK_RAW!A437="","",IFERROR(ABS(BANK_RAW!E437),0))</f>
        <v/>
      </c>
      <c r="G437" s="12">
        <f>IF(BANK_RAW!A437="","",IFERROR(BANK_RAW!F437,0))</f>
        <v/>
      </c>
      <c r="H437" s="11">
        <f>IF(BANK_RAW!A437="","",IF(E437&gt;0,"CR",IF(F437&gt;0,"DR","CR")))</f>
        <v/>
      </c>
      <c r="I437" s="12">
        <f>IF(BANK_RAW!A437="","",E437-F437)</f>
        <v/>
      </c>
      <c r="J437" s="12">
        <f>IF(BANK_RAW!A437="","",ABS(I437))</f>
        <v/>
      </c>
      <c r="K437" s="11">
        <f>IF(BANK_RAW!A437="","",IF(H437="CR","IN","OUT"))</f>
        <v/>
      </c>
      <c r="L437" s="11" t="inlineStr"/>
      <c r="M437" s="11" t="inlineStr"/>
    </row>
    <row r="438">
      <c r="A438" s="13">
        <f>IF(BANK_RAW!A438="","",ROW()-1)</f>
        <v/>
      </c>
      <c r="B438" s="10">
        <f>IF(BANK_RAW!A438="","",IF(ISNUMBER(BANK_RAW!A438),BANK_RAW!A438,DATEVALUE(TEXT(BANK_RAW!A438,"YYYY-MM-DD"))))</f>
        <v/>
      </c>
      <c r="C438" s="11">
        <f>IF(BANK_RAW!A438="","",TRIM(BANK_RAW!B438))</f>
        <v/>
      </c>
      <c r="D438" s="11">
        <f>IF(BANK_RAW!A438="","",TRIM(BANK_RAW!C438))</f>
        <v/>
      </c>
      <c r="E438" s="12">
        <f>IF(BANK_RAW!A438="","",IFERROR(ABS(BANK_RAW!D438),0))</f>
        <v/>
      </c>
      <c r="F438" s="12">
        <f>IF(BANK_RAW!A438="","",IFERROR(ABS(BANK_RAW!E438),0))</f>
        <v/>
      </c>
      <c r="G438" s="12">
        <f>IF(BANK_RAW!A438="","",IFERROR(BANK_RAW!F438,0))</f>
        <v/>
      </c>
      <c r="H438" s="11">
        <f>IF(BANK_RAW!A438="","",IF(E438&gt;0,"CR",IF(F438&gt;0,"DR","CR")))</f>
        <v/>
      </c>
      <c r="I438" s="12">
        <f>IF(BANK_RAW!A438="","",E438-F438)</f>
        <v/>
      </c>
      <c r="J438" s="12">
        <f>IF(BANK_RAW!A438="","",ABS(I438))</f>
        <v/>
      </c>
      <c r="K438" s="11">
        <f>IF(BANK_RAW!A438="","",IF(H438="CR","IN","OUT"))</f>
        <v/>
      </c>
      <c r="L438" s="11" t="inlineStr"/>
      <c r="M438" s="11" t="inlineStr"/>
    </row>
    <row r="439">
      <c r="A439" s="13">
        <f>IF(BANK_RAW!A439="","",ROW()-1)</f>
        <v/>
      </c>
      <c r="B439" s="10">
        <f>IF(BANK_RAW!A439="","",IF(ISNUMBER(BANK_RAW!A439),BANK_RAW!A439,DATEVALUE(TEXT(BANK_RAW!A439,"YYYY-MM-DD"))))</f>
        <v/>
      </c>
      <c r="C439" s="11">
        <f>IF(BANK_RAW!A439="","",TRIM(BANK_RAW!B439))</f>
        <v/>
      </c>
      <c r="D439" s="11">
        <f>IF(BANK_RAW!A439="","",TRIM(BANK_RAW!C439))</f>
        <v/>
      </c>
      <c r="E439" s="12">
        <f>IF(BANK_RAW!A439="","",IFERROR(ABS(BANK_RAW!D439),0))</f>
        <v/>
      </c>
      <c r="F439" s="12">
        <f>IF(BANK_RAW!A439="","",IFERROR(ABS(BANK_RAW!E439),0))</f>
        <v/>
      </c>
      <c r="G439" s="12">
        <f>IF(BANK_RAW!A439="","",IFERROR(BANK_RAW!F439,0))</f>
        <v/>
      </c>
      <c r="H439" s="11">
        <f>IF(BANK_RAW!A439="","",IF(E439&gt;0,"CR",IF(F439&gt;0,"DR","CR")))</f>
        <v/>
      </c>
      <c r="I439" s="12">
        <f>IF(BANK_RAW!A439="","",E439-F439)</f>
        <v/>
      </c>
      <c r="J439" s="12">
        <f>IF(BANK_RAW!A439="","",ABS(I439))</f>
        <v/>
      </c>
      <c r="K439" s="11">
        <f>IF(BANK_RAW!A439="","",IF(H439="CR","IN","OUT"))</f>
        <v/>
      </c>
      <c r="L439" s="11" t="inlineStr"/>
      <c r="M439" s="11" t="inlineStr"/>
    </row>
    <row r="440">
      <c r="A440" s="13">
        <f>IF(BANK_RAW!A440="","",ROW()-1)</f>
        <v/>
      </c>
      <c r="B440" s="10">
        <f>IF(BANK_RAW!A440="","",IF(ISNUMBER(BANK_RAW!A440),BANK_RAW!A440,DATEVALUE(TEXT(BANK_RAW!A440,"YYYY-MM-DD"))))</f>
        <v/>
      </c>
      <c r="C440" s="11">
        <f>IF(BANK_RAW!A440="","",TRIM(BANK_RAW!B440))</f>
        <v/>
      </c>
      <c r="D440" s="11">
        <f>IF(BANK_RAW!A440="","",TRIM(BANK_RAW!C440))</f>
        <v/>
      </c>
      <c r="E440" s="12">
        <f>IF(BANK_RAW!A440="","",IFERROR(ABS(BANK_RAW!D440),0))</f>
        <v/>
      </c>
      <c r="F440" s="12">
        <f>IF(BANK_RAW!A440="","",IFERROR(ABS(BANK_RAW!E440),0))</f>
        <v/>
      </c>
      <c r="G440" s="12">
        <f>IF(BANK_RAW!A440="","",IFERROR(BANK_RAW!F440,0))</f>
        <v/>
      </c>
      <c r="H440" s="11">
        <f>IF(BANK_RAW!A440="","",IF(E440&gt;0,"CR",IF(F440&gt;0,"DR","CR")))</f>
        <v/>
      </c>
      <c r="I440" s="12">
        <f>IF(BANK_RAW!A440="","",E440-F440)</f>
        <v/>
      </c>
      <c r="J440" s="12">
        <f>IF(BANK_RAW!A440="","",ABS(I440))</f>
        <v/>
      </c>
      <c r="K440" s="11">
        <f>IF(BANK_RAW!A440="","",IF(H440="CR","IN","OUT"))</f>
        <v/>
      </c>
      <c r="L440" s="11" t="inlineStr"/>
      <c r="M440" s="11" t="inlineStr"/>
    </row>
    <row r="441">
      <c r="A441" s="13">
        <f>IF(BANK_RAW!A441="","",ROW()-1)</f>
        <v/>
      </c>
      <c r="B441" s="10">
        <f>IF(BANK_RAW!A441="","",IF(ISNUMBER(BANK_RAW!A441),BANK_RAW!A441,DATEVALUE(TEXT(BANK_RAW!A441,"YYYY-MM-DD"))))</f>
        <v/>
      </c>
      <c r="C441" s="11">
        <f>IF(BANK_RAW!A441="","",TRIM(BANK_RAW!B441))</f>
        <v/>
      </c>
      <c r="D441" s="11">
        <f>IF(BANK_RAW!A441="","",TRIM(BANK_RAW!C441))</f>
        <v/>
      </c>
      <c r="E441" s="12">
        <f>IF(BANK_RAW!A441="","",IFERROR(ABS(BANK_RAW!D441),0))</f>
        <v/>
      </c>
      <c r="F441" s="12">
        <f>IF(BANK_RAW!A441="","",IFERROR(ABS(BANK_RAW!E441),0))</f>
        <v/>
      </c>
      <c r="G441" s="12">
        <f>IF(BANK_RAW!A441="","",IFERROR(BANK_RAW!F441,0))</f>
        <v/>
      </c>
      <c r="H441" s="11">
        <f>IF(BANK_RAW!A441="","",IF(E441&gt;0,"CR",IF(F441&gt;0,"DR","CR")))</f>
        <v/>
      </c>
      <c r="I441" s="12">
        <f>IF(BANK_RAW!A441="","",E441-F441)</f>
        <v/>
      </c>
      <c r="J441" s="12">
        <f>IF(BANK_RAW!A441="","",ABS(I441))</f>
        <v/>
      </c>
      <c r="K441" s="11">
        <f>IF(BANK_RAW!A441="","",IF(H441="CR","IN","OUT"))</f>
        <v/>
      </c>
      <c r="L441" s="11" t="inlineStr"/>
      <c r="M441" s="11" t="inlineStr"/>
    </row>
    <row r="442">
      <c r="A442" s="13">
        <f>IF(BANK_RAW!A442="","",ROW()-1)</f>
        <v/>
      </c>
      <c r="B442" s="10">
        <f>IF(BANK_RAW!A442="","",IF(ISNUMBER(BANK_RAW!A442),BANK_RAW!A442,DATEVALUE(TEXT(BANK_RAW!A442,"YYYY-MM-DD"))))</f>
        <v/>
      </c>
      <c r="C442" s="11">
        <f>IF(BANK_RAW!A442="","",TRIM(BANK_RAW!B442))</f>
        <v/>
      </c>
      <c r="D442" s="11">
        <f>IF(BANK_RAW!A442="","",TRIM(BANK_RAW!C442))</f>
        <v/>
      </c>
      <c r="E442" s="12">
        <f>IF(BANK_RAW!A442="","",IFERROR(ABS(BANK_RAW!D442),0))</f>
        <v/>
      </c>
      <c r="F442" s="12">
        <f>IF(BANK_RAW!A442="","",IFERROR(ABS(BANK_RAW!E442),0))</f>
        <v/>
      </c>
      <c r="G442" s="12">
        <f>IF(BANK_RAW!A442="","",IFERROR(BANK_RAW!F442,0))</f>
        <v/>
      </c>
      <c r="H442" s="11">
        <f>IF(BANK_RAW!A442="","",IF(E442&gt;0,"CR",IF(F442&gt;0,"DR","CR")))</f>
        <v/>
      </c>
      <c r="I442" s="12">
        <f>IF(BANK_RAW!A442="","",E442-F442)</f>
        <v/>
      </c>
      <c r="J442" s="12">
        <f>IF(BANK_RAW!A442="","",ABS(I442))</f>
        <v/>
      </c>
      <c r="K442" s="11">
        <f>IF(BANK_RAW!A442="","",IF(H442="CR","IN","OUT"))</f>
        <v/>
      </c>
      <c r="L442" s="11" t="inlineStr"/>
      <c r="M442" s="11" t="inlineStr"/>
    </row>
    <row r="443">
      <c r="A443" s="13">
        <f>IF(BANK_RAW!A443="","",ROW()-1)</f>
        <v/>
      </c>
      <c r="B443" s="10">
        <f>IF(BANK_RAW!A443="","",IF(ISNUMBER(BANK_RAW!A443),BANK_RAW!A443,DATEVALUE(TEXT(BANK_RAW!A443,"YYYY-MM-DD"))))</f>
        <v/>
      </c>
      <c r="C443" s="11">
        <f>IF(BANK_RAW!A443="","",TRIM(BANK_RAW!B443))</f>
        <v/>
      </c>
      <c r="D443" s="11">
        <f>IF(BANK_RAW!A443="","",TRIM(BANK_RAW!C443))</f>
        <v/>
      </c>
      <c r="E443" s="12">
        <f>IF(BANK_RAW!A443="","",IFERROR(ABS(BANK_RAW!D443),0))</f>
        <v/>
      </c>
      <c r="F443" s="12">
        <f>IF(BANK_RAW!A443="","",IFERROR(ABS(BANK_RAW!E443),0))</f>
        <v/>
      </c>
      <c r="G443" s="12">
        <f>IF(BANK_RAW!A443="","",IFERROR(BANK_RAW!F443,0))</f>
        <v/>
      </c>
      <c r="H443" s="11">
        <f>IF(BANK_RAW!A443="","",IF(E443&gt;0,"CR",IF(F443&gt;0,"DR","CR")))</f>
        <v/>
      </c>
      <c r="I443" s="12">
        <f>IF(BANK_RAW!A443="","",E443-F443)</f>
        <v/>
      </c>
      <c r="J443" s="12">
        <f>IF(BANK_RAW!A443="","",ABS(I443))</f>
        <v/>
      </c>
      <c r="K443" s="11">
        <f>IF(BANK_RAW!A443="","",IF(H443="CR","IN","OUT"))</f>
        <v/>
      </c>
      <c r="L443" s="11" t="inlineStr"/>
      <c r="M443" s="11" t="inlineStr"/>
    </row>
    <row r="444">
      <c r="A444" s="13">
        <f>IF(BANK_RAW!A444="","",ROW()-1)</f>
        <v/>
      </c>
      <c r="B444" s="10">
        <f>IF(BANK_RAW!A444="","",IF(ISNUMBER(BANK_RAW!A444),BANK_RAW!A444,DATEVALUE(TEXT(BANK_RAW!A444,"YYYY-MM-DD"))))</f>
        <v/>
      </c>
      <c r="C444" s="11">
        <f>IF(BANK_RAW!A444="","",TRIM(BANK_RAW!B444))</f>
        <v/>
      </c>
      <c r="D444" s="11">
        <f>IF(BANK_RAW!A444="","",TRIM(BANK_RAW!C444))</f>
        <v/>
      </c>
      <c r="E444" s="12">
        <f>IF(BANK_RAW!A444="","",IFERROR(ABS(BANK_RAW!D444),0))</f>
        <v/>
      </c>
      <c r="F444" s="12">
        <f>IF(BANK_RAW!A444="","",IFERROR(ABS(BANK_RAW!E444),0))</f>
        <v/>
      </c>
      <c r="G444" s="12">
        <f>IF(BANK_RAW!A444="","",IFERROR(BANK_RAW!F444,0))</f>
        <v/>
      </c>
      <c r="H444" s="11">
        <f>IF(BANK_RAW!A444="","",IF(E444&gt;0,"CR",IF(F444&gt;0,"DR","CR")))</f>
        <v/>
      </c>
      <c r="I444" s="12">
        <f>IF(BANK_RAW!A444="","",E444-F444)</f>
        <v/>
      </c>
      <c r="J444" s="12">
        <f>IF(BANK_RAW!A444="","",ABS(I444))</f>
        <v/>
      </c>
      <c r="K444" s="11">
        <f>IF(BANK_RAW!A444="","",IF(H444="CR","IN","OUT"))</f>
        <v/>
      </c>
      <c r="L444" s="11" t="inlineStr"/>
      <c r="M444" s="11" t="inlineStr"/>
    </row>
    <row r="445">
      <c r="A445" s="13">
        <f>IF(BANK_RAW!A445="","",ROW()-1)</f>
        <v/>
      </c>
      <c r="B445" s="10">
        <f>IF(BANK_RAW!A445="","",IF(ISNUMBER(BANK_RAW!A445),BANK_RAW!A445,DATEVALUE(TEXT(BANK_RAW!A445,"YYYY-MM-DD"))))</f>
        <v/>
      </c>
      <c r="C445" s="11">
        <f>IF(BANK_RAW!A445="","",TRIM(BANK_RAW!B445))</f>
        <v/>
      </c>
      <c r="D445" s="11">
        <f>IF(BANK_RAW!A445="","",TRIM(BANK_RAW!C445))</f>
        <v/>
      </c>
      <c r="E445" s="12">
        <f>IF(BANK_RAW!A445="","",IFERROR(ABS(BANK_RAW!D445),0))</f>
        <v/>
      </c>
      <c r="F445" s="12">
        <f>IF(BANK_RAW!A445="","",IFERROR(ABS(BANK_RAW!E445),0))</f>
        <v/>
      </c>
      <c r="G445" s="12">
        <f>IF(BANK_RAW!A445="","",IFERROR(BANK_RAW!F445,0))</f>
        <v/>
      </c>
      <c r="H445" s="11">
        <f>IF(BANK_RAW!A445="","",IF(E445&gt;0,"CR",IF(F445&gt;0,"DR","CR")))</f>
        <v/>
      </c>
      <c r="I445" s="12">
        <f>IF(BANK_RAW!A445="","",E445-F445)</f>
        <v/>
      </c>
      <c r="J445" s="12">
        <f>IF(BANK_RAW!A445="","",ABS(I445))</f>
        <v/>
      </c>
      <c r="K445" s="11">
        <f>IF(BANK_RAW!A445="","",IF(H445="CR","IN","OUT"))</f>
        <v/>
      </c>
      <c r="L445" s="11" t="inlineStr"/>
      <c r="M445" s="11" t="inlineStr"/>
    </row>
    <row r="446">
      <c r="A446" s="13">
        <f>IF(BANK_RAW!A446="","",ROW()-1)</f>
        <v/>
      </c>
      <c r="B446" s="10">
        <f>IF(BANK_RAW!A446="","",IF(ISNUMBER(BANK_RAW!A446),BANK_RAW!A446,DATEVALUE(TEXT(BANK_RAW!A446,"YYYY-MM-DD"))))</f>
        <v/>
      </c>
      <c r="C446" s="11">
        <f>IF(BANK_RAW!A446="","",TRIM(BANK_RAW!B446))</f>
        <v/>
      </c>
      <c r="D446" s="11">
        <f>IF(BANK_RAW!A446="","",TRIM(BANK_RAW!C446))</f>
        <v/>
      </c>
      <c r="E446" s="12">
        <f>IF(BANK_RAW!A446="","",IFERROR(ABS(BANK_RAW!D446),0))</f>
        <v/>
      </c>
      <c r="F446" s="12">
        <f>IF(BANK_RAW!A446="","",IFERROR(ABS(BANK_RAW!E446),0))</f>
        <v/>
      </c>
      <c r="G446" s="12">
        <f>IF(BANK_RAW!A446="","",IFERROR(BANK_RAW!F446,0))</f>
        <v/>
      </c>
      <c r="H446" s="11">
        <f>IF(BANK_RAW!A446="","",IF(E446&gt;0,"CR",IF(F446&gt;0,"DR","CR")))</f>
        <v/>
      </c>
      <c r="I446" s="12">
        <f>IF(BANK_RAW!A446="","",E446-F446)</f>
        <v/>
      </c>
      <c r="J446" s="12">
        <f>IF(BANK_RAW!A446="","",ABS(I446))</f>
        <v/>
      </c>
      <c r="K446" s="11">
        <f>IF(BANK_RAW!A446="","",IF(H446="CR","IN","OUT"))</f>
        <v/>
      </c>
      <c r="L446" s="11" t="inlineStr"/>
      <c r="M446" s="11" t="inlineStr"/>
    </row>
    <row r="447">
      <c r="A447" s="13">
        <f>IF(BANK_RAW!A447="","",ROW()-1)</f>
        <v/>
      </c>
      <c r="B447" s="10">
        <f>IF(BANK_RAW!A447="","",IF(ISNUMBER(BANK_RAW!A447),BANK_RAW!A447,DATEVALUE(TEXT(BANK_RAW!A447,"YYYY-MM-DD"))))</f>
        <v/>
      </c>
      <c r="C447" s="11">
        <f>IF(BANK_RAW!A447="","",TRIM(BANK_RAW!B447))</f>
        <v/>
      </c>
      <c r="D447" s="11">
        <f>IF(BANK_RAW!A447="","",TRIM(BANK_RAW!C447))</f>
        <v/>
      </c>
      <c r="E447" s="12">
        <f>IF(BANK_RAW!A447="","",IFERROR(ABS(BANK_RAW!D447),0))</f>
        <v/>
      </c>
      <c r="F447" s="12">
        <f>IF(BANK_RAW!A447="","",IFERROR(ABS(BANK_RAW!E447),0))</f>
        <v/>
      </c>
      <c r="G447" s="12">
        <f>IF(BANK_RAW!A447="","",IFERROR(BANK_RAW!F447,0))</f>
        <v/>
      </c>
      <c r="H447" s="11">
        <f>IF(BANK_RAW!A447="","",IF(E447&gt;0,"CR",IF(F447&gt;0,"DR","CR")))</f>
        <v/>
      </c>
      <c r="I447" s="12">
        <f>IF(BANK_RAW!A447="","",E447-F447)</f>
        <v/>
      </c>
      <c r="J447" s="12">
        <f>IF(BANK_RAW!A447="","",ABS(I447))</f>
        <v/>
      </c>
      <c r="K447" s="11">
        <f>IF(BANK_RAW!A447="","",IF(H447="CR","IN","OUT"))</f>
        <v/>
      </c>
      <c r="L447" s="11" t="inlineStr"/>
      <c r="M447" s="11" t="inlineStr"/>
    </row>
    <row r="448">
      <c r="A448" s="13">
        <f>IF(BANK_RAW!A448="","",ROW()-1)</f>
        <v/>
      </c>
      <c r="B448" s="10">
        <f>IF(BANK_RAW!A448="","",IF(ISNUMBER(BANK_RAW!A448),BANK_RAW!A448,DATEVALUE(TEXT(BANK_RAW!A448,"YYYY-MM-DD"))))</f>
        <v/>
      </c>
      <c r="C448" s="11">
        <f>IF(BANK_RAW!A448="","",TRIM(BANK_RAW!B448))</f>
        <v/>
      </c>
      <c r="D448" s="11">
        <f>IF(BANK_RAW!A448="","",TRIM(BANK_RAW!C448))</f>
        <v/>
      </c>
      <c r="E448" s="12">
        <f>IF(BANK_RAW!A448="","",IFERROR(ABS(BANK_RAW!D448),0))</f>
        <v/>
      </c>
      <c r="F448" s="12">
        <f>IF(BANK_RAW!A448="","",IFERROR(ABS(BANK_RAW!E448),0))</f>
        <v/>
      </c>
      <c r="G448" s="12">
        <f>IF(BANK_RAW!A448="","",IFERROR(BANK_RAW!F448,0))</f>
        <v/>
      </c>
      <c r="H448" s="11">
        <f>IF(BANK_RAW!A448="","",IF(E448&gt;0,"CR",IF(F448&gt;0,"DR","CR")))</f>
        <v/>
      </c>
      <c r="I448" s="12">
        <f>IF(BANK_RAW!A448="","",E448-F448)</f>
        <v/>
      </c>
      <c r="J448" s="12">
        <f>IF(BANK_RAW!A448="","",ABS(I448))</f>
        <v/>
      </c>
      <c r="K448" s="11">
        <f>IF(BANK_RAW!A448="","",IF(H448="CR","IN","OUT"))</f>
        <v/>
      </c>
      <c r="L448" s="11" t="inlineStr"/>
      <c r="M448" s="11" t="inlineStr"/>
    </row>
    <row r="449">
      <c r="A449" s="13">
        <f>IF(BANK_RAW!A449="","",ROW()-1)</f>
        <v/>
      </c>
      <c r="B449" s="10">
        <f>IF(BANK_RAW!A449="","",IF(ISNUMBER(BANK_RAW!A449),BANK_RAW!A449,DATEVALUE(TEXT(BANK_RAW!A449,"YYYY-MM-DD"))))</f>
        <v/>
      </c>
      <c r="C449" s="11">
        <f>IF(BANK_RAW!A449="","",TRIM(BANK_RAW!B449))</f>
        <v/>
      </c>
      <c r="D449" s="11">
        <f>IF(BANK_RAW!A449="","",TRIM(BANK_RAW!C449))</f>
        <v/>
      </c>
      <c r="E449" s="12">
        <f>IF(BANK_RAW!A449="","",IFERROR(ABS(BANK_RAW!D449),0))</f>
        <v/>
      </c>
      <c r="F449" s="12">
        <f>IF(BANK_RAW!A449="","",IFERROR(ABS(BANK_RAW!E449),0))</f>
        <v/>
      </c>
      <c r="G449" s="12">
        <f>IF(BANK_RAW!A449="","",IFERROR(BANK_RAW!F449,0))</f>
        <v/>
      </c>
      <c r="H449" s="11">
        <f>IF(BANK_RAW!A449="","",IF(E449&gt;0,"CR",IF(F449&gt;0,"DR","CR")))</f>
        <v/>
      </c>
      <c r="I449" s="12">
        <f>IF(BANK_RAW!A449="","",E449-F449)</f>
        <v/>
      </c>
      <c r="J449" s="12">
        <f>IF(BANK_RAW!A449="","",ABS(I449))</f>
        <v/>
      </c>
      <c r="K449" s="11">
        <f>IF(BANK_RAW!A449="","",IF(H449="CR","IN","OUT"))</f>
        <v/>
      </c>
      <c r="L449" s="11" t="inlineStr"/>
      <c r="M449" s="11" t="inlineStr"/>
    </row>
    <row r="450">
      <c r="A450" s="13">
        <f>IF(BANK_RAW!A450="","",ROW()-1)</f>
        <v/>
      </c>
      <c r="B450" s="10">
        <f>IF(BANK_RAW!A450="","",IF(ISNUMBER(BANK_RAW!A450),BANK_RAW!A450,DATEVALUE(TEXT(BANK_RAW!A450,"YYYY-MM-DD"))))</f>
        <v/>
      </c>
      <c r="C450" s="11">
        <f>IF(BANK_RAW!A450="","",TRIM(BANK_RAW!B450))</f>
        <v/>
      </c>
      <c r="D450" s="11">
        <f>IF(BANK_RAW!A450="","",TRIM(BANK_RAW!C450))</f>
        <v/>
      </c>
      <c r="E450" s="12">
        <f>IF(BANK_RAW!A450="","",IFERROR(ABS(BANK_RAW!D450),0))</f>
        <v/>
      </c>
      <c r="F450" s="12">
        <f>IF(BANK_RAW!A450="","",IFERROR(ABS(BANK_RAW!E450),0))</f>
        <v/>
      </c>
      <c r="G450" s="12">
        <f>IF(BANK_RAW!A450="","",IFERROR(BANK_RAW!F450,0))</f>
        <v/>
      </c>
      <c r="H450" s="11">
        <f>IF(BANK_RAW!A450="","",IF(E450&gt;0,"CR",IF(F450&gt;0,"DR","CR")))</f>
        <v/>
      </c>
      <c r="I450" s="12">
        <f>IF(BANK_RAW!A450="","",E450-F450)</f>
        <v/>
      </c>
      <c r="J450" s="12">
        <f>IF(BANK_RAW!A450="","",ABS(I450))</f>
        <v/>
      </c>
      <c r="K450" s="11">
        <f>IF(BANK_RAW!A450="","",IF(H450="CR","IN","OUT"))</f>
        <v/>
      </c>
      <c r="L450" s="11" t="inlineStr"/>
      <c r="M450" s="11" t="inlineStr"/>
    </row>
    <row r="451">
      <c r="A451" s="13">
        <f>IF(BANK_RAW!A451="","",ROW()-1)</f>
        <v/>
      </c>
      <c r="B451" s="10">
        <f>IF(BANK_RAW!A451="","",IF(ISNUMBER(BANK_RAW!A451),BANK_RAW!A451,DATEVALUE(TEXT(BANK_RAW!A451,"YYYY-MM-DD"))))</f>
        <v/>
      </c>
      <c r="C451" s="11">
        <f>IF(BANK_RAW!A451="","",TRIM(BANK_RAW!B451))</f>
        <v/>
      </c>
      <c r="D451" s="11">
        <f>IF(BANK_RAW!A451="","",TRIM(BANK_RAW!C451))</f>
        <v/>
      </c>
      <c r="E451" s="12">
        <f>IF(BANK_RAW!A451="","",IFERROR(ABS(BANK_RAW!D451),0))</f>
        <v/>
      </c>
      <c r="F451" s="12">
        <f>IF(BANK_RAW!A451="","",IFERROR(ABS(BANK_RAW!E451),0))</f>
        <v/>
      </c>
      <c r="G451" s="12">
        <f>IF(BANK_RAW!A451="","",IFERROR(BANK_RAW!F451,0))</f>
        <v/>
      </c>
      <c r="H451" s="11">
        <f>IF(BANK_RAW!A451="","",IF(E451&gt;0,"CR",IF(F451&gt;0,"DR","CR")))</f>
        <v/>
      </c>
      <c r="I451" s="12">
        <f>IF(BANK_RAW!A451="","",E451-F451)</f>
        <v/>
      </c>
      <c r="J451" s="12">
        <f>IF(BANK_RAW!A451="","",ABS(I451))</f>
        <v/>
      </c>
      <c r="K451" s="11">
        <f>IF(BANK_RAW!A451="","",IF(H451="CR","IN","OUT"))</f>
        <v/>
      </c>
      <c r="L451" s="11" t="inlineStr"/>
      <c r="M451" s="11" t="inlineStr"/>
    </row>
    <row r="452">
      <c r="A452" s="13">
        <f>IF(BANK_RAW!A452="","",ROW()-1)</f>
        <v/>
      </c>
      <c r="B452" s="10">
        <f>IF(BANK_RAW!A452="","",IF(ISNUMBER(BANK_RAW!A452),BANK_RAW!A452,DATEVALUE(TEXT(BANK_RAW!A452,"YYYY-MM-DD"))))</f>
        <v/>
      </c>
      <c r="C452" s="11">
        <f>IF(BANK_RAW!A452="","",TRIM(BANK_RAW!B452))</f>
        <v/>
      </c>
      <c r="D452" s="11">
        <f>IF(BANK_RAW!A452="","",TRIM(BANK_RAW!C452))</f>
        <v/>
      </c>
      <c r="E452" s="12">
        <f>IF(BANK_RAW!A452="","",IFERROR(ABS(BANK_RAW!D452),0))</f>
        <v/>
      </c>
      <c r="F452" s="12">
        <f>IF(BANK_RAW!A452="","",IFERROR(ABS(BANK_RAW!E452),0))</f>
        <v/>
      </c>
      <c r="G452" s="12">
        <f>IF(BANK_RAW!A452="","",IFERROR(BANK_RAW!F452,0))</f>
        <v/>
      </c>
      <c r="H452" s="11">
        <f>IF(BANK_RAW!A452="","",IF(E452&gt;0,"CR",IF(F452&gt;0,"DR","CR")))</f>
        <v/>
      </c>
      <c r="I452" s="12">
        <f>IF(BANK_RAW!A452="","",E452-F452)</f>
        <v/>
      </c>
      <c r="J452" s="12">
        <f>IF(BANK_RAW!A452="","",ABS(I452))</f>
        <v/>
      </c>
      <c r="K452" s="11">
        <f>IF(BANK_RAW!A452="","",IF(H452="CR","IN","OUT"))</f>
        <v/>
      </c>
      <c r="L452" s="11" t="inlineStr"/>
      <c r="M452" s="11" t="inlineStr"/>
    </row>
    <row r="453">
      <c r="A453" s="13">
        <f>IF(BANK_RAW!A453="","",ROW()-1)</f>
        <v/>
      </c>
      <c r="B453" s="10">
        <f>IF(BANK_RAW!A453="","",IF(ISNUMBER(BANK_RAW!A453),BANK_RAW!A453,DATEVALUE(TEXT(BANK_RAW!A453,"YYYY-MM-DD"))))</f>
        <v/>
      </c>
      <c r="C453" s="11">
        <f>IF(BANK_RAW!A453="","",TRIM(BANK_RAW!B453))</f>
        <v/>
      </c>
      <c r="D453" s="11">
        <f>IF(BANK_RAW!A453="","",TRIM(BANK_RAW!C453))</f>
        <v/>
      </c>
      <c r="E453" s="12">
        <f>IF(BANK_RAW!A453="","",IFERROR(ABS(BANK_RAW!D453),0))</f>
        <v/>
      </c>
      <c r="F453" s="12">
        <f>IF(BANK_RAW!A453="","",IFERROR(ABS(BANK_RAW!E453),0))</f>
        <v/>
      </c>
      <c r="G453" s="12">
        <f>IF(BANK_RAW!A453="","",IFERROR(BANK_RAW!F453,0))</f>
        <v/>
      </c>
      <c r="H453" s="11">
        <f>IF(BANK_RAW!A453="","",IF(E453&gt;0,"CR",IF(F453&gt;0,"DR","CR")))</f>
        <v/>
      </c>
      <c r="I453" s="12">
        <f>IF(BANK_RAW!A453="","",E453-F453)</f>
        <v/>
      </c>
      <c r="J453" s="12">
        <f>IF(BANK_RAW!A453="","",ABS(I453))</f>
        <v/>
      </c>
      <c r="K453" s="11">
        <f>IF(BANK_RAW!A453="","",IF(H453="CR","IN","OUT"))</f>
        <v/>
      </c>
      <c r="L453" s="11" t="inlineStr"/>
      <c r="M453" s="11" t="inlineStr"/>
    </row>
    <row r="454">
      <c r="A454" s="13">
        <f>IF(BANK_RAW!A454="","",ROW()-1)</f>
        <v/>
      </c>
      <c r="B454" s="10">
        <f>IF(BANK_RAW!A454="","",IF(ISNUMBER(BANK_RAW!A454),BANK_RAW!A454,DATEVALUE(TEXT(BANK_RAW!A454,"YYYY-MM-DD"))))</f>
        <v/>
      </c>
      <c r="C454" s="11">
        <f>IF(BANK_RAW!A454="","",TRIM(BANK_RAW!B454))</f>
        <v/>
      </c>
      <c r="D454" s="11">
        <f>IF(BANK_RAW!A454="","",TRIM(BANK_RAW!C454))</f>
        <v/>
      </c>
      <c r="E454" s="12">
        <f>IF(BANK_RAW!A454="","",IFERROR(ABS(BANK_RAW!D454),0))</f>
        <v/>
      </c>
      <c r="F454" s="12">
        <f>IF(BANK_RAW!A454="","",IFERROR(ABS(BANK_RAW!E454),0))</f>
        <v/>
      </c>
      <c r="G454" s="12">
        <f>IF(BANK_RAW!A454="","",IFERROR(BANK_RAW!F454,0))</f>
        <v/>
      </c>
      <c r="H454" s="11">
        <f>IF(BANK_RAW!A454="","",IF(E454&gt;0,"CR",IF(F454&gt;0,"DR","CR")))</f>
        <v/>
      </c>
      <c r="I454" s="12">
        <f>IF(BANK_RAW!A454="","",E454-F454)</f>
        <v/>
      </c>
      <c r="J454" s="12">
        <f>IF(BANK_RAW!A454="","",ABS(I454))</f>
        <v/>
      </c>
      <c r="K454" s="11">
        <f>IF(BANK_RAW!A454="","",IF(H454="CR","IN","OUT"))</f>
        <v/>
      </c>
      <c r="L454" s="11" t="inlineStr"/>
      <c r="M454" s="11" t="inlineStr"/>
    </row>
    <row r="455">
      <c r="A455" s="13">
        <f>IF(BANK_RAW!A455="","",ROW()-1)</f>
        <v/>
      </c>
      <c r="B455" s="10">
        <f>IF(BANK_RAW!A455="","",IF(ISNUMBER(BANK_RAW!A455),BANK_RAW!A455,DATEVALUE(TEXT(BANK_RAW!A455,"YYYY-MM-DD"))))</f>
        <v/>
      </c>
      <c r="C455" s="11">
        <f>IF(BANK_RAW!A455="","",TRIM(BANK_RAW!B455))</f>
        <v/>
      </c>
      <c r="D455" s="11">
        <f>IF(BANK_RAW!A455="","",TRIM(BANK_RAW!C455))</f>
        <v/>
      </c>
      <c r="E455" s="12">
        <f>IF(BANK_RAW!A455="","",IFERROR(ABS(BANK_RAW!D455),0))</f>
        <v/>
      </c>
      <c r="F455" s="12">
        <f>IF(BANK_RAW!A455="","",IFERROR(ABS(BANK_RAW!E455),0))</f>
        <v/>
      </c>
      <c r="G455" s="12">
        <f>IF(BANK_RAW!A455="","",IFERROR(BANK_RAW!F455,0))</f>
        <v/>
      </c>
      <c r="H455" s="11">
        <f>IF(BANK_RAW!A455="","",IF(E455&gt;0,"CR",IF(F455&gt;0,"DR","CR")))</f>
        <v/>
      </c>
      <c r="I455" s="12">
        <f>IF(BANK_RAW!A455="","",E455-F455)</f>
        <v/>
      </c>
      <c r="J455" s="12">
        <f>IF(BANK_RAW!A455="","",ABS(I455))</f>
        <v/>
      </c>
      <c r="K455" s="11">
        <f>IF(BANK_RAW!A455="","",IF(H455="CR","IN","OUT"))</f>
        <v/>
      </c>
      <c r="L455" s="11" t="inlineStr"/>
      <c r="M455" s="11" t="inlineStr"/>
    </row>
    <row r="456">
      <c r="A456" s="13">
        <f>IF(BANK_RAW!A456="","",ROW()-1)</f>
        <v/>
      </c>
      <c r="B456" s="10">
        <f>IF(BANK_RAW!A456="","",IF(ISNUMBER(BANK_RAW!A456),BANK_RAW!A456,DATEVALUE(TEXT(BANK_RAW!A456,"YYYY-MM-DD"))))</f>
        <v/>
      </c>
      <c r="C456" s="11">
        <f>IF(BANK_RAW!A456="","",TRIM(BANK_RAW!B456))</f>
        <v/>
      </c>
      <c r="D456" s="11">
        <f>IF(BANK_RAW!A456="","",TRIM(BANK_RAW!C456))</f>
        <v/>
      </c>
      <c r="E456" s="12">
        <f>IF(BANK_RAW!A456="","",IFERROR(ABS(BANK_RAW!D456),0))</f>
        <v/>
      </c>
      <c r="F456" s="12">
        <f>IF(BANK_RAW!A456="","",IFERROR(ABS(BANK_RAW!E456),0))</f>
        <v/>
      </c>
      <c r="G456" s="12">
        <f>IF(BANK_RAW!A456="","",IFERROR(BANK_RAW!F456,0))</f>
        <v/>
      </c>
      <c r="H456" s="11">
        <f>IF(BANK_RAW!A456="","",IF(E456&gt;0,"CR",IF(F456&gt;0,"DR","CR")))</f>
        <v/>
      </c>
      <c r="I456" s="12">
        <f>IF(BANK_RAW!A456="","",E456-F456)</f>
        <v/>
      </c>
      <c r="J456" s="12">
        <f>IF(BANK_RAW!A456="","",ABS(I456))</f>
        <v/>
      </c>
      <c r="K456" s="11">
        <f>IF(BANK_RAW!A456="","",IF(H456="CR","IN","OUT"))</f>
        <v/>
      </c>
      <c r="L456" s="11" t="inlineStr"/>
      <c r="M456" s="11" t="inlineStr"/>
    </row>
    <row r="457">
      <c r="A457" s="13">
        <f>IF(BANK_RAW!A457="","",ROW()-1)</f>
        <v/>
      </c>
      <c r="B457" s="10">
        <f>IF(BANK_RAW!A457="","",IF(ISNUMBER(BANK_RAW!A457),BANK_RAW!A457,DATEVALUE(TEXT(BANK_RAW!A457,"YYYY-MM-DD"))))</f>
        <v/>
      </c>
      <c r="C457" s="11">
        <f>IF(BANK_RAW!A457="","",TRIM(BANK_RAW!B457))</f>
        <v/>
      </c>
      <c r="D457" s="11">
        <f>IF(BANK_RAW!A457="","",TRIM(BANK_RAW!C457))</f>
        <v/>
      </c>
      <c r="E457" s="12">
        <f>IF(BANK_RAW!A457="","",IFERROR(ABS(BANK_RAW!D457),0))</f>
        <v/>
      </c>
      <c r="F457" s="12">
        <f>IF(BANK_RAW!A457="","",IFERROR(ABS(BANK_RAW!E457),0))</f>
        <v/>
      </c>
      <c r="G457" s="12">
        <f>IF(BANK_RAW!A457="","",IFERROR(BANK_RAW!F457,0))</f>
        <v/>
      </c>
      <c r="H457" s="11">
        <f>IF(BANK_RAW!A457="","",IF(E457&gt;0,"CR",IF(F457&gt;0,"DR","CR")))</f>
        <v/>
      </c>
      <c r="I457" s="12">
        <f>IF(BANK_RAW!A457="","",E457-F457)</f>
        <v/>
      </c>
      <c r="J457" s="12">
        <f>IF(BANK_RAW!A457="","",ABS(I457))</f>
        <v/>
      </c>
      <c r="K457" s="11">
        <f>IF(BANK_RAW!A457="","",IF(H457="CR","IN","OUT"))</f>
        <v/>
      </c>
      <c r="L457" s="11" t="inlineStr"/>
      <c r="M457" s="11" t="inlineStr"/>
    </row>
    <row r="458">
      <c r="A458" s="13">
        <f>IF(BANK_RAW!A458="","",ROW()-1)</f>
        <v/>
      </c>
      <c r="B458" s="10">
        <f>IF(BANK_RAW!A458="","",IF(ISNUMBER(BANK_RAW!A458),BANK_RAW!A458,DATEVALUE(TEXT(BANK_RAW!A458,"YYYY-MM-DD"))))</f>
        <v/>
      </c>
      <c r="C458" s="11">
        <f>IF(BANK_RAW!A458="","",TRIM(BANK_RAW!B458))</f>
        <v/>
      </c>
      <c r="D458" s="11">
        <f>IF(BANK_RAW!A458="","",TRIM(BANK_RAW!C458))</f>
        <v/>
      </c>
      <c r="E458" s="12">
        <f>IF(BANK_RAW!A458="","",IFERROR(ABS(BANK_RAW!D458),0))</f>
        <v/>
      </c>
      <c r="F458" s="12">
        <f>IF(BANK_RAW!A458="","",IFERROR(ABS(BANK_RAW!E458),0))</f>
        <v/>
      </c>
      <c r="G458" s="12">
        <f>IF(BANK_RAW!A458="","",IFERROR(BANK_RAW!F458,0))</f>
        <v/>
      </c>
      <c r="H458" s="11">
        <f>IF(BANK_RAW!A458="","",IF(E458&gt;0,"CR",IF(F458&gt;0,"DR","CR")))</f>
        <v/>
      </c>
      <c r="I458" s="12">
        <f>IF(BANK_RAW!A458="","",E458-F458)</f>
        <v/>
      </c>
      <c r="J458" s="12">
        <f>IF(BANK_RAW!A458="","",ABS(I458))</f>
        <v/>
      </c>
      <c r="K458" s="11">
        <f>IF(BANK_RAW!A458="","",IF(H458="CR","IN","OUT"))</f>
        <v/>
      </c>
      <c r="L458" s="11" t="inlineStr"/>
      <c r="M458" s="11" t="inlineStr"/>
    </row>
    <row r="459">
      <c r="A459" s="13">
        <f>IF(BANK_RAW!A459="","",ROW()-1)</f>
        <v/>
      </c>
      <c r="B459" s="10">
        <f>IF(BANK_RAW!A459="","",IF(ISNUMBER(BANK_RAW!A459),BANK_RAW!A459,DATEVALUE(TEXT(BANK_RAW!A459,"YYYY-MM-DD"))))</f>
        <v/>
      </c>
      <c r="C459" s="11">
        <f>IF(BANK_RAW!A459="","",TRIM(BANK_RAW!B459))</f>
        <v/>
      </c>
      <c r="D459" s="11">
        <f>IF(BANK_RAW!A459="","",TRIM(BANK_RAW!C459))</f>
        <v/>
      </c>
      <c r="E459" s="12">
        <f>IF(BANK_RAW!A459="","",IFERROR(ABS(BANK_RAW!D459),0))</f>
        <v/>
      </c>
      <c r="F459" s="12">
        <f>IF(BANK_RAW!A459="","",IFERROR(ABS(BANK_RAW!E459),0))</f>
        <v/>
      </c>
      <c r="G459" s="12">
        <f>IF(BANK_RAW!A459="","",IFERROR(BANK_RAW!F459,0))</f>
        <v/>
      </c>
      <c r="H459" s="11">
        <f>IF(BANK_RAW!A459="","",IF(E459&gt;0,"CR",IF(F459&gt;0,"DR","CR")))</f>
        <v/>
      </c>
      <c r="I459" s="12">
        <f>IF(BANK_RAW!A459="","",E459-F459)</f>
        <v/>
      </c>
      <c r="J459" s="12">
        <f>IF(BANK_RAW!A459="","",ABS(I459))</f>
        <v/>
      </c>
      <c r="K459" s="11">
        <f>IF(BANK_RAW!A459="","",IF(H459="CR","IN","OUT"))</f>
        <v/>
      </c>
      <c r="L459" s="11" t="inlineStr"/>
      <c r="M459" s="11" t="inlineStr"/>
    </row>
    <row r="460">
      <c r="A460" s="13">
        <f>IF(BANK_RAW!A460="","",ROW()-1)</f>
        <v/>
      </c>
      <c r="B460" s="10">
        <f>IF(BANK_RAW!A460="","",IF(ISNUMBER(BANK_RAW!A460),BANK_RAW!A460,DATEVALUE(TEXT(BANK_RAW!A460,"YYYY-MM-DD"))))</f>
        <v/>
      </c>
      <c r="C460" s="11">
        <f>IF(BANK_RAW!A460="","",TRIM(BANK_RAW!B460))</f>
        <v/>
      </c>
      <c r="D460" s="11">
        <f>IF(BANK_RAW!A460="","",TRIM(BANK_RAW!C460))</f>
        <v/>
      </c>
      <c r="E460" s="12">
        <f>IF(BANK_RAW!A460="","",IFERROR(ABS(BANK_RAW!D460),0))</f>
        <v/>
      </c>
      <c r="F460" s="12">
        <f>IF(BANK_RAW!A460="","",IFERROR(ABS(BANK_RAW!E460),0))</f>
        <v/>
      </c>
      <c r="G460" s="12">
        <f>IF(BANK_RAW!A460="","",IFERROR(BANK_RAW!F460,0))</f>
        <v/>
      </c>
      <c r="H460" s="11">
        <f>IF(BANK_RAW!A460="","",IF(E460&gt;0,"CR",IF(F460&gt;0,"DR","CR")))</f>
        <v/>
      </c>
      <c r="I460" s="12">
        <f>IF(BANK_RAW!A460="","",E460-F460)</f>
        <v/>
      </c>
      <c r="J460" s="12">
        <f>IF(BANK_RAW!A460="","",ABS(I460))</f>
        <v/>
      </c>
      <c r="K460" s="11">
        <f>IF(BANK_RAW!A460="","",IF(H460="CR","IN","OUT"))</f>
        <v/>
      </c>
      <c r="L460" s="11" t="inlineStr"/>
      <c r="M460" s="11" t="inlineStr"/>
    </row>
    <row r="461">
      <c r="A461" s="13">
        <f>IF(BANK_RAW!A461="","",ROW()-1)</f>
        <v/>
      </c>
      <c r="B461" s="10">
        <f>IF(BANK_RAW!A461="","",IF(ISNUMBER(BANK_RAW!A461),BANK_RAW!A461,DATEVALUE(TEXT(BANK_RAW!A461,"YYYY-MM-DD"))))</f>
        <v/>
      </c>
      <c r="C461" s="11">
        <f>IF(BANK_RAW!A461="","",TRIM(BANK_RAW!B461))</f>
        <v/>
      </c>
      <c r="D461" s="11">
        <f>IF(BANK_RAW!A461="","",TRIM(BANK_RAW!C461))</f>
        <v/>
      </c>
      <c r="E461" s="12">
        <f>IF(BANK_RAW!A461="","",IFERROR(ABS(BANK_RAW!D461),0))</f>
        <v/>
      </c>
      <c r="F461" s="12">
        <f>IF(BANK_RAW!A461="","",IFERROR(ABS(BANK_RAW!E461),0))</f>
        <v/>
      </c>
      <c r="G461" s="12">
        <f>IF(BANK_RAW!A461="","",IFERROR(BANK_RAW!F461,0))</f>
        <v/>
      </c>
      <c r="H461" s="11">
        <f>IF(BANK_RAW!A461="","",IF(E461&gt;0,"CR",IF(F461&gt;0,"DR","CR")))</f>
        <v/>
      </c>
      <c r="I461" s="12">
        <f>IF(BANK_RAW!A461="","",E461-F461)</f>
        <v/>
      </c>
      <c r="J461" s="12">
        <f>IF(BANK_RAW!A461="","",ABS(I461))</f>
        <v/>
      </c>
      <c r="K461" s="11">
        <f>IF(BANK_RAW!A461="","",IF(H461="CR","IN","OUT"))</f>
        <v/>
      </c>
      <c r="L461" s="11" t="inlineStr"/>
      <c r="M461" s="11" t="inlineStr"/>
    </row>
    <row r="462">
      <c r="A462" s="13">
        <f>IF(BANK_RAW!A462="","",ROW()-1)</f>
        <v/>
      </c>
      <c r="B462" s="10">
        <f>IF(BANK_RAW!A462="","",IF(ISNUMBER(BANK_RAW!A462),BANK_RAW!A462,DATEVALUE(TEXT(BANK_RAW!A462,"YYYY-MM-DD"))))</f>
        <v/>
      </c>
      <c r="C462" s="11">
        <f>IF(BANK_RAW!A462="","",TRIM(BANK_RAW!B462))</f>
        <v/>
      </c>
      <c r="D462" s="11">
        <f>IF(BANK_RAW!A462="","",TRIM(BANK_RAW!C462))</f>
        <v/>
      </c>
      <c r="E462" s="12">
        <f>IF(BANK_RAW!A462="","",IFERROR(ABS(BANK_RAW!D462),0))</f>
        <v/>
      </c>
      <c r="F462" s="12">
        <f>IF(BANK_RAW!A462="","",IFERROR(ABS(BANK_RAW!E462),0))</f>
        <v/>
      </c>
      <c r="G462" s="12">
        <f>IF(BANK_RAW!A462="","",IFERROR(BANK_RAW!F462,0))</f>
        <v/>
      </c>
      <c r="H462" s="11">
        <f>IF(BANK_RAW!A462="","",IF(E462&gt;0,"CR",IF(F462&gt;0,"DR","CR")))</f>
        <v/>
      </c>
      <c r="I462" s="12">
        <f>IF(BANK_RAW!A462="","",E462-F462)</f>
        <v/>
      </c>
      <c r="J462" s="12">
        <f>IF(BANK_RAW!A462="","",ABS(I462))</f>
        <v/>
      </c>
      <c r="K462" s="11">
        <f>IF(BANK_RAW!A462="","",IF(H462="CR","IN","OUT"))</f>
        <v/>
      </c>
      <c r="L462" s="11" t="inlineStr"/>
      <c r="M462" s="11" t="inlineStr"/>
    </row>
    <row r="463">
      <c r="A463" s="13">
        <f>IF(BANK_RAW!A463="","",ROW()-1)</f>
        <v/>
      </c>
      <c r="B463" s="10">
        <f>IF(BANK_RAW!A463="","",IF(ISNUMBER(BANK_RAW!A463),BANK_RAW!A463,DATEVALUE(TEXT(BANK_RAW!A463,"YYYY-MM-DD"))))</f>
        <v/>
      </c>
      <c r="C463" s="11">
        <f>IF(BANK_RAW!A463="","",TRIM(BANK_RAW!B463))</f>
        <v/>
      </c>
      <c r="D463" s="11">
        <f>IF(BANK_RAW!A463="","",TRIM(BANK_RAW!C463))</f>
        <v/>
      </c>
      <c r="E463" s="12">
        <f>IF(BANK_RAW!A463="","",IFERROR(ABS(BANK_RAW!D463),0))</f>
        <v/>
      </c>
      <c r="F463" s="12">
        <f>IF(BANK_RAW!A463="","",IFERROR(ABS(BANK_RAW!E463),0))</f>
        <v/>
      </c>
      <c r="G463" s="12">
        <f>IF(BANK_RAW!A463="","",IFERROR(BANK_RAW!F463,0))</f>
        <v/>
      </c>
      <c r="H463" s="11">
        <f>IF(BANK_RAW!A463="","",IF(E463&gt;0,"CR",IF(F463&gt;0,"DR","CR")))</f>
        <v/>
      </c>
      <c r="I463" s="12">
        <f>IF(BANK_RAW!A463="","",E463-F463)</f>
        <v/>
      </c>
      <c r="J463" s="12">
        <f>IF(BANK_RAW!A463="","",ABS(I463))</f>
        <v/>
      </c>
      <c r="K463" s="11">
        <f>IF(BANK_RAW!A463="","",IF(H463="CR","IN","OUT"))</f>
        <v/>
      </c>
      <c r="L463" s="11" t="inlineStr"/>
      <c r="M463" s="11" t="inlineStr"/>
    </row>
    <row r="464">
      <c r="A464" s="13">
        <f>IF(BANK_RAW!A464="","",ROW()-1)</f>
        <v/>
      </c>
      <c r="B464" s="10">
        <f>IF(BANK_RAW!A464="","",IF(ISNUMBER(BANK_RAW!A464),BANK_RAW!A464,DATEVALUE(TEXT(BANK_RAW!A464,"YYYY-MM-DD"))))</f>
        <v/>
      </c>
      <c r="C464" s="11">
        <f>IF(BANK_RAW!A464="","",TRIM(BANK_RAW!B464))</f>
        <v/>
      </c>
      <c r="D464" s="11">
        <f>IF(BANK_RAW!A464="","",TRIM(BANK_RAW!C464))</f>
        <v/>
      </c>
      <c r="E464" s="12">
        <f>IF(BANK_RAW!A464="","",IFERROR(ABS(BANK_RAW!D464),0))</f>
        <v/>
      </c>
      <c r="F464" s="12">
        <f>IF(BANK_RAW!A464="","",IFERROR(ABS(BANK_RAW!E464),0))</f>
        <v/>
      </c>
      <c r="G464" s="12">
        <f>IF(BANK_RAW!A464="","",IFERROR(BANK_RAW!F464,0))</f>
        <v/>
      </c>
      <c r="H464" s="11">
        <f>IF(BANK_RAW!A464="","",IF(E464&gt;0,"CR",IF(F464&gt;0,"DR","CR")))</f>
        <v/>
      </c>
      <c r="I464" s="12">
        <f>IF(BANK_RAW!A464="","",E464-F464)</f>
        <v/>
      </c>
      <c r="J464" s="12">
        <f>IF(BANK_RAW!A464="","",ABS(I464))</f>
        <v/>
      </c>
      <c r="K464" s="11">
        <f>IF(BANK_RAW!A464="","",IF(H464="CR","IN","OUT"))</f>
        <v/>
      </c>
      <c r="L464" s="11" t="inlineStr"/>
      <c r="M464" s="11" t="inlineStr"/>
    </row>
    <row r="465">
      <c r="A465" s="13">
        <f>IF(BANK_RAW!A465="","",ROW()-1)</f>
        <v/>
      </c>
      <c r="B465" s="10">
        <f>IF(BANK_RAW!A465="","",IF(ISNUMBER(BANK_RAW!A465),BANK_RAW!A465,DATEVALUE(TEXT(BANK_RAW!A465,"YYYY-MM-DD"))))</f>
        <v/>
      </c>
      <c r="C465" s="11">
        <f>IF(BANK_RAW!A465="","",TRIM(BANK_RAW!B465))</f>
        <v/>
      </c>
      <c r="D465" s="11">
        <f>IF(BANK_RAW!A465="","",TRIM(BANK_RAW!C465))</f>
        <v/>
      </c>
      <c r="E465" s="12">
        <f>IF(BANK_RAW!A465="","",IFERROR(ABS(BANK_RAW!D465),0))</f>
        <v/>
      </c>
      <c r="F465" s="12">
        <f>IF(BANK_RAW!A465="","",IFERROR(ABS(BANK_RAW!E465),0))</f>
        <v/>
      </c>
      <c r="G465" s="12">
        <f>IF(BANK_RAW!A465="","",IFERROR(BANK_RAW!F465,0))</f>
        <v/>
      </c>
      <c r="H465" s="11">
        <f>IF(BANK_RAW!A465="","",IF(E465&gt;0,"CR",IF(F465&gt;0,"DR","CR")))</f>
        <v/>
      </c>
      <c r="I465" s="12">
        <f>IF(BANK_RAW!A465="","",E465-F465)</f>
        <v/>
      </c>
      <c r="J465" s="12">
        <f>IF(BANK_RAW!A465="","",ABS(I465))</f>
        <v/>
      </c>
      <c r="K465" s="11">
        <f>IF(BANK_RAW!A465="","",IF(H465="CR","IN","OUT"))</f>
        <v/>
      </c>
      <c r="L465" s="11" t="inlineStr"/>
      <c r="M465" s="11" t="inlineStr"/>
    </row>
    <row r="466">
      <c r="A466" s="13">
        <f>IF(BANK_RAW!A466="","",ROW()-1)</f>
        <v/>
      </c>
      <c r="B466" s="10">
        <f>IF(BANK_RAW!A466="","",IF(ISNUMBER(BANK_RAW!A466),BANK_RAW!A466,DATEVALUE(TEXT(BANK_RAW!A466,"YYYY-MM-DD"))))</f>
        <v/>
      </c>
      <c r="C466" s="11">
        <f>IF(BANK_RAW!A466="","",TRIM(BANK_RAW!B466))</f>
        <v/>
      </c>
      <c r="D466" s="11">
        <f>IF(BANK_RAW!A466="","",TRIM(BANK_RAW!C466))</f>
        <v/>
      </c>
      <c r="E466" s="12">
        <f>IF(BANK_RAW!A466="","",IFERROR(ABS(BANK_RAW!D466),0))</f>
        <v/>
      </c>
      <c r="F466" s="12">
        <f>IF(BANK_RAW!A466="","",IFERROR(ABS(BANK_RAW!E466),0))</f>
        <v/>
      </c>
      <c r="G466" s="12">
        <f>IF(BANK_RAW!A466="","",IFERROR(BANK_RAW!F466,0))</f>
        <v/>
      </c>
      <c r="H466" s="11">
        <f>IF(BANK_RAW!A466="","",IF(E466&gt;0,"CR",IF(F466&gt;0,"DR","CR")))</f>
        <v/>
      </c>
      <c r="I466" s="12">
        <f>IF(BANK_RAW!A466="","",E466-F466)</f>
        <v/>
      </c>
      <c r="J466" s="12">
        <f>IF(BANK_RAW!A466="","",ABS(I466))</f>
        <v/>
      </c>
      <c r="K466" s="11">
        <f>IF(BANK_RAW!A466="","",IF(H466="CR","IN","OUT"))</f>
        <v/>
      </c>
      <c r="L466" s="11" t="inlineStr"/>
      <c r="M466" s="11" t="inlineStr"/>
    </row>
    <row r="467">
      <c r="A467" s="13">
        <f>IF(BANK_RAW!A467="","",ROW()-1)</f>
        <v/>
      </c>
      <c r="B467" s="10">
        <f>IF(BANK_RAW!A467="","",IF(ISNUMBER(BANK_RAW!A467),BANK_RAW!A467,DATEVALUE(TEXT(BANK_RAW!A467,"YYYY-MM-DD"))))</f>
        <v/>
      </c>
      <c r="C467" s="11">
        <f>IF(BANK_RAW!A467="","",TRIM(BANK_RAW!B467))</f>
        <v/>
      </c>
      <c r="D467" s="11">
        <f>IF(BANK_RAW!A467="","",TRIM(BANK_RAW!C467))</f>
        <v/>
      </c>
      <c r="E467" s="12">
        <f>IF(BANK_RAW!A467="","",IFERROR(ABS(BANK_RAW!D467),0))</f>
        <v/>
      </c>
      <c r="F467" s="12">
        <f>IF(BANK_RAW!A467="","",IFERROR(ABS(BANK_RAW!E467),0))</f>
        <v/>
      </c>
      <c r="G467" s="12">
        <f>IF(BANK_RAW!A467="","",IFERROR(BANK_RAW!F467,0))</f>
        <v/>
      </c>
      <c r="H467" s="11">
        <f>IF(BANK_RAW!A467="","",IF(E467&gt;0,"CR",IF(F467&gt;0,"DR","CR")))</f>
        <v/>
      </c>
      <c r="I467" s="12">
        <f>IF(BANK_RAW!A467="","",E467-F467)</f>
        <v/>
      </c>
      <c r="J467" s="12">
        <f>IF(BANK_RAW!A467="","",ABS(I467))</f>
        <v/>
      </c>
      <c r="K467" s="11">
        <f>IF(BANK_RAW!A467="","",IF(H467="CR","IN","OUT"))</f>
        <v/>
      </c>
      <c r="L467" s="11" t="inlineStr"/>
      <c r="M467" s="11" t="inlineStr"/>
    </row>
    <row r="468">
      <c r="A468" s="13">
        <f>IF(BANK_RAW!A468="","",ROW()-1)</f>
        <v/>
      </c>
      <c r="B468" s="10">
        <f>IF(BANK_RAW!A468="","",IF(ISNUMBER(BANK_RAW!A468),BANK_RAW!A468,DATEVALUE(TEXT(BANK_RAW!A468,"YYYY-MM-DD"))))</f>
        <v/>
      </c>
      <c r="C468" s="11">
        <f>IF(BANK_RAW!A468="","",TRIM(BANK_RAW!B468))</f>
        <v/>
      </c>
      <c r="D468" s="11">
        <f>IF(BANK_RAW!A468="","",TRIM(BANK_RAW!C468))</f>
        <v/>
      </c>
      <c r="E468" s="12">
        <f>IF(BANK_RAW!A468="","",IFERROR(ABS(BANK_RAW!D468),0))</f>
        <v/>
      </c>
      <c r="F468" s="12">
        <f>IF(BANK_RAW!A468="","",IFERROR(ABS(BANK_RAW!E468),0))</f>
        <v/>
      </c>
      <c r="G468" s="12">
        <f>IF(BANK_RAW!A468="","",IFERROR(BANK_RAW!F468,0))</f>
        <v/>
      </c>
      <c r="H468" s="11">
        <f>IF(BANK_RAW!A468="","",IF(E468&gt;0,"CR",IF(F468&gt;0,"DR","CR")))</f>
        <v/>
      </c>
      <c r="I468" s="12">
        <f>IF(BANK_RAW!A468="","",E468-F468)</f>
        <v/>
      </c>
      <c r="J468" s="12">
        <f>IF(BANK_RAW!A468="","",ABS(I468))</f>
        <v/>
      </c>
      <c r="K468" s="11">
        <f>IF(BANK_RAW!A468="","",IF(H468="CR","IN","OUT"))</f>
        <v/>
      </c>
      <c r="L468" s="11" t="inlineStr"/>
      <c r="M468" s="11" t="inlineStr"/>
    </row>
    <row r="469">
      <c r="A469" s="13">
        <f>IF(BANK_RAW!A469="","",ROW()-1)</f>
        <v/>
      </c>
      <c r="B469" s="10">
        <f>IF(BANK_RAW!A469="","",IF(ISNUMBER(BANK_RAW!A469),BANK_RAW!A469,DATEVALUE(TEXT(BANK_RAW!A469,"YYYY-MM-DD"))))</f>
        <v/>
      </c>
      <c r="C469" s="11">
        <f>IF(BANK_RAW!A469="","",TRIM(BANK_RAW!B469))</f>
        <v/>
      </c>
      <c r="D469" s="11">
        <f>IF(BANK_RAW!A469="","",TRIM(BANK_RAW!C469))</f>
        <v/>
      </c>
      <c r="E469" s="12">
        <f>IF(BANK_RAW!A469="","",IFERROR(ABS(BANK_RAW!D469),0))</f>
        <v/>
      </c>
      <c r="F469" s="12">
        <f>IF(BANK_RAW!A469="","",IFERROR(ABS(BANK_RAW!E469),0))</f>
        <v/>
      </c>
      <c r="G469" s="12">
        <f>IF(BANK_RAW!A469="","",IFERROR(BANK_RAW!F469,0))</f>
        <v/>
      </c>
      <c r="H469" s="11">
        <f>IF(BANK_RAW!A469="","",IF(E469&gt;0,"CR",IF(F469&gt;0,"DR","CR")))</f>
        <v/>
      </c>
      <c r="I469" s="12">
        <f>IF(BANK_RAW!A469="","",E469-F469)</f>
        <v/>
      </c>
      <c r="J469" s="12">
        <f>IF(BANK_RAW!A469="","",ABS(I469))</f>
        <v/>
      </c>
      <c r="K469" s="11">
        <f>IF(BANK_RAW!A469="","",IF(H469="CR","IN","OUT"))</f>
        <v/>
      </c>
      <c r="L469" s="11" t="inlineStr"/>
      <c r="M469" s="11" t="inlineStr"/>
    </row>
    <row r="470">
      <c r="A470" s="13">
        <f>IF(BANK_RAW!A470="","",ROW()-1)</f>
        <v/>
      </c>
      <c r="B470" s="10">
        <f>IF(BANK_RAW!A470="","",IF(ISNUMBER(BANK_RAW!A470),BANK_RAW!A470,DATEVALUE(TEXT(BANK_RAW!A470,"YYYY-MM-DD"))))</f>
        <v/>
      </c>
      <c r="C470" s="11">
        <f>IF(BANK_RAW!A470="","",TRIM(BANK_RAW!B470))</f>
        <v/>
      </c>
      <c r="D470" s="11">
        <f>IF(BANK_RAW!A470="","",TRIM(BANK_RAW!C470))</f>
        <v/>
      </c>
      <c r="E470" s="12">
        <f>IF(BANK_RAW!A470="","",IFERROR(ABS(BANK_RAW!D470),0))</f>
        <v/>
      </c>
      <c r="F470" s="12">
        <f>IF(BANK_RAW!A470="","",IFERROR(ABS(BANK_RAW!E470),0))</f>
        <v/>
      </c>
      <c r="G470" s="12">
        <f>IF(BANK_RAW!A470="","",IFERROR(BANK_RAW!F470,0))</f>
        <v/>
      </c>
      <c r="H470" s="11">
        <f>IF(BANK_RAW!A470="","",IF(E470&gt;0,"CR",IF(F470&gt;0,"DR","CR")))</f>
        <v/>
      </c>
      <c r="I470" s="12">
        <f>IF(BANK_RAW!A470="","",E470-F470)</f>
        <v/>
      </c>
      <c r="J470" s="12">
        <f>IF(BANK_RAW!A470="","",ABS(I470))</f>
        <v/>
      </c>
      <c r="K470" s="11">
        <f>IF(BANK_RAW!A470="","",IF(H470="CR","IN","OUT"))</f>
        <v/>
      </c>
      <c r="L470" s="11" t="inlineStr"/>
      <c r="M470" s="11" t="inlineStr"/>
    </row>
    <row r="471">
      <c r="A471" s="13">
        <f>IF(BANK_RAW!A471="","",ROW()-1)</f>
        <v/>
      </c>
      <c r="B471" s="10">
        <f>IF(BANK_RAW!A471="","",IF(ISNUMBER(BANK_RAW!A471),BANK_RAW!A471,DATEVALUE(TEXT(BANK_RAW!A471,"YYYY-MM-DD"))))</f>
        <v/>
      </c>
      <c r="C471" s="11">
        <f>IF(BANK_RAW!A471="","",TRIM(BANK_RAW!B471))</f>
        <v/>
      </c>
      <c r="D471" s="11">
        <f>IF(BANK_RAW!A471="","",TRIM(BANK_RAW!C471))</f>
        <v/>
      </c>
      <c r="E471" s="12">
        <f>IF(BANK_RAW!A471="","",IFERROR(ABS(BANK_RAW!D471),0))</f>
        <v/>
      </c>
      <c r="F471" s="12">
        <f>IF(BANK_RAW!A471="","",IFERROR(ABS(BANK_RAW!E471),0))</f>
        <v/>
      </c>
      <c r="G471" s="12">
        <f>IF(BANK_RAW!A471="","",IFERROR(BANK_RAW!F471,0))</f>
        <v/>
      </c>
      <c r="H471" s="11">
        <f>IF(BANK_RAW!A471="","",IF(E471&gt;0,"CR",IF(F471&gt;0,"DR","CR")))</f>
        <v/>
      </c>
      <c r="I471" s="12">
        <f>IF(BANK_RAW!A471="","",E471-F471)</f>
        <v/>
      </c>
      <c r="J471" s="12">
        <f>IF(BANK_RAW!A471="","",ABS(I471))</f>
        <v/>
      </c>
      <c r="K471" s="11">
        <f>IF(BANK_RAW!A471="","",IF(H471="CR","IN","OUT"))</f>
        <v/>
      </c>
      <c r="L471" s="11" t="inlineStr"/>
      <c r="M471" s="11" t="inlineStr"/>
    </row>
    <row r="472">
      <c r="A472" s="13">
        <f>IF(BANK_RAW!A472="","",ROW()-1)</f>
        <v/>
      </c>
      <c r="B472" s="10">
        <f>IF(BANK_RAW!A472="","",IF(ISNUMBER(BANK_RAW!A472),BANK_RAW!A472,DATEVALUE(TEXT(BANK_RAW!A472,"YYYY-MM-DD"))))</f>
        <v/>
      </c>
      <c r="C472" s="11">
        <f>IF(BANK_RAW!A472="","",TRIM(BANK_RAW!B472))</f>
        <v/>
      </c>
      <c r="D472" s="11">
        <f>IF(BANK_RAW!A472="","",TRIM(BANK_RAW!C472))</f>
        <v/>
      </c>
      <c r="E472" s="12">
        <f>IF(BANK_RAW!A472="","",IFERROR(ABS(BANK_RAW!D472),0))</f>
        <v/>
      </c>
      <c r="F472" s="12">
        <f>IF(BANK_RAW!A472="","",IFERROR(ABS(BANK_RAW!E472),0))</f>
        <v/>
      </c>
      <c r="G472" s="12">
        <f>IF(BANK_RAW!A472="","",IFERROR(BANK_RAW!F472,0))</f>
        <v/>
      </c>
      <c r="H472" s="11">
        <f>IF(BANK_RAW!A472="","",IF(E472&gt;0,"CR",IF(F472&gt;0,"DR","CR")))</f>
        <v/>
      </c>
      <c r="I472" s="12">
        <f>IF(BANK_RAW!A472="","",E472-F472)</f>
        <v/>
      </c>
      <c r="J472" s="12">
        <f>IF(BANK_RAW!A472="","",ABS(I472))</f>
        <v/>
      </c>
      <c r="K472" s="11">
        <f>IF(BANK_RAW!A472="","",IF(H472="CR","IN","OUT"))</f>
        <v/>
      </c>
      <c r="L472" s="11" t="inlineStr"/>
      <c r="M472" s="11" t="inlineStr"/>
    </row>
    <row r="473">
      <c r="A473" s="13">
        <f>IF(BANK_RAW!A473="","",ROW()-1)</f>
        <v/>
      </c>
      <c r="B473" s="10">
        <f>IF(BANK_RAW!A473="","",IF(ISNUMBER(BANK_RAW!A473),BANK_RAW!A473,DATEVALUE(TEXT(BANK_RAW!A473,"YYYY-MM-DD"))))</f>
        <v/>
      </c>
      <c r="C473" s="11">
        <f>IF(BANK_RAW!A473="","",TRIM(BANK_RAW!B473))</f>
        <v/>
      </c>
      <c r="D473" s="11">
        <f>IF(BANK_RAW!A473="","",TRIM(BANK_RAW!C473))</f>
        <v/>
      </c>
      <c r="E473" s="12">
        <f>IF(BANK_RAW!A473="","",IFERROR(ABS(BANK_RAW!D473),0))</f>
        <v/>
      </c>
      <c r="F473" s="12">
        <f>IF(BANK_RAW!A473="","",IFERROR(ABS(BANK_RAW!E473),0))</f>
        <v/>
      </c>
      <c r="G473" s="12">
        <f>IF(BANK_RAW!A473="","",IFERROR(BANK_RAW!F473,0))</f>
        <v/>
      </c>
      <c r="H473" s="11">
        <f>IF(BANK_RAW!A473="","",IF(E473&gt;0,"CR",IF(F473&gt;0,"DR","CR")))</f>
        <v/>
      </c>
      <c r="I473" s="12">
        <f>IF(BANK_RAW!A473="","",E473-F473)</f>
        <v/>
      </c>
      <c r="J473" s="12">
        <f>IF(BANK_RAW!A473="","",ABS(I473))</f>
        <v/>
      </c>
      <c r="K473" s="11">
        <f>IF(BANK_RAW!A473="","",IF(H473="CR","IN","OUT"))</f>
        <v/>
      </c>
      <c r="L473" s="11" t="inlineStr"/>
      <c r="M473" s="11" t="inlineStr"/>
    </row>
    <row r="474">
      <c r="A474" s="13">
        <f>IF(BANK_RAW!A474="","",ROW()-1)</f>
        <v/>
      </c>
      <c r="B474" s="10">
        <f>IF(BANK_RAW!A474="","",IF(ISNUMBER(BANK_RAW!A474),BANK_RAW!A474,DATEVALUE(TEXT(BANK_RAW!A474,"YYYY-MM-DD"))))</f>
        <v/>
      </c>
      <c r="C474" s="11">
        <f>IF(BANK_RAW!A474="","",TRIM(BANK_RAW!B474))</f>
        <v/>
      </c>
      <c r="D474" s="11">
        <f>IF(BANK_RAW!A474="","",TRIM(BANK_RAW!C474))</f>
        <v/>
      </c>
      <c r="E474" s="12">
        <f>IF(BANK_RAW!A474="","",IFERROR(ABS(BANK_RAW!D474),0))</f>
        <v/>
      </c>
      <c r="F474" s="12">
        <f>IF(BANK_RAW!A474="","",IFERROR(ABS(BANK_RAW!E474),0))</f>
        <v/>
      </c>
      <c r="G474" s="12">
        <f>IF(BANK_RAW!A474="","",IFERROR(BANK_RAW!F474,0))</f>
        <v/>
      </c>
      <c r="H474" s="11">
        <f>IF(BANK_RAW!A474="","",IF(E474&gt;0,"CR",IF(F474&gt;0,"DR","CR")))</f>
        <v/>
      </c>
      <c r="I474" s="12">
        <f>IF(BANK_RAW!A474="","",E474-F474)</f>
        <v/>
      </c>
      <c r="J474" s="12">
        <f>IF(BANK_RAW!A474="","",ABS(I474))</f>
        <v/>
      </c>
      <c r="K474" s="11">
        <f>IF(BANK_RAW!A474="","",IF(H474="CR","IN","OUT"))</f>
        <v/>
      </c>
      <c r="L474" s="11" t="inlineStr"/>
      <c r="M474" s="11" t="inlineStr"/>
    </row>
    <row r="475">
      <c r="A475" s="13">
        <f>IF(BANK_RAW!A475="","",ROW()-1)</f>
        <v/>
      </c>
      <c r="B475" s="10">
        <f>IF(BANK_RAW!A475="","",IF(ISNUMBER(BANK_RAW!A475),BANK_RAW!A475,DATEVALUE(TEXT(BANK_RAW!A475,"YYYY-MM-DD"))))</f>
        <v/>
      </c>
      <c r="C475" s="11">
        <f>IF(BANK_RAW!A475="","",TRIM(BANK_RAW!B475))</f>
        <v/>
      </c>
      <c r="D475" s="11">
        <f>IF(BANK_RAW!A475="","",TRIM(BANK_RAW!C475))</f>
        <v/>
      </c>
      <c r="E475" s="12">
        <f>IF(BANK_RAW!A475="","",IFERROR(ABS(BANK_RAW!D475),0))</f>
        <v/>
      </c>
      <c r="F475" s="12">
        <f>IF(BANK_RAW!A475="","",IFERROR(ABS(BANK_RAW!E475),0))</f>
        <v/>
      </c>
      <c r="G475" s="12">
        <f>IF(BANK_RAW!A475="","",IFERROR(BANK_RAW!F475,0))</f>
        <v/>
      </c>
      <c r="H475" s="11">
        <f>IF(BANK_RAW!A475="","",IF(E475&gt;0,"CR",IF(F475&gt;0,"DR","CR")))</f>
        <v/>
      </c>
      <c r="I475" s="12">
        <f>IF(BANK_RAW!A475="","",E475-F475)</f>
        <v/>
      </c>
      <c r="J475" s="12">
        <f>IF(BANK_RAW!A475="","",ABS(I475))</f>
        <v/>
      </c>
      <c r="K475" s="11">
        <f>IF(BANK_RAW!A475="","",IF(H475="CR","IN","OUT"))</f>
        <v/>
      </c>
      <c r="L475" s="11" t="inlineStr"/>
      <c r="M475" s="11" t="inlineStr"/>
    </row>
    <row r="476">
      <c r="A476" s="13">
        <f>IF(BANK_RAW!A476="","",ROW()-1)</f>
        <v/>
      </c>
      <c r="B476" s="10">
        <f>IF(BANK_RAW!A476="","",IF(ISNUMBER(BANK_RAW!A476),BANK_RAW!A476,DATEVALUE(TEXT(BANK_RAW!A476,"YYYY-MM-DD"))))</f>
        <v/>
      </c>
      <c r="C476" s="11">
        <f>IF(BANK_RAW!A476="","",TRIM(BANK_RAW!B476))</f>
        <v/>
      </c>
      <c r="D476" s="11">
        <f>IF(BANK_RAW!A476="","",TRIM(BANK_RAW!C476))</f>
        <v/>
      </c>
      <c r="E476" s="12">
        <f>IF(BANK_RAW!A476="","",IFERROR(ABS(BANK_RAW!D476),0))</f>
        <v/>
      </c>
      <c r="F476" s="12">
        <f>IF(BANK_RAW!A476="","",IFERROR(ABS(BANK_RAW!E476),0))</f>
        <v/>
      </c>
      <c r="G476" s="12">
        <f>IF(BANK_RAW!A476="","",IFERROR(BANK_RAW!F476,0))</f>
        <v/>
      </c>
      <c r="H476" s="11">
        <f>IF(BANK_RAW!A476="","",IF(E476&gt;0,"CR",IF(F476&gt;0,"DR","CR")))</f>
        <v/>
      </c>
      <c r="I476" s="12">
        <f>IF(BANK_RAW!A476="","",E476-F476)</f>
        <v/>
      </c>
      <c r="J476" s="12">
        <f>IF(BANK_RAW!A476="","",ABS(I476))</f>
        <v/>
      </c>
      <c r="K476" s="11">
        <f>IF(BANK_RAW!A476="","",IF(H476="CR","IN","OUT"))</f>
        <v/>
      </c>
      <c r="L476" s="11" t="inlineStr"/>
      <c r="M476" s="11" t="inlineStr"/>
    </row>
    <row r="477">
      <c r="A477" s="13">
        <f>IF(BANK_RAW!A477="","",ROW()-1)</f>
        <v/>
      </c>
      <c r="B477" s="10">
        <f>IF(BANK_RAW!A477="","",IF(ISNUMBER(BANK_RAW!A477),BANK_RAW!A477,DATEVALUE(TEXT(BANK_RAW!A477,"YYYY-MM-DD"))))</f>
        <v/>
      </c>
      <c r="C477" s="11">
        <f>IF(BANK_RAW!A477="","",TRIM(BANK_RAW!B477))</f>
        <v/>
      </c>
      <c r="D477" s="11">
        <f>IF(BANK_RAW!A477="","",TRIM(BANK_RAW!C477))</f>
        <v/>
      </c>
      <c r="E477" s="12">
        <f>IF(BANK_RAW!A477="","",IFERROR(ABS(BANK_RAW!D477),0))</f>
        <v/>
      </c>
      <c r="F477" s="12">
        <f>IF(BANK_RAW!A477="","",IFERROR(ABS(BANK_RAW!E477),0))</f>
        <v/>
      </c>
      <c r="G477" s="12">
        <f>IF(BANK_RAW!A477="","",IFERROR(BANK_RAW!F477,0))</f>
        <v/>
      </c>
      <c r="H477" s="11">
        <f>IF(BANK_RAW!A477="","",IF(E477&gt;0,"CR",IF(F477&gt;0,"DR","CR")))</f>
        <v/>
      </c>
      <c r="I477" s="12">
        <f>IF(BANK_RAW!A477="","",E477-F477)</f>
        <v/>
      </c>
      <c r="J477" s="12">
        <f>IF(BANK_RAW!A477="","",ABS(I477))</f>
        <v/>
      </c>
      <c r="K477" s="11">
        <f>IF(BANK_RAW!A477="","",IF(H477="CR","IN","OUT"))</f>
        <v/>
      </c>
      <c r="L477" s="11" t="inlineStr"/>
      <c r="M477" s="11" t="inlineStr"/>
    </row>
    <row r="478">
      <c r="A478" s="13">
        <f>IF(BANK_RAW!A478="","",ROW()-1)</f>
        <v/>
      </c>
      <c r="B478" s="10">
        <f>IF(BANK_RAW!A478="","",IF(ISNUMBER(BANK_RAW!A478),BANK_RAW!A478,DATEVALUE(TEXT(BANK_RAW!A478,"YYYY-MM-DD"))))</f>
        <v/>
      </c>
      <c r="C478" s="11">
        <f>IF(BANK_RAW!A478="","",TRIM(BANK_RAW!B478))</f>
        <v/>
      </c>
      <c r="D478" s="11">
        <f>IF(BANK_RAW!A478="","",TRIM(BANK_RAW!C478))</f>
        <v/>
      </c>
      <c r="E478" s="12">
        <f>IF(BANK_RAW!A478="","",IFERROR(ABS(BANK_RAW!D478),0))</f>
        <v/>
      </c>
      <c r="F478" s="12">
        <f>IF(BANK_RAW!A478="","",IFERROR(ABS(BANK_RAW!E478),0))</f>
        <v/>
      </c>
      <c r="G478" s="12">
        <f>IF(BANK_RAW!A478="","",IFERROR(BANK_RAW!F478,0))</f>
        <v/>
      </c>
      <c r="H478" s="11">
        <f>IF(BANK_RAW!A478="","",IF(E478&gt;0,"CR",IF(F478&gt;0,"DR","CR")))</f>
        <v/>
      </c>
      <c r="I478" s="12">
        <f>IF(BANK_RAW!A478="","",E478-F478)</f>
        <v/>
      </c>
      <c r="J478" s="12">
        <f>IF(BANK_RAW!A478="","",ABS(I478))</f>
        <v/>
      </c>
      <c r="K478" s="11">
        <f>IF(BANK_RAW!A478="","",IF(H478="CR","IN","OUT"))</f>
        <v/>
      </c>
      <c r="L478" s="11" t="inlineStr"/>
      <c r="M478" s="11" t="inlineStr"/>
    </row>
    <row r="479">
      <c r="A479" s="13">
        <f>IF(BANK_RAW!A479="","",ROW()-1)</f>
        <v/>
      </c>
      <c r="B479" s="10">
        <f>IF(BANK_RAW!A479="","",IF(ISNUMBER(BANK_RAW!A479),BANK_RAW!A479,DATEVALUE(TEXT(BANK_RAW!A479,"YYYY-MM-DD"))))</f>
        <v/>
      </c>
      <c r="C479" s="11">
        <f>IF(BANK_RAW!A479="","",TRIM(BANK_RAW!B479))</f>
        <v/>
      </c>
      <c r="D479" s="11">
        <f>IF(BANK_RAW!A479="","",TRIM(BANK_RAW!C479))</f>
        <v/>
      </c>
      <c r="E479" s="12">
        <f>IF(BANK_RAW!A479="","",IFERROR(ABS(BANK_RAW!D479),0))</f>
        <v/>
      </c>
      <c r="F479" s="12">
        <f>IF(BANK_RAW!A479="","",IFERROR(ABS(BANK_RAW!E479),0))</f>
        <v/>
      </c>
      <c r="G479" s="12">
        <f>IF(BANK_RAW!A479="","",IFERROR(BANK_RAW!F479,0))</f>
        <v/>
      </c>
      <c r="H479" s="11">
        <f>IF(BANK_RAW!A479="","",IF(E479&gt;0,"CR",IF(F479&gt;0,"DR","CR")))</f>
        <v/>
      </c>
      <c r="I479" s="12">
        <f>IF(BANK_RAW!A479="","",E479-F479)</f>
        <v/>
      </c>
      <c r="J479" s="12">
        <f>IF(BANK_RAW!A479="","",ABS(I479))</f>
        <v/>
      </c>
      <c r="K479" s="11">
        <f>IF(BANK_RAW!A479="","",IF(H479="CR","IN","OUT"))</f>
        <v/>
      </c>
      <c r="L479" s="11" t="inlineStr"/>
      <c r="M479" s="11" t="inlineStr"/>
    </row>
    <row r="480">
      <c r="A480" s="13">
        <f>IF(BANK_RAW!A480="","",ROW()-1)</f>
        <v/>
      </c>
      <c r="B480" s="10">
        <f>IF(BANK_RAW!A480="","",IF(ISNUMBER(BANK_RAW!A480),BANK_RAW!A480,DATEVALUE(TEXT(BANK_RAW!A480,"YYYY-MM-DD"))))</f>
        <v/>
      </c>
      <c r="C480" s="11">
        <f>IF(BANK_RAW!A480="","",TRIM(BANK_RAW!B480))</f>
        <v/>
      </c>
      <c r="D480" s="11">
        <f>IF(BANK_RAW!A480="","",TRIM(BANK_RAW!C480))</f>
        <v/>
      </c>
      <c r="E480" s="12">
        <f>IF(BANK_RAW!A480="","",IFERROR(ABS(BANK_RAW!D480),0))</f>
        <v/>
      </c>
      <c r="F480" s="12">
        <f>IF(BANK_RAW!A480="","",IFERROR(ABS(BANK_RAW!E480),0))</f>
        <v/>
      </c>
      <c r="G480" s="12">
        <f>IF(BANK_RAW!A480="","",IFERROR(BANK_RAW!F480,0))</f>
        <v/>
      </c>
      <c r="H480" s="11">
        <f>IF(BANK_RAW!A480="","",IF(E480&gt;0,"CR",IF(F480&gt;0,"DR","CR")))</f>
        <v/>
      </c>
      <c r="I480" s="12">
        <f>IF(BANK_RAW!A480="","",E480-F480)</f>
        <v/>
      </c>
      <c r="J480" s="12">
        <f>IF(BANK_RAW!A480="","",ABS(I480))</f>
        <v/>
      </c>
      <c r="K480" s="11">
        <f>IF(BANK_RAW!A480="","",IF(H480="CR","IN","OUT"))</f>
        <v/>
      </c>
      <c r="L480" s="11" t="inlineStr"/>
      <c r="M480" s="11" t="inlineStr"/>
    </row>
    <row r="481">
      <c r="A481" s="13">
        <f>IF(BANK_RAW!A481="","",ROW()-1)</f>
        <v/>
      </c>
      <c r="B481" s="10">
        <f>IF(BANK_RAW!A481="","",IF(ISNUMBER(BANK_RAW!A481),BANK_RAW!A481,DATEVALUE(TEXT(BANK_RAW!A481,"YYYY-MM-DD"))))</f>
        <v/>
      </c>
      <c r="C481" s="11">
        <f>IF(BANK_RAW!A481="","",TRIM(BANK_RAW!B481))</f>
        <v/>
      </c>
      <c r="D481" s="11">
        <f>IF(BANK_RAW!A481="","",TRIM(BANK_RAW!C481))</f>
        <v/>
      </c>
      <c r="E481" s="12">
        <f>IF(BANK_RAW!A481="","",IFERROR(ABS(BANK_RAW!D481),0))</f>
        <v/>
      </c>
      <c r="F481" s="12">
        <f>IF(BANK_RAW!A481="","",IFERROR(ABS(BANK_RAW!E481),0))</f>
        <v/>
      </c>
      <c r="G481" s="12">
        <f>IF(BANK_RAW!A481="","",IFERROR(BANK_RAW!F481,0))</f>
        <v/>
      </c>
      <c r="H481" s="11">
        <f>IF(BANK_RAW!A481="","",IF(E481&gt;0,"CR",IF(F481&gt;0,"DR","CR")))</f>
        <v/>
      </c>
      <c r="I481" s="12">
        <f>IF(BANK_RAW!A481="","",E481-F481)</f>
        <v/>
      </c>
      <c r="J481" s="12">
        <f>IF(BANK_RAW!A481="","",ABS(I481))</f>
        <v/>
      </c>
      <c r="K481" s="11">
        <f>IF(BANK_RAW!A481="","",IF(H481="CR","IN","OUT"))</f>
        <v/>
      </c>
      <c r="L481" s="11" t="inlineStr"/>
      <c r="M481" s="11" t="inlineStr"/>
    </row>
    <row r="482">
      <c r="A482" s="13">
        <f>IF(BANK_RAW!A482="","",ROW()-1)</f>
        <v/>
      </c>
      <c r="B482" s="10">
        <f>IF(BANK_RAW!A482="","",IF(ISNUMBER(BANK_RAW!A482),BANK_RAW!A482,DATEVALUE(TEXT(BANK_RAW!A482,"YYYY-MM-DD"))))</f>
        <v/>
      </c>
      <c r="C482" s="11">
        <f>IF(BANK_RAW!A482="","",TRIM(BANK_RAW!B482))</f>
        <v/>
      </c>
      <c r="D482" s="11">
        <f>IF(BANK_RAW!A482="","",TRIM(BANK_RAW!C482))</f>
        <v/>
      </c>
      <c r="E482" s="12">
        <f>IF(BANK_RAW!A482="","",IFERROR(ABS(BANK_RAW!D482),0))</f>
        <v/>
      </c>
      <c r="F482" s="12">
        <f>IF(BANK_RAW!A482="","",IFERROR(ABS(BANK_RAW!E482),0))</f>
        <v/>
      </c>
      <c r="G482" s="12">
        <f>IF(BANK_RAW!A482="","",IFERROR(BANK_RAW!F482,0))</f>
        <v/>
      </c>
      <c r="H482" s="11">
        <f>IF(BANK_RAW!A482="","",IF(E482&gt;0,"CR",IF(F482&gt;0,"DR","CR")))</f>
        <v/>
      </c>
      <c r="I482" s="12">
        <f>IF(BANK_RAW!A482="","",E482-F482)</f>
        <v/>
      </c>
      <c r="J482" s="12">
        <f>IF(BANK_RAW!A482="","",ABS(I482))</f>
        <v/>
      </c>
      <c r="K482" s="11">
        <f>IF(BANK_RAW!A482="","",IF(H482="CR","IN","OUT"))</f>
        <v/>
      </c>
      <c r="L482" s="11" t="inlineStr"/>
      <c r="M482" s="11" t="inlineStr"/>
    </row>
    <row r="483">
      <c r="A483" s="13">
        <f>IF(BANK_RAW!A483="","",ROW()-1)</f>
        <v/>
      </c>
      <c r="B483" s="10">
        <f>IF(BANK_RAW!A483="","",IF(ISNUMBER(BANK_RAW!A483),BANK_RAW!A483,DATEVALUE(TEXT(BANK_RAW!A483,"YYYY-MM-DD"))))</f>
        <v/>
      </c>
      <c r="C483" s="11">
        <f>IF(BANK_RAW!A483="","",TRIM(BANK_RAW!B483))</f>
        <v/>
      </c>
      <c r="D483" s="11">
        <f>IF(BANK_RAW!A483="","",TRIM(BANK_RAW!C483))</f>
        <v/>
      </c>
      <c r="E483" s="12">
        <f>IF(BANK_RAW!A483="","",IFERROR(ABS(BANK_RAW!D483),0))</f>
        <v/>
      </c>
      <c r="F483" s="12">
        <f>IF(BANK_RAW!A483="","",IFERROR(ABS(BANK_RAW!E483),0))</f>
        <v/>
      </c>
      <c r="G483" s="12">
        <f>IF(BANK_RAW!A483="","",IFERROR(BANK_RAW!F483,0))</f>
        <v/>
      </c>
      <c r="H483" s="11">
        <f>IF(BANK_RAW!A483="","",IF(E483&gt;0,"CR",IF(F483&gt;0,"DR","CR")))</f>
        <v/>
      </c>
      <c r="I483" s="12">
        <f>IF(BANK_RAW!A483="","",E483-F483)</f>
        <v/>
      </c>
      <c r="J483" s="12">
        <f>IF(BANK_RAW!A483="","",ABS(I483))</f>
        <v/>
      </c>
      <c r="K483" s="11">
        <f>IF(BANK_RAW!A483="","",IF(H483="CR","IN","OUT"))</f>
        <v/>
      </c>
      <c r="L483" s="11" t="inlineStr"/>
      <c r="M483" s="11" t="inlineStr"/>
    </row>
    <row r="484">
      <c r="A484" s="13">
        <f>IF(BANK_RAW!A484="","",ROW()-1)</f>
        <v/>
      </c>
      <c r="B484" s="10">
        <f>IF(BANK_RAW!A484="","",IF(ISNUMBER(BANK_RAW!A484),BANK_RAW!A484,DATEVALUE(TEXT(BANK_RAW!A484,"YYYY-MM-DD"))))</f>
        <v/>
      </c>
      <c r="C484" s="11">
        <f>IF(BANK_RAW!A484="","",TRIM(BANK_RAW!B484))</f>
        <v/>
      </c>
      <c r="D484" s="11">
        <f>IF(BANK_RAW!A484="","",TRIM(BANK_RAW!C484))</f>
        <v/>
      </c>
      <c r="E484" s="12">
        <f>IF(BANK_RAW!A484="","",IFERROR(ABS(BANK_RAW!D484),0))</f>
        <v/>
      </c>
      <c r="F484" s="12">
        <f>IF(BANK_RAW!A484="","",IFERROR(ABS(BANK_RAW!E484),0))</f>
        <v/>
      </c>
      <c r="G484" s="12">
        <f>IF(BANK_RAW!A484="","",IFERROR(BANK_RAW!F484,0))</f>
        <v/>
      </c>
      <c r="H484" s="11">
        <f>IF(BANK_RAW!A484="","",IF(E484&gt;0,"CR",IF(F484&gt;0,"DR","CR")))</f>
        <v/>
      </c>
      <c r="I484" s="12">
        <f>IF(BANK_RAW!A484="","",E484-F484)</f>
        <v/>
      </c>
      <c r="J484" s="12">
        <f>IF(BANK_RAW!A484="","",ABS(I484))</f>
        <v/>
      </c>
      <c r="K484" s="11">
        <f>IF(BANK_RAW!A484="","",IF(H484="CR","IN","OUT"))</f>
        <v/>
      </c>
      <c r="L484" s="11" t="inlineStr"/>
      <c r="M484" s="11" t="inlineStr"/>
    </row>
    <row r="485">
      <c r="A485" s="13">
        <f>IF(BANK_RAW!A485="","",ROW()-1)</f>
        <v/>
      </c>
      <c r="B485" s="10">
        <f>IF(BANK_RAW!A485="","",IF(ISNUMBER(BANK_RAW!A485),BANK_RAW!A485,DATEVALUE(TEXT(BANK_RAW!A485,"YYYY-MM-DD"))))</f>
        <v/>
      </c>
      <c r="C485" s="11">
        <f>IF(BANK_RAW!A485="","",TRIM(BANK_RAW!B485))</f>
        <v/>
      </c>
      <c r="D485" s="11">
        <f>IF(BANK_RAW!A485="","",TRIM(BANK_RAW!C485))</f>
        <v/>
      </c>
      <c r="E485" s="12">
        <f>IF(BANK_RAW!A485="","",IFERROR(ABS(BANK_RAW!D485),0))</f>
        <v/>
      </c>
      <c r="F485" s="12">
        <f>IF(BANK_RAW!A485="","",IFERROR(ABS(BANK_RAW!E485),0))</f>
        <v/>
      </c>
      <c r="G485" s="12">
        <f>IF(BANK_RAW!A485="","",IFERROR(BANK_RAW!F485,0))</f>
        <v/>
      </c>
      <c r="H485" s="11">
        <f>IF(BANK_RAW!A485="","",IF(E485&gt;0,"CR",IF(F485&gt;0,"DR","CR")))</f>
        <v/>
      </c>
      <c r="I485" s="12">
        <f>IF(BANK_RAW!A485="","",E485-F485)</f>
        <v/>
      </c>
      <c r="J485" s="12">
        <f>IF(BANK_RAW!A485="","",ABS(I485))</f>
        <v/>
      </c>
      <c r="K485" s="11">
        <f>IF(BANK_RAW!A485="","",IF(H485="CR","IN","OUT"))</f>
        <v/>
      </c>
      <c r="L485" s="11" t="inlineStr"/>
      <c r="M485" s="11" t="inlineStr"/>
    </row>
    <row r="486">
      <c r="A486" s="13">
        <f>IF(BANK_RAW!A486="","",ROW()-1)</f>
        <v/>
      </c>
      <c r="B486" s="10">
        <f>IF(BANK_RAW!A486="","",IF(ISNUMBER(BANK_RAW!A486),BANK_RAW!A486,DATEVALUE(TEXT(BANK_RAW!A486,"YYYY-MM-DD"))))</f>
        <v/>
      </c>
      <c r="C486" s="11">
        <f>IF(BANK_RAW!A486="","",TRIM(BANK_RAW!B486))</f>
        <v/>
      </c>
      <c r="D486" s="11">
        <f>IF(BANK_RAW!A486="","",TRIM(BANK_RAW!C486))</f>
        <v/>
      </c>
      <c r="E486" s="12">
        <f>IF(BANK_RAW!A486="","",IFERROR(ABS(BANK_RAW!D486),0))</f>
        <v/>
      </c>
      <c r="F486" s="12">
        <f>IF(BANK_RAW!A486="","",IFERROR(ABS(BANK_RAW!E486),0))</f>
        <v/>
      </c>
      <c r="G486" s="12">
        <f>IF(BANK_RAW!A486="","",IFERROR(BANK_RAW!F486,0))</f>
        <v/>
      </c>
      <c r="H486" s="11">
        <f>IF(BANK_RAW!A486="","",IF(E486&gt;0,"CR",IF(F486&gt;0,"DR","CR")))</f>
        <v/>
      </c>
      <c r="I486" s="12">
        <f>IF(BANK_RAW!A486="","",E486-F486)</f>
        <v/>
      </c>
      <c r="J486" s="12">
        <f>IF(BANK_RAW!A486="","",ABS(I486))</f>
        <v/>
      </c>
      <c r="K486" s="11">
        <f>IF(BANK_RAW!A486="","",IF(H486="CR","IN","OUT"))</f>
        <v/>
      </c>
      <c r="L486" s="11" t="inlineStr"/>
      <c r="M486" s="11" t="inlineStr"/>
    </row>
    <row r="487">
      <c r="A487" s="13">
        <f>IF(BANK_RAW!A487="","",ROW()-1)</f>
        <v/>
      </c>
      <c r="B487" s="10">
        <f>IF(BANK_RAW!A487="","",IF(ISNUMBER(BANK_RAW!A487),BANK_RAW!A487,DATEVALUE(TEXT(BANK_RAW!A487,"YYYY-MM-DD"))))</f>
        <v/>
      </c>
      <c r="C487" s="11">
        <f>IF(BANK_RAW!A487="","",TRIM(BANK_RAW!B487))</f>
        <v/>
      </c>
      <c r="D487" s="11">
        <f>IF(BANK_RAW!A487="","",TRIM(BANK_RAW!C487))</f>
        <v/>
      </c>
      <c r="E487" s="12">
        <f>IF(BANK_RAW!A487="","",IFERROR(ABS(BANK_RAW!D487),0))</f>
        <v/>
      </c>
      <c r="F487" s="12">
        <f>IF(BANK_RAW!A487="","",IFERROR(ABS(BANK_RAW!E487),0))</f>
        <v/>
      </c>
      <c r="G487" s="12">
        <f>IF(BANK_RAW!A487="","",IFERROR(BANK_RAW!F487,0))</f>
        <v/>
      </c>
      <c r="H487" s="11">
        <f>IF(BANK_RAW!A487="","",IF(E487&gt;0,"CR",IF(F487&gt;0,"DR","CR")))</f>
        <v/>
      </c>
      <c r="I487" s="12">
        <f>IF(BANK_RAW!A487="","",E487-F487)</f>
        <v/>
      </c>
      <c r="J487" s="12">
        <f>IF(BANK_RAW!A487="","",ABS(I487))</f>
        <v/>
      </c>
      <c r="K487" s="11">
        <f>IF(BANK_RAW!A487="","",IF(H487="CR","IN","OUT"))</f>
        <v/>
      </c>
      <c r="L487" s="11" t="inlineStr"/>
      <c r="M487" s="11" t="inlineStr"/>
    </row>
    <row r="488">
      <c r="A488" s="13">
        <f>IF(BANK_RAW!A488="","",ROW()-1)</f>
        <v/>
      </c>
      <c r="B488" s="10">
        <f>IF(BANK_RAW!A488="","",IF(ISNUMBER(BANK_RAW!A488),BANK_RAW!A488,DATEVALUE(TEXT(BANK_RAW!A488,"YYYY-MM-DD"))))</f>
        <v/>
      </c>
      <c r="C488" s="11">
        <f>IF(BANK_RAW!A488="","",TRIM(BANK_RAW!B488))</f>
        <v/>
      </c>
      <c r="D488" s="11">
        <f>IF(BANK_RAW!A488="","",TRIM(BANK_RAW!C488))</f>
        <v/>
      </c>
      <c r="E488" s="12">
        <f>IF(BANK_RAW!A488="","",IFERROR(ABS(BANK_RAW!D488),0))</f>
        <v/>
      </c>
      <c r="F488" s="12">
        <f>IF(BANK_RAW!A488="","",IFERROR(ABS(BANK_RAW!E488),0))</f>
        <v/>
      </c>
      <c r="G488" s="12">
        <f>IF(BANK_RAW!A488="","",IFERROR(BANK_RAW!F488,0))</f>
        <v/>
      </c>
      <c r="H488" s="11">
        <f>IF(BANK_RAW!A488="","",IF(E488&gt;0,"CR",IF(F488&gt;0,"DR","CR")))</f>
        <v/>
      </c>
      <c r="I488" s="12">
        <f>IF(BANK_RAW!A488="","",E488-F488)</f>
        <v/>
      </c>
      <c r="J488" s="12">
        <f>IF(BANK_RAW!A488="","",ABS(I488))</f>
        <v/>
      </c>
      <c r="K488" s="11">
        <f>IF(BANK_RAW!A488="","",IF(H488="CR","IN","OUT"))</f>
        <v/>
      </c>
      <c r="L488" s="11" t="inlineStr"/>
      <c r="M488" s="11" t="inlineStr"/>
    </row>
    <row r="489">
      <c r="A489" s="13">
        <f>IF(BANK_RAW!A489="","",ROW()-1)</f>
        <v/>
      </c>
      <c r="B489" s="10">
        <f>IF(BANK_RAW!A489="","",IF(ISNUMBER(BANK_RAW!A489),BANK_RAW!A489,DATEVALUE(TEXT(BANK_RAW!A489,"YYYY-MM-DD"))))</f>
        <v/>
      </c>
      <c r="C489" s="11">
        <f>IF(BANK_RAW!A489="","",TRIM(BANK_RAW!B489))</f>
        <v/>
      </c>
      <c r="D489" s="11">
        <f>IF(BANK_RAW!A489="","",TRIM(BANK_RAW!C489))</f>
        <v/>
      </c>
      <c r="E489" s="12">
        <f>IF(BANK_RAW!A489="","",IFERROR(ABS(BANK_RAW!D489),0))</f>
        <v/>
      </c>
      <c r="F489" s="12">
        <f>IF(BANK_RAW!A489="","",IFERROR(ABS(BANK_RAW!E489),0))</f>
        <v/>
      </c>
      <c r="G489" s="12">
        <f>IF(BANK_RAW!A489="","",IFERROR(BANK_RAW!F489,0))</f>
        <v/>
      </c>
      <c r="H489" s="11">
        <f>IF(BANK_RAW!A489="","",IF(E489&gt;0,"CR",IF(F489&gt;0,"DR","CR")))</f>
        <v/>
      </c>
      <c r="I489" s="12">
        <f>IF(BANK_RAW!A489="","",E489-F489)</f>
        <v/>
      </c>
      <c r="J489" s="12">
        <f>IF(BANK_RAW!A489="","",ABS(I489))</f>
        <v/>
      </c>
      <c r="K489" s="11">
        <f>IF(BANK_RAW!A489="","",IF(H489="CR","IN","OUT"))</f>
        <v/>
      </c>
      <c r="L489" s="11" t="inlineStr"/>
      <c r="M489" s="11" t="inlineStr"/>
    </row>
    <row r="490">
      <c r="A490" s="13">
        <f>IF(BANK_RAW!A490="","",ROW()-1)</f>
        <v/>
      </c>
      <c r="B490" s="10">
        <f>IF(BANK_RAW!A490="","",IF(ISNUMBER(BANK_RAW!A490),BANK_RAW!A490,DATEVALUE(TEXT(BANK_RAW!A490,"YYYY-MM-DD"))))</f>
        <v/>
      </c>
      <c r="C490" s="11">
        <f>IF(BANK_RAW!A490="","",TRIM(BANK_RAW!B490))</f>
        <v/>
      </c>
      <c r="D490" s="11">
        <f>IF(BANK_RAW!A490="","",TRIM(BANK_RAW!C490))</f>
        <v/>
      </c>
      <c r="E490" s="12">
        <f>IF(BANK_RAW!A490="","",IFERROR(ABS(BANK_RAW!D490),0))</f>
        <v/>
      </c>
      <c r="F490" s="12">
        <f>IF(BANK_RAW!A490="","",IFERROR(ABS(BANK_RAW!E490),0))</f>
        <v/>
      </c>
      <c r="G490" s="12">
        <f>IF(BANK_RAW!A490="","",IFERROR(BANK_RAW!F490,0))</f>
        <v/>
      </c>
      <c r="H490" s="11">
        <f>IF(BANK_RAW!A490="","",IF(E490&gt;0,"CR",IF(F490&gt;0,"DR","CR")))</f>
        <v/>
      </c>
      <c r="I490" s="12">
        <f>IF(BANK_RAW!A490="","",E490-F490)</f>
        <v/>
      </c>
      <c r="J490" s="12">
        <f>IF(BANK_RAW!A490="","",ABS(I490))</f>
        <v/>
      </c>
      <c r="K490" s="11">
        <f>IF(BANK_RAW!A490="","",IF(H490="CR","IN","OUT"))</f>
        <v/>
      </c>
      <c r="L490" s="11" t="inlineStr"/>
      <c r="M490" s="11" t="inlineStr"/>
    </row>
    <row r="491">
      <c r="A491" s="13">
        <f>IF(BANK_RAW!A491="","",ROW()-1)</f>
        <v/>
      </c>
      <c r="B491" s="10">
        <f>IF(BANK_RAW!A491="","",IF(ISNUMBER(BANK_RAW!A491),BANK_RAW!A491,DATEVALUE(TEXT(BANK_RAW!A491,"YYYY-MM-DD"))))</f>
        <v/>
      </c>
      <c r="C491" s="11">
        <f>IF(BANK_RAW!A491="","",TRIM(BANK_RAW!B491))</f>
        <v/>
      </c>
      <c r="D491" s="11">
        <f>IF(BANK_RAW!A491="","",TRIM(BANK_RAW!C491))</f>
        <v/>
      </c>
      <c r="E491" s="12">
        <f>IF(BANK_RAW!A491="","",IFERROR(ABS(BANK_RAW!D491),0))</f>
        <v/>
      </c>
      <c r="F491" s="12">
        <f>IF(BANK_RAW!A491="","",IFERROR(ABS(BANK_RAW!E491),0))</f>
        <v/>
      </c>
      <c r="G491" s="12">
        <f>IF(BANK_RAW!A491="","",IFERROR(BANK_RAW!F491,0))</f>
        <v/>
      </c>
      <c r="H491" s="11">
        <f>IF(BANK_RAW!A491="","",IF(E491&gt;0,"CR",IF(F491&gt;0,"DR","CR")))</f>
        <v/>
      </c>
      <c r="I491" s="12">
        <f>IF(BANK_RAW!A491="","",E491-F491)</f>
        <v/>
      </c>
      <c r="J491" s="12">
        <f>IF(BANK_RAW!A491="","",ABS(I491))</f>
        <v/>
      </c>
      <c r="K491" s="11">
        <f>IF(BANK_RAW!A491="","",IF(H491="CR","IN","OUT"))</f>
        <v/>
      </c>
      <c r="L491" s="11" t="inlineStr"/>
      <c r="M491" s="11" t="inlineStr"/>
    </row>
    <row r="492">
      <c r="A492" s="13">
        <f>IF(BANK_RAW!A492="","",ROW()-1)</f>
        <v/>
      </c>
      <c r="B492" s="10">
        <f>IF(BANK_RAW!A492="","",IF(ISNUMBER(BANK_RAW!A492),BANK_RAW!A492,DATEVALUE(TEXT(BANK_RAW!A492,"YYYY-MM-DD"))))</f>
        <v/>
      </c>
      <c r="C492" s="11">
        <f>IF(BANK_RAW!A492="","",TRIM(BANK_RAW!B492))</f>
        <v/>
      </c>
      <c r="D492" s="11">
        <f>IF(BANK_RAW!A492="","",TRIM(BANK_RAW!C492))</f>
        <v/>
      </c>
      <c r="E492" s="12">
        <f>IF(BANK_RAW!A492="","",IFERROR(ABS(BANK_RAW!D492),0))</f>
        <v/>
      </c>
      <c r="F492" s="12">
        <f>IF(BANK_RAW!A492="","",IFERROR(ABS(BANK_RAW!E492),0))</f>
        <v/>
      </c>
      <c r="G492" s="12">
        <f>IF(BANK_RAW!A492="","",IFERROR(BANK_RAW!F492,0))</f>
        <v/>
      </c>
      <c r="H492" s="11">
        <f>IF(BANK_RAW!A492="","",IF(E492&gt;0,"CR",IF(F492&gt;0,"DR","CR")))</f>
        <v/>
      </c>
      <c r="I492" s="12">
        <f>IF(BANK_RAW!A492="","",E492-F492)</f>
        <v/>
      </c>
      <c r="J492" s="12">
        <f>IF(BANK_RAW!A492="","",ABS(I492))</f>
        <v/>
      </c>
      <c r="K492" s="11">
        <f>IF(BANK_RAW!A492="","",IF(H492="CR","IN","OUT"))</f>
        <v/>
      </c>
      <c r="L492" s="11" t="inlineStr"/>
      <c r="M492" s="11" t="inlineStr"/>
    </row>
    <row r="493">
      <c r="A493" s="13">
        <f>IF(BANK_RAW!A493="","",ROW()-1)</f>
        <v/>
      </c>
      <c r="B493" s="10">
        <f>IF(BANK_RAW!A493="","",IF(ISNUMBER(BANK_RAW!A493),BANK_RAW!A493,DATEVALUE(TEXT(BANK_RAW!A493,"YYYY-MM-DD"))))</f>
        <v/>
      </c>
      <c r="C493" s="11">
        <f>IF(BANK_RAW!A493="","",TRIM(BANK_RAW!B493))</f>
        <v/>
      </c>
      <c r="D493" s="11">
        <f>IF(BANK_RAW!A493="","",TRIM(BANK_RAW!C493))</f>
        <v/>
      </c>
      <c r="E493" s="12">
        <f>IF(BANK_RAW!A493="","",IFERROR(ABS(BANK_RAW!D493),0))</f>
        <v/>
      </c>
      <c r="F493" s="12">
        <f>IF(BANK_RAW!A493="","",IFERROR(ABS(BANK_RAW!E493),0))</f>
        <v/>
      </c>
      <c r="G493" s="12">
        <f>IF(BANK_RAW!A493="","",IFERROR(BANK_RAW!F493,0))</f>
        <v/>
      </c>
      <c r="H493" s="11">
        <f>IF(BANK_RAW!A493="","",IF(E493&gt;0,"CR",IF(F493&gt;0,"DR","CR")))</f>
        <v/>
      </c>
      <c r="I493" s="12">
        <f>IF(BANK_RAW!A493="","",E493-F493)</f>
        <v/>
      </c>
      <c r="J493" s="12">
        <f>IF(BANK_RAW!A493="","",ABS(I493))</f>
        <v/>
      </c>
      <c r="K493" s="11">
        <f>IF(BANK_RAW!A493="","",IF(H493="CR","IN","OUT"))</f>
        <v/>
      </c>
      <c r="L493" s="11" t="inlineStr"/>
      <c r="M493" s="11" t="inlineStr"/>
    </row>
    <row r="494">
      <c r="A494" s="13">
        <f>IF(BANK_RAW!A494="","",ROW()-1)</f>
        <v/>
      </c>
      <c r="B494" s="10">
        <f>IF(BANK_RAW!A494="","",IF(ISNUMBER(BANK_RAW!A494),BANK_RAW!A494,DATEVALUE(TEXT(BANK_RAW!A494,"YYYY-MM-DD"))))</f>
        <v/>
      </c>
      <c r="C494" s="11">
        <f>IF(BANK_RAW!A494="","",TRIM(BANK_RAW!B494))</f>
        <v/>
      </c>
      <c r="D494" s="11">
        <f>IF(BANK_RAW!A494="","",TRIM(BANK_RAW!C494))</f>
        <v/>
      </c>
      <c r="E494" s="12">
        <f>IF(BANK_RAW!A494="","",IFERROR(ABS(BANK_RAW!D494),0))</f>
        <v/>
      </c>
      <c r="F494" s="12">
        <f>IF(BANK_RAW!A494="","",IFERROR(ABS(BANK_RAW!E494),0))</f>
        <v/>
      </c>
      <c r="G494" s="12">
        <f>IF(BANK_RAW!A494="","",IFERROR(BANK_RAW!F494,0))</f>
        <v/>
      </c>
      <c r="H494" s="11">
        <f>IF(BANK_RAW!A494="","",IF(E494&gt;0,"CR",IF(F494&gt;0,"DR","CR")))</f>
        <v/>
      </c>
      <c r="I494" s="12">
        <f>IF(BANK_RAW!A494="","",E494-F494)</f>
        <v/>
      </c>
      <c r="J494" s="12">
        <f>IF(BANK_RAW!A494="","",ABS(I494))</f>
        <v/>
      </c>
      <c r="K494" s="11">
        <f>IF(BANK_RAW!A494="","",IF(H494="CR","IN","OUT"))</f>
        <v/>
      </c>
      <c r="L494" s="11" t="inlineStr"/>
      <c r="M494" s="11" t="inlineStr"/>
    </row>
    <row r="495">
      <c r="A495" s="13">
        <f>IF(BANK_RAW!A495="","",ROW()-1)</f>
        <v/>
      </c>
      <c r="B495" s="10">
        <f>IF(BANK_RAW!A495="","",IF(ISNUMBER(BANK_RAW!A495),BANK_RAW!A495,DATEVALUE(TEXT(BANK_RAW!A495,"YYYY-MM-DD"))))</f>
        <v/>
      </c>
      <c r="C495" s="11">
        <f>IF(BANK_RAW!A495="","",TRIM(BANK_RAW!B495))</f>
        <v/>
      </c>
      <c r="D495" s="11">
        <f>IF(BANK_RAW!A495="","",TRIM(BANK_RAW!C495))</f>
        <v/>
      </c>
      <c r="E495" s="12">
        <f>IF(BANK_RAW!A495="","",IFERROR(ABS(BANK_RAW!D495),0))</f>
        <v/>
      </c>
      <c r="F495" s="12">
        <f>IF(BANK_RAW!A495="","",IFERROR(ABS(BANK_RAW!E495),0))</f>
        <v/>
      </c>
      <c r="G495" s="12">
        <f>IF(BANK_RAW!A495="","",IFERROR(BANK_RAW!F495,0))</f>
        <v/>
      </c>
      <c r="H495" s="11">
        <f>IF(BANK_RAW!A495="","",IF(E495&gt;0,"CR",IF(F495&gt;0,"DR","CR")))</f>
        <v/>
      </c>
      <c r="I495" s="12">
        <f>IF(BANK_RAW!A495="","",E495-F495)</f>
        <v/>
      </c>
      <c r="J495" s="12">
        <f>IF(BANK_RAW!A495="","",ABS(I495))</f>
        <v/>
      </c>
      <c r="K495" s="11">
        <f>IF(BANK_RAW!A495="","",IF(H495="CR","IN","OUT"))</f>
        <v/>
      </c>
      <c r="L495" s="11" t="inlineStr"/>
      <c r="M495" s="11" t="inlineStr"/>
    </row>
    <row r="496">
      <c r="A496" s="13">
        <f>IF(BANK_RAW!A496="","",ROW()-1)</f>
        <v/>
      </c>
      <c r="B496" s="10">
        <f>IF(BANK_RAW!A496="","",IF(ISNUMBER(BANK_RAW!A496),BANK_RAW!A496,DATEVALUE(TEXT(BANK_RAW!A496,"YYYY-MM-DD"))))</f>
        <v/>
      </c>
      <c r="C496" s="11">
        <f>IF(BANK_RAW!A496="","",TRIM(BANK_RAW!B496))</f>
        <v/>
      </c>
      <c r="D496" s="11">
        <f>IF(BANK_RAW!A496="","",TRIM(BANK_RAW!C496))</f>
        <v/>
      </c>
      <c r="E496" s="12">
        <f>IF(BANK_RAW!A496="","",IFERROR(ABS(BANK_RAW!D496),0))</f>
        <v/>
      </c>
      <c r="F496" s="12">
        <f>IF(BANK_RAW!A496="","",IFERROR(ABS(BANK_RAW!E496),0))</f>
        <v/>
      </c>
      <c r="G496" s="12">
        <f>IF(BANK_RAW!A496="","",IFERROR(BANK_RAW!F496,0))</f>
        <v/>
      </c>
      <c r="H496" s="11">
        <f>IF(BANK_RAW!A496="","",IF(E496&gt;0,"CR",IF(F496&gt;0,"DR","CR")))</f>
        <v/>
      </c>
      <c r="I496" s="12">
        <f>IF(BANK_RAW!A496="","",E496-F496)</f>
        <v/>
      </c>
      <c r="J496" s="12">
        <f>IF(BANK_RAW!A496="","",ABS(I496))</f>
        <v/>
      </c>
      <c r="K496" s="11">
        <f>IF(BANK_RAW!A496="","",IF(H496="CR","IN","OUT"))</f>
        <v/>
      </c>
      <c r="L496" s="11" t="inlineStr"/>
      <c r="M496" s="11" t="inlineStr"/>
    </row>
    <row r="497">
      <c r="A497" s="13">
        <f>IF(BANK_RAW!A497="","",ROW()-1)</f>
        <v/>
      </c>
      <c r="B497" s="10">
        <f>IF(BANK_RAW!A497="","",IF(ISNUMBER(BANK_RAW!A497),BANK_RAW!A497,DATEVALUE(TEXT(BANK_RAW!A497,"YYYY-MM-DD"))))</f>
        <v/>
      </c>
      <c r="C497" s="11">
        <f>IF(BANK_RAW!A497="","",TRIM(BANK_RAW!B497))</f>
        <v/>
      </c>
      <c r="D497" s="11">
        <f>IF(BANK_RAW!A497="","",TRIM(BANK_RAW!C497))</f>
        <v/>
      </c>
      <c r="E497" s="12">
        <f>IF(BANK_RAW!A497="","",IFERROR(ABS(BANK_RAW!D497),0))</f>
        <v/>
      </c>
      <c r="F497" s="12">
        <f>IF(BANK_RAW!A497="","",IFERROR(ABS(BANK_RAW!E497),0))</f>
        <v/>
      </c>
      <c r="G497" s="12">
        <f>IF(BANK_RAW!A497="","",IFERROR(BANK_RAW!F497,0))</f>
        <v/>
      </c>
      <c r="H497" s="11">
        <f>IF(BANK_RAW!A497="","",IF(E497&gt;0,"CR",IF(F497&gt;0,"DR","CR")))</f>
        <v/>
      </c>
      <c r="I497" s="12">
        <f>IF(BANK_RAW!A497="","",E497-F497)</f>
        <v/>
      </c>
      <c r="J497" s="12">
        <f>IF(BANK_RAW!A497="","",ABS(I497))</f>
        <v/>
      </c>
      <c r="K497" s="11">
        <f>IF(BANK_RAW!A497="","",IF(H497="CR","IN","OUT"))</f>
        <v/>
      </c>
      <c r="L497" s="11" t="inlineStr"/>
      <c r="M497" s="11" t="inlineStr"/>
    </row>
    <row r="498">
      <c r="A498" s="13">
        <f>IF(BANK_RAW!A498="","",ROW()-1)</f>
        <v/>
      </c>
      <c r="B498" s="10">
        <f>IF(BANK_RAW!A498="","",IF(ISNUMBER(BANK_RAW!A498),BANK_RAW!A498,DATEVALUE(TEXT(BANK_RAW!A498,"YYYY-MM-DD"))))</f>
        <v/>
      </c>
      <c r="C498" s="11">
        <f>IF(BANK_RAW!A498="","",TRIM(BANK_RAW!B498))</f>
        <v/>
      </c>
      <c r="D498" s="11">
        <f>IF(BANK_RAW!A498="","",TRIM(BANK_RAW!C498))</f>
        <v/>
      </c>
      <c r="E498" s="12">
        <f>IF(BANK_RAW!A498="","",IFERROR(ABS(BANK_RAW!D498),0))</f>
        <v/>
      </c>
      <c r="F498" s="12">
        <f>IF(BANK_RAW!A498="","",IFERROR(ABS(BANK_RAW!E498),0))</f>
        <v/>
      </c>
      <c r="G498" s="12">
        <f>IF(BANK_RAW!A498="","",IFERROR(BANK_RAW!F498,0))</f>
        <v/>
      </c>
      <c r="H498" s="11">
        <f>IF(BANK_RAW!A498="","",IF(E498&gt;0,"CR",IF(F498&gt;0,"DR","CR")))</f>
        <v/>
      </c>
      <c r="I498" s="12">
        <f>IF(BANK_RAW!A498="","",E498-F498)</f>
        <v/>
      </c>
      <c r="J498" s="12">
        <f>IF(BANK_RAW!A498="","",ABS(I498))</f>
        <v/>
      </c>
      <c r="K498" s="11">
        <f>IF(BANK_RAW!A498="","",IF(H498="CR","IN","OUT"))</f>
        <v/>
      </c>
      <c r="L498" s="11" t="inlineStr"/>
      <c r="M498" s="11" t="inlineStr"/>
    </row>
    <row r="499">
      <c r="A499" s="13">
        <f>IF(BANK_RAW!A499="","",ROW()-1)</f>
        <v/>
      </c>
      <c r="B499" s="10">
        <f>IF(BANK_RAW!A499="","",IF(ISNUMBER(BANK_RAW!A499),BANK_RAW!A499,DATEVALUE(TEXT(BANK_RAW!A499,"YYYY-MM-DD"))))</f>
        <v/>
      </c>
      <c r="C499" s="11">
        <f>IF(BANK_RAW!A499="","",TRIM(BANK_RAW!B499))</f>
        <v/>
      </c>
      <c r="D499" s="11">
        <f>IF(BANK_RAW!A499="","",TRIM(BANK_RAW!C499))</f>
        <v/>
      </c>
      <c r="E499" s="12">
        <f>IF(BANK_RAW!A499="","",IFERROR(ABS(BANK_RAW!D499),0))</f>
        <v/>
      </c>
      <c r="F499" s="12">
        <f>IF(BANK_RAW!A499="","",IFERROR(ABS(BANK_RAW!E499),0))</f>
        <v/>
      </c>
      <c r="G499" s="12">
        <f>IF(BANK_RAW!A499="","",IFERROR(BANK_RAW!F499,0))</f>
        <v/>
      </c>
      <c r="H499" s="11">
        <f>IF(BANK_RAW!A499="","",IF(E499&gt;0,"CR",IF(F499&gt;0,"DR","CR")))</f>
        <v/>
      </c>
      <c r="I499" s="12">
        <f>IF(BANK_RAW!A499="","",E499-F499)</f>
        <v/>
      </c>
      <c r="J499" s="12">
        <f>IF(BANK_RAW!A499="","",ABS(I499))</f>
        <v/>
      </c>
      <c r="K499" s="11">
        <f>IF(BANK_RAW!A499="","",IF(H499="CR","IN","OUT"))</f>
        <v/>
      </c>
      <c r="L499" s="11" t="inlineStr"/>
      <c r="M499" s="11" t="inlineStr"/>
    </row>
    <row r="500">
      <c r="A500" s="13">
        <f>IF(BANK_RAW!A500="","",ROW()-1)</f>
        <v/>
      </c>
      <c r="B500" s="10">
        <f>IF(BANK_RAW!A500="","",IF(ISNUMBER(BANK_RAW!A500),BANK_RAW!A500,DATEVALUE(TEXT(BANK_RAW!A500,"YYYY-MM-DD"))))</f>
        <v/>
      </c>
      <c r="C500" s="11">
        <f>IF(BANK_RAW!A500="","",TRIM(BANK_RAW!B500))</f>
        <v/>
      </c>
      <c r="D500" s="11">
        <f>IF(BANK_RAW!A500="","",TRIM(BANK_RAW!C500))</f>
        <v/>
      </c>
      <c r="E500" s="12">
        <f>IF(BANK_RAW!A500="","",IFERROR(ABS(BANK_RAW!D500),0))</f>
        <v/>
      </c>
      <c r="F500" s="12">
        <f>IF(BANK_RAW!A500="","",IFERROR(ABS(BANK_RAW!E500),0))</f>
        <v/>
      </c>
      <c r="G500" s="12">
        <f>IF(BANK_RAW!A500="","",IFERROR(BANK_RAW!F500,0))</f>
        <v/>
      </c>
      <c r="H500" s="11">
        <f>IF(BANK_RAW!A500="","",IF(E500&gt;0,"CR",IF(F500&gt;0,"DR","CR")))</f>
        <v/>
      </c>
      <c r="I500" s="12">
        <f>IF(BANK_RAW!A500="","",E500-F500)</f>
        <v/>
      </c>
      <c r="J500" s="12">
        <f>IF(BANK_RAW!A500="","",ABS(I500))</f>
        <v/>
      </c>
      <c r="K500" s="11">
        <f>IF(BANK_RAW!A500="","",IF(H500="CR","IN","OUT"))</f>
        <v/>
      </c>
      <c r="L500" s="11" t="inlineStr"/>
      <c r="M500" s="11" t="inlineStr"/>
    </row>
    <row r="501">
      <c r="A501" s="13">
        <f>IF(BANK_RAW!A501="","",ROW()-1)</f>
        <v/>
      </c>
      <c r="B501" s="10">
        <f>IF(BANK_RAW!A501="","",IF(ISNUMBER(BANK_RAW!A501),BANK_RAW!A501,DATEVALUE(TEXT(BANK_RAW!A501,"YYYY-MM-DD"))))</f>
        <v/>
      </c>
      <c r="C501" s="11">
        <f>IF(BANK_RAW!A501="","",TRIM(BANK_RAW!B501))</f>
        <v/>
      </c>
      <c r="D501" s="11">
        <f>IF(BANK_RAW!A501="","",TRIM(BANK_RAW!C501))</f>
        <v/>
      </c>
      <c r="E501" s="12">
        <f>IF(BANK_RAW!A501="","",IFERROR(ABS(BANK_RAW!D501),0))</f>
        <v/>
      </c>
      <c r="F501" s="12">
        <f>IF(BANK_RAW!A501="","",IFERROR(ABS(BANK_RAW!E501),0))</f>
        <v/>
      </c>
      <c r="G501" s="12">
        <f>IF(BANK_RAW!A501="","",IFERROR(BANK_RAW!F501,0))</f>
        <v/>
      </c>
      <c r="H501" s="11">
        <f>IF(BANK_RAW!A501="","",IF(E501&gt;0,"CR",IF(F501&gt;0,"DR","CR")))</f>
        <v/>
      </c>
      <c r="I501" s="12">
        <f>IF(BANK_RAW!A501="","",E501-F501)</f>
        <v/>
      </c>
      <c r="J501" s="12">
        <f>IF(BANK_RAW!A501="","",ABS(I501))</f>
        <v/>
      </c>
      <c r="K501" s="11">
        <f>IF(BANK_RAW!A501="","",IF(H501="CR","IN","OUT"))</f>
        <v/>
      </c>
      <c r="L501" s="11" t="inlineStr"/>
      <c r="M501" s="11" t="inlineStr"/>
    </row>
    <row r="502">
      <c r="A502" s="13">
        <f>IF(BANK_RAW!A502="","",ROW()-1)</f>
        <v/>
      </c>
      <c r="B502" s="10">
        <f>IF(BANK_RAW!A502="","",IF(ISNUMBER(BANK_RAW!A502),BANK_RAW!A502,DATEVALUE(TEXT(BANK_RAW!A502,"YYYY-MM-DD"))))</f>
        <v/>
      </c>
      <c r="C502" s="11">
        <f>IF(BANK_RAW!A502="","",TRIM(BANK_RAW!B502))</f>
        <v/>
      </c>
      <c r="D502" s="11">
        <f>IF(BANK_RAW!A502="","",TRIM(BANK_RAW!C502))</f>
        <v/>
      </c>
      <c r="E502" s="12">
        <f>IF(BANK_RAW!A502="","",IFERROR(ABS(BANK_RAW!D502),0))</f>
        <v/>
      </c>
      <c r="F502" s="12">
        <f>IF(BANK_RAW!A502="","",IFERROR(ABS(BANK_RAW!E502),0))</f>
        <v/>
      </c>
      <c r="G502" s="12">
        <f>IF(BANK_RAW!A502="","",IFERROR(BANK_RAW!F502,0))</f>
        <v/>
      </c>
      <c r="H502" s="11">
        <f>IF(BANK_RAW!A502="","",IF(E502&gt;0,"CR",IF(F502&gt;0,"DR","CR")))</f>
        <v/>
      </c>
      <c r="I502" s="12">
        <f>IF(BANK_RAW!A502="","",E502-F502)</f>
        <v/>
      </c>
      <c r="J502" s="12">
        <f>IF(BANK_RAW!A502="","",ABS(I502))</f>
        <v/>
      </c>
      <c r="K502" s="11">
        <f>IF(BANK_RAW!A502="","",IF(H502="CR","IN","OUT"))</f>
        <v/>
      </c>
      <c r="L502" s="11" t="inlineStr"/>
      <c r="M502" s="11" t="inlineStr"/>
    </row>
    <row r="503">
      <c r="A503" s="13">
        <f>IF(BANK_RAW!A503="","",ROW()-1)</f>
        <v/>
      </c>
      <c r="B503" s="10">
        <f>IF(BANK_RAW!A503="","",IF(ISNUMBER(BANK_RAW!A503),BANK_RAW!A503,DATEVALUE(TEXT(BANK_RAW!A503,"YYYY-MM-DD"))))</f>
        <v/>
      </c>
      <c r="C503" s="11">
        <f>IF(BANK_RAW!A503="","",TRIM(BANK_RAW!B503))</f>
        <v/>
      </c>
      <c r="D503" s="11">
        <f>IF(BANK_RAW!A503="","",TRIM(BANK_RAW!C503))</f>
        <v/>
      </c>
      <c r="E503" s="12">
        <f>IF(BANK_RAW!A503="","",IFERROR(ABS(BANK_RAW!D503),0))</f>
        <v/>
      </c>
      <c r="F503" s="12">
        <f>IF(BANK_RAW!A503="","",IFERROR(ABS(BANK_RAW!E503),0))</f>
        <v/>
      </c>
      <c r="G503" s="12">
        <f>IF(BANK_RAW!A503="","",IFERROR(BANK_RAW!F503,0))</f>
        <v/>
      </c>
      <c r="H503" s="11">
        <f>IF(BANK_RAW!A503="","",IF(E503&gt;0,"CR",IF(F503&gt;0,"DR","CR")))</f>
        <v/>
      </c>
      <c r="I503" s="12">
        <f>IF(BANK_RAW!A503="","",E503-F503)</f>
        <v/>
      </c>
      <c r="J503" s="12">
        <f>IF(BANK_RAW!A503="","",ABS(I503))</f>
        <v/>
      </c>
      <c r="K503" s="11">
        <f>IF(BANK_RAW!A503="","",IF(H503="CR","IN","OUT"))</f>
        <v/>
      </c>
      <c r="L503" s="11" t="inlineStr"/>
      <c r="M503" s="11" t="inlineStr"/>
    </row>
    <row r="504">
      <c r="A504" s="13">
        <f>IF(BANK_RAW!A504="","",ROW()-1)</f>
        <v/>
      </c>
      <c r="B504" s="10">
        <f>IF(BANK_RAW!A504="","",IF(ISNUMBER(BANK_RAW!A504),BANK_RAW!A504,DATEVALUE(TEXT(BANK_RAW!A504,"YYYY-MM-DD"))))</f>
        <v/>
      </c>
      <c r="C504" s="11">
        <f>IF(BANK_RAW!A504="","",TRIM(BANK_RAW!B504))</f>
        <v/>
      </c>
      <c r="D504" s="11">
        <f>IF(BANK_RAW!A504="","",TRIM(BANK_RAW!C504))</f>
        <v/>
      </c>
      <c r="E504" s="12">
        <f>IF(BANK_RAW!A504="","",IFERROR(ABS(BANK_RAW!D504),0))</f>
        <v/>
      </c>
      <c r="F504" s="12">
        <f>IF(BANK_RAW!A504="","",IFERROR(ABS(BANK_RAW!E504),0))</f>
        <v/>
      </c>
      <c r="G504" s="12">
        <f>IF(BANK_RAW!A504="","",IFERROR(BANK_RAW!F504,0))</f>
        <v/>
      </c>
      <c r="H504" s="11">
        <f>IF(BANK_RAW!A504="","",IF(E504&gt;0,"CR",IF(F504&gt;0,"DR","CR")))</f>
        <v/>
      </c>
      <c r="I504" s="12">
        <f>IF(BANK_RAW!A504="","",E504-F504)</f>
        <v/>
      </c>
      <c r="J504" s="12">
        <f>IF(BANK_RAW!A504="","",ABS(I504))</f>
        <v/>
      </c>
      <c r="K504" s="11">
        <f>IF(BANK_RAW!A504="","",IF(H504="CR","IN","OUT"))</f>
        <v/>
      </c>
      <c r="L504" s="11" t="inlineStr"/>
      <c r="M504" s="11" t="inlineStr"/>
    </row>
    <row r="505">
      <c r="A505" s="13">
        <f>IF(BANK_RAW!A505="","",ROW()-1)</f>
        <v/>
      </c>
      <c r="B505" s="10">
        <f>IF(BANK_RAW!A505="","",IF(ISNUMBER(BANK_RAW!A505),BANK_RAW!A505,DATEVALUE(TEXT(BANK_RAW!A505,"YYYY-MM-DD"))))</f>
        <v/>
      </c>
      <c r="C505" s="11">
        <f>IF(BANK_RAW!A505="","",TRIM(BANK_RAW!B505))</f>
        <v/>
      </c>
      <c r="D505" s="11">
        <f>IF(BANK_RAW!A505="","",TRIM(BANK_RAW!C505))</f>
        <v/>
      </c>
      <c r="E505" s="12">
        <f>IF(BANK_RAW!A505="","",IFERROR(ABS(BANK_RAW!D505),0))</f>
        <v/>
      </c>
      <c r="F505" s="12">
        <f>IF(BANK_RAW!A505="","",IFERROR(ABS(BANK_RAW!E505),0))</f>
        <v/>
      </c>
      <c r="G505" s="12">
        <f>IF(BANK_RAW!A505="","",IFERROR(BANK_RAW!F505,0))</f>
        <v/>
      </c>
      <c r="H505" s="11">
        <f>IF(BANK_RAW!A505="","",IF(E505&gt;0,"CR",IF(F505&gt;0,"DR","CR")))</f>
        <v/>
      </c>
      <c r="I505" s="12">
        <f>IF(BANK_RAW!A505="","",E505-F505)</f>
        <v/>
      </c>
      <c r="J505" s="12">
        <f>IF(BANK_RAW!A505="","",ABS(I505))</f>
        <v/>
      </c>
      <c r="K505" s="11">
        <f>IF(BANK_RAW!A505="","",IF(H505="CR","IN","OUT"))</f>
        <v/>
      </c>
      <c r="L505" s="11" t="inlineStr"/>
      <c r="M505" s="11" t="inlineStr"/>
    </row>
    <row r="506">
      <c r="A506" s="13">
        <f>IF(BANK_RAW!A506="","",ROW()-1)</f>
        <v/>
      </c>
      <c r="B506" s="10">
        <f>IF(BANK_RAW!A506="","",IF(ISNUMBER(BANK_RAW!A506),BANK_RAW!A506,DATEVALUE(TEXT(BANK_RAW!A506,"YYYY-MM-DD"))))</f>
        <v/>
      </c>
      <c r="C506" s="11">
        <f>IF(BANK_RAW!A506="","",TRIM(BANK_RAW!B506))</f>
        <v/>
      </c>
      <c r="D506" s="11">
        <f>IF(BANK_RAW!A506="","",TRIM(BANK_RAW!C506))</f>
        <v/>
      </c>
      <c r="E506" s="12">
        <f>IF(BANK_RAW!A506="","",IFERROR(ABS(BANK_RAW!D506),0))</f>
        <v/>
      </c>
      <c r="F506" s="12">
        <f>IF(BANK_RAW!A506="","",IFERROR(ABS(BANK_RAW!E506),0))</f>
        <v/>
      </c>
      <c r="G506" s="12">
        <f>IF(BANK_RAW!A506="","",IFERROR(BANK_RAW!F506,0))</f>
        <v/>
      </c>
      <c r="H506" s="11">
        <f>IF(BANK_RAW!A506="","",IF(E506&gt;0,"CR",IF(F506&gt;0,"DR","CR")))</f>
        <v/>
      </c>
      <c r="I506" s="12">
        <f>IF(BANK_RAW!A506="","",E506-F506)</f>
        <v/>
      </c>
      <c r="J506" s="12">
        <f>IF(BANK_RAW!A506="","",ABS(I506))</f>
        <v/>
      </c>
      <c r="K506" s="11">
        <f>IF(BANK_RAW!A506="","",IF(H506="CR","IN","OUT"))</f>
        <v/>
      </c>
      <c r="L506" s="11" t="inlineStr"/>
      <c r="M506" s="11" t="inlineStr"/>
    </row>
    <row r="507">
      <c r="A507" s="13">
        <f>IF(BANK_RAW!A507="","",ROW()-1)</f>
        <v/>
      </c>
      <c r="B507" s="10">
        <f>IF(BANK_RAW!A507="","",IF(ISNUMBER(BANK_RAW!A507),BANK_RAW!A507,DATEVALUE(TEXT(BANK_RAW!A507,"YYYY-MM-DD"))))</f>
        <v/>
      </c>
      <c r="C507" s="11">
        <f>IF(BANK_RAW!A507="","",TRIM(BANK_RAW!B507))</f>
        <v/>
      </c>
      <c r="D507" s="11">
        <f>IF(BANK_RAW!A507="","",TRIM(BANK_RAW!C507))</f>
        <v/>
      </c>
      <c r="E507" s="12">
        <f>IF(BANK_RAW!A507="","",IFERROR(ABS(BANK_RAW!D507),0))</f>
        <v/>
      </c>
      <c r="F507" s="12">
        <f>IF(BANK_RAW!A507="","",IFERROR(ABS(BANK_RAW!E507),0))</f>
        <v/>
      </c>
      <c r="G507" s="12">
        <f>IF(BANK_RAW!A507="","",IFERROR(BANK_RAW!F507,0))</f>
        <v/>
      </c>
      <c r="H507" s="11">
        <f>IF(BANK_RAW!A507="","",IF(E507&gt;0,"CR",IF(F507&gt;0,"DR","CR")))</f>
        <v/>
      </c>
      <c r="I507" s="12">
        <f>IF(BANK_RAW!A507="","",E507-F507)</f>
        <v/>
      </c>
      <c r="J507" s="12">
        <f>IF(BANK_RAW!A507="","",ABS(I507))</f>
        <v/>
      </c>
      <c r="K507" s="11">
        <f>IF(BANK_RAW!A507="","",IF(H507="CR","IN","OUT"))</f>
        <v/>
      </c>
      <c r="L507" s="11" t="inlineStr"/>
      <c r="M507" s="11" t="inlineStr"/>
    </row>
    <row r="508">
      <c r="A508" s="13">
        <f>IF(BANK_RAW!A508="","",ROW()-1)</f>
        <v/>
      </c>
      <c r="B508" s="10">
        <f>IF(BANK_RAW!A508="","",IF(ISNUMBER(BANK_RAW!A508),BANK_RAW!A508,DATEVALUE(TEXT(BANK_RAW!A508,"YYYY-MM-DD"))))</f>
        <v/>
      </c>
      <c r="C508" s="11">
        <f>IF(BANK_RAW!A508="","",TRIM(BANK_RAW!B508))</f>
        <v/>
      </c>
      <c r="D508" s="11">
        <f>IF(BANK_RAW!A508="","",TRIM(BANK_RAW!C508))</f>
        <v/>
      </c>
      <c r="E508" s="12">
        <f>IF(BANK_RAW!A508="","",IFERROR(ABS(BANK_RAW!D508),0))</f>
        <v/>
      </c>
      <c r="F508" s="12">
        <f>IF(BANK_RAW!A508="","",IFERROR(ABS(BANK_RAW!E508),0))</f>
        <v/>
      </c>
      <c r="G508" s="12">
        <f>IF(BANK_RAW!A508="","",IFERROR(BANK_RAW!F508,0))</f>
        <v/>
      </c>
      <c r="H508" s="11">
        <f>IF(BANK_RAW!A508="","",IF(E508&gt;0,"CR",IF(F508&gt;0,"DR","CR")))</f>
        <v/>
      </c>
      <c r="I508" s="12">
        <f>IF(BANK_RAW!A508="","",E508-F508)</f>
        <v/>
      </c>
      <c r="J508" s="12">
        <f>IF(BANK_RAW!A508="","",ABS(I508))</f>
        <v/>
      </c>
      <c r="K508" s="11">
        <f>IF(BANK_RAW!A508="","",IF(H508="CR","IN","OUT"))</f>
        <v/>
      </c>
      <c r="L508" s="11" t="inlineStr"/>
      <c r="M508" s="11" t="inlineStr"/>
    </row>
    <row r="509">
      <c r="A509" s="13">
        <f>IF(BANK_RAW!A509="","",ROW()-1)</f>
        <v/>
      </c>
      <c r="B509" s="10">
        <f>IF(BANK_RAW!A509="","",IF(ISNUMBER(BANK_RAW!A509),BANK_RAW!A509,DATEVALUE(TEXT(BANK_RAW!A509,"YYYY-MM-DD"))))</f>
        <v/>
      </c>
      <c r="C509" s="11">
        <f>IF(BANK_RAW!A509="","",TRIM(BANK_RAW!B509))</f>
        <v/>
      </c>
      <c r="D509" s="11">
        <f>IF(BANK_RAW!A509="","",TRIM(BANK_RAW!C509))</f>
        <v/>
      </c>
      <c r="E509" s="12">
        <f>IF(BANK_RAW!A509="","",IFERROR(ABS(BANK_RAW!D509),0))</f>
        <v/>
      </c>
      <c r="F509" s="12">
        <f>IF(BANK_RAW!A509="","",IFERROR(ABS(BANK_RAW!E509),0))</f>
        <v/>
      </c>
      <c r="G509" s="12">
        <f>IF(BANK_RAW!A509="","",IFERROR(BANK_RAW!F509,0))</f>
        <v/>
      </c>
      <c r="H509" s="11">
        <f>IF(BANK_RAW!A509="","",IF(E509&gt;0,"CR",IF(F509&gt;0,"DR","CR")))</f>
        <v/>
      </c>
      <c r="I509" s="12">
        <f>IF(BANK_RAW!A509="","",E509-F509)</f>
        <v/>
      </c>
      <c r="J509" s="12">
        <f>IF(BANK_RAW!A509="","",ABS(I509))</f>
        <v/>
      </c>
      <c r="K509" s="11">
        <f>IF(BANK_RAW!A509="","",IF(H509="CR","IN","OUT"))</f>
        <v/>
      </c>
      <c r="L509" s="11" t="inlineStr"/>
      <c r="M509" s="11" t="inlineStr"/>
    </row>
    <row r="510">
      <c r="A510" s="13">
        <f>IF(BANK_RAW!A510="","",ROW()-1)</f>
        <v/>
      </c>
      <c r="B510" s="10">
        <f>IF(BANK_RAW!A510="","",IF(ISNUMBER(BANK_RAW!A510),BANK_RAW!A510,DATEVALUE(TEXT(BANK_RAW!A510,"YYYY-MM-DD"))))</f>
        <v/>
      </c>
      <c r="C510" s="11">
        <f>IF(BANK_RAW!A510="","",TRIM(BANK_RAW!B510))</f>
        <v/>
      </c>
      <c r="D510" s="11">
        <f>IF(BANK_RAW!A510="","",TRIM(BANK_RAW!C510))</f>
        <v/>
      </c>
      <c r="E510" s="12">
        <f>IF(BANK_RAW!A510="","",IFERROR(ABS(BANK_RAW!D510),0))</f>
        <v/>
      </c>
      <c r="F510" s="12">
        <f>IF(BANK_RAW!A510="","",IFERROR(ABS(BANK_RAW!E510),0))</f>
        <v/>
      </c>
      <c r="G510" s="12">
        <f>IF(BANK_RAW!A510="","",IFERROR(BANK_RAW!F510,0))</f>
        <v/>
      </c>
      <c r="H510" s="11">
        <f>IF(BANK_RAW!A510="","",IF(E510&gt;0,"CR",IF(F510&gt;0,"DR","CR")))</f>
        <v/>
      </c>
      <c r="I510" s="12">
        <f>IF(BANK_RAW!A510="","",E510-F510)</f>
        <v/>
      </c>
      <c r="J510" s="12">
        <f>IF(BANK_RAW!A510="","",ABS(I510))</f>
        <v/>
      </c>
      <c r="K510" s="11">
        <f>IF(BANK_RAW!A510="","",IF(H510="CR","IN","OUT"))</f>
        <v/>
      </c>
      <c r="L510" s="11" t="inlineStr"/>
      <c r="M510" s="11" t="inlineStr"/>
    </row>
    <row r="511">
      <c r="A511" s="13">
        <f>IF(BANK_RAW!A511="","",ROW()-1)</f>
        <v/>
      </c>
      <c r="B511" s="10">
        <f>IF(BANK_RAW!A511="","",IF(ISNUMBER(BANK_RAW!A511),BANK_RAW!A511,DATEVALUE(TEXT(BANK_RAW!A511,"YYYY-MM-DD"))))</f>
        <v/>
      </c>
      <c r="C511" s="11">
        <f>IF(BANK_RAW!A511="","",TRIM(BANK_RAW!B511))</f>
        <v/>
      </c>
      <c r="D511" s="11">
        <f>IF(BANK_RAW!A511="","",TRIM(BANK_RAW!C511))</f>
        <v/>
      </c>
      <c r="E511" s="12">
        <f>IF(BANK_RAW!A511="","",IFERROR(ABS(BANK_RAW!D511),0))</f>
        <v/>
      </c>
      <c r="F511" s="12">
        <f>IF(BANK_RAW!A511="","",IFERROR(ABS(BANK_RAW!E511),0))</f>
        <v/>
      </c>
      <c r="G511" s="12">
        <f>IF(BANK_RAW!A511="","",IFERROR(BANK_RAW!F511,0))</f>
        <v/>
      </c>
      <c r="H511" s="11">
        <f>IF(BANK_RAW!A511="","",IF(E511&gt;0,"CR",IF(F511&gt;0,"DR","CR")))</f>
        <v/>
      </c>
      <c r="I511" s="12">
        <f>IF(BANK_RAW!A511="","",E511-F511)</f>
        <v/>
      </c>
      <c r="J511" s="12">
        <f>IF(BANK_RAW!A511="","",ABS(I511))</f>
        <v/>
      </c>
      <c r="K511" s="11">
        <f>IF(BANK_RAW!A511="","",IF(H511="CR","IN","OUT"))</f>
        <v/>
      </c>
      <c r="L511" s="11" t="inlineStr"/>
      <c r="M511" s="11" t="inlineStr"/>
    </row>
    <row r="512">
      <c r="A512" s="13">
        <f>IF(BANK_RAW!A512="","",ROW()-1)</f>
        <v/>
      </c>
      <c r="B512" s="10">
        <f>IF(BANK_RAW!A512="","",IF(ISNUMBER(BANK_RAW!A512),BANK_RAW!A512,DATEVALUE(TEXT(BANK_RAW!A512,"YYYY-MM-DD"))))</f>
        <v/>
      </c>
      <c r="C512" s="11">
        <f>IF(BANK_RAW!A512="","",TRIM(BANK_RAW!B512))</f>
        <v/>
      </c>
      <c r="D512" s="11">
        <f>IF(BANK_RAW!A512="","",TRIM(BANK_RAW!C512))</f>
        <v/>
      </c>
      <c r="E512" s="12">
        <f>IF(BANK_RAW!A512="","",IFERROR(ABS(BANK_RAW!D512),0))</f>
        <v/>
      </c>
      <c r="F512" s="12">
        <f>IF(BANK_RAW!A512="","",IFERROR(ABS(BANK_RAW!E512),0))</f>
        <v/>
      </c>
      <c r="G512" s="12">
        <f>IF(BANK_RAW!A512="","",IFERROR(BANK_RAW!F512,0))</f>
        <v/>
      </c>
      <c r="H512" s="11">
        <f>IF(BANK_RAW!A512="","",IF(E512&gt;0,"CR",IF(F512&gt;0,"DR","CR")))</f>
        <v/>
      </c>
      <c r="I512" s="12">
        <f>IF(BANK_RAW!A512="","",E512-F512)</f>
        <v/>
      </c>
      <c r="J512" s="12">
        <f>IF(BANK_RAW!A512="","",ABS(I512))</f>
        <v/>
      </c>
      <c r="K512" s="11">
        <f>IF(BANK_RAW!A512="","",IF(H512="CR","IN","OUT"))</f>
        <v/>
      </c>
      <c r="L512" s="11" t="inlineStr"/>
      <c r="M512" s="11" t="inlineStr"/>
    </row>
    <row r="513">
      <c r="A513" s="13">
        <f>IF(BANK_RAW!A513="","",ROW()-1)</f>
        <v/>
      </c>
      <c r="B513" s="10">
        <f>IF(BANK_RAW!A513="","",IF(ISNUMBER(BANK_RAW!A513),BANK_RAW!A513,DATEVALUE(TEXT(BANK_RAW!A513,"YYYY-MM-DD"))))</f>
        <v/>
      </c>
      <c r="C513" s="11">
        <f>IF(BANK_RAW!A513="","",TRIM(BANK_RAW!B513))</f>
        <v/>
      </c>
      <c r="D513" s="11">
        <f>IF(BANK_RAW!A513="","",TRIM(BANK_RAW!C513))</f>
        <v/>
      </c>
      <c r="E513" s="12">
        <f>IF(BANK_RAW!A513="","",IFERROR(ABS(BANK_RAW!D513),0))</f>
        <v/>
      </c>
      <c r="F513" s="12">
        <f>IF(BANK_RAW!A513="","",IFERROR(ABS(BANK_RAW!E513),0))</f>
        <v/>
      </c>
      <c r="G513" s="12">
        <f>IF(BANK_RAW!A513="","",IFERROR(BANK_RAW!F513,0))</f>
        <v/>
      </c>
      <c r="H513" s="11">
        <f>IF(BANK_RAW!A513="","",IF(E513&gt;0,"CR",IF(F513&gt;0,"DR","CR")))</f>
        <v/>
      </c>
      <c r="I513" s="12">
        <f>IF(BANK_RAW!A513="","",E513-F513)</f>
        <v/>
      </c>
      <c r="J513" s="12">
        <f>IF(BANK_RAW!A513="","",ABS(I513))</f>
        <v/>
      </c>
      <c r="K513" s="11">
        <f>IF(BANK_RAW!A513="","",IF(H513="CR","IN","OUT"))</f>
        <v/>
      </c>
      <c r="L513" s="11" t="inlineStr"/>
      <c r="M513" s="11" t="inlineStr"/>
    </row>
    <row r="514">
      <c r="A514" s="13">
        <f>IF(BANK_RAW!A514="","",ROW()-1)</f>
        <v/>
      </c>
      <c r="B514" s="10">
        <f>IF(BANK_RAW!A514="","",IF(ISNUMBER(BANK_RAW!A514),BANK_RAW!A514,DATEVALUE(TEXT(BANK_RAW!A514,"YYYY-MM-DD"))))</f>
        <v/>
      </c>
      <c r="C514" s="11">
        <f>IF(BANK_RAW!A514="","",TRIM(BANK_RAW!B514))</f>
        <v/>
      </c>
      <c r="D514" s="11">
        <f>IF(BANK_RAW!A514="","",TRIM(BANK_RAW!C514))</f>
        <v/>
      </c>
      <c r="E514" s="12">
        <f>IF(BANK_RAW!A514="","",IFERROR(ABS(BANK_RAW!D514),0))</f>
        <v/>
      </c>
      <c r="F514" s="12">
        <f>IF(BANK_RAW!A514="","",IFERROR(ABS(BANK_RAW!E514),0))</f>
        <v/>
      </c>
      <c r="G514" s="12">
        <f>IF(BANK_RAW!A514="","",IFERROR(BANK_RAW!F514,0))</f>
        <v/>
      </c>
      <c r="H514" s="11">
        <f>IF(BANK_RAW!A514="","",IF(E514&gt;0,"CR",IF(F514&gt;0,"DR","CR")))</f>
        <v/>
      </c>
      <c r="I514" s="12">
        <f>IF(BANK_RAW!A514="","",E514-F514)</f>
        <v/>
      </c>
      <c r="J514" s="12">
        <f>IF(BANK_RAW!A514="","",ABS(I514))</f>
        <v/>
      </c>
      <c r="K514" s="11">
        <f>IF(BANK_RAW!A514="","",IF(H514="CR","IN","OUT"))</f>
        <v/>
      </c>
      <c r="L514" s="11" t="inlineStr"/>
      <c r="M514" s="11" t="inlineStr"/>
    </row>
    <row r="515">
      <c r="A515" s="13">
        <f>IF(BANK_RAW!A515="","",ROW()-1)</f>
        <v/>
      </c>
      <c r="B515" s="10">
        <f>IF(BANK_RAW!A515="","",IF(ISNUMBER(BANK_RAW!A515),BANK_RAW!A515,DATEVALUE(TEXT(BANK_RAW!A515,"YYYY-MM-DD"))))</f>
        <v/>
      </c>
      <c r="C515" s="11">
        <f>IF(BANK_RAW!A515="","",TRIM(BANK_RAW!B515))</f>
        <v/>
      </c>
      <c r="D515" s="11">
        <f>IF(BANK_RAW!A515="","",TRIM(BANK_RAW!C515))</f>
        <v/>
      </c>
      <c r="E515" s="12">
        <f>IF(BANK_RAW!A515="","",IFERROR(ABS(BANK_RAW!D515),0))</f>
        <v/>
      </c>
      <c r="F515" s="12">
        <f>IF(BANK_RAW!A515="","",IFERROR(ABS(BANK_RAW!E515),0))</f>
        <v/>
      </c>
      <c r="G515" s="12">
        <f>IF(BANK_RAW!A515="","",IFERROR(BANK_RAW!F515,0))</f>
        <v/>
      </c>
      <c r="H515" s="11">
        <f>IF(BANK_RAW!A515="","",IF(E515&gt;0,"CR",IF(F515&gt;0,"DR","CR")))</f>
        <v/>
      </c>
      <c r="I515" s="12">
        <f>IF(BANK_RAW!A515="","",E515-F515)</f>
        <v/>
      </c>
      <c r="J515" s="12">
        <f>IF(BANK_RAW!A515="","",ABS(I515))</f>
        <v/>
      </c>
      <c r="K515" s="11">
        <f>IF(BANK_RAW!A515="","",IF(H515="CR","IN","OUT"))</f>
        <v/>
      </c>
      <c r="L515" s="11" t="inlineStr"/>
      <c r="M515" s="11" t="inlineStr"/>
    </row>
    <row r="516">
      <c r="A516" s="13">
        <f>IF(BANK_RAW!A516="","",ROW()-1)</f>
        <v/>
      </c>
      <c r="B516" s="10">
        <f>IF(BANK_RAW!A516="","",IF(ISNUMBER(BANK_RAW!A516),BANK_RAW!A516,DATEVALUE(TEXT(BANK_RAW!A516,"YYYY-MM-DD"))))</f>
        <v/>
      </c>
      <c r="C516" s="11">
        <f>IF(BANK_RAW!A516="","",TRIM(BANK_RAW!B516))</f>
        <v/>
      </c>
      <c r="D516" s="11">
        <f>IF(BANK_RAW!A516="","",TRIM(BANK_RAW!C516))</f>
        <v/>
      </c>
      <c r="E516" s="12">
        <f>IF(BANK_RAW!A516="","",IFERROR(ABS(BANK_RAW!D516),0))</f>
        <v/>
      </c>
      <c r="F516" s="12">
        <f>IF(BANK_RAW!A516="","",IFERROR(ABS(BANK_RAW!E516),0))</f>
        <v/>
      </c>
      <c r="G516" s="12">
        <f>IF(BANK_RAW!A516="","",IFERROR(BANK_RAW!F516,0))</f>
        <v/>
      </c>
      <c r="H516" s="11">
        <f>IF(BANK_RAW!A516="","",IF(E516&gt;0,"CR",IF(F516&gt;0,"DR","CR")))</f>
        <v/>
      </c>
      <c r="I516" s="12">
        <f>IF(BANK_RAW!A516="","",E516-F516)</f>
        <v/>
      </c>
      <c r="J516" s="12">
        <f>IF(BANK_RAW!A516="","",ABS(I516))</f>
        <v/>
      </c>
      <c r="K516" s="11">
        <f>IF(BANK_RAW!A516="","",IF(H516="CR","IN","OUT"))</f>
        <v/>
      </c>
      <c r="L516" s="11" t="inlineStr"/>
      <c r="M516" s="11" t="inlineStr"/>
    </row>
    <row r="517">
      <c r="A517" s="13">
        <f>IF(BANK_RAW!A517="","",ROW()-1)</f>
        <v/>
      </c>
      <c r="B517" s="10">
        <f>IF(BANK_RAW!A517="","",IF(ISNUMBER(BANK_RAW!A517),BANK_RAW!A517,DATEVALUE(TEXT(BANK_RAW!A517,"YYYY-MM-DD"))))</f>
        <v/>
      </c>
      <c r="C517" s="11">
        <f>IF(BANK_RAW!A517="","",TRIM(BANK_RAW!B517))</f>
        <v/>
      </c>
      <c r="D517" s="11">
        <f>IF(BANK_RAW!A517="","",TRIM(BANK_RAW!C517))</f>
        <v/>
      </c>
      <c r="E517" s="12">
        <f>IF(BANK_RAW!A517="","",IFERROR(ABS(BANK_RAW!D517),0))</f>
        <v/>
      </c>
      <c r="F517" s="12">
        <f>IF(BANK_RAW!A517="","",IFERROR(ABS(BANK_RAW!E517),0))</f>
        <v/>
      </c>
      <c r="G517" s="12">
        <f>IF(BANK_RAW!A517="","",IFERROR(BANK_RAW!F517,0))</f>
        <v/>
      </c>
      <c r="H517" s="11">
        <f>IF(BANK_RAW!A517="","",IF(E517&gt;0,"CR",IF(F517&gt;0,"DR","CR")))</f>
        <v/>
      </c>
      <c r="I517" s="12">
        <f>IF(BANK_RAW!A517="","",E517-F517)</f>
        <v/>
      </c>
      <c r="J517" s="12">
        <f>IF(BANK_RAW!A517="","",ABS(I517))</f>
        <v/>
      </c>
      <c r="K517" s="11">
        <f>IF(BANK_RAW!A517="","",IF(H517="CR","IN","OUT"))</f>
        <v/>
      </c>
      <c r="L517" s="11" t="inlineStr"/>
      <c r="M517" s="11" t="inlineStr"/>
    </row>
    <row r="518">
      <c r="A518" s="13">
        <f>IF(BANK_RAW!A518="","",ROW()-1)</f>
        <v/>
      </c>
      <c r="B518" s="10">
        <f>IF(BANK_RAW!A518="","",IF(ISNUMBER(BANK_RAW!A518),BANK_RAW!A518,DATEVALUE(TEXT(BANK_RAW!A518,"YYYY-MM-DD"))))</f>
        <v/>
      </c>
      <c r="C518" s="11">
        <f>IF(BANK_RAW!A518="","",TRIM(BANK_RAW!B518))</f>
        <v/>
      </c>
      <c r="D518" s="11">
        <f>IF(BANK_RAW!A518="","",TRIM(BANK_RAW!C518))</f>
        <v/>
      </c>
      <c r="E518" s="12">
        <f>IF(BANK_RAW!A518="","",IFERROR(ABS(BANK_RAW!D518),0))</f>
        <v/>
      </c>
      <c r="F518" s="12">
        <f>IF(BANK_RAW!A518="","",IFERROR(ABS(BANK_RAW!E518),0))</f>
        <v/>
      </c>
      <c r="G518" s="12">
        <f>IF(BANK_RAW!A518="","",IFERROR(BANK_RAW!F518,0))</f>
        <v/>
      </c>
      <c r="H518" s="11">
        <f>IF(BANK_RAW!A518="","",IF(E518&gt;0,"CR",IF(F518&gt;0,"DR","CR")))</f>
        <v/>
      </c>
      <c r="I518" s="12">
        <f>IF(BANK_RAW!A518="","",E518-F518)</f>
        <v/>
      </c>
      <c r="J518" s="12">
        <f>IF(BANK_RAW!A518="","",ABS(I518))</f>
        <v/>
      </c>
      <c r="K518" s="11">
        <f>IF(BANK_RAW!A518="","",IF(H518="CR","IN","OUT"))</f>
        <v/>
      </c>
      <c r="L518" s="11" t="inlineStr"/>
      <c r="M518" s="11" t="inlineStr"/>
    </row>
    <row r="519">
      <c r="A519" s="13">
        <f>IF(BANK_RAW!A519="","",ROW()-1)</f>
        <v/>
      </c>
      <c r="B519" s="10">
        <f>IF(BANK_RAW!A519="","",IF(ISNUMBER(BANK_RAW!A519),BANK_RAW!A519,DATEVALUE(TEXT(BANK_RAW!A519,"YYYY-MM-DD"))))</f>
        <v/>
      </c>
      <c r="C519" s="11">
        <f>IF(BANK_RAW!A519="","",TRIM(BANK_RAW!B519))</f>
        <v/>
      </c>
      <c r="D519" s="11">
        <f>IF(BANK_RAW!A519="","",TRIM(BANK_RAW!C519))</f>
        <v/>
      </c>
      <c r="E519" s="12">
        <f>IF(BANK_RAW!A519="","",IFERROR(ABS(BANK_RAW!D519),0))</f>
        <v/>
      </c>
      <c r="F519" s="12">
        <f>IF(BANK_RAW!A519="","",IFERROR(ABS(BANK_RAW!E519),0))</f>
        <v/>
      </c>
      <c r="G519" s="12">
        <f>IF(BANK_RAW!A519="","",IFERROR(BANK_RAW!F519,0))</f>
        <v/>
      </c>
      <c r="H519" s="11">
        <f>IF(BANK_RAW!A519="","",IF(E519&gt;0,"CR",IF(F519&gt;0,"DR","CR")))</f>
        <v/>
      </c>
      <c r="I519" s="12">
        <f>IF(BANK_RAW!A519="","",E519-F519)</f>
        <v/>
      </c>
      <c r="J519" s="12">
        <f>IF(BANK_RAW!A519="","",ABS(I519))</f>
        <v/>
      </c>
      <c r="K519" s="11">
        <f>IF(BANK_RAW!A519="","",IF(H519="CR","IN","OUT"))</f>
        <v/>
      </c>
      <c r="L519" s="11" t="inlineStr"/>
      <c r="M519" s="11" t="inlineStr"/>
    </row>
    <row r="520">
      <c r="A520" s="13">
        <f>IF(BANK_RAW!A520="","",ROW()-1)</f>
        <v/>
      </c>
      <c r="B520" s="10">
        <f>IF(BANK_RAW!A520="","",IF(ISNUMBER(BANK_RAW!A520),BANK_RAW!A520,DATEVALUE(TEXT(BANK_RAW!A520,"YYYY-MM-DD"))))</f>
        <v/>
      </c>
      <c r="C520" s="11">
        <f>IF(BANK_RAW!A520="","",TRIM(BANK_RAW!B520))</f>
        <v/>
      </c>
      <c r="D520" s="11">
        <f>IF(BANK_RAW!A520="","",TRIM(BANK_RAW!C520))</f>
        <v/>
      </c>
      <c r="E520" s="12">
        <f>IF(BANK_RAW!A520="","",IFERROR(ABS(BANK_RAW!D520),0))</f>
        <v/>
      </c>
      <c r="F520" s="12">
        <f>IF(BANK_RAW!A520="","",IFERROR(ABS(BANK_RAW!E520),0))</f>
        <v/>
      </c>
      <c r="G520" s="12">
        <f>IF(BANK_RAW!A520="","",IFERROR(BANK_RAW!F520,0))</f>
        <v/>
      </c>
      <c r="H520" s="11">
        <f>IF(BANK_RAW!A520="","",IF(E520&gt;0,"CR",IF(F520&gt;0,"DR","CR")))</f>
        <v/>
      </c>
      <c r="I520" s="12">
        <f>IF(BANK_RAW!A520="","",E520-F520)</f>
        <v/>
      </c>
      <c r="J520" s="12">
        <f>IF(BANK_RAW!A520="","",ABS(I520))</f>
        <v/>
      </c>
      <c r="K520" s="11">
        <f>IF(BANK_RAW!A520="","",IF(H520="CR","IN","OUT"))</f>
        <v/>
      </c>
      <c r="L520" s="11" t="inlineStr"/>
      <c r="M520" s="11" t="inlineStr"/>
    </row>
    <row r="521">
      <c r="A521" s="13">
        <f>IF(BANK_RAW!A521="","",ROW()-1)</f>
        <v/>
      </c>
      <c r="B521" s="10">
        <f>IF(BANK_RAW!A521="","",IF(ISNUMBER(BANK_RAW!A521),BANK_RAW!A521,DATEVALUE(TEXT(BANK_RAW!A521,"YYYY-MM-DD"))))</f>
        <v/>
      </c>
      <c r="C521" s="11">
        <f>IF(BANK_RAW!A521="","",TRIM(BANK_RAW!B521))</f>
        <v/>
      </c>
      <c r="D521" s="11">
        <f>IF(BANK_RAW!A521="","",TRIM(BANK_RAW!C521))</f>
        <v/>
      </c>
      <c r="E521" s="12">
        <f>IF(BANK_RAW!A521="","",IFERROR(ABS(BANK_RAW!D521),0))</f>
        <v/>
      </c>
      <c r="F521" s="12">
        <f>IF(BANK_RAW!A521="","",IFERROR(ABS(BANK_RAW!E521),0))</f>
        <v/>
      </c>
      <c r="G521" s="12">
        <f>IF(BANK_RAW!A521="","",IFERROR(BANK_RAW!F521,0))</f>
        <v/>
      </c>
      <c r="H521" s="11">
        <f>IF(BANK_RAW!A521="","",IF(E521&gt;0,"CR",IF(F521&gt;0,"DR","CR")))</f>
        <v/>
      </c>
      <c r="I521" s="12">
        <f>IF(BANK_RAW!A521="","",E521-F521)</f>
        <v/>
      </c>
      <c r="J521" s="12">
        <f>IF(BANK_RAW!A521="","",ABS(I521))</f>
        <v/>
      </c>
      <c r="K521" s="11">
        <f>IF(BANK_RAW!A521="","",IF(H521="CR","IN","OUT"))</f>
        <v/>
      </c>
      <c r="L521" s="11" t="inlineStr"/>
      <c r="M521" s="11" t="inlineStr"/>
    </row>
    <row r="522">
      <c r="A522" s="13">
        <f>IF(BANK_RAW!A522="","",ROW()-1)</f>
        <v/>
      </c>
      <c r="B522" s="10">
        <f>IF(BANK_RAW!A522="","",IF(ISNUMBER(BANK_RAW!A522),BANK_RAW!A522,DATEVALUE(TEXT(BANK_RAW!A522,"YYYY-MM-DD"))))</f>
        <v/>
      </c>
      <c r="C522" s="11">
        <f>IF(BANK_RAW!A522="","",TRIM(BANK_RAW!B522))</f>
        <v/>
      </c>
      <c r="D522" s="11">
        <f>IF(BANK_RAW!A522="","",TRIM(BANK_RAW!C522))</f>
        <v/>
      </c>
      <c r="E522" s="12">
        <f>IF(BANK_RAW!A522="","",IFERROR(ABS(BANK_RAW!D522),0))</f>
        <v/>
      </c>
      <c r="F522" s="12">
        <f>IF(BANK_RAW!A522="","",IFERROR(ABS(BANK_RAW!E522),0))</f>
        <v/>
      </c>
      <c r="G522" s="12">
        <f>IF(BANK_RAW!A522="","",IFERROR(BANK_RAW!F522,0))</f>
        <v/>
      </c>
      <c r="H522" s="11">
        <f>IF(BANK_RAW!A522="","",IF(E522&gt;0,"CR",IF(F522&gt;0,"DR","CR")))</f>
        <v/>
      </c>
      <c r="I522" s="12">
        <f>IF(BANK_RAW!A522="","",E522-F522)</f>
        <v/>
      </c>
      <c r="J522" s="12">
        <f>IF(BANK_RAW!A522="","",ABS(I522))</f>
        <v/>
      </c>
      <c r="K522" s="11">
        <f>IF(BANK_RAW!A522="","",IF(H522="CR","IN","OUT"))</f>
        <v/>
      </c>
      <c r="L522" s="11" t="inlineStr"/>
      <c r="M522" s="11" t="inlineStr"/>
    </row>
    <row r="523">
      <c r="A523" s="13">
        <f>IF(BANK_RAW!A523="","",ROW()-1)</f>
        <v/>
      </c>
      <c r="B523" s="10">
        <f>IF(BANK_RAW!A523="","",IF(ISNUMBER(BANK_RAW!A523),BANK_RAW!A523,DATEVALUE(TEXT(BANK_RAW!A523,"YYYY-MM-DD"))))</f>
        <v/>
      </c>
      <c r="C523" s="11">
        <f>IF(BANK_RAW!A523="","",TRIM(BANK_RAW!B523))</f>
        <v/>
      </c>
      <c r="D523" s="11">
        <f>IF(BANK_RAW!A523="","",TRIM(BANK_RAW!C523))</f>
        <v/>
      </c>
      <c r="E523" s="12">
        <f>IF(BANK_RAW!A523="","",IFERROR(ABS(BANK_RAW!D523),0))</f>
        <v/>
      </c>
      <c r="F523" s="12">
        <f>IF(BANK_RAW!A523="","",IFERROR(ABS(BANK_RAW!E523),0))</f>
        <v/>
      </c>
      <c r="G523" s="12">
        <f>IF(BANK_RAW!A523="","",IFERROR(BANK_RAW!F523,0))</f>
        <v/>
      </c>
      <c r="H523" s="11">
        <f>IF(BANK_RAW!A523="","",IF(E523&gt;0,"CR",IF(F523&gt;0,"DR","CR")))</f>
        <v/>
      </c>
      <c r="I523" s="12">
        <f>IF(BANK_RAW!A523="","",E523-F523)</f>
        <v/>
      </c>
      <c r="J523" s="12">
        <f>IF(BANK_RAW!A523="","",ABS(I523))</f>
        <v/>
      </c>
      <c r="K523" s="11">
        <f>IF(BANK_RAW!A523="","",IF(H523="CR","IN","OUT"))</f>
        <v/>
      </c>
      <c r="L523" s="11" t="inlineStr"/>
      <c r="M523" s="11" t="inlineStr"/>
    </row>
    <row r="524">
      <c r="A524" s="13">
        <f>IF(BANK_RAW!A524="","",ROW()-1)</f>
        <v/>
      </c>
      <c r="B524" s="10">
        <f>IF(BANK_RAW!A524="","",IF(ISNUMBER(BANK_RAW!A524),BANK_RAW!A524,DATEVALUE(TEXT(BANK_RAW!A524,"YYYY-MM-DD"))))</f>
        <v/>
      </c>
      <c r="C524" s="11">
        <f>IF(BANK_RAW!A524="","",TRIM(BANK_RAW!B524))</f>
        <v/>
      </c>
      <c r="D524" s="11">
        <f>IF(BANK_RAW!A524="","",TRIM(BANK_RAW!C524))</f>
        <v/>
      </c>
      <c r="E524" s="12">
        <f>IF(BANK_RAW!A524="","",IFERROR(ABS(BANK_RAW!D524),0))</f>
        <v/>
      </c>
      <c r="F524" s="12">
        <f>IF(BANK_RAW!A524="","",IFERROR(ABS(BANK_RAW!E524),0))</f>
        <v/>
      </c>
      <c r="G524" s="12">
        <f>IF(BANK_RAW!A524="","",IFERROR(BANK_RAW!F524,0))</f>
        <v/>
      </c>
      <c r="H524" s="11">
        <f>IF(BANK_RAW!A524="","",IF(E524&gt;0,"CR",IF(F524&gt;0,"DR","CR")))</f>
        <v/>
      </c>
      <c r="I524" s="12">
        <f>IF(BANK_RAW!A524="","",E524-F524)</f>
        <v/>
      </c>
      <c r="J524" s="12">
        <f>IF(BANK_RAW!A524="","",ABS(I524))</f>
        <v/>
      </c>
      <c r="K524" s="11">
        <f>IF(BANK_RAW!A524="","",IF(H524="CR","IN","OUT"))</f>
        <v/>
      </c>
      <c r="L524" s="11" t="inlineStr"/>
      <c r="M524" s="11" t="inlineStr"/>
    </row>
    <row r="525">
      <c r="A525" s="13">
        <f>IF(BANK_RAW!A525="","",ROW()-1)</f>
        <v/>
      </c>
      <c r="B525" s="10">
        <f>IF(BANK_RAW!A525="","",IF(ISNUMBER(BANK_RAW!A525),BANK_RAW!A525,DATEVALUE(TEXT(BANK_RAW!A525,"YYYY-MM-DD"))))</f>
        <v/>
      </c>
      <c r="C525" s="11">
        <f>IF(BANK_RAW!A525="","",TRIM(BANK_RAW!B525))</f>
        <v/>
      </c>
      <c r="D525" s="11">
        <f>IF(BANK_RAW!A525="","",TRIM(BANK_RAW!C525))</f>
        <v/>
      </c>
      <c r="E525" s="12">
        <f>IF(BANK_RAW!A525="","",IFERROR(ABS(BANK_RAW!D525),0))</f>
        <v/>
      </c>
      <c r="F525" s="12">
        <f>IF(BANK_RAW!A525="","",IFERROR(ABS(BANK_RAW!E525),0))</f>
        <v/>
      </c>
      <c r="G525" s="12">
        <f>IF(BANK_RAW!A525="","",IFERROR(BANK_RAW!F525,0))</f>
        <v/>
      </c>
      <c r="H525" s="11">
        <f>IF(BANK_RAW!A525="","",IF(E525&gt;0,"CR",IF(F525&gt;0,"DR","CR")))</f>
        <v/>
      </c>
      <c r="I525" s="12">
        <f>IF(BANK_RAW!A525="","",E525-F525)</f>
        <v/>
      </c>
      <c r="J525" s="12">
        <f>IF(BANK_RAW!A525="","",ABS(I525))</f>
        <v/>
      </c>
      <c r="K525" s="11">
        <f>IF(BANK_RAW!A525="","",IF(H525="CR","IN","OUT"))</f>
        <v/>
      </c>
      <c r="L525" s="11" t="inlineStr"/>
      <c r="M525" s="11" t="inlineStr"/>
    </row>
    <row r="526">
      <c r="A526" s="13">
        <f>IF(BANK_RAW!A526="","",ROW()-1)</f>
        <v/>
      </c>
      <c r="B526" s="10">
        <f>IF(BANK_RAW!A526="","",IF(ISNUMBER(BANK_RAW!A526),BANK_RAW!A526,DATEVALUE(TEXT(BANK_RAW!A526,"YYYY-MM-DD"))))</f>
        <v/>
      </c>
      <c r="C526" s="11">
        <f>IF(BANK_RAW!A526="","",TRIM(BANK_RAW!B526))</f>
        <v/>
      </c>
      <c r="D526" s="11">
        <f>IF(BANK_RAW!A526="","",TRIM(BANK_RAW!C526))</f>
        <v/>
      </c>
      <c r="E526" s="12">
        <f>IF(BANK_RAW!A526="","",IFERROR(ABS(BANK_RAW!D526),0))</f>
        <v/>
      </c>
      <c r="F526" s="12">
        <f>IF(BANK_RAW!A526="","",IFERROR(ABS(BANK_RAW!E526),0))</f>
        <v/>
      </c>
      <c r="G526" s="12">
        <f>IF(BANK_RAW!A526="","",IFERROR(BANK_RAW!F526,0))</f>
        <v/>
      </c>
      <c r="H526" s="11">
        <f>IF(BANK_RAW!A526="","",IF(E526&gt;0,"CR",IF(F526&gt;0,"DR","CR")))</f>
        <v/>
      </c>
      <c r="I526" s="12">
        <f>IF(BANK_RAW!A526="","",E526-F526)</f>
        <v/>
      </c>
      <c r="J526" s="12">
        <f>IF(BANK_RAW!A526="","",ABS(I526))</f>
        <v/>
      </c>
      <c r="K526" s="11">
        <f>IF(BANK_RAW!A526="","",IF(H526="CR","IN","OUT"))</f>
        <v/>
      </c>
      <c r="L526" s="11" t="inlineStr"/>
      <c r="M526" s="11" t="inlineStr"/>
    </row>
    <row r="527">
      <c r="A527" s="13">
        <f>IF(BANK_RAW!A527="","",ROW()-1)</f>
        <v/>
      </c>
      <c r="B527" s="10">
        <f>IF(BANK_RAW!A527="","",IF(ISNUMBER(BANK_RAW!A527),BANK_RAW!A527,DATEVALUE(TEXT(BANK_RAW!A527,"YYYY-MM-DD"))))</f>
        <v/>
      </c>
      <c r="C527" s="11">
        <f>IF(BANK_RAW!A527="","",TRIM(BANK_RAW!B527))</f>
        <v/>
      </c>
      <c r="D527" s="11">
        <f>IF(BANK_RAW!A527="","",TRIM(BANK_RAW!C527))</f>
        <v/>
      </c>
      <c r="E527" s="12">
        <f>IF(BANK_RAW!A527="","",IFERROR(ABS(BANK_RAW!D527),0))</f>
        <v/>
      </c>
      <c r="F527" s="12">
        <f>IF(BANK_RAW!A527="","",IFERROR(ABS(BANK_RAW!E527),0))</f>
        <v/>
      </c>
      <c r="G527" s="12">
        <f>IF(BANK_RAW!A527="","",IFERROR(BANK_RAW!F527,0))</f>
        <v/>
      </c>
      <c r="H527" s="11">
        <f>IF(BANK_RAW!A527="","",IF(E527&gt;0,"CR",IF(F527&gt;0,"DR","CR")))</f>
        <v/>
      </c>
      <c r="I527" s="12">
        <f>IF(BANK_RAW!A527="","",E527-F527)</f>
        <v/>
      </c>
      <c r="J527" s="12">
        <f>IF(BANK_RAW!A527="","",ABS(I527))</f>
        <v/>
      </c>
      <c r="K527" s="11">
        <f>IF(BANK_RAW!A527="","",IF(H527="CR","IN","OUT"))</f>
        <v/>
      </c>
      <c r="L527" s="11" t="inlineStr"/>
      <c r="M527" s="11" t="inlineStr"/>
    </row>
    <row r="528">
      <c r="A528" s="13">
        <f>IF(BANK_RAW!A528="","",ROW()-1)</f>
        <v/>
      </c>
      <c r="B528" s="10">
        <f>IF(BANK_RAW!A528="","",IF(ISNUMBER(BANK_RAW!A528),BANK_RAW!A528,DATEVALUE(TEXT(BANK_RAW!A528,"YYYY-MM-DD"))))</f>
        <v/>
      </c>
      <c r="C528" s="11">
        <f>IF(BANK_RAW!A528="","",TRIM(BANK_RAW!B528))</f>
        <v/>
      </c>
      <c r="D528" s="11">
        <f>IF(BANK_RAW!A528="","",TRIM(BANK_RAW!C528))</f>
        <v/>
      </c>
      <c r="E528" s="12">
        <f>IF(BANK_RAW!A528="","",IFERROR(ABS(BANK_RAW!D528),0))</f>
        <v/>
      </c>
      <c r="F528" s="12">
        <f>IF(BANK_RAW!A528="","",IFERROR(ABS(BANK_RAW!E528),0))</f>
        <v/>
      </c>
      <c r="G528" s="12">
        <f>IF(BANK_RAW!A528="","",IFERROR(BANK_RAW!F528,0))</f>
        <v/>
      </c>
      <c r="H528" s="11">
        <f>IF(BANK_RAW!A528="","",IF(E528&gt;0,"CR",IF(F528&gt;0,"DR","CR")))</f>
        <v/>
      </c>
      <c r="I528" s="12">
        <f>IF(BANK_RAW!A528="","",E528-F528)</f>
        <v/>
      </c>
      <c r="J528" s="12">
        <f>IF(BANK_RAW!A528="","",ABS(I528))</f>
        <v/>
      </c>
      <c r="K528" s="11">
        <f>IF(BANK_RAW!A528="","",IF(H528="CR","IN","OUT"))</f>
        <v/>
      </c>
      <c r="L528" s="11" t="inlineStr"/>
      <c r="M528" s="11" t="inlineStr"/>
    </row>
    <row r="529">
      <c r="A529" s="13">
        <f>IF(BANK_RAW!A529="","",ROW()-1)</f>
        <v/>
      </c>
      <c r="B529" s="10">
        <f>IF(BANK_RAW!A529="","",IF(ISNUMBER(BANK_RAW!A529),BANK_RAW!A529,DATEVALUE(TEXT(BANK_RAW!A529,"YYYY-MM-DD"))))</f>
        <v/>
      </c>
      <c r="C529" s="11">
        <f>IF(BANK_RAW!A529="","",TRIM(BANK_RAW!B529))</f>
        <v/>
      </c>
      <c r="D529" s="11">
        <f>IF(BANK_RAW!A529="","",TRIM(BANK_RAW!C529))</f>
        <v/>
      </c>
      <c r="E529" s="12">
        <f>IF(BANK_RAW!A529="","",IFERROR(ABS(BANK_RAW!D529),0))</f>
        <v/>
      </c>
      <c r="F529" s="12">
        <f>IF(BANK_RAW!A529="","",IFERROR(ABS(BANK_RAW!E529),0))</f>
        <v/>
      </c>
      <c r="G529" s="12">
        <f>IF(BANK_RAW!A529="","",IFERROR(BANK_RAW!F529,0))</f>
        <v/>
      </c>
      <c r="H529" s="11">
        <f>IF(BANK_RAW!A529="","",IF(E529&gt;0,"CR",IF(F529&gt;0,"DR","CR")))</f>
        <v/>
      </c>
      <c r="I529" s="12">
        <f>IF(BANK_RAW!A529="","",E529-F529)</f>
        <v/>
      </c>
      <c r="J529" s="12">
        <f>IF(BANK_RAW!A529="","",ABS(I529))</f>
        <v/>
      </c>
      <c r="K529" s="11">
        <f>IF(BANK_RAW!A529="","",IF(H529="CR","IN","OUT"))</f>
        <v/>
      </c>
      <c r="L529" s="11" t="inlineStr"/>
      <c r="M529" s="11" t="inlineStr"/>
    </row>
    <row r="530">
      <c r="A530" s="13">
        <f>IF(BANK_RAW!A530="","",ROW()-1)</f>
        <v/>
      </c>
      <c r="B530" s="10">
        <f>IF(BANK_RAW!A530="","",IF(ISNUMBER(BANK_RAW!A530),BANK_RAW!A530,DATEVALUE(TEXT(BANK_RAW!A530,"YYYY-MM-DD"))))</f>
        <v/>
      </c>
      <c r="C530" s="11">
        <f>IF(BANK_RAW!A530="","",TRIM(BANK_RAW!B530))</f>
        <v/>
      </c>
      <c r="D530" s="11">
        <f>IF(BANK_RAW!A530="","",TRIM(BANK_RAW!C530))</f>
        <v/>
      </c>
      <c r="E530" s="12">
        <f>IF(BANK_RAW!A530="","",IFERROR(ABS(BANK_RAW!D530),0))</f>
        <v/>
      </c>
      <c r="F530" s="12">
        <f>IF(BANK_RAW!A530="","",IFERROR(ABS(BANK_RAW!E530),0))</f>
        <v/>
      </c>
      <c r="G530" s="12">
        <f>IF(BANK_RAW!A530="","",IFERROR(BANK_RAW!F530,0))</f>
        <v/>
      </c>
      <c r="H530" s="11">
        <f>IF(BANK_RAW!A530="","",IF(E530&gt;0,"CR",IF(F530&gt;0,"DR","CR")))</f>
        <v/>
      </c>
      <c r="I530" s="12">
        <f>IF(BANK_RAW!A530="","",E530-F530)</f>
        <v/>
      </c>
      <c r="J530" s="12">
        <f>IF(BANK_RAW!A530="","",ABS(I530))</f>
        <v/>
      </c>
      <c r="K530" s="11">
        <f>IF(BANK_RAW!A530="","",IF(H530="CR","IN","OUT"))</f>
        <v/>
      </c>
      <c r="L530" s="11" t="inlineStr"/>
      <c r="M530" s="11" t="inlineStr"/>
    </row>
    <row r="531">
      <c r="A531" s="13">
        <f>IF(BANK_RAW!A531="","",ROW()-1)</f>
        <v/>
      </c>
      <c r="B531" s="10">
        <f>IF(BANK_RAW!A531="","",IF(ISNUMBER(BANK_RAW!A531),BANK_RAW!A531,DATEVALUE(TEXT(BANK_RAW!A531,"YYYY-MM-DD"))))</f>
        <v/>
      </c>
      <c r="C531" s="11">
        <f>IF(BANK_RAW!A531="","",TRIM(BANK_RAW!B531))</f>
        <v/>
      </c>
      <c r="D531" s="11">
        <f>IF(BANK_RAW!A531="","",TRIM(BANK_RAW!C531))</f>
        <v/>
      </c>
      <c r="E531" s="12">
        <f>IF(BANK_RAW!A531="","",IFERROR(ABS(BANK_RAW!D531),0))</f>
        <v/>
      </c>
      <c r="F531" s="12">
        <f>IF(BANK_RAW!A531="","",IFERROR(ABS(BANK_RAW!E531),0))</f>
        <v/>
      </c>
      <c r="G531" s="12">
        <f>IF(BANK_RAW!A531="","",IFERROR(BANK_RAW!F531,0))</f>
        <v/>
      </c>
      <c r="H531" s="11">
        <f>IF(BANK_RAW!A531="","",IF(E531&gt;0,"CR",IF(F531&gt;0,"DR","CR")))</f>
        <v/>
      </c>
      <c r="I531" s="12">
        <f>IF(BANK_RAW!A531="","",E531-F531)</f>
        <v/>
      </c>
      <c r="J531" s="12">
        <f>IF(BANK_RAW!A531="","",ABS(I531))</f>
        <v/>
      </c>
      <c r="K531" s="11">
        <f>IF(BANK_RAW!A531="","",IF(H531="CR","IN","OUT"))</f>
        <v/>
      </c>
      <c r="L531" s="11" t="inlineStr"/>
      <c r="M531" s="11" t="inlineStr"/>
    </row>
    <row r="532">
      <c r="A532" s="13">
        <f>IF(BANK_RAW!A532="","",ROW()-1)</f>
        <v/>
      </c>
      <c r="B532" s="10">
        <f>IF(BANK_RAW!A532="","",IF(ISNUMBER(BANK_RAW!A532),BANK_RAW!A532,DATEVALUE(TEXT(BANK_RAW!A532,"YYYY-MM-DD"))))</f>
        <v/>
      </c>
      <c r="C532" s="11">
        <f>IF(BANK_RAW!A532="","",TRIM(BANK_RAW!B532))</f>
        <v/>
      </c>
      <c r="D532" s="11">
        <f>IF(BANK_RAW!A532="","",TRIM(BANK_RAW!C532))</f>
        <v/>
      </c>
      <c r="E532" s="12">
        <f>IF(BANK_RAW!A532="","",IFERROR(ABS(BANK_RAW!D532),0))</f>
        <v/>
      </c>
      <c r="F532" s="12">
        <f>IF(BANK_RAW!A532="","",IFERROR(ABS(BANK_RAW!E532),0))</f>
        <v/>
      </c>
      <c r="G532" s="12">
        <f>IF(BANK_RAW!A532="","",IFERROR(BANK_RAW!F532,0))</f>
        <v/>
      </c>
      <c r="H532" s="11">
        <f>IF(BANK_RAW!A532="","",IF(E532&gt;0,"CR",IF(F532&gt;0,"DR","CR")))</f>
        <v/>
      </c>
      <c r="I532" s="12">
        <f>IF(BANK_RAW!A532="","",E532-F532)</f>
        <v/>
      </c>
      <c r="J532" s="12">
        <f>IF(BANK_RAW!A532="","",ABS(I532))</f>
        <v/>
      </c>
      <c r="K532" s="11">
        <f>IF(BANK_RAW!A532="","",IF(H532="CR","IN","OUT"))</f>
        <v/>
      </c>
      <c r="L532" s="11" t="inlineStr"/>
      <c r="M532" s="11" t="inlineStr"/>
    </row>
    <row r="533">
      <c r="A533" s="13">
        <f>IF(BANK_RAW!A533="","",ROW()-1)</f>
        <v/>
      </c>
      <c r="B533" s="10">
        <f>IF(BANK_RAW!A533="","",IF(ISNUMBER(BANK_RAW!A533),BANK_RAW!A533,DATEVALUE(TEXT(BANK_RAW!A533,"YYYY-MM-DD"))))</f>
        <v/>
      </c>
      <c r="C533" s="11">
        <f>IF(BANK_RAW!A533="","",TRIM(BANK_RAW!B533))</f>
        <v/>
      </c>
      <c r="D533" s="11">
        <f>IF(BANK_RAW!A533="","",TRIM(BANK_RAW!C533))</f>
        <v/>
      </c>
      <c r="E533" s="12">
        <f>IF(BANK_RAW!A533="","",IFERROR(ABS(BANK_RAW!D533),0))</f>
        <v/>
      </c>
      <c r="F533" s="12">
        <f>IF(BANK_RAW!A533="","",IFERROR(ABS(BANK_RAW!E533),0))</f>
        <v/>
      </c>
      <c r="G533" s="12">
        <f>IF(BANK_RAW!A533="","",IFERROR(BANK_RAW!F533,0))</f>
        <v/>
      </c>
      <c r="H533" s="11">
        <f>IF(BANK_RAW!A533="","",IF(E533&gt;0,"CR",IF(F533&gt;0,"DR","CR")))</f>
        <v/>
      </c>
      <c r="I533" s="12">
        <f>IF(BANK_RAW!A533="","",E533-F533)</f>
        <v/>
      </c>
      <c r="J533" s="12">
        <f>IF(BANK_RAW!A533="","",ABS(I533))</f>
        <v/>
      </c>
      <c r="K533" s="11">
        <f>IF(BANK_RAW!A533="","",IF(H533="CR","IN","OUT"))</f>
        <v/>
      </c>
      <c r="L533" s="11" t="inlineStr"/>
      <c r="M533" s="11" t="inlineStr"/>
    </row>
    <row r="534">
      <c r="A534" s="13">
        <f>IF(BANK_RAW!A534="","",ROW()-1)</f>
        <v/>
      </c>
      <c r="B534" s="10">
        <f>IF(BANK_RAW!A534="","",IF(ISNUMBER(BANK_RAW!A534),BANK_RAW!A534,DATEVALUE(TEXT(BANK_RAW!A534,"YYYY-MM-DD"))))</f>
        <v/>
      </c>
      <c r="C534" s="11">
        <f>IF(BANK_RAW!A534="","",TRIM(BANK_RAW!B534))</f>
        <v/>
      </c>
      <c r="D534" s="11">
        <f>IF(BANK_RAW!A534="","",TRIM(BANK_RAW!C534))</f>
        <v/>
      </c>
      <c r="E534" s="12">
        <f>IF(BANK_RAW!A534="","",IFERROR(ABS(BANK_RAW!D534),0))</f>
        <v/>
      </c>
      <c r="F534" s="12">
        <f>IF(BANK_RAW!A534="","",IFERROR(ABS(BANK_RAW!E534),0))</f>
        <v/>
      </c>
      <c r="G534" s="12">
        <f>IF(BANK_RAW!A534="","",IFERROR(BANK_RAW!F534,0))</f>
        <v/>
      </c>
      <c r="H534" s="11">
        <f>IF(BANK_RAW!A534="","",IF(E534&gt;0,"CR",IF(F534&gt;0,"DR","CR")))</f>
        <v/>
      </c>
      <c r="I534" s="12">
        <f>IF(BANK_RAW!A534="","",E534-F534)</f>
        <v/>
      </c>
      <c r="J534" s="12">
        <f>IF(BANK_RAW!A534="","",ABS(I534))</f>
        <v/>
      </c>
      <c r="K534" s="11">
        <f>IF(BANK_RAW!A534="","",IF(H534="CR","IN","OUT"))</f>
        <v/>
      </c>
      <c r="L534" s="11" t="inlineStr"/>
      <c r="M534" s="11" t="inlineStr"/>
    </row>
    <row r="535">
      <c r="A535" s="13">
        <f>IF(BANK_RAW!A535="","",ROW()-1)</f>
        <v/>
      </c>
      <c r="B535" s="10">
        <f>IF(BANK_RAW!A535="","",IF(ISNUMBER(BANK_RAW!A535),BANK_RAW!A535,DATEVALUE(TEXT(BANK_RAW!A535,"YYYY-MM-DD"))))</f>
        <v/>
      </c>
      <c r="C535" s="11">
        <f>IF(BANK_RAW!A535="","",TRIM(BANK_RAW!B535))</f>
        <v/>
      </c>
      <c r="D535" s="11">
        <f>IF(BANK_RAW!A535="","",TRIM(BANK_RAW!C535))</f>
        <v/>
      </c>
      <c r="E535" s="12">
        <f>IF(BANK_RAW!A535="","",IFERROR(ABS(BANK_RAW!D535),0))</f>
        <v/>
      </c>
      <c r="F535" s="12">
        <f>IF(BANK_RAW!A535="","",IFERROR(ABS(BANK_RAW!E535),0))</f>
        <v/>
      </c>
      <c r="G535" s="12">
        <f>IF(BANK_RAW!A535="","",IFERROR(BANK_RAW!F535,0))</f>
        <v/>
      </c>
      <c r="H535" s="11">
        <f>IF(BANK_RAW!A535="","",IF(E535&gt;0,"CR",IF(F535&gt;0,"DR","CR")))</f>
        <v/>
      </c>
      <c r="I535" s="12">
        <f>IF(BANK_RAW!A535="","",E535-F535)</f>
        <v/>
      </c>
      <c r="J535" s="12">
        <f>IF(BANK_RAW!A535="","",ABS(I535))</f>
        <v/>
      </c>
      <c r="K535" s="11">
        <f>IF(BANK_RAW!A535="","",IF(H535="CR","IN","OUT"))</f>
        <v/>
      </c>
      <c r="L535" s="11" t="inlineStr"/>
      <c r="M535" s="11" t="inlineStr"/>
    </row>
    <row r="536">
      <c r="A536" s="13">
        <f>IF(BANK_RAW!A536="","",ROW()-1)</f>
        <v/>
      </c>
      <c r="B536" s="10">
        <f>IF(BANK_RAW!A536="","",IF(ISNUMBER(BANK_RAW!A536),BANK_RAW!A536,DATEVALUE(TEXT(BANK_RAW!A536,"YYYY-MM-DD"))))</f>
        <v/>
      </c>
      <c r="C536" s="11">
        <f>IF(BANK_RAW!A536="","",TRIM(BANK_RAW!B536))</f>
        <v/>
      </c>
      <c r="D536" s="11">
        <f>IF(BANK_RAW!A536="","",TRIM(BANK_RAW!C536))</f>
        <v/>
      </c>
      <c r="E536" s="12">
        <f>IF(BANK_RAW!A536="","",IFERROR(ABS(BANK_RAW!D536),0))</f>
        <v/>
      </c>
      <c r="F536" s="12">
        <f>IF(BANK_RAW!A536="","",IFERROR(ABS(BANK_RAW!E536),0))</f>
        <v/>
      </c>
      <c r="G536" s="12">
        <f>IF(BANK_RAW!A536="","",IFERROR(BANK_RAW!F536,0))</f>
        <v/>
      </c>
      <c r="H536" s="11">
        <f>IF(BANK_RAW!A536="","",IF(E536&gt;0,"CR",IF(F536&gt;0,"DR","CR")))</f>
        <v/>
      </c>
      <c r="I536" s="12">
        <f>IF(BANK_RAW!A536="","",E536-F536)</f>
        <v/>
      </c>
      <c r="J536" s="12">
        <f>IF(BANK_RAW!A536="","",ABS(I536))</f>
        <v/>
      </c>
      <c r="K536" s="11">
        <f>IF(BANK_RAW!A536="","",IF(H536="CR","IN","OUT"))</f>
        <v/>
      </c>
      <c r="L536" s="11" t="inlineStr"/>
      <c r="M536" s="11" t="inlineStr"/>
    </row>
    <row r="537">
      <c r="A537" s="13">
        <f>IF(BANK_RAW!A537="","",ROW()-1)</f>
        <v/>
      </c>
      <c r="B537" s="10">
        <f>IF(BANK_RAW!A537="","",IF(ISNUMBER(BANK_RAW!A537),BANK_RAW!A537,DATEVALUE(TEXT(BANK_RAW!A537,"YYYY-MM-DD"))))</f>
        <v/>
      </c>
      <c r="C537" s="11">
        <f>IF(BANK_RAW!A537="","",TRIM(BANK_RAW!B537))</f>
        <v/>
      </c>
      <c r="D537" s="11">
        <f>IF(BANK_RAW!A537="","",TRIM(BANK_RAW!C537))</f>
        <v/>
      </c>
      <c r="E537" s="12">
        <f>IF(BANK_RAW!A537="","",IFERROR(ABS(BANK_RAW!D537),0))</f>
        <v/>
      </c>
      <c r="F537" s="12">
        <f>IF(BANK_RAW!A537="","",IFERROR(ABS(BANK_RAW!E537),0))</f>
        <v/>
      </c>
      <c r="G537" s="12">
        <f>IF(BANK_RAW!A537="","",IFERROR(BANK_RAW!F537,0))</f>
        <v/>
      </c>
      <c r="H537" s="11">
        <f>IF(BANK_RAW!A537="","",IF(E537&gt;0,"CR",IF(F537&gt;0,"DR","CR")))</f>
        <v/>
      </c>
      <c r="I537" s="12">
        <f>IF(BANK_RAW!A537="","",E537-F537)</f>
        <v/>
      </c>
      <c r="J537" s="12">
        <f>IF(BANK_RAW!A537="","",ABS(I537))</f>
        <v/>
      </c>
      <c r="K537" s="11">
        <f>IF(BANK_RAW!A537="","",IF(H537="CR","IN","OUT"))</f>
        <v/>
      </c>
      <c r="L537" s="11" t="inlineStr"/>
      <c r="M537" s="11" t="inlineStr"/>
    </row>
    <row r="538">
      <c r="A538" s="13">
        <f>IF(BANK_RAW!A538="","",ROW()-1)</f>
        <v/>
      </c>
      <c r="B538" s="10">
        <f>IF(BANK_RAW!A538="","",IF(ISNUMBER(BANK_RAW!A538),BANK_RAW!A538,DATEVALUE(TEXT(BANK_RAW!A538,"YYYY-MM-DD"))))</f>
        <v/>
      </c>
      <c r="C538" s="11">
        <f>IF(BANK_RAW!A538="","",TRIM(BANK_RAW!B538))</f>
        <v/>
      </c>
      <c r="D538" s="11">
        <f>IF(BANK_RAW!A538="","",TRIM(BANK_RAW!C538))</f>
        <v/>
      </c>
      <c r="E538" s="12">
        <f>IF(BANK_RAW!A538="","",IFERROR(ABS(BANK_RAW!D538),0))</f>
        <v/>
      </c>
      <c r="F538" s="12">
        <f>IF(BANK_RAW!A538="","",IFERROR(ABS(BANK_RAW!E538),0))</f>
        <v/>
      </c>
      <c r="G538" s="12">
        <f>IF(BANK_RAW!A538="","",IFERROR(BANK_RAW!F538,0))</f>
        <v/>
      </c>
      <c r="H538" s="11">
        <f>IF(BANK_RAW!A538="","",IF(E538&gt;0,"CR",IF(F538&gt;0,"DR","CR")))</f>
        <v/>
      </c>
      <c r="I538" s="12">
        <f>IF(BANK_RAW!A538="","",E538-F538)</f>
        <v/>
      </c>
      <c r="J538" s="12">
        <f>IF(BANK_RAW!A538="","",ABS(I538))</f>
        <v/>
      </c>
      <c r="K538" s="11">
        <f>IF(BANK_RAW!A538="","",IF(H538="CR","IN","OUT"))</f>
        <v/>
      </c>
      <c r="L538" s="11" t="inlineStr"/>
      <c r="M538" s="11" t="inlineStr"/>
    </row>
    <row r="539">
      <c r="A539" s="13">
        <f>IF(BANK_RAW!A539="","",ROW()-1)</f>
        <v/>
      </c>
      <c r="B539" s="10">
        <f>IF(BANK_RAW!A539="","",IF(ISNUMBER(BANK_RAW!A539),BANK_RAW!A539,DATEVALUE(TEXT(BANK_RAW!A539,"YYYY-MM-DD"))))</f>
        <v/>
      </c>
      <c r="C539" s="11">
        <f>IF(BANK_RAW!A539="","",TRIM(BANK_RAW!B539))</f>
        <v/>
      </c>
      <c r="D539" s="11">
        <f>IF(BANK_RAW!A539="","",TRIM(BANK_RAW!C539))</f>
        <v/>
      </c>
      <c r="E539" s="12">
        <f>IF(BANK_RAW!A539="","",IFERROR(ABS(BANK_RAW!D539),0))</f>
        <v/>
      </c>
      <c r="F539" s="12">
        <f>IF(BANK_RAW!A539="","",IFERROR(ABS(BANK_RAW!E539),0))</f>
        <v/>
      </c>
      <c r="G539" s="12">
        <f>IF(BANK_RAW!A539="","",IFERROR(BANK_RAW!F539,0))</f>
        <v/>
      </c>
      <c r="H539" s="11">
        <f>IF(BANK_RAW!A539="","",IF(E539&gt;0,"CR",IF(F539&gt;0,"DR","CR")))</f>
        <v/>
      </c>
      <c r="I539" s="12">
        <f>IF(BANK_RAW!A539="","",E539-F539)</f>
        <v/>
      </c>
      <c r="J539" s="12">
        <f>IF(BANK_RAW!A539="","",ABS(I539))</f>
        <v/>
      </c>
      <c r="K539" s="11">
        <f>IF(BANK_RAW!A539="","",IF(H539="CR","IN","OUT"))</f>
        <v/>
      </c>
      <c r="L539" s="11" t="inlineStr"/>
      <c r="M539" s="11" t="inlineStr"/>
    </row>
    <row r="540">
      <c r="A540" s="13">
        <f>IF(BANK_RAW!A540="","",ROW()-1)</f>
        <v/>
      </c>
      <c r="B540" s="10">
        <f>IF(BANK_RAW!A540="","",IF(ISNUMBER(BANK_RAW!A540),BANK_RAW!A540,DATEVALUE(TEXT(BANK_RAW!A540,"YYYY-MM-DD"))))</f>
        <v/>
      </c>
      <c r="C540" s="11">
        <f>IF(BANK_RAW!A540="","",TRIM(BANK_RAW!B540))</f>
        <v/>
      </c>
      <c r="D540" s="11">
        <f>IF(BANK_RAW!A540="","",TRIM(BANK_RAW!C540))</f>
        <v/>
      </c>
      <c r="E540" s="12">
        <f>IF(BANK_RAW!A540="","",IFERROR(ABS(BANK_RAW!D540),0))</f>
        <v/>
      </c>
      <c r="F540" s="12">
        <f>IF(BANK_RAW!A540="","",IFERROR(ABS(BANK_RAW!E540),0))</f>
        <v/>
      </c>
      <c r="G540" s="12">
        <f>IF(BANK_RAW!A540="","",IFERROR(BANK_RAW!F540,0))</f>
        <v/>
      </c>
      <c r="H540" s="11">
        <f>IF(BANK_RAW!A540="","",IF(E540&gt;0,"CR",IF(F540&gt;0,"DR","CR")))</f>
        <v/>
      </c>
      <c r="I540" s="12">
        <f>IF(BANK_RAW!A540="","",E540-F540)</f>
        <v/>
      </c>
      <c r="J540" s="12">
        <f>IF(BANK_RAW!A540="","",ABS(I540))</f>
        <v/>
      </c>
      <c r="K540" s="11">
        <f>IF(BANK_RAW!A540="","",IF(H540="CR","IN","OUT"))</f>
        <v/>
      </c>
      <c r="L540" s="11" t="inlineStr"/>
      <c r="M540" s="11" t="inlineStr"/>
    </row>
    <row r="541">
      <c r="A541" s="13">
        <f>IF(BANK_RAW!A541="","",ROW()-1)</f>
        <v/>
      </c>
      <c r="B541" s="10">
        <f>IF(BANK_RAW!A541="","",IF(ISNUMBER(BANK_RAW!A541),BANK_RAW!A541,DATEVALUE(TEXT(BANK_RAW!A541,"YYYY-MM-DD"))))</f>
        <v/>
      </c>
      <c r="C541" s="11">
        <f>IF(BANK_RAW!A541="","",TRIM(BANK_RAW!B541))</f>
        <v/>
      </c>
      <c r="D541" s="11">
        <f>IF(BANK_RAW!A541="","",TRIM(BANK_RAW!C541))</f>
        <v/>
      </c>
      <c r="E541" s="12">
        <f>IF(BANK_RAW!A541="","",IFERROR(ABS(BANK_RAW!D541),0))</f>
        <v/>
      </c>
      <c r="F541" s="12">
        <f>IF(BANK_RAW!A541="","",IFERROR(ABS(BANK_RAW!E541),0))</f>
        <v/>
      </c>
      <c r="G541" s="12">
        <f>IF(BANK_RAW!A541="","",IFERROR(BANK_RAW!F541,0))</f>
        <v/>
      </c>
      <c r="H541" s="11">
        <f>IF(BANK_RAW!A541="","",IF(E541&gt;0,"CR",IF(F541&gt;0,"DR","CR")))</f>
        <v/>
      </c>
      <c r="I541" s="12">
        <f>IF(BANK_RAW!A541="","",E541-F541)</f>
        <v/>
      </c>
      <c r="J541" s="12">
        <f>IF(BANK_RAW!A541="","",ABS(I541))</f>
        <v/>
      </c>
      <c r="K541" s="11">
        <f>IF(BANK_RAW!A541="","",IF(H541="CR","IN","OUT"))</f>
        <v/>
      </c>
      <c r="L541" s="11" t="inlineStr"/>
      <c r="M541" s="11" t="inlineStr"/>
    </row>
    <row r="542">
      <c r="A542" s="13">
        <f>IF(BANK_RAW!A542="","",ROW()-1)</f>
        <v/>
      </c>
      <c r="B542" s="10">
        <f>IF(BANK_RAW!A542="","",IF(ISNUMBER(BANK_RAW!A542),BANK_RAW!A542,DATEVALUE(TEXT(BANK_RAW!A542,"YYYY-MM-DD"))))</f>
        <v/>
      </c>
      <c r="C542" s="11">
        <f>IF(BANK_RAW!A542="","",TRIM(BANK_RAW!B542))</f>
        <v/>
      </c>
      <c r="D542" s="11">
        <f>IF(BANK_RAW!A542="","",TRIM(BANK_RAW!C542))</f>
        <v/>
      </c>
      <c r="E542" s="12">
        <f>IF(BANK_RAW!A542="","",IFERROR(ABS(BANK_RAW!D542),0))</f>
        <v/>
      </c>
      <c r="F542" s="12">
        <f>IF(BANK_RAW!A542="","",IFERROR(ABS(BANK_RAW!E542),0))</f>
        <v/>
      </c>
      <c r="G542" s="12">
        <f>IF(BANK_RAW!A542="","",IFERROR(BANK_RAW!F542,0))</f>
        <v/>
      </c>
      <c r="H542" s="11">
        <f>IF(BANK_RAW!A542="","",IF(E542&gt;0,"CR",IF(F542&gt;0,"DR","CR")))</f>
        <v/>
      </c>
      <c r="I542" s="12">
        <f>IF(BANK_RAW!A542="","",E542-F542)</f>
        <v/>
      </c>
      <c r="J542" s="12">
        <f>IF(BANK_RAW!A542="","",ABS(I542))</f>
        <v/>
      </c>
      <c r="K542" s="11">
        <f>IF(BANK_RAW!A542="","",IF(H542="CR","IN","OUT"))</f>
        <v/>
      </c>
      <c r="L542" s="11" t="inlineStr"/>
      <c r="M542" s="11" t="inlineStr"/>
    </row>
    <row r="543">
      <c r="A543" s="13">
        <f>IF(BANK_RAW!A543="","",ROW()-1)</f>
        <v/>
      </c>
      <c r="B543" s="10">
        <f>IF(BANK_RAW!A543="","",IF(ISNUMBER(BANK_RAW!A543),BANK_RAW!A543,DATEVALUE(TEXT(BANK_RAW!A543,"YYYY-MM-DD"))))</f>
        <v/>
      </c>
      <c r="C543" s="11">
        <f>IF(BANK_RAW!A543="","",TRIM(BANK_RAW!B543))</f>
        <v/>
      </c>
      <c r="D543" s="11">
        <f>IF(BANK_RAW!A543="","",TRIM(BANK_RAW!C543))</f>
        <v/>
      </c>
      <c r="E543" s="12">
        <f>IF(BANK_RAW!A543="","",IFERROR(ABS(BANK_RAW!D543),0))</f>
        <v/>
      </c>
      <c r="F543" s="12">
        <f>IF(BANK_RAW!A543="","",IFERROR(ABS(BANK_RAW!E543),0))</f>
        <v/>
      </c>
      <c r="G543" s="12">
        <f>IF(BANK_RAW!A543="","",IFERROR(BANK_RAW!F543,0))</f>
        <v/>
      </c>
      <c r="H543" s="11">
        <f>IF(BANK_RAW!A543="","",IF(E543&gt;0,"CR",IF(F543&gt;0,"DR","CR")))</f>
        <v/>
      </c>
      <c r="I543" s="12">
        <f>IF(BANK_RAW!A543="","",E543-F543)</f>
        <v/>
      </c>
      <c r="J543" s="12">
        <f>IF(BANK_RAW!A543="","",ABS(I543))</f>
        <v/>
      </c>
      <c r="K543" s="11">
        <f>IF(BANK_RAW!A543="","",IF(H543="CR","IN","OUT"))</f>
        <v/>
      </c>
      <c r="L543" s="11" t="inlineStr"/>
      <c r="M543" s="11" t="inlineStr"/>
    </row>
    <row r="544">
      <c r="A544" s="13">
        <f>IF(BANK_RAW!A544="","",ROW()-1)</f>
        <v/>
      </c>
      <c r="B544" s="10">
        <f>IF(BANK_RAW!A544="","",IF(ISNUMBER(BANK_RAW!A544),BANK_RAW!A544,DATEVALUE(TEXT(BANK_RAW!A544,"YYYY-MM-DD"))))</f>
        <v/>
      </c>
      <c r="C544" s="11">
        <f>IF(BANK_RAW!A544="","",TRIM(BANK_RAW!B544))</f>
        <v/>
      </c>
      <c r="D544" s="11">
        <f>IF(BANK_RAW!A544="","",TRIM(BANK_RAW!C544))</f>
        <v/>
      </c>
      <c r="E544" s="12">
        <f>IF(BANK_RAW!A544="","",IFERROR(ABS(BANK_RAW!D544),0))</f>
        <v/>
      </c>
      <c r="F544" s="12">
        <f>IF(BANK_RAW!A544="","",IFERROR(ABS(BANK_RAW!E544),0))</f>
        <v/>
      </c>
      <c r="G544" s="12">
        <f>IF(BANK_RAW!A544="","",IFERROR(BANK_RAW!F544,0))</f>
        <v/>
      </c>
      <c r="H544" s="11">
        <f>IF(BANK_RAW!A544="","",IF(E544&gt;0,"CR",IF(F544&gt;0,"DR","CR")))</f>
        <v/>
      </c>
      <c r="I544" s="12">
        <f>IF(BANK_RAW!A544="","",E544-F544)</f>
        <v/>
      </c>
      <c r="J544" s="12">
        <f>IF(BANK_RAW!A544="","",ABS(I544))</f>
        <v/>
      </c>
      <c r="K544" s="11">
        <f>IF(BANK_RAW!A544="","",IF(H544="CR","IN","OUT"))</f>
        <v/>
      </c>
      <c r="L544" s="11" t="inlineStr"/>
      <c r="M544" s="11" t="inlineStr"/>
    </row>
    <row r="545">
      <c r="A545" s="13">
        <f>IF(BANK_RAW!A545="","",ROW()-1)</f>
        <v/>
      </c>
      <c r="B545" s="10">
        <f>IF(BANK_RAW!A545="","",IF(ISNUMBER(BANK_RAW!A545),BANK_RAW!A545,DATEVALUE(TEXT(BANK_RAW!A545,"YYYY-MM-DD"))))</f>
        <v/>
      </c>
      <c r="C545" s="11">
        <f>IF(BANK_RAW!A545="","",TRIM(BANK_RAW!B545))</f>
        <v/>
      </c>
      <c r="D545" s="11">
        <f>IF(BANK_RAW!A545="","",TRIM(BANK_RAW!C545))</f>
        <v/>
      </c>
      <c r="E545" s="12">
        <f>IF(BANK_RAW!A545="","",IFERROR(ABS(BANK_RAW!D545),0))</f>
        <v/>
      </c>
      <c r="F545" s="12">
        <f>IF(BANK_RAW!A545="","",IFERROR(ABS(BANK_RAW!E545),0))</f>
        <v/>
      </c>
      <c r="G545" s="12">
        <f>IF(BANK_RAW!A545="","",IFERROR(BANK_RAW!F545,0))</f>
        <v/>
      </c>
      <c r="H545" s="11">
        <f>IF(BANK_RAW!A545="","",IF(E545&gt;0,"CR",IF(F545&gt;0,"DR","CR")))</f>
        <v/>
      </c>
      <c r="I545" s="12">
        <f>IF(BANK_RAW!A545="","",E545-F545)</f>
        <v/>
      </c>
      <c r="J545" s="12">
        <f>IF(BANK_RAW!A545="","",ABS(I545))</f>
        <v/>
      </c>
      <c r="K545" s="11">
        <f>IF(BANK_RAW!A545="","",IF(H545="CR","IN","OUT"))</f>
        <v/>
      </c>
      <c r="L545" s="11" t="inlineStr"/>
      <c r="M545" s="11" t="inlineStr"/>
    </row>
    <row r="546">
      <c r="A546" s="13">
        <f>IF(BANK_RAW!A546="","",ROW()-1)</f>
        <v/>
      </c>
      <c r="B546" s="10">
        <f>IF(BANK_RAW!A546="","",IF(ISNUMBER(BANK_RAW!A546),BANK_RAW!A546,DATEVALUE(TEXT(BANK_RAW!A546,"YYYY-MM-DD"))))</f>
        <v/>
      </c>
      <c r="C546" s="11">
        <f>IF(BANK_RAW!A546="","",TRIM(BANK_RAW!B546))</f>
        <v/>
      </c>
      <c r="D546" s="11">
        <f>IF(BANK_RAW!A546="","",TRIM(BANK_RAW!C546))</f>
        <v/>
      </c>
      <c r="E546" s="12">
        <f>IF(BANK_RAW!A546="","",IFERROR(ABS(BANK_RAW!D546),0))</f>
        <v/>
      </c>
      <c r="F546" s="12">
        <f>IF(BANK_RAW!A546="","",IFERROR(ABS(BANK_RAW!E546),0))</f>
        <v/>
      </c>
      <c r="G546" s="12">
        <f>IF(BANK_RAW!A546="","",IFERROR(BANK_RAW!F546,0))</f>
        <v/>
      </c>
      <c r="H546" s="11">
        <f>IF(BANK_RAW!A546="","",IF(E546&gt;0,"CR",IF(F546&gt;0,"DR","CR")))</f>
        <v/>
      </c>
      <c r="I546" s="12">
        <f>IF(BANK_RAW!A546="","",E546-F546)</f>
        <v/>
      </c>
      <c r="J546" s="12">
        <f>IF(BANK_RAW!A546="","",ABS(I546))</f>
        <v/>
      </c>
      <c r="K546" s="11">
        <f>IF(BANK_RAW!A546="","",IF(H546="CR","IN","OUT"))</f>
        <v/>
      </c>
      <c r="L546" s="11" t="inlineStr"/>
      <c r="M546" s="11" t="inlineStr"/>
    </row>
    <row r="547">
      <c r="A547" s="13">
        <f>IF(BANK_RAW!A547="","",ROW()-1)</f>
        <v/>
      </c>
      <c r="B547" s="10">
        <f>IF(BANK_RAW!A547="","",IF(ISNUMBER(BANK_RAW!A547),BANK_RAW!A547,DATEVALUE(TEXT(BANK_RAW!A547,"YYYY-MM-DD"))))</f>
        <v/>
      </c>
      <c r="C547" s="11">
        <f>IF(BANK_RAW!A547="","",TRIM(BANK_RAW!B547))</f>
        <v/>
      </c>
      <c r="D547" s="11">
        <f>IF(BANK_RAW!A547="","",TRIM(BANK_RAW!C547))</f>
        <v/>
      </c>
      <c r="E547" s="12">
        <f>IF(BANK_RAW!A547="","",IFERROR(ABS(BANK_RAW!D547),0))</f>
        <v/>
      </c>
      <c r="F547" s="12">
        <f>IF(BANK_RAW!A547="","",IFERROR(ABS(BANK_RAW!E547),0))</f>
        <v/>
      </c>
      <c r="G547" s="12">
        <f>IF(BANK_RAW!A547="","",IFERROR(BANK_RAW!F547,0))</f>
        <v/>
      </c>
      <c r="H547" s="11">
        <f>IF(BANK_RAW!A547="","",IF(E547&gt;0,"CR",IF(F547&gt;0,"DR","CR")))</f>
        <v/>
      </c>
      <c r="I547" s="12">
        <f>IF(BANK_RAW!A547="","",E547-F547)</f>
        <v/>
      </c>
      <c r="J547" s="12">
        <f>IF(BANK_RAW!A547="","",ABS(I547))</f>
        <v/>
      </c>
      <c r="K547" s="11">
        <f>IF(BANK_RAW!A547="","",IF(H547="CR","IN","OUT"))</f>
        <v/>
      </c>
      <c r="L547" s="11" t="inlineStr"/>
      <c r="M547" s="11" t="inlineStr"/>
    </row>
    <row r="548">
      <c r="A548" s="13">
        <f>IF(BANK_RAW!A548="","",ROW()-1)</f>
        <v/>
      </c>
      <c r="B548" s="10">
        <f>IF(BANK_RAW!A548="","",IF(ISNUMBER(BANK_RAW!A548),BANK_RAW!A548,DATEVALUE(TEXT(BANK_RAW!A548,"YYYY-MM-DD"))))</f>
        <v/>
      </c>
      <c r="C548" s="11">
        <f>IF(BANK_RAW!A548="","",TRIM(BANK_RAW!B548))</f>
        <v/>
      </c>
      <c r="D548" s="11">
        <f>IF(BANK_RAW!A548="","",TRIM(BANK_RAW!C548))</f>
        <v/>
      </c>
      <c r="E548" s="12">
        <f>IF(BANK_RAW!A548="","",IFERROR(ABS(BANK_RAW!D548),0))</f>
        <v/>
      </c>
      <c r="F548" s="12">
        <f>IF(BANK_RAW!A548="","",IFERROR(ABS(BANK_RAW!E548),0))</f>
        <v/>
      </c>
      <c r="G548" s="12">
        <f>IF(BANK_RAW!A548="","",IFERROR(BANK_RAW!F548,0))</f>
        <v/>
      </c>
      <c r="H548" s="11">
        <f>IF(BANK_RAW!A548="","",IF(E548&gt;0,"CR",IF(F548&gt;0,"DR","CR")))</f>
        <v/>
      </c>
      <c r="I548" s="12">
        <f>IF(BANK_RAW!A548="","",E548-F548)</f>
        <v/>
      </c>
      <c r="J548" s="12">
        <f>IF(BANK_RAW!A548="","",ABS(I548))</f>
        <v/>
      </c>
      <c r="K548" s="11">
        <f>IF(BANK_RAW!A548="","",IF(H548="CR","IN","OUT"))</f>
        <v/>
      </c>
      <c r="L548" s="11" t="inlineStr"/>
      <c r="M548" s="11" t="inlineStr"/>
    </row>
    <row r="549">
      <c r="A549" s="13">
        <f>IF(BANK_RAW!A549="","",ROW()-1)</f>
        <v/>
      </c>
      <c r="B549" s="10">
        <f>IF(BANK_RAW!A549="","",IF(ISNUMBER(BANK_RAW!A549),BANK_RAW!A549,DATEVALUE(TEXT(BANK_RAW!A549,"YYYY-MM-DD"))))</f>
        <v/>
      </c>
      <c r="C549" s="11">
        <f>IF(BANK_RAW!A549="","",TRIM(BANK_RAW!B549))</f>
        <v/>
      </c>
      <c r="D549" s="11">
        <f>IF(BANK_RAW!A549="","",TRIM(BANK_RAW!C549))</f>
        <v/>
      </c>
      <c r="E549" s="12">
        <f>IF(BANK_RAW!A549="","",IFERROR(ABS(BANK_RAW!D549),0))</f>
        <v/>
      </c>
      <c r="F549" s="12">
        <f>IF(BANK_RAW!A549="","",IFERROR(ABS(BANK_RAW!E549),0))</f>
        <v/>
      </c>
      <c r="G549" s="12">
        <f>IF(BANK_RAW!A549="","",IFERROR(BANK_RAW!F549,0))</f>
        <v/>
      </c>
      <c r="H549" s="11">
        <f>IF(BANK_RAW!A549="","",IF(E549&gt;0,"CR",IF(F549&gt;0,"DR","CR")))</f>
        <v/>
      </c>
      <c r="I549" s="12">
        <f>IF(BANK_RAW!A549="","",E549-F549)</f>
        <v/>
      </c>
      <c r="J549" s="12">
        <f>IF(BANK_RAW!A549="","",ABS(I549))</f>
        <v/>
      </c>
      <c r="K549" s="11">
        <f>IF(BANK_RAW!A549="","",IF(H549="CR","IN","OUT"))</f>
        <v/>
      </c>
      <c r="L549" s="11" t="inlineStr"/>
      <c r="M549" s="11" t="inlineStr"/>
    </row>
    <row r="550">
      <c r="A550" s="13">
        <f>IF(BANK_RAW!A550="","",ROW()-1)</f>
        <v/>
      </c>
      <c r="B550" s="10">
        <f>IF(BANK_RAW!A550="","",IF(ISNUMBER(BANK_RAW!A550),BANK_RAW!A550,DATEVALUE(TEXT(BANK_RAW!A550,"YYYY-MM-DD"))))</f>
        <v/>
      </c>
      <c r="C550" s="11">
        <f>IF(BANK_RAW!A550="","",TRIM(BANK_RAW!B550))</f>
        <v/>
      </c>
      <c r="D550" s="11">
        <f>IF(BANK_RAW!A550="","",TRIM(BANK_RAW!C550))</f>
        <v/>
      </c>
      <c r="E550" s="12">
        <f>IF(BANK_RAW!A550="","",IFERROR(ABS(BANK_RAW!D550),0))</f>
        <v/>
      </c>
      <c r="F550" s="12">
        <f>IF(BANK_RAW!A550="","",IFERROR(ABS(BANK_RAW!E550),0))</f>
        <v/>
      </c>
      <c r="G550" s="12">
        <f>IF(BANK_RAW!A550="","",IFERROR(BANK_RAW!F550,0))</f>
        <v/>
      </c>
      <c r="H550" s="11">
        <f>IF(BANK_RAW!A550="","",IF(E550&gt;0,"CR",IF(F550&gt;0,"DR","CR")))</f>
        <v/>
      </c>
      <c r="I550" s="12">
        <f>IF(BANK_RAW!A550="","",E550-F550)</f>
        <v/>
      </c>
      <c r="J550" s="12">
        <f>IF(BANK_RAW!A550="","",ABS(I550))</f>
        <v/>
      </c>
      <c r="K550" s="11">
        <f>IF(BANK_RAW!A550="","",IF(H550="CR","IN","OUT"))</f>
        <v/>
      </c>
      <c r="L550" s="11" t="inlineStr"/>
      <c r="M550" s="11" t="inlineStr"/>
    </row>
    <row r="551">
      <c r="A551" s="13">
        <f>IF(BANK_RAW!A551="","",ROW()-1)</f>
        <v/>
      </c>
      <c r="B551" s="10">
        <f>IF(BANK_RAW!A551="","",IF(ISNUMBER(BANK_RAW!A551),BANK_RAW!A551,DATEVALUE(TEXT(BANK_RAW!A551,"YYYY-MM-DD"))))</f>
        <v/>
      </c>
      <c r="C551" s="11">
        <f>IF(BANK_RAW!A551="","",TRIM(BANK_RAW!B551))</f>
        <v/>
      </c>
      <c r="D551" s="11">
        <f>IF(BANK_RAW!A551="","",TRIM(BANK_RAW!C551))</f>
        <v/>
      </c>
      <c r="E551" s="12">
        <f>IF(BANK_RAW!A551="","",IFERROR(ABS(BANK_RAW!D551),0))</f>
        <v/>
      </c>
      <c r="F551" s="12">
        <f>IF(BANK_RAW!A551="","",IFERROR(ABS(BANK_RAW!E551),0))</f>
        <v/>
      </c>
      <c r="G551" s="12">
        <f>IF(BANK_RAW!A551="","",IFERROR(BANK_RAW!F551,0))</f>
        <v/>
      </c>
      <c r="H551" s="11">
        <f>IF(BANK_RAW!A551="","",IF(E551&gt;0,"CR",IF(F551&gt;0,"DR","CR")))</f>
        <v/>
      </c>
      <c r="I551" s="12">
        <f>IF(BANK_RAW!A551="","",E551-F551)</f>
        <v/>
      </c>
      <c r="J551" s="12">
        <f>IF(BANK_RAW!A551="","",ABS(I551))</f>
        <v/>
      </c>
      <c r="K551" s="11">
        <f>IF(BANK_RAW!A551="","",IF(H551="CR","IN","OUT"))</f>
        <v/>
      </c>
      <c r="L551" s="11" t="inlineStr"/>
      <c r="M551" s="11" t="inlineStr"/>
    </row>
    <row r="552">
      <c r="A552" s="13">
        <f>IF(BANK_RAW!A552="","",ROW()-1)</f>
        <v/>
      </c>
      <c r="B552" s="10">
        <f>IF(BANK_RAW!A552="","",IF(ISNUMBER(BANK_RAW!A552),BANK_RAW!A552,DATEVALUE(TEXT(BANK_RAW!A552,"YYYY-MM-DD"))))</f>
        <v/>
      </c>
      <c r="C552" s="11">
        <f>IF(BANK_RAW!A552="","",TRIM(BANK_RAW!B552))</f>
        <v/>
      </c>
      <c r="D552" s="11">
        <f>IF(BANK_RAW!A552="","",TRIM(BANK_RAW!C552))</f>
        <v/>
      </c>
      <c r="E552" s="12">
        <f>IF(BANK_RAW!A552="","",IFERROR(ABS(BANK_RAW!D552),0))</f>
        <v/>
      </c>
      <c r="F552" s="12">
        <f>IF(BANK_RAW!A552="","",IFERROR(ABS(BANK_RAW!E552),0))</f>
        <v/>
      </c>
      <c r="G552" s="12">
        <f>IF(BANK_RAW!A552="","",IFERROR(BANK_RAW!F552,0))</f>
        <v/>
      </c>
      <c r="H552" s="11">
        <f>IF(BANK_RAW!A552="","",IF(E552&gt;0,"CR",IF(F552&gt;0,"DR","CR")))</f>
        <v/>
      </c>
      <c r="I552" s="12">
        <f>IF(BANK_RAW!A552="","",E552-F552)</f>
        <v/>
      </c>
      <c r="J552" s="12">
        <f>IF(BANK_RAW!A552="","",ABS(I552))</f>
        <v/>
      </c>
      <c r="K552" s="11">
        <f>IF(BANK_RAW!A552="","",IF(H552="CR","IN","OUT"))</f>
        <v/>
      </c>
      <c r="L552" s="11" t="inlineStr"/>
      <c r="M552" s="11" t="inlineStr"/>
    </row>
    <row r="553">
      <c r="A553" s="13">
        <f>IF(BANK_RAW!A553="","",ROW()-1)</f>
        <v/>
      </c>
      <c r="B553" s="10">
        <f>IF(BANK_RAW!A553="","",IF(ISNUMBER(BANK_RAW!A553),BANK_RAW!A553,DATEVALUE(TEXT(BANK_RAW!A553,"YYYY-MM-DD"))))</f>
        <v/>
      </c>
      <c r="C553" s="11">
        <f>IF(BANK_RAW!A553="","",TRIM(BANK_RAW!B553))</f>
        <v/>
      </c>
      <c r="D553" s="11">
        <f>IF(BANK_RAW!A553="","",TRIM(BANK_RAW!C553))</f>
        <v/>
      </c>
      <c r="E553" s="12">
        <f>IF(BANK_RAW!A553="","",IFERROR(ABS(BANK_RAW!D553),0))</f>
        <v/>
      </c>
      <c r="F553" s="12">
        <f>IF(BANK_RAW!A553="","",IFERROR(ABS(BANK_RAW!E553),0))</f>
        <v/>
      </c>
      <c r="G553" s="12">
        <f>IF(BANK_RAW!A553="","",IFERROR(BANK_RAW!F553,0))</f>
        <v/>
      </c>
      <c r="H553" s="11">
        <f>IF(BANK_RAW!A553="","",IF(E553&gt;0,"CR",IF(F553&gt;0,"DR","CR")))</f>
        <v/>
      </c>
      <c r="I553" s="12">
        <f>IF(BANK_RAW!A553="","",E553-F553)</f>
        <v/>
      </c>
      <c r="J553" s="12">
        <f>IF(BANK_RAW!A553="","",ABS(I553))</f>
        <v/>
      </c>
      <c r="K553" s="11">
        <f>IF(BANK_RAW!A553="","",IF(H553="CR","IN","OUT"))</f>
        <v/>
      </c>
      <c r="L553" s="11" t="inlineStr"/>
      <c r="M553" s="11" t="inlineStr"/>
    </row>
    <row r="554">
      <c r="A554" s="13">
        <f>IF(BANK_RAW!A554="","",ROW()-1)</f>
        <v/>
      </c>
      <c r="B554" s="10">
        <f>IF(BANK_RAW!A554="","",IF(ISNUMBER(BANK_RAW!A554),BANK_RAW!A554,DATEVALUE(TEXT(BANK_RAW!A554,"YYYY-MM-DD"))))</f>
        <v/>
      </c>
      <c r="C554" s="11">
        <f>IF(BANK_RAW!A554="","",TRIM(BANK_RAW!B554))</f>
        <v/>
      </c>
      <c r="D554" s="11">
        <f>IF(BANK_RAW!A554="","",TRIM(BANK_RAW!C554))</f>
        <v/>
      </c>
      <c r="E554" s="12">
        <f>IF(BANK_RAW!A554="","",IFERROR(ABS(BANK_RAW!D554),0))</f>
        <v/>
      </c>
      <c r="F554" s="12">
        <f>IF(BANK_RAW!A554="","",IFERROR(ABS(BANK_RAW!E554),0))</f>
        <v/>
      </c>
      <c r="G554" s="12">
        <f>IF(BANK_RAW!A554="","",IFERROR(BANK_RAW!F554,0))</f>
        <v/>
      </c>
      <c r="H554" s="11">
        <f>IF(BANK_RAW!A554="","",IF(E554&gt;0,"CR",IF(F554&gt;0,"DR","CR")))</f>
        <v/>
      </c>
      <c r="I554" s="12">
        <f>IF(BANK_RAW!A554="","",E554-F554)</f>
        <v/>
      </c>
      <c r="J554" s="12">
        <f>IF(BANK_RAW!A554="","",ABS(I554))</f>
        <v/>
      </c>
      <c r="K554" s="11">
        <f>IF(BANK_RAW!A554="","",IF(H554="CR","IN","OUT"))</f>
        <v/>
      </c>
      <c r="L554" s="11" t="inlineStr"/>
      <c r="M554" s="11" t="inlineStr"/>
    </row>
    <row r="555">
      <c r="A555" s="13">
        <f>IF(BANK_RAW!A555="","",ROW()-1)</f>
        <v/>
      </c>
      <c r="B555" s="10">
        <f>IF(BANK_RAW!A555="","",IF(ISNUMBER(BANK_RAW!A555),BANK_RAW!A555,DATEVALUE(TEXT(BANK_RAW!A555,"YYYY-MM-DD"))))</f>
        <v/>
      </c>
      <c r="C555" s="11">
        <f>IF(BANK_RAW!A555="","",TRIM(BANK_RAW!B555))</f>
        <v/>
      </c>
      <c r="D555" s="11">
        <f>IF(BANK_RAW!A555="","",TRIM(BANK_RAW!C555))</f>
        <v/>
      </c>
      <c r="E555" s="12">
        <f>IF(BANK_RAW!A555="","",IFERROR(ABS(BANK_RAW!D555),0))</f>
        <v/>
      </c>
      <c r="F555" s="12">
        <f>IF(BANK_RAW!A555="","",IFERROR(ABS(BANK_RAW!E555),0))</f>
        <v/>
      </c>
      <c r="G555" s="12">
        <f>IF(BANK_RAW!A555="","",IFERROR(BANK_RAW!F555,0))</f>
        <v/>
      </c>
      <c r="H555" s="11">
        <f>IF(BANK_RAW!A555="","",IF(E555&gt;0,"CR",IF(F555&gt;0,"DR","CR")))</f>
        <v/>
      </c>
      <c r="I555" s="12">
        <f>IF(BANK_RAW!A555="","",E555-F555)</f>
        <v/>
      </c>
      <c r="J555" s="12">
        <f>IF(BANK_RAW!A555="","",ABS(I555))</f>
        <v/>
      </c>
      <c r="K555" s="11">
        <f>IF(BANK_RAW!A555="","",IF(H555="CR","IN","OUT"))</f>
        <v/>
      </c>
      <c r="L555" s="11" t="inlineStr"/>
      <c r="M555" s="11" t="inlineStr"/>
    </row>
    <row r="556">
      <c r="A556" s="13">
        <f>IF(BANK_RAW!A556="","",ROW()-1)</f>
        <v/>
      </c>
      <c r="B556" s="10">
        <f>IF(BANK_RAW!A556="","",IF(ISNUMBER(BANK_RAW!A556),BANK_RAW!A556,DATEVALUE(TEXT(BANK_RAW!A556,"YYYY-MM-DD"))))</f>
        <v/>
      </c>
      <c r="C556" s="11">
        <f>IF(BANK_RAW!A556="","",TRIM(BANK_RAW!B556))</f>
        <v/>
      </c>
      <c r="D556" s="11">
        <f>IF(BANK_RAW!A556="","",TRIM(BANK_RAW!C556))</f>
        <v/>
      </c>
      <c r="E556" s="12">
        <f>IF(BANK_RAW!A556="","",IFERROR(ABS(BANK_RAW!D556),0))</f>
        <v/>
      </c>
      <c r="F556" s="12">
        <f>IF(BANK_RAW!A556="","",IFERROR(ABS(BANK_RAW!E556),0))</f>
        <v/>
      </c>
      <c r="G556" s="12">
        <f>IF(BANK_RAW!A556="","",IFERROR(BANK_RAW!F556,0))</f>
        <v/>
      </c>
      <c r="H556" s="11">
        <f>IF(BANK_RAW!A556="","",IF(E556&gt;0,"CR",IF(F556&gt;0,"DR","CR")))</f>
        <v/>
      </c>
      <c r="I556" s="12">
        <f>IF(BANK_RAW!A556="","",E556-F556)</f>
        <v/>
      </c>
      <c r="J556" s="12">
        <f>IF(BANK_RAW!A556="","",ABS(I556))</f>
        <v/>
      </c>
      <c r="K556" s="11">
        <f>IF(BANK_RAW!A556="","",IF(H556="CR","IN","OUT"))</f>
        <v/>
      </c>
      <c r="L556" s="11" t="inlineStr"/>
      <c r="M556" s="11" t="inlineStr"/>
    </row>
    <row r="557">
      <c r="A557" s="13">
        <f>IF(BANK_RAW!A557="","",ROW()-1)</f>
        <v/>
      </c>
      <c r="B557" s="10">
        <f>IF(BANK_RAW!A557="","",IF(ISNUMBER(BANK_RAW!A557),BANK_RAW!A557,DATEVALUE(TEXT(BANK_RAW!A557,"YYYY-MM-DD"))))</f>
        <v/>
      </c>
      <c r="C557" s="11">
        <f>IF(BANK_RAW!A557="","",TRIM(BANK_RAW!B557))</f>
        <v/>
      </c>
      <c r="D557" s="11">
        <f>IF(BANK_RAW!A557="","",TRIM(BANK_RAW!C557))</f>
        <v/>
      </c>
      <c r="E557" s="12">
        <f>IF(BANK_RAW!A557="","",IFERROR(ABS(BANK_RAW!D557),0))</f>
        <v/>
      </c>
      <c r="F557" s="12">
        <f>IF(BANK_RAW!A557="","",IFERROR(ABS(BANK_RAW!E557),0))</f>
        <v/>
      </c>
      <c r="G557" s="12">
        <f>IF(BANK_RAW!A557="","",IFERROR(BANK_RAW!F557,0))</f>
        <v/>
      </c>
      <c r="H557" s="11">
        <f>IF(BANK_RAW!A557="","",IF(E557&gt;0,"CR",IF(F557&gt;0,"DR","CR")))</f>
        <v/>
      </c>
      <c r="I557" s="12">
        <f>IF(BANK_RAW!A557="","",E557-F557)</f>
        <v/>
      </c>
      <c r="J557" s="12">
        <f>IF(BANK_RAW!A557="","",ABS(I557))</f>
        <v/>
      </c>
      <c r="K557" s="11">
        <f>IF(BANK_RAW!A557="","",IF(H557="CR","IN","OUT"))</f>
        <v/>
      </c>
      <c r="L557" s="11" t="inlineStr"/>
      <c r="M557" s="11" t="inlineStr"/>
    </row>
    <row r="558">
      <c r="A558" s="13">
        <f>IF(BANK_RAW!A558="","",ROW()-1)</f>
        <v/>
      </c>
      <c r="B558" s="10">
        <f>IF(BANK_RAW!A558="","",IF(ISNUMBER(BANK_RAW!A558),BANK_RAW!A558,DATEVALUE(TEXT(BANK_RAW!A558,"YYYY-MM-DD"))))</f>
        <v/>
      </c>
      <c r="C558" s="11">
        <f>IF(BANK_RAW!A558="","",TRIM(BANK_RAW!B558))</f>
        <v/>
      </c>
      <c r="D558" s="11">
        <f>IF(BANK_RAW!A558="","",TRIM(BANK_RAW!C558))</f>
        <v/>
      </c>
      <c r="E558" s="12">
        <f>IF(BANK_RAW!A558="","",IFERROR(ABS(BANK_RAW!D558),0))</f>
        <v/>
      </c>
      <c r="F558" s="12">
        <f>IF(BANK_RAW!A558="","",IFERROR(ABS(BANK_RAW!E558),0))</f>
        <v/>
      </c>
      <c r="G558" s="12">
        <f>IF(BANK_RAW!A558="","",IFERROR(BANK_RAW!F558,0))</f>
        <v/>
      </c>
      <c r="H558" s="11">
        <f>IF(BANK_RAW!A558="","",IF(E558&gt;0,"CR",IF(F558&gt;0,"DR","CR")))</f>
        <v/>
      </c>
      <c r="I558" s="12">
        <f>IF(BANK_RAW!A558="","",E558-F558)</f>
        <v/>
      </c>
      <c r="J558" s="12">
        <f>IF(BANK_RAW!A558="","",ABS(I558))</f>
        <v/>
      </c>
      <c r="K558" s="11">
        <f>IF(BANK_RAW!A558="","",IF(H558="CR","IN","OUT"))</f>
        <v/>
      </c>
      <c r="L558" s="11" t="inlineStr"/>
      <c r="M558" s="11" t="inlineStr"/>
    </row>
    <row r="559">
      <c r="A559" s="13">
        <f>IF(BANK_RAW!A559="","",ROW()-1)</f>
        <v/>
      </c>
      <c r="B559" s="10">
        <f>IF(BANK_RAW!A559="","",IF(ISNUMBER(BANK_RAW!A559),BANK_RAW!A559,DATEVALUE(TEXT(BANK_RAW!A559,"YYYY-MM-DD"))))</f>
        <v/>
      </c>
      <c r="C559" s="11">
        <f>IF(BANK_RAW!A559="","",TRIM(BANK_RAW!B559))</f>
        <v/>
      </c>
      <c r="D559" s="11">
        <f>IF(BANK_RAW!A559="","",TRIM(BANK_RAW!C559))</f>
        <v/>
      </c>
      <c r="E559" s="12">
        <f>IF(BANK_RAW!A559="","",IFERROR(ABS(BANK_RAW!D559),0))</f>
        <v/>
      </c>
      <c r="F559" s="12">
        <f>IF(BANK_RAW!A559="","",IFERROR(ABS(BANK_RAW!E559),0))</f>
        <v/>
      </c>
      <c r="G559" s="12">
        <f>IF(BANK_RAW!A559="","",IFERROR(BANK_RAW!F559,0))</f>
        <v/>
      </c>
      <c r="H559" s="11">
        <f>IF(BANK_RAW!A559="","",IF(E559&gt;0,"CR",IF(F559&gt;0,"DR","CR")))</f>
        <v/>
      </c>
      <c r="I559" s="12">
        <f>IF(BANK_RAW!A559="","",E559-F559)</f>
        <v/>
      </c>
      <c r="J559" s="12">
        <f>IF(BANK_RAW!A559="","",ABS(I559))</f>
        <v/>
      </c>
      <c r="K559" s="11">
        <f>IF(BANK_RAW!A559="","",IF(H559="CR","IN","OUT"))</f>
        <v/>
      </c>
      <c r="L559" s="11" t="inlineStr"/>
      <c r="M559" s="11" t="inlineStr"/>
    </row>
    <row r="560">
      <c r="A560" s="13">
        <f>IF(BANK_RAW!A560="","",ROW()-1)</f>
        <v/>
      </c>
      <c r="B560" s="10">
        <f>IF(BANK_RAW!A560="","",IF(ISNUMBER(BANK_RAW!A560),BANK_RAW!A560,DATEVALUE(TEXT(BANK_RAW!A560,"YYYY-MM-DD"))))</f>
        <v/>
      </c>
      <c r="C560" s="11">
        <f>IF(BANK_RAW!A560="","",TRIM(BANK_RAW!B560))</f>
        <v/>
      </c>
      <c r="D560" s="11">
        <f>IF(BANK_RAW!A560="","",TRIM(BANK_RAW!C560))</f>
        <v/>
      </c>
      <c r="E560" s="12">
        <f>IF(BANK_RAW!A560="","",IFERROR(ABS(BANK_RAW!D560),0))</f>
        <v/>
      </c>
      <c r="F560" s="12">
        <f>IF(BANK_RAW!A560="","",IFERROR(ABS(BANK_RAW!E560),0))</f>
        <v/>
      </c>
      <c r="G560" s="12">
        <f>IF(BANK_RAW!A560="","",IFERROR(BANK_RAW!F560,0))</f>
        <v/>
      </c>
      <c r="H560" s="11">
        <f>IF(BANK_RAW!A560="","",IF(E560&gt;0,"CR",IF(F560&gt;0,"DR","CR")))</f>
        <v/>
      </c>
      <c r="I560" s="12">
        <f>IF(BANK_RAW!A560="","",E560-F560)</f>
        <v/>
      </c>
      <c r="J560" s="12">
        <f>IF(BANK_RAW!A560="","",ABS(I560))</f>
        <v/>
      </c>
      <c r="K560" s="11">
        <f>IF(BANK_RAW!A560="","",IF(H560="CR","IN","OUT"))</f>
        <v/>
      </c>
      <c r="L560" s="11" t="inlineStr"/>
      <c r="M560" s="11" t="inlineStr"/>
    </row>
    <row r="561">
      <c r="A561" s="13">
        <f>IF(BANK_RAW!A561="","",ROW()-1)</f>
        <v/>
      </c>
      <c r="B561" s="10">
        <f>IF(BANK_RAW!A561="","",IF(ISNUMBER(BANK_RAW!A561),BANK_RAW!A561,DATEVALUE(TEXT(BANK_RAW!A561,"YYYY-MM-DD"))))</f>
        <v/>
      </c>
      <c r="C561" s="11">
        <f>IF(BANK_RAW!A561="","",TRIM(BANK_RAW!B561))</f>
        <v/>
      </c>
      <c r="D561" s="11">
        <f>IF(BANK_RAW!A561="","",TRIM(BANK_RAW!C561))</f>
        <v/>
      </c>
      <c r="E561" s="12">
        <f>IF(BANK_RAW!A561="","",IFERROR(ABS(BANK_RAW!D561),0))</f>
        <v/>
      </c>
      <c r="F561" s="12">
        <f>IF(BANK_RAW!A561="","",IFERROR(ABS(BANK_RAW!E561),0))</f>
        <v/>
      </c>
      <c r="G561" s="12">
        <f>IF(BANK_RAW!A561="","",IFERROR(BANK_RAW!F561,0))</f>
        <v/>
      </c>
      <c r="H561" s="11">
        <f>IF(BANK_RAW!A561="","",IF(E561&gt;0,"CR",IF(F561&gt;0,"DR","CR")))</f>
        <v/>
      </c>
      <c r="I561" s="12">
        <f>IF(BANK_RAW!A561="","",E561-F561)</f>
        <v/>
      </c>
      <c r="J561" s="12">
        <f>IF(BANK_RAW!A561="","",ABS(I561))</f>
        <v/>
      </c>
      <c r="K561" s="11">
        <f>IF(BANK_RAW!A561="","",IF(H561="CR","IN","OUT"))</f>
        <v/>
      </c>
      <c r="L561" s="11" t="inlineStr"/>
      <c r="M561" s="11" t="inlineStr"/>
    </row>
    <row r="562">
      <c r="A562" s="13">
        <f>IF(BANK_RAW!A562="","",ROW()-1)</f>
        <v/>
      </c>
      <c r="B562" s="10">
        <f>IF(BANK_RAW!A562="","",IF(ISNUMBER(BANK_RAW!A562),BANK_RAW!A562,DATEVALUE(TEXT(BANK_RAW!A562,"YYYY-MM-DD"))))</f>
        <v/>
      </c>
      <c r="C562" s="11">
        <f>IF(BANK_RAW!A562="","",TRIM(BANK_RAW!B562))</f>
        <v/>
      </c>
      <c r="D562" s="11">
        <f>IF(BANK_RAW!A562="","",TRIM(BANK_RAW!C562))</f>
        <v/>
      </c>
      <c r="E562" s="12">
        <f>IF(BANK_RAW!A562="","",IFERROR(ABS(BANK_RAW!D562),0))</f>
        <v/>
      </c>
      <c r="F562" s="12">
        <f>IF(BANK_RAW!A562="","",IFERROR(ABS(BANK_RAW!E562),0))</f>
        <v/>
      </c>
      <c r="G562" s="12">
        <f>IF(BANK_RAW!A562="","",IFERROR(BANK_RAW!F562,0))</f>
        <v/>
      </c>
      <c r="H562" s="11">
        <f>IF(BANK_RAW!A562="","",IF(E562&gt;0,"CR",IF(F562&gt;0,"DR","CR")))</f>
        <v/>
      </c>
      <c r="I562" s="12">
        <f>IF(BANK_RAW!A562="","",E562-F562)</f>
        <v/>
      </c>
      <c r="J562" s="12">
        <f>IF(BANK_RAW!A562="","",ABS(I562))</f>
        <v/>
      </c>
      <c r="K562" s="11">
        <f>IF(BANK_RAW!A562="","",IF(H562="CR","IN","OUT"))</f>
        <v/>
      </c>
      <c r="L562" s="11" t="inlineStr"/>
      <c r="M562" s="11" t="inlineStr"/>
    </row>
    <row r="563">
      <c r="A563" s="13">
        <f>IF(BANK_RAW!A563="","",ROW()-1)</f>
        <v/>
      </c>
      <c r="B563" s="10">
        <f>IF(BANK_RAW!A563="","",IF(ISNUMBER(BANK_RAW!A563),BANK_RAW!A563,DATEVALUE(TEXT(BANK_RAW!A563,"YYYY-MM-DD"))))</f>
        <v/>
      </c>
      <c r="C563" s="11">
        <f>IF(BANK_RAW!A563="","",TRIM(BANK_RAW!B563))</f>
        <v/>
      </c>
      <c r="D563" s="11">
        <f>IF(BANK_RAW!A563="","",TRIM(BANK_RAW!C563))</f>
        <v/>
      </c>
      <c r="E563" s="12">
        <f>IF(BANK_RAW!A563="","",IFERROR(ABS(BANK_RAW!D563),0))</f>
        <v/>
      </c>
      <c r="F563" s="12">
        <f>IF(BANK_RAW!A563="","",IFERROR(ABS(BANK_RAW!E563),0))</f>
        <v/>
      </c>
      <c r="G563" s="12">
        <f>IF(BANK_RAW!A563="","",IFERROR(BANK_RAW!F563,0))</f>
        <v/>
      </c>
      <c r="H563" s="11">
        <f>IF(BANK_RAW!A563="","",IF(E563&gt;0,"CR",IF(F563&gt;0,"DR","CR")))</f>
        <v/>
      </c>
      <c r="I563" s="12">
        <f>IF(BANK_RAW!A563="","",E563-F563)</f>
        <v/>
      </c>
      <c r="J563" s="12">
        <f>IF(BANK_RAW!A563="","",ABS(I563))</f>
        <v/>
      </c>
      <c r="K563" s="11">
        <f>IF(BANK_RAW!A563="","",IF(H563="CR","IN","OUT"))</f>
        <v/>
      </c>
      <c r="L563" s="11" t="inlineStr"/>
      <c r="M563" s="11" t="inlineStr"/>
    </row>
    <row r="564">
      <c r="A564" s="13">
        <f>IF(BANK_RAW!A564="","",ROW()-1)</f>
        <v/>
      </c>
      <c r="B564" s="10">
        <f>IF(BANK_RAW!A564="","",IF(ISNUMBER(BANK_RAW!A564),BANK_RAW!A564,DATEVALUE(TEXT(BANK_RAW!A564,"YYYY-MM-DD"))))</f>
        <v/>
      </c>
      <c r="C564" s="11">
        <f>IF(BANK_RAW!A564="","",TRIM(BANK_RAW!B564))</f>
        <v/>
      </c>
      <c r="D564" s="11">
        <f>IF(BANK_RAW!A564="","",TRIM(BANK_RAW!C564))</f>
        <v/>
      </c>
      <c r="E564" s="12">
        <f>IF(BANK_RAW!A564="","",IFERROR(ABS(BANK_RAW!D564),0))</f>
        <v/>
      </c>
      <c r="F564" s="12">
        <f>IF(BANK_RAW!A564="","",IFERROR(ABS(BANK_RAW!E564),0))</f>
        <v/>
      </c>
      <c r="G564" s="12">
        <f>IF(BANK_RAW!A564="","",IFERROR(BANK_RAW!F564,0))</f>
        <v/>
      </c>
      <c r="H564" s="11">
        <f>IF(BANK_RAW!A564="","",IF(E564&gt;0,"CR",IF(F564&gt;0,"DR","CR")))</f>
        <v/>
      </c>
      <c r="I564" s="12">
        <f>IF(BANK_RAW!A564="","",E564-F564)</f>
        <v/>
      </c>
      <c r="J564" s="12">
        <f>IF(BANK_RAW!A564="","",ABS(I564))</f>
        <v/>
      </c>
      <c r="K564" s="11">
        <f>IF(BANK_RAW!A564="","",IF(H564="CR","IN","OUT"))</f>
        <v/>
      </c>
      <c r="L564" s="11" t="inlineStr"/>
      <c r="M564" s="11" t="inlineStr"/>
    </row>
    <row r="565">
      <c r="A565" s="13">
        <f>IF(BANK_RAW!A565="","",ROW()-1)</f>
        <v/>
      </c>
      <c r="B565" s="10">
        <f>IF(BANK_RAW!A565="","",IF(ISNUMBER(BANK_RAW!A565),BANK_RAW!A565,DATEVALUE(TEXT(BANK_RAW!A565,"YYYY-MM-DD"))))</f>
        <v/>
      </c>
      <c r="C565" s="11">
        <f>IF(BANK_RAW!A565="","",TRIM(BANK_RAW!B565))</f>
        <v/>
      </c>
      <c r="D565" s="11">
        <f>IF(BANK_RAW!A565="","",TRIM(BANK_RAW!C565))</f>
        <v/>
      </c>
      <c r="E565" s="12">
        <f>IF(BANK_RAW!A565="","",IFERROR(ABS(BANK_RAW!D565),0))</f>
        <v/>
      </c>
      <c r="F565" s="12">
        <f>IF(BANK_RAW!A565="","",IFERROR(ABS(BANK_RAW!E565),0))</f>
        <v/>
      </c>
      <c r="G565" s="12">
        <f>IF(BANK_RAW!A565="","",IFERROR(BANK_RAW!F565,0))</f>
        <v/>
      </c>
      <c r="H565" s="11">
        <f>IF(BANK_RAW!A565="","",IF(E565&gt;0,"CR",IF(F565&gt;0,"DR","CR")))</f>
        <v/>
      </c>
      <c r="I565" s="12">
        <f>IF(BANK_RAW!A565="","",E565-F565)</f>
        <v/>
      </c>
      <c r="J565" s="12">
        <f>IF(BANK_RAW!A565="","",ABS(I565))</f>
        <v/>
      </c>
      <c r="K565" s="11">
        <f>IF(BANK_RAW!A565="","",IF(H565="CR","IN","OUT"))</f>
        <v/>
      </c>
      <c r="L565" s="11" t="inlineStr"/>
      <c r="M565" s="11" t="inlineStr"/>
    </row>
    <row r="566">
      <c r="A566" s="13">
        <f>IF(BANK_RAW!A566="","",ROW()-1)</f>
        <v/>
      </c>
      <c r="B566" s="10">
        <f>IF(BANK_RAW!A566="","",IF(ISNUMBER(BANK_RAW!A566),BANK_RAW!A566,DATEVALUE(TEXT(BANK_RAW!A566,"YYYY-MM-DD"))))</f>
        <v/>
      </c>
      <c r="C566" s="11">
        <f>IF(BANK_RAW!A566="","",TRIM(BANK_RAW!B566))</f>
        <v/>
      </c>
      <c r="D566" s="11">
        <f>IF(BANK_RAW!A566="","",TRIM(BANK_RAW!C566))</f>
        <v/>
      </c>
      <c r="E566" s="12">
        <f>IF(BANK_RAW!A566="","",IFERROR(ABS(BANK_RAW!D566),0))</f>
        <v/>
      </c>
      <c r="F566" s="12">
        <f>IF(BANK_RAW!A566="","",IFERROR(ABS(BANK_RAW!E566),0))</f>
        <v/>
      </c>
      <c r="G566" s="12">
        <f>IF(BANK_RAW!A566="","",IFERROR(BANK_RAW!F566,0))</f>
        <v/>
      </c>
      <c r="H566" s="11">
        <f>IF(BANK_RAW!A566="","",IF(E566&gt;0,"CR",IF(F566&gt;0,"DR","CR")))</f>
        <v/>
      </c>
      <c r="I566" s="12">
        <f>IF(BANK_RAW!A566="","",E566-F566)</f>
        <v/>
      </c>
      <c r="J566" s="12">
        <f>IF(BANK_RAW!A566="","",ABS(I566))</f>
        <v/>
      </c>
      <c r="K566" s="11">
        <f>IF(BANK_RAW!A566="","",IF(H566="CR","IN","OUT"))</f>
        <v/>
      </c>
      <c r="L566" s="11" t="inlineStr"/>
      <c r="M566" s="11" t="inlineStr"/>
    </row>
    <row r="567">
      <c r="A567" s="13">
        <f>IF(BANK_RAW!A567="","",ROW()-1)</f>
        <v/>
      </c>
      <c r="B567" s="10">
        <f>IF(BANK_RAW!A567="","",IF(ISNUMBER(BANK_RAW!A567),BANK_RAW!A567,DATEVALUE(TEXT(BANK_RAW!A567,"YYYY-MM-DD"))))</f>
        <v/>
      </c>
      <c r="C567" s="11">
        <f>IF(BANK_RAW!A567="","",TRIM(BANK_RAW!B567))</f>
        <v/>
      </c>
      <c r="D567" s="11">
        <f>IF(BANK_RAW!A567="","",TRIM(BANK_RAW!C567))</f>
        <v/>
      </c>
      <c r="E567" s="12">
        <f>IF(BANK_RAW!A567="","",IFERROR(ABS(BANK_RAW!D567),0))</f>
        <v/>
      </c>
      <c r="F567" s="12">
        <f>IF(BANK_RAW!A567="","",IFERROR(ABS(BANK_RAW!E567),0))</f>
        <v/>
      </c>
      <c r="G567" s="12">
        <f>IF(BANK_RAW!A567="","",IFERROR(BANK_RAW!F567,0))</f>
        <v/>
      </c>
      <c r="H567" s="11">
        <f>IF(BANK_RAW!A567="","",IF(E567&gt;0,"CR",IF(F567&gt;0,"DR","CR")))</f>
        <v/>
      </c>
      <c r="I567" s="12">
        <f>IF(BANK_RAW!A567="","",E567-F567)</f>
        <v/>
      </c>
      <c r="J567" s="12">
        <f>IF(BANK_RAW!A567="","",ABS(I567))</f>
        <v/>
      </c>
      <c r="K567" s="11">
        <f>IF(BANK_RAW!A567="","",IF(H567="CR","IN","OUT"))</f>
        <v/>
      </c>
      <c r="L567" s="11" t="inlineStr"/>
      <c r="M567" s="11" t="inlineStr"/>
    </row>
    <row r="568">
      <c r="A568" s="13">
        <f>IF(BANK_RAW!A568="","",ROW()-1)</f>
        <v/>
      </c>
      <c r="B568" s="10">
        <f>IF(BANK_RAW!A568="","",IF(ISNUMBER(BANK_RAW!A568),BANK_RAW!A568,DATEVALUE(TEXT(BANK_RAW!A568,"YYYY-MM-DD"))))</f>
        <v/>
      </c>
      <c r="C568" s="11">
        <f>IF(BANK_RAW!A568="","",TRIM(BANK_RAW!B568))</f>
        <v/>
      </c>
      <c r="D568" s="11">
        <f>IF(BANK_RAW!A568="","",TRIM(BANK_RAW!C568))</f>
        <v/>
      </c>
      <c r="E568" s="12">
        <f>IF(BANK_RAW!A568="","",IFERROR(ABS(BANK_RAW!D568),0))</f>
        <v/>
      </c>
      <c r="F568" s="12">
        <f>IF(BANK_RAW!A568="","",IFERROR(ABS(BANK_RAW!E568),0))</f>
        <v/>
      </c>
      <c r="G568" s="12">
        <f>IF(BANK_RAW!A568="","",IFERROR(BANK_RAW!F568,0))</f>
        <v/>
      </c>
      <c r="H568" s="11">
        <f>IF(BANK_RAW!A568="","",IF(E568&gt;0,"CR",IF(F568&gt;0,"DR","CR")))</f>
        <v/>
      </c>
      <c r="I568" s="12">
        <f>IF(BANK_RAW!A568="","",E568-F568)</f>
        <v/>
      </c>
      <c r="J568" s="12">
        <f>IF(BANK_RAW!A568="","",ABS(I568))</f>
        <v/>
      </c>
      <c r="K568" s="11">
        <f>IF(BANK_RAW!A568="","",IF(H568="CR","IN","OUT"))</f>
        <v/>
      </c>
      <c r="L568" s="11" t="inlineStr"/>
      <c r="M568" s="11" t="inlineStr"/>
    </row>
    <row r="569">
      <c r="A569" s="13">
        <f>IF(BANK_RAW!A569="","",ROW()-1)</f>
        <v/>
      </c>
      <c r="B569" s="10">
        <f>IF(BANK_RAW!A569="","",IF(ISNUMBER(BANK_RAW!A569),BANK_RAW!A569,DATEVALUE(TEXT(BANK_RAW!A569,"YYYY-MM-DD"))))</f>
        <v/>
      </c>
      <c r="C569" s="11">
        <f>IF(BANK_RAW!A569="","",TRIM(BANK_RAW!B569))</f>
        <v/>
      </c>
      <c r="D569" s="11">
        <f>IF(BANK_RAW!A569="","",TRIM(BANK_RAW!C569))</f>
        <v/>
      </c>
      <c r="E569" s="12">
        <f>IF(BANK_RAW!A569="","",IFERROR(ABS(BANK_RAW!D569),0))</f>
        <v/>
      </c>
      <c r="F569" s="12">
        <f>IF(BANK_RAW!A569="","",IFERROR(ABS(BANK_RAW!E569),0))</f>
        <v/>
      </c>
      <c r="G569" s="12">
        <f>IF(BANK_RAW!A569="","",IFERROR(BANK_RAW!F569,0))</f>
        <v/>
      </c>
      <c r="H569" s="11">
        <f>IF(BANK_RAW!A569="","",IF(E569&gt;0,"CR",IF(F569&gt;0,"DR","CR")))</f>
        <v/>
      </c>
      <c r="I569" s="12">
        <f>IF(BANK_RAW!A569="","",E569-F569)</f>
        <v/>
      </c>
      <c r="J569" s="12">
        <f>IF(BANK_RAW!A569="","",ABS(I569))</f>
        <v/>
      </c>
      <c r="K569" s="11">
        <f>IF(BANK_RAW!A569="","",IF(H569="CR","IN","OUT"))</f>
        <v/>
      </c>
      <c r="L569" s="11" t="inlineStr"/>
      <c r="M569" s="11" t="inlineStr"/>
    </row>
    <row r="570">
      <c r="A570" s="13">
        <f>IF(BANK_RAW!A570="","",ROW()-1)</f>
        <v/>
      </c>
      <c r="B570" s="10">
        <f>IF(BANK_RAW!A570="","",IF(ISNUMBER(BANK_RAW!A570),BANK_RAW!A570,DATEVALUE(TEXT(BANK_RAW!A570,"YYYY-MM-DD"))))</f>
        <v/>
      </c>
      <c r="C570" s="11">
        <f>IF(BANK_RAW!A570="","",TRIM(BANK_RAW!B570))</f>
        <v/>
      </c>
      <c r="D570" s="11">
        <f>IF(BANK_RAW!A570="","",TRIM(BANK_RAW!C570))</f>
        <v/>
      </c>
      <c r="E570" s="12">
        <f>IF(BANK_RAW!A570="","",IFERROR(ABS(BANK_RAW!D570),0))</f>
        <v/>
      </c>
      <c r="F570" s="12">
        <f>IF(BANK_RAW!A570="","",IFERROR(ABS(BANK_RAW!E570),0))</f>
        <v/>
      </c>
      <c r="G570" s="12">
        <f>IF(BANK_RAW!A570="","",IFERROR(BANK_RAW!F570,0))</f>
        <v/>
      </c>
      <c r="H570" s="11">
        <f>IF(BANK_RAW!A570="","",IF(E570&gt;0,"CR",IF(F570&gt;0,"DR","CR")))</f>
        <v/>
      </c>
      <c r="I570" s="12">
        <f>IF(BANK_RAW!A570="","",E570-F570)</f>
        <v/>
      </c>
      <c r="J570" s="12">
        <f>IF(BANK_RAW!A570="","",ABS(I570))</f>
        <v/>
      </c>
      <c r="K570" s="11">
        <f>IF(BANK_RAW!A570="","",IF(H570="CR","IN","OUT"))</f>
        <v/>
      </c>
      <c r="L570" s="11" t="inlineStr"/>
      <c r="M570" s="11" t="inlineStr"/>
    </row>
    <row r="571">
      <c r="A571" s="13">
        <f>IF(BANK_RAW!A571="","",ROW()-1)</f>
        <v/>
      </c>
      <c r="B571" s="10">
        <f>IF(BANK_RAW!A571="","",IF(ISNUMBER(BANK_RAW!A571),BANK_RAW!A571,DATEVALUE(TEXT(BANK_RAW!A571,"YYYY-MM-DD"))))</f>
        <v/>
      </c>
      <c r="C571" s="11">
        <f>IF(BANK_RAW!A571="","",TRIM(BANK_RAW!B571))</f>
        <v/>
      </c>
      <c r="D571" s="11">
        <f>IF(BANK_RAW!A571="","",TRIM(BANK_RAW!C571))</f>
        <v/>
      </c>
      <c r="E571" s="12">
        <f>IF(BANK_RAW!A571="","",IFERROR(ABS(BANK_RAW!D571),0))</f>
        <v/>
      </c>
      <c r="F571" s="12">
        <f>IF(BANK_RAW!A571="","",IFERROR(ABS(BANK_RAW!E571),0))</f>
        <v/>
      </c>
      <c r="G571" s="12">
        <f>IF(BANK_RAW!A571="","",IFERROR(BANK_RAW!F571,0))</f>
        <v/>
      </c>
      <c r="H571" s="11">
        <f>IF(BANK_RAW!A571="","",IF(E571&gt;0,"CR",IF(F571&gt;0,"DR","CR")))</f>
        <v/>
      </c>
      <c r="I571" s="12">
        <f>IF(BANK_RAW!A571="","",E571-F571)</f>
        <v/>
      </c>
      <c r="J571" s="12">
        <f>IF(BANK_RAW!A571="","",ABS(I571))</f>
        <v/>
      </c>
      <c r="K571" s="11">
        <f>IF(BANK_RAW!A571="","",IF(H571="CR","IN","OUT"))</f>
        <v/>
      </c>
      <c r="L571" s="11" t="inlineStr"/>
      <c r="M571" s="11" t="inlineStr"/>
    </row>
    <row r="572">
      <c r="A572" s="13">
        <f>IF(BANK_RAW!A572="","",ROW()-1)</f>
        <v/>
      </c>
      <c r="B572" s="10">
        <f>IF(BANK_RAW!A572="","",IF(ISNUMBER(BANK_RAW!A572),BANK_RAW!A572,DATEVALUE(TEXT(BANK_RAW!A572,"YYYY-MM-DD"))))</f>
        <v/>
      </c>
      <c r="C572" s="11">
        <f>IF(BANK_RAW!A572="","",TRIM(BANK_RAW!B572))</f>
        <v/>
      </c>
      <c r="D572" s="11">
        <f>IF(BANK_RAW!A572="","",TRIM(BANK_RAW!C572))</f>
        <v/>
      </c>
      <c r="E572" s="12">
        <f>IF(BANK_RAW!A572="","",IFERROR(ABS(BANK_RAW!D572),0))</f>
        <v/>
      </c>
      <c r="F572" s="12">
        <f>IF(BANK_RAW!A572="","",IFERROR(ABS(BANK_RAW!E572),0))</f>
        <v/>
      </c>
      <c r="G572" s="12">
        <f>IF(BANK_RAW!A572="","",IFERROR(BANK_RAW!F572,0))</f>
        <v/>
      </c>
      <c r="H572" s="11">
        <f>IF(BANK_RAW!A572="","",IF(E572&gt;0,"CR",IF(F572&gt;0,"DR","CR")))</f>
        <v/>
      </c>
      <c r="I572" s="12">
        <f>IF(BANK_RAW!A572="","",E572-F572)</f>
        <v/>
      </c>
      <c r="J572" s="12">
        <f>IF(BANK_RAW!A572="","",ABS(I572))</f>
        <v/>
      </c>
      <c r="K572" s="11">
        <f>IF(BANK_RAW!A572="","",IF(H572="CR","IN","OUT"))</f>
        <v/>
      </c>
      <c r="L572" s="11" t="inlineStr"/>
      <c r="M572" s="11" t="inlineStr"/>
    </row>
    <row r="573">
      <c r="A573" s="13">
        <f>IF(BANK_RAW!A573="","",ROW()-1)</f>
        <v/>
      </c>
      <c r="B573" s="10">
        <f>IF(BANK_RAW!A573="","",IF(ISNUMBER(BANK_RAW!A573),BANK_RAW!A573,DATEVALUE(TEXT(BANK_RAW!A573,"YYYY-MM-DD"))))</f>
        <v/>
      </c>
      <c r="C573" s="11">
        <f>IF(BANK_RAW!A573="","",TRIM(BANK_RAW!B573))</f>
        <v/>
      </c>
      <c r="D573" s="11">
        <f>IF(BANK_RAW!A573="","",TRIM(BANK_RAW!C573))</f>
        <v/>
      </c>
      <c r="E573" s="12">
        <f>IF(BANK_RAW!A573="","",IFERROR(ABS(BANK_RAW!D573),0))</f>
        <v/>
      </c>
      <c r="F573" s="12">
        <f>IF(BANK_RAW!A573="","",IFERROR(ABS(BANK_RAW!E573),0))</f>
        <v/>
      </c>
      <c r="G573" s="12">
        <f>IF(BANK_RAW!A573="","",IFERROR(BANK_RAW!F573,0))</f>
        <v/>
      </c>
      <c r="H573" s="11">
        <f>IF(BANK_RAW!A573="","",IF(E573&gt;0,"CR",IF(F573&gt;0,"DR","CR")))</f>
        <v/>
      </c>
      <c r="I573" s="12">
        <f>IF(BANK_RAW!A573="","",E573-F573)</f>
        <v/>
      </c>
      <c r="J573" s="12">
        <f>IF(BANK_RAW!A573="","",ABS(I573))</f>
        <v/>
      </c>
      <c r="K573" s="11">
        <f>IF(BANK_RAW!A573="","",IF(H573="CR","IN","OUT"))</f>
        <v/>
      </c>
      <c r="L573" s="11" t="inlineStr"/>
      <c r="M573" s="11" t="inlineStr"/>
    </row>
    <row r="574">
      <c r="A574" s="13">
        <f>IF(BANK_RAW!A574="","",ROW()-1)</f>
        <v/>
      </c>
      <c r="B574" s="10">
        <f>IF(BANK_RAW!A574="","",IF(ISNUMBER(BANK_RAW!A574),BANK_RAW!A574,DATEVALUE(TEXT(BANK_RAW!A574,"YYYY-MM-DD"))))</f>
        <v/>
      </c>
      <c r="C574" s="11">
        <f>IF(BANK_RAW!A574="","",TRIM(BANK_RAW!B574))</f>
        <v/>
      </c>
      <c r="D574" s="11">
        <f>IF(BANK_RAW!A574="","",TRIM(BANK_RAW!C574))</f>
        <v/>
      </c>
      <c r="E574" s="12">
        <f>IF(BANK_RAW!A574="","",IFERROR(ABS(BANK_RAW!D574),0))</f>
        <v/>
      </c>
      <c r="F574" s="12">
        <f>IF(BANK_RAW!A574="","",IFERROR(ABS(BANK_RAW!E574),0))</f>
        <v/>
      </c>
      <c r="G574" s="12">
        <f>IF(BANK_RAW!A574="","",IFERROR(BANK_RAW!F574,0))</f>
        <v/>
      </c>
      <c r="H574" s="11">
        <f>IF(BANK_RAW!A574="","",IF(E574&gt;0,"CR",IF(F574&gt;0,"DR","CR")))</f>
        <v/>
      </c>
      <c r="I574" s="12">
        <f>IF(BANK_RAW!A574="","",E574-F574)</f>
        <v/>
      </c>
      <c r="J574" s="12">
        <f>IF(BANK_RAW!A574="","",ABS(I574))</f>
        <v/>
      </c>
      <c r="K574" s="11">
        <f>IF(BANK_RAW!A574="","",IF(H574="CR","IN","OUT"))</f>
        <v/>
      </c>
      <c r="L574" s="11" t="inlineStr"/>
      <c r="M574" s="11" t="inlineStr"/>
    </row>
    <row r="575">
      <c r="A575" s="13">
        <f>IF(BANK_RAW!A575="","",ROW()-1)</f>
        <v/>
      </c>
      <c r="B575" s="10">
        <f>IF(BANK_RAW!A575="","",IF(ISNUMBER(BANK_RAW!A575),BANK_RAW!A575,DATEVALUE(TEXT(BANK_RAW!A575,"YYYY-MM-DD"))))</f>
        <v/>
      </c>
      <c r="C575" s="11">
        <f>IF(BANK_RAW!A575="","",TRIM(BANK_RAW!B575))</f>
        <v/>
      </c>
      <c r="D575" s="11">
        <f>IF(BANK_RAW!A575="","",TRIM(BANK_RAW!C575))</f>
        <v/>
      </c>
      <c r="E575" s="12">
        <f>IF(BANK_RAW!A575="","",IFERROR(ABS(BANK_RAW!D575),0))</f>
        <v/>
      </c>
      <c r="F575" s="12">
        <f>IF(BANK_RAW!A575="","",IFERROR(ABS(BANK_RAW!E575),0))</f>
        <v/>
      </c>
      <c r="G575" s="12">
        <f>IF(BANK_RAW!A575="","",IFERROR(BANK_RAW!F575,0))</f>
        <v/>
      </c>
      <c r="H575" s="11">
        <f>IF(BANK_RAW!A575="","",IF(E575&gt;0,"CR",IF(F575&gt;0,"DR","CR")))</f>
        <v/>
      </c>
      <c r="I575" s="12">
        <f>IF(BANK_RAW!A575="","",E575-F575)</f>
        <v/>
      </c>
      <c r="J575" s="12">
        <f>IF(BANK_RAW!A575="","",ABS(I575))</f>
        <v/>
      </c>
      <c r="K575" s="11">
        <f>IF(BANK_RAW!A575="","",IF(H575="CR","IN","OUT"))</f>
        <v/>
      </c>
      <c r="L575" s="11" t="inlineStr"/>
      <c r="M575" s="11" t="inlineStr"/>
    </row>
    <row r="576">
      <c r="A576" s="13">
        <f>IF(BANK_RAW!A576="","",ROW()-1)</f>
        <v/>
      </c>
      <c r="B576" s="10">
        <f>IF(BANK_RAW!A576="","",IF(ISNUMBER(BANK_RAW!A576),BANK_RAW!A576,DATEVALUE(TEXT(BANK_RAW!A576,"YYYY-MM-DD"))))</f>
        <v/>
      </c>
      <c r="C576" s="11">
        <f>IF(BANK_RAW!A576="","",TRIM(BANK_RAW!B576))</f>
        <v/>
      </c>
      <c r="D576" s="11">
        <f>IF(BANK_RAW!A576="","",TRIM(BANK_RAW!C576))</f>
        <v/>
      </c>
      <c r="E576" s="12">
        <f>IF(BANK_RAW!A576="","",IFERROR(ABS(BANK_RAW!D576),0))</f>
        <v/>
      </c>
      <c r="F576" s="12">
        <f>IF(BANK_RAW!A576="","",IFERROR(ABS(BANK_RAW!E576),0))</f>
        <v/>
      </c>
      <c r="G576" s="12">
        <f>IF(BANK_RAW!A576="","",IFERROR(BANK_RAW!F576,0))</f>
        <v/>
      </c>
      <c r="H576" s="11">
        <f>IF(BANK_RAW!A576="","",IF(E576&gt;0,"CR",IF(F576&gt;0,"DR","CR")))</f>
        <v/>
      </c>
      <c r="I576" s="12">
        <f>IF(BANK_RAW!A576="","",E576-F576)</f>
        <v/>
      </c>
      <c r="J576" s="12">
        <f>IF(BANK_RAW!A576="","",ABS(I576))</f>
        <v/>
      </c>
      <c r="K576" s="11">
        <f>IF(BANK_RAW!A576="","",IF(H576="CR","IN","OUT"))</f>
        <v/>
      </c>
      <c r="L576" s="11" t="inlineStr"/>
      <c r="M576" s="11" t="inlineStr"/>
    </row>
    <row r="577">
      <c r="A577" s="13">
        <f>IF(BANK_RAW!A577="","",ROW()-1)</f>
        <v/>
      </c>
      <c r="B577" s="10">
        <f>IF(BANK_RAW!A577="","",IF(ISNUMBER(BANK_RAW!A577),BANK_RAW!A577,DATEVALUE(TEXT(BANK_RAW!A577,"YYYY-MM-DD"))))</f>
        <v/>
      </c>
      <c r="C577" s="11">
        <f>IF(BANK_RAW!A577="","",TRIM(BANK_RAW!B577))</f>
        <v/>
      </c>
      <c r="D577" s="11">
        <f>IF(BANK_RAW!A577="","",TRIM(BANK_RAW!C577))</f>
        <v/>
      </c>
      <c r="E577" s="12">
        <f>IF(BANK_RAW!A577="","",IFERROR(ABS(BANK_RAW!D577),0))</f>
        <v/>
      </c>
      <c r="F577" s="12">
        <f>IF(BANK_RAW!A577="","",IFERROR(ABS(BANK_RAW!E577),0))</f>
        <v/>
      </c>
      <c r="G577" s="12">
        <f>IF(BANK_RAW!A577="","",IFERROR(BANK_RAW!F577,0))</f>
        <v/>
      </c>
      <c r="H577" s="11">
        <f>IF(BANK_RAW!A577="","",IF(E577&gt;0,"CR",IF(F577&gt;0,"DR","CR")))</f>
        <v/>
      </c>
      <c r="I577" s="12">
        <f>IF(BANK_RAW!A577="","",E577-F577)</f>
        <v/>
      </c>
      <c r="J577" s="12">
        <f>IF(BANK_RAW!A577="","",ABS(I577))</f>
        <v/>
      </c>
      <c r="K577" s="11">
        <f>IF(BANK_RAW!A577="","",IF(H577="CR","IN","OUT"))</f>
        <v/>
      </c>
      <c r="L577" s="11" t="inlineStr"/>
      <c r="M577" s="11" t="inlineStr"/>
    </row>
    <row r="578">
      <c r="A578" s="13">
        <f>IF(BANK_RAW!A578="","",ROW()-1)</f>
        <v/>
      </c>
      <c r="B578" s="10">
        <f>IF(BANK_RAW!A578="","",IF(ISNUMBER(BANK_RAW!A578),BANK_RAW!A578,DATEVALUE(TEXT(BANK_RAW!A578,"YYYY-MM-DD"))))</f>
        <v/>
      </c>
      <c r="C578" s="11">
        <f>IF(BANK_RAW!A578="","",TRIM(BANK_RAW!B578))</f>
        <v/>
      </c>
      <c r="D578" s="11">
        <f>IF(BANK_RAW!A578="","",TRIM(BANK_RAW!C578))</f>
        <v/>
      </c>
      <c r="E578" s="12">
        <f>IF(BANK_RAW!A578="","",IFERROR(ABS(BANK_RAW!D578),0))</f>
        <v/>
      </c>
      <c r="F578" s="12">
        <f>IF(BANK_RAW!A578="","",IFERROR(ABS(BANK_RAW!E578),0))</f>
        <v/>
      </c>
      <c r="G578" s="12">
        <f>IF(BANK_RAW!A578="","",IFERROR(BANK_RAW!F578,0))</f>
        <v/>
      </c>
      <c r="H578" s="11">
        <f>IF(BANK_RAW!A578="","",IF(E578&gt;0,"CR",IF(F578&gt;0,"DR","CR")))</f>
        <v/>
      </c>
      <c r="I578" s="12">
        <f>IF(BANK_RAW!A578="","",E578-F578)</f>
        <v/>
      </c>
      <c r="J578" s="12">
        <f>IF(BANK_RAW!A578="","",ABS(I578))</f>
        <v/>
      </c>
      <c r="K578" s="11">
        <f>IF(BANK_RAW!A578="","",IF(H578="CR","IN","OUT"))</f>
        <v/>
      </c>
      <c r="L578" s="11" t="inlineStr"/>
      <c r="M578" s="11" t="inlineStr"/>
    </row>
    <row r="579">
      <c r="A579" s="13">
        <f>IF(BANK_RAW!A579="","",ROW()-1)</f>
        <v/>
      </c>
      <c r="B579" s="10">
        <f>IF(BANK_RAW!A579="","",IF(ISNUMBER(BANK_RAW!A579),BANK_RAW!A579,DATEVALUE(TEXT(BANK_RAW!A579,"YYYY-MM-DD"))))</f>
        <v/>
      </c>
      <c r="C579" s="11">
        <f>IF(BANK_RAW!A579="","",TRIM(BANK_RAW!B579))</f>
        <v/>
      </c>
      <c r="D579" s="11">
        <f>IF(BANK_RAW!A579="","",TRIM(BANK_RAW!C579))</f>
        <v/>
      </c>
      <c r="E579" s="12">
        <f>IF(BANK_RAW!A579="","",IFERROR(ABS(BANK_RAW!D579),0))</f>
        <v/>
      </c>
      <c r="F579" s="12">
        <f>IF(BANK_RAW!A579="","",IFERROR(ABS(BANK_RAW!E579),0))</f>
        <v/>
      </c>
      <c r="G579" s="12">
        <f>IF(BANK_RAW!A579="","",IFERROR(BANK_RAW!F579,0))</f>
        <v/>
      </c>
      <c r="H579" s="11">
        <f>IF(BANK_RAW!A579="","",IF(E579&gt;0,"CR",IF(F579&gt;0,"DR","CR")))</f>
        <v/>
      </c>
      <c r="I579" s="12">
        <f>IF(BANK_RAW!A579="","",E579-F579)</f>
        <v/>
      </c>
      <c r="J579" s="12">
        <f>IF(BANK_RAW!A579="","",ABS(I579))</f>
        <v/>
      </c>
      <c r="K579" s="11">
        <f>IF(BANK_RAW!A579="","",IF(H579="CR","IN","OUT"))</f>
        <v/>
      </c>
      <c r="L579" s="11" t="inlineStr"/>
      <c r="M579" s="11" t="inlineStr"/>
    </row>
    <row r="580">
      <c r="A580" s="13">
        <f>IF(BANK_RAW!A580="","",ROW()-1)</f>
        <v/>
      </c>
      <c r="B580" s="10">
        <f>IF(BANK_RAW!A580="","",IF(ISNUMBER(BANK_RAW!A580),BANK_RAW!A580,DATEVALUE(TEXT(BANK_RAW!A580,"YYYY-MM-DD"))))</f>
        <v/>
      </c>
      <c r="C580" s="11">
        <f>IF(BANK_RAW!A580="","",TRIM(BANK_RAW!B580))</f>
        <v/>
      </c>
      <c r="D580" s="11">
        <f>IF(BANK_RAW!A580="","",TRIM(BANK_RAW!C580))</f>
        <v/>
      </c>
      <c r="E580" s="12">
        <f>IF(BANK_RAW!A580="","",IFERROR(ABS(BANK_RAW!D580),0))</f>
        <v/>
      </c>
      <c r="F580" s="12">
        <f>IF(BANK_RAW!A580="","",IFERROR(ABS(BANK_RAW!E580),0))</f>
        <v/>
      </c>
      <c r="G580" s="12">
        <f>IF(BANK_RAW!A580="","",IFERROR(BANK_RAW!F580,0))</f>
        <v/>
      </c>
      <c r="H580" s="11">
        <f>IF(BANK_RAW!A580="","",IF(E580&gt;0,"CR",IF(F580&gt;0,"DR","CR")))</f>
        <v/>
      </c>
      <c r="I580" s="12">
        <f>IF(BANK_RAW!A580="","",E580-F580)</f>
        <v/>
      </c>
      <c r="J580" s="12">
        <f>IF(BANK_RAW!A580="","",ABS(I580))</f>
        <v/>
      </c>
      <c r="K580" s="11">
        <f>IF(BANK_RAW!A580="","",IF(H580="CR","IN","OUT"))</f>
        <v/>
      </c>
      <c r="L580" s="11" t="inlineStr"/>
      <c r="M580" s="11" t="inlineStr"/>
    </row>
    <row r="581">
      <c r="A581" s="13">
        <f>IF(BANK_RAW!A581="","",ROW()-1)</f>
        <v/>
      </c>
      <c r="B581" s="10">
        <f>IF(BANK_RAW!A581="","",IF(ISNUMBER(BANK_RAW!A581),BANK_RAW!A581,DATEVALUE(TEXT(BANK_RAW!A581,"YYYY-MM-DD"))))</f>
        <v/>
      </c>
      <c r="C581" s="11">
        <f>IF(BANK_RAW!A581="","",TRIM(BANK_RAW!B581))</f>
        <v/>
      </c>
      <c r="D581" s="11">
        <f>IF(BANK_RAW!A581="","",TRIM(BANK_RAW!C581))</f>
        <v/>
      </c>
      <c r="E581" s="12">
        <f>IF(BANK_RAW!A581="","",IFERROR(ABS(BANK_RAW!D581),0))</f>
        <v/>
      </c>
      <c r="F581" s="12">
        <f>IF(BANK_RAW!A581="","",IFERROR(ABS(BANK_RAW!E581),0))</f>
        <v/>
      </c>
      <c r="G581" s="12">
        <f>IF(BANK_RAW!A581="","",IFERROR(BANK_RAW!F581,0))</f>
        <v/>
      </c>
      <c r="H581" s="11">
        <f>IF(BANK_RAW!A581="","",IF(E581&gt;0,"CR",IF(F581&gt;0,"DR","CR")))</f>
        <v/>
      </c>
      <c r="I581" s="12">
        <f>IF(BANK_RAW!A581="","",E581-F581)</f>
        <v/>
      </c>
      <c r="J581" s="12">
        <f>IF(BANK_RAW!A581="","",ABS(I581))</f>
        <v/>
      </c>
      <c r="K581" s="11">
        <f>IF(BANK_RAW!A581="","",IF(H581="CR","IN","OUT"))</f>
        <v/>
      </c>
      <c r="L581" s="11" t="inlineStr"/>
      <c r="M581" s="11" t="inlineStr"/>
    </row>
    <row r="582">
      <c r="A582" s="13">
        <f>IF(BANK_RAW!A582="","",ROW()-1)</f>
        <v/>
      </c>
      <c r="B582" s="10">
        <f>IF(BANK_RAW!A582="","",IF(ISNUMBER(BANK_RAW!A582),BANK_RAW!A582,DATEVALUE(TEXT(BANK_RAW!A582,"YYYY-MM-DD"))))</f>
        <v/>
      </c>
      <c r="C582" s="11">
        <f>IF(BANK_RAW!A582="","",TRIM(BANK_RAW!B582))</f>
        <v/>
      </c>
      <c r="D582" s="11">
        <f>IF(BANK_RAW!A582="","",TRIM(BANK_RAW!C582))</f>
        <v/>
      </c>
      <c r="E582" s="12">
        <f>IF(BANK_RAW!A582="","",IFERROR(ABS(BANK_RAW!D582),0))</f>
        <v/>
      </c>
      <c r="F582" s="12">
        <f>IF(BANK_RAW!A582="","",IFERROR(ABS(BANK_RAW!E582),0))</f>
        <v/>
      </c>
      <c r="G582" s="12">
        <f>IF(BANK_RAW!A582="","",IFERROR(BANK_RAW!F582,0))</f>
        <v/>
      </c>
      <c r="H582" s="11">
        <f>IF(BANK_RAW!A582="","",IF(E582&gt;0,"CR",IF(F582&gt;0,"DR","CR")))</f>
        <v/>
      </c>
      <c r="I582" s="12">
        <f>IF(BANK_RAW!A582="","",E582-F582)</f>
        <v/>
      </c>
      <c r="J582" s="12">
        <f>IF(BANK_RAW!A582="","",ABS(I582))</f>
        <v/>
      </c>
      <c r="K582" s="11">
        <f>IF(BANK_RAW!A582="","",IF(H582="CR","IN","OUT"))</f>
        <v/>
      </c>
      <c r="L582" s="11" t="inlineStr"/>
      <c r="M582" s="11" t="inlineStr"/>
    </row>
    <row r="583">
      <c r="A583" s="13">
        <f>IF(BANK_RAW!A583="","",ROW()-1)</f>
        <v/>
      </c>
      <c r="B583" s="10">
        <f>IF(BANK_RAW!A583="","",IF(ISNUMBER(BANK_RAW!A583),BANK_RAW!A583,DATEVALUE(TEXT(BANK_RAW!A583,"YYYY-MM-DD"))))</f>
        <v/>
      </c>
      <c r="C583" s="11">
        <f>IF(BANK_RAW!A583="","",TRIM(BANK_RAW!B583))</f>
        <v/>
      </c>
      <c r="D583" s="11">
        <f>IF(BANK_RAW!A583="","",TRIM(BANK_RAW!C583))</f>
        <v/>
      </c>
      <c r="E583" s="12">
        <f>IF(BANK_RAW!A583="","",IFERROR(ABS(BANK_RAW!D583),0))</f>
        <v/>
      </c>
      <c r="F583" s="12">
        <f>IF(BANK_RAW!A583="","",IFERROR(ABS(BANK_RAW!E583),0))</f>
        <v/>
      </c>
      <c r="G583" s="12">
        <f>IF(BANK_RAW!A583="","",IFERROR(BANK_RAW!F583,0))</f>
        <v/>
      </c>
      <c r="H583" s="11">
        <f>IF(BANK_RAW!A583="","",IF(E583&gt;0,"CR",IF(F583&gt;0,"DR","CR")))</f>
        <v/>
      </c>
      <c r="I583" s="12">
        <f>IF(BANK_RAW!A583="","",E583-F583)</f>
        <v/>
      </c>
      <c r="J583" s="12">
        <f>IF(BANK_RAW!A583="","",ABS(I583))</f>
        <v/>
      </c>
      <c r="K583" s="11">
        <f>IF(BANK_RAW!A583="","",IF(H583="CR","IN","OUT"))</f>
        <v/>
      </c>
      <c r="L583" s="11" t="inlineStr"/>
      <c r="M583" s="11" t="inlineStr"/>
    </row>
    <row r="584">
      <c r="A584" s="13">
        <f>IF(BANK_RAW!A584="","",ROW()-1)</f>
        <v/>
      </c>
      <c r="B584" s="10">
        <f>IF(BANK_RAW!A584="","",IF(ISNUMBER(BANK_RAW!A584),BANK_RAW!A584,DATEVALUE(TEXT(BANK_RAW!A584,"YYYY-MM-DD"))))</f>
        <v/>
      </c>
      <c r="C584" s="11">
        <f>IF(BANK_RAW!A584="","",TRIM(BANK_RAW!B584))</f>
        <v/>
      </c>
      <c r="D584" s="11">
        <f>IF(BANK_RAW!A584="","",TRIM(BANK_RAW!C584))</f>
        <v/>
      </c>
      <c r="E584" s="12">
        <f>IF(BANK_RAW!A584="","",IFERROR(ABS(BANK_RAW!D584),0))</f>
        <v/>
      </c>
      <c r="F584" s="12">
        <f>IF(BANK_RAW!A584="","",IFERROR(ABS(BANK_RAW!E584),0))</f>
        <v/>
      </c>
      <c r="G584" s="12">
        <f>IF(BANK_RAW!A584="","",IFERROR(BANK_RAW!F584,0))</f>
        <v/>
      </c>
      <c r="H584" s="11">
        <f>IF(BANK_RAW!A584="","",IF(E584&gt;0,"CR",IF(F584&gt;0,"DR","CR")))</f>
        <v/>
      </c>
      <c r="I584" s="12">
        <f>IF(BANK_RAW!A584="","",E584-F584)</f>
        <v/>
      </c>
      <c r="J584" s="12">
        <f>IF(BANK_RAW!A584="","",ABS(I584))</f>
        <v/>
      </c>
      <c r="K584" s="11">
        <f>IF(BANK_RAW!A584="","",IF(H584="CR","IN","OUT"))</f>
        <v/>
      </c>
      <c r="L584" s="11" t="inlineStr"/>
      <c r="M584" s="11" t="inlineStr"/>
    </row>
    <row r="585">
      <c r="A585" s="13">
        <f>IF(BANK_RAW!A585="","",ROW()-1)</f>
        <v/>
      </c>
      <c r="B585" s="10">
        <f>IF(BANK_RAW!A585="","",IF(ISNUMBER(BANK_RAW!A585),BANK_RAW!A585,DATEVALUE(TEXT(BANK_RAW!A585,"YYYY-MM-DD"))))</f>
        <v/>
      </c>
      <c r="C585" s="11">
        <f>IF(BANK_RAW!A585="","",TRIM(BANK_RAW!B585))</f>
        <v/>
      </c>
      <c r="D585" s="11">
        <f>IF(BANK_RAW!A585="","",TRIM(BANK_RAW!C585))</f>
        <v/>
      </c>
      <c r="E585" s="12">
        <f>IF(BANK_RAW!A585="","",IFERROR(ABS(BANK_RAW!D585),0))</f>
        <v/>
      </c>
      <c r="F585" s="12">
        <f>IF(BANK_RAW!A585="","",IFERROR(ABS(BANK_RAW!E585),0))</f>
        <v/>
      </c>
      <c r="G585" s="12">
        <f>IF(BANK_RAW!A585="","",IFERROR(BANK_RAW!F585,0))</f>
        <v/>
      </c>
      <c r="H585" s="11">
        <f>IF(BANK_RAW!A585="","",IF(E585&gt;0,"CR",IF(F585&gt;0,"DR","CR")))</f>
        <v/>
      </c>
      <c r="I585" s="12">
        <f>IF(BANK_RAW!A585="","",E585-F585)</f>
        <v/>
      </c>
      <c r="J585" s="12">
        <f>IF(BANK_RAW!A585="","",ABS(I585))</f>
        <v/>
      </c>
      <c r="K585" s="11">
        <f>IF(BANK_RAW!A585="","",IF(H585="CR","IN","OUT"))</f>
        <v/>
      </c>
      <c r="L585" s="11" t="inlineStr"/>
      <c r="M585" s="11" t="inlineStr"/>
    </row>
    <row r="586">
      <c r="A586" s="13">
        <f>IF(BANK_RAW!A586="","",ROW()-1)</f>
        <v/>
      </c>
      <c r="B586" s="10">
        <f>IF(BANK_RAW!A586="","",IF(ISNUMBER(BANK_RAW!A586),BANK_RAW!A586,DATEVALUE(TEXT(BANK_RAW!A586,"YYYY-MM-DD"))))</f>
        <v/>
      </c>
      <c r="C586" s="11">
        <f>IF(BANK_RAW!A586="","",TRIM(BANK_RAW!B586))</f>
        <v/>
      </c>
      <c r="D586" s="11">
        <f>IF(BANK_RAW!A586="","",TRIM(BANK_RAW!C586))</f>
        <v/>
      </c>
      <c r="E586" s="12">
        <f>IF(BANK_RAW!A586="","",IFERROR(ABS(BANK_RAW!D586),0))</f>
        <v/>
      </c>
      <c r="F586" s="12">
        <f>IF(BANK_RAW!A586="","",IFERROR(ABS(BANK_RAW!E586),0))</f>
        <v/>
      </c>
      <c r="G586" s="12">
        <f>IF(BANK_RAW!A586="","",IFERROR(BANK_RAW!F586,0))</f>
        <v/>
      </c>
      <c r="H586" s="11">
        <f>IF(BANK_RAW!A586="","",IF(E586&gt;0,"CR",IF(F586&gt;0,"DR","CR")))</f>
        <v/>
      </c>
      <c r="I586" s="12">
        <f>IF(BANK_RAW!A586="","",E586-F586)</f>
        <v/>
      </c>
      <c r="J586" s="12">
        <f>IF(BANK_RAW!A586="","",ABS(I586))</f>
        <v/>
      </c>
      <c r="K586" s="11">
        <f>IF(BANK_RAW!A586="","",IF(H586="CR","IN","OUT"))</f>
        <v/>
      </c>
      <c r="L586" s="11" t="inlineStr"/>
      <c r="M586" s="11" t="inlineStr"/>
    </row>
    <row r="587">
      <c r="A587" s="13">
        <f>IF(BANK_RAW!A587="","",ROW()-1)</f>
        <v/>
      </c>
      <c r="B587" s="10">
        <f>IF(BANK_RAW!A587="","",IF(ISNUMBER(BANK_RAW!A587),BANK_RAW!A587,DATEVALUE(TEXT(BANK_RAW!A587,"YYYY-MM-DD"))))</f>
        <v/>
      </c>
      <c r="C587" s="11">
        <f>IF(BANK_RAW!A587="","",TRIM(BANK_RAW!B587))</f>
        <v/>
      </c>
      <c r="D587" s="11">
        <f>IF(BANK_RAW!A587="","",TRIM(BANK_RAW!C587))</f>
        <v/>
      </c>
      <c r="E587" s="12">
        <f>IF(BANK_RAW!A587="","",IFERROR(ABS(BANK_RAW!D587),0))</f>
        <v/>
      </c>
      <c r="F587" s="12">
        <f>IF(BANK_RAW!A587="","",IFERROR(ABS(BANK_RAW!E587),0))</f>
        <v/>
      </c>
      <c r="G587" s="12">
        <f>IF(BANK_RAW!A587="","",IFERROR(BANK_RAW!F587,0))</f>
        <v/>
      </c>
      <c r="H587" s="11">
        <f>IF(BANK_RAW!A587="","",IF(E587&gt;0,"CR",IF(F587&gt;0,"DR","CR")))</f>
        <v/>
      </c>
      <c r="I587" s="12">
        <f>IF(BANK_RAW!A587="","",E587-F587)</f>
        <v/>
      </c>
      <c r="J587" s="12">
        <f>IF(BANK_RAW!A587="","",ABS(I587))</f>
        <v/>
      </c>
      <c r="K587" s="11">
        <f>IF(BANK_RAW!A587="","",IF(H587="CR","IN","OUT"))</f>
        <v/>
      </c>
      <c r="L587" s="11" t="inlineStr"/>
      <c r="M587" s="11" t="inlineStr"/>
    </row>
    <row r="588">
      <c r="A588" s="13">
        <f>IF(BANK_RAW!A588="","",ROW()-1)</f>
        <v/>
      </c>
      <c r="B588" s="10">
        <f>IF(BANK_RAW!A588="","",IF(ISNUMBER(BANK_RAW!A588),BANK_RAW!A588,DATEVALUE(TEXT(BANK_RAW!A588,"YYYY-MM-DD"))))</f>
        <v/>
      </c>
      <c r="C588" s="11">
        <f>IF(BANK_RAW!A588="","",TRIM(BANK_RAW!B588))</f>
        <v/>
      </c>
      <c r="D588" s="11">
        <f>IF(BANK_RAW!A588="","",TRIM(BANK_RAW!C588))</f>
        <v/>
      </c>
      <c r="E588" s="12">
        <f>IF(BANK_RAW!A588="","",IFERROR(ABS(BANK_RAW!D588),0))</f>
        <v/>
      </c>
      <c r="F588" s="12">
        <f>IF(BANK_RAW!A588="","",IFERROR(ABS(BANK_RAW!E588),0))</f>
        <v/>
      </c>
      <c r="G588" s="12">
        <f>IF(BANK_RAW!A588="","",IFERROR(BANK_RAW!F588,0))</f>
        <v/>
      </c>
      <c r="H588" s="11">
        <f>IF(BANK_RAW!A588="","",IF(E588&gt;0,"CR",IF(F588&gt;0,"DR","CR")))</f>
        <v/>
      </c>
      <c r="I588" s="12">
        <f>IF(BANK_RAW!A588="","",E588-F588)</f>
        <v/>
      </c>
      <c r="J588" s="12">
        <f>IF(BANK_RAW!A588="","",ABS(I588))</f>
        <v/>
      </c>
      <c r="K588" s="11">
        <f>IF(BANK_RAW!A588="","",IF(H588="CR","IN","OUT"))</f>
        <v/>
      </c>
      <c r="L588" s="11" t="inlineStr"/>
      <c r="M588" s="11" t="inlineStr"/>
    </row>
    <row r="589">
      <c r="A589" s="13">
        <f>IF(BANK_RAW!A589="","",ROW()-1)</f>
        <v/>
      </c>
      <c r="B589" s="10">
        <f>IF(BANK_RAW!A589="","",IF(ISNUMBER(BANK_RAW!A589),BANK_RAW!A589,DATEVALUE(TEXT(BANK_RAW!A589,"YYYY-MM-DD"))))</f>
        <v/>
      </c>
      <c r="C589" s="11">
        <f>IF(BANK_RAW!A589="","",TRIM(BANK_RAW!B589))</f>
        <v/>
      </c>
      <c r="D589" s="11">
        <f>IF(BANK_RAW!A589="","",TRIM(BANK_RAW!C589))</f>
        <v/>
      </c>
      <c r="E589" s="12">
        <f>IF(BANK_RAW!A589="","",IFERROR(ABS(BANK_RAW!D589),0))</f>
        <v/>
      </c>
      <c r="F589" s="12">
        <f>IF(BANK_RAW!A589="","",IFERROR(ABS(BANK_RAW!E589),0))</f>
        <v/>
      </c>
      <c r="G589" s="12">
        <f>IF(BANK_RAW!A589="","",IFERROR(BANK_RAW!F589,0))</f>
        <v/>
      </c>
      <c r="H589" s="11">
        <f>IF(BANK_RAW!A589="","",IF(E589&gt;0,"CR",IF(F589&gt;0,"DR","CR")))</f>
        <v/>
      </c>
      <c r="I589" s="12">
        <f>IF(BANK_RAW!A589="","",E589-F589)</f>
        <v/>
      </c>
      <c r="J589" s="12">
        <f>IF(BANK_RAW!A589="","",ABS(I589))</f>
        <v/>
      </c>
      <c r="K589" s="11">
        <f>IF(BANK_RAW!A589="","",IF(H589="CR","IN","OUT"))</f>
        <v/>
      </c>
      <c r="L589" s="11" t="inlineStr"/>
      <c r="M589" s="11" t="inlineStr"/>
    </row>
    <row r="590">
      <c r="A590" s="13">
        <f>IF(BANK_RAW!A590="","",ROW()-1)</f>
        <v/>
      </c>
      <c r="B590" s="10">
        <f>IF(BANK_RAW!A590="","",IF(ISNUMBER(BANK_RAW!A590),BANK_RAW!A590,DATEVALUE(TEXT(BANK_RAW!A590,"YYYY-MM-DD"))))</f>
        <v/>
      </c>
      <c r="C590" s="11">
        <f>IF(BANK_RAW!A590="","",TRIM(BANK_RAW!B590))</f>
        <v/>
      </c>
      <c r="D590" s="11">
        <f>IF(BANK_RAW!A590="","",TRIM(BANK_RAW!C590))</f>
        <v/>
      </c>
      <c r="E590" s="12">
        <f>IF(BANK_RAW!A590="","",IFERROR(ABS(BANK_RAW!D590),0))</f>
        <v/>
      </c>
      <c r="F590" s="12">
        <f>IF(BANK_RAW!A590="","",IFERROR(ABS(BANK_RAW!E590),0))</f>
        <v/>
      </c>
      <c r="G590" s="12">
        <f>IF(BANK_RAW!A590="","",IFERROR(BANK_RAW!F590,0))</f>
        <v/>
      </c>
      <c r="H590" s="11">
        <f>IF(BANK_RAW!A590="","",IF(E590&gt;0,"CR",IF(F590&gt;0,"DR","CR")))</f>
        <v/>
      </c>
      <c r="I590" s="12">
        <f>IF(BANK_RAW!A590="","",E590-F590)</f>
        <v/>
      </c>
      <c r="J590" s="12">
        <f>IF(BANK_RAW!A590="","",ABS(I590))</f>
        <v/>
      </c>
      <c r="K590" s="11">
        <f>IF(BANK_RAW!A590="","",IF(H590="CR","IN","OUT"))</f>
        <v/>
      </c>
      <c r="L590" s="11" t="inlineStr"/>
      <c r="M590" s="11" t="inlineStr"/>
    </row>
    <row r="591">
      <c r="A591" s="13">
        <f>IF(BANK_RAW!A591="","",ROW()-1)</f>
        <v/>
      </c>
      <c r="B591" s="10">
        <f>IF(BANK_RAW!A591="","",IF(ISNUMBER(BANK_RAW!A591),BANK_RAW!A591,DATEVALUE(TEXT(BANK_RAW!A591,"YYYY-MM-DD"))))</f>
        <v/>
      </c>
      <c r="C591" s="11">
        <f>IF(BANK_RAW!A591="","",TRIM(BANK_RAW!B591))</f>
        <v/>
      </c>
      <c r="D591" s="11">
        <f>IF(BANK_RAW!A591="","",TRIM(BANK_RAW!C591))</f>
        <v/>
      </c>
      <c r="E591" s="12">
        <f>IF(BANK_RAW!A591="","",IFERROR(ABS(BANK_RAW!D591),0))</f>
        <v/>
      </c>
      <c r="F591" s="12">
        <f>IF(BANK_RAW!A591="","",IFERROR(ABS(BANK_RAW!E591),0))</f>
        <v/>
      </c>
      <c r="G591" s="12">
        <f>IF(BANK_RAW!A591="","",IFERROR(BANK_RAW!F591,0))</f>
        <v/>
      </c>
      <c r="H591" s="11">
        <f>IF(BANK_RAW!A591="","",IF(E591&gt;0,"CR",IF(F591&gt;0,"DR","CR")))</f>
        <v/>
      </c>
      <c r="I591" s="12">
        <f>IF(BANK_RAW!A591="","",E591-F591)</f>
        <v/>
      </c>
      <c r="J591" s="12">
        <f>IF(BANK_RAW!A591="","",ABS(I591))</f>
        <v/>
      </c>
      <c r="K591" s="11">
        <f>IF(BANK_RAW!A591="","",IF(H591="CR","IN","OUT"))</f>
        <v/>
      </c>
      <c r="L591" s="11" t="inlineStr"/>
      <c r="M591" s="11" t="inlineStr"/>
    </row>
    <row r="592">
      <c r="A592" s="13">
        <f>IF(BANK_RAW!A592="","",ROW()-1)</f>
        <v/>
      </c>
      <c r="B592" s="10">
        <f>IF(BANK_RAW!A592="","",IF(ISNUMBER(BANK_RAW!A592),BANK_RAW!A592,DATEVALUE(TEXT(BANK_RAW!A592,"YYYY-MM-DD"))))</f>
        <v/>
      </c>
      <c r="C592" s="11">
        <f>IF(BANK_RAW!A592="","",TRIM(BANK_RAW!B592))</f>
        <v/>
      </c>
      <c r="D592" s="11">
        <f>IF(BANK_RAW!A592="","",TRIM(BANK_RAW!C592))</f>
        <v/>
      </c>
      <c r="E592" s="12">
        <f>IF(BANK_RAW!A592="","",IFERROR(ABS(BANK_RAW!D592),0))</f>
        <v/>
      </c>
      <c r="F592" s="12">
        <f>IF(BANK_RAW!A592="","",IFERROR(ABS(BANK_RAW!E592),0))</f>
        <v/>
      </c>
      <c r="G592" s="12">
        <f>IF(BANK_RAW!A592="","",IFERROR(BANK_RAW!F592,0))</f>
        <v/>
      </c>
      <c r="H592" s="11">
        <f>IF(BANK_RAW!A592="","",IF(E592&gt;0,"CR",IF(F592&gt;0,"DR","CR")))</f>
        <v/>
      </c>
      <c r="I592" s="12">
        <f>IF(BANK_RAW!A592="","",E592-F592)</f>
        <v/>
      </c>
      <c r="J592" s="12">
        <f>IF(BANK_RAW!A592="","",ABS(I592))</f>
        <v/>
      </c>
      <c r="K592" s="11">
        <f>IF(BANK_RAW!A592="","",IF(H592="CR","IN","OUT"))</f>
        <v/>
      </c>
      <c r="L592" s="11" t="inlineStr"/>
      <c r="M592" s="11" t="inlineStr"/>
    </row>
    <row r="593">
      <c r="A593" s="13">
        <f>IF(BANK_RAW!A593="","",ROW()-1)</f>
        <v/>
      </c>
      <c r="B593" s="10">
        <f>IF(BANK_RAW!A593="","",IF(ISNUMBER(BANK_RAW!A593),BANK_RAW!A593,DATEVALUE(TEXT(BANK_RAW!A593,"YYYY-MM-DD"))))</f>
        <v/>
      </c>
      <c r="C593" s="11">
        <f>IF(BANK_RAW!A593="","",TRIM(BANK_RAW!B593))</f>
        <v/>
      </c>
      <c r="D593" s="11">
        <f>IF(BANK_RAW!A593="","",TRIM(BANK_RAW!C593))</f>
        <v/>
      </c>
      <c r="E593" s="12">
        <f>IF(BANK_RAW!A593="","",IFERROR(ABS(BANK_RAW!D593),0))</f>
        <v/>
      </c>
      <c r="F593" s="12">
        <f>IF(BANK_RAW!A593="","",IFERROR(ABS(BANK_RAW!E593),0))</f>
        <v/>
      </c>
      <c r="G593" s="12">
        <f>IF(BANK_RAW!A593="","",IFERROR(BANK_RAW!F593,0))</f>
        <v/>
      </c>
      <c r="H593" s="11">
        <f>IF(BANK_RAW!A593="","",IF(E593&gt;0,"CR",IF(F593&gt;0,"DR","CR")))</f>
        <v/>
      </c>
      <c r="I593" s="12">
        <f>IF(BANK_RAW!A593="","",E593-F593)</f>
        <v/>
      </c>
      <c r="J593" s="12">
        <f>IF(BANK_RAW!A593="","",ABS(I593))</f>
        <v/>
      </c>
      <c r="K593" s="11">
        <f>IF(BANK_RAW!A593="","",IF(H593="CR","IN","OUT"))</f>
        <v/>
      </c>
      <c r="L593" s="11" t="inlineStr"/>
      <c r="M593" s="11" t="inlineStr"/>
    </row>
    <row r="594">
      <c r="A594" s="13">
        <f>IF(BANK_RAW!A594="","",ROW()-1)</f>
        <v/>
      </c>
      <c r="B594" s="10">
        <f>IF(BANK_RAW!A594="","",IF(ISNUMBER(BANK_RAW!A594),BANK_RAW!A594,DATEVALUE(TEXT(BANK_RAW!A594,"YYYY-MM-DD"))))</f>
        <v/>
      </c>
      <c r="C594" s="11">
        <f>IF(BANK_RAW!A594="","",TRIM(BANK_RAW!B594))</f>
        <v/>
      </c>
      <c r="D594" s="11">
        <f>IF(BANK_RAW!A594="","",TRIM(BANK_RAW!C594))</f>
        <v/>
      </c>
      <c r="E594" s="12">
        <f>IF(BANK_RAW!A594="","",IFERROR(ABS(BANK_RAW!D594),0))</f>
        <v/>
      </c>
      <c r="F594" s="12">
        <f>IF(BANK_RAW!A594="","",IFERROR(ABS(BANK_RAW!E594),0))</f>
        <v/>
      </c>
      <c r="G594" s="12">
        <f>IF(BANK_RAW!A594="","",IFERROR(BANK_RAW!F594,0))</f>
        <v/>
      </c>
      <c r="H594" s="11">
        <f>IF(BANK_RAW!A594="","",IF(E594&gt;0,"CR",IF(F594&gt;0,"DR","CR")))</f>
        <v/>
      </c>
      <c r="I594" s="12">
        <f>IF(BANK_RAW!A594="","",E594-F594)</f>
        <v/>
      </c>
      <c r="J594" s="12">
        <f>IF(BANK_RAW!A594="","",ABS(I594))</f>
        <v/>
      </c>
      <c r="K594" s="11">
        <f>IF(BANK_RAW!A594="","",IF(H594="CR","IN","OUT"))</f>
        <v/>
      </c>
      <c r="L594" s="11" t="inlineStr"/>
      <c r="M594" s="11" t="inlineStr"/>
    </row>
    <row r="595">
      <c r="A595" s="13">
        <f>IF(BANK_RAW!A595="","",ROW()-1)</f>
        <v/>
      </c>
      <c r="B595" s="10">
        <f>IF(BANK_RAW!A595="","",IF(ISNUMBER(BANK_RAW!A595),BANK_RAW!A595,DATEVALUE(TEXT(BANK_RAW!A595,"YYYY-MM-DD"))))</f>
        <v/>
      </c>
      <c r="C595" s="11">
        <f>IF(BANK_RAW!A595="","",TRIM(BANK_RAW!B595))</f>
        <v/>
      </c>
      <c r="D595" s="11">
        <f>IF(BANK_RAW!A595="","",TRIM(BANK_RAW!C595))</f>
        <v/>
      </c>
      <c r="E595" s="12">
        <f>IF(BANK_RAW!A595="","",IFERROR(ABS(BANK_RAW!D595),0))</f>
        <v/>
      </c>
      <c r="F595" s="12">
        <f>IF(BANK_RAW!A595="","",IFERROR(ABS(BANK_RAW!E595),0))</f>
        <v/>
      </c>
      <c r="G595" s="12">
        <f>IF(BANK_RAW!A595="","",IFERROR(BANK_RAW!F595,0))</f>
        <v/>
      </c>
      <c r="H595" s="11">
        <f>IF(BANK_RAW!A595="","",IF(E595&gt;0,"CR",IF(F595&gt;0,"DR","CR")))</f>
        <v/>
      </c>
      <c r="I595" s="12">
        <f>IF(BANK_RAW!A595="","",E595-F595)</f>
        <v/>
      </c>
      <c r="J595" s="12">
        <f>IF(BANK_RAW!A595="","",ABS(I595))</f>
        <v/>
      </c>
      <c r="K595" s="11">
        <f>IF(BANK_RAW!A595="","",IF(H595="CR","IN","OUT"))</f>
        <v/>
      </c>
      <c r="L595" s="11" t="inlineStr"/>
      <c r="M595" s="11" t="inlineStr"/>
    </row>
    <row r="596">
      <c r="A596" s="13">
        <f>IF(BANK_RAW!A596="","",ROW()-1)</f>
        <v/>
      </c>
      <c r="B596" s="10">
        <f>IF(BANK_RAW!A596="","",IF(ISNUMBER(BANK_RAW!A596),BANK_RAW!A596,DATEVALUE(TEXT(BANK_RAW!A596,"YYYY-MM-DD"))))</f>
        <v/>
      </c>
      <c r="C596" s="11">
        <f>IF(BANK_RAW!A596="","",TRIM(BANK_RAW!B596))</f>
        <v/>
      </c>
      <c r="D596" s="11">
        <f>IF(BANK_RAW!A596="","",TRIM(BANK_RAW!C596))</f>
        <v/>
      </c>
      <c r="E596" s="12">
        <f>IF(BANK_RAW!A596="","",IFERROR(ABS(BANK_RAW!D596),0))</f>
        <v/>
      </c>
      <c r="F596" s="12">
        <f>IF(BANK_RAW!A596="","",IFERROR(ABS(BANK_RAW!E596),0))</f>
        <v/>
      </c>
      <c r="G596" s="12">
        <f>IF(BANK_RAW!A596="","",IFERROR(BANK_RAW!F596,0))</f>
        <v/>
      </c>
      <c r="H596" s="11">
        <f>IF(BANK_RAW!A596="","",IF(E596&gt;0,"CR",IF(F596&gt;0,"DR","CR")))</f>
        <v/>
      </c>
      <c r="I596" s="12">
        <f>IF(BANK_RAW!A596="","",E596-F596)</f>
        <v/>
      </c>
      <c r="J596" s="12">
        <f>IF(BANK_RAW!A596="","",ABS(I596))</f>
        <v/>
      </c>
      <c r="K596" s="11">
        <f>IF(BANK_RAW!A596="","",IF(H596="CR","IN","OUT"))</f>
        <v/>
      </c>
      <c r="L596" s="11" t="inlineStr"/>
      <c r="M596" s="11" t="inlineStr"/>
    </row>
    <row r="597">
      <c r="A597" s="13">
        <f>IF(BANK_RAW!A597="","",ROW()-1)</f>
        <v/>
      </c>
      <c r="B597" s="10">
        <f>IF(BANK_RAW!A597="","",IF(ISNUMBER(BANK_RAW!A597),BANK_RAW!A597,DATEVALUE(TEXT(BANK_RAW!A597,"YYYY-MM-DD"))))</f>
        <v/>
      </c>
      <c r="C597" s="11">
        <f>IF(BANK_RAW!A597="","",TRIM(BANK_RAW!B597))</f>
        <v/>
      </c>
      <c r="D597" s="11">
        <f>IF(BANK_RAW!A597="","",TRIM(BANK_RAW!C597))</f>
        <v/>
      </c>
      <c r="E597" s="12">
        <f>IF(BANK_RAW!A597="","",IFERROR(ABS(BANK_RAW!D597),0))</f>
        <v/>
      </c>
      <c r="F597" s="12">
        <f>IF(BANK_RAW!A597="","",IFERROR(ABS(BANK_RAW!E597),0))</f>
        <v/>
      </c>
      <c r="G597" s="12">
        <f>IF(BANK_RAW!A597="","",IFERROR(BANK_RAW!F597,0))</f>
        <v/>
      </c>
      <c r="H597" s="11">
        <f>IF(BANK_RAW!A597="","",IF(E597&gt;0,"CR",IF(F597&gt;0,"DR","CR")))</f>
        <v/>
      </c>
      <c r="I597" s="12">
        <f>IF(BANK_RAW!A597="","",E597-F597)</f>
        <v/>
      </c>
      <c r="J597" s="12">
        <f>IF(BANK_RAW!A597="","",ABS(I597))</f>
        <v/>
      </c>
      <c r="K597" s="11">
        <f>IF(BANK_RAW!A597="","",IF(H597="CR","IN","OUT"))</f>
        <v/>
      </c>
      <c r="L597" s="11" t="inlineStr"/>
      <c r="M597" s="11" t="inlineStr"/>
    </row>
    <row r="598">
      <c r="A598" s="13">
        <f>IF(BANK_RAW!A598="","",ROW()-1)</f>
        <v/>
      </c>
      <c r="B598" s="10">
        <f>IF(BANK_RAW!A598="","",IF(ISNUMBER(BANK_RAW!A598),BANK_RAW!A598,DATEVALUE(TEXT(BANK_RAW!A598,"YYYY-MM-DD"))))</f>
        <v/>
      </c>
      <c r="C598" s="11">
        <f>IF(BANK_RAW!A598="","",TRIM(BANK_RAW!B598))</f>
        <v/>
      </c>
      <c r="D598" s="11">
        <f>IF(BANK_RAW!A598="","",TRIM(BANK_RAW!C598))</f>
        <v/>
      </c>
      <c r="E598" s="12">
        <f>IF(BANK_RAW!A598="","",IFERROR(ABS(BANK_RAW!D598),0))</f>
        <v/>
      </c>
      <c r="F598" s="12">
        <f>IF(BANK_RAW!A598="","",IFERROR(ABS(BANK_RAW!E598),0))</f>
        <v/>
      </c>
      <c r="G598" s="12">
        <f>IF(BANK_RAW!A598="","",IFERROR(BANK_RAW!F598,0))</f>
        <v/>
      </c>
      <c r="H598" s="11">
        <f>IF(BANK_RAW!A598="","",IF(E598&gt;0,"CR",IF(F598&gt;0,"DR","CR")))</f>
        <v/>
      </c>
      <c r="I598" s="12">
        <f>IF(BANK_RAW!A598="","",E598-F598)</f>
        <v/>
      </c>
      <c r="J598" s="12">
        <f>IF(BANK_RAW!A598="","",ABS(I598))</f>
        <v/>
      </c>
      <c r="K598" s="11">
        <f>IF(BANK_RAW!A598="","",IF(H598="CR","IN","OUT"))</f>
        <v/>
      </c>
      <c r="L598" s="11" t="inlineStr"/>
      <c r="M598" s="11" t="inlineStr"/>
    </row>
    <row r="599">
      <c r="A599" s="13">
        <f>IF(BANK_RAW!A599="","",ROW()-1)</f>
        <v/>
      </c>
      <c r="B599" s="10">
        <f>IF(BANK_RAW!A599="","",IF(ISNUMBER(BANK_RAW!A599),BANK_RAW!A599,DATEVALUE(TEXT(BANK_RAW!A599,"YYYY-MM-DD"))))</f>
        <v/>
      </c>
      <c r="C599" s="11">
        <f>IF(BANK_RAW!A599="","",TRIM(BANK_RAW!B599))</f>
        <v/>
      </c>
      <c r="D599" s="11">
        <f>IF(BANK_RAW!A599="","",TRIM(BANK_RAW!C599))</f>
        <v/>
      </c>
      <c r="E599" s="12">
        <f>IF(BANK_RAW!A599="","",IFERROR(ABS(BANK_RAW!D599),0))</f>
        <v/>
      </c>
      <c r="F599" s="12">
        <f>IF(BANK_RAW!A599="","",IFERROR(ABS(BANK_RAW!E599),0))</f>
        <v/>
      </c>
      <c r="G599" s="12">
        <f>IF(BANK_RAW!A599="","",IFERROR(BANK_RAW!F599,0))</f>
        <v/>
      </c>
      <c r="H599" s="11">
        <f>IF(BANK_RAW!A599="","",IF(E599&gt;0,"CR",IF(F599&gt;0,"DR","CR")))</f>
        <v/>
      </c>
      <c r="I599" s="12">
        <f>IF(BANK_RAW!A599="","",E599-F599)</f>
        <v/>
      </c>
      <c r="J599" s="12">
        <f>IF(BANK_RAW!A599="","",ABS(I599))</f>
        <v/>
      </c>
      <c r="K599" s="11">
        <f>IF(BANK_RAW!A599="","",IF(H599="CR","IN","OUT"))</f>
        <v/>
      </c>
      <c r="L599" s="11" t="inlineStr"/>
      <c r="M599" s="11" t="inlineStr"/>
    </row>
    <row r="600">
      <c r="A600" s="13">
        <f>IF(BANK_RAW!A600="","",ROW()-1)</f>
        <v/>
      </c>
      <c r="B600" s="10">
        <f>IF(BANK_RAW!A600="","",IF(ISNUMBER(BANK_RAW!A600),BANK_RAW!A600,DATEVALUE(TEXT(BANK_RAW!A600,"YYYY-MM-DD"))))</f>
        <v/>
      </c>
      <c r="C600" s="11">
        <f>IF(BANK_RAW!A600="","",TRIM(BANK_RAW!B600))</f>
        <v/>
      </c>
      <c r="D600" s="11">
        <f>IF(BANK_RAW!A600="","",TRIM(BANK_RAW!C600))</f>
        <v/>
      </c>
      <c r="E600" s="12">
        <f>IF(BANK_RAW!A600="","",IFERROR(ABS(BANK_RAW!D600),0))</f>
        <v/>
      </c>
      <c r="F600" s="12">
        <f>IF(BANK_RAW!A600="","",IFERROR(ABS(BANK_RAW!E600),0))</f>
        <v/>
      </c>
      <c r="G600" s="12">
        <f>IF(BANK_RAW!A600="","",IFERROR(BANK_RAW!F600,0))</f>
        <v/>
      </c>
      <c r="H600" s="11">
        <f>IF(BANK_RAW!A600="","",IF(E600&gt;0,"CR",IF(F600&gt;0,"DR","CR")))</f>
        <v/>
      </c>
      <c r="I600" s="12">
        <f>IF(BANK_RAW!A600="","",E600-F600)</f>
        <v/>
      </c>
      <c r="J600" s="12">
        <f>IF(BANK_RAW!A600="","",ABS(I600))</f>
        <v/>
      </c>
      <c r="K600" s="11">
        <f>IF(BANK_RAW!A600="","",IF(H600="CR","IN","OUT"))</f>
        <v/>
      </c>
      <c r="L600" s="11" t="inlineStr"/>
      <c r="M600" s="11" t="inlineStr"/>
    </row>
    <row r="601">
      <c r="A601" s="13">
        <f>IF(BANK_RAW!A601="","",ROW()-1)</f>
        <v/>
      </c>
      <c r="B601" s="10">
        <f>IF(BANK_RAW!A601="","",IF(ISNUMBER(BANK_RAW!A601),BANK_RAW!A601,DATEVALUE(TEXT(BANK_RAW!A601,"YYYY-MM-DD"))))</f>
        <v/>
      </c>
      <c r="C601" s="11">
        <f>IF(BANK_RAW!A601="","",TRIM(BANK_RAW!B601))</f>
        <v/>
      </c>
      <c r="D601" s="11">
        <f>IF(BANK_RAW!A601="","",TRIM(BANK_RAW!C601))</f>
        <v/>
      </c>
      <c r="E601" s="12">
        <f>IF(BANK_RAW!A601="","",IFERROR(ABS(BANK_RAW!D601),0))</f>
        <v/>
      </c>
      <c r="F601" s="12">
        <f>IF(BANK_RAW!A601="","",IFERROR(ABS(BANK_RAW!E601),0))</f>
        <v/>
      </c>
      <c r="G601" s="12">
        <f>IF(BANK_RAW!A601="","",IFERROR(BANK_RAW!F601,0))</f>
        <v/>
      </c>
      <c r="H601" s="11">
        <f>IF(BANK_RAW!A601="","",IF(E601&gt;0,"CR",IF(F601&gt;0,"DR","CR")))</f>
        <v/>
      </c>
      <c r="I601" s="12">
        <f>IF(BANK_RAW!A601="","",E601-F601)</f>
        <v/>
      </c>
      <c r="J601" s="12">
        <f>IF(BANK_RAW!A601="","",ABS(I601))</f>
        <v/>
      </c>
      <c r="K601" s="11">
        <f>IF(BANK_RAW!A601="","",IF(H601="CR","IN","OUT"))</f>
        <v/>
      </c>
      <c r="L601" s="11" t="inlineStr"/>
      <c r="M601" s="11" t="inlineStr"/>
    </row>
    <row r="602">
      <c r="A602" s="13">
        <f>IF(BANK_RAW!A602="","",ROW()-1)</f>
        <v/>
      </c>
      <c r="B602" s="10">
        <f>IF(BANK_RAW!A602="","",IF(ISNUMBER(BANK_RAW!A602),BANK_RAW!A602,DATEVALUE(TEXT(BANK_RAW!A602,"YYYY-MM-DD"))))</f>
        <v/>
      </c>
      <c r="C602" s="11">
        <f>IF(BANK_RAW!A602="","",TRIM(BANK_RAW!B602))</f>
        <v/>
      </c>
      <c r="D602" s="11">
        <f>IF(BANK_RAW!A602="","",TRIM(BANK_RAW!C602))</f>
        <v/>
      </c>
      <c r="E602" s="12">
        <f>IF(BANK_RAW!A602="","",IFERROR(ABS(BANK_RAW!D602),0))</f>
        <v/>
      </c>
      <c r="F602" s="12">
        <f>IF(BANK_RAW!A602="","",IFERROR(ABS(BANK_RAW!E602),0))</f>
        <v/>
      </c>
      <c r="G602" s="12">
        <f>IF(BANK_RAW!A602="","",IFERROR(BANK_RAW!F602,0))</f>
        <v/>
      </c>
      <c r="H602" s="11">
        <f>IF(BANK_RAW!A602="","",IF(E602&gt;0,"CR",IF(F602&gt;0,"DR","CR")))</f>
        <v/>
      </c>
      <c r="I602" s="12">
        <f>IF(BANK_RAW!A602="","",E602-F602)</f>
        <v/>
      </c>
      <c r="J602" s="12">
        <f>IF(BANK_RAW!A602="","",ABS(I602))</f>
        <v/>
      </c>
      <c r="K602" s="11">
        <f>IF(BANK_RAW!A602="","",IF(H602="CR","IN","OUT"))</f>
        <v/>
      </c>
      <c r="L602" s="11" t="inlineStr"/>
      <c r="M602" s="11" t="inlineStr"/>
    </row>
    <row r="603">
      <c r="A603" s="13">
        <f>IF(BANK_RAW!A603="","",ROW()-1)</f>
        <v/>
      </c>
      <c r="B603" s="10">
        <f>IF(BANK_RAW!A603="","",IF(ISNUMBER(BANK_RAW!A603),BANK_RAW!A603,DATEVALUE(TEXT(BANK_RAW!A603,"YYYY-MM-DD"))))</f>
        <v/>
      </c>
      <c r="C603" s="11">
        <f>IF(BANK_RAW!A603="","",TRIM(BANK_RAW!B603))</f>
        <v/>
      </c>
      <c r="D603" s="11">
        <f>IF(BANK_RAW!A603="","",TRIM(BANK_RAW!C603))</f>
        <v/>
      </c>
      <c r="E603" s="12">
        <f>IF(BANK_RAW!A603="","",IFERROR(ABS(BANK_RAW!D603),0))</f>
        <v/>
      </c>
      <c r="F603" s="12">
        <f>IF(BANK_RAW!A603="","",IFERROR(ABS(BANK_RAW!E603),0))</f>
        <v/>
      </c>
      <c r="G603" s="12">
        <f>IF(BANK_RAW!A603="","",IFERROR(BANK_RAW!F603,0))</f>
        <v/>
      </c>
      <c r="H603" s="11">
        <f>IF(BANK_RAW!A603="","",IF(E603&gt;0,"CR",IF(F603&gt;0,"DR","CR")))</f>
        <v/>
      </c>
      <c r="I603" s="12">
        <f>IF(BANK_RAW!A603="","",E603-F603)</f>
        <v/>
      </c>
      <c r="J603" s="12">
        <f>IF(BANK_RAW!A603="","",ABS(I603))</f>
        <v/>
      </c>
      <c r="K603" s="11">
        <f>IF(BANK_RAW!A603="","",IF(H603="CR","IN","OUT"))</f>
        <v/>
      </c>
      <c r="L603" s="11" t="inlineStr"/>
      <c r="M603" s="11" t="inlineStr"/>
    </row>
    <row r="604">
      <c r="A604" s="13">
        <f>IF(BANK_RAW!A604="","",ROW()-1)</f>
        <v/>
      </c>
      <c r="B604" s="10">
        <f>IF(BANK_RAW!A604="","",IF(ISNUMBER(BANK_RAW!A604),BANK_RAW!A604,DATEVALUE(TEXT(BANK_RAW!A604,"YYYY-MM-DD"))))</f>
        <v/>
      </c>
      <c r="C604" s="11">
        <f>IF(BANK_RAW!A604="","",TRIM(BANK_RAW!B604))</f>
        <v/>
      </c>
      <c r="D604" s="11">
        <f>IF(BANK_RAW!A604="","",TRIM(BANK_RAW!C604))</f>
        <v/>
      </c>
      <c r="E604" s="12">
        <f>IF(BANK_RAW!A604="","",IFERROR(ABS(BANK_RAW!D604),0))</f>
        <v/>
      </c>
      <c r="F604" s="12">
        <f>IF(BANK_RAW!A604="","",IFERROR(ABS(BANK_RAW!E604),0))</f>
        <v/>
      </c>
      <c r="G604" s="12">
        <f>IF(BANK_RAW!A604="","",IFERROR(BANK_RAW!F604,0))</f>
        <v/>
      </c>
      <c r="H604" s="11">
        <f>IF(BANK_RAW!A604="","",IF(E604&gt;0,"CR",IF(F604&gt;0,"DR","CR")))</f>
        <v/>
      </c>
      <c r="I604" s="12">
        <f>IF(BANK_RAW!A604="","",E604-F604)</f>
        <v/>
      </c>
      <c r="J604" s="12">
        <f>IF(BANK_RAW!A604="","",ABS(I604))</f>
        <v/>
      </c>
      <c r="K604" s="11">
        <f>IF(BANK_RAW!A604="","",IF(H604="CR","IN","OUT"))</f>
        <v/>
      </c>
      <c r="L604" s="11" t="inlineStr"/>
      <c r="M604" s="11" t="inlineStr"/>
    </row>
    <row r="605">
      <c r="A605" s="13">
        <f>IF(BANK_RAW!A605="","",ROW()-1)</f>
        <v/>
      </c>
      <c r="B605" s="10">
        <f>IF(BANK_RAW!A605="","",IF(ISNUMBER(BANK_RAW!A605),BANK_RAW!A605,DATEVALUE(TEXT(BANK_RAW!A605,"YYYY-MM-DD"))))</f>
        <v/>
      </c>
      <c r="C605" s="11">
        <f>IF(BANK_RAW!A605="","",TRIM(BANK_RAW!B605))</f>
        <v/>
      </c>
      <c r="D605" s="11">
        <f>IF(BANK_RAW!A605="","",TRIM(BANK_RAW!C605))</f>
        <v/>
      </c>
      <c r="E605" s="12">
        <f>IF(BANK_RAW!A605="","",IFERROR(ABS(BANK_RAW!D605),0))</f>
        <v/>
      </c>
      <c r="F605" s="12">
        <f>IF(BANK_RAW!A605="","",IFERROR(ABS(BANK_RAW!E605),0))</f>
        <v/>
      </c>
      <c r="G605" s="12">
        <f>IF(BANK_RAW!A605="","",IFERROR(BANK_RAW!F605,0))</f>
        <v/>
      </c>
      <c r="H605" s="11">
        <f>IF(BANK_RAW!A605="","",IF(E605&gt;0,"CR",IF(F605&gt;0,"DR","CR")))</f>
        <v/>
      </c>
      <c r="I605" s="12">
        <f>IF(BANK_RAW!A605="","",E605-F605)</f>
        <v/>
      </c>
      <c r="J605" s="12">
        <f>IF(BANK_RAW!A605="","",ABS(I605))</f>
        <v/>
      </c>
      <c r="K605" s="11">
        <f>IF(BANK_RAW!A605="","",IF(H605="CR","IN","OUT"))</f>
        <v/>
      </c>
      <c r="L605" s="11" t="inlineStr"/>
      <c r="M605" s="11" t="inlineStr"/>
    </row>
    <row r="606">
      <c r="A606" s="13">
        <f>IF(BANK_RAW!A606="","",ROW()-1)</f>
        <v/>
      </c>
      <c r="B606" s="10">
        <f>IF(BANK_RAW!A606="","",IF(ISNUMBER(BANK_RAW!A606),BANK_RAW!A606,DATEVALUE(TEXT(BANK_RAW!A606,"YYYY-MM-DD"))))</f>
        <v/>
      </c>
      <c r="C606" s="11">
        <f>IF(BANK_RAW!A606="","",TRIM(BANK_RAW!B606))</f>
        <v/>
      </c>
      <c r="D606" s="11">
        <f>IF(BANK_RAW!A606="","",TRIM(BANK_RAW!C606))</f>
        <v/>
      </c>
      <c r="E606" s="12">
        <f>IF(BANK_RAW!A606="","",IFERROR(ABS(BANK_RAW!D606),0))</f>
        <v/>
      </c>
      <c r="F606" s="12">
        <f>IF(BANK_RAW!A606="","",IFERROR(ABS(BANK_RAW!E606),0))</f>
        <v/>
      </c>
      <c r="G606" s="12">
        <f>IF(BANK_RAW!A606="","",IFERROR(BANK_RAW!F606,0))</f>
        <v/>
      </c>
      <c r="H606" s="11">
        <f>IF(BANK_RAW!A606="","",IF(E606&gt;0,"CR",IF(F606&gt;0,"DR","CR")))</f>
        <v/>
      </c>
      <c r="I606" s="12">
        <f>IF(BANK_RAW!A606="","",E606-F606)</f>
        <v/>
      </c>
      <c r="J606" s="12">
        <f>IF(BANK_RAW!A606="","",ABS(I606))</f>
        <v/>
      </c>
      <c r="K606" s="11">
        <f>IF(BANK_RAW!A606="","",IF(H606="CR","IN","OUT"))</f>
        <v/>
      </c>
      <c r="L606" s="11" t="inlineStr"/>
      <c r="M606" s="11" t="inlineStr"/>
    </row>
    <row r="607">
      <c r="A607" s="13">
        <f>IF(BANK_RAW!A607="","",ROW()-1)</f>
        <v/>
      </c>
      <c r="B607" s="10">
        <f>IF(BANK_RAW!A607="","",IF(ISNUMBER(BANK_RAW!A607),BANK_RAW!A607,DATEVALUE(TEXT(BANK_RAW!A607,"YYYY-MM-DD"))))</f>
        <v/>
      </c>
      <c r="C607" s="11">
        <f>IF(BANK_RAW!A607="","",TRIM(BANK_RAW!B607))</f>
        <v/>
      </c>
      <c r="D607" s="11">
        <f>IF(BANK_RAW!A607="","",TRIM(BANK_RAW!C607))</f>
        <v/>
      </c>
      <c r="E607" s="12">
        <f>IF(BANK_RAW!A607="","",IFERROR(ABS(BANK_RAW!D607),0))</f>
        <v/>
      </c>
      <c r="F607" s="12">
        <f>IF(BANK_RAW!A607="","",IFERROR(ABS(BANK_RAW!E607),0))</f>
        <v/>
      </c>
      <c r="G607" s="12">
        <f>IF(BANK_RAW!A607="","",IFERROR(BANK_RAW!F607,0))</f>
        <v/>
      </c>
      <c r="H607" s="11">
        <f>IF(BANK_RAW!A607="","",IF(E607&gt;0,"CR",IF(F607&gt;0,"DR","CR")))</f>
        <v/>
      </c>
      <c r="I607" s="12">
        <f>IF(BANK_RAW!A607="","",E607-F607)</f>
        <v/>
      </c>
      <c r="J607" s="12">
        <f>IF(BANK_RAW!A607="","",ABS(I607))</f>
        <v/>
      </c>
      <c r="K607" s="11">
        <f>IF(BANK_RAW!A607="","",IF(H607="CR","IN","OUT"))</f>
        <v/>
      </c>
      <c r="L607" s="11" t="inlineStr"/>
      <c r="M607" s="11" t="inlineStr"/>
    </row>
    <row r="608">
      <c r="A608" s="13">
        <f>IF(BANK_RAW!A608="","",ROW()-1)</f>
        <v/>
      </c>
      <c r="B608" s="10">
        <f>IF(BANK_RAW!A608="","",IF(ISNUMBER(BANK_RAW!A608),BANK_RAW!A608,DATEVALUE(TEXT(BANK_RAW!A608,"YYYY-MM-DD"))))</f>
        <v/>
      </c>
      <c r="C608" s="11">
        <f>IF(BANK_RAW!A608="","",TRIM(BANK_RAW!B608))</f>
        <v/>
      </c>
      <c r="D608" s="11">
        <f>IF(BANK_RAW!A608="","",TRIM(BANK_RAW!C608))</f>
        <v/>
      </c>
      <c r="E608" s="12">
        <f>IF(BANK_RAW!A608="","",IFERROR(ABS(BANK_RAW!D608),0))</f>
        <v/>
      </c>
      <c r="F608" s="12">
        <f>IF(BANK_RAW!A608="","",IFERROR(ABS(BANK_RAW!E608),0))</f>
        <v/>
      </c>
      <c r="G608" s="12">
        <f>IF(BANK_RAW!A608="","",IFERROR(BANK_RAW!F608,0))</f>
        <v/>
      </c>
      <c r="H608" s="11">
        <f>IF(BANK_RAW!A608="","",IF(E608&gt;0,"CR",IF(F608&gt;0,"DR","CR")))</f>
        <v/>
      </c>
      <c r="I608" s="12">
        <f>IF(BANK_RAW!A608="","",E608-F608)</f>
        <v/>
      </c>
      <c r="J608" s="12">
        <f>IF(BANK_RAW!A608="","",ABS(I608))</f>
        <v/>
      </c>
      <c r="K608" s="11">
        <f>IF(BANK_RAW!A608="","",IF(H608="CR","IN","OUT"))</f>
        <v/>
      </c>
      <c r="L608" s="11" t="inlineStr"/>
      <c r="M608" s="11" t="inlineStr"/>
    </row>
    <row r="609">
      <c r="A609" s="13">
        <f>IF(BANK_RAW!A609="","",ROW()-1)</f>
        <v/>
      </c>
      <c r="B609" s="10">
        <f>IF(BANK_RAW!A609="","",IF(ISNUMBER(BANK_RAW!A609),BANK_RAW!A609,DATEVALUE(TEXT(BANK_RAW!A609,"YYYY-MM-DD"))))</f>
        <v/>
      </c>
      <c r="C609" s="11">
        <f>IF(BANK_RAW!A609="","",TRIM(BANK_RAW!B609))</f>
        <v/>
      </c>
      <c r="D609" s="11">
        <f>IF(BANK_RAW!A609="","",TRIM(BANK_RAW!C609))</f>
        <v/>
      </c>
      <c r="E609" s="12">
        <f>IF(BANK_RAW!A609="","",IFERROR(ABS(BANK_RAW!D609),0))</f>
        <v/>
      </c>
      <c r="F609" s="12">
        <f>IF(BANK_RAW!A609="","",IFERROR(ABS(BANK_RAW!E609),0))</f>
        <v/>
      </c>
      <c r="G609" s="12">
        <f>IF(BANK_RAW!A609="","",IFERROR(BANK_RAW!F609,0))</f>
        <v/>
      </c>
      <c r="H609" s="11">
        <f>IF(BANK_RAW!A609="","",IF(E609&gt;0,"CR",IF(F609&gt;0,"DR","CR")))</f>
        <v/>
      </c>
      <c r="I609" s="12">
        <f>IF(BANK_RAW!A609="","",E609-F609)</f>
        <v/>
      </c>
      <c r="J609" s="12">
        <f>IF(BANK_RAW!A609="","",ABS(I609))</f>
        <v/>
      </c>
      <c r="K609" s="11">
        <f>IF(BANK_RAW!A609="","",IF(H609="CR","IN","OUT"))</f>
        <v/>
      </c>
      <c r="L609" s="11" t="inlineStr"/>
      <c r="M609" s="11" t="inlineStr"/>
    </row>
    <row r="610">
      <c r="A610" s="13">
        <f>IF(BANK_RAW!A610="","",ROW()-1)</f>
        <v/>
      </c>
      <c r="B610" s="10">
        <f>IF(BANK_RAW!A610="","",IF(ISNUMBER(BANK_RAW!A610),BANK_RAW!A610,DATEVALUE(TEXT(BANK_RAW!A610,"YYYY-MM-DD"))))</f>
        <v/>
      </c>
      <c r="C610" s="11">
        <f>IF(BANK_RAW!A610="","",TRIM(BANK_RAW!B610))</f>
        <v/>
      </c>
      <c r="D610" s="11">
        <f>IF(BANK_RAW!A610="","",TRIM(BANK_RAW!C610))</f>
        <v/>
      </c>
      <c r="E610" s="12">
        <f>IF(BANK_RAW!A610="","",IFERROR(ABS(BANK_RAW!D610),0))</f>
        <v/>
      </c>
      <c r="F610" s="12">
        <f>IF(BANK_RAW!A610="","",IFERROR(ABS(BANK_RAW!E610),0))</f>
        <v/>
      </c>
      <c r="G610" s="12">
        <f>IF(BANK_RAW!A610="","",IFERROR(BANK_RAW!F610,0))</f>
        <v/>
      </c>
      <c r="H610" s="11">
        <f>IF(BANK_RAW!A610="","",IF(E610&gt;0,"CR",IF(F610&gt;0,"DR","CR")))</f>
        <v/>
      </c>
      <c r="I610" s="12">
        <f>IF(BANK_RAW!A610="","",E610-F610)</f>
        <v/>
      </c>
      <c r="J610" s="12">
        <f>IF(BANK_RAW!A610="","",ABS(I610))</f>
        <v/>
      </c>
      <c r="K610" s="11">
        <f>IF(BANK_RAW!A610="","",IF(H610="CR","IN","OUT"))</f>
        <v/>
      </c>
      <c r="L610" s="11" t="inlineStr"/>
      <c r="M610" s="11" t="inlineStr"/>
    </row>
    <row r="611">
      <c r="A611" s="13">
        <f>IF(BANK_RAW!A611="","",ROW()-1)</f>
        <v/>
      </c>
      <c r="B611" s="10">
        <f>IF(BANK_RAW!A611="","",IF(ISNUMBER(BANK_RAW!A611),BANK_RAW!A611,DATEVALUE(TEXT(BANK_RAW!A611,"YYYY-MM-DD"))))</f>
        <v/>
      </c>
      <c r="C611" s="11">
        <f>IF(BANK_RAW!A611="","",TRIM(BANK_RAW!B611))</f>
        <v/>
      </c>
      <c r="D611" s="11">
        <f>IF(BANK_RAW!A611="","",TRIM(BANK_RAW!C611))</f>
        <v/>
      </c>
      <c r="E611" s="12">
        <f>IF(BANK_RAW!A611="","",IFERROR(ABS(BANK_RAW!D611),0))</f>
        <v/>
      </c>
      <c r="F611" s="12">
        <f>IF(BANK_RAW!A611="","",IFERROR(ABS(BANK_RAW!E611),0))</f>
        <v/>
      </c>
      <c r="G611" s="12">
        <f>IF(BANK_RAW!A611="","",IFERROR(BANK_RAW!F611,0))</f>
        <v/>
      </c>
      <c r="H611" s="11">
        <f>IF(BANK_RAW!A611="","",IF(E611&gt;0,"CR",IF(F611&gt;0,"DR","CR")))</f>
        <v/>
      </c>
      <c r="I611" s="12">
        <f>IF(BANK_RAW!A611="","",E611-F611)</f>
        <v/>
      </c>
      <c r="J611" s="12">
        <f>IF(BANK_RAW!A611="","",ABS(I611))</f>
        <v/>
      </c>
      <c r="K611" s="11">
        <f>IF(BANK_RAW!A611="","",IF(H611="CR","IN","OUT"))</f>
        <v/>
      </c>
      <c r="L611" s="11" t="inlineStr"/>
      <c r="M611" s="11" t="inlineStr"/>
    </row>
    <row r="612">
      <c r="A612" s="13">
        <f>IF(BANK_RAW!A612="","",ROW()-1)</f>
        <v/>
      </c>
      <c r="B612" s="10">
        <f>IF(BANK_RAW!A612="","",IF(ISNUMBER(BANK_RAW!A612),BANK_RAW!A612,DATEVALUE(TEXT(BANK_RAW!A612,"YYYY-MM-DD"))))</f>
        <v/>
      </c>
      <c r="C612" s="11">
        <f>IF(BANK_RAW!A612="","",TRIM(BANK_RAW!B612))</f>
        <v/>
      </c>
      <c r="D612" s="11">
        <f>IF(BANK_RAW!A612="","",TRIM(BANK_RAW!C612))</f>
        <v/>
      </c>
      <c r="E612" s="12">
        <f>IF(BANK_RAW!A612="","",IFERROR(ABS(BANK_RAW!D612),0))</f>
        <v/>
      </c>
      <c r="F612" s="12">
        <f>IF(BANK_RAW!A612="","",IFERROR(ABS(BANK_RAW!E612),0))</f>
        <v/>
      </c>
      <c r="G612" s="12">
        <f>IF(BANK_RAW!A612="","",IFERROR(BANK_RAW!F612,0))</f>
        <v/>
      </c>
      <c r="H612" s="11">
        <f>IF(BANK_RAW!A612="","",IF(E612&gt;0,"CR",IF(F612&gt;0,"DR","CR")))</f>
        <v/>
      </c>
      <c r="I612" s="12">
        <f>IF(BANK_RAW!A612="","",E612-F612)</f>
        <v/>
      </c>
      <c r="J612" s="12">
        <f>IF(BANK_RAW!A612="","",ABS(I612))</f>
        <v/>
      </c>
      <c r="K612" s="11">
        <f>IF(BANK_RAW!A612="","",IF(H612="CR","IN","OUT"))</f>
        <v/>
      </c>
      <c r="L612" s="11" t="inlineStr"/>
      <c r="M612" s="11" t="inlineStr"/>
    </row>
    <row r="613">
      <c r="A613" s="13">
        <f>IF(BANK_RAW!A613="","",ROW()-1)</f>
        <v/>
      </c>
      <c r="B613" s="10">
        <f>IF(BANK_RAW!A613="","",IF(ISNUMBER(BANK_RAW!A613),BANK_RAW!A613,DATEVALUE(TEXT(BANK_RAW!A613,"YYYY-MM-DD"))))</f>
        <v/>
      </c>
      <c r="C613" s="11">
        <f>IF(BANK_RAW!A613="","",TRIM(BANK_RAW!B613))</f>
        <v/>
      </c>
      <c r="D613" s="11">
        <f>IF(BANK_RAW!A613="","",TRIM(BANK_RAW!C613))</f>
        <v/>
      </c>
      <c r="E613" s="12">
        <f>IF(BANK_RAW!A613="","",IFERROR(ABS(BANK_RAW!D613),0))</f>
        <v/>
      </c>
      <c r="F613" s="12">
        <f>IF(BANK_RAW!A613="","",IFERROR(ABS(BANK_RAW!E613),0))</f>
        <v/>
      </c>
      <c r="G613" s="12">
        <f>IF(BANK_RAW!A613="","",IFERROR(BANK_RAW!F613,0))</f>
        <v/>
      </c>
      <c r="H613" s="11">
        <f>IF(BANK_RAW!A613="","",IF(E613&gt;0,"CR",IF(F613&gt;0,"DR","CR")))</f>
        <v/>
      </c>
      <c r="I613" s="12">
        <f>IF(BANK_RAW!A613="","",E613-F613)</f>
        <v/>
      </c>
      <c r="J613" s="12">
        <f>IF(BANK_RAW!A613="","",ABS(I613))</f>
        <v/>
      </c>
      <c r="K613" s="11">
        <f>IF(BANK_RAW!A613="","",IF(H613="CR","IN","OUT"))</f>
        <v/>
      </c>
      <c r="L613" s="11" t="inlineStr"/>
      <c r="M613" s="11" t="inlineStr"/>
    </row>
    <row r="614">
      <c r="A614" s="13">
        <f>IF(BANK_RAW!A614="","",ROW()-1)</f>
        <v/>
      </c>
      <c r="B614" s="10">
        <f>IF(BANK_RAW!A614="","",IF(ISNUMBER(BANK_RAW!A614),BANK_RAW!A614,DATEVALUE(TEXT(BANK_RAW!A614,"YYYY-MM-DD"))))</f>
        <v/>
      </c>
      <c r="C614" s="11">
        <f>IF(BANK_RAW!A614="","",TRIM(BANK_RAW!B614))</f>
        <v/>
      </c>
      <c r="D614" s="11">
        <f>IF(BANK_RAW!A614="","",TRIM(BANK_RAW!C614))</f>
        <v/>
      </c>
      <c r="E614" s="12">
        <f>IF(BANK_RAW!A614="","",IFERROR(ABS(BANK_RAW!D614),0))</f>
        <v/>
      </c>
      <c r="F614" s="12">
        <f>IF(BANK_RAW!A614="","",IFERROR(ABS(BANK_RAW!E614),0))</f>
        <v/>
      </c>
      <c r="G614" s="12">
        <f>IF(BANK_RAW!A614="","",IFERROR(BANK_RAW!F614,0))</f>
        <v/>
      </c>
      <c r="H614" s="11">
        <f>IF(BANK_RAW!A614="","",IF(E614&gt;0,"CR",IF(F614&gt;0,"DR","CR")))</f>
        <v/>
      </c>
      <c r="I614" s="12">
        <f>IF(BANK_RAW!A614="","",E614-F614)</f>
        <v/>
      </c>
      <c r="J614" s="12">
        <f>IF(BANK_RAW!A614="","",ABS(I614))</f>
        <v/>
      </c>
      <c r="K614" s="11">
        <f>IF(BANK_RAW!A614="","",IF(H614="CR","IN","OUT"))</f>
        <v/>
      </c>
      <c r="L614" s="11" t="inlineStr"/>
      <c r="M614" s="11" t="inlineStr"/>
    </row>
    <row r="615">
      <c r="A615" s="13">
        <f>IF(BANK_RAW!A615="","",ROW()-1)</f>
        <v/>
      </c>
      <c r="B615" s="10">
        <f>IF(BANK_RAW!A615="","",IF(ISNUMBER(BANK_RAW!A615),BANK_RAW!A615,DATEVALUE(TEXT(BANK_RAW!A615,"YYYY-MM-DD"))))</f>
        <v/>
      </c>
      <c r="C615" s="11">
        <f>IF(BANK_RAW!A615="","",TRIM(BANK_RAW!B615))</f>
        <v/>
      </c>
      <c r="D615" s="11">
        <f>IF(BANK_RAW!A615="","",TRIM(BANK_RAW!C615))</f>
        <v/>
      </c>
      <c r="E615" s="12">
        <f>IF(BANK_RAW!A615="","",IFERROR(ABS(BANK_RAW!D615),0))</f>
        <v/>
      </c>
      <c r="F615" s="12">
        <f>IF(BANK_RAW!A615="","",IFERROR(ABS(BANK_RAW!E615),0))</f>
        <v/>
      </c>
      <c r="G615" s="12">
        <f>IF(BANK_RAW!A615="","",IFERROR(BANK_RAW!F615,0))</f>
        <v/>
      </c>
      <c r="H615" s="11">
        <f>IF(BANK_RAW!A615="","",IF(E615&gt;0,"CR",IF(F615&gt;0,"DR","CR")))</f>
        <v/>
      </c>
      <c r="I615" s="12">
        <f>IF(BANK_RAW!A615="","",E615-F615)</f>
        <v/>
      </c>
      <c r="J615" s="12">
        <f>IF(BANK_RAW!A615="","",ABS(I615))</f>
        <v/>
      </c>
      <c r="K615" s="11">
        <f>IF(BANK_RAW!A615="","",IF(H615="CR","IN","OUT"))</f>
        <v/>
      </c>
      <c r="L615" s="11" t="inlineStr"/>
      <c r="M615" s="11" t="inlineStr"/>
    </row>
    <row r="616">
      <c r="A616" s="13">
        <f>IF(BANK_RAW!A616="","",ROW()-1)</f>
        <v/>
      </c>
      <c r="B616" s="10">
        <f>IF(BANK_RAW!A616="","",IF(ISNUMBER(BANK_RAW!A616),BANK_RAW!A616,DATEVALUE(TEXT(BANK_RAW!A616,"YYYY-MM-DD"))))</f>
        <v/>
      </c>
      <c r="C616" s="11">
        <f>IF(BANK_RAW!A616="","",TRIM(BANK_RAW!B616))</f>
        <v/>
      </c>
      <c r="D616" s="11">
        <f>IF(BANK_RAW!A616="","",TRIM(BANK_RAW!C616))</f>
        <v/>
      </c>
      <c r="E616" s="12">
        <f>IF(BANK_RAW!A616="","",IFERROR(ABS(BANK_RAW!D616),0))</f>
        <v/>
      </c>
      <c r="F616" s="12">
        <f>IF(BANK_RAW!A616="","",IFERROR(ABS(BANK_RAW!E616),0))</f>
        <v/>
      </c>
      <c r="G616" s="12">
        <f>IF(BANK_RAW!A616="","",IFERROR(BANK_RAW!F616,0))</f>
        <v/>
      </c>
      <c r="H616" s="11">
        <f>IF(BANK_RAW!A616="","",IF(E616&gt;0,"CR",IF(F616&gt;0,"DR","CR")))</f>
        <v/>
      </c>
      <c r="I616" s="12">
        <f>IF(BANK_RAW!A616="","",E616-F616)</f>
        <v/>
      </c>
      <c r="J616" s="12">
        <f>IF(BANK_RAW!A616="","",ABS(I616))</f>
        <v/>
      </c>
      <c r="K616" s="11">
        <f>IF(BANK_RAW!A616="","",IF(H616="CR","IN","OUT"))</f>
        <v/>
      </c>
      <c r="L616" s="11" t="inlineStr"/>
      <c r="M616" s="11" t="inlineStr"/>
    </row>
    <row r="617">
      <c r="A617" s="13">
        <f>IF(BANK_RAW!A617="","",ROW()-1)</f>
        <v/>
      </c>
      <c r="B617" s="10">
        <f>IF(BANK_RAW!A617="","",IF(ISNUMBER(BANK_RAW!A617),BANK_RAW!A617,DATEVALUE(TEXT(BANK_RAW!A617,"YYYY-MM-DD"))))</f>
        <v/>
      </c>
      <c r="C617" s="11">
        <f>IF(BANK_RAW!A617="","",TRIM(BANK_RAW!B617))</f>
        <v/>
      </c>
      <c r="D617" s="11">
        <f>IF(BANK_RAW!A617="","",TRIM(BANK_RAW!C617))</f>
        <v/>
      </c>
      <c r="E617" s="12">
        <f>IF(BANK_RAW!A617="","",IFERROR(ABS(BANK_RAW!D617),0))</f>
        <v/>
      </c>
      <c r="F617" s="12">
        <f>IF(BANK_RAW!A617="","",IFERROR(ABS(BANK_RAW!E617),0))</f>
        <v/>
      </c>
      <c r="G617" s="12">
        <f>IF(BANK_RAW!A617="","",IFERROR(BANK_RAW!F617,0))</f>
        <v/>
      </c>
      <c r="H617" s="11">
        <f>IF(BANK_RAW!A617="","",IF(E617&gt;0,"CR",IF(F617&gt;0,"DR","CR")))</f>
        <v/>
      </c>
      <c r="I617" s="12">
        <f>IF(BANK_RAW!A617="","",E617-F617)</f>
        <v/>
      </c>
      <c r="J617" s="12">
        <f>IF(BANK_RAW!A617="","",ABS(I617))</f>
        <v/>
      </c>
      <c r="K617" s="11">
        <f>IF(BANK_RAW!A617="","",IF(H617="CR","IN","OUT"))</f>
        <v/>
      </c>
      <c r="L617" s="11" t="inlineStr"/>
      <c r="M617" s="11" t="inlineStr"/>
    </row>
    <row r="618">
      <c r="A618" s="13">
        <f>IF(BANK_RAW!A618="","",ROW()-1)</f>
        <v/>
      </c>
      <c r="B618" s="10">
        <f>IF(BANK_RAW!A618="","",IF(ISNUMBER(BANK_RAW!A618),BANK_RAW!A618,DATEVALUE(TEXT(BANK_RAW!A618,"YYYY-MM-DD"))))</f>
        <v/>
      </c>
      <c r="C618" s="11">
        <f>IF(BANK_RAW!A618="","",TRIM(BANK_RAW!B618))</f>
        <v/>
      </c>
      <c r="D618" s="11">
        <f>IF(BANK_RAW!A618="","",TRIM(BANK_RAW!C618))</f>
        <v/>
      </c>
      <c r="E618" s="12">
        <f>IF(BANK_RAW!A618="","",IFERROR(ABS(BANK_RAW!D618),0))</f>
        <v/>
      </c>
      <c r="F618" s="12">
        <f>IF(BANK_RAW!A618="","",IFERROR(ABS(BANK_RAW!E618),0))</f>
        <v/>
      </c>
      <c r="G618" s="12">
        <f>IF(BANK_RAW!A618="","",IFERROR(BANK_RAW!F618,0))</f>
        <v/>
      </c>
      <c r="H618" s="11">
        <f>IF(BANK_RAW!A618="","",IF(E618&gt;0,"CR",IF(F618&gt;0,"DR","CR")))</f>
        <v/>
      </c>
      <c r="I618" s="12">
        <f>IF(BANK_RAW!A618="","",E618-F618)</f>
        <v/>
      </c>
      <c r="J618" s="12">
        <f>IF(BANK_RAW!A618="","",ABS(I618))</f>
        <v/>
      </c>
      <c r="K618" s="11">
        <f>IF(BANK_RAW!A618="","",IF(H618="CR","IN","OUT"))</f>
        <v/>
      </c>
      <c r="L618" s="11" t="inlineStr"/>
      <c r="M618" s="11" t="inlineStr"/>
    </row>
    <row r="619">
      <c r="A619" s="13">
        <f>IF(BANK_RAW!A619="","",ROW()-1)</f>
        <v/>
      </c>
      <c r="B619" s="10">
        <f>IF(BANK_RAW!A619="","",IF(ISNUMBER(BANK_RAW!A619),BANK_RAW!A619,DATEVALUE(TEXT(BANK_RAW!A619,"YYYY-MM-DD"))))</f>
        <v/>
      </c>
      <c r="C619" s="11">
        <f>IF(BANK_RAW!A619="","",TRIM(BANK_RAW!B619))</f>
        <v/>
      </c>
      <c r="D619" s="11">
        <f>IF(BANK_RAW!A619="","",TRIM(BANK_RAW!C619))</f>
        <v/>
      </c>
      <c r="E619" s="12">
        <f>IF(BANK_RAW!A619="","",IFERROR(ABS(BANK_RAW!D619),0))</f>
        <v/>
      </c>
      <c r="F619" s="12">
        <f>IF(BANK_RAW!A619="","",IFERROR(ABS(BANK_RAW!E619),0))</f>
        <v/>
      </c>
      <c r="G619" s="12">
        <f>IF(BANK_RAW!A619="","",IFERROR(BANK_RAW!F619,0))</f>
        <v/>
      </c>
      <c r="H619" s="11">
        <f>IF(BANK_RAW!A619="","",IF(E619&gt;0,"CR",IF(F619&gt;0,"DR","CR")))</f>
        <v/>
      </c>
      <c r="I619" s="12">
        <f>IF(BANK_RAW!A619="","",E619-F619)</f>
        <v/>
      </c>
      <c r="J619" s="12">
        <f>IF(BANK_RAW!A619="","",ABS(I619))</f>
        <v/>
      </c>
      <c r="K619" s="11">
        <f>IF(BANK_RAW!A619="","",IF(H619="CR","IN","OUT"))</f>
        <v/>
      </c>
      <c r="L619" s="11" t="inlineStr"/>
      <c r="M619" s="11" t="inlineStr"/>
    </row>
    <row r="620">
      <c r="A620" s="13">
        <f>IF(BANK_RAW!A620="","",ROW()-1)</f>
        <v/>
      </c>
      <c r="B620" s="10">
        <f>IF(BANK_RAW!A620="","",IF(ISNUMBER(BANK_RAW!A620),BANK_RAW!A620,DATEVALUE(TEXT(BANK_RAW!A620,"YYYY-MM-DD"))))</f>
        <v/>
      </c>
      <c r="C620" s="11">
        <f>IF(BANK_RAW!A620="","",TRIM(BANK_RAW!B620))</f>
        <v/>
      </c>
      <c r="D620" s="11">
        <f>IF(BANK_RAW!A620="","",TRIM(BANK_RAW!C620))</f>
        <v/>
      </c>
      <c r="E620" s="12">
        <f>IF(BANK_RAW!A620="","",IFERROR(ABS(BANK_RAW!D620),0))</f>
        <v/>
      </c>
      <c r="F620" s="12">
        <f>IF(BANK_RAW!A620="","",IFERROR(ABS(BANK_RAW!E620),0))</f>
        <v/>
      </c>
      <c r="G620" s="12">
        <f>IF(BANK_RAW!A620="","",IFERROR(BANK_RAW!F620,0))</f>
        <v/>
      </c>
      <c r="H620" s="11">
        <f>IF(BANK_RAW!A620="","",IF(E620&gt;0,"CR",IF(F620&gt;0,"DR","CR")))</f>
        <v/>
      </c>
      <c r="I620" s="12">
        <f>IF(BANK_RAW!A620="","",E620-F620)</f>
        <v/>
      </c>
      <c r="J620" s="12">
        <f>IF(BANK_RAW!A620="","",ABS(I620))</f>
        <v/>
      </c>
      <c r="K620" s="11">
        <f>IF(BANK_RAW!A620="","",IF(H620="CR","IN","OUT"))</f>
        <v/>
      </c>
      <c r="L620" s="11" t="inlineStr"/>
      <c r="M620" s="11" t="inlineStr"/>
    </row>
    <row r="621">
      <c r="A621" s="13">
        <f>IF(BANK_RAW!A621="","",ROW()-1)</f>
        <v/>
      </c>
      <c r="B621" s="10">
        <f>IF(BANK_RAW!A621="","",IF(ISNUMBER(BANK_RAW!A621),BANK_RAW!A621,DATEVALUE(TEXT(BANK_RAW!A621,"YYYY-MM-DD"))))</f>
        <v/>
      </c>
      <c r="C621" s="11">
        <f>IF(BANK_RAW!A621="","",TRIM(BANK_RAW!B621))</f>
        <v/>
      </c>
      <c r="D621" s="11">
        <f>IF(BANK_RAW!A621="","",TRIM(BANK_RAW!C621))</f>
        <v/>
      </c>
      <c r="E621" s="12">
        <f>IF(BANK_RAW!A621="","",IFERROR(ABS(BANK_RAW!D621),0))</f>
        <v/>
      </c>
      <c r="F621" s="12">
        <f>IF(BANK_RAW!A621="","",IFERROR(ABS(BANK_RAW!E621),0))</f>
        <v/>
      </c>
      <c r="G621" s="12">
        <f>IF(BANK_RAW!A621="","",IFERROR(BANK_RAW!F621,0))</f>
        <v/>
      </c>
      <c r="H621" s="11">
        <f>IF(BANK_RAW!A621="","",IF(E621&gt;0,"CR",IF(F621&gt;0,"DR","CR")))</f>
        <v/>
      </c>
      <c r="I621" s="12">
        <f>IF(BANK_RAW!A621="","",E621-F621)</f>
        <v/>
      </c>
      <c r="J621" s="12">
        <f>IF(BANK_RAW!A621="","",ABS(I621))</f>
        <v/>
      </c>
      <c r="K621" s="11">
        <f>IF(BANK_RAW!A621="","",IF(H621="CR","IN","OUT"))</f>
        <v/>
      </c>
      <c r="L621" s="11" t="inlineStr"/>
      <c r="M621" s="11" t="inlineStr"/>
    </row>
    <row r="622">
      <c r="A622" s="13">
        <f>IF(BANK_RAW!A622="","",ROW()-1)</f>
        <v/>
      </c>
      <c r="B622" s="10">
        <f>IF(BANK_RAW!A622="","",IF(ISNUMBER(BANK_RAW!A622),BANK_RAW!A622,DATEVALUE(TEXT(BANK_RAW!A622,"YYYY-MM-DD"))))</f>
        <v/>
      </c>
      <c r="C622" s="11">
        <f>IF(BANK_RAW!A622="","",TRIM(BANK_RAW!B622))</f>
        <v/>
      </c>
      <c r="D622" s="11">
        <f>IF(BANK_RAW!A622="","",TRIM(BANK_RAW!C622))</f>
        <v/>
      </c>
      <c r="E622" s="12">
        <f>IF(BANK_RAW!A622="","",IFERROR(ABS(BANK_RAW!D622),0))</f>
        <v/>
      </c>
      <c r="F622" s="12">
        <f>IF(BANK_RAW!A622="","",IFERROR(ABS(BANK_RAW!E622),0))</f>
        <v/>
      </c>
      <c r="G622" s="12">
        <f>IF(BANK_RAW!A622="","",IFERROR(BANK_RAW!F622,0))</f>
        <v/>
      </c>
      <c r="H622" s="11">
        <f>IF(BANK_RAW!A622="","",IF(E622&gt;0,"CR",IF(F622&gt;0,"DR","CR")))</f>
        <v/>
      </c>
      <c r="I622" s="12">
        <f>IF(BANK_RAW!A622="","",E622-F622)</f>
        <v/>
      </c>
      <c r="J622" s="12">
        <f>IF(BANK_RAW!A622="","",ABS(I622))</f>
        <v/>
      </c>
      <c r="K622" s="11">
        <f>IF(BANK_RAW!A622="","",IF(H622="CR","IN","OUT"))</f>
        <v/>
      </c>
      <c r="L622" s="11" t="inlineStr"/>
      <c r="M622" s="11" t="inlineStr"/>
    </row>
    <row r="623">
      <c r="A623" s="13">
        <f>IF(BANK_RAW!A623="","",ROW()-1)</f>
        <v/>
      </c>
      <c r="B623" s="10">
        <f>IF(BANK_RAW!A623="","",IF(ISNUMBER(BANK_RAW!A623),BANK_RAW!A623,DATEVALUE(TEXT(BANK_RAW!A623,"YYYY-MM-DD"))))</f>
        <v/>
      </c>
      <c r="C623" s="11">
        <f>IF(BANK_RAW!A623="","",TRIM(BANK_RAW!B623))</f>
        <v/>
      </c>
      <c r="D623" s="11">
        <f>IF(BANK_RAW!A623="","",TRIM(BANK_RAW!C623))</f>
        <v/>
      </c>
      <c r="E623" s="12">
        <f>IF(BANK_RAW!A623="","",IFERROR(ABS(BANK_RAW!D623),0))</f>
        <v/>
      </c>
      <c r="F623" s="12">
        <f>IF(BANK_RAW!A623="","",IFERROR(ABS(BANK_RAW!E623),0))</f>
        <v/>
      </c>
      <c r="G623" s="12">
        <f>IF(BANK_RAW!A623="","",IFERROR(BANK_RAW!F623,0))</f>
        <v/>
      </c>
      <c r="H623" s="11">
        <f>IF(BANK_RAW!A623="","",IF(E623&gt;0,"CR",IF(F623&gt;0,"DR","CR")))</f>
        <v/>
      </c>
      <c r="I623" s="12">
        <f>IF(BANK_RAW!A623="","",E623-F623)</f>
        <v/>
      </c>
      <c r="J623" s="12">
        <f>IF(BANK_RAW!A623="","",ABS(I623))</f>
        <v/>
      </c>
      <c r="K623" s="11">
        <f>IF(BANK_RAW!A623="","",IF(H623="CR","IN","OUT"))</f>
        <v/>
      </c>
      <c r="L623" s="11" t="inlineStr"/>
      <c r="M623" s="11" t="inlineStr"/>
    </row>
    <row r="624">
      <c r="A624" s="13">
        <f>IF(BANK_RAW!A624="","",ROW()-1)</f>
        <v/>
      </c>
      <c r="B624" s="10">
        <f>IF(BANK_RAW!A624="","",IF(ISNUMBER(BANK_RAW!A624),BANK_RAW!A624,DATEVALUE(TEXT(BANK_RAW!A624,"YYYY-MM-DD"))))</f>
        <v/>
      </c>
      <c r="C624" s="11">
        <f>IF(BANK_RAW!A624="","",TRIM(BANK_RAW!B624))</f>
        <v/>
      </c>
      <c r="D624" s="11">
        <f>IF(BANK_RAW!A624="","",TRIM(BANK_RAW!C624))</f>
        <v/>
      </c>
      <c r="E624" s="12">
        <f>IF(BANK_RAW!A624="","",IFERROR(ABS(BANK_RAW!D624),0))</f>
        <v/>
      </c>
      <c r="F624" s="12">
        <f>IF(BANK_RAW!A624="","",IFERROR(ABS(BANK_RAW!E624),0))</f>
        <v/>
      </c>
      <c r="G624" s="12">
        <f>IF(BANK_RAW!A624="","",IFERROR(BANK_RAW!F624,0))</f>
        <v/>
      </c>
      <c r="H624" s="11">
        <f>IF(BANK_RAW!A624="","",IF(E624&gt;0,"CR",IF(F624&gt;0,"DR","CR")))</f>
        <v/>
      </c>
      <c r="I624" s="12">
        <f>IF(BANK_RAW!A624="","",E624-F624)</f>
        <v/>
      </c>
      <c r="J624" s="12">
        <f>IF(BANK_RAW!A624="","",ABS(I624))</f>
        <v/>
      </c>
      <c r="K624" s="11">
        <f>IF(BANK_RAW!A624="","",IF(H624="CR","IN","OUT"))</f>
        <v/>
      </c>
      <c r="L624" s="11" t="inlineStr"/>
      <c r="M624" s="11" t="inlineStr"/>
    </row>
    <row r="625">
      <c r="A625" s="13">
        <f>IF(BANK_RAW!A625="","",ROW()-1)</f>
        <v/>
      </c>
      <c r="B625" s="10">
        <f>IF(BANK_RAW!A625="","",IF(ISNUMBER(BANK_RAW!A625),BANK_RAW!A625,DATEVALUE(TEXT(BANK_RAW!A625,"YYYY-MM-DD"))))</f>
        <v/>
      </c>
      <c r="C625" s="11">
        <f>IF(BANK_RAW!A625="","",TRIM(BANK_RAW!B625))</f>
        <v/>
      </c>
      <c r="D625" s="11">
        <f>IF(BANK_RAW!A625="","",TRIM(BANK_RAW!C625))</f>
        <v/>
      </c>
      <c r="E625" s="12">
        <f>IF(BANK_RAW!A625="","",IFERROR(ABS(BANK_RAW!D625),0))</f>
        <v/>
      </c>
      <c r="F625" s="12">
        <f>IF(BANK_RAW!A625="","",IFERROR(ABS(BANK_RAW!E625),0))</f>
        <v/>
      </c>
      <c r="G625" s="12">
        <f>IF(BANK_RAW!A625="","",IFERROR(BANK_RAW!F625,0))</f>
        <v/>
      </c>
      <c r="H625" s="11">
        <f>IF(BANK_RAW!A625="","",IF(E625&gt;0,"CR",IF(F625&gt;0,"DR","CR")))</f>
        <v/>
      </c>
      <c r="I625" s="12">
        <f>IF(BANK_RAW!A625="","",E625-F625)</f>
        <v/>
      </c>
      <c r="J625" s="12">
        <f>IF(BANK_RAW!A625="","",ABS(I625))</f>
        <v/>
      </c>
      <c r="K625" s="11">
        <f>IF(BANK_RAW!A625="","",IF(H625="CR","IN","OUT"))</f>
        <v/>
      </c>
      <c r="L625" s="11" t="inlineStr"/>
      <c r="M625" s="11" t="inlineStr"/>
    </row>
    <row r="626">
      <c r="A626" s="13">
        <f>IF(BANK_RAW!A626="","",ROW()-1)</f>
        <v/>
      </c>
      <c r="B626" s="10">
        <f>IF(BANK_RAW!A626="","",IF(ISNUMBER(BANK_RAW!A626),BANK_RAW!A626,DATEVALUE(TEXT(BANK_RAW!A626,"YYYY-MM-DD"))))</f>
        <v/>
      </c>
      <c r="C626" s="11">
        <f>IF(BANK_RAW!A626="","",TRIM(BANK_RAW!B626))</f>
        <v/>
      </c>
      <c r="D626" s="11">
        <f>IF(BANK_RAW!A626="","",TRIM(BANK_RAW!C626))</f>
        <v/>
      </c>
      <c r="E626" s="12">
        <f>IF(BANK_RAW!A626="","",IFERROR(ABS(BANK_RAW!D626),0))</f>
        <v/>
      </c>
      <c r="F626" s="12">
        <f>IF(BANK_RAW!A626="","",IFERROR(ABS(BANK_RAW!E626),0))</f>
        <v/>
      </c>
      <c r="G626" s="12">
        <f>IF(BANK_RAW!A626="","",IFERROR(BANK_RAW!F626,0))</f>
        <v/>
      </c>
      <c r="H626" s="11">
        <f>IF(BANK_RAW!A626="","",IF(E626&gt;0,"CR",IF(F626&gt;0,"DR","CR")))</f>
        <v/>
      </c>
      <c r="I626" s="12">
        <f>IF(BANK_RAW!A626="","",E626-F626)</f>
        <v/>
      </c>
      <c r="J626" s="12">
        <f>IF(BANK_RAW!A626="","",ABS(I626))</f>
        <v/>
      </c>
      <c r="K626" s="11">
        <f>IF(BANK_RAW!A626="","",IF(H626="CR","IN","OUT"))</f>
        <v/>
      </c>
      <c r="L626" s="11" t="inlineStr"/>
      <c r="M626" s="11" t="inlineStr"/>
    </row>
    <row r="627">
      <c r="A627" s="13">
        <f>IF(BANK_RAW!A627="","",ROW()-1)</f>
        <v/>
      </c>
      <c r="B627" s="10">
        <f>IF(BANK_RAW!A627="","",IF(ISNUMBER(BANK_RAW!A627),BANK_RAW!A627,DATEVALUE(TEXT(BANK_RAW!A627,"YYYY-MM-DD"))))</f>
        <v/>
      </c>
      <c r="C627" s="11">
        <f>IF(BANK_RAW!A627="","",TRIM(BANK_RAW!B627))</f>
        <v/>
      </c>
      <c r="D627" s="11">
        <f>IF(BANK_RAW!A627="","",TRIM(BANK_RAW!C627))</f>
        <v/>
      </c>
      <c r="E627" s="12">
        <f>IF(BANK_RAW!A627="","",IFERROR(ABS(BANK_RAW!D627),0))</f>
        <v/>
      </c>
      <c r="F627" s="12">
        <f>IF(BANK_RAW!A627="","",IFERROR(ABS(BANK_RAW!E627),0))</f>
        <v/>
      </c>
      <c r="G627" s="12">
        <f>IF(BANK_RAW!A627="","",IFERROR(BANK_RAW!F627,0))</f>
        <v/>
      </c>
      <c r="H627" s="11">
        <f>IF(BANK_RAW!A627="","",IF(E627&gt;0,"CR",IF(F627&gt;0,"DR","CR")))</f>
        <v/>
      </c>
      <c r="I627" s="12">
        <f>IF(BANK_RAW!A627="","",E627-F627)</f>
        <v/>
      </c>
      <c r="J627" s="12">
        <f>IF(BANK_RAW!A627="","",ABS(I627))</f>
        <v/>
      </c>
      <c r="K627" s="11">
        <f>IF(BANK_RAW!A627="","",IF(H627="CR","IN","OUT"))</f>
        <v/>
      </c>
      <c r="L627" s="11" t="inlineStr"/>
      <c r="M627" s="11" t="inlineStr"/>
    </row>
    <row r="628">
      <c r="A628" s="13">
        <f>IF(BANK_RAW!A628="","",ROW()-1)</f>
        <v/>
      </c>
      <c r="B628" s="10">
        <f>IF(BANK_RAW!A628="","",IF(ISNUMBER(BANK_RAW!A628),BANK_RAW!A628,DATEVALUE(TEXT(BANK_RAW!A628,"YYYY-MM-DD"))))</f>
        <v/>
      </c>
      <c r="C628" s="11">
        <f>IF(BANK_RAW!A628="","",TRIM(BANK_RAW!B628))</f>
        <v/>
      </c>
      <c r="D628" s="11">
        <f>IF(BANK_RAW!A628="","",TRIM(BANK_RAW!C628))</f>
        <v/>
      </c>
      <c r="E628" s="12">
        <f>IF(BANK_RAW!A628="","",IFERROR(ABS(BANK_RAW!D628),0))</f>
        <v/>
      </c>
      <c r="F628" s="12">
        <f>IF(BANK_RAW!A628="","",IFERROR(ABS(BANK_RAW!E628),0))</f>
        <v/>
      </c>
      <c r="G628" s="12">
        <f>IF(BANK_RAW!A628="","",IFERROR(BANK_RAW!F628,0))</f>
        <v/>
      </c>
      <c r="H628" s="11">
        <f>IF(BANK_RAW!A628="","",IF(E628&gt;0,"CR",IF(F628&gt;0,"DR","CR")))</f>
        <v/>
      </c>
      <c r="I628" s="12">
        <f>IF(BANK_RAW!A628="","",E628-F628)</f>
        <v/>
      </c>
      <c r="J628" s="12">
        <f>IF(BANK_RAW!A628="","",ABS(I628))</f>
        <v/>
      </c>
      <c r="K628" s="11">
        <f>IF(BANK_RAW!A628="","",IF(H628="CR","IN","OUT"))</f>
        <v/>
      </c>
      <c r="L628" s="11" t="inlineStr"/>
      <c r="M628" s="11" t="inlineStr"/>
    </row>
    <row r="629">
      <c r="A629" s="13">
        <f>IF(BANK_RAW!A629="","",ROW()-1)</f>
        <v/>
      </c>
      <c r="B629" s="10">
        <f>IF(BANK_RAW!A629="","",IF(ISNUMBER(BANK_RAW!A629),BANK_RAW!A629,DATEVALUE(TEXT(BANK_RAW!A629,"YYYY-MM-DD"))))</f>
        <v/>
      </c>
      <c r="C629" s="11">
        <f>IF(BANK_RAW!A629="","",TRIM(BANK_RAW!B629))</f>
        <v/>
      </c>
      <c r="D629" s="11">
        <f>IF(BANK_RAW!A629="","",TRIM(BANK_RAW!C629))</f>
        <v/>
      </c>
      <c r="E629" s="12">
        <f>IF(BANK_RAW!A629="","",IFERROR(ABS(BANK_RAW!D629),0))</f>
        <v/>
      </c>
      <c r="F629" s="12">
        <f>IF(BANK_RAW!A629="","",IFERROR(ABS(BANK_RAW!E629),0))</f>
        <v/>
      </c>
      <c r="G629" s="12">
        <f>IF(BANK_RAW!A629="","",IFERROR(BANK_RAW!F629,0))</f>
        <v/>
      </c>
      <c r="H629" s="11">
        <f>IF(BANK_RAW!A629="","",IF(E629&gt;0,"CR",IF(F629&gt;0,"DR","CR")))</f>
        <v/>
      </c>
      <c r="I629" s="12">
        <f>IF(BANK_RAW!A629="","",E629-F629)</f>
        <v/>
      </c>
      <c r="J629" s="12">
        <f>IF(BANK_RAW!A629="","",ABS(I629))</f>
        <v/>
      </c>
      <c r="K629" s="11">
        <f>IF(BANK_RAW!A629="","",IF(H629="CR","IN","OUT"))</f>
        <v/>
      </c>
      <c r="L629" s="11" t="inlineStr"/>
      <c r="M629" s="11" t="inlineStr"/>
    </row>
    <row r="630">
      <c r="A630" s="13">
        <f>IF(BANK_RAW!A630="","",ROW()-1)</f>
        <v/>
      </c>
      <c r="B630" s="10">
        <f>IF(BANK_RAW!A630="","",IF(ISNUMBER(BANK_RAW!A630),BANK_RAW!A630,DATEVALUE(TEXT(BANK_RAW!A630,"YYYY-MM-DD"))))</f>
        <v/>
      </c>
      <c r="C630" s="11">
        <f>IF(BANK_RAW!A630="","",TRIM(BANK_RAW!B630))</f>
        <v/>
      </c>
      <c r="D630" s="11">
        <f>IF(BANK_RAW!A630="","",TRIM(BANK_RAW!C630))</f>
        <v/>
      </c>
      <c r="E630" s="12">
        <f>IF(BANK_RAW!A630="","",IFERROR(ABS(BANK_RAW!D630),0))</f>
        <v/>
      </c>
      <c r="F630" s="12">
        <f>IF(BANK_RAW!A630="","",IFERROR(ABS(BANK_RAW!E630),0))</f>
        <v/>
      </c>
      <c r="G630" s="12">
        <f>IF(BANK_RAW!A630="","",IFERROR(BANK_RAW!F630,0))</f>
        <v/>
      </c>
      <c r="H630" s="11">
        <f>IF(BANK_RAW!A630="","",IF(E630&gt;0,"CR",IF(F630&gt;0,"DR","CR")))</f>
        <v/>
      </c>
      <c r="I630" s="12">
        <f>IF(BANK_RAW!A630="","",E630-F630)</f>
        <v/>
      </c>
      <c r="J630" s="12">
        <f>IF(BANK_RAW!A630="","",ABS(I630))</f>
        <v/>
      </c>
      <c r="K630" s="11">
        <f>IF(BANK_RAW!A630="","",IF(H630="CR","IN","OUT"))</f>
        <v/>
      </c>
      <c r="L630" s="11" t="inlineStr"/>
      <c r="M630" s="11" t="inlineStr"/>
    </row>
    <row r="631">
      <c r="A631" s="13">
        <f>IF(BANK_RAW!A631="","",ROW()-1)</f>
        <v/>
      </c>
      <c r="B631" s="10">
        <f>IF(BANK_RAW!A631="","",IF(ISNUMBER(BANK_RAW!A631),BANK_RAW!A631,DATEVALUE(TEXT(BANK_RAW!A631,"YYYY-MM-DD"))))</f>
        <v/>
      </c>
      <c r="C631" s="11">
        <f>IF(BANK_RAW!A631="","",TRIM(BANK_RAW!B631))</f>
        <v/>
      </c>
      <c r="D631" s="11">
        <f>IF(BANK_RAW!A631="","",TRIM(BANK_RAW!C631))</f>
        <v/>
      </c>
      <c r="E631" s="12">
        <f>IF(BANK_RAW!A631="","",IFERROR(ABS(BANK_RAW!D631),0))</f>
        <v/>
      </c>
      <c r="F631" s="12">
        <f>IF(BANK_RAW!A631="","",IFERROR(ABS(BANK_RAW!E631),0))</f>
        <v/>
      </c>
      <c r="G631" s="12">
        <f>IF(BANK_RAW!A631="","",IFERROR(BANK_RAW!F631,0))</f>
        <v/>
      </c>
      <c r="H631" s="11">
        <f>IF(BANK_RAW!A631="","",IF(E631&gt;0,"CR",IF(F631&gt;0,"DR","CR")))</f>
        <v/>
      </c>
      <c r="I631" s="12">
        <f>IF(BANK_RAW!A631="","",E631-F631)</f>
        <v/>
      </c>
      <c r="J631" s="12">
        <f>IF(BANK_RAW!A631="","",ABS(I631))</f>
        <v/>
      </c>
      <c r="K631" s="11">
        <f>IF(BANK_RAW!A631="","",IF(H631="CR","IN","OUT"))</f>
        <v/>
      </c>
      <c r="L631" s="11" t="inlineStr"/>
      <c r="M631" s="11" t="inlineStr"/>
    </row>
    <row r="632">
      <c r="A632" s="13">
        <f>IF(BANK_RAW!A632="","",ROW()-1)</f>
        <v/>
      </c>
      <c r="B632" s="10">
        <f>IF(BANK_RAW!A632="","",IF(ISNUMBER(BANK_RAW!A632),BANK_RAW!A632,DATEVALUE(TEXT(BANK_RAW!A632,"YYYY-MM-DD"))))</f>
        <v/>
      </c>
      <c r="C632" s="11">
        <f>IF(BANK_RAW!A632="","",TRIM(BANK_RAW!B632))</f>
        <v/>
      </c>
      <c r="D632" s="11">
        <f>IF(BANK_RAW!A632="","",TRIM(BANK_RAW!C632))</f>
        <v/>
      </c>
      <c r="E632" s="12">
        <f>IF(BANK_RAW!A632="","",IFERROR(ABS(BANK_RAW!D632),0))</f>
        <v/>
      </c>
      <c r="F632" s="12">
        <f>IF(BANK_RAW!A632="","",IFERROR(ABS(BANK_RAW!E632),0))</f>
        <v/>
      </c>
      <c r="G632" s="12">
        <f>IF(BANK_RAW!A632="","",IFERROR(BANK_RAW!F632,0))</f>
        <v/>
      </c>
      <c r="H632" s="11">
        <f>IF(BANK_RAW!A632="","",IF(E632&gt;0,"CR",IF(F632&gt;0,"DR","CR")))</f>
        <v/>
      </c>
      <c r="I632" s="12">
        <f>IF(BANK_RAW!A632="","",E632-F632)</f>
        <v/>
      </c>
      <c r="J632" s="12">
        <f>IF(BANK_RAW!A632="","",ABS(I632))</f>
        <v/>
      </c>
      <c r="K632" s="11">
        <f>IF(BANK_RAW!A632="","",IF(H632="CR","IN","OUT"))</f>
        <v/>
      </c>
      <c r="L632" s="11" t="inlineStr"/>
      <c r="M632" s="11" t="inlineStr"/>
    </row>
    <row r="633">
      <c r="A633" s="13">
        <f>IF(BANK_RAW!A633="","",ROW()-1)</f>
        <v/>
      </c>
      <c r="B633" s="10">
        <f>IF(BANK_RAW!A633="","",IF(ISNUMBER(BANK_RAW!A633),BANK_RAW!A633,DATEVALUE(TEXT(BANK_RAW!A633,"YYYY-MM-DD"))))</f>
        <v/>
      </c>
      <c r="C633" s="11">
        <f>IF(BANK_RAW!A633="","",TRIM(BANK_RAW!B633))</f>
        <v/>
      </c>
      <c r="D633" s="11">
        <f>IF(BANK_RAW!A633="","",TRIM(BANK_RAW!C633))</f>
        <v/>
      </c>
      <c r="E633" s="12">
        <f>IF(BANK_RAW!A633="","",IFERROR(ABS(BANK_RAW!D633),0))</f>
        <v/>
      </c>
      <c r="F633" s="12">
        <f>IF(BANK_RAW!A633="","",IFERROR(ABS(BANK_RAW!E633),0))</f>
        <v/>
      </c>
      <c r="G633" s="12">
        <f>IF(BANK_RAW!A633="","",IFERROR(BANK_RAW!F633,0))</f>
        <v/>
      </c>
      <c r="H633" s="11">
        <f>IF(BANK_RAW!A633="","",IF(E633&gt;0,"CR",IF(F633&gt;0,"DR","CR")))</f>
        <v/>
      </c>
      <c r="I633" s="12">
        <f>IF(BANK_RAW!A633="","",E633-F633)</f>
        <v/>
      </c>
      <c r="J633" s="12">
        <f>IF(BANK_RAW!A633="","",ABS(I633))</f>
        <v/>
      </c>
      <c r="K633" s="11">
        <f>IF(BANK_RAW!A633="","",IF(H633="CR","IN","OUT"))</f>
        <v/>
      </c>
      <c r="L633" s="11" t="inlineStr"/>
      <c r="M633" s="11" t="inlineStr"/>
    </row>
    <row r="634">
      <c r="A634" s="13">
        <f>IF(BANK_RAW!A634="","",ROW()-1)</f>
        <v/>
      </c>
      <c r="B634" s="10">
        <f>IF(BANK_RAW!A634="","",IF(ISNUMBER(BANK_RAW!A634),BANK_RAW!A634,DATEVALUE(TEXT(BANK_RAW!A634,"YYYY-MM-DD"))))</f>
        <v/>
      </c>
      <c r="C634" s="11">
        <f>IF(BANK_RAW!A634="","",TRIM(BANK_RAW!B634))</f>
        <v/>
      </c>
      <c r="D634" s="11">
        <f>IF(BANK_RAW!A634="","",TRIM(BANK_RAW!C634))</f>
        <v/>
      </c>
      <c r="E634" s="12">
        <f>IF(BANK_RAW!A634="","",IFERROR(ABS(BANK_RAW!D634),0))</f>
        <v/>
      </c>
      <c r="F634" s="12">
        <f>IF(BANK_RAW!A634="","",IFERROR(ABS(BANK_RAW!E634),0))</f>
        <v/>
      </c>
      <c r="G634" s="12">
        <f>IF(BANK_RAW!A634="","",IFERROR(BANK_RAW!F634,0))</f>
        <v/>
      </c>
      <c r="H634" s="11">
        <f>IF(BANK_RAW!A634="","",IF(E634&gt;0,"CR",IF(F634&gt;0,"DR","CR")))</f>
        <v/>
      </c>
      <c r="I634" s="12">
        <f>IF(BANK_RAW!A634="","",E634-F634)</f>
        <v/>
      </c>
      <c r="J634" s="12">
        <f>IF(BANK_RAW!A634="","",ABS(I634))</f>
        <v/>
      </c>
      <c r="K634" s="11">
        <f>IF(BANK_RAW!A634="","",IF(H634="CR","IN","OUT"))</f>
        <v/>
      </c>
      <c r="L634" s="11" t="inlineStr"/>
      <c r="M634" s="11" t="inlineStr"/>
    </row>
    <row r="635">
      <c r="A635" s="13">
        <f>IF(BANK_RAW!A635="","",ROW()-1)</f>
        <v/>
      </c>
      <c r="B635" s="10">
        <f>IF(BANK_RAW!A635="","",IF(ISNUMBER(BANK_RAW!A635),BANK_RAW!A635,DATEVALUE(TEXT(BANK_RAW!A635,"YYYY-MM-DD"))))</f>
        <v/>
      </c>
      <c r="C635" s="11">
        <f>IF(BANK_RAW!A635="","",TRIM(BANK_RAW!B635))</f>
        <v/>
      </c>
      <c r="D635" s="11">
        <f>IF(BANK_RAW!A635="","",TRIM(BANK_RAW!C635))</f>
        <v/>
      </c>
      <c r="E635" s="12">
        <f>IF(BANK_RAW!A635="","",IFERROR(ABS(BANK_RAW!D635),0))</f>
        <v/>
      </c>
      <c r="F635" s="12">
        <f>IF(BANK_RAW!A635="","",IFERROR(ABS(BANK_RAW!E635),0))</f>
        <v/>
      </c>
      <c r="G635" s="12">
        <f>IF(BANK_RAW!A635="","",IFERROR(BANK_RAW!F635,0))</f>
        <v/>
      </c>
      <c r="H635" s="11">
        <f>IF(BANK_RAW!A635="","",IF(E635&gt;0,"CR",IF(F635&gt;0,"DR","CR")))</f>
        <v/>
      </c>
      <c r="I635" s="12">
        <f>IF(BANK_RAW!A635="","",E635-F635)</f>
        <v/>
      </c>
      <c r="J635" s="12">
        <f>IF(BANK_RAW!A635="","",ABS(I635))</f>
        <v/>
      </c>
      <c r="K635" s="11">
        <f>IF(BANK_RAW!A635="","",IF(H635="CR","IN","OUT"))</f>
        <v/>
      </c>
      <c r="L635" s="11" t="inlineStr"/>
      <c r="M635" s="11" t="inlineStr"/>
    </row>
    <row r="636">
      <c r="A636" s="13">
        <f>IF(BANK_RAW!A636="","",ROW()-1)</f>
        <v/>
      </c>
      <c r="B636" s="10">
        <f>IF(BANK_RAW!A636="","",IF(ISNUMBER(BANK_RAW!A636),BANK_RAW!A636,DATEVALUE(TEXT(BANK_RAW!A636,"YYYY-MM-DD"))))</f>
        <v/>
      </c>
      <c r="C636" s="11">
        <f>IF(BANK_RAW!A636="","",TRIM(BANK_RAW!B636))</f>
        <v/>
      </c>
      <c r="D636" s="11">
        <f>IF(BANK_RAW!A636="","",TRIM(BANK_RAW!C636))</f>
        <v/>
      </c>
      <c r="E636" s="12">
        <f>IF(BANK_RAW!A636="","",IFERROR(ABS(BANK_RAW!D636),0))</f>
        <v/>
      </c>
      <c r="F636" s="12">
        <f>IF(BANK_RAW!A636="","",IFERROR(ABS(BANK_RAW!E636),0))</f>
        <v/>
      </c>
      <c r="G636" s="12">
        <f>IF(BANK_RAW!A636="","",IFERROR(BANK_RAW!F636,0))</f>
        <v/>
      </c>
      <c r="H636" s="11">
        <f>IF(BANK_RAW!A636="","",IF(E636&gt;0,"CR",IF(F636&gt;0,"DR","CR")))</f>
        <v/>
      </c>
      <c r="I636" s="12">
        <f>IF(BANK_RAW!A636="","",E636-F636)</f>
        <v/>
      </c>
      <c r="J636" s="12">
        <f>IF(BANK_RAW!A636="","",ABS(I636))</f>
        <v/>
      </c>
      <c r="K636" s="11">
        <f>IF(BANK_RAW!A636="","",IF(H636="CR","IN","OUT"))</f>
        <v/>
      </c>
      <c r="L636" s="11" t="inlineStr"/>
      <c r="M636" s="11" t="inlineStr"/>
    </row>
    <row r="637">
      <c r="A637" s="13">
        <f>IF(BANK_RAW!A637="","",ROW()-1)</f>
        <v/>
      </c>
      <c r="B637" s="10">
        <f>IF(BANK_RAW!A637="","",IF(ISNUMBER(BANK_RAW!A637),BANK_RAW!A637,DATEVALUE(TEXT(BANK_RAW!A637,"YYYY-MM-DD"))))</f>
        <v/>
      </c>
      <c r="C637" s="11">
        <f>IF(BANK_RAW!A637="","",TRIM(BANK_RAW!B637))</f>
        <v/>
      </c>
      <c r="D637" s="11">
        <f>IF(BANK_RAW!A637="","",TRIM(BANK_RAW!C637))</f>
        <v/>
      </c>
      <c r="E637" s="12">
        <f>IF(BANK_RAW!A637="","",IFERROR(ABS(BANK_RAW!D637),0))</f>
        <v/>
      </c>
      <c r="F637" s="12">
        <f>IF(BANK_RAW!A637="","",IFERROR(ABS(BANK_RAW!E637),0))</f>
        <v/>
      </c>
      <c r="G637" s="12">
        <f>IF(BANK_RAW!A637="","",IFERROR(BANK_RAW!F637,0))</f>
        <v/>
      </c>
      <c r="H637" s="11">
        <f>IF(BANK_RAW!A637="","",IF(E637&gt;0,"CR",IF(F637&gt;0,"DR","CR")))</f>
        <v/>
      </c>
      <c r="I637" s="12">
        <f>IF(BANK_RAW!A637="","",E637-F637)</f>
        <v/>
      </c>
      <c r="J637" s="12">
        <f>IF(BANK_RAW!A637="","",ABS(I637))</f>
        <v/>
      </c>
      <c r="K637" s="11">
        <f>IF(BANK_RAW!A637="","",IF(H637="CR","IN","OUT"))</f>
        <v/>
      </c>
      <c r="L637" s="11" t="inlineStr"/>
      <c r="M637" s="11" t="inlineStr"/>
    </row>
    <row r="638">
      <c r="A638" s="13">
        <f>IF(BANK_RAW!A638="","",ROW()-1)</f>
        <v/>
      </c>
      <c r="B638" s="10">
        <f>IF(BANK_RAW!A638="","",IF(ISNUMBER(BANK_RAW!A638),BANK_RAW!A638,DATEVALUE(TEXT(BANK_RAW!A638,"YYYY-MM-DD"))))</f>
        <v/>
      </c>
      <c r="C638" s="11">
        <f>IF(BANK_RAW!A638="","",TRIM(BANK_RAW!B638))</f>
        <v/>
      </c>
      <c r="D638" s="11">
        <f>IF(BANK_RAW!A638="","",TRIM(BANK_RAW!C638))</f>
        <v/>
      </c>
      <c r="E638" s="12">
        <f>IF(BANK_RAW!A638="","",IFERROR(ABS(BANK_RAW!D638),0))</f>
        <v/>
      </c>
      <c r="F638" s="12">
        <f>IF(BANK_RAW!A638="","",IFERROR(ABS(BANK_RAW!E638),0))</f>
        <v/>
      </c>
      <c r="G638" s="12">
        <f>IF(BANK_RAW!A638="","",IFERROR(BANK_RAW!F638,0))</f>
        <v/>
      </c>
      <c r="H638" s="11">
        <f>IF(BANK_RAW!A638="","",IF(E638&gt;0,"CR",IF(F638&gt;0,"DR","CR")))</f>
        <v/>
      </c>
      <c r="I638" s="12">
        <f>IF(BANK_RAW!A638="","",E638-F638)</f>
        <v/>
      </c>
      <c r="J638" s="12">
        <f>IF(BANK_RAW!A638="","",ABS(I638))</f>
        <v/>
      </c>
      <c r="K638" s="11">
        <f>IF(BANK_RAW!A638="","",IF(H638="CR","IN","OUT"))</f>
        <v/>
      </c>
      <c r="L638" s="11" t="inlineStr"/>
      <c r="M638" s="11" t="inlineStr"/>
    </row>
    <row r="639">
      <c r="A639" s="13">
        <f>IF(BANK_RAW!A639="","",ROW()-1)</f>
        <v/>
      </c>
      <c r="B639" s="10">
        <f>IF(BANK_RAW!A639="","",IF(ISNUMBER(BANK_RAW!A639),BANK_RAW!A639,DATEVALUE(TEXT(BANK_RAW!A639,"YYYY-MM-DD"))))</f>
        <v/>
      </c>
      <c r="C639" s="11">
        <f>IF(BANK_RAW!A639="","",TRIM(BANK_RAW!B639))</f>
        <v/>
      </c>
      <c r="D639" s="11">
        <f>IF(BANK_RAW!A639="","",TRIM(BANK_RAW!C639))</f>
        <v/>
      </c>
      <c r="E639" s="12">
        <f>IF(BANK_RAW!A639="","",IFERROR(ABS(BANK_RAW!D639),0))</f>
        <v/>
      </c>
      <c r="F639" s="12">
        <f>IF(BANK_RAW!A639="","",IFERROR(ABS(BANK_RAW!E639),0))</f>
        <v/>
      </c>
      <c r="G639" s="12">
        <f>IF(BANK_RAW!A639="","",IFERROR(BANK_RAW!F639,0))</f>
        <v/>
      </c>
      <c r="H639" s="11">
        <f>IF(BANK_RAW!A639="","",IF(E639&gt;0,"CR",IF(F639&gt;0,"DR","CR")))</f>
        <v/>
      </c>
      <c r="I639" s="12">
        <f>IF(BANK_RAW!A639="","",E639-F639)</f>
        <v/>
      </c>
      <c r="J639" s="12">
        <f>IF(BANK_RAW!A639="","",ABS(I639))</f>
        <v/>
      </c>
      <c r="K639" s="11">
        <f>IF(BANK_RAW!A639="","",IF(H639="CR","IN","OUT"))</f>
        <v/>
      </c>
      <c r="L639" s="11" t="inlineStr"/>
      <c r="M639" s="11" t="inlineStr"/>
    </row>
    <row r="640">
      <c r="A640" s="13">
        <f>IF(BANK_RAW!A640="","",ROW()-1)</f>
        <v/>
      </c>
      <c r="B640" s="10">
        <f>IF(BANK_RAW!A640="","",IF(ISNUMBER(BANK_RAW!A640),BANK_RAW!A640,DATEVALUE(TEXT(BANK_RAW!A640,"YYYY-MM-DD"))))</f>
        <v/>
      </c>
      <c r="C640" s="11">
        <f>IF(BANK_RAW!A640="","",TRIM(BANK_RAW!B640))</f>
        <v/>
      </c>
      <c r="D640" s="11">
        <f>IF(BANK_RAW!A640="","",TRIM(BANK_RAW!C640))</f>
        <v/>
      </c>
      <c r="E640" s="12">
        <f>IF(BANK_RAW!A640="","",IFERROR(ABS(BANK_RAW!D640),0))</f>
        <v/>
      </c>
      <c r="F640" s="12">
        <f>IF(BANK_RAW!A640="","",IFERROR(ABS(BANK_RAW!E640),0))</f>
        <v/>
      </c>
      <c r="G640" s="12">
        <f>IF(BANK_RAW!A640="","",IFERROR(BANK_RAW!F640,0))</f>
        <v/>
      </c>
      <c r="H640" s="11">
        <f>IF(BANK_RAW!A640="","",IF(E640&gt;0,"CR",IF(F640&gt;0,"DR","CR")))</f>
        <v/>
      </c>
      <c r="I640" s="12">
        <f>IF(BANK_RAW!A640="","",E640-F640)</f>
        <v/>
      </c>
      <c r="J640" s="12">
        <f>IF(BANK_RAW!A640="","",ABS(I640))</f>
        <v/>
      </c>
      <c r="K640" s="11">
        <f>IF(BANK_RAW!A640="","",IF(H640="CR","IN","OUT"))</f>
        <v/>
      </c>
      <c r="L640" s="11" t="inlineStr"/>
      <c r="M640" s="11" t="inlineStr"/>
    </row>
    <row r="641">
      <c r="A641" s="13">
        <f>IF(BANK_RAW!A641="","",ROW()-1)</f>
        <v/>
      </c>
      <c r="B641" s="10">
        <f>IF(BANK_RAW!A641="","",IF(ISNUMBER(BANK_RAW!A641),BANK_RAW!A641,DATEVALUE(TEXT(BANK_RAW!A641,"YYYY-MM-DD"))))</f>
        <v/>
      </c>
      <c r="C641" s="11">
        <f>IF(BANK_RAW!A641="","",TRIM(BANK_RAW!B641))</f>
        <v/>
      </c>
      <c r="D641" s="11">
        <f>IF(BANK_RAW!A641="","",TRIM(BANK_RAW!C641))</f>
        <v/>
      </c>
      <c r="E641" s="12">
        <f>IF(BANK_RAW!A641="","",IFERROR(ABS(BANK_RAW!D641),0))</f>
        <v/>
      </c>
      <c r="F641" s="12">
        <f>IF(BANK_RAW!A641="","",IFERROR(ABS(BANK_RAW!E641),0))</f>
        <v/>
      </c>
      <c r="G641" s="12">
        <f>IF(BANK_RAW!A641="","",IFERROR(BANK_RAW!F641,0))</f>
        <v/>
      </c>
      <c r="H641" s="11">
        <f>IF(BANK_RAW!A641="","",IF(E641&gt;0,"CR",IF(F641&gt;0,"DR","CR")))</f>
        <v/>
      </c>
      <c r="I641" s="12">
        <f>IF(BANK_RAW!A641="","",E641-F641)</f>
        <v/>
      </c>
      <c r="J641" s="12">
        <f>IF(BANK_RAW!A641="","",ABS(I641))</f>
        <v/>
      </c>
      <c r="K641" s="11">
        <f>IF(BANK_RAW!A641="","",IF(H641="CR","IN","OUT"))</f>
        <v/>
      </c>
      <c r="L641" s="11" t="inlineStr"/>
      <c r="M641" s="11" t="inlineStr"/>
    </row>
    <row r="642">
      <c r="A642" s="13">
        <f>IF(BANK_RAW!A642="","",ROW()-1)</f>
        <v/>
      </c>
      <c r="B642" s="10">
        <f>IF(BANK_RAW!A642="","",IF(ISNUMBER(BANK_RAW!A642),BANK_RAW!A642,DATEVALUE(TEXT(BANK_RAW!A642,"YYYY-MM-DD"))))</f>
        <v/>
      </c>
      <c r="C642" s="11">
        <f>IF(BANK_RAW!A642="","",TRIM(BANK_RAW!B642))</f>
        <v/>
      </c>
      <c r="D642" s="11">
        <f>IF(BANK_RAW!A642="","",TRIM(BANK_RAW!C642))</f>
        <v/>
      </c>
      <c r="E642" s="12">
        <f>IF(BANK_RAW!A642="","",IFERROR(ABS(BANK_RAW!D642),0))</f>
        <v/>
      </c>
      <c r="F642" s="12">
        <f>IF(BANK_RAW!A642="","",IFERROR(ABS(BANK_RAW!E642),0))</f>
        <v/>
      </c>
      <c r="G642" s="12">
        <f>IF(BANK_RAW!A642="","",IFERROR(BANK_RAW!F642,0))</f>
        <v/>
      </c>
      <c r="H642" s="11">
        <f>IF(BANK_RAW!A642="","",IF(E642&gt;0,"CR",IF(F642&gt;0,"DR","CR")))</f>
        <v/>
      </c>
      <c r="I642" s="12">
        <f>IF(BANK_RAW!A642="","",E642-F642)</f>
        <v/>
      </c>
      <c r="J642" s="12">
        <f>IF(BANK_RAW!A642="","",ABS(I642))</f>
        <v/>
      </c>
      <c r="K642" s="11">
        <f>IF(BANK_RAW!A642="","",IF(H642="CR","IN","OUT"))</f>
        <v/>
      </c>
      <c r="L642" s="11" t="inlineStr"/>
      <c r="M642" s="11" t="inlineStr"/>
    </row>
    <row r="643">
      <c r="A643" s="13">
        <f>IF(BANK_RAW!A643="","",ROW()-1)</f>
        <v/>
      </c>
      <c r="B643" s="10">
        <f>IF(BANK_RAW!A643="","",IF(ISNUMBER(BANK_RAW!A643),BANK_RAW!A643,DATEVALUE(TEXT(BANK_RAW!A643,"YYYY-MM-DD"))))</f>
        <v/>
      </c>
      <c r="C643" s="11">
        <f>IF(BANK_RAW!A643="","",TRIM(BANK_RAW!B643))</f>
        <v/>
      </c>
      <c r="D643" s="11">
        <f>IF(BANK_RAW!A643="","",TRIM(BANK_RAW!C643))</f>
        <v/>
      </c>
      <c r="E643" s="12">
        <f>IF(BANK_RAW!A643="","",IFERROR(ABS(BANK_RAW!D643),0))</f>
        <v/>
      </c>
      <c r="F643" s="12">
        <f>IF(BANK_RAW!A643="","",IFERROR(ABS(BANK_RAW!E643),0))</f>
        <v/>
      </c>
      <c r="G643" s="12">
        <f>IF(BANK_RAW!A643="","",IFERROR(BANK_RAW!F643,0))</f>
        <v/>
      </c>
      <c r="H643" s="11">
        <f>IF(BANK_RAW!A643="","",IF(E643&gt;0,"CR",IF(F643&gt;0,"DR","CR")))</f>
        <v/>
      </c>
      <c r="I643" s="12">
        <f>IF(BANK_RAW!A643="","",E643-F643)</f>
        <v/>
      </c>
      <c r="J643" s="12">
        <f>IF(BANK_RAW!A643="","",ABS(I643))</f>
        <v/>
      </c>
      <c r="K643" s="11">
        <f>IF(BANK_RAW!A643="","",IF(H643="CR","IN","OUT"))</f>
        <v/>
      </c>
      <c r="L643" s="11" t="inlineStr"/>
      <c r="M643" s="11" t="inlineStr"/>
    </row>
    <row r="644">
      <c r="A644" s="13">
        <f>IF(BANK_RAW!A644="","",ROW()-1)</f>
        <v/>
      </c>
      <c r="B644" s="10">
        <f>IF(BANK_RAW!A644="","",IF(ISNUMBER(BANK_RAW!A644),BANK_RAW!A644,DATEVALUE(TEXT(BANK_RAW!A644,"YYYY-MM-DD"))))</f>
        <v/>
      </c>
      <c r="C644" s="11">
        <f>IF(BANK_RAW!A644="","",TRIM(BANK_RAW!B644))</f>
        <v/>
      </c>
      <c r="D644" s="11">
        <f>IF(BANK_RAW!A644="","",TRIM(BANK_RAW!C644))</f>
        <v/>
      </c>
      <c r="E644" s="12">
        <f>IF(BANK_RAW!A644="","",IFERROR(ABS(BANK_RAW!D644),0))</f>
        <v/>
      </c>
      <c r="F644" s="12">
        <f>IF(BANK_RAW!A644="","",IFERROR(ABS(BANK_RAW!E644),0))</f>
        <v/>
      </c>
      <c r="G644" s="12">
        <f>IF(BANK_RAW!A644="","",IFERROR(BANK_RAW!F644,0))</f>
        <v/>
      </c>
      <c r="H644" s="11">
        <f>IF(BANK_RAW!A644="","",IF(E644&gt;0,"CR",IF(F644&gt;0,"DR","CR")))</f>
        <v/>
      </c>
      <c r="I644" s="12">
        <f>IF(BANK_RAW!A644="","",E644-F644)</f>
        <v/>
      </c>
      <c r="J644" s="12">
        <f>IF(BANK_RAW!A644="","",ABS(I644))</f>
        <v/>
      </c>
      <c r="K644" s="11">
        <f>IF(BANK_RAW!A644="","",IF(H644="CR","IN","OUT"))</f>
        <v/>
      </c>
      <c r="L644" s="11" t="inlineStr"/>
      <c r="M644" s="11" t="inlineStr"/>
    </row>
    <row r="645">
      <c r="A645" s="13">
        <f>IF(BANK_RAW!A645="","",ROW()-1)</f>
        <v/>
      </c>
      <c r="B645" s="10">
        <f>IF(BANK_RAW!A645="","",IF(ISNUMBER(BANK_RAW!A645),BANK_RAW!A645,DATEVALUE(TEXT(BANK_RAW!A645,"YYYY-MM-DD"))))</f>
        <v/>
      </c>
      <c r="C645" s="11">
        <f>IF(BANK_RAW!A645="","",TRIM(BANK_RAW!B645))</f>
        <v/>
      </c>
      <c r="D645" s="11">
        <f>IF(BANK_RAW!A645="","",TRIM(BANK_RAW!C645))</f>
        <v/>
      </c>
      <c r="E645" s="12">
        <f>IF(BANK_RAW!A645="","",IFERROR(ABS(BANK_RAW!D645),0))</f>
        <v/>
      </c>
      <c r="F645" s="12">
        <f>IF(BANK_RAW!A645="","",IFERROR(ABS(BANK_RAW!E645),0))</f>
        <v/>
      </c>
      <c r="G645" s="12">
        <f>IF(BANK_RAW!A645="","",IFERROR(BANK_RAW!F645,0))</f>
        <v/>
      </c>
      <c r="H645" s="11">
        <f>IF(BANK_RAW!A645="","",IF(E645&gt;0,"CR",IF(F645&gt;0,"DR","CR")))</f>
        <v/>
      </c>
      <c r="I645" s="12">
        <f>IF(BANK_RAW!A645="","",E645-F645)</f>
        <v/>
      </c>
      <c r="J645" s="12">
        <f>IF(BANK_RAW!A645="","",ABS(I645))</f>
        <v/>
      </c>
      <c r="K645" s="11">
        <f>IF(BANK_RAW!A645="","",IF(H645="CR","IN","OUT"))</f>
        <v/>
      </c>
      <c r="L645" s="11" t="inlineStr"/>
      <c r="M645" s="11" t="inlineStr"/>
    </row>
    <row r="646">
      <c r="A646" s="13">
        <f>IF(BANK_RAW!A646="","",ROW()-1)</f>
        <v/>
      </c>
      <c r="B646" s="10">
        <f>IF(BANK_RAW!A646="","",IF(ISNUMBER(BANK_RAW!A646),BANK_RAW!A646,DATEVALUE(TEXT(BANK_RAW!A646,"YYYY-MM-DD"))))</f>
        <v/>
      </c>
      <c r="C646" s="11">
        <f>IF(BANK_RAW!A646="","",TRIM(BANK_RAW!B646))</f>
        <v/>
      </c>
      <c r="D646" s="11">
        <f>IF(BANK_RAW!A646="","",TRIM(BANK_RAW!C646))</f>
        <v/>
      </c>
      <c r="E646" s="12">
        <f>IF(BANK_RAW!A646="","",IFERROR(ABS(BANK_RAW!D646),0))</f>
        <v/>
      </c>
      <c r="F646" s="12">
        <f>IF(BANK_RAW!A646="","",IFERROR(ABS(BANK_RAW!E646),0))</f>
        <v/>
      </c>
      <c r="G646" s="12">
        <f>IF(BANK_RAW!A646="","",IFERROR(BANK_RAW!F646,0))</f>
        <v/>
      </c>
      <c r="H646" s="11">
        <f>IF(BANK_RAW!A646="","",IF(E646&gt;0,"CR",IF(F646&gt;0,"DR","CR")))</f>
        <v/>
      </c>
      <c r="I646" s="12">
        <f>IF(BANK_RAW!A646="","",E646-F646)</f>
        <v/>
      </c>
      <c r="J646" s="12">
        <f>IF(BANK_RAW!A646="","",ABS(I646))</f>
        <v/>
      </c>
      <c r="K646" s="11">
        <f>IF(BANK_RAW!A646="","",IF(H646="CR","IN","OUT"))</f>
        <v/>
      </c>
      <c r="L646" s="11" t="inlineStr"/>
      <c r="M646" s="11" t="inlineStr"/>
    </row>
    <row r="647">
      <c r="A647" s="13">
        <f>IF(BANK_RAW!A647="","",ROW()-1)</f>
        <v/>
      </c>
      <c r="B647" s="10">
        <f>IF(BANK_RAW!A647="","",IF(ISNUMBER(BANK_RAW!A647),BANK_RAW!A647,DATEVALUE(TEXT(BANK_RAW!A647,"YYYY-MM-DD"))))</f>
        <v/>
      </c>
      <c r="C647" s="11">
        <f>IF(BANK_RAW!A647="","",TRIM(BANK_RAW!B647))</f>
        <v/>
      </c>
      <c r="D647" s="11">
        <f>IF(BANK_RAW!A647="","",TRIM(BANK_RAW!C647))</f>
        <v/>
      </c>
      <c r="E647" s="12">
        <f>IF(BANK_RAW!A647="","",IFERROR(ABS(BANK_RAW!D647),0))</f>
        <v/>
      </c>
      <c r="F647" s="12">
        <f>IF(BANK_RAW!A647="","",IFERROR(ABS(BANK_RAW!E647),0))</f>
        <v/>
      </c>
      <c r="G647" s="12">
        <f>IF(BANK_RAW!A647="","",IFERROR(BANK_RAW!F647,0))</f>
        <v/>
      </c>
      <c r="H647" s="11">
        <f>IF(BANK_RAW!A647="","",IF(E647&gt;0,"CR",IF(F647&gt;0,"DR","CR")))</f>
        <v/>
      </c>
      <c r="I647" s="12">
        <f>IF(BANK_RAW!A647="","",E647-F647)</f>
        <v/>
      </c>
      <c r="J647" s="12">
        <f>IF(BANK_RAW!A647="","",ABS(I647))</f>
        <v/>
      </c>
      <c r="K647" s="11">
        <f>IF(BANK_RAW!A647="","",IF(H647="CR","IN","OUT"))</f>
        <v/>
      </c>
      <c r="L647" s="11" t="inlineStr"/>
      <c r="M647" s="11" t="inlineStr"/>
    </row>
    <row r="648">
      <c r="A648" s="13">
        <f>IF(BANK_RAW!A648="","",ROW()-1)</f>
        <v/>
      </c>
      <c r="B648" s="10">
        <f>IF(BANK_RAW!A648="","",IF(ISNUMBER(BANK_RAW!A648),BANK_RAW!A648,DATEVALUE(TEXT(BANK_RAW!A648,"YYYY-MM-DD"))))</f>
        <v/>
      </c>
      <c r="C648" s="11">
        <f>IF(BANK_RAW!A648="","",TRIM(BANK_RAW!B648))</f>
        <v/>
      </c>
      <c r="D648" s="11">
        <f>IF(BANK_RAW!A648="","",TRIM(BANK_RAW!C648))</f>
        <v/>
      </c>
      <c r="E648" s="12">
        <f>IF(BANK_RAW!A648="","",IFERROR(ABS(BANK_RAW!D648),0))</f>
        <v/>
      </c>
      <c r="F648" s="12">
        <f>IF(BANK_RAW!A648="","",IFERROR(ABS(BANK_RAW!E648),0))</f>
        <v/>
      </c>
      <c r="G648" s="12">
        <f>IF(BANK_RAW!A648="","",IFERROR(BANK_RAW!F648,0))</f>
        <v/>
      </c>
      <c r="H648" s="11">
        <f>IF(BANK_RAW!A648="","",IF(E648&gt;0,"CR",IF(F648&gt;0,"DR","CR")))</f>
        <v/>
      </c>
      <c r="I648" s="12">
        <f>IF(BANK_RAW!A648="","",E648-F648)</f>
        <v/>
      </c>
      <c r="J648" s="12">
        <f>IF(BANK_RAW!A648="","",ABS(I648))</f>
        <v/>
      </c>
      <c r="K648" s="11">
        <f>IF(BANK_RAW!A648="","",IF(H648="CR","IN","OUT"))</f>
        <v/>
      </c>
      <c r="L648" s="11" t="inlineStr"/>
      <c r="M648" s="11" t="inlineStr"/>
    </row>
    <row r="649">
      <c r="A649" s="13">
        <f>IF(BANK_RAW!A649="","",ROW()-1)</f>
        <v/>
      </c>
      <c r="B649" s="10">
        <f>IF(BANK_RAW!A649="","",IF(ISNUMBER(BANK_RAW!A649),BANK_RAW!A649,DATEVALUE(TEXT(BANK_RAW!A649,"YYYY-MM-DD"))))</f>
        <v/>
      </c>
      <c r="C649" s="11">
        <f>IF(BANK_RAW!A649="","",TRIM(BANK_RAW!B649))</f>
        <v/>
      </c>
      <c r="D649" s="11">
        <f>IF(BANK_RAW!A649="","",TRIM(BANK_RAW!C649))</f>
        <v/>
      </c>
      <c r="E649" s="12">
        <f>IF(BANK_RAW!A649="","",IFERROR(ABS(BANK_RAW!D649),0))</f>
        <v/>
      </c>
      <c r="F649" s="12">
        <f>IF(BANK_RAW!A649="","",IFERROR(ABS(BANK_RAW!E649),0))</f>
        <v/>
      </c>
      <c r="G649" s="12">
        <f>IF(BANK_RAW!A649="","",IFERROR(BANK_RAW!F649,0))</f>
        <v/>
      </c>
      <c r="H649" s="11">
        <f>IF(BANK_RAW!A649="","",IF(E649&gt;0,"CR",IF(F649&gt;0,"DR","CR")))</f>
        <v/>
      </c>
      <c r="I649" s="12">
        <f>IF(BANK_RAW!A649="","",E649-F649)</f>
        <v/>
      </c>
      <c r="J649" s="12">
        <f>IF(BANK_RAW!A649="","",ABS(I649))</f>
        <v/>
      </c>
      <c r="K649" s="11">
        <f>IF(BANK_RAW!A649="","",IF(H649="CR","IN","OUT"))</f>
        <v/>
      </c>
      <c r="L649" s="11" t="inlineStr"/>
      <c r="M649" s="11" t="inlineStr"/>
    </row>
    <row r="650">
      <c r="A650" s="13">
        <f>IF(BANK_RAW!A650="","",ROW()-1)</f>
        <v/>
      </c>
      <c r="B650" s="10">
        <f>IF(BANK_RAW!A650="","",IF(ISNUMBER(BANK_RAW!A650),BANK_RAW!A650,DATEVALUE(TEXT(BANK_RAW!A650,"YYYY-MM-DD"))))</f>
        <v/>
      </c>
      <c r="C650" s="11">
        <f>IF(BANK_RAW!A650="","",TRIM(BANK_RAW!B650))</f>
        <v/>
      </c>
      <c r="D650" s="11">
        <f>IF(BANK_RAW!A650="","",TRIM(BANK_RAW!C650))</f>
        <v/>
      </c>
      <c r="E650" s="12">
        <f>IF(BANK_RAW!A650="","",IFERROR(ABS(BANK_RAW!D650),0))</f>
        <v/>
      </c>
      <c r="F650" s="12">
        <f>IF(BANK_RAW!A650="","",IFERROR(ABS(BANK_RAW!E650),0))</f>
        <v/>
      </c>
      <c r="G650" s="12">
        <f>IF(BANK_RAW!A650="","",IFERROR(BANK_RAW!F650,0))</f>
        <v/>
      </c>
      <c r="H650" s="11">
        <f>IF(BANK_RAW!A650="","",IF(E650&gt;0,"CR",IF(F650&gt;0,"DR","CR")))</f>
        <v/>
      </c>
      <c r="I650" s="12">
        <f>IF(BANK_RAW!A650="","",E650-F650)</f>
        <v/>
      </c>
      <c r="J650" s="12">
        <f>IF(BANK_RAW!A650="","",ABS(I650))</f>
        <v/>
      </c>
      <c r="K650" s="11">
        <f>IF(BANK_RAW!A650="","",IF(H650="CR","IN","OUT"))</f>
        <v/>
      </c>
      <c r="L650" s="11" t="inlineStr"/>
      <c r="M650" s="11" t="inlineStr"/>
    </row>
    <row r="651">
      <c r="A651" s="13">
        <f>IF(BANK_RAW!A651="","",ROW()-1)</f>
        <v/>
      </c>
      <c r="B651" s="10">
        <f>IF(BANK_RAW!A651="","",IF(ISNUMBER(BANK_RAW!A651),BANK_RAW!A651,DATEVALUE(TEXT(BANK_RAW!A651,"YYYY-MM-DD"))))</f>
        <v/>
      </c>
      <c r="C651" s="11">
        <f>IF(BANK_RAW!A651="","",TRIM(BANK_RAW!B651))</f>
        <v/>
      </c>
      <c r="D651" s="11">
        <f>IF(BANK_RAW!A651="","",TRIM(BANK_RAW!C651))</f>
        <v/>
      </c>
      <c r="E651" s="12">
        <f>IF(BANK_RAW!A651="","",IFERROR(ABS(BANK_RAW!D651),0))</f>
        <v/>
      </c>
      <c r="F651" s="12">
        <f>IF(BANK_RAW!A651="","",IFERROR(ABS(BANK_RAW!E651),0))</f>
        <v/>
      </c>
      <c r="G651" s="12">
        <f>IF(BANK_RAW!A651="","",IFERROR(BANK_RAW!F651,0))</f>
        <v/>
      </c>
      <c r="H651" s="11">
        <f>IF(BANK_RAW!A651="","",IF(E651&gt;0,"CR",IF(F651&gt;0,"DR","CR")))</f>
        <v/>
      </c>
      <c r="I651" s="12">
        <f>IF(BANK_RAW!A651="","",E651-F651)</f>
        <v/>
      </c>
      <c r="J651" s="12">
        <f>IF(BANK_RAW!A651="","",ABS(I651))</f>
        <v/>
      </c>
      <c r="K651" s="11">
        <f>IF(BANK_RAW!A651="","",IF(H651="CR","IN","OUT"))</f>
        <v/>
      </c>
      <c r="L651" s="11" t="inlineStr"/>
      <c r="M651" s="11" t="inlineStr"/>
    </row>
    <row r="652">
      <c r="A652" s="13">
        <f>IF(BANK_RAW!A652="","",ROW()-1)</f>
        <v/>
      </c>
      <c r="B652" s="10">
        <f>IF(BANK_RAW!A652="","",IF(ISNUMBER(BANK_RAW!A652),BANK_RAW!A652,DATEVALUE(TEXT(BANK_RAW!A652,"YYYY-MM-DD"))))</f>
        <v/>
      </c>
      <c r="C652" s="11">
        <f>IF(BANK_RAW!A652="","",TRIM(BANK_RAW!B652))</f>
        <v/>
      </c>
      <c r="D652" s="11">
        <f>IF(BANK_RAW!A652="","",TRIM(BANK_RAW!C652))</f>
        <v/>
      </c>
      <c r="E652" s="12">
        <f>IF(BANK_RAW!A652="","",IFERROR(ABS(BANK_RAW!D652),0))</f>
        <v/>
      </c>
      <c r="F652" s="12">
        <f>IF(BANK_RAW!A652="","",IFERROR(ABS(BANK_RAW!E652),0))</f>
        <v/>
      </c>
      <c r="G652" s="12">
        <f>IF(BANK_RAW!A652="","",IFERROR(BANK_RAW!F652,0))</f>
        <v/>
      </c>
      <c r="H652" s="11">
        <f>IF(BANK_RAW!A652="","",IF(E652&gt;0,"CR",IF(F652&gt;0,"DR","CR")))</f>
        <v/>
      </c>
      <c r="I652" s="12">
        <f>IF(BANK_RAW!A652="","",E652-F652)</f>
        <v/>
      </c>
      <c r="J652" s="12">
        <f>IF(BANK_RAW!A652="","",ABS(I652))</f>
        <v/>
      </c>
      <c r="K652" s="11">
        <f>IF(BANK_RAW!A652="","",IF(H652="CR","IN","OUT"))</f>
        <v/>
      </c>
      <c r="L652" s="11" t="inlineStr"/>
      <c r="M652" s="11" t="inlineStr"/>
    </row>
    <row r="653">
      <c r="A653" s="13">
        <f>IF(BANK_RAW!A653="","",ROW()-1)</f>
        <v/>
      </c>
      <c r="B653" s="10">
        <f>IF(BANK_RAW!A653="","",IF(ISNUMBER(BANK_RAW!A653),BANK_RAW!A653,DATEVALUE(TEXT(BANK_RAW!A653,"YYYY-MM-DD"))))</f>
        <v/>
      </c>
      <c r="C653" s="11">
        <f>IF(BANK_RAW!A653="","",TRIM(BANK_RAW!B653))</f>
        <v/>
      </c>
      <c r="D653" s="11">
        <f>IF(BANK_RAW!A653="","",TRIM(BANK_RAW!C653))</f>
        <v/>
      </c>
      <c r="E653" s="12">
        <f>IF(BANK_RAW!A653="","",IFERROR(ABS(BANK_RAW!D653),0))</f>
        <v/>
      </c>
      <c r="F653" s="12">
        <f>IF(BANK_RAW!A653="","",IFERROR(ABS(BANK_RAW!E653),0))</f>
        <v/>
      </c>
      <c r="G653" s="12">
        <f>IF(BANK_RAW!A653="","",IFERROR(BANK_RAW!F653,0))</f>
        <v/>
      </c>
      <c r="H653" s="11">
        <f>IF(BANK_RAW!A653="","",IF(E653&gt;0,"CR",IF(F653&gt;0,"DR","CR")))</f>
        <v/>
      </c>
      <c r="I653" s="12">
        <f>IF(BANK_RAW!A653="","",E653-F653)</f>
        <v/>
      </c>
      <c r="J653" s="12">
        <f>IF(BANK_RAW!A653="","",ABS(I653))</f>
        <v/>
      </c>
      <c r="K653" s="11">
        <f>IF(BANK_RAW!A653="","",IF(H653="CR","IN","OUT"))</f>
        <v/>
      </c>
      <c r="L653" s="11" t="inlineStr"/>
      <c r="M653" s="11" t="inlineStr"/>
    </row>
    <row r="654">
      <c r="A654" s="13">
        <f>IF(BANK_RAW!A654="","",ROW()-1)</f>
        <v/>
      </c>
      <c r="B654" s="10">
        <f>IF(BANK_RAW!A654="","",IF(ISNUMBER(BANK_RAW!A654),BANK_RAW!A654,DATEVALUE(TEXT(BANK_RAW!A654,"YYYY-MM-DD"))))</f>
        <v/>
      </c>
      <c r="C654" s="11">
        <f>IF(BANK_RAW!A654="","",TRIM(BANK_RAW!B654))</f>
        <v/>
      </c>
      <c r="D654" s="11">
        <f>IF(BANK_RAW!A654="","",TRIM(BANK_RAW!C654))</f>
        <v/>
      </c>
      <c r="E654" s="12">
        <f>IF(BANK_RAW!A654="","",IFERROR(ABS(BANK_RAW!D654),0))</f>
        <v/>
      </c>
      <c r="F654" s="12">
        <f>IF(BANK_RAW!A654="","",IFERROR(ABS(BANK_RAW!E654),0))</f>
        <v/>
      </c>
      <c r="G654" s="12">
        <f>IF(BANK_RAW!A654="","",IFERROR(BANK_RAW!F654,0))</f>
        <v/>
      </c>
      <c r="H654" s="11">
        <f>IF(BANK_RAW!A654="","",IF(E654&gt;0,"CR",IF(F654&gt;0,"DR","CR")))</f>
        <v/>
      </c>
      <c r="I654" s="12">
        <f>IF(BANK_RAW!A654="","",E654-F654)</f>
        <v/>
      </c>
      <c r="J654" s="12">
        <f>IF(BANK_RAW!A654="","",ABS(I654))</f>
        <v/>
      </c>
      <c r="K654" s="11">
        <f>IF(BANK_RAW!A654="","",IF(H654="CR","IN","OUT"))</f>
        <v/>
      </c>
      <c r="L654" s="11" t="inlineStr"/>
      <c r="M654" s="11" t="inlineStr"/>
    </row>
    <row r="655">
      <c r="A655" s="13">
        <f>IF(BANK_RAW!A655="","",ROW()-1)</f>
        <v/>
      </c>
      <c r="B655" s="10">
        <f>IF(BANK_RAW!A655="","",IF(ISNUMBER(BANK_RAW!A655),BANK_RAW!A655,DATEVALUE(TEXT(BANK_RAW!A655,"YYYY-MM-DD"))))</f>
        <v/>
      </c>
      <c r="C655" s="11">
        <f>IF(BANK_RAW!A655="","",TRIM(BANK_RAW!B655))</f>
        <v/>
      </c>
      <c r="D655" s="11">
        <f>IF(BANK_RAW!A655="","",TRIM(BANK_RAW!C655))</f>
        <v/>
      </c>
      <c r="E655" s="12">
        <f>IF(BANK_RAW!A655="","",IFERROR(ABS(BANK_RAW!D655),0))</f>
        <v/>
      </c>
      <c r="F655" s="12">
        <f>IF(BANK_RAW!A655="","",IFERROR(ABS(BANK_RAW!E655),0))</f>
        <v/>
      </c>
      <c r="G655" s="12">
        <f>IF(BANK_RAW!A655="","",IFERROR(BANK_RAW!F655,0))</f>
        <v/>
      </c>
      <c r="H655" s="11">
        <f>IF(BANK_RAW!A655="","",IF(E655&gt;0,"CR",IF(F655&gt;0,"DR","CR")))</f>
        <v/>
      </c>
      <c r="I655" s="12">
        <f>IF(BANK_RAW!A655="","",E655-F655)</f>
        <v/>
      </c>
      <c r="J655" s="12">
        <f>IF(BANK_RAW!A655="","",ABS(I655))</f>
        <v/>
      </c>
      <c r="K655" s="11">
        <f>IF(BANK_RAW!A655="","",IF(H655="CR","IN","OUT"))</f>
        <v/>
      </c>
      <c r="L655" s="11" t="inlineStr"/>
      <c r="M655" s="11" t="inlineStr"/>
    </row>
    <row r="656">
      <c r="A656" s="13">
        <f>IF(BANK_RAW!A656="","",ROW()-1)</f>
        <v/>
      </c>
      <c r="B656" s="10">
        <f>IF(BANK_RAW!A656="","",IF(ISNUMBER(BANK_RAW!A656),BANK_RAW!A656,DATEVALUE(TEXT(BANK_RAW!A656,"YYYY-MM-DD"))))</f>
        <v/>
      </c>
      <c r="C656" s="11">
        <f>IF(BANK_RAW!A656="","",TRIM(BANK_RAW!B656))</f>
        <v/>
      </c>
      <c r="D656" s="11">
        <f>IF(BANK_RAW!A656="","",TRIM(BANK_RAW!C656))</f>
        <v/>
      </c>
      <c r="E656" s="12">
        <f>IF(BANK_RAW!A656="","",IFERROR(ABS(BANK_RAW!D656),0))</f>
        <v/>
      </c>
      <c r="F656" s="12">
        <f>IF(BANK_RAW!A656="","",IFERROR(ABS(BANK_RAW!E656),0))</f>
        <v/>
      </c>
      <c r="G656" s="12">
        <f>IF(BANK_RAW!A656="","",IFERROR(BANK_RAW!F656,0))</f>
        <v/>
      </c>
      <c r="H656" s="11">
        <f>IF(BANK_RAW!A656="","",IF(E656&gt;0,"CR",IF(F656&gt;0,"DR","CR")))</f>
        <v/>
      </c>
      <c r="I656" s="12">
        <f>IF(BANK_RAW!A656="","",E656-F656)</f>
        <v/>
      </c>
      <c r="J656" s="12">
        <f>IF(BANK_RAW!A656="","",ABS(I656))</f>
        <v/>
      </c>
      <c r="K656" s="11">
        <f>IF(BANK_RAW!A656="","",IF(H656="CR","IN","OUT"))</f>
        <v/>
      </c>
      <c r="L656" s="11" t="inlineStr"/>
      <c r="M656" s="11" t="inlineStr"/>
    </row>
    <row r="657">
      <c r="A657" s="13">
        <f>IF(BANK_RAW!A657="","",ROW()-1)</f>
        <v/>
      </c>
      <c r="B657" s="10">
        <f>IF(BANK_RAW!A657="","",IF(ISNUMBER(BANK_RAW!A657),BANK_RAW!A657,DATEVALUE(TEXT(BANK_RAW!A657,"YYYY-MM-DD"))))</f>
        <v/>
      </c>
      <c r="C657" s="11">
        <f>IF(BANK_RAW!A657="","",TRIM(BANK_RAW!B657))</f>
        <v/>
      </c>
      <c r="D657" s="11">
        <f>IF(BANK_RAW!A657="","",TRIM(BANK_RAW!C657))</f>
        <v/>
      </c>
      <c r="E657" s="12">
        <f>IF(BANK_RAW!A657="","",IFERROR(ABS(BANK_RAW!D657),0))</f>
        <v/>
      </c>
      <c r="F657" s="12">
        <f>IF(BANK_RAW!A657="","",IFERROR(ABS(BANK_RAW!E657),0))</f>
        <v/>
      </c>
      <c r="G657" s="12">
        <f>IF(BANK_RAW!A657="","",IFERROR(BANK_RAW!F657,0))</f>
        <v/>
      </c>
      <c r="H657" s="11">
        <f>IF(BANK_RAW!A657="","",IF(E657&gt;0,"CR",IF(F657&gt;0,"DR","CR")))</f>
        <v/>
      </c>
      <c r="I657" s="12">
        <f>IF(BANK_RAW!A657="","",E657-F657)</f>
        <v/>
      </c>
      <c r="J657" s="12">
        <f>IF(BANK_RAW!A657="","",ABS(I657))</f>
        <v/>
      </c>
      <c r="K657" s="11">
        <f>IF(BANK_RAW!A657="","",IF(H657="CR","IN","OUT"))</f>
        <v/>
      </c>
      <c r="L657" s="11" t="inlineStr"/>
      <c r="M657" s="11" t="inlineStr"/>
    </row>
    <row r="658">
      <c r="A658" s="13">
        <f>IF(BANK_RAW!A658="","",ROW()-1)</f>
        <v/>
      </c>
      <c r="B658" s="10">
        <f>IF(BANK_RAW!A658="","",IF(ISNUMBER(BANK_RAW!A658),BANK_RAW!A658,DATEVALUE(TEXT(BANK_RAW!A658,"YYYY-MM-DD"))))</f>
        <v/>
      </c>
      <c r="C658" s="11">
        <f>IF(BANK_RAW!A658="","",TRIM(BANK_RAW!B658))</f>
        <v/>
      </c>
      <c r="D658" s="11">
        <f>IF(BANK_RAW!A658="","",TRIM(BANK_RAW!C658))</f>
        <v/>
      </c>
      <c r="E658" s="12">
        <f>IF(BANK_RAW!A658="","",IFERROR(ABS(BANK_RAW!D658),0))</f>
        <v/>
      </c>
      <c r="F658" s="12">
        <f>IF(BANK_RAW!A658="","",IFERROR(ABS(BANK_RAW!E658),0))</f>
        <v/>
      </c>
      <c r="G658" s="12">
        <f>IF(BANK_RAW!A658="","",IFERROR(BANK_RAW!F658,0))</f>
        <v/>
      </c>
      <c r="H658" s="11">
        <f>IF(BANK_RAW!A658="","",IF(E658&gt;0,"CR",IF(F658&gt;0,"DR","CR")))</f>
        <v/>
      </c>
      <c r="I658" s="12">
        <f>IF(BANK_RAW!A658="","",E658-F658)</f>
        <v/>
      </c>
      <c r="J658" s="12">
        <f>IF(BANK_RAW!A658="","",ABS(I658))</f>
        <v/>
      </c>
      <c r="K658" s="11">
        <f>IF(BANK_RAW!A658="","",IF(H658="CR","IN","OUT"))</f>
        <v/>
      </c>
      <c r="L658" s="11" t="inlineStr"/>
      <c r="M658" s="11" t="inlineStr"/>
    </row>
    <row r="659">
      <c r="A659" s="13">
        <f>IF(BANK_RAW!A659="","",ROW()-1)</f>
        <v/>
      </c>
      <c r="B659" s="10">
        <f>IF(BANK_RAW!A659="","",IF(ISNUMBER(BANK_RAW!A659),BANK_RAW!A659,DATEVALUE(TEXT(BANK_RAW!A659,"YYYY-MM-DD"))))</f>
        <v/>
      </c>
      <c r="C659" s="11">
        <f>IF(BANK_RAW!A659="","",TRIM(BANK_RAW!B659))</f>
        <v/>
      </c>
      <c r="D659" s="11">
        <f>IF(BANK_RAW!A659="","",TRIM(BANK_RAW!C659))</f>
        <v/>
      </c>
      <c r="E659" s="12">
        <f>IF(BANK_RAW!A659="","",IFERROR(ABS(BANK_RAW!D659),0))</f>
        <v/>
      </c>
      <c r="F659" s="12">
        <f>IF(BANK_RAW!A659="","",IFERROR(ABS(BANK_RAW!E659),0))</f>
        <v/>
      </c>
      <c r="G659" s="12">
        <f>IF(BANK_RAW!A659="","",IFERROR(BANK_RAW!F659,0))</f>
        <v/>
      </c>
      <c r="H659" s="11">
        <f>IF(BANK_RAW!A659="","",IF(E659&gt;0,"CR",IF(F659&gt;0,"DR","CR")))</f>
        <v/>
      </c>
      <c r="I659" s="12">
        <f>IF(BANK_RAW!A659="","",E659-F659)</f>
        <v/>
      </c>
      <c r="J659" s="12">
        <f>IF(BANK_RAW!A659="","",ABS(I659))</f>
        <v/>
      </c>
      <c r="K659" s="11">
        <f>IF(BANK_RAW!A659="","",IF(H659="CR","IN","OUT"))</f>
        <v/>
      </c>
      <c r="L659" s="11" t="inlineStr"/>
      <c r="M659" s="11" t="inlineStr"/>
    </row>
    <row r="660">
      <c r="A660" s="13">
        <f>IF(BANK_RAW!A660="","",ROW()-1)</f>
        <v/>
      </c>
      <c r="B660" s="10">
        <f>IF(BANK_RAW!A660="","",IF(ISNUMBER(BANK_RAW!A660),BANK_RAW!A660,DATEVALUE(TEXT(BANK_RAW!A660,"YYYY-MM-DD"))))</f>
        <v/>
      </c>
      <c r="C660" s="11">
        <f>IF(BANK_RAW!A660="","",TRIM(BANK_RAW!B660))</f>
        <v/>
      </c>
      <c r="D660" s="11">
        <f>IF(BANK_RAW!A660="","",TRIM(BANK_RAW!C660))</f>
        <v/>
      </c>
      <c r="E660" s="12">
        <f>IF(BANK_RAW!A660="","",IFERROR(ABS(BANK_RAW!D660),0))</f>
        <v/>
      </c>
      <c r="F660" s="12">
        <f>IF(BANK_RAW!A660="","",IFERROR(ABS(BANK_RAW!E660),0))</f>
        <v/>
      </c>
      <c r="G660" s="12">
        <f>IF(BANK_RAW!A660="","",IFERROR(BANK_RAW!F660,0))</f>
        <v/>
      </c>
      <c r="H660" s="11">
        <f>IF(BANK_RAW!A660="","",IF(E660&gt;0,"CR",IF(F660&gt;0,"DR","CR")))</f>
        <v/>
      </c>
      <c r="I660" s="12">
        <f>IF(BANK_RAW!A660="","",E660-F660)</f>
        <v/>
      </c>
      <c r="J660" s="12">
        <f>IF(BANK_RAW!A660="","",ABS(I660))</f>
        <v/>
      </c>
      <c r="K660" s="11">
        <f>IF(BANK_RAW!A660="","",IF(H660="CR","IN","OUT"))</f>
        <v/>
      </c>
      <c r="L660" s="11" t="inlineStr"/>
      <c r="M660" s="11" t="inlineStr"/>
    </row>
    <row r="661">
      <c r="A661" s="13">
        <f>IF(BANK_RAW!A661="","",ROW()-1)</f>
        <v/>
      </c>
      <c r="B661" s="10">
        <f>IF(BANK_RAW!A661="","",IF(ISNUMBER(BANK_RAW!A661),BANK_RAW!A661,DATEVALUE(TEXT(BANK_RAW!A661,"YYYY-MM-DD"))))</f>
        <v/>
      </c>
      <c r="C661" s="11">
        <f>IF(BANK_RAW!A661="","",TRIM(BANK_RAW!B661))</f>
        <v/>
      </c>
      <c r="D661" s="11">
        <f>IF(BANK_RAW!A661="","",TRIM(BANK_RAW!C661))</f>
        <v/>
      </c>
      <c r="E661" s="12">
        <f>IF(BANK_RAW!A661="","",IFERROR(ABS(BANK_RAW!D661),0))</f>
        <v/>
      </c>
      <c r="F661" s="12">
        <f>IF(BANK_RAW!A661="","",IFERROR(ABS(BANK_RAW!E661),0))</f>
        <v/>
      </c>
      <c r="G661" s="12">
        <f>IF(BANK_RAW!A661="","",IFERROR(BANK_RAW!F661,0))</f>
        <v/>
      </c>
      <c r="H661" s="11">
        <f>IF(BANK_RAW!A661="","",IF(E661&gt;0,"CR",IF(F661&gt;0,"DR","CR")))</f>
        <v/>
      </c>
      <c r="I661" s="12">
        <f>IF(BANK_RAW!A661="","",E661-F661)</f>
        <v/>
      </c>
      <c r="J661" s="12">
        <f>IF(BANK_RAW!A661="","",ABS(I661))</f>
        <v/>
      </c>
      <c r="K661" s="11">
        <f>IF(BANK_RAW!A661="","",IF(H661="CR","IN","OUT"))</f>
        <v/>
      </c>
      <c r="L661" s="11" t="inlineStr"/>
      <c r="M661" s="11" t="inlineStr"/>
    </row>
    <row r="662">
      <c r="A662" s="13">
        <f>IF(BANK_RAW!A662="","",ROW()-1)</f>
        <v/>
      </c>
      <c r="B662" s="10">
        <f>IF(BANK_RAW!A662="","",IF(ISNUMBER(BANK_RAW!A662),BANK_RAW!A662,DATEVALUE(TEXT(BANK_RAW!A662,"YYYY-MM-DD"))))</f>
        <v/>
      </c>
      <c r="C662" s="11">
        <f>IF(BANK_RAW!A662="","",TRIM(BANK_RAW!B662))</f>
        <v/>
      </c>
      <c r="D662" s="11">
        <f>IF(BANK_RAW!A662="","",TRIM(BANK_RAW!C662))</f>
        <v/>
      </c>
      <c r="E662" s="12">
        <f>IF(BANK_RAW!A662="","",IFERROR(ABS(BANK_RAW!D662),0))</f>
        <v/>
      </c>
      <c r="F662" s="12">
        <f>IF(BANK_RAW!A662="","",IFERROR(ABS(BANK_RAW!E662),0))</f>
        <v/>
      </c>
      <c r="G662" s="12">
        <f>IF(BANK_RAW!A662="","",IFERROR(BANK_RAW!F662,0))</f>
        <v/>
      </c>
      <c r="H662" s="11">
        <f>IF(BANK_RAW!A662="","",IF(E662&gt;0,"CR",IF(F662&gt;0,"DR","CR")))</f>
        <v/>
      </c>
      <c r="I662" s="12">
        <f>IF(BANK_RAW!A662="","",E662-F662)</f>
        <v/>
      </c>
      <c r="J662" s="12">
        <f>IF(BANK_RAW!A662="","",ABS(I662))</f>
        <v/>
      </c>
      <c r="K662" s="11">
        <f>IF(BANK_RAW!A662="","",IF(H662="CR","IN","OUT"))</f>
        <v/>
      </c>
      <c r="L662" s="11" t="inlineStr"/>
      <c r="M662" s="11" t="inlineStr"/>
    </row>
    <row r="663">
      <c r="A663" s="13">
        <f>IF(BANK_RAW!A663="","",ROW()-1)</f>
        <v/>
      </c>
      <c r="B663" s="10">
        <f>IF(BANK_RAW!A663="","",IF(ISNUMBER(BANK_RAW!A663),BANK_RAW!A663,DATEVALUE(TEXT(BANK_RAW!A663,"YYYY-MM-DD"))))</f>
        <v/>
      </c>
      <c r="C663" s="11">
        <f>IF(BANK_RAW!A663="","",TRIM(BANK_RAW!B663))</f>
        <v/>
      </c>
      <c r="D663" s="11">
        <f>IF(BANK_RAW!A663="","",TRIM(BANK_RAW!C663))</f>
        <v/>
      </c>
      <c r="E663" s="12">
        <f>IF(BANK_RAW!A663="","",IFERROR(ABS(BANK_RAW!D663),0))</f>
        <v/>
      </c>
      <c r="F663" s="12">
        <f>IF(BANK_RAW!A663="","",IFERROR(ABS(BANK_RAW!E663),0))</f>
        <v/>
      </c>
      <c r="G663" s="12">
        <f>IF(BANK_RAW!A663="","",IFERROR(BANK_RAW!F663,0))</f>
        <v/>
      </c>
      <c r="H663" s="11">
        <f>IF(BANK_RAW!A663="","",IF(E663&gt;0,"CR",IF(F663&gt;0,"DR","CR")))</f>
        <v/>
      </c>
      <c r="I663" s="12">
        <f>IF(BANK_RAW!A663="","",E663-F663)</f>
        <v/>
      </c>
      <c r="J663" s="12">
        <f>IF(BANK_RAW!A663="","",ABS(I663))</f>
        <v/>
      </c>
      <c r="K663" s="11">
        <f>IF(BANK_RAW!A663="","",IF(H663="CR","IN","OUT"))</f>
        <v/>
      </c>
      <c r="L663" s="11" t="inlineStr"/>
      <c r="M663" s="11" t="inlineStr"/>
    </row>
    <row r="664">
      <c r="A664" s="13">
        <f>IF(BANK_RAW!A664="","",ROW()-1)</f>
        <v/>
      </c>
      <c r="B664" s="10">
        <f>IF(BANK_RAW!A664="","",IF(ISNUMBER(BANK_RAW!A664),BANK_RAW!A664,DATEVALUE(TEXT(BANK_RAW!A664,"YYYY-MM-DD"))))</f>
        <v/>
      </c>
      <c r="C664" s="11">
        <f>IF(BANK_RAW!A664="","",TRIM(BANK_RAW!B664))</f>
        <v/>
      </c>
      <c r="D664" s="11">
        <f>IF(BANK_RAW!A664="","",TRIM(BANK_RAW!C664))</f>
        <v/>
      </c>
      <c r="E664" s="12">
        <f>IF(BANK_RAW!A664="","",IFERROR(ABS(BANK_RAW!D664),0))</f>
        <v/>
      </c>
      <c r="F664" s="12">
        <f>IF(BANK_RAW!A664="","",IFERROR(ABS(BANK_RAW!E664),0))</f>
        <v/>
      </c>
      <c r="G664" s="12">
        <f>IF(BANK_RAW!A664="","",IFERROR(BANK_RAW!F664,0))</f>
        <v/>
      </c>
      <c r="H664" s="11">
        <f>IF(BANK_RAW!A664="","",IF(E664&gt;0,"CR",IF(F664&gt;0,"DR","CR")))</f>
        <v/>
      </c>
      <c r="I664" s="12">
        <f>IF(BANK_RAW!A664="","",E664-F664)</f>
        <v/>
      </c>
      <c r="J664" s="12">
        <f>IF(BANK_RAW!A664="","",ABS(I664))</f>
        <v/>
      </c>
      <c r="K664" s="11">
        <f>IF(BANK_RAW!A664="","",IF(H664="CR","IN","OUT"))</f>
        <v/>
      </c>
      <c r="L664" s="11" t="inlineStr"/>
      <c r="M664" s="11" t="inlineStr"/>
    </row>
    <row r="665">
      <c r="A665" s="13">
        <f>IF(BANK_RAW!A665="","",ROW()-1)</f>
        <v/>
      </c>
      <c r="B665" s="10">
        <f>IF(BANK_RAW!A665="","",IF(ISNUMBER(BANK_RAW!A665),BANK_RAW!A665,DATEVALUE(TEXT(BANK_RAW!A665,"YYYY-MM-DD"))))</f>
        <v/>
      </c>
      <c r="C665" s="11">
        <f>IF(BANK_RAW!A665="","",TRIM(BANK_RAW!B665))</f>
        <v/>
      </c>
      <c r="D665" s="11">
        <f>IF(BANK_RAW!A665="","",TRIM(BANK_RAW!C665))</f>
        <v/>
      </c>
      <c r="E665" s="12">
        <f>IF(BANK_RAW!A665="","",IFERROR(ABS(BANK_RAW!D665),0))</f>
        <v/>
      </c>
      <c r="F665" s="12">
        <f>IF(BANK_RAW!A665="","",IFERROR(ABS(BANK_RAW!E665),0))</f>
        <v/>
      </c>
      <c r="G665" s="12">
        <f>IF(BANK_RAW!A665="","",IFERROR(BANK_RAW!F665,0))</f>
        <v/>
      </c>
      <c r="H665" s="11">
        <f>IF(BANK_RAW!A665="","",IF(E665&gt;0,"CR",IF(F665&gt;0,"DR","CR")))</f>
        <v/>
      </c>
      <c r="I665" s="12">
        <f>IF(BANK_RAW!A665="","",E665-F665)</f>
        <v/>
      </c>
      <c r="J665" s="12">
        <f>IF(BANK_RAW!A665="","",ABS(I665))</f>
        <v/>
      </c>
      <c r="K665" s="11">
        <f>IF(BANK_RAW!A665="","",IF(H665="CR","IN","OUT"))</f>
        <v/>
      </c>
      <c r="L665" s="11" t="inlineStr"/>
      <c r="M665" s="11" t="inlineStr"/>
    </row>
    <row r="666">
      <c r="A666" s="13">
        <f>IF(BANK_RAW!A666="","",ROW()-1)</f>
        <v/>
      </c>
      <c r="B666" s="10">
        <f>IF(BANK_RAW!A666="","",IF(ISNUMBER(BANK_RAW!A666),BANK_RAW!A666,DATEVALUE(TEXT(BANK_RAW!A666,"YYYY-MM-DD"))))</f>
        <v/>
      </c>
      <c r="C666" s="11">
        <f>IF(BANK_RAW!A666="","",TRIM(BANK_RAW!B666))</f>
        <v/>
      </c>
      <c r="D666" s="11">
        <f>IF(BANK_RAW!A666="","",TRIM(BANK_RAW!C666))</f>
        <v/>
      </c>
      <c r="E666" s="12">
        <f>IF(BANK_RAW!A666="","",IFERROR(ABS(BANK_RAW!D666),0))</f>
        <v/>
      </c>
      <c r="F666" s="12">
        <f>IF(BANK_RAW!A666="","",IFERROR(ABS(BANK_RAW!E666),0))</f>
        <v/>
      </c>
      <c r="G666" s="12">
        <f>IF(BANK_RAW!A666="","",IFERROR(BANK_RAW!F666,0))</f>
        <v/>
      </c>
      <c r="H666" s="11">
        <f>IF(BANK_RAW!A666="","",IF(E666&gt;0,"CR",IF(F666&gt;0,"DR","CR")))</f>
        <v/>
      </c>
      <c r="I666" s="12">
        <f>IF(BANK_RAW!A666="","",E666-F666)</f>
        <v/>
      </c>
      <c r="J666" s="12">
        <f>IF(BANK_RAW!A666="","",ABS(I666))</f>
        <v/>
      </c>
      <c r="K666" s="11">
        <f>IF(BANK_RAW!A666="","",IF(H666="CR","IN","OUT"))</f>
        <v/>
      </c>
      <c r="L666" s="11" t="inlineStr"/>
      <c r="M666" s="11" t="inlineStr"/>
    </row>
    <row r="667">
      <c r="A667" s="13">
        <f>IF(BANK_RAW!A667="","",ROW()-1)</f>
        <v/>
      </c>
      <c r="B667" s="10">
        <f>IF(BANK_RAW!A667="","",IF(ISNUMBER(BANK_RAW!A667),BANK_RAW!A667,DATEVALUE(TEXT(BANK_RAW!A667,"YYYY-MM-DD"))))</f>
        <v/>
      </c>
      <c r="C667" s="11">
        <f>IF(BANK_RAW!A667="","",TRIM(BANK_RAW!B667))</f>
        <v/>
      </c>
      <c r="D667" s="11">
        <f>IF(BANK_RAW!A667="","",TRIM(BANK_RAW!C667))</f>
        <v/>
      </c>
      <c r="E667" s="12">
        <f>IF(BANK_RAW!A667="","",IFERROR(ABS(BANK_RAW!D667),0))</f>
        <v/>
      </c>
      <c r="F667" s="12">
        <f>IF(BANK_RAW!A667="","",IFERROR(ABS(BANK_RAW!E667),0))</f>
        <v/>
      </c>
      <c r="G667" s="12">
        <f>IF(BANK_RAW!A667="","",IFERROR(BANK_RAW!F667,0))</f>
        <v/>
      </c>
      <c r="H667" s="11">
        <f>IF(BANK_RAW!A667="","",IF(E667&gt;0,"CR",IF(F667&gt;0,"DR","CR")))</f>
        <v/>
      </c>
      <c r="I667" s="12">
        <f>IF(BANK_RAW!A667="","",E667-F667)</f>
        <v/>
      </c>
      <c r="J667" s="12">
        <f>IF(BANK_RAW!A667="","",ABS(I667))</f>
        <v/>
      </c>
      <c r="K667" s="11">
        <f>IF(BANK_RAW!A667="","",IF(H667="CR","IN","OUT"))</f>
        <v/>
      </c>
      <c r="L667" s="11" t="inlineStr"/>
      <c r="M667" s="11" t="inlineStr"/>
    </row>
    <row r="668">
      <c r="A668" s="13">
        <f>IF(BANK_RAW!A668="","",ROW()-1)</f>
        <v/>
      </c>
      <c r="B668" s="10">
        <f>IF(BANK_RAW!A668="","",IF(ISNUMBER(BANK_RAW!A668),BANK_RAW!A668,DATEVALUE(TEXT(BANK_RAW!A668,"YYYY-MM-DD"))))</f>
        <v/>
      </c>
      <c r="C668" s="11">
        <f>IF(BANK_RAW!A668="","",TRIM(BANK_RAW!B668))</f>
        <v/>
      </c>
      <c r="D668" s="11">
        <f>IF(BANK_RAW!A668="","",TRIM(BANK_RAW!C668))</f>
        <v/>
      </c>
      <c r="E668" s="12">
        <f>IF(BANK_RAW!A668="","",IFERROR(ABS(BANK_RAW!D668),0))</f>
        <v/>
      </c>
      <c r="F668" s="12">
        <f>IF(BANK_RAW!A668="","",IFERROR(ABS(BANK_RAW!E668),0))</f>
        <v/>
      </c>
      <c r="G668" s="12">
        <f>IF(BANK_RAW!A668="","",IFERROR(BANK_RAW!F668,0))</f>
        <v/>
      </c>
      <c r="H668" s="11">
        <f>IF(BANK_RAW!A668="","",IF(E668&gt;0,"CR",IF(F668&gt;0,"DR","CR")))</f>
        <v/>
      </c>
      <c r="I668" s="12">
        <f>IF(BANK_RAW!A668="","",E668-F668)</f>
        <v/>
      </c>
      <c r="J668" s="12">
        <f>IF(BANK_RAW!A668="","",ABS(I668))</f>
        <v/>
      </c>
      <c r="K668" s="11">
        <f>IF(BANK_RAW!A668="","",IF(H668="CR","IN","OUT"))</f>
        <v/>
      </c>
      <c r="L668" s="11" t="inlineStr"/>
      <c r="M668" s="11" t="inlineStr"/>
    </row>
    <row r="669">
      <c r="A669" s="13">
        <f>IF(BANK_RAW!A669="","",ROW()-1)</f>
        <v/>
      </c>
      <c r="B669" s="10">
        <f>IF(BANK_RAW!A669="","",IF(ISNUMBER(BANK_RAW!A669),BANK_RAW!A669,DATEVALUE(TEXT(BANK_RAW!A669,"YYYY-MM-DD"))))</f>
        <v/>
      </c>
      <c r="C669" s="11">
        <f>IF(BANK_RAW!A669="","",TRIM(BANK_RAW!B669))</f>
        <v/>
      </c>
      <c r="D669" s="11">
        <f>IF(BANK_RAW!A669="","",TRIM(BANK_RAW!C669))</f>
        <v/>
      </c>
      <c r="E669" s="12">
        <f>IF(BANK_RAW!A669="","",IFERROR(ABS(BANK_RAW!D669),0))</f>
        <v/>
      </c>
      <c r="F669" s="12">
        <f>IF(BANK_RAW!A669="","",IFERROR(ABS(BANK_RAW!E669),0))</f>
        <v/>
      </c>
      <c r="G669" s="12">
        <f>IF(BANK_RAW!A669="","",IFERROR(BANK_RAW!F669,0))</f>
        <v/>
      </c>
      <c r="H669" s="11">
        <f>IF(BANK_RAW!A669="","",IF(E669&gt;0,"CR",IF(F669&gt;0,"DR","CR")))</f>
        <v/>
      </c>
      <c r="I669" s="12">
        <f>IF(BANK_RAW!A669="","",E669-F669)</f>
        <v/>
      </c>
      <c r="J669" s="12">
        <f>IF(BANK_RAW!A669="","",ABS(I669))</f>
        <v/>
      </c>
      <c r="K669" s="11">
        <f>IF(BANK_RAW!A669="","",IF(H669="CR","IN","OUT"))</f>
        <v/>
      </c>
      <c r="L669" s="11" t="inlineStr"/>
      <c r="M669" s="11" t="inlineStr"/>
    </row>
    <row r="670">
      <c r="A670" s="13">
        <f>IF(BANK_RAW!A670="","",ROW()-1)</f>
        <v/>
      </c>
      <c r="B670" s="10">
        <f>IF(BANK_RAW!A670="","",IF(ISNUMBER(BANK_RAW!A670),BANK_RAW!A670,DATEVALUE(TEXT(BANK_RAW!A670,"YYYY-MM-DD"))))</f>
        <v/>
      </c>
      <c r="C670" s="11">
        <f>IF(BANK_RAW!A670="","",TRIM(BANK_RAW!B670))</f>
        <v/>
      </c>
      <c r="D670" s="11">
        <f>IF(BANK_RAW!A670="","",TRIM(BANK_RAW!C670))</f>
        <v/>
      </c>
      <c r="E670" s="12">
        <f>IF(BANK_RAW!A670="","",IFERROR(ABS(BANK_RAW!D670),0))</f>
        <v/>
      </c>
      <c r="F670" s="12">
        <f>IF(BANK_RAW!A670="","",IFERROR(ABS(BANK_RAW!E670),0))</f>
        <v/>
      </c>
      <c r="G670" s="12">
        <f>IF(BANK_RAW!A670="","",IFERROR(BANK_RAW!F670,0))</f>
        <v/>
      </c>
      <c r="H670" s="11">
        <f>IF(BANK_RAW!A670="","",IF(E670&gt;0,"CR",IF(F670&gt;0,"DR","CR")))</f>
        <v/>
      </c>
      <c r="I670" s="12">
        <f>IF(BANK_RAW!A670="","",E670-F670)</f>
        <v/>
      </c>
      <c r="J670" s="12">
        <f>IF(BANK_RAW!A670="","",ABS(I670))</f>
        <v/>
      </c>
      <c r="K670" s="11">
        <f>IF(BANK_RAW!A670="","",IF(H670="CR","IN","OUT"))</f>
        <v/>
      </c>
      <c r="L670" s="11" t="inlineStr"/>
      <c r="M670" s="11" t="inlineStr"/>
    </row>
    <row r="671">
      <c r="A671" s="13">
        <f>IF(BANK_RAW!A671="","",ROW()-1)</f>
        <v/>
      </c>
      <c r="B671" s="10">
        <f>IF(BANK_RAW!A671="","",IF(ISNUMBER(BANK_RAW!A671),BANK_RAW!A671,DATEVALUE(TEXT(BANK_RAW!A671,"YYYY-MM-DD"))))</f>
        <v/>
      </c>
      <c r="C671" s="11">
        <f>IF(BANK_RAW!A671="","",TRIM(BANK_RAW!B671))</f>
        <v/>
      </c>
      <c r="D671" s="11">
        <f>IF(BANK_RAW!A671="","",TRIM(BANK_RAW!C671))</f>
        <v/>
      </c>
      <c r="E671" s="12">
        <f>IF(BANK_RAW!A671="","",IFERROR(ABS(BANK_RAW!D671),0))</f>
        <v/>
      </c>
      <c r="F671" s="12">
        <f>IF(BANK_RAW!A671="","",IFERROR(ABS(BANK_RAW!E671),0))</f>
        <v/>
      </c>
      <c r="G671" s="12">
        <f>IF(BANK_RAW!A671="","",IFERROR(BANK_RAW!F671,0))</f>
        <v/>
      </c>
      <c r="H671" s="11">
        <f>IF(BANK_RAW!A671="","",IF(E671&gt;0,"CR",IF(F671&gt;0,"DR","CR")))</f>
        <v/>
      </c>
      <c r="I671" s="12">
        <f>IF(BANK_RAW!A671="","",E671-F671)</f>
        <v/>
      </c>
      <c r="J671" s="12">
        <f>IF(BANK_RAW!A671="","",ABS(I671))</f>
        <v/>
      </c>
      <c r="K671" s="11">
        <f>IF(BANK_RAW!A671="","",IF(H671="CR","IN","OUT"))</f>
        <v/>
      </c>
      <c r="L671" s="11" t="inlineStr"/>
      <c r="M671" s="11" t="inlineStr"/>
    </row>
    <row r="672">
      <c r="A672" s="13">
        <f>IF(BANK_RAW!A672="","",ROW()-1)</f>
        <v/>
      </c>
      <c r="B672" s="10">
        <f>IF(BANK_RAW!A672="","",IF(ISNUMBER(BANK_RAW!A672),BANK_RAW!A672,DATEVALUE(TEXT(BANK_RAW!A672,"YYYY-MM-DD"))))</f>
        <v/>
      </c>
      <c r="C672" s="11">
        <f>IF(BANK_RAW!A672="","",TRIM(BANK_RAW!B672))</f>
        <v/>
      </c>
      <c r="D672" s="11">
        <f>IF(BANK_RAW!A672="","",TRIM(BANK_RAW!C672))</f>
        <v/>
      </c>
      <c r="E672" s="12">
        <f>IF(BANK_RAW!A672="","",IFERROR(ABS(BANK_RAW!D672),0))</f>
        <v/>
      </c>
      <c r="F672" s="12">
        <f>IF(BANK_RAW!A672="","",IFERROR(ABS(BANK_RAW!E672),0))</f>
        <v/>
      </c>
      <c r="G672" s="12">
        <f>IF(BANK_RAW!A672="","",IFERROR(BANK_RAW!F672,0))</f>
        <v/>
      </c>
      <c r="H672" s="11">
        <f>IF(BANK_RAW!A672="","",IF(E672&gt;0,"CR",IF(F672&gt;0,"DR","CR")))</f>
        <v/>
      </c>
      <c r="I672" s="12">
        <f>IF(BANK_RAW!A672="","",E672-F672)</f>
        <v/>
      </c>
      <c r="J672" s="12">
        <f>IF(BANK_RAW!A672="","",ABS(I672))</f>
        <v/>
      </c>
      <c r="K672" s="11">
        <f>IF(BANK_RAW!A672="","",IF(H672="CR","IN","OUT"))</f>
        <v/>
      </c>
      <c r="L672" s="11" t="inlineStr"/>
      <c r="M672" s="11" t="inlineStr"/>
    </row>
    <row r="673">
      <c r="A673" s="13">
        <f>IF(BANK_RAW!A673="","",ROW()-1)</f>
        <v/>
      </c>
      <c r="B673" s="10">
        <f>IF(BANK_RAW!A673="","",IF(ISNUMBER(BANK_RAW!A673),BANK_RAW!A673,DATEVALUE(TEXT(BANK_RAW!A673,"YYYY-MM-DD"))))</f>
        <v/>
      </c>
      <c r="C673" s="11">
        <f>IF(BANK_RAW!A673="","",TRIM(BANK_RAW!B673))</f>
        <v/>
      </c>
      <c r="D673" s="11">
        <f>IF(BANK_RAW!A673="","",TRIM(BANK_RAW!C673))</f>
        <v/>
      </c>
      <c r="E673" s="12">
        <f>IF(BANK_RAW!A673="","",IFERROR(ABS(BANK_RAW!D673),0))</f>
        <v/>
      </c>
      <c r="F673" s="12">
        <f>IF(BANK_RAW!A673="","",IFERROR(ABS(BANK_RAW!E673),0))</f>
        <v/>
      </c>
      <c r="G673" s="12">
        <f>IF(BANK_RAW!A673="","",IFERROR(BANK_RAW!F673,0))</f>
        <v/>
      </c>
      <c r="H673" s="11">
        <f>IF(BANK_RAW!A673="","",IF(E673&gt;0,"CR",IF(F673&gt;0,"DR","CR")))</f>
        <v/>
      </c>
      <c r="I673" s="12">
        <f>IF(BANK_RAW!A673="","",E673-F673)</f>
        <v/>
      </c>
      <c r="J673" s="12">
        <f>IF(BANK_RAW!A673="","",ABS(I673))</f>
        <v/>
      </c>
      <c r="K673" s="11">
        <f>IF(BANK_RAW!A673="","",IF(H673="CR","IN","OUT"))</f>
        <v/>
      </c>
      <c r="L673" s="11" t="inlineStr"/>
      <c r="M673" s="11" t="inlineStr"/>
    </row>
    <row r="674">
      <c r="A674" s="13">
        <f>IF(BANK_RAW!A674="","",ROW()-1)</f>
        <v/>
      </c>
      <c r="B674" s="10">
        <f>IF(BANK_RAW!A674="","",IF(ISNUMBER(BANK_RAW!A674),BANK_RAW!A674,DATEVALUE(TEXT(BANK_RAW!A674,"YYYY-MM-DD"))))</f>
        <v/>
      </c>
      <c r="C674" s="11">
        <f>IF(BANK_RAW!A674="","",TRIM(BANK_RAW!B674))</f>
        <v/>
      </c>
      <c r="D674" s="11">
        <f>IF(BANK_RAW!A674="","",TRIM(BANK_RAW!C674))</f>
        <v/>
      </c>
      <c r="E674" s="12">
        <f>IF(BANK_RAW!A674="","",IFERROR(ABS(BANK_RAW!D674),0))</f>
        <v/>
      </c>
      <c r="F674" s="12">
        <f>IF(BANK_RAW!A674="","",IFERROR(ABS(BANK_RAW!E674),0))</f>
        <v/>
      </c>
      <c r="G674" s="12">
        <f>IF(BANK_RAW!A674="","",IFERROR(BANK_RAW!F674,0))</f>
        <v/>
      </c>
      <c r="H674" s="11">
        <f>IF(BANK_RAW!A674="","",IF(E674&gt;0,"CR",IF(F674&gt;0,"DR","CR")))</f>
        <v/>
      </c>
      <c r="I674" s="12">
        <f>IF(BANK_RAW!A674="","",E674-F674)</f>
        <v/>
      </c>
      <c r="J674" s="12">
        <f>IF(BANK_RAW!A674="","",ABS(I674))</f>
        <v/>
      </c>
      <c r="K674" s="11">
        <f>IF(BANK_RAW!A674="","",IF(H674="CR","IN","OUT"))</f>
        <v/>
      </c>
      <c r="L674" s="11" t="inlineStr"/>
      <c r="M674" s="11" t="inlineStr"/>
    </row>
    <row r="675">
      <c r="A675" s="13">
        <f>IF(BANK_RAW!A675="","",ROW()-1)</f>
        <v/>
      </c>
      <c r="B675" s="10">
        <f>IF(BANK_RAW!A675="","",IF(ISNUMBER(BANK_RAW!A675),BANK_RAW!A675,DATEVALUE(TEXT(BANK_RAW!A675,"YYYY-MM-DD"))))</f>
        <v/>
      </c>
      <c r="C675" s="11">
        <f>IF(BANK_RAW!A675="","",TRIM(BANK_RAW!B675))</f>
        <v/>
      </c>
      <c r="D675" s="11">
        <f>IF(BANK_RAW!A675="","",TRIM(BANK_RAW!C675))</f>
        <v/>
      </c>
      <c r="E675" s="12">
        <f>IF(BANK_RAW!A675="","",IFERROR(ABS(BANK_RAW!D675),0))</f>
        <v/>
      </c>
      <c r="F675" s="12">
        <f>IF(BANK_RAW!A675="","",IFERROR(ABS(BANK_RAW!E675),0))</f>
        <v/>
      </c>
      <c r="G675" s="12">
        <f>IF(BANK_RAW!A675="","",IFERROR(BANK_RAW!F675,0))</f>
        <v/>
      </c>
      <c r="H675" s="11">
        <f>IF(BANK_RAW!A675="","",IF(E675&gt;0,"CR",IF(F675&gt;0,"DR","CR")))</f>
        <v/>
      </c>
      <c r="I675" s="12">
        <f>IF(BANK_RAW!A675="","",E675-F675)</f>
        <v/>
      </c>
      <c r="J675" s="12">
        <f>IF(BANK_RAW!A675="","",ABS(I675))</f>
        <v/>
      </c>
      <c r="K675" s="11">
        <f>IF(BANK_RAW!A675="","",IF(H675="CR","IN","OUT"))</f>
        <v/>
      </c>
      <c r="L675" s="11" t="inlineStr"/>
      <c r="M675" s="11" t="inlineStr"/>
    </row>
    <row r="676">
      <c r="A676" s="13">
        <f>IF(BANK_RAW!A676="","",ROW()-1)</f>
        <v/>
      </c>
      <c r="B676" s="10">
        <f>IF(BANK_RAW!A676="","",IF(ISNUMBER(BANK_RAW!A676),BANK_RAW!A676,DATEVALUE(TEXT(BANK_RAW!A676,"YYYY-MM-DD"))))</f>
        <v/>
      </c>
      <c r="C676" s="11">
        <f>IF(BANK_RAW!A676="","",TRIM(BANK_RAW!B676))</f>
        <v/>
      </c>
      <c r="D676" s="11">
        <f>IF(BANK_RAW!A676="","",TRIM(BANK_RAW!C676))</f>
        <v/>
      </c>
      <c r="E676" s="12">
        <f>IF(BANK_RAW!A676="","",IFERROR(ABS(BANK_RAW!D676),0))</f>
        <v/>
      </c>
      <c r="F676" s="12">
        <f>IF(BANK_RAW!A676="","",IFERROR(ABS(BANK_RAW!E676),0))</f>
        <v/>
      </c>
      <c r="G676" s="12">
        <f>IF(BANK_RAW!A676="","",IFERROR(BANK_RAW!F676,0))</f>
        <v/>
      </c>
      <c r="H676" s="11">
        <f>IF(BANK_RAW!A676="","",IF(E676&gt;0,"CR",IF(F676&gt;0,"DR","CR")))</f>
        <v/>
      </c>
      <c r="I676" s="12">
        <f>IF(BANK_RAW!A676="","",E676-F676)</f>
        <v/>
      </c>
      <c r="J676" s="12">
        <f>IF(BANK_RAW!A676="","",ABS(I676))</f>
        <v/>
      </c>
      <c r="K676" s="11">
        <f>IF(BANK_RAW!A676="","",IF(H676="CR","IN","OUT"))</f>
        <v/>
      </c>
      <c r="L676" s="11" t="inlineStr"/>
      <c r="M676" s="11" t="inlineStr"/>
    </row>
    <row r="677">
      <c r="A677" s="13">
        <f>IF(BANK_RAW!A677="","",ROW()-1)</f>
        <v/>
      </c>
      <c r="B677" s="10">
        <f>IF(BANK_RAW!A677="","",IF(ISNUMBER(BANK_RAW!A677),BANK_RAW!A677,DATEVALUE(TEXT(BANK_RAW!A677,"YYYY-MM-DD"))))</f>
        <v/>
      </c>
      <c r="C677" s="11">
        <f>IF(BANK_RAW!A677="","",TRIM(BANK_RAW!B677))</f>
        <v/>
      </c>
      <c r="D677" s="11">
        <f>IF(BANK_RAW!A677="","",TRIM(BANK_RAW!C677))</f>
        <v/>
      </c>
      <c r="E677" s="12">
        <f>IF(BANK_RAW!A677="","",IFERROR(ABS(BANK_RAW!D677),0))</f>
        <v/>
      </c>
      <c r="F677" s="12">
        <f>IF(BANK_RAW!A677="","",IFERROR(ABS(BANK_RAW!E677),0))</f>
        <v/>
      </c>
      <c r="G677" s="12">
        <f>IF(BANK_RAW!A677="","",IFERROR(BANK_RAW!F677,0))</f>
        <v/>
      </c>
      <c r="H677" s="11">
        <f>IF(BANK_RAW!A677="","",IF(E677&gt;0,"CR",IF(F677&gt;0,"DR","CR")))</f>
        <v/>
      </c>
      <c r="I677" s="12">
        <f>IF(BANK_RAW!A677="","",E677-F677)</f>
        <v/>
      </c>
      <c r="J677" s="12">
        <f>IF(BANK_RAW!A677="","",ABS(I677))</f>
        <v/>
      </c>
      <c r="K677" s="11">
        <f>IF(BANK_RAW!A677="","",IF(H677="CR","IN","OUT"))</f>
        <v/>
      </c>
      <c r="L677" s="11" t="inlineStr"/>
      <c r="M677" s="11" t="inlineStr"/>
    </row>
    <row r="678">
      <c r="A678" s="13">
        <f>IF(BANK_RAW!A678="","",ROW()-1)</f>
        <v/>
      </c>
      <c r="B678" s="10">
        <f>IF(BANK_RAW!A678="","",IF(ISNUMBER(BANK_RAW!A678),BANK_RAW!A678,DATEVALUE(TEXT(BANK_RAW!A678,"YYYY-MM-DD"))))</f>
        <v/>
      </c>
      <c r="C678" s="11">
        <f>IF(BANK_RAW!A678="","",TRIM(BANK_RAW!B678))</f>
        <v/>
      </c>
      <c r="D678" s="11">
        <f>IF(BANK_RAW!A678="","",TRIM(BANK_RAW!C678))</f>
        <v/>
      </c>
      <c r="E678" s="12">
        <f>IF(BANK_RAW!A678="","",IFERROR(ABS(BANK_RAW!D678),0))</f>
        <v/>
      </c>
      <c r="F678" s="12">
        <f>IF(BANK_RAW!A678="","",IFERROR(ABS(BANK_RAW!E678),0))</f>
        <v/>
      </c>
      <c r="G678" s="12">
        <f>IF(BANK_RAW!A678="","",IFERROR(BANK_RAW!F678,0))</f>
        <v/>
      </c>
      <c r="H678" s="11">
        <f>IF(BANK_RAW!A678="","",IF(E678&gt;0,"CR",IF(F678&gt;0,"DR","CR")))</f>
        <v/>
      </c>
      <c r="I678" s="12">
        <f>IF(BANK_RAW!A678="","",E678-F678)</f>
        <v/>
      </c>
      <c r="J678" s="12">
        <f>IF(BANK_RAW!A678="","",ABS(I678))</f>
        <v/>
      </c>
      <c r="K678" s="11">
        <f>IF(BANK_RAW!A678="","",IF(H678="CR","IN","OUT"))</f>
        <v/>
      </c>
      <c r="L678" s="11" t="inlineStr"/>
      <c r="M678" s="11" t="inlineStr"/>
    </row>
    <row r="679">
      <c r="A679" s="13">
        <f>IF(BANK_RAW!A679="","",ROW()-1)</f>
        <v/>
      </c>
      <c r="B679" s="10">
        <f>IF(BANK_RAW!A679="","",IF(ISNUMBER(BANK_RAW!A679),BANK_RAW!A679,DATEVALUE(TEXT(BANK_RAW!A679,"YYYY-MM-DD"))))</f>
        <v/>
      </c>
      <c r="C679" s="11">
        <f>IF(BANK_RAW!A679="","",TRIM(BANK_RAW!B679))</f>
        <v/>
      </c>
      <c r="D679" s="11">
        <f>IF(BANK_RAW!A679="","",TRIM(BANK_RAW!C679))</f>
        <v/>
      </c>
      <c r="E679" s="12">
        <f>IF(BANK_RAW!A679="","",IFERROR(ABS(BANK_RAW!D679),0))</f>
        <v/>
      </c>
      <c r="F679" s="12">
        <f>IF(BANK_RAW!A679="","",IFERROR(ABS(BANK_RAW!E679),0))</f>
        <v/>
      </c>
      <c r="G679" s="12">
        <f>IF(BANK_RAW!A679="","",IFERROR(BANK_RAW!F679,0))</f>
        <v/>
      </c>
      <c r="H679" s="11">
        <f>IF(BANK_RAW!A679="","",IF(E679&gt;0,"CR",IF(F679&gt;0,"DR","CR")))</f>
        <v/>
      </c>
      <c r="I679" s="12">
        <f>IF(BANK_RAW!A679="","",E679-F679)</f>
        <v/>
      </c>
      <c r="J679" s="12">
        <f>IF(BANK_RAW!A679="","",ABS(I679))</f>
        <v/>
      </c>
      <c r="K679" s="11">
        <f>IF(BANK_RAW!A679="","",IF(H679="CR","IN","OUT"))</f>
        <v/>
      </c>
      <c r="L679" s="11" t="inlineStr"/>
      <c r="M679" s="11" t="inlineStr"/>
    </row>
    <row r="680">
      <c r="A680" s="13">
        <f>IF(BANK_RAW!A680="","",ROW()-1)</f>
        <v/>
      </c>
      <c r="B680" s="10">
        <f>IF(BANK_RAW!A680="","",IF(ISNUMBER(BANK_RAW!A680),BANK_RAW!A680,DATEVALUE(TEXT(BANK_RAW!A680,"YYYY-MM-DD"))))</f>
        <v/>
      </c>
      <c r="C680" s="11">
        <f>IF(BANK_RAW!A680="","",TRIM(BANK_RAW!B680))</f>
        <v/>
      </c>
      <c r="D680" s="11">
        <f>IF(BANK_RAW!A680="","",TRIM(BANK_RAW!C680))</f>
        <v/>
      </c>
      <c r="E680" s="12">
        <f>IF(BANK_RAW!A680="","",IFERROR(ABS(BANK_RAW!D680),0))</f>
        <v/>
      </c>
      <c r="F680" s="12">
        <f>IF(BANK_RAW!A680="","",IFERROR(ABS(BANK_RAW!E680),0))</f>
        <v/>
      </c>
      <c r="G680" s="12">
        <f>IF(BANK_RAW!A680="","",IFERROR(BANK_RAW!F680,0))</f>
        <v/>
      </c>
      <c r="H680" s="11">
        <f>IF(BANK_RAW!A680="","",IF(E680&gt;0,"CR",IF(F680&gt;0,"DR","CR")))</f>
        <v/>
      </c>
      <c r="I680" s="12">
        <f>IF(BANK_RAW!A680="","",E680-F680)</f>
        <v/>
      </c>
      <c r="J680" s="12">
        <f>IF(BANK_RAW!A680="","",ABS(I680))</f>
        <v/>
      </c>
      <c r="K680" s="11">
        <f>IF(BANK_RAW!A680="","",IF(H680="CR","IN","OUT"))</f>
        <v/>
      </c>
      <c r="L680" s="11" t="inlineStr"/>
      <c r="M680" s="11" t="inlineStr"/>
    </row>
    <row r="681">
      <c r="A681" s="13">
        <f>IF(BANK_RAW!A681="","",ROW()-1)</f>
        <v/>
      </c>
      <c r="B681" s="10">
        <f>IF(BANK_RAW!A681="","",IF(ISNUMBER(BANK_RAW!A681),BANK_RAW!A681,DATEVALUE(TEXT(BANK_RAW!A681,"YYYY-MM-DD"))))</f>
        <v/>
      </c>
      <c r="C681" s="11">
        <f>IF(BANK_RAW!A681="","",TRIM(BANK_RAW!B681))</f>
        <v/>
      </c>
      <c r="D681" s="11">
        <f>IF(BANK_RAW!A681="","",TRIM(BANK_RAW!C681))</f>
        <v/>
      </c>
      <c r="E681" s="12">
        <f>IF(BANK_RAW!A681="","",IFERROR(ABS(BANK_RAW!D681),0))</f>
        <v/>
      </c>
      <c r="F681" s="12">
        <f>IF(BANK_RAW!A681="","",IFERROR(ABS(BANK_RAW!E681),0))</f>
        <v/>
      </c>
      <c r="G681" s="12">
        <f>IF(BANK_RAW!A681="","",IFERROR(BANK_RAW!F681,0))</f>
        <v/>
      </c>
      <c r="H681" s="11">
        <f>IF(BANK_RAW!A681="","",IF(E681&gt;0,"CR",IF(F681&gt;0,"DR","CR")))</f>
        <v/>
      </c>
      <c r="I681" s="12">
        <f>IF(BANK_RAW!A681="","",E681-F681)</f>
        <v/>
      </c>
      <c r="J681" s="12">
        <f>IF(BANK_RAW!A681="","",ABS(I681))</f>
        <v/>
      </c>
      <c r="K681" s="11">
        <f>IF(BANK_RAW!A681="","",IF(H681="CR","IN","OUT"))</f>
        <v/>
      </c>
      <c r="L681" s="11" t="inlineStr"/>
      <c r="M681" s="11" t="inlineStr"/>
    </row>
    <row r="682">
      <c r="A682" s="13">
        <f>IF(BANK_RAW!A682="","",ROW()-1)</f>
        <v/>
      </c>
      <c r="B682" s="10">
        <f>IF(BANK_RAW!A682="","",IF(ISNUMBER(BANK_RAW!A682),BANK_RAW!A682,DATEVALUE(TEXT(BANK_RAW!A682,"YYYY-MM-DD"))))</f>
        <v/>
      </c>
      <c r="C682" s="11">
        <f>IF(BANK_RAW!A682="","",TRIM(BANK_RAW!B682))</f>
        <v/>
      </c>
      <c r="D682" s="11">
        <f>IF(BANK_RAW!A682="","",TRIM(BANK_RAW!C682))</f>
        <v/>
      </c>
      <c r="E682" s="12">
        <f>IF(BANK_RAW!A682="","",IFERROR(ABS(BANK_RAW!D682),0))</f>
        <v/>
      </c>
      <c r="F682" s="12">
        <f>IF(BANK_RAW!A682="","",IFERROR(ABS(BANK_RAW!E682),0))</f>
        <v/>
      </c>
      <c r="G682" s="12">
        <f>IF(BANK_RAW!A682="","",IFERROR(BANK_RAW!F682,0))</f>
        <v/>
      </c>
      <c r="H682" s="11">
        <f>IF(BANK_RAW!A682="","",IF(E682&gt;0,"CR",IF(F682&gt;0,"DR","CR")))</f>
        <v/>
      </c>
      <c r="I682" s="12">
        <f>IF(BANK_RAW!A682="","",E682-F682)</f>
        <v/>
      </c>
      <c r="J682" s="12">
        <f>IF(BANK_RAW!A682="","",ABS(I682))</f>
        <v/>
      </c>
      <c r="K682" s="11">
        <f>IF(BANK_RAW!A682="","",IF(H682="CR","IN","OUT"))</f>
        <v/>
      </c>
      <c r="L682" s="11" t="inlineStr"/>
      <c r="M682" s="11" t="inlineStr"/>
    </row>
    <row r="683">
      <c r="A683" s="13">
        <f>IF(BANK_RAW!A683="","",ROW()-1)</f>
        <v/>
      </c>
      <c r="B683" s="10">
        <f>IF(BANK_RAW!A683="","",IF(ISNUMBER(BANK_RAW!A683),BANK_RAW!A683,DATEVALUE(TEXT(BANK_RAW!A683,"YYYY-MM-DD"))))</f>
        <v/>
      </c>
      <c r="C683" s="11">
        <f>IF(BANK_RAW!A683="","",TRIM(BANK_RAW!B683))</f>
        <v/>
      </c>
      <c r="D683" s="11">
        <f>IF(BANK_RAW!A683="","",TRIM(BANK_RAW!C683))</f>
        <v/>
      </c>
      <c r="E683" s="12">
        <f>IF(BANK_RAW!A683="","",IFERROR(ABS(BANK_RAW!D683),0))</f>
        <v/>
      </c>
      <c r="F683" s="12">
        <f>IF(BANK_RAW!A683="","",IFERROR(ABS(BANK_RAW!E683),0))</f>
        <v/>
      </c>
      <c r="G683" s="12">
        <f>IF(BANK_RAW!A683="","",IFERROR(BANK_RAW!F683,0))</f>
        <v/>
      </c>
      <c r="H683" s="11">
        <f>IF(BANK_RAW!A683="","",IF(E683&gt;0,"CR",IF(F683&gt;0,"DR","CR")))</f>
        <v/>
      </c>
      <c r="I683" s="12">
        <f>IF(BANK_RAW!A683="","",E683-F683)</f>
        <v/>
      </c>
      <c r="J683" s="12">
        <f>IF(BANK_RAW!A683="","",ABS(I683))</f>
        <v/>
      </c>
      <c r="K683" s="11">
        <f>IF(BANK_RAW!A683="","",IF(H683="CR","IN","OUT"))</f>
        <v/>
      </c>
      <c r="L683" s="11" t="inlineStr"/>
      <c r="M683" s="11" t="inlineStr"/>
    </row>
    <row r="684">
      <c r="A684" s="13">
        <f>IF(BANK_RAW!A684="","",ROW()-1)</f>
        <v/>
      </c>
      <c r="B684" s="10">
        <f>IF(BANK_RAW!A684="","",IF(ISNUMBER(BANK_RAW!A684),BANK_RAW!A684,DATEVALUE(TEXT(BANK_RAW!A684,"YYYY-MM-DD"))))</f>
        <v/>
      </c>
      <c r="C684" s="11">
        <f>IF(BANK_RAW!A684="","",TRIM(BANK_RAW!B684))</f>
        <v/>
      </c>
      <c r="D684" s="11">
        <f>IF(BANK_RAW!A684="","",TRIM(BANK_RAW!C684))</f>
        <v/>
      </c>
      <c r="E684" s="12">
        <f>IF(BANK_RAW!A684="","",IFERROR(ABS(BANK_RAW!D684),0))</f>
        <v/>
      </c>
      <c r="F684" s="12">
        <f>IF(BANK_RAW!A684="","",IFERROR(ABS(BANK_RAW!E684),0))</f>
        <v/>
      </c>
      <c r="G684" s="12">
        <f>IF(BANK_RAW!A684="","",IFERROR(BANK_RAW!F684,0))</f>
        <v/>
      </c>
      <c r="H684" s="11">
        <f>IF(BANK_RAW!A684="","",IF(E684&gt;0,"CR",IF(F684&gt;0,"DR","CR")))</f>
        <v/>
      </c>
      <c r="I684" s="12">
        <f>IF(BANK_RAW!A684="","",E684-F684)</f>
        <v/>
      </c>
      <c r="J684" s="12">
        <f>IF(BANK_RAW!A684="","",ABS(I684))</f>
        <v/>
      </c>
      <c r="K684" s="11">
        <f>IF(BANK_RAW!A684="","",IF(H684="CR","IN","OUT"))</f>
        <v/>
      </c>
      <c r="L684" s="11" t="inlineStr"/>
      <c r="M684" s="11" t="inlineStr"/>
    </row>
    <row r="685">
      <c r="A685" s="13">
        <f>IF(BANK_RAW!A685="","",ROW()-1)</f>
        <v/>
      </c>
      <c r="B685" s="10">
        <f>IF(BANK_RAW!A685="","",IF(ISNUMBER(BANK_RAW!A685),BANK_RAW!A685,DATEVALUE(TEXT(BANK_RAW!A685,"YYYY-MM-DD"))))</f>
        <v/>
      </c>
      <c r="C685" s="11">
        <f>IF(BANK_RAW!A685="","",TRIM(BANK_RAW!B685))</f>
        <v/>
      </c>
      <c r="D685" s="11">
        <f>IF(BANK_RAW!A685="","",TRIM(BANK_RAW!C685))</f>
        <v/>
      </c>
      <c r="E685" s="12">
        <f>IF(BANK_RAW!A685="","",IFERROR(ABS(BANK_RAW!D685),0))</f>
        <v/>
      </c>
      <c r="F685" s="12">
        <f>IF(BANK_RAW!A685="","",IFERROR(ABS(BANK_RAW!E685),0))</f>
        <v/>
      </c>
      <c r="G685" s="12">
        <f>IF(BANK_RAW!A685="","",IFERROR(BANK_RAW!F685,0))</f>
        <v/>
      </c>
      <c r="H685" s="11">
        <f>IF(BANK_RAW!A685="","",IF(E685&gt;0,"CR",IF(F685&gt;0,"DR","CR")))</f>
        <v/>
      </c>
      <c r="I685" s="12">
        <f>IF(BANK_RAW!A685="","",E685-F685)</f>
        <v/>
      </c>
      <c r="J685" s="12">
        <f>IF(BANK_RAW!A685="","",ABS(I685))</f>
        <v/>
      </c>
      <c r="K685" s="11">
        <f>IF(BANK_RAW!A685="","",IF(H685="CR","IN","OUT"))</f>
        <v/>
      </c>
      <c r="L685" s="11" t="inlineStr"/>
      <c r="M685" s="11" t="inlineStr"/>
    </row>
    <row r="686">
      <c r="A686" s="13">
        <f>IF(BANK_RAW!A686="","",ROW()-1)</f>
        <v/>
      </c>
      <c r="B686" s="10">
        <f>IF(BANK_RAW!A686="","",IF(ISNUMBER(BANK_RAW!A686),BANK_RAW!A686,DATEVALUE(TEXT(BANK_RAW!A686,"YYYY-MM-DD"))))</f>
        <v/>
      </c>
      <c r="C686" s="11">
        <f>IF(BANK_RAW!A686="","",TRIM(BANK_RAW!B686))</f>
        <v/>
      </c>
      <c r="D686" s="11">
        <f>IF(BANK_RAW!A686="","",TRIM(BANK_RAW!C686))</f>
        <v/>
      </c>
      <c r="E686" s="12">
        <f>IF(BANK_RAW!A686="","",IFERROR(ABS(BANK_RAW!D686),0))</f>
        <v/>
      </c>
      <c r="F686" s="12">
        <f>IF(BANK_RAW!A686="","",IFERROR(ABS(BANK_RAW!E686),0))</f>
        <v/>
      </c>
      <c r="G686" s="12">
        <f>IF(BANK_RAW!A686="","",IFERROR(BANK_RAW!F686,0))</f>
        <v/>
      </c>
      <c r="H686" s="11">
        <f>IF(BANK_RAW!A686="","",IF(E686&gt;0,"CR",IF(F686&gt;0,"DR","CR")))</f>
        <v/>
      </c>
      <c r="I686" s="12">
        <f>IF(BANK_RAW!A686="","",E686-F686)</f>
        <v/>
      </c>
      <c r="J686" s="12">
        <f>IF(BANK_RAW!A686="","",ABS(I686))</f>
        <v/>
      </c>
      <c r="K686" s="11">
        <f>IF(BANK_RAW!A686="","",IF(H686="CR","IN","OUT"))</f>
        <v/>
      </c>
      <c r="L686" s="11" t="inlineStr"/>
      <c r="M686" s="11" t="inlineStr"/>
    </row>
    <row r="687">
      <c r="A687" s="13">
        <f>IF(BANK_RAW!A687="","",ROW()-1)</f>
        <v/>
      </c>
      <c r="B687" s="10">
        <f>IF(BANK_RAW!A687="","",IF(ISNUMBER(BANK_RAW!A687),BANK_RAW!A687,DATEVALUE(TEXT(BANK_RAW!A687,"YYYY-MM-DD"))))</f>
        <v/>
      </c>
      <c r="C687" s="11">
        <f>IF(BANK_RAW!A687="","",TRIM(BANK_RAW!B687))</f>
        <v/>
      </c>
      <c r="D687" s="11">
        <f>IF(BANK_RAW!A687="","",TRIM(BANK_RAW!C687))</f>
        <v/>
      </c>
      <c r="E687" s="12">
        <f>IF(BANK_RAW!A687="","",IFERROR(ABS(BANK_RAW!D687),0))</f>
        <v/>
      </c>
      <c r="F687" s="12">
        <f>IF(BANK_RAW!A687="","",IFERROR(ABS(BANK_RAW!E687),0))</f>
        <v/>
      </c>
      <c r="G687" s="12">
        <f>IF(BANK_RAW!A687="","",IFERROR(BANK_RAW!F687,0))</f>
        <v/>
      </c>
      <c r="H687" s="11">
        <f>IF(BANK_RAW!A687="","",IF(E687&gt;0,"CR",IF(F687&gt;0,"DR","CR")))</f>
        <v/>
      </c>
      <c r="I687" s="12">
        <f>IF(BANK_RAW!A687="","",E687-F687)</f>
        <v/>
      </c>
      <c r="J687" s="12">
        <f>IF(BANK_RAW!A687="","",ABS(I687))</f>
        <v/>
      </c>
      <c r="K687" s="11">
        <f>IF(BANK_RAW!A687="","",IF(H687="CR","IN","OUT"))</f>
        <v/>
      </c>
      <c r="L687" s="11" t="inlineStr"/>
      <c r="M687" s="11" t="inlineStr"/>
    </row>
    <row r="688">
      <c r="A688" s="13">
        <f>IF(BANK_RAW!A688="","",ROW()-1)</f>
        <v/>
      </c>
      <c r="B688" s="10">
        <f>IF(BANK_RAW!A688="","",IF(ISNUMBER(BANK_RAW!A688),BANK_RAW!A688,DATEVALUE(TEXT(BANK_RAW!A688,"YYYY-MM-DD"))))</f>
        <v/>
      </c>
      <c r="C688" s="11">
        <f>IF(BANK_RAW!A688="","",TRIM(BANK_RAW!B688))</f>
        <v/>
      </c>
      <c r="D688" s="11">
        <f>IF(BANK_RAW!A688="","",TRIM(BANK_RAW!C688))</f>
        <v/>
      </c>
      <c r="E688" s="12">
        <f>IF(BANK_RAW!A688="","",IFERROR(ABS(BANK_RAW!D688),0))</f>
        <v/>
      </c>
      <c r="F688" s="12">
        <f>IF(BANK_RAW!A688="","",IFERROR(ABS(BANK_RAW!E688),0))</f>
        <v/>
      </c>
      <c r="G688" s="12">
        <f>IF(BANK_RAW!A688="","",IFERROR(BANK_RAW!F688,0))</f>
        <v/>
      </c>
      <c r="H688" s="11">
        <f>IF(BANK_RAW!A688="","",IF(E688&gt;0,"CR",IF(F688&gt;0,"DR","CR")))</f>
        <v/>
      </c>
      <c r="I688" s="12">
        <f>IF(BANK_RAW!A688="","",E688-F688)</f>
        <v/>
      </c>
      <c r="J688" s="12">
        <f>IF(BANK_RAW!A688="","",ABS(I688))</f>
        <v/>
      </c>
      <c r="K688" s="11">
        <f>IF(BANK_RAW!A688="","",IF(H688="CR","IN","OUT"))</f>
        <v/>
      </c>
      <c r="L688" s="11" t="inlineStr"/>
      <c r="M688" s="11" t="inlineStr"/>
    </row>
    <row r="689">
      <c r="A689" s="13">
        <f>IF(BANK_RAW!A689="","",ROW()-1)</f>
        <v/>
      </c>
      <c r="B689" s="10">
        <f>IF(BANK_RAW!A689="","",IF(ISNUMBER(BANK_RAW!A689),BANK_RAW!A689,DATEVALUE(TEXT(BANK_RAW!A689,"YYYY-MM-DD"))))</f>
        <v/>
      </c>
      <c r="C689" s="11">
        <f>IF(BANK_RAW!A689="","",TRIM(BANK_RAW!B689))</f>
        <v/>
      </c>
      <c r="D689" s="11">
        <f>IF(BANK_RAW!A689="","",TRIM(BANK_RAW!C689))</f>
        <v/>
      </c>
      <c r="E689" s="12">
        <f>IF(BANK_RAW!A689="","",IFERROR(ABS(BANK_RAW!D689),0))</f>
        <v/>
      </c>
      <c r="F689" s="12">
        <f>IF(BANK_RAW!A689="","",IFERROR(ABS(BANK_RAW!E689),0))</f>
        <v/>
      </c>
      <c r="G689" s="12">
        <f>IF(BANK_RAW!A689="","",IFERROR(BANK_RAW!F689,0))</f>
        <v/>
      </c>
      <c r="H689" s="11">
        <f>IF(BANK_RAW!A689="","",IF(E689&gt;0,"CR",IF(F689&gt;0,"DR","CR")))</f>
        <v/>
      </c>
      <c r="I689" s="12">
        <f>IF(BANK_RAW!A689="","",E689-F689)</f>
        <v/>
      </c>
      <c r="J689" s="12">
        <f>IF(BANK_RAW!A689="","",ABS(I689))</f>
        <v/>
      </c>
      <c r="K689" s="11">
        <f>IF(BANK_RAW!A689="","",IF(H689="CR","IN","OUT"))</f>
        <v/>
      </c>
      <c r="L689" s="11" t="inlineStr"/>
      <c r="M689" s="11" t="inlineStr"/>
    </row>
    <row r="690">
      <c r="A690" s="13">
        <f>IF(BANK_RAW!A690="","",ROW()-1)</f>
        <v/>
      </c>
      <c r="B690" s="10">
        <f>IF(BANK_RAW!A690="","",IF(ISNUMBER(BANK_RAW!A690),BANK_RAW!A690,DATEVALUE(TEXT(BANK_RAW!A690,"YYYY-MM-DD"))))</f>
        <v/>
      </c>
      <c r="C690" s="11">
        <f>IF(BANK_RAW!A690="","",TRIM(BANK_RAW!B690))</f>
        <v/>
      </c>
      <c r="D690" s="11">
        <f>IF(BANK_RAW!A690="","",TRIM(BANK_RAW!C690))</f>
        <v/>
      </c>
      <c r="E690" s="12">
        <f>IF(BANK_RAW!A690="","",IFERROR(ABS(BANK_RAW!D690),0))</f>
        <v/>
      </c>
      <c r="F690" s="12">
        <f>IF(BANK_RAW!A690="","",IFERROR(ABS(BANK_RAW!E690),0))</f>
        <v/>
      </c>
      <c r="G690" s="12">
        <f>IF(BANK_RAW!A690="","",IFERROR(BANK_RAW!F690,0))</f>
        <v/>
      </c>
      <c r="H690" s="11">
        <f>IF(BANK_RAW!A690="","",IF(E690&gt;0,"CR",IF(F690&gt;0,"DR","CR")))</f>
        <v/>
      </c>
      <c r="I690" s="12">
        <f>IF(BANK_RAW!A690="","",E690-F690)</f>
        <v/>
      </c>
      <c r="J690" s="12">
        <f>IF(BANK_RAW!A690="","",ABS(I690))</f>
        <v/>
      </c>
      <c r="K690" s="11">
        <f>IF(BANK_RAW!A690="","",IF(H690="CR","IN","OUT"))</f>
        <v/>
      </c>
      <c r="L690" s="11" t="inlineStr"/>
      <c r="M690" s="11" t="inlineStr"/>
    </row>
    <row r="691">
      <c r="A691" s="13">
        <f>IF(BANK_RAW!A691="","",ROW()-1)</f>
        <v/>
      </c>
      <c r="B691" s="10">
        <f>IF(BANK_RAW!A691="","",IF(ISNUMBER(BANK_RAW!A691),BANK_RAW!A691,DATEVALUE(TEXT(BANK_RAW!A691,"YYYY-MM-DD"))))</f>
        <v/>
      </c>
      <c r="C691" s="11">
        <f>IF(BANK_RAW!A691="","",TRIM(BANK_RAW!B691))</f>
        <v/>
      </c>
      <c r="D691" s="11">
        <f>IF(BANK_RAW!A691="","",TRIM(BANK_RAW!C691))</f>
        <v/>
      </c>
      <c r="E691" s="12">
        <f>IF(BANK_RAW!A691="","",IFERROR(ABS(BANK_RAW!D691),0))</f>
        <v/>
      </c>
      <c r="F691" s="12">
        <f>IF(BANK_RAW!A691="","",IFERROR(ABS(BANK_RAW!E691),0))</f>
        <v/>
      </c>
      <c r="G691" s="12">
        <f>IF(BANK_RAW!A691="","",IFERROR(BANK_RAW!F691,0))</f>
        <v/>
      </c>
      <c r="H691" s="11">
        <f>IF(BANK_RAW!A691="","",IF(E691&gt;0,"CR",IF(F691&gt;0,"DR","CR")))</f>
        <v/>
      </c>
      <c r="I691" s="12">
        <f>IF(BANK_RAW!A691="","",E691-F691)</f>
        <v/>
      </c>
      <c r="J691" s="12">
        <f>IF(BANK_RAW!A691="","",ABS(I691))</f>
        <v/>
      </c>
      <c r="K691" s="11">
        <f>IF(BANK_RAW!A691="","",IF(H691="CR","IN","OUT"))</f>
        <v/>
      </c>
      <c r="L691" s="11" t="inlineStr"/>
      <c r="M691" s="11" t="inlineStr"/>
    </row>
    <row r="692">
      <c r="A692" s="13">
        <f>IF(BANK_RAW!A692="","",ROW()-1)</f>
        <v/>
      </c>
      <c r="B692" s="10">
        <f>IF(BANK_RAW!A692="","",IF(ISNUMBER(BANK_RAW!A692),BANK_RAW!A692,DATEVALUE(TEXT(BANK_RAW!A692,"YYYY-MM-DD"))))</f>
        <v/>
      </c>
      <c r="C692" s="11">
        <f>IF(BANK_RAW!A692="","",TRIM(BANK_RAW!B692))</f>
        <v/>
      </c>
      <c r="D692" s="11">
        <f>IF(BANK_RAW!A692="","",TRIM(BANK_RAW!C692))</f>
        <v/>
      </c>
      <c r="E692" s="12">
        <f>IF(BANK_RAW!A692="","",IFERROR(ABS(BANK_RAW!D692),0))</f>
        <v/>
      </c>
      <c r="F692" s="12">
        <f>IF(BANK_RAW!A692="","",IFERROR(ABS(BANK_RAW!E692),0))</f>
        <v/>
      </c>
      <c r="G692" s="12">
        <f>IF(BANK_RAW!A692="","",IFERROR(BANK_RAW!F692,0))</f>
        <v/>
      </c>
      <c r="H692" s="11">
        <f>IF(BANK_RAW!A692="","",IF(E692&gt;0,"CR",IF(F692&gt;0,"DR","CR")))</f>
        <v/>
      </c>
      <c r="I692" s="12">
        <f>IF(BANK_RAW!A692="","",E692-F692)</f>
        <v/>
      </c>
      <c r="J692" s="12">
        <f>IF(BANK_RAW!A692="","",ABS(I692))</f>
        <v/>
      </c>
      <c r="K692" s="11">
        <f>IF(BANK_RAW!A692="","",IF(H692="CR","IN","OUT"))</f>
        <v/>
      </c>
      <c r="L692" s="11" t="inlineStr"/>
      <c r="M692" s="11" t="inlineStr"/>
    </row>
    <row r="693">
      <c r="A693" s="13">
        <f>IF(BANK_RAW!A693="","",ROW()-1)</f>
        <v/>
      </c>
      <c r="B693" s="10">
        <f>IF(BANK_RAW!A693="","",IF(ISNUMBER(BANK_RAW!A693),BANK_RAW!A693,DATEVALUE(TEXT(BANK_RAW!A693,"YYYY-MM-DD"))))</f>
        <v/>
      </c>
      <c r="C693" s="11">
        <f>IF(BANK_RAW!A693="","",TRIM(BANK_RAW!B693))</f>
        <v/>
      </c>
      <c r="D693" s="11">
        <f>IF(BANK_RAW!A693="","",TRIM(BANK_RAW!C693))</f>
        <v/>
      </c>
      <c r="E693" s="12">
        <f>IF(BANK_RAW!A693="","",IFERROR(ABS(BANK_RAW!D693),0))</f>
        <v/>
      </c>
      <c r="F693" s="12">
        <f>IF(BANK_RAW!A693="","",IFERROR(ABS(BANK_RAW!E693),0))</f>
        <v/>
      </c>
      <c r="G693" s="12">
        <f>IF(BANK_RAW!A693="","",IFERROR(BANK_RAW!F693,0))</f>
        <v/>
      </c>
      <c r="H693" s="11">
        <f>IF(BANK_RAW!A693="","",IF(E693&gt;0,"CR",IF(F693&gt;0,"DR","CR")))</f>
        <v/>
      </c>
      <c r="I693" s="12">
        <f>IF(BANK_RAW!A693="","",E693-F693)</f>
        <v/>
      </c>
      <c r="J693" s="12">
        <f>IF(BANK_RAW!A693="","",ABS(I693))</f>
        <v/>
      </c>
      <c r="K693" s="11">
        <f>IF(BANK_RAW!A693="","",IF(H693="CR","IN","OUT"))</f>
        <v/>
      </c>
      <c r="L693" s="11" t="inlineStr"/>
      <c r="M693" s="11" t="inlineStr"/>
    </row>
    <row r="694">
      <c r="A694" s="13">
        <f>IF(BANK_RAW!A694="","",ROW()-1)</f>
        <v/>
      </c>
      <c r="B694" s="10">
        <f>IF(BANK_RAW!A694="","",IF(ISNUMBER(BANK_RAW!A694),BANK_RAW!A694,DATEVALUE(TEXT(BANK_RAW!A694,"YYYY-MM-DD"))))</f>
        <v/>
      </c>
      <c r="C694" s="11">
        <f>IF(BANK_RAW!A694="","",TRIM(BANK_RAW!B694))</f>
        <v/>
      </c>
      <c r="D694" s="11">
        <f>IF(BANK_RAW!A694="","",TRIM(BANK_RAW!C694))</f>
        <v/>
      </c>
      <c r="E694" s="12">
        <f>IF(BANK_RAW!A694="","",IFERROR(ABS(BANK_RAW!D694),0))</f>
        <v/>
      </c>
      <c r="F694" s="12">
        <f>IF(BANK_RAW!A694="","",IFERROR(ABS(BANK_RAW!E694),0))</f>
        <v/>
      </c>
      <c r="G694" s="12">
        <f>IF(BANK_RAW!A694="","",IFERROR(BANK_RAW!F694,0))</f>
        <v/>
      </c>
      <c r="H694" s="11">
        <f>IF(BANK_RAW!A694="","",IF(E694&gt;0,"CR",IF(F694&gt;0,"DR","CR")))</f>
        <v/>
      </c>
      <c r="I694" s="12">
        <f>IF(BANK_RAW!A694="","",E694-F694)</f>
        <v/>
      </c>
      <c r="J694" s="12">
        <f>IF(BANK_RAW!A694="","",ABS(I694))</f>
        <v/>
      </c>
      <c r="K694" s="11">
        <f>IF(BANK_RAW!A694="","",IF(H694="CR","IN","OUT"))</f>
        <v/>
      </c>
      <c r="L694" s="11" t="inlineStr"/>
      <c r="M694" s="11" t="inlineStr"/>
    </row>
    <row r="695">
      <c r="A695" s="13">
        <f>IF(BANK_RAW!A695="","",ROW()-1)</f>
        <v/>
      </c>
      <c r="B695" s="10">
        <f>IF(BANK_RAW!A695="","",IF(ISNUMBER(BANK_RAW!A695),BANK_RAW!A695,DATEVALUE(TEXT(BANK_RAW!A695,"YYYY-MM-DD"))))</f>
        <v/>
      </c>
      <c r="C695" s="11">
        <f>IF(BANK_RAW!A695="","",TRIM(BANK_RAW!B695))</f>
        <v/>
      </c>
      <c r="D695" s="11">
        <f>IF(BANK_RAW!A695="","",TRIM(BANK_RAW!C695))</f>
        <v/>
      </c>
      <c r="E695" s="12">
        <f>IF(BANK_RAW!A695="","",IFERROR(ABS(BANK_RAW!D695),0))</f>
        <v/>
      </c>
      <c r="F695" s="12">
        <f>IF(BANK_RAW!A695="","",IFERROR(ABS(BANK_RAW!E695),0))</f>
        <v/>
      </c>
      <c r="G695" s="12">
        <f>IF(BANK_RAW!A695="","",IFERROR(BANK_RAW!F695,0))</f>
        <v/>
      </c>
      <c r="H695" s="11">
        <f>IF(BANK_RAW!A695="","",IF(E695&gt;0,"CR",IF(F695&gt;0,"DR","CR")))</f>
        <v/>
      </c>
      <c r="I695" s="12">
        <f>IF(BANK_RAW!A695="","",E695-F695)</f>
        <v/>
      </c>
      <c r="J695" s="12">
        <f>IF(BANK_RAW!A695="","",ABS(I695))</f>
        <v/>
      </c>
      <c r="K695" s="11">
        <f>IF(BANK_RAW!A695="","",IF(H695="CR","IN","OUT"))</f>
        <v/>
      </c>
      <c r="L695" s="11" t="inlineStr"/>
      <c r="M695" s="11" t="inlineStr"/>
    </row>
    <row r="696">
      <c r="A696" s="13">
        <f>IF(BANK_RAW!A696="","",ROW()-1)</f>
        <v/>
      </c>
      <c r="B696" s="10">
        <f>IF(BANK_RAW!A696="","",IF(ISNUMBER(BANK_RAW!A696),BANK_RAW!A696,DATEVALUE(TEXT(BANK_RAW!A696,"YYYY-MM-DD"))))</f>
        <v/>
      </c>
      <c r="C696" s="11">
        <f>IF(BANK_RAW!A696="","",TRIM(BANK_RAW!B696))</f>
        <v/>
      </c>
      <c r="D696" s="11">
        <f>IF(BANK_RAW!A696="","",TRIM(BANK_RAW!C696))</f>
        <v/>
      </c>
      <c r="E696" s="12">
        <f>IF(BANK_RAW!A696="","",IFERROR(ABS(BANK_RAW!D696),0))</f>
        <v/>
      </c>
      <c r="F696" s="12">
        <f>IF(BANK_RAW!A696="","",IFERROR(ABS(BANK_RAW!E696),0))</f>
        <v/>
      </c>
      <c r="G696" s="12">
        <f>IF(BANK_RAW!A696="","",IFERROR(BANK_RAW!F696,0))</f>
        <v/>
      </c>
      <c r="H696" s="11">
        <f>IF(BANK_RAW!A696="","",IF(E696&gt;0,"CR",IF(F696&gt;0,"DR","CR")))</f>
        <v/>
      </c>
      <c r="I696" s="12">
        <f>IF(BANK_RAW!A696="","",E696-F696)</f>
        <v/>
      </c>
      <c r="J696" s="12">
        <f>IF(BANK_RAW!A696="","",ABS(I696))</f>
        <v/>
      </c>
      <c r="K696" s="11">
        <f>IF(BANK_RAW!A696="","",IF(H696="CR","IN","OUT"))</f>
        <v/>
      </c>
      <c r="L696" s="11" t="inlineStr"/>
      <c r="M696" s="11" t="inlineStr"/>
    </row>
    <row r="697">
      <c r="A697" s="13">
        <f>IF(BANK_RAW!A697="","",ROW()-1)</f>
        <v/>
      </c>
      <c r="B697" s="10">
        <f>IF(BANK_RAW!A697="","",IF(ISNUMBER(BANK_RAW!A697),BANK_RAW!A697,DATEVALUE(TEXT(BANK_RAW!A697,"YYYY-MM-DD"))))</f>
        <v/>
      </c>
      <c r="C697" s="11">
        <f>IF(BANK_RAW!A697="","",TRIM(BANK_RAW!B697))</f>
        <v/>
      </c>
      <c r="D697" s="11">
        <f>IF(BANK_RAW!A697="","",TRIM(BANK_RAW!C697))</f>
        <v/>
      </c>
      <c r="E697" s="12">
        <f>IF(BANK_RAW!A697="","",IFERROR(ABS(BANK_RAW!D697),0))</f>
        <v/>
      </c>
      <c r="F697" s="12">
        <f>IF(BANK_RAW!A697="","",IFERROR(ABS(BANK_RAW!E697),0))</f>
        <v/>
      </c>
      <c r="G697" s="12">
        <f>IF(BANK_RAW!A697="","",IFERROR(BANK_RAW!F697,0))</f>
        <v/>
      </c>
      <c r="H697" s="11">
        <f>IF(BANK_RAW!A697="","",IF(E697&gt;0,"CR",IF(F697&gt;0,"DR","CR")))</f>
        <v/>
      </c>
      <c r="I697" s="12">
        <f>IF(BANK_RAW!A697="","",E697-F697)</f>
        <v/>
      </c>
      <c r="J697" s="12">
        <f>IF(BANK_RAW!A697="","",ABS(I697))</f>
        <v/>
      </c>
      <c r="K697" s="11">
        <f>IF(BANK_RAW!A697="","",IF(H697="CR","IN","OUT"))</f>
        <v/>
      </c>
      <c r="L697" s="11" t="inlineStr"/>
      <c r="M697" s="11" t="inlineStr"/>
    </row>
    <row r="698">
      <c r="A698" s="13">
        <f>IF(BANK_RAW!A698="","",ROW()-1)</f>
        <v/>
      </c>
      <c r="B698" s="10">
        <f>IF(BANK_RAW!A698="","",IF(ISNUMBER(BANK_RAW!A698),BANK_RAW!A698,DATEVALUE(TEXT(BANK_RAW!A698,"YYYY-MM-DD"))))</f>
        <v/>
      </c>
      <c r="C698" s="11">
        <f>IF(BANK_RAW!A698="","",TRIM(BANK_RAW!B698))</f>
        <v/>
      </c>
      <c r="D698" s="11">
        <f>IF(BANK_RAW!A698="","",TRIM(BANK_RAW!C698))</f>
        <v/>
      </c>
      <c r="E698" s="12">
        <f>IF(BANK_RAW!A698="","",IFERROR(ABS(BANK_RAW!D698),0))</f>
        <v/>
      </c>
      <c r="F698" s="12">
        <f>IF(BANK_RAW!A698="","",IFERROR(ABS(BANK_RAW!E698),0))</f>
        <v/>
      </c>
      <c r="G698" s="12">
        <f>IF(BANK_RAW!A698="","",IFERROR(BANK_RAW!F698,0))</f>
        <v/>
      </c>
      <c r="H698" s="11">
        <f>IF(BANK_RAW!A698="","",IF(E698&gt;0,"CR",IF(F698&gt;0,"DR","CR")))</f>
        <v/>
      </c>
      <c r="I698" s="12">
        <f>IF(BANK_RAW!A698="","",E698-F698)</f>
        <v/>
      </c>
      <c r="J698" s="12">
        <f>IF(BANK_RAW!A698="","",ABS(I698))</f>
        <v/>
      </c>
      <c r="K698" s="11">
        <f>IF(BANK_RAW!A698="","",IF(H698="CR","IN","OUT"))</f>
        <v/>
      </c>
      <c r="L698" s="11" t="inlineStr"/>
      <c r="M698" s="11" t="inlineStr"/>
    </row>
    <row r="699">
      <c r="A699" s="13">
        <f>IF(BANK_RAW!A699="","",ROW()-1)</f>
        <v/>
      </c>
      <c r="B699" s="10">
        <f>IF(BANK_RAW!A699="","",IF(ISNUMBER(BANK_RAW!A699),BANK_RAW!A699,DATEVALUE(TEXT(BANK_RAW!A699,"YYYY-MM-DD"))))</f>
        <v/>
      </c>
      <c r="C699" s="11">
        <f>IF(BANK_RAW!A699="","",TRIM(BANK_RAW!B699))</f>
        <v/>
      </c>
      <c r="D699" s="11">
        <f>IF(BANK_RAW!A699="","",TRIM(BANK_RAW!C699))</f>
        <v/>
      </c>
      <c r="E699" s="12">
        <f>IF(BANK_RAW!A699="","",IFERROR(ABS(BANK_RAW!D699),0))</f>
        <v/>
      </c>
      <c r="F699" s="12">
        <f>IF(BANK_RAW!A699="","",IFERROR(ABS(BANK_RAW!E699),0))</f>
        <v/>
      </c>
      <c r="G699" s="12">
        <f>IF(BANK_RAW!A699="","",IFERROR(BANK_RAW!F699,0))</f>
        <v/>
      </c>
      <c r="H699" s="11">
        <f>IF(BANK_RAW!A699="","",IF(E699&gt;0,"CR",IF(F699&gt;0,"DR","CR")))</f>
        <v/>
      </c>
      <c r="I699" s="12">
        <f>IF(BANK_RAW!A699="","",E699-F699)</f>
        <v/>
      </c>
      <c r="J699" s="12">
        <f>IF(BANK_RAW!A699="","",ABS(I699))</f>
        <v/>
      </c>
      <c r="K699" s="11">
        <f>IF(BANK_RAW!A699="","",IF(H699="CR","IN","OUT"))</f>
        <v/>
      </c>
      <c r="L699" s="11" t="inlineStr"/>
      <c r="M699" s="11" t="inlineStr"/>
    </row>
    <row r="700">
      <c r="A700" s="13">
        <f>IF(BANK_RAW!A700="","",ROW()-1)</f>
        <v/>
      </c>
      <c r="B700" s="10">
        <f>IF(BANK_RAW!A700="","",IF(ISNUMBER(BANK_RAW!A700),BANK_RAW!A700,DATEVALUE(TEXT(BANK_RAW!A700,"YYYY-MM-DD"))))</f>
        <v/>
      </c>
      <c r="C700" s="11">
        <f>IF(BANK_RAW!A700="","",TRIM(BANK_RAW!B700))</f>
        <v/>
      </c>
      <c r="D700" s="11">
        <f>IF(BANK_RAW!A700="","",TRIM(BANK_RAW!C700))</f>
        <v/>
      </c>
      <c r="E700" s="12">
        <f>IF(BANK_RAW!A700="","",IFERROR(ABS(BANK_RAW!D700),0))</f>
        <v/>
      </c>
      <c r="F700" s="12">
        <f>IF(BANK_RAW!A700="","",IFERROR(ABS(BANK_RAW!E700),0))</f>
        <v/>
      </c>
      <c r="G700" s="12">
        <f>IF(BANK_RAW!A700="","",IFERROR(BANK_RAW!F700,0))</f>
        <v/>
      </c>
      <c r="H700" s="11">
        <f>IF(BANK_RAW!A700="","",IF(E700&gt;0,"CR",IF(F700&gt;0,"DR","CR")))</f>
        <v/>
      </c>
      <c r="I700" s="12">
        <f>IF(BANK_RAW!A700="","",E700-F700)</f>
        <v/>
      </c>
      <c r="J700" s="12">
        <f>IF(BANK_RAW!A700="","",ABS(I700))</f>
        <v/>
      </c>
      <c r="K700" s="11">
        <f>IF(BANK_RAW!A700="","",IF(H700="CR","IN","OUT"))</f>
        <v/>
      </c>
      <c r="L700" s="11" t="inlineStr"/>
      <c r="M700" s="11" t="inlineStr"/>
    </row>
    <row r="701">
      <c r="A701" s="13">
        <f>IF(BANK_RAW!A701="","",ROW()-1)</f>
        <v/>
      </c>
      <c r="B701" s="10">
        <f>IF(BANK_RAW!A701="","",IF(ISNUMBER(BANK_RAW!A701),BANK_RAW!A701,DATEVALUE(TEXT(BANK_RAW!A701,"YYYY-MM-DD"))))</f>
        <v/>
      </c>
      <c r="C701" s="11">
        <f>IF(BANK_RAW!A701="","",TRIM(BANK_RAW!B701))</f>
        <v/>
      </c>
      <c r="D701" s="11">
        <f>IF(BANK_RAW!A701="","",TRIM(BANK_RAW!C701))</f>
        <v/>
      </c>
      <c r="E701" s="12">
        <f>IF(BANK_RAW!A701="","",IFERROR(ABS(BANK_RAW!D701),0))</f>
        <v/>
      </c>
      <c r="F701" s="12">
        <f>IF(BANK_RAW!A701="","",IFERROR(ABS(BANK_RAW!E701),0))</f>
        <v/>
      </c>
      <c r="G701" s="12">
        <f>IF(BANK_RAW!A701="","",IFERROR(BANK_RAW!F701,0))</f>
        <v/>
      </c>
      <c r="H701" s="11">
        <f>IF(BANK_RAW!A701="","",IF(E701&gt;0,"CR",IF(F701&gt;0,"DR","CR")))</f>
        <v/>
      </c>
      <c r="I701" s="12">
        <f>IF(BANK_RAW!A701="","",E701-F701)</f>
        <v/>
      </c>
      <c r="J701" s="12">
        <f>IF(BANK_RAW!A701="","",ABS(I701))</f>
        <v/>
      </c>
      <c r="K701" s="11">
        <f>IF(BANK_RAW!A701="","",IF(H701="CR","IN","OUT"))</f>
        <v/>
      </c>
      <c r="L701" s="11" t="inlineStr"/>
      <c r="M701" s="11" t="inlineStr"/>
    </row>
    <row r="702">
      <c r="A702" s="13">
        <f>IF(BANK_RAW!A702="","",ROW()-1)</f>
        <v/>
      </c>
      <c r="B702" s="10">
        <f>IF(BANK_RAW!A702="","",IF(ISNUMBER(BANK_RAW!A702),BANK_RAW!A702,DATEVALUE(TEXT(BANK_RAW!A702,"YYYY-MM-DD"))))</f>
        <v/>
      </c>
      <c r="C702" s="11">
        <f>IF(BANK_RAW!A702="","",TRIM(BANK_RAW!B702))</f>
        <v/>
      </c>
      <c r="D702" s="11">
        <f>IF(BANK_RAW!A702="","",TRIM(BANK_RAW!C702))</f>
        <v/>
      </c>
      <c r="E702" s="12">
        <f>IF(BANK_RAW!A702="","",IFERROR(ABS(BANK_RAW!D702),0))</f>
        <v/>
      </c>
      <c r="F702" s="12">
        <f>IF(BANK_RAW!A702="","",IFERROR(ABS(BANK_RAW!E702),0))</f>
        <v/>
      </c>
      <c r="G702" s="12">
        <f>IF(BANK_RAW!A702="","",IFERROR(BANK_RAW!F702,0))</f>
        <v/>
      </c>
      <c r="H702" s="11">
        <f>IF(BANK_RAW!A702="","",IF(E702&gt;0,"CR",IF(F702&gt;0,"DR","CR")))</f>
        <v/>
      </c>
      <c r="I702" s="12">
        <f>IF(BANK_RAW!A702="","",E702-F702)</f>
        <v/>
      </c>
      <c r="J702" s="12">
        <f>IF(BANK_RAW!A702="","",ABS(I702))</f>
        <v/>
      </c>
      <c r="K702" s="11">
        <f>IF(BANK_RAW!A702="","",IF(H702="CR","IN","OUT"))</f>
        <v/>
      </c>
      <c r="L702" s="11" t="inlineStr"/>
      <c r="M702" s="11" t="inlineStr"/>
    </row>
    <row r="703">
      <c r="A703" s="13">
        <f>IF(BANK_RAW!A703="","",ROW()-1)</f>
        <v/>
      </c>
      <c r="B703" s="10">
        <f>IF(BANK_RAW!A703="","",IF(ISNUMBER(BANK_RAW!A703),BANK_RAW!A703,DATEVALUE(TEXT(BANK_RAW!A703,"YYYY-MM-DD"))))</f>
        <v/>
      </c>
      <c r="C703" s="11">
        <f>IF(BANK_RAW!A703="","",TRIM(BANK_RAW!B703))</f>
        <v/>
      </c>
      <c r="D703" s="11">
        <f>IF(BANK_RAW!A703="","",TRIM(BANK_RAW!C703))</f>
        <v/>
      </c>
      <c r="E703" s="12">
        <f>IF(BANK_RAW!A703="","",IFERROR(ABS(BANK_RAW!D703),0))</f>
        <v/>
      </c>
      <c r="F703" s="12">
        <f>IF(BANK_RAW!A703="","",IFERROR(ABS(BANK_RAW!E703),0))</f>
        <v/>
      </c>
      <c r="G703" s="12">
        <f>IF(BANK_RAW!A703="","",IFERROR(BANK_RAW!F703,0))</f>
        <v/>
      </c>
      <c r="H703" s="11">
        <f>IF(BANK_RAW!A703="","",IF(E703&gt;0,"CR",IF(F703&gt;0,"DR","CR")))</f>
        <v/>
      </c>
      <c r="I703" s="12">
        <f>IF(BANK_RAW!A703="","",E703-F703)</f>
        <v/>
      </c>
      <c r="J703" s="12">
        <f>IF(BANK_RAW!A703="","",ABS(I703))</f>
        <v/>
      </c>
      <c r="K703" s="11">
        <f>IF(BANK_RAW!A703="","",IF(H703="CR","IN","OUT"))</f>
        <v/>
      </c>
      <c r="L703" s="11" t="inlineStr"/>
      <c r="M703" s="11" t="inlineStr"/>
    </row>
    <row r="704">
      <c r="A704" s="13">
        <f>IF(BANK_RAW!A704="","",ROW()-1)</f>
        <v/>
      </c>
      <c r="B704" s="10">
        <f>IF(BANK_RAW!A704="","",IF(ISNUMBER(BANK_RAW!A704),BANK_RAW!A704,DATEVALUE(TEXT(BANK_RAW!A704,"YYYY-MM-DD"))))</f>
        <v/>
      </c>
      <c r="C704" s="11">
        <f>IF(BANK_RAW!A704="","",TRIM(BANK_RAW!B704))</f>
        <v/>
      </c>
      <c r="D704" s="11">
        <f>IF(BANK_RAW!A704="","",TRIM(BANK_RAW!C704))</f>
        <v/>
      </c>
      <c r="E704" s="12">
        <f>IF(BANK_RAW!A704="","",IFERROR(ABS(BANK_RAW!D704),0))</f>
        <v/>
      </c>
      <c r="F704" s="12">
        <f>IF(BANK_RAW!A704="","",IFERROR(ABS(BANK_RAW!E704),0))</f>
        <v/>
      </c>
      <c r="G704" s="12">
        <f>IF(BANK_RAW!A704="","",IFERROR(BANK_RAW!F704,0))</f>
        <v/>
      </c>
      <c r="H704" s="11">
        <f>IF(BANK_RAW!A704="","",IF(E704&gt;0,"CR",IF(F704&gt;0,"DR","CR")))</f>
        <v/>
      </c>
      <c r="I704" s="12">
        <f>IF(BANK_RAW!A704="","",E704-F704)</f>
        <v/>
      </c>
      <c r="J704" s="12">
        <f>IF(BANK_RAW!A704="","",ABS(I704))</f>
        <v/>
      </c>
      <c r="K704" s="11">
        <f>IF(BANK_RAW!A704="","",IF(H704="CR","IN","OUT"))</f>
        <v/>
      </c>
      <c r="L704" s="11" t="inlineStr"/>
      <c r="M704" s="11" t="inlineStr"/>
    </row>
    <row r="705">
      <c r="A705" s="13">
        <f>IF(BANK_RAW!A705="","",ROW()-1)</f>
        <v/>
      </c>
      <c r="B705" s="10">
        <f>IF(BANK_RAW!A705="","",IF(ISNUMBER(BANK_RAW!A705),BANK_RAW!A705,DATEVALUE(TEXT(BANK_RAW!A705,"YYYY-MM-DD"))))</f>
        <v/>
      </c>
      <c r="C705" s="11">
        <f>IF(BANK_RAW!A705="","",TRIM(BANK_RAW!B705))</f>
        <v/>
      </c>
      <c r="D705" s="11">
        <f>IF(BANK_RAW!A705="","",TRIM(BANK_RAW!C705))</f>
        <v/>
      </c>
      <c r="E705" s="12">
        <f>IF(BANK_RAW!A705="","",IFERROR(ABS(BANK_RAW!D705),0))</f>
        <v/>
      </c>
      <c r="F705" s="12">
        <f>IF(BANK_RAW!A705="","",IFERROR(ABS(BANK_RAW!E705),0))</f>
        <v/>
      </c>
      <c r="G705" s="12">
        <f>IF(BANK_RAW!A705="","",IFERROR(BANK_RAW!F705,0))</f>
        <v/>
      </c>
      <c r="H705" s="11">
        <f>IF(BANK_RAW!A705="","",IF(E705&gt;0,"CR",IF(F705&gt;0,"DR","CR")))</f>
        <v/>
      </c>
      <c r="I705" s="12">
        <f>IF(BANK_RAW!A705="","",E705-F705)</f>
        <v/>
      </c>
      <c r="J705" s="12">
        <f>IF(BANK_RAW!A705="","",ABS(I705))</f>
        <v/>
      </c>
      <c r="K705" s="11">
        <f>IF(BANK_RAW!A705="","",IF(H705="CR","IN","OUT"))</f>
        <v/>
      </c>
      <c r="L705" s="11" t="inlineStr"/>
      <c r="M705" s="11" t="inlineStr"/>
    </row>
    <row r="706">
      <c r="A706" s="13">
        <f>IF(BANK_RAW!A706="","",ROW()-1)</f>
        <v/>
      </c>
      <c r="B706" s="10">
        <f>IF(BANK_RAW!A706="","",IF(ISNUMBER(BANK_RAW!A706),BANK_RAW!A706,DATEVALUE(TEXT(BANK_RAW!A706,"YYYY-MM-DD"))))</f>
        <v/>
      </c>
      <c r="C706" s="11">
        <f>IF(BANK_RAW!A706="","",TRIM(BANK_RAW!B706))</f>
        <v/>
      </c>
      <c r="D706" s="11">
        <f>IF(BANK_RAW!A706="","",TRIM(BANK_RAW!C706))</f>
        <v/>
      </c>
      <c r="E706" s="12">
        <f>IF(BANK_RAW!A706="","",IFERROR(ABS(BANK_RAW!D706),0))</f>
        <v/>
      </c>
      <c r="F706" s="12">
        <f>IF(BANK_RAW!A706="","",IFERROR(ABS(BANK_RAW!E706),0))</f>
        <v/>
      </c>
      <c r="G706" s="12">
        <f>IF(BANK_RAW!A706="","",IFERROR(BANK_RAW!F706,0))</f>
        <v/>
      </c>
      <c r="H706" s="11">
        <f>IF(BANK_RAW!A706="","",IF(E706&gt;0,"CR",IF(F706&gt;0,"DR","CR")))</f>
        <v/>
      </c>
      <c r="I706" s="12">
        <f>IF(BANK_RAW!A706="","",E706-F706)</f>
        <v/>
      </c>
      <c r="J706" s="12">
        <f>IF(BANK_RAW!A706="","",ABS(I706))</f>
        <v/>
      </c>
      <c r="K706" s="11">
        <f>IF(BANK_RAW!A706="","",IF(H706="CR","IN","OUT"))</f>
        <v/>
      </c>
      <c r="L706" s="11" t="inlineStr"/>
      <c r="M706" s="11" t="inlineStr"/>
    </row>
    <row r="707">
      <c r="A707" s="13">
        <f>IF(BANK_RAW!A707="","",ROW()-1)</f>
        <v/>
      </c>
      <c r="B707" s="10">
        <f>IF(BANK_RAW!A707="","",IF(ISNUMBER(BANK_RAW!A707),BANK_RAW!A707,DATEVALUE(TEXT(BANK_RAW!A707,"YYYY-MM-DD"))))</f>
        <v/>
      </c>
      <c r="C707" s="11">
        <f>IF(BANK_RAW!A707="","",TRIM(BANK_RAW!B707))</f>
        <v/>
      </c>
      <c r="D707" s="11">
        <f>IF(BANK_RAW!A707="","",TRIM(BANK_RAW!C707))</f>
        <v/>
      </c>
      <c r="E707" s="12">
        <f>IF(BANK_RAW!A707="","",IFERROR(ABS(BANK_RAW!D707),0))</f>
        <v/>
      </c>
      <c r="F707" s="12">
        <f>IF(BANK_RAW!A707="","",IFERROR(ABS(BANK_RAW!E707),0))</f>
        <v/>
      </c>
      <c r="G707" s="12">
        <f>IF(BANK_RAW!A707="","",IFERROR(BANK_RAW!F707,0))</f>
        <v/>
      </c>
      <c r="H707" s="11">
        <f>IF(BANK_RAW!A707="","",IF(E707&gt;0,"CR",IF(F707&gt;0,"DR","CR")))</f>
        <v/>
      </c>
      <c r="I707" s="12">
        <f>IF(BANK_RAW!A707="","",E707-F707)</f>
        <v/>
      </c>
      <c r="J707" s="12">
        <f>IF(BANK_RAW!A707="","",ABS(I707))</f>
        <v/>
      </c>
      <c r="K707" s="11">
        <f>IF(BANK_RAW!A707="","",IF(H707="CR","IN","OUT"))</f>
        <v/>
      </c>
      <c r="L707" s="11" t="inlineStr"/>
      <c r="M707" s="11" t="inlineStr"/>
    </row>
    <row r="708">
      <c r="A708" s="13">
        <f>IF(BANK_RAW!A708="","",ROW()-1)</f>
        <v/>
      </c>
      <c r="B708" s="10">
        <f>IF(BANK_RAW!A708="","",IF(ISNUMBER(BANK_RAW!A708),BANK_RAW!A708,DATEVALUE(TEXT(BANK_RAW!A708,"YYYY-MM-DD"))))</f>
        <v/>
      </c>
      <c r="C708" s="11">
        <f>IF(BANK_RAW!A708="","",TRIM(BANK_RAW!B708))</f>
        <v/>
      </c>
      <c r="D708" s="11">
        <f>IF(BANK_RAW!A708="","",TRIM(BANK_RAW!C708))</f>
        <v/>
      </c>
      <c r="E708" s="12">
        <f>IF(BANK_RAW!A708="","",IFERROR(ABS(BANK_RAW!D708),0))</f>
        <v/>
      </c>
      <c r="F708" s="12">
        <f>IF(BANK_RAW!A708="","",IFERROR(ABS(BANK_RAW!E708),0))</f>
        <v/>
      </c>
      <c r="G708" s="12">
        <f>IF(BANK_RAW!A708="","",IFERROR(BANK_RAW!F708,0))</f>
        <v/>
      </c>
      <c r="H708" s="11">
        <f>IF(BANK_RAW!A708="","",IF(E708&gt;0,"CR",IF(F708&gt;0,"DR","CR")))</f>
        <v/>
      </c>
      <c r="I708" s="12">
        <f>IF(BANK_RAW!A708="","",E708-F708)</f>
        <v/>
      </c>
      <c r="J708" s="12">
        <f>IF(BANK_RAW!A708="","",ABS(I708))</f>
        <v/>
      </c>
      <c r="K708" s="11">
        <f>IF(BANK_RAW!A708="","",IF(H708="CR","IN","OUT"))</f>
        <v/>
      </c>
      <c r="L708" s="11" t="inlineStr"/>
      <c r="M708" s="11" t="inlineStr"/>
    </row>
    <row r="709">
      <c r="A709" s="13">
        <f>IF(BANK_RAW!A709="","",ROW()-1)</f>
        <v/>
      </c>
      <c r="B709" s="10">
        <f>IF(BANK_RAW!A709="","",IF(ISNUMBER(BANK_RAW!A709),BANK_RAW!A709,DATEVALUE(TEXT(BANK_RAW!A709,"YYYY-MM-DD"))))</f>
        <v/>
      </c>
      <c r="C709" s="11">
        <f>IF(BANK_RAW!A709="","",TRIM(BANK_RAW!B709))</f>
        <v/>
      </c>
      <c r="D709" s="11">
        <f>IF(BANK_RAW!A709="","",TRIM(BANK_RAW!C709))</f>
        <v/>
      </c>
      <c r="E709" s="12">
        <f>IF(BANK_RAW!A709="","",IFERROR(ABS(BANK_RAW!D709),0))</f>
        <v/>
      </c>
      <c r="F709" s="12">
        <f>IF(BANK_RAW!A709="","",IFERROR(ABS(BANK_RAW!E709),0))</f>
        <v/>
      </c>
      <c r="G709" s="12">
        <f>IF(BANK_RAW!A709="","",IFERROR(BANK_RAW!F709,0))</f>
        <v/>
      </c>
      <c r="H709" s="11">
        <f>IF(BANK_RAW!A709="","",IF(E709&gt;0,"CR",IF(F709&gt;0,"DR","CR")))</f>
        <v/>
      </c>
      <c r="I709" s="12">
        <f>IF(BANK_RAW!A709="","",E709-F709)</f>
        <v/>
      </c>
      <c r="J709" s="12">
        <f>IF(BANK_RAW!A709="","",ABS(I709))</f>
        <v/>
      </c>
      <c r="K709" s="11">
        <f>IF(BANK_RAW!A709="","",IF(H709="CR","IN","OUT"))</f>
        <v/>
      </c>
      <c r="L709" s="11" t="inlineStr"/>
      <c r="M709" s="11" t="inlineStr"/>
    </row>
    <row r="710">
      <c r="A710" s="13">
        <f>IF(BANK_RAW!A710="","",ROW()-1)</f>
        <v/>
      </c>
      <c r="B710" s="10">
        <f>IF(BANK_RAW!A710="","",IF(ISNUMBER(BANK_RAW!A710),BANK_RAW!A710,DATEVALUE(TEXT(BANK_RAW!A710,"YYYY-MM-DD"))))</f>
        <v/>
      </c>
      <c r="C710" s="11">
        <f>IF(BANK_RAW!A710="","",TRIM(BANK_RAW!B710))</f>
        <v/>
      </c>
      <c r="D710" s="11">
        <f>IF(BANK_RAW!A710="","",TRIM(BANK_RAW!C710))</f>
        <v/>
      </c>
      <c r="E710" s="12">
        <f>IF(BANK_RAW!A710="","",IFERROR(ABS(BANK_RAW!D710),0))</f>
        <v/>
      </c>
      <c r="F710" s="12">
        <f>IF(BANK_RAW!A710="","",IFERROR(ABS(BANK_RAW!E710),0))</f>
        <v/>
      </c>
      <c r="G710" s="12">
        <f>IF(BANK_RAW!A710="","",IFERROR(BANK_RAW!F710,0))</f>
        <v/>
      </c>
      <c r="H710" s="11">
        <f>IF(BANK_RAW!A710="","",IF(E710&gt;0,"CR",IF(F710&gt;0,"DR","CR")))</f>
        <v/>
      </c>
      <c r="I710" s="12">
        <f>IF(BANK_RAW!A710="","",E710-F710)</f>
        <v/>
      </c>
      <c r="J710" s="12">
        <f>IF(BANK_RAW!A710="","",ABS(I710))</f>
        <v/>
      </c>
      <c r="K710" s="11">
        <f>IF(BANK_RAW!A710="","",IF(H710="CR","IN","OUT"))</f>
        <v/>
      </c>
      <c r="L710" s="11" t="inlineStr"/>
      <c r="M710" s="11" t="inlineStr"/>
    </row>
    <row r="711">
      <c r="A711" s="13">
        <f>IF(BANK_RAW!A711="","",ROW()-1)</f>
        <v/>
      </c>
      <c r="B711" s="10">
        <f>IF(BANK_RAW!A711="","",IF(ISNUMBER(BANK_RAW!A711),BANK_RAW!A711,DATEVALUE(TEXT(BANK_RAW!A711,"YYYY-MM-DD"))))</f>
        <v/>
      </c>
      <c r="C711" s="11">
        <f>IF(BANK_RAW!A711="","",TRIM(BANK_RAW!B711))</f>
        <v/>
      </c>
      <c r="D711" s="11">
        <f>IF(BANK_RAW!A711="","",TRIM(BANK_RAW!C711))</f>
        <v/>
      </c>
      <c r="E711" s="12">
        <f>IF(BANK_RAW!A711="","",IFERROR(ABS(BANK_RAW!D711),0))</f>
        <v/>
      </c>
      <c r="F711" s="12">
        <f>IF(BANK_RAW!A711="","",IFERROR(ABS(BANK_RAW!E711),0))</f>
        <v/>
      </c>
      <c r="G711" s="12">
        <f>IF(BANK_RAW!A711="","",IFERROR(BANK_RAW!F711,0))</f>
        <v/>
      </c>
      <c r="H711" s="11">
        <f>IF(BANK_RAW!A711="","",IF(E711&gt;0,"CR",IF(F711&gt;0,"DR","CR")))</f>
        <v/>
      </c>
      <c r="I711" s="12">
        <f>IF(BANK_RAW!A711="","",E711-F711)</f>
        <v/>
      </c>
      <c r="J711" s="12">
        <f>IF(BANK_RAW!A711="","",ABS(I711))</f>
        <v/>
      </c>
      <c r="K711" s="11">
        <f>IF(BANK_RAW!A711="","",IF(H711="CR","IN","OUT"))</f>
        <v/>
      </c>
      <c r="L711" s="11" t="inlineStr"/>
      <c r="M711" s="11" t="inlineStr"/>
    </row>
    <row r="712">
      <c r="A712" s="13">
        <f>IF(BANK_RAW!A712="","",ROW()-1)</f>
        <v/>
      </c>
      <c r="B712" s="10">
        <f>IF(BANK_RAW!A712="","",IF(ISNUMBER(BANK_RAW!A712),BANK_RAW!A712,DATEVALUE(TEXT(BANK_RAW!A712,"YYYY-MM-DD"))))</f>
        <v/>
      </c>
      <c r="C712" s="11">
        <f>IF(BANK_RAW!A712="","",TRIM(BANK_RAW!B712))</f>
        <v/>
      </c>
      <c r="D712" s="11">
        <f>IF(BANK_RAW!A712="","",TRIM(BANK_RAW!C712))</f>
        <v/>
      </c>
      <c r="E712" s="12">
        <f>IF(BANK_RAW!A712="","",IFERROR(ABS(BANK_RAW!D712),0))</f>
        <v/>
      </c>
      <c r="F712" s="12">
        <f>IF(BANK_RAW!A712="","",IFERROR(ABS(BANK_RAW!E712),0))</f>
        <v/>
      </c>
      <c r="G712" s="12">
        <f>IF(BANK_RAW!A712="","",IFERROR(BANK_RAW!F712,0))</f>
        <v/>
      </c>
      <c r="H712" s="11">
        <f>IF(BANK_RAW!A712="","",IF(E712&gt;0,"CR",IF(F712&gt;0,"DR","CR")))</f>
        <v/>
      </c>
      <c r="I712" s="12">
        <f>IF(BANK_RAW!A712="","",E712-F712)</f>
        <v/>
      </c>
      <c r="J712" s="12">
        <f>IF(BANK_RAW!A712="","",ABS(I712))</f>
        <v/>
      </c>
      <c r="K712" s="11">
        <f>IF(BANK_RAW!A712="","",IF(H712="CR","IN","OUT"))</f>
        <v/>
      </c>
      <c r="L712" s="11" t="inlineStr"/>
      <c r="M712" s="11" t="inlineStr"/>
    </row>
    <row r="713">
      <c r="A713" s="13">
        <f>IF(BANK_RAW!A713="","",ROW()-1)</f>
        <v/>
      </c>
      <c r="B713" s="10">
        <f>IF(BANK_RAW!A713="","",IF(ISNUMBER(BANK_RAW!A713),BANK_RAW!A713,DATEVALUE(TEXT(BANK_RAW!A713,"YYYY-MM-DD"))))</f>
        <v/>
      </c>
      <c r="C713" s="11">
        <f>IF(BANK_RAW!A713="","",TRIM(BANK_RAW!B713))</f>
        <v/>
      </c>
      <c r="D713" s="11">
        <f>IF(BANK_RAW!A713="","",TRIM(BANK_RAW!C713))</f>
        <v/>
      </c>
      <c r="E713" s="12">
        <f>IF(BANK_RAW!A713="","",IFERROR(ABS(BANK_RAW!D713),0))</f>
        <v/>
      </c>
      <c r="F713" s="12">
        <f>IF(BANK_RAW!A713="","",IFERROR(ABS(BANK_RAW!E713),0))</f>
        <v/>
      </c>
      <c r="G713" s="12">
        <f>IF(BANK_RAW!A713="","",IFERROR(BANK_RAW!F713,0))</f>
        <v/>
      </c>
      <c r="H713" s="11">
        <f>IF(BANK_RAW!A713="","",IF(E713&gt;0,"CR",IF(F713&gt;0,"DR","CR")))</f>
        <v/>
      </c>
      <c r="I713" s="12">
        <f>IF(BANK_RAW!A713="","",E713-F713)</f>
        <v/>
      </c>
      <c r="J713" s="12">
        <f>IF(BANK_RAW!A713="","",ABS(I713))</f>
        <v/>
      </c>
      <c r="K713" s="11">
        <f>IF(BANK_RAW!A713="","",IF(H713="CR","IN","OUT"))</f>
        <v/>
      </c>
      <c r="L713" s="11" t="inlineStr"/>
      <c r="M713" s="11" t="inlineStr"/>
    </row>
    <row r="714">
      <c r="A714" s="13">
        <f>IF(BANK_RAW!A714="","",ROW()-1)</f>
        <v/>
      </c>
      <c r="B714" s="10">
        <f>IF(BANK_RAW!A714="","",IF(ISNUMBER(BANK_RAW!A714),BANK_RAW!A714,DATEVALUE(TEXT(BANK_RAW!A714,"YYYY-MM-DD"))))</f>
        <v/>
      </c>
      <c r="C714" s="11">
        <f>IF(BANK_RAW!A714="","",TRIM(BANK_RAW!B714))</f>
        <v/>
      </c>
      <c r="D714" s="11">
        <f>IF(BANK_RAW!A714="","",TRIM(BANK_RAW!C714))</f>
        <v/>
      </c>
      <c r="E714" s="12">
        <f>IF(BANK_RAW!A714="","",IFERROR(ABS(BANK_RAW!D714),0))</f>
        <v/>
      </c>
      <c r="F714" s="12">
        <f>IF(BANK_RAW!A714="","",IFERROR(ABS(BANK_RAW!E714),0))</f>
        <v/>
      </c>
      <c r="G714" s="12">
        <f>IF(BANK_RAW!A714="","",IFERROR(BANK_RAW!F714,0))</f>
        <v/>
      </c>
      <c r="H714" s="11">
        <f>IF(BANK_RAW!A714="","",IF(E714&gt;0,"CR",IF(F714&gt;0,"DR","CR")))</f>
        <v/>
      </c>
      <c r="I714" s="12">
        <f>IF(BANK_RAW!A714="","",E714-F714)</f>
        <v/>
      </c>
      <c r="J714" s="12">
        <f>IF(BANK_RAW!A714="","",ABS(I714))</f>
        <v/>
      </c>
      <c r="K714" s="11">
        <f>IF(BANK_RAW!A714="","",IF(H714="CR","IN","OUT"))</f>
        <v/>
      </c>
      <c r="L714" s="11" t="inlineStr"/>
      <c r="M714" s="11" t="inlineStr"/>
    </row>
    <row r="715">
      <c r="A715" s="13">
        <f>IF(BANK_RAW!A715="","",ROW()-1)</f>
        <v/>
      </c>
      <c r="B715" s="10">
        <f>IF(BANK_RAW!A715="","",IF(ISNUMBER(BANK_RAW!A715),BANK_RAW!A715,DATEVALUE(TEXT(BANK_RAW!A715,"YYYY-MM-DD"))))</f>
        <v/>
      </c>
      <c r="C715" s="11">
        <f>IF(BANK_RAW!A715="","",TRIM(BANK_RAW!B715))</f>
        <v/>
      </c>
      <c r="D715" s="11">
        <f>IF(BANK_RAW!A715="","",TRIM(BANK_RAW!C715))</f>
        <v/>
      </c>
      <c r="E715" s="12">
        <f>IF(BANK_RAW!A715="","",IFERROR(ABS(BANK_RAW!D715),0))</f>
        <v/>
      </c>
      <c r="F715" s="12">
        <f>IF(BANK_RAW!A715="","",IFERROR(ABS(BANK_RAW!E715),0))</f>
        <v/>
      </c>
      <c r="G715" s="12">
        <f>IF(BANK_RAW!A715="","",IFERROR(BANK_RAW!F715,0))</f>
        <v/>
      </c>
      <c r="H715" s="11">
        <f>IF(BANK_RAW!A715="","",IF(E715&gt;0,"CR",IF(F715&gt;0,"DR","CR")))</f>
        <v/>
      </c>
      <c r="I715" s="12">
        <f>IF(BANK_RAW!A715="","",E715-F715)</f>
        <v/>
      </c>
      <c r="J715" s="12">
        <f>IF(BANK_RAW!A715="","",ABS(I715))</f>
        <v/>
      </c>
      <c r="K715" s="11">
        <f>IF(BANK_RAW!A715="","",IF(H715="CR","IN","OUT"))</f>
        <v/>
      </c>
      <c r="L715" s="11" t="inlineStr"/>
      <c r="M715" s="11" t="inlineStr"/>
    </row>
    <row r="716">
      <c r="A716" s="13">
        <f>IF(BANK_RAW!A716="","",ROW()-1)</f>
        <v/>
      </c>
      <c r="B716" s="10">
        <f>IF(BANK_RAW!A716="","",IF(ISNUMBER(BANK_RAW!A716),BANK_RAW!A716,DATEVALUE(TEXT(BANK_RAW!A716,"YYYY-MM-DD"))))</f>
        <v/>
      </c>
      <c r="C716" s="11">
        <f>IF(BANK_RAW!A716="","",TRIM(BANK_RAW!B716))</f>
        <v/>
      </c>
      <c r="D716" s="11">
        <f>IF(BANK_RAW!A716="","",TRIM(BANK_RAW!C716))</f>
        <v/>
      </c>
      <c r="E716" s="12">
        <f>IF(BANK_RAW!A716="","",IFERROR(ABS(BANK_RAW!D716),0))</f>
        <v/>
      </c>
      <c r="F716" s="12">
        <f>IF(BANK_RAW!A716="","",IFERROR(ABS(BANK_RAW!E716),0))</f>
        <v/>
      </c>
      <c r="G716" s="12">
        <f>IF(BANK_RAW!A716="","",IFERROR(BANK_RAW!F716,0))</f>
        <v/>
      </c>
      <c r="H716" s="11">
        <f>IF(BANK_RAW!A716="","",IF(E716&gt;0,"CR",IF(F716&gt;0,"DR","CR")))</f>
        <v/>
      </c>
      <c r="I716" s="12">
        <f>IF(BANK_RAW!A716="","",E716-F716)</f>
        <v/>
      </c>
      <c r="J716" s="12">
        <f>IF(BANK_RAW!A716="","",ABS(I716))</f>
        <v/>
      </c>
      <c r="K716" s="11">
        <f>IF(BANK_RAW!A716="","",IF(H716="CR","IN","OUT"))</f>
        <v/>
      </c>
      <c r="L716" s="11" t="inlineStr"/>
      <c r="M716" s="11" t="inlineStr"/>
    </row>
    <row r="717">
      <c r="A717" s="13">
        <f>IF(BANK_RAW!A717="","",ROW()-1)</f>
        <v/>
      </c>
      <c r="B717" s="10">
        <f>IF(BANK_RAW!A717="","",IF(ISNUMBER(BANK_RAW!A717),BANK_RAW!A717,DATEVALUE(TEXT(BANK_RAW!A717,"YYYY-MM-DD"))))</f>
        <v/>
      </c>
      <c r="C717" s="11">
        <f>IF(BANK_RAW!A717="","",TRIM(BANK_RAW!B717))</f>
        <v/>
      </c>
      <c r="D717" s="11">
        <f>IF(BANK_RAW!A717="","",TRIM(BANK_RAW!C717))</f>
        <v/>
      </c>
      <c r="E717" s="12">
        <f>IF(BANK_RAW!A717="","",IFERROR(ABS(BANK_RAW!D717),0))</f>
        <v/>
      </c>
      <c r="F717" s="12">
        <f>IF(BANK_RAW!A717="","",IFERROR(ABS(BANK_RAW!E717),0))</f>
        <v/>
      </c>
      <c r="G717" s="12">
        <f>IF(BANK_RAW!A717="","",IFERROR(BANK_RAW!F717,0))</f>
        <v/>
      </c>
      <c r="H717" s="11">
        <f>IF(BANK_RAW!A717="","",IF(E717&gt;0,"CR",IF(F717&gt;0,"DR","CR")))</f>
        <v/>
      </c>
      <c r="I717" s="12">
        <f>IF(BANK_RAW!A717="","",E717-F717)</f>
        <v/>
      </c>
      <c r="J717" s="12">
        <f>IF(BANK_RAW!A717="","",ABS(I717))</f>
        <v/>
      </c>
      <c r="K717" s="11">
        <f>IF(BANK_RAW!A717="","",IF(H717="CR","IN","OUT"))</f>
        <v/>
      </c>
      <c r="L717" s="11" t="inlineStr"/>
      <c r="M717" s="11" t="inlineStr"/>
    </row>
    <row r="718">
      <c r="A718" s="13">
        <f>IF(BANK_RAW!A718="","",ROW()-1)</f>
        <v/>
      </c>
      <c r="B718" s="10">
        <f>IF(BANK_RAW!A718="","",IF(ISNUMBER(BANK_RAW!A718),BANK_RAW!A718,DATEVALUE(TEXT(BANK_RAW!A718,"YYYY-MM-DD"))))</f>
        <v/>
      </c>
      <c r="C718" s="11">
        <f>IF(BANK_RAW!A718="","",TRIM(BANK_RAW!B718))</f>
        <v/>
      </c>
      <c r="D718" s="11">
        <f>IF(BANK_RAW!A718="","",TRIM(BANK_RAW!C718))</f>
        <v/>
      </c>
      <c r="E718" s="12">
        <f>IF(BANK_RAW!A718="","",IFERROR(ABS(BANK_RAW!D718),0))</f>
        <v/>
      </c>
      <c r="F718" s="12">
        <f>IF(BANK_RAW!A718="","",IFERROR(ABS(BANK_RAW!E718),0))</f>
        <v/>
      </c>
      <c r="G718" s="12">
        <f>IF(BANK_RAW!A718="","",IFERROR(BANK_RAW!F718,0))</f>
        <v/>
      </c>
      <c r="H718" s="11">
        <f>IF(BANK_RAW!A718="","",IF(E718&gt;0,"CR",IF(F718&gt;0,"DR","CR")))</f>
        <v/>
      </c>
      <c r="I718" s="12">
        <f>IF(BANK_RAW!A718="","",E718-F718)</f>
        <v/>
      </c>
      <c r="J718" s="12">
        <f>IF(BANK_RAW!A718="","",ABS(I718))</f>
        <v/>
      </c>
      <c r="K718" s="11">
        <f>IF(BANK_RAW!A718="","",IF(H718="CR","IN","OUT"))</f>
        <v/>
      </c>
      <c r="L718" s="11" t="inlineStr"/>
      <c r="M718" s="11" t="inlineStr"/>
    </row>
    <row r="719">
      <c r="A719" s="13">
        <f>IF(BANK_RAW!A719="","",ROW()-1)</f>
        <v/>
      </c>
      <c r="B719" s="10">
        <f>IF(BANK_RAW!A719="","",IF(ISNUMBER(BANK_RAW!A719),BANK_RAW!A719,DATEVALUE(TEXT(BANK_RAW!A719,"YYYY-MM-DD"))))</f>
        <v/>
      </c>
      <c r="C719" s="11">
        <f>IF(BANK_RAW!A719="","",TRIM(BANK_RAW!B719))</f>
        <v/>
      </c>
      <c r="D719" s="11">
        <f>IF(BANK_RAW!A719="","",TRIM(BANK_RAW!C719))</f>
        <v/>
      </c>
      <c r="E719" s="12">
        <f>IF(BANK_RAW!A719="","",IFERROR(ABS(BANK_RAW!D719),0))</f>
        <v/>
      </c>
      <c r="F719" s="12">
        <f>IF(BANK_RAW!A719="","",IFERROR(ABS(BANK_RAW!E719),0))</f>
        <v/>
      </c>
      <c r="G719" s="12">
        <f>IF(BANK_RAW!A719="","",IFERROR(BANK_RAW!F719,0))</f>
        <v/>
      </c>
      <c r="H719" s="11">
        <f>IF(BANK_RAW!A719="","",IF(E719&gt;0,"CR",IF(F719&gt;0,"DR","CR")))</f>
        <v/>
      </c>
      <c r="I719" s="12">
        <f>IF(BANK_RAW!A719="","",E719-F719)</f>
        <v/>
      </c>
      <c r="J719" s="12">
        <f>IF(BANK_RAW!A719="","",ABS(I719))</f>
        <v/>
      </c>
      <c r="K719" s="11">
        <f>IF(BANK_RAW!A719="","",IF(H719="CR","IN","OUT"))</f>
        <v/>
      </c>
      <c r="L719" s="11" t="inlineStr"/>
      <c r="M719" s="11" t="inlineStr"/>
    </row>
    <row r="720">
      <c r="A720" s="13">
        <f>IF(BANK_RAW!A720="","",ROW()-1)</f>
        <v/>
      </c>
      <c r="B720" s="10">
        <f>IF(BANK_RAW!A720="","",IF(ISNUMBER(BANK_RAW!A720),BANK_RAW!A720,DATEVALUE(TEXT(BANK_RAW!A720,"YYYY-MM-DD"))))</f>
        <v/>
      </c>
      <c r="C720" s="11">
        <f>IF(BANK_RAW!A720="","",TRIM(BANK_RAW!B720))</f>
        <v/>
      </c>
      <c r="D720" s="11">
        <f>IF(BANK_RAW!A720="","",TRIM(BANK_RAW!C720))</f>
        <v/>
      </c>
      <c r="E720" s="12">
        <f>IF(BANK_RAW!A720="","",IFERROR(ABS(BANK_RAW!D720),0))</f>
        <v/>
      </c>
      <c r="F720" s="12">
        <f>IF(BANK_RAW!A720="","",IFERROR(ABS(BANK_RAW!E720),0))</f>
        <v/>
      </c>
      <c r="G720" s="12">
        <f>IF(BANK_RAW!A720="","",IFERROR(BANK_RAW!F720,0))</f>
        <v/>
      </c>
      <c r="H720" s="11">
        <f>IF(BANK_RAW!A720="","",IF(E720&gt;0,"CR",IF(F720&gt;0,"DR","CR")))</f>
        <v/>
      </c>
      <c r="I720" s="12">
        <f>IF(BANK_RAW!A720="","",E720-F720)</f>
        <v/>
      </c>
      <c r="J720" s="12">
        <f>IF(BANK_RAW!A720="","",ABS(I720))</f>
        <v/>
      </c>
      <c r="K720" s="11">
        <f>IF(BANK_RAW!A720="","",IF(H720="CR","IN","OUT"))</f>
        <v/>
      </c>
      <c r="L720" s="11" t="inlineStr"/>
      <c r="M720" s="11" t="inlineStr"/>
    </row>
    <row r="721">
      <c r="A721" s="13">
        <f>IF(BANK_RAW!A721="","",ROW()-1)</f>
        <v/>
      </c>
      <c r="B721" s="10">
        <f>IF(BANK_RAW!A721="","",IF(ISNUMBER(BANK_RAW!A721),BANK_RAW!A721,DATEVALUE(TEXT(BANK_RAW!A721,"YYYY-MM-DD"))))</f>
        <v/>
      </c>
      <c r="C721" s="11">
        <f>IF(BANK_RAW!A721="","",TRIM(BANK_RAW!B721))</f>
        <v/>
      </c>
      <c r="D721" s="11">
        <f>IF(BANK_RAW!A721="","",TRIM(BANK_RAW!C721))</f>
        <v/>
      </c>
      <c r="E721" s="12">
        <f>IF(BANK_RAW!A721="","",IFERROR(ABS(BANK_RAW!D721),0))</f>
        <v/>
      </c>
      <c r="F721" s="12">
        <f>IF(BANK_RAW!A721="","",IFERROR(ABS(BANK_RAW!E721),0))</f>
        <v/>
      </c>
      <c r="G721" s="12">
        <f>IF(BANK_RAW!A721="","",IFERROR(BANK_RAW!F721,0))</f>
        <v/>
      </c>
      <c r="H721" s="11">
        <f>IF(BANK_RAW!A721="","",IF(E721&gt;0,"CR",IF(F721&gt;0,"DR","CR")))</f>
        <v/>
      </c>
      <c r="I721" s="12">
        <f>IF(BANK_RAW!A721="","",E721-F721)</f>
        <v/>
      </c>
      <c r="J721" s="12">
        <f>IF(BANK_RAW!A721="","",ABS(I721))</f>
        <v/>
      </c>
      <c r="K721" s="11">
        <f>IF(BANK_RAW!A721="","",IF(H721="CR","IN","OUT"))</f>
        <v/>
      </c>
      <c r="L721" s="11" t="inlineStr"/>
      <c r="M721" s="11" t="inlineStr"/>
    </row>
    <row r="722">
      <c r="A722" s="13">
        <f>IF(BANK_RAW!A722="","",ROW()-1)</f>
        <v/>
      </c>
      <c r="B722" s="10">
        <f>IF(BANK_RAW!A722="","",IF(ISNUMBER(BANK_RAW!A722),BANK_RAW!A722,DATEVALUE(TEXT(BANK_RAW!A722,"YYYY-MM-DD"))))</f>
        <v/>
      </c>
      <c r="C722" s="11">
        <f>IF(BANK_RAW!A722="","",TRIM(BANK_RAW!B722))</f>
        <v/>
      </c>
      <c r="D722" s="11">
        <f>IF(BANK_RAW!A722="","",TRIM(BANK_RAW!C722))</f>
        <v/>
      </c>
      <c r="E722" s="12">
        <f>IF(BANK_RAW!A722="","",IFERROR(ABS(BANK_RAW!D722),0))</f>
        <v/>
      </c>
      <c r="F722" s="12">
        <f>IF(BANK_RAW!A722="","",IFERROR(ABS(BANK_RAW!E722),0))</f>
        <v/>
      </c>
      <c r="G722" s="12">
        <f>IF(BANK_RAW!A722="","",IFERROR(BANK_RAW!F722,0))</f>
        <v/>
      </c>
      <c r="H722" s="11">
        <f>IF(BANK_RAW!A722="","",IF(E722&gt;0,"CR",IF(F722&gt;0,"DR","CR")))</f>
        <v/>
      </c>
      <c r="I722" s="12">
        <f>IF(BANK_RAW!A722="","",E722-F722)</f>
        <v/>
      </c>
      <c r="J722" s="12">
        <f>IF(BANK_RAW!A722="","",ABS(I722))</f>
        <v/>
      </c>
      <c r="K722" s="11">
        <f>IF(BANK_RAW!A722="","",IF(H722="CR","IN","OUT"))</f>
        <v/>
      </c>
      <c r="L722" s="11" t="inlineStr"/>
      <c r="M722" s="11" t="inlineStr"/>
    </row>
    <row r="723">
      <c r="A723" s="13">
        <f>IF(BANK_RAW!A723="","",ROW()-1)</f>
        <v/>
      </c>
      <c r="B723" s="10">
        <f>IF(BANK_RAW!A723="","",IF(ISNUMBER(BANK_RAW!A723),BANK_RAW!A723,DATEVALUE(TEXT(BANK_RAW!A723,"YYYY-MM-DD"))))</f>
        <v/>
      </c>
      <c r="C723" s="11">
        <f>IF(BANK_RAW!A723="","",TRIM(BANK_RAW!B723))</f>
        <v/>
      </c>
      <c r="D723" s="11">
        <f>IF(BANK_RAW!A723="","",TRIM(BANK_RAW!C723))</f>
        <v/>
      </c>
      <c r="E723" s="12">
        <f>IF(BANK_RAW!A723="","",IFERROR(ABS(BANK_RAW!D723),0))</f>
        <v/>
      </c>
      <c r="F723" s="12">
        <f>IF(BANK_RAW!A723="","",IFERROR(ABS(BANK_RAW!E723),0))</f>
        <v/>
      </c>
      <c r="G723" s="12">
        <f>IF(BANK_RAW!A723="","",IFERROR(BANK_RAW!F723,0))</f>
        <v/>
      </c>
      <c r="H723" s="11">
        <f>IF(BANK_RAW!A723="","",IF(E723&gt;0,"CR",IF(F723&gt;0,"DR","CR")))</f>
        <v/>
      </c>
      <c r="I723" s="12">
        <f>IF(BANK_RAW!A723="","",E723-F723)</f>
        <v/>
      </c>
      <c r="J723" s="12">
        <f>IF(BANK_RAW!A723="","",ABS(I723))</f>
        <v/>
      </c>
      <c r="K723" s="11">
        <f>IF(BANK_RAW!A723="","",IF(H723="CR","IN","OUT"))</f>
        <v/>
      </c>
      <c r="L723" s="11" t="inlineStr"/>
      <c r="M723" s="11" t="inlineStr"/>
    </row>
    <row r="724">
      <c r="A724" s="13">
        <f>IF(BANK_RAW!A724="","",ROW()-1)</f>
        <v/>
      </c>
      <c r="B724" s="10">
        <f>IF(BANK_RAW!A724="","",IF(ISNUMBER(BANK_RAW!A724),BANK_RAW!A724,DATEVALUE(TEXT(BANK_RAW!A724,"YYYY-MM-DD"))))</f>
        <v/>
      </c>
      <c r="C724" s="11">
        <f>IF(BANK_RAW!A724="","",TRIM(BANK_RAW!B724))</f>
        <v/>
      </c>
      <c r="D724" s="11">
        <f>IF(BANK_RAW!A724="","",TRIM(BANK_RAW!C724))</f>
        <v/>
      </c>
      <c r="E724" s="12">
        <f>IF(BANK_RAW!A724="","",IFERROR(ABS(BANK_RAW!D724),0))</f>
        <v/>
      </c>
      <c r="F724" s="12">
        <f>IF(BANK_RAW!A724="","",IFERROR(ABS(BANK_RAW!E724),0))</f>
        <v/>
      </c>
      <c r="G724" s="12">
        <f>IF(BANK_RAW!A724="","",IFERROR(BANK_RAW!F724,0))</f>
        <v/>
      </c>
      <c r="H724" s="11">
        <f>IF(BANK_RAW!A724="","",IF(E724&gt;0,"CR",IF(F724&gt;0,"DR","CR")))</f>
        <v/>
      </c>
      <c r="I724" s="12">
        <f>IF(BANK_RAW!A724="","",E724-F724)</f>
        <v/>
      </c>
      <c r="J724" s="12">
        <f>IF(BANK_RAW!A724="","",ABS(I724))</f>
        <v/>
      </c>
      <c r="K724" s="11">
        <f>IF(BANK_RAW!A724="","",IF(H724="CR","IN","OUT"))</f>
        <v/>
      </c>
      <c r="L724" s="11" t="inlineStr"/>
      <c r="M724" s="11" t="inlineStr"/>
    </row>
    <row r="725">
      <c r="A725" s="13">
        <f>IF(BANK_RAW!A725="","",ROW()-1)</f>
        <v/>
      </c>
      <c r="B725" s="10">
        <f>IF(BANK_RAW!A725="","",IF(ISNUMBER(BANK_RAW!A725),BANK_RAW!A725,DATEVALUE(TEXT(BANK_RAW!A725,"YYYY-MM-DD"))))</f>
        <v/>
      </c>
      <c r="C725" s="11">
        <f>IF(BANK_RAW!A725="","",TRIM(BANK_RAW!B725))</f>
        <v/>
      </c>
      <c r="D725" s="11">
        <f>IF(BANK_RAW!A725="","",TRIM(BANK_RAW!C725))</f>
        <v/>
      </c>
      <c r="E725" s="12">
        <f>IF(BANK_RAW!A725="","",IFERROR(ABS(BANK_RAW!D725),0))</f>
        <v/>
      </c>
      <c r="F725" s="12">
        <f>IF(BANK_RAW!A725="","",IFERROR(ABS(BANK_RAW!E725),0))</f>
        <v/>
      </c>
      <c r="G725" s="12">
        <f>IF(BANK_RAW!A725="","",IFERROR(BANK_RAW!F725,0))</f>
        <v/>
      </c>
      <c r="H725" s="11">
        <f>IF(BANK_RAW!A725="","",IF(E725&gt;0,"CR",IF(F725&gt;0,"DR","CR")))</f>
        <v/>
      </c>
      <c r="I725" s="12">
        <f>IF(BANK_RAW!A725="","",E725-F725)</f>
        <v/>
      </c>
      <c r="J725" s="12">
        <f>IF(BANK_RAW!A725="","",ABS(I725))</f>
        <v/>
      </c>
      <c r="K725" s="11">
        <f>IF(BANK_RAW!A725="","",IF(H725="CR","IN","OUT"))</f>
        <v/>
      </c>
      <c r="L725" s="11" t="inlineStr"/>
      <c r="M725" s="11" t="inlineStr"/>
    </row>
    <row r="726">
      <c r="A726" s="13">
        <f>IF(BANK_RAW!A726="","",ROW()-1)</f>
        <v/>
      </c>
      <c r="B726" s="10">
        <f>IF(BANK_RAW!A726="","",IF(ISNUMBER(BANK_RAW!A726),BANK_RAW!A726,DATEVALUE(TEXT(BANK_RAW!A726,"YYYY-MM-DD"))))</f>
        <v/>
      </c>
      <c r="C726" s="11">
        <f>IF(BANK_RAW!A726="","",TRIM(BANK_RAW!B726))</f>
        <v/>
      </c>
      <c r="D726" s="11">
        <f>IF(BANK_RAW!A726="","",TRIM(BANK_RAW!C726))</f>
        <v/>
      </c>
      <c r="E726" s="12">
        <f>IF(BANK_RAW!A726="","",IFERROR(ABS(BANK_RAW!D726),0))</f>
        <v/>
      </c>
      <c r="F726" s="12">
        <f>IF(BANK_RAW!A726="","",IFERROR(ABS(BANK_RAW!E726),0))</f>
        <v/>
      </c>
      <c r="G726" s="12">
        <f>IF(BANK_RAW!A726="","",IFERROR(BANK_RAW!F726,0))</f>
        <v/>
      </c>
      <c r="H726" s="11">
        <f>IF(BANK_RAW!A726="","",IF(E726&gt;0,"CR",IF(F726&gt;0,"DR","CR")))</f>
        <v/>
      </c>
      <c r="I726" s="12">
        <f>IF(BANK_RAW!A726="","",E726-F726)</f>
        <v/>
      </c>
      <c r="J726" s="12">
        <f>IF(BANK_RAW!A726="","",ABS(I726))</f>
        <v/>
      </c>
      <c r="K726" s="11">
        <f>IF(BANK_RAW!A726="","",IF(H726="CR","IN","OUT"))</f>
        <v/>
      </c>
      <c r="L726" s="11" t="inlineStr"/>
      <c r="M726" s="11" t="inlineStr"/>
    </row>
    <row r="727">
      <c r="A727" s="13">
        <f>IF(BANK_RAW!A727="","",ROW()-1)</f>
        <v/>
      </c>
      <c r="B727" s="10">
        <f>IF(BANK_RAW!A727="","",IF(ISNUMBER(BANK_RAW!A727),BANK_RAW!A727,DATEVALUE(TEXT(BANK_RAW!A727,"YYYY-MM-DD"))))</f>
        <v/>
      </c>
      <c r="C727" s="11">
        <f>IF(BANK_RAW!A727="","",TRIM(BANK_RAW!B727))</f>
        <v/>
      </c>
      <c r="D727" s="11">
        <f>IF(BANK_RAW!A727="","",TRIM(BANK_RAW!C727))</f>
        <v/>
      </c>
      <c r="E727" s="12">
        <f>IF(BANK_RAW!A727="","",IFERROR(ABS(BANK_RAW!D727),0))</f>
        <v/>
      </c>
      <c r="F727" s="12">
        <f>IF(BANK_RAW!A727="","",IFERROR(ABS(BANK_RAW!E727),0))</f>
        <v/>
      </c>
      <c r="G727" s="12">
        <f>IF(BANK_RAW!A727="","",IFERROR(BANK_RAW!F727,0))</f>
        <v/>
      </c>
      <c r="H727" s="11">
        <f>IF(BANK_RAW!A727="","",IF(E727&gt;0,"CR",IF(F727&gt;0,"DR","CR")))</f>
        <v/>
      </c>
      <c r="I727" s="12">
        <f>IF(BANK_RAW!A727="","",E727-F727)</f>
        <v/>
      </c>
      <c r="J727" s="12">
        <f>IF(BANK_RAW!A727="","",ABS(I727))</f>
        <v/>
      </c>
      <c r="K727" s="11">
        <f>IF(BANK_RAW!A727="","",IF(H727="CR","IN","OUT"))</f>
        <v/>
      </c>
      <c r="L727" s="11" t="inlineStr"/>
      <c r="M727" s="11" t="inlineStr"/>
    </row>
    <row r="728">
      <c r="A728" s="13">
        <f>IF(BANK_RAW!A728="","",ROW()-1)</f>
        <v/>
      </c>
      <c r="B728" s="10">
        <f>IF(BANK_RAW!A728="","",IF(ISNUMBER(BANK_RAW!A728),BANK_RAW!A728,DATEVALUE(TEXT(BANK_RAW!A728,"YYYY-MM-DD"))))</f>
        <v/>
      </c>
      <c r="C728" s="11">
        <f>IF(BANK_RAW!A728="","",TRIM(BANK_RAW!B728))</f>
        <v/>
      </c>
      <c r="D728" s="11">
        <f>IF(BANK_RAW!A728="","",TRIM(BANK_RAW!C728))</f>
        <v/>
      </c>
      <c r="E728" s="12">
        <f>IF(BANK_RAW!A728="","",IFERROR(ABS(BANK_RAW!D728),0))</f>
        <v/>
      </c>
      <c r="F728" s="12">
        <f>IF(BANK_RAW!A728="","",IFERROR(ABS(BANK_RAW!E728),0))</f>
        <v/>
      </c>
      <c r="G728" s="12">
        <f>IF(BANK_RAW!A728="","",IFERROR(BANK_RAW!F728,0))</f>
        <v/>
      </c>
      <c r="H728" s="11">
        <f>IF(BANK_RAW!A728="","",IF(E728&gt;0,"CR",IF(F728&gt;0,"DR","CR")))</f>
        <v/>
      </c>
      <c r="I728" s="12">
        <f>IF(BANK_RAW!A728="","",E728-F728)</f>
        <v/>
      </c>
      <c r="J728" s="12">
        <f>IF(BANK_RAW!A728="","",ABS(I728))</f>
        <v/>
      </c>
      <c r="K728" s="11">
        <f>IF(BANK_RAW!A728="","",IF(H728="CR","IN","OUT"))</f>
        <v/>
      </c>
      <c r="L728" s="11" t="inlineStr"/>
      <c r="M728" s="11" t="inlineStr"/>
    </row>
    <row r="729">
      <c r="A729" s="13">
        <f>IF(BANK_RAW!A729="","",ROW()-1)</f>
        <v/>
      </c>
      <c r="B729" s="10">
        <f>IF(BANK_RAW!A729="","",IF(ISNUMBER(BANK_RAW!A729),BANK_RAW!A729,DATEVALUE(TEXT(BANK_RAW!A729,"YYYY-MM-DD"))))</f>
        <v/>
      </c>
      <c r="C729" s="11">
        <f>IF(BANK_RAW!A729="","",TRIM(BANK_RAW!B729))</f>
        <v/>
      </c>
      <c r="D729" s="11">
        <f>IF(BANK_RAW!A729="","",TRIM(BANK_RAW!C729))</f>
        <v/>
      </c>
      <c r="E729" s="12">
        <f>IF(BANK_RAW!A729="","",IFERROR(ABS(BANK_RAW!D729),0))</f>
        <v/>
      </c>
      <c r="F729" s="12">
        <f>IF(BANK_RAW!A729="","",IFERROR(ABS(BANK_RAW!E729),0))</f>
        <v/>
      </c>
      <c r="G729" s="12">
        <f>IF(BANK_RAW!A729="","",IFERROR(BANK_RAW!F729,0))</f>
        <v/>
      </c>
      <c r="H729" s="11">
        <f>IF(BANK_RAW!A729="","",IF(E729&gt;0,"CR",IF(F729&gt;0,"DR","CR")))</f>
        <v/>
      </c>
      <c r="I729" s="12">
        <f>IF(BANK_RAW!A729="","",E729-F729)</f>
        <v/>
      </c>
      <c r="J729" s="12">
        <f>IF(BANK_RAW!A729="","",ABS(I729))</f>
        <v/>
      </c>
      <c r="K729" s="11">
        <f>IF(BANK_RAW!A729="","",IF(H729="CR","IN","OUT"))</f>
        <v/>
      </c>
      <c r="L729" s="11" t="inlineStr"/>
      <c r="M729" s="11" t="inlineStr"/>
    </row>
    <row r="730">
      <c r="A730" s="13">
        <f>IF(BANK_RAW!A730="","",ROW()-1)</f>
        <v/>
      </c>
      <c r="B730" s="10">
        <f>IF(BANK_RAW!A730="","",IF(ISNUMBER(BANK_RAW!A730),BANK_RAW!A730,DATEVALUE(TEXT(BANK_RAW!A730,"YYYY-MM-DD"))))</f>
        <v/>
      </c>
      <c r="C730" s="11">
        <f>IF(BANK_RAW!A730="","",TRIM(BANK_RAW!B730))</f>
        <v/>
      </c>
      <c r="D730" s="11">
        <f>IF(BANK_RAW!A730="","",TRIM(BANK_RAW!C730))</f>
        <v/>
      </c>
      <c r="E730" s="12">
        <f>IF(BANK_RAW!A730="","",IFERROR(ABS(BANK_RAW!D730),0))</f>
        <v/>
      </c>
      <c r="F730" s="12">
        <f>IF(BANK_RAW!A730="","",IFERROR(ABS(BANK_RAW!E730),0))</f>
        <v/>
      </c>
      <c r="G730" s="12">
        <f>IF(BANK_RAW!A730="","",IFERROR(BANK_RAW!F730,0))</f>
        <v/>
      </c>
      <c r="H730" s="11">
        <f>IF(BANK_RAW!A730="","",IF(E730&gt;0,"CR",IF(F730&gt;0,"DR","CR")))</f>
        <v/>
      </c>
      <c r="I730" s="12">
        <f>IF(BANK_RAW!A730="","",E730-F730)</f>
        <v/>
      </c>
      <c r="J730" s="12">
        <f>IF(BANK_RAW!A730="","",ABS(I730))</f>
        <v/>
      </c>
      <c r="K730" s="11">
        <f>IF(BANK_RAW!A730="","",IF(H730="CR","IN","OUT"))</f>
        <v/>
      </c>
      <c r="L730" s="11" t="inlineStr"/>
      <c r="M730" s="11" t="inlineStr"/>
    </row>
    <row r="731">
      <c r="A731" s="13">
        <f>IF(BANK_RAW!A731="","",ROW()-1)</f>
        <v/>
      </c>
      <c r="B731" s="10">
        <f>IF(BANK_RAW!A731="","",IF(ISNUMBER(BANK_RAW!A731),BANK_RAW!A731,DATEVALUE(TEXT(BANK_RAW!A731,"YYYY-MM-DD"))))</f>
        <v/>
      </c>
      <c r="C731" s="11">
        <f>IF(BANK_RAW!A731="","",TRIM(BANK_RAW!B731))</f>
        <v/>
      </c>
      <c r="D731" s="11">
        <f>IF(BANK_RAW!A731="","",TRIM(BANK_RAW!C731))</f>
        <v/>
      </c>
      <c r="E731" s="12">
        <f>IF(BANK_RAW!A731="","",IFERROR(ABS(BANK_RAW!D731),0))</f>
        <v/>
      </c>
      <c r="F731" s="12">
        <f>IF(BANK_RAW!A731="","",IFERROR(ABS(BANK_RAW!E731),0))</f>
        <v/>
      </c>
      <c r="G731" s="12">
        <f>IF(BANK_RAW!A731="","",IFERROR(BANK_RAW!F731,0))</f>
        <v/>
      </c>
      <c r="H731" s="11">
        <f>IF(BANK_RAW!A731="","",IF(E731&gt;0,"CR",IF(F731&gt;0,"DR","CR")))</f>
        <v/>
      </c>
      <c r="I731" s="12">
        <f>IF(BANK_RAW!A731="","",E731-F731)</f>
        <v/>
      </c>
      <c r="J731" s="12">
        <f>IF(BANK_RAW!A731="","",ABS(I731))</f>
        <v/>
      </c>
      <c r="K731" s="11">
        <f>IF(BANK_RAW!A731="","",IF(H731="CR","IN","OUT"))</f>
        <v/>
      </c>
      <c r="L731" s="11" t="inlineStr"/>
      <c r="M731" s="11" t="inlineStr"/>
    </row>
    <row r="732">
      <c r="A732" s="13">
        <f>IF(BANK_RAW!A732="","",ROW()-1)</f>
        <v/>
      </c>
      <c r="B732" s="10">
        <f>IF(BANK_RAW!A732="","",IF(ISNUMBER(BANK_RAW!A732),BANK_RAW!A732,DATEVALUE(TEXT(BANK_RAW!A732,"YYYY-MM-DD"))))</f>
        <v/>
      </c>
      <c r="C732" s="11">
        <f>IF(BANK_RAW!A732="","",TRIM(BANK_RAW!B732))</f>
        <v/>
      </c>
      <c r="D732" s="11">
        <f>IF(BANK_RAW!A732="","",TRIM(BANK_RAW!C732))</f>
        <v/>
      </c>
      <c r="E732" s="12">
        <f>IF(BANK_RAW!A732="","",IFERROR(ABS(BANK_RAW!D732),0))</f>
        <v/>
      </c>
      <c r="F732" s="12">
        <f>IF(BANK_RAW!A732="","",IFERROR(ABS(BANK_RAW!E732),0))</f>
        <v/>
      </c>
      <c r="G732" s="12">
        <f>IF(BANK_RAW!A732="","",IFERROR(BANK_RAW!F732,0))</f>
        <v/>
      </c>
      <c r="H732" s="11">
        <f>IF(BANK_RAW!A732="","",IF(E732&gt;0,"CR",IF(F732&gt;0,"DR","CR")))</f>
        <v/>
      </c>
      <c r="I732" s="12">
        <f>IF(BANK_RAW!A732="","",E732-F732)</f>
        <v/>
      </c>
      <c r="J732" s="12">
        <f>IF(BANK_RAW!A732="","",ABS(I732))</f>
        <v/>
      </c>
      <c r="K732" s="11">
        <f>IF(BANK_RAW!A732="","",IF(H732="CR","IN","OUT"))</f>
        <v/>
      </c>
      <c r="L732" s="11" t="inlineStr"/>
      <c r="M732" s="11" t="inlineStr"/>
    </row>
    <row r="733">
      <c r="A733" s="13">
        <f>IF(BANK_RAW!A733="","",ROW()-1)</f>
        <v/>
      </c>
      <c r="B733" s="10">
        <f>IF(BANK_RAW!A733="","",IF(ISNUMBER(BANK_RAW!A733),BANK_RAW!A733,DATEVALUE(TEXT(BANK_RAW!A733,"YYYY-MM-DD"))))</f>
        <v/>
      </c>
      <c r="C733" s="11">
        <f>IF(BANK_RAW!A733="","",TRIM(BANK_RAW!B733))</f>
        <v/>
      </c>
      <c r="D733" s="11">
        <f>IF(BANK_RAW!A733="","",TRIM(BANK_RAW!C733))</f>
        <v/>
      </c>
      <c r="E733" s="12">
        <f>IF(BANK_RAW!A733="","",IFERROR(ABS(BANK_RAW!D733),0))</f>
        <v/>
      </c>
      <c r="F733" s="12">
        <f>IF(BANK_RAW!A733="","",IFERROR(ABS(BANK_RAW!E733),0))</f>
        <v/>
      </c>
      <c r="G733" s="12">
        <f>IF(BANK_RAW!A733="","",IFERROR(BANK_RAW!F733,0))</f>
        <v/>
      </c>
      <c r="H733" s="11">
        <f>IF(BANK_RAW!A733="","",IF(E733&gt;0,"CR",IF(F733&gt;0,"DR","CR")))</f>
        <v/>
      </c>
      <c r="I733" s="12">
        <f>IF(BANK_RAW!A733="","",E733-F733)</f>
        <v/>
      </c>
      <c r="J733" s="12">
        <f>IF(BANK_RAW!A733="","",ABS(I733))</f>
        <v/>
      </c>
      <c r="K733" s="11">
        <f>IF(BANK_RAW!A733="","",IF(H733="CR","IN","OUT"))</f>
        <v/>
      </c>
      <c r="L733" s="11" t="inlineStr"/>
      <c r="M733" s="11" t="inlineStr"/>
    </row>
    <row r="734">
      <c r="A734" s="13">
        <f>IF(BANK_RAW!A734="","",ROW()-1)</f>
        <v/>
      </c>
      <c r="B734" s="10">
        <f>IF(BANK_RAW!A734="","",IF(ISNUMBER(BANK_RAW!A734),BANK_RAW!A734,DATEVALUE(TEXT(BANK_RAW!A734,"YYYY-MM-DD"))))</f>
        <v/>
      </c>
      <c r="C734" s="11">
        <f>IF(BANK_RAW!A734="","",TRIM(BANK_RAW!B734))</f>
        <v/>
      </c>
      <c r="D734" s="11">
        <f>IF(BANK_RAW!A734="","",TRIM(BANK_RAW!C734))</f>
        <v/>
      </c>
      <c r="E734" s="12">
        <f>IF(BANK_RAW!A734="","",IFERROR(ABS(BANK_RAW!D734),0))</f>
        <v/>
      </c>
      <c r="F734" s="12">
        <f>IF(BANK_RAW!A734="","",IFERROR(ABS(BANK_RAW!E734),0))</f>
        <v/>
      </c>
      <c r="G734" s="12">
        <f>IF(BANK_RAW!A734="","",IFERROR(BANK_RAW!F734,0))</f>
        <v/>
      </c>
      <c r="H734" s="11">
        <f>IF(BANK_RAW!A734="","",IF(E734&gt;0,"CR",IF(F734&gt;0,"DR","CR")))</f>
        <v/>
      </c>
      <c r="I734" s="12">
        <f>IF(BANK_RAW!A734="","",E734-F734)</f>
        <v/>
      </c>
      <c r="J734" s="12">
        <f>IF(BANK_RAW!A734="","",ABS(I734))</f>
        <v/>
      </c>
      <c r="K734" s="11">
        <f>IF(BANK_RAW!A734="","",IF(H734="CR","IN","OUT"))</f>
        <v/>
      </c>
      <c r="L734" s="11" t="inlineStr"/>
      <c r="M734" s="11" t="inlineStr"/>
    </row>
    <row r="735">
      <c r="A735" s="13">
        <f>IF(BANK_RAW!A735="","",ROW()-1)</f>
        <v/>
      </c>
      <c r="B735" s="10">
        <f>IF(BANK_RAW!A735="","",IF(ISNUMBER(BANK_RAW!A735),BANK_RAW!A735,DATEVALUE(TEXT(BANK_RAW!A735,"YYYY-MM-DD"))))</f>
        <v/>
      </c>
      <c r="C735" s="11">
        <f>IF(BANK_RAW!A735="","",TRIM(BANK_RAW!B735))</f>
        <v/>
      </c>
      <c r="D735" s="11">
        <f>IF(BANK_RAW!A735="","",TRIM(BANK_RAW!C735))</f>
        <v/>
      </c>
      <c r="E735" s="12">
        <f>IF(BANK_RAW!A735="","",IFERROR(ABS(BANK_RAW!D735),0))</f>
        <v/>
      </c>
      <c r="F735" s="12">
        <f>IF(BANK_RAW!A735="","",IFERROR(ABS(BANK_RAW!E735),0))</f>
        <v/>
      </c>
      <c r="G735" s="12">
        <f>IF(BANK_RAW!A735="","",IFERROR(BANK_RAW!F735,0))</f>
        <v/>
      </c>
      <c r="H735" s="11">
        <f>IF(BANK_RAW!A735="","",IF(E735&gt;0,"CR",IF(F735&gt;0,"DR","CR")))</f>
        <v/>
      </c>
      <c r="I735" s="12">
        <f>IF(BANK_RAW!A735="","",E735-F735)</f>
        <v/>
      </c>
      <c r="J735" s="12">
        <f>IF(BANK_RAW!A735="","",ABS(I735))</f>
        <v/>
      </c>
      <c r="K735" s="11">
        <f>IF(BANK_RAW!A735="","",IF(H735="CR","IN","OUT"))</f>
        <v/>
      </c>
      <c r="L735" s="11" t="inlineStr"/>
      <c r="M735" s="11" t="inlineStr"/>
    </row>
    <row r="736">
      <c r="A736" s="13">
        <f>IF(BANK_RAW!A736="","",ROW()-1)</f>
        <v/>
      </c>
      <c r="B736" s="10">
        <f>IF(BANK_RAW!A736="","",IF(ISNUMBER(BANK_RAW!A736),BANK_RAW!A736,DATEVALUE(TEXT(BANK_RAW!A736,"YYYY-MM-DD"))))</f>
        <v/>
      </c>
      <c r="C736" s="11">
        <f>IF(BANK_RAW!A736="","",TRIM(BANK_RAW!B736))</f>
        <v/>
      </c>
      <c r="D736" s="11">
        <f>IF(BANK_RAW!A736="","",TRIM(BANK_RAW!C736))</f>
        <v/>
      </c>
      <c r="E736" s="12">
        <f>IF(BANK_RAW!A736="","",IFERROR(ABS(BANK_RAW!D736),0))</f>
        <v/>
      </c>
      <c r="F736" s="12">
        <f>IF(BANK_RAW!A736="","",IFERROR(ABS(BANK_RAW!E736),0))</f>
        <v/>
      </c>
      <c r="G736" s="12">
        <f>IF(BANK_RAW!A736="","",IFERROR(BANK_RAW!F736,0))</f>
        <v/>
      </c>
      <c r="H736" s="11">
        <f>IF(BANK_RAW!A736="","",IF(E736&gt;0,"CR",IF(F736&gt;0,"DR","CR")))</f>
        <v/>
      </c>
      <c r="I736" s="12">
        <f>IF(BANK_RAW!A736="","",E736-F736)</f>
        <v/>
      </c>
      <c r="J736" s="12">
        <f>IF(BANK_RAW!A736="","",ABS(I736))</f>
        <v/>
      </c>
      <c r="K736" s="11">
        <f>IF(BANK_RAW!A736="","",IF(H736="CR","IN","OUT"))</f>
        <v/>
      </c>
      <c r="L736" s="11" t="inlineStr"/>
      <c r="M736" s="11" t="inlineStr"/>
    </row>
    <row r="737">
      <c r="A737" s="13">
        <f>IF(BANK_RAW!A737="","",ROW()-1)</f>
        <v/>
      </c>
      <c r="B737" s="10">
        <f>IF(BANK_RAW!A737="","",IF(ISNUMBER(BANK_RAW!A737),BANK_RAW!A737,DATEVALUE(TEXT(BANK_RAW!A737,"YYYY-MM-DD"))))</f>
        <v/>
      </c>
      <c r="C737" s="11">
        <f>IF(BANK_RAW!A737="","",TRIM(BANK_RAW!B737))</f>
        <v/>
      </c>
      <c r="D737" s="11">
        <f>IF(BANK_RAW!A737="","",TRIM(BANK_RAW!C737))</f>
        <v/>
      </c>
      <c r="E737" s="12">
        <f>IF(BANK_RAW!A737="","",IFERROR(ABS(BANK_RAW!D737),0))</f>
        <v/>
      </c>
      <c r="F737" s="12">
        <f>IF(BANK_RAW!A737="","",IFERROR(ABS(BANK_RAW!E737),0))</f>
        <v/>
      </c>
      <c r="G737" s="12">
        <f>IF(BANK_RAW!A737="","",IFERROR(BANK_RAW!F737,0))</f>
        <v/>
      </c>
      <c r="H737" s="11">
        <f>IF(BANK_RAW!A737="","",IF(E737&gt;0,"CR",IF(F737&gt;0,"DR","CR")))</f>
        <v/>
      </c>
      <c r="I737" s="12">
        <f>IF(BANK_RAW!A737="","",E737-F737)</f>
        <v/>
      </c>
      <c r="J737" s="12">
        <f>IF(BANK_RAW!A737="","",ABS(I737))</f>
        <v/>
      </c>
      <c r="K737" s="11">
        <f>IF(BANK_RAW!A737="","",IF(H737="CR","IN","OUT"))</f>
        <v/>
      </c>
      <c r="L737" s="11" t="inlineStr"/>
      <c r="M737" s="11" t="inlineStr"/>
    </row>
    <row r="738">
      <c r="A738" s="13">
        <f>IF(BANK_RAW!A738="","",ROW()-1)</f>
        <v/>
      </c>
      <c r="B738" s="10">
        <f>IF(BANK_RAW!A738="","",IF(ISNUMBER(BANK_RAW!A738),BANK_RAW!A738,DATEVALUE(TEXT(BANK_RAW!A738,"YYYY-MM-DD"))))</f>
        <v/>
      </c>
      <c r="C738" s="11">
        <f>IF(BANK_RAW!A738="","",TRIM(BANK_RAW!B738))</f>
        <v/>
      </c>
      <c r="D738" s="11">
        <f>IF(BANK_RAW!A738="","",TRIM(BANK_RAW!C738))</f>
        <v/>
      </c>
      <c r="E738" s="12">
        <f>IF(BANK_RAW!A738="","",IFERROR(ABS(BANK_RAW!D738),0))</f>
        <v/>
      </c>
      <c r="F738" s="12">
        <f>IF(BANK_RAW!A738="","",IFERROR(ABS(BANK_RAW!E738),0))</f>
        <v/>
      </c>
      <c r="G738" s="12">
        <f>IF(BANK_RAW!A738="","",IFERROR(BANK_RAW!F738,0))</f>
        <v/>
      </c>
      <c r="H738" s="11">
        <f>IF(BANK_RAW!A738="","",IF(E738&gt;0,"CR",IF(F738&gt;0,"DR","CR")))</f>
        <v/>
      </c>
      <c r="I738" s="12">
        <f>IF(BANK_RAW!A738="","",E738-F738)</f>
        <v/>
      </c>
      <c r="J738" s="12">
        <f>IF(BANK_RAW!A738="","",ABS(I738))</f>
        <v/>
      </c>
      <c r="K738" s="11">
        <f>IF(BANK_RAW!A738="","",IF(H738="CR","IN","OUT"))</f>
        <v/>
      </c>
      <c r="L738" s="11" t="inlineStr"/>
      <c r="M738" s="11" t="inlineStr"/>
    </row>
    <row r="739">
      <c r="A739" s="13">
        <f>IF(BANK_RAW!A739="","",ROW()-1)</f>
        <v/>
      </c>
      <c r="B739" s="10">
        <f>IF(BANK_RAW!A739="","",IF(ISNUMBER(BANK_RAW!A739),BANK_RAW!A739,DATEVALUE(TEXT(BANK_RAW!A739,"YYYY-MM-DD"))))</f>
        <v/>
      </c>
      <c r="C739" s="11">
        <f>IF(BANK_RAW!A739="","",TRIM(BANK_RAW!B739))</f>
        <v/>
      </c>
      <c r="D739" s="11">
        <f>IF(BANK_RAW!A739="","",TRIM(BANK_RAW!C739))</f>
        <v/>
      </c>
      <c r="E739" s="12">
        <f>IF(BANK_RAW!A739="","",IFERROR(ABS(BANK_RAW!D739),0))</f>
        <v/>
      </c>
      <c r="F739" s="12">
        <f>IF(BANK_RAW!A739="","",IFERROR(ABS(BANK_RAW!E739),0))</f>
        <v/>
      </c>
      <c r="G739" s="12">
        <f>IF(BANK_RAW!A739="","",IFERROR(BANK_RAW!F739,0))</f>
        <v/>
      </c>
      <c r="H739" s="11">
        <f>IF(BANK_RAW!A739="","",IF(E739&gt;0,"CR",IF(F739&gt;0,"DR","CR")))</f>
        <v/>
      </c>
      <c r="I739" s="12">
        <f>IF(BANK_RAW!A739="","",E739-F739)</f>
        <v/>
      </c>
      <c r="J739" s="12">
        <f>IF(BANK_RAW!A739="","",ABS(I739))</f>
        <v/>
      </c>
      <c r="K739" s="11">
        <f>IF(BANK_RAW!A739="","",IF(H739="CR","IN","OUT"))</f>
        <v/>
      </c>
      <c r="L739" s="11" t="inlineStr"/>
      <c r="M739" s="11" t="inlineStr"/>
    </row>
    <row r="740">
      <c r="A740" s="13">
        <f>IF(BANK_RAW!A740="","",ROW()-1)</f>
        <v/>
      </c>
      <c r="B740" s="10">
        <f>IF(BANK_RAW!A740="","",IF(ISNUMBER(BANK_RAW!A740),BANK_RAW!A740,DATEVALUE(TEXT(BANK_RAW!A740,"YYYY-MM-DD"))))</f>
        <v/>
      </c>
      <c r="C740" s="11">
        <f>IF(BANK_RAW!A740="","",TRIM(BANK_RAW!B740))</f>
        <v/>
      </c>
      <c r="D740" s="11">
        <f>IF(BANK_RAW!A740="","",TRIM(BANK_RAW!C740))</f>
        <v/>
      </c>
      <c r="E740" s="12">
        <f>IF(BANK_RAW!A740="","",IFERROR(ABS(BANK_RAW!D740),0))</f>
        <v/>
      </c>
      <c r="F740" s="12">
        <f>IF(BANK_RAW!A740="","",IFERROR(ABS(BANK_RAW!E740),0))</f>
        <v/>
      </c>
      <c r="G740" s="12">
        <f>IF(BANK_RAW!A740="","",IFERROR(BANK_RAW!F740,0))</f>
        <v/>
      </c>
      <c r="H740" s="11">
        <f>IF(BANK_RAW!A740="","",IF(E740&gt;0,"CR",IF(F740&gt;0,"DR","CR")))</f>
        <v/>
      </c>
      <c r="I740" s="12">
        <f>IF(BANK_RAW!A740="","",E740-F740)</f>
        <v/>
      </c>
      <c r="J740" s="12">
        <f>IF(BANK_RAW!A740="","",ABS(I740))</f>
        <v/>
      </c>
      <c r="K740" s="11">
        <f>IF(BANK_RAW!A740="","",IF(H740="CR","IN","OUT"))</f>
        <v/>
      </c>
      <c r="L740" s="11" t="inlineStr"/>
      <c r="M740" s="11" t="inlineStr"/>
    </row>
    <row r="741">
      <c r="A741" s="13">
        <f>IF(BANK_RAW!A741="","",ROW()-1)</f>
        <v/>
      </c>
      <c r="B741" s="10">
        <f>IF(BANK_RAW!A741="","",IF(ISNUMBER(BANK_RAW!A741),BANK_RAW!A741,DATEVALUE(TEXT(BANK_RAW!A741,"YYYY-MM-DD"))))</f>
        <v/>
      </c>
      <c r="C741" s="11">
        <f>IF(BANK_RAW!A741="","",TRIM(BANK_RAW!B741))</f>
        <v/>
      </c>
      <c r="D741" s="11">
        <f>IF(BANK_RAW!A741="","",TRIM(BANK_RAW!C741))</f>
        <v/>
      </c>
      <c r="E741" s="12">
        <f>IF(BANK_RAW!A741="","",IFERROR(ABS(BANK_RAW!D741),0))</f>
        <v/>
      </c>
      <c r="F741" s="12">
        <f>IF(BANK_RAW!A741="","",IFERROR(ABS(BANK_RAW!E741),0))</f>
        <v/>
      </c>
      <c r="G741" s="12">
        <f>IF(BANK_RAW!A741="","",IFERROR(BANK_RAW!F741,0))</f>
        <v/>
      </c>
      <c r="H741" s="11">
        <f>IF(BANK_RAW!A741="","",IF(E741&gt;0,"CR",IF(F741&gt;0,"DR","CR")))</f>
        <v/>
      </c>
      <c r="I741" s="12">
        <f>IF(BANK_RAW!A741="","",E741-F741)</f>
        <v/>
      </c>
      <c r="J741" s="12">
        <f>IF(BANK_RAW!A741="","",ABS(I741))</f>
        <v/>
      </c>
      <c r="K741" s="11">
        <f>IF(BANK_RAW!A741="","",IF(H741="CR","IN","OUT"))</f>
        <v/>
      </c>
      <c r="L741" s="11" t="inlineStr"/>
      <c r="M741" s="11" t="inlineStr"/>
    </row>
    <row r="742">
      <c r="A742" s="13">
        <f>IF(BANK_RAW!A742="","",ROW()-1)</f>
        <v/>
      </c>
      <c r="B742" s="10">
        <f>IF(BANK_RAW!A742="","",IF(ISNUMBER(BANK_RAW!A742),BANK_RAW!A742,DATEVALUE(TEXT(BANK_RAW!A742,"YYYY-MM-DD"))))</f>
        <v/>
      </c>
      <c r="C742" s="11">
        <f>IF(BANK_RAW!A742="","",TRIM(BANK_RAW!B742))</f>
        <v/>
      </c>
      <c r="D742" s="11">
        <f>IF(BANK_RAW!A742="","",TRIM(BANK_RAW!C742))</f>
        <v/>
      </c>
      <c r="E742" s="12">
        <f>IF(BANK_RAW!A742="","",IFERROR(ABS(BANK_RAW!D742),0))</f>
        <v/>
      </c>
      <c r="F742" s="12">
        <f>IF(BANK_RAW!A742="","",IFERROR(ABS(BANK_RAW!E742),0))</f>
        <v/>
      </c>
      <c r="G742" s="12">
        <f>IF(BANK_RAW!A742="","",IFERROR(BANK_RAW!F742,0))</f>
        <v/>
      </c>
      <c r="H742" s="11">
        <f>IF(BANK_RAW!A742="","",IF(E742&gt;0,"CR",IF(F742&gt;0,"DR","CR")))</f>
        <v/>
      </c>
      <c r="I742" s="12">
        <f>IF(BANK_RAW!A742="","",E742-F742)</f>
        <v/>
      </c>
      <c r="J742" s="12">
        <f>IF(BANK_RAW!A742="","",ABS(I742))</f>
        <v/>
      </c>
      <c r="K742" s="11">
        <f>IF(BANK_RAW!A742="","",IF(H742="CR","IN","OUT"))</f>
        <v/>
      </c>
      <c r="L742" s="11" t="inlineStr"/>
      <c r="M742" s="11" t="inlineStr"/>
    </row>
    <row r="743">
      <c r="A743" s="13">
        <f>IF(BANK_RAW!A743="","",ROW()-1)</f>
        <v/>
      </c>
      <c r="B743" s="10">
        <f>IF(BANK_RAW!A743="","",IF(ISNUMBER(BANK_RAW!A743),BANK_RAW!A743,DATEVALUE(TEXT(BANK_RAW!A743,"YYYY-MM-DD"))))</f>
        <v/>
      </c>
      <c r="C743" s="11">
        <f>IF(BANK_RAW!A743="","",TRIM(BANK_RAW!B743))</f>
        <v/>
      </c>
      <c r="D743" s="11">
        <f>IF(BANK_RAW!A743="","",TRIM(BANK_RAW!C743))</f>
        <v/>
      </c>
      <c r="E743" s="12">
        <f>IF(BANK_RAW!A743="","",IFERROR(ABS(BANK_RAW!D743),0))</f>
        <v/>
      </c>
      <c r="F743" s="12">
        <f>IF(BANK_RAW!A743="","",IFERROR(ABS(BANK_RAW!E743),0))</f>
        <v/>
      </c>
      <c r="G743" s="12">
        <f>IF(BANK_RAW!A743="","",IFERROR(BANK_RAW!F743,0))</f>
        <v/>
      </c>
      <c r="H743" s="11">
        <f>IF(BANK_RAW!A743="","",IF(E743&gt;0,"CR",IF(F743&gt;0,"DR","CR")))</f>
        <v/>
      </c>
      <c r="I743" s="12">
        <f>IF(BANK_RAW!A743="","",E743-F743)</f>
        <v/>
      </c>
      <c r="J743" s="12">
        <f>IF(BANK_RAW!A743="","",ABS(I743))</f>
        <v/>
      </c>
      <c r="K743" s="11">
        <f>IF(BANK_RAW!A743="","",IF(H743="CR","IN","OUT"))</f>
        <v/>
      </c>
      <c r="L743" s="11" t="inlineStr"/>
      <c r="M743" s="11" t="inlineStr"/>
    </row>
    <row r="744">
      <c r="A744" s="13">
        <f>IF(BANK_RAW!A744="","",ROW()-1)</f>
        <v/>
      </c>
      <c r="B744" s="10">
        <f>IF(BANK_RAW!A744="","",IF(ISNUMBER(BANK_RAW!A744),BANK_RAW!A744,DATEVALUE(TEXT(BANK_RAW!A744,"YYYY-MM-DD"))))</f>
        <v/>
      </c>
      <c r="C744" s="11">
        <f>IF(BANK_RAW!A744="","",TRIM(BANK_RAW!B744))</f>
        <v/>
      </c>
      <c r="D744" s="11">
        <f>IF(BANK_RAW!A744="","",TRIM(BANK_RAW!C744))</f>
        <v/>
      </c>
      <c r="E744" s="12">
        <f>IF(BANK_RAW!A744="","",IFERROR(ABS(BANK_RAW!D744),0))</f>
        <v/>
      </c>
      <c r="F744" s="12">
        <f>IF(BANK_RAW!A744="","",IFERROR(ABS(BANK_RAW!E744),0))</f>
        <v/>
      </c>
      <c r="G744" s="12">
        <f>IF(BANK_RAW!A744="","",IFERROR(BANK_RAW!F744,0))</f>
        <v/>
      </c>
      <c r="H744" s="11">
        <f>IF(BANK_RAW!A744="","",IF(E744&gt;0,"CR",IF(F744&gt;0,"DR","CR")))</f>
        <v/>
      </c>
      <c r="I744" s="12">
        <f>IF(BANK_RAW!A744="","",E744-F744)</f>
        <v/>
      </c>
      <c r="J744" s="12">
        <f>IF(BANK_RAW!A744="","",ABS(I744))</f>
        <v/>
      </c>
      <c r="K744" s="11">
        <f>IF(BANK_RAW!A744="","",IF(H744="CR","IN","OUT"))</f>
        <v/>
      </c>
      <c r="L744" s="11" t="inlineStr"/>
      <c r="M744" s="11" t="inlineStr"/>
    </row>
    <row r="745">
      <c r="A745" s="13">
        <f>IF(BANK_RAW!A745="","",ROW()-1)</f>
        <v/>
      </c>
      <c r="B745" s="10">
        <f>IF(BANK_RAW!A745="","",IF(ISNUMBER(BANK_RAW!A745),BANK_RAW!A745,DATEVALUE(TEXT(BANK_RAW!A745,"YYYY-MM-DD"))))</f>
        <v/>
      </c>
      <c r="C745" s="11">
        <f>IF(BANK_RAW!A745="","",TRIM(BANK_RAW!B745))</f>
        <v/>
      </c>
      <c r="D745" s="11">
        <f>IF(BANK_RAW!A745="","",TRIM(BANK_RAW!C745))</f>
        <v/>
      </c>
      <c r="E745" s="12">
        <f>IF(BANK_RAW!A745="","",IFERROR(ABS(BANK_RAW!D745),0))</f>
        <v/>
      </c>
      <c r="F745" s="12">
        <f>IF(BANK_RAW!A745="","",IFERROR(ABS(BANK_RAW!E745),0))</f>
        <v/>
      </c>
      <c r="G745" s="12">
        <f>IF(BANK_RAW!A745="","",IFERROR(BANK_RAW!F745,0))</f>
        <v/>
      </c>
      <c r="H745" s="11">
        <f>IF(BANK_RAW!A745="","",IF(E745&gt;0,"CR",IF(F745&gt;0,"DR","CR")))</f>
        <v/>
      </c>
      <c r="I745" s="12">
        <f>IF(BANK_RAW!A745="","",E745-F745)</f>
        <v/>
      </c>
      <c r="J745" s="12">
        <f>IF(BANK_RAW!A745="","",ABS(I745))</f>
        <v/>
      </c>
      <c r="K745" s="11">
        <f>IF(BANK_RAW!A745="","",IF(H745="CR","IN","OUT"))</f>
        <v/>
      </c>
      <c r="L745" s="11" t="inlineStr"/>
      <c r="M745" s="11" t="inlineStr"/>
    </row>
    <row r="746">
      <c r="A746" s="13">
        <f>IF(BANK_RAW!A746="","",ROW()-1)</f>
        <v/>
      </c>
      <c r="B746" s="10">
        <f>IF(BANK_RAW!A746="","",IF(ISNUMBER(BANK_RAW!A746),BANK_RAW!A746,DATEVALUE(TEXT(BANK_RAW!A746,"YYYY-MM-DD"))))</f>
        <v/>
      </c>
      <c r="C746" s="11">
        <f>IF(BANK_RAW!A746="","",TRIM(BANK_RAW!B746))</f>
        <v/>
      </c>
      <c r="D746" s="11">
        <f>IF(BANK_RAW!A746="","",TRIM(BANK_RAW!C746))</f>
        <v/>
      </c>
      <c r="E746" s="12">
        <f>IF(BANK_RAW!A746="","",IFERROR(ABS(BANK_RAW!D746),0))</f>
        <v/>
      </c>
      <c r="F746" s="12">
        <f>IF(BANK_RAW!A746="","",IFERROR(ABS(BANK_RAW!E746),0))</f>
        <v/>
      </c>
      <c r="G746" s="12">
        <f>IF(BANK_RAW!A746="","",IFERROR(BANK_RAW!F746,0))</f>
        <v/>
      </c>
      <c r="H746" s="11">
        <f>IF(BANK_RAW!A746="","",IF(E746&gt;0,"CR",IF(F746&gt;0,"DR","CR")))</f>
        <v/>
      </c>
      <c r="I746" s="12">
        <f>IF(BANK_RAW!A746="","",E746-F746)</f>
        <v/>
      </c>
      <c r="J746" s="12">
        <f>IF(BANK_RAW!A746="","",ABS(I746))</f>
        <v/>
      </c>
      <c r="K746" s="11">
        <f>IF(BANK_RAW!A746="","",IF(H746="CR","IN","OUT"))</f>
        <v/>
      </c>
      <c r="L746" s="11" t="inlineStr"/>
      <c r="M746" s="11" t="inlineStr"/>
    </row>
    <row r="747">
      <c r="A747" s="13">
        <f>IF(BANK_RAW!A747="","",ROW()-1)</f>
        <v/>
      </c>
      <c r="B747" s="10">
        <f>IF(BANK_RAW!A747="","",IF(ISNUMBER(BANK_RAW!A747),BANK_RAW!A747,DATEVALUE(TEXT(BANK_RAW!A747,"YYYY-MM-DD"))))</f>
        <v/>
      </c>
      <c r="C747" s="11">
        <f>IF(BANK_RAW!A747="","",TRIM(BANK_RAW!B747))</f>
        <v/>
      </c>
      <c r="D747" s="11">
        <f>IF(BANK_RAW!A747="","",TRIM(BANK_RAW!C747))</f>
        <v/>
      </c>
      <c r="E747" s="12">
        <f>IF(BANK_RAW!A747="","",IFERROR(ABS(BANK_RAW!D747),0))</f>
        <v/>
      </c>
      <c r="F747" s="12">
        <f>IF(BANK_RAW!A747="","",IFERROR(ABS(BANK_RAW!E747),0))</f>
        <v/>
      </c>
      <c r="G747" s="12">
        <f>IF(BANK_RAW!A747="","",IFERROR(BANK_RAW!F747,0))</f>
        <v/>
      </c>
      <c r="H747" s="11">
        <f>IF(BANK_RAW!A747="","",IF(E747&gt;0,"CR",IF(F747&gt;0,"DR","CR")))</f>
        <v/>
      </c>
      <c r="I747" s="12">
        <f>IF(BANK_RAW!A747="","",E747-F747)</f>
        <v/>
      </c>
      <c r="J747" s="12">
        <f>IF(BANK_RAW!A747="","",ABS(I747))</f>
        <v/>
      </c>
      <c r="K747" s="11">
        <f>IF(BANK_RAW!A747="","",IF(H747="CR","IN","OUT"))</f>
        <v/>
      </c>
      <c r="L747" s="11" t="inlineStr"/>
      <c r="M747" s="11" t="inlineStr"/>
    </row>
    <row r="748">
      <c r="A748" s="13">
        <f>IF(BANK_RAW!A748="","",ROW()-1)</f>
        <v/>
      </c>
      <c r="B748" s="10">
        <f>IF(BANK_RAW!A748="","",IF(ISNUMBER(BANK_RAW!A748),BANK_RAW!A748,DATEVALUE(TEXT(BANK_RAW!A748,"YYYY-MM-DD"))))</f>
        <v/>
      </c>
      <c r="C748" s="11">
        <f>IF(BANK_RAW!A748="","",TRIM(BANK_RAW!B748))</f>
        <v/>
      </c>
      <c r="D748" s="11">
        <f>IF(BANK_RAW!A748="","",TRIM(BANK_RAW!C748))</f>
        <v/>
      </c>
      <c r="E748" s="12">
        <f>IF(BANK_RAW!A748="","",IFERROR(ABS(BANK_RAW!D748),0))</f>
        <v/>
      </c>
      <c r="F748" s="12">
        <f>IF(BANK_RAW!A748="","",IFERROR(ABS(BANK_RAW!E748),0))</f>
        <v/>
      </c>
      <c r="G748" s="12">
        <f>IF(BANK_RAW!A748="","",IFERROR(BANK_RAW!F748,0))</f>
        <v/>
      </c>
      <c r="H748" s="11">
        <f>IF(BANK_RAW!A748="","",IF(E748&gt;0,"CR",IF(F748&gt;0,"DR","CR")))</f>
        <v/>
      </c>
      <c r="I748" s="12">
        <f>IF(BANK_RAW!A748="","",E748-F748)</f>
        <v/>
      </c>
      <c r="J748" s="12">
        <f>IF(BANK_RAW!A748="","",ABS(I748))</f>
        <v/>
      </c>
      <c r="K748" s="11">
        <f>IF(BANK_RAW!A748="","",IF(H748="CR","IN","OUT"))</f>
        <v/>
      </c>
      <c r="L748" s="11" t="inlineStr"/>
      <c r="M748" s="11" t="inlineStr"/>
    </row>
    <row r="749">
      <c r="A749" s="13">
        <f>IF(BANK_RAW!A749="","",ROW()-1)</f>
        <v/>
      </c>
      <c r="B749" s="10">
        <f>IF(BANK_RAW!A749="","",IF(ISNUMBER(BANK_RAW!A749),BANK_RAW!A749,DATEVALUE(TEXT(BANK_RAW!A749,"YYYY-MM-DD"))))</f>
        <v/>
      </c>
      <c r="C749" s="11">
        <f>IF(BANK_RAW!A749="","",TRIM(BANK_RAW!B749))</f>
        <v/>
      </c>
      <c r="D749" s="11">
        <f>IF(BANK_RAW!A749="","",TRIM(BANK_RAW!C749))</f>
        <v/>
      </c>
      <c r="E749" s="12">
        <f>IF(BANK_RAW!A749="","",IFERROR(ABS(BANK_RAW!D749),0))</f>
        <v/>
      </c>
      <c r="F749" s="12">
        <f>IF(BANK_RAW!A749="","",IFERROR(ABS(BANK_RAW!E749),0))</f>
        <v/>
      </c>
      <c r="G749" s="12">
        <f>IF(BANK_RAW!A749="","",IFERROR(BANK_RAW!F749,0))</f>
        <v/>
      </c>
      <c r="H749" s="11">
        <f>IF(BANK_RAW!A749="","",IF(E749&gt;0,"CR",IF(F749&gt;0,"DR","CR")))</f>
        <v/>
      </c>
      <c r="I749" s="12">
        <f>IF(BANK_RAW!A749="","",E749-F749)</f>
        <v/>
      </c>
      <c r="J749" s="12">
        <f>IF(BANK_RAW!A749="","",ABS(I749))</f>
        <v/>
      </c>
      <c r="K749" s="11">
        <f>IF(BANK_RAW!A749="","",IF(H749="CR","IN","OUT"))</f>
        <v/>
      </c>
      <c r="L749" s="11" t="inlineStr"/>
      <c r="M749" s="11" t="inlineStr"/>
    </row>
    <row r="750">
      <c r="A750" s="13">
        <f>IF(BANK_RAW!A750="","",ROW()-1)</f>
        <v/>
      </c>
      <c r="B750" s="10">
        <f>IF(BANK_RAW!A750="","",IF(ISNUMBER(BANK_RAW!A750),BANK_RAW!A750,DATEVALUE(TEXT(BANK_RAW!A750,"YYYY-MM-DD"))))</f>
        <v/>
      </c>
      <c r="C750" s="11">
        <f>IF(BANK_RAW!A750="","",TRIM(BANK_RAW!B750))</f>
        <v/>
      </c>
      <c r="D750" s="11">
        <f>IF(BANK_RAW!A750="","",TRIM(BANK_RAW!C750))</f>
        <v/>
      </c>
      <c r="E750" s="12">
        <f>IF(BANK_RAW!A750="","",IFERROR(ABS(BANK_RAW!D750),0))</f>
        <v/>
      </c>
      <c r="F750" s="12">
        <f>IF(BANK_RAW!A750="","",IFERROR(ABS(BANK_RAW!E750),0))</f>
        <v/>
      </c>
      <c r="G750" s="12">
        <f>IF(BANK_RAW!A750="","",IFERROR(BANK_RAW!F750,0))</f>
        <v/>
      </c>
      <c r="H750" s="11">
        <f>IF(BANK_RAW!A750="","",IF(E750&gt;0,"CR",IF(F750&gt;0,"DR","CR")))</f>
        <v/>
      </c>
      <c r="I750" s="12">
        <f>IF(BANK_RAW!A750="","",E750-F750)</f>
        <v/>
      </c>
      <c r="J750" s="12">
        <f>IF(BANK_RAW!A750="","",ABS(I750))</f>
        <v/>
      </c>
      <c r="K750" s="11">
        <f>IF(BANK_RAW!A750="","",IF(H750="CR","IN","OUT"))</f>
        <v/>
      </c>
      <c r="L750" s="11" t="inlineStr"/>
      <c r="M750" s="11" t="inlineStr"/>
    </row>
    <row r="751">
      <c r="A751" s="13">
        <f>IF(BANK_RAW!A751="","",ROW()-1)</f>
        <v/>
      </c>
      <c r="B751" s="10">
        <f>IF(BANK_RAW!A751="","",IF(ISNUMBER(BANK_RAW!A751),BANK_RAW!A751,DATEVALUE(TEXT(BANK_RAW!A751,"YYYY-MM-DD"))))</f>
        <v/>
      </c>
      <c r="C751" s="11">
        <f>IF(BANK_RAW!A751="","",TRIM(BANK_RAW!B751))</f>
        <v/>
      </c>
      <c r="D751" s="11">
        <f>IF(BANK_RAW!A751="","",TRIM(BANK_RAW!C751))</f>
        <v/>
      </c>
      <c r="E751" s="12">
        <f>IF(BANK_RAW!A751="","",IFERROR(ABS(BANK_RAW!D751),0))</f>
        <v/>
      </c>
      <c r="F751" s="12">
        <f>IF(BANK_RAW!A751="","",IFERROR(ABS(BANK_RAW!E751),0))</f>
        <v/>
      </c>
      <c r="G751" s="12">
        <f>IF(BANK_RAW!A751="","",IFERROR(BANK_RAW!F751,0))</f>
        <v/>
      </c>
      <c r="H751" s="11">
        <f>IF(BANK_RAW!A751="","",IF(E751&gt;0,"CR",IF(F751&gt;0,"DR","CR")))</f>
        <v/>
      </c>
      <c r="I751" s="12">
        <f>IF(BANK_RAW!A751="","",E751-F751)</f>
        <v/>
      </c>
      <c r="J751" s="12">
        <f>IF(BANK_RAW!A751="","",ABS(I751))</f>
        <v/>
      </c>
      <c r="K751" s="11">
        <f>IF(BANK_RAW!A751="","",IF(H751="CR","IN","OUT"))</f>
        <v/>
      </c>
      <c r="L751" s="11" t="inlineStr"/>
      <c r="M751" s="11" t="inlineStr"/>
    </row>
    <row r="752">
      <c r="A752" s="13">
        <f>IF(BANK_RAW!A752="","",ROW()-1)</f>
        <v/>
      </c>
      <c r="B752" s="10">
        <f>IF(BANK_RAW!A752="","",IF(ISNUMBER(BANK_RAW!A752),BANK_RAW!A752,DATEVALUE(TEXT(BANK_RAW!A752,"YYYY-MM-DD"))))</f>
        <v/>
      </c>
      <c r="C752" s="11">
        <f>IF(BANK_RAW!A752="","",TRIM(BANK_RAW!B752))</f>
        <v/>
      </c>
      <c r="D752" s="11">
        <f>IF(BANK_RAW!A752="","",TRIM(BANK_RAW!C752))</f>
        <v/>
      </c>
      <c r="E752" s="12">
        <f>IF(BANK_RAW!A752="","",IFERROR(ABS(BANK_RAW!D752),0))</f>
        <v/>
      </c>
      <c r="F752" s="12">
        <f>IF(BANK_RAW!A752="","",IFERROR(ABS(BANK_RAW!E752),0))</f>
        <v/>
      </c>
      <c r="G752" s="12">
        <f>IF(BANK_RAW!A752="","",IFERROR(BANK_RAW!F752,0))</f>
        <v/>
      </c>
      <c r="H752" s="11">
        <f>IF(BANK_RAW!A752="","",IF(E752&gt;0,"CR",IF(F752&gt;0,"DR","CR")))</f>
        <v/>
      </c>
      <c r="I752" s="12">
        <f>IF(BANK_RAW!A752="","",E752-F752)</f>
        <v/>
      </c>
      <c r="J752" s="12">
        <f>IF(BANK_RAW!A752="","",ABS(I752))</f>
        <v/>
      </c>
      <c r="K752" s="11">
        <f>IF(BANK_RAW!A752="","",IF(H752="CR","IN","OUT"))</f>
        <v/>
      </c>
      <c r="L752" s="11" t="inlineStr"/>
      <c r="M752" s="11" t="inlineStr"/>
    </row>
    <row r="753">
      <c r="A753" s="13">
        <f>IF(BANK_RAW!A753="","",ROW()-1)</f>
        <v/>
      </c>
      <c r="B753" s="10">
        <f>IF(BANK_RAW!A753="","",IF(ISNUMBER(BANK_RAW!A753),BANK_RAW!A753,DATEVALUE(TEXT(BANK_RAW!A753,"YYYY-MM-DD"))))</f>
        <v/>
      </c>
      <c r="C753" s="11">
        <f>IF(BANK_RAW!A753="","",TRIM(BANK_RAW!B753))</f>
        <v/>
      </c>
      <c r="D753" s="11">
        <f>IF(BANK_RAW!A753="","",TRIM(BANK_RAW!C753))</f>
        <v/>
      </c>
      <c r="E753" s="12">
        <f>IF(BANK_RAW!A753="","",IFERROR(ABS(BANK_RAW!D753),0))</f>
        <v/>
      </c>
      <c r="F753" s="12">
        <f>IF(BANK_RAW!A753="","",IFERROR(ABS(BANK_RAW!E753),0))</f>
        <v/>
      </c>
      <c r="G753" s="12">
        <f>IF(BANK_RAW!A753="","",IFERROR(BANK_RAW!F753,0))</f>
        <v/>
      </c>
      <c r="H753" s="11">
        <f>IF(BANK_RAW!A753="","",IF(E753&gt;0,"CR",IF(F753&gt;0,"DR","CR")))</f>
        <v/>
      </c>
      <c r="I753" s="12">
        <f>IF(BANK_RAW!A753="","",E753-F753)</f>
        <v/>
      </c>
      <c r="J753" s="12">
        <f>IF(BANK_RAW!A753="","",ABS(I753))</f>
        <v/>
      </c>
      <c r="K753" s="11">
        <f>IF(BANK_RAW!A753="","",IF(H753="CR","IN","OUT"))</f>
        <v/>
      </c>
      <c r="L753" s="11" t="inlineStr"/>
      <c r="M753" s="11" t="inlineStr"/>
    </row>
    <row r="754">
      <c r="A754" s="13">
        <f>IF(BANK_RAW!A754="","",ROW()-1)</f>
        <v/>
      </c>
      <c r="B754" s="10">
        <f>IF(BANK_RAW!A754="","",IF(ISNUMBER(BANK_RAW!A754),BANK_RAW!A754,DATEVALUE(TEXT(BANK_RAW!A754,"YYYY-MM-DD"))))</f>
        <v/>
      </c>
      <c r="C754" s="11">
        <f>IF(BANK_RAW!A754="","",TRIM(BANK_RAW!B754))</f>
        <v/>
      </c>
      <c r="D754" s="11">
        <f>IF(BANK_RAW!A754="","",TRIM(BANK_RAW!C754))</f>
        <v/>
      </c>
      <c r="E754" s="12">
        <f>IF(BANK_RAW!A754="","",IFERROR(ABS(BANK_RAW!D754),0))</f>
        <v/>
      </c>
      <c r="F754" s="12">
        <f>IF(BANK_RAW!A754="","",IFERROR(ABS(BANK_RAW!E754),0))</f>
        <v/>
      </c>
      <c r="G754" s="12">
        <f>IF(BANK_RAW!A754="","",IFERROR(BANK_RAW!F754,0))</f>
        <v/>
      </c>
      <c r="H754" s="11">
        <f>IF(BANK_RAW!A754="","",IF(E754&gt;0,"CR",IF(F754&gt;0,"DR","CR")))</f>
        <v/>
      </c>
      <c r="I754" s="12">
        <f>IF(BANK_RAW!A754="","",E754-F754)</f>
        <v/>
      </c>
      <c r="J754" s="12">
        <f>IF(BANK_RAW!A754="","",ABS(I754))</f>
        <v/>
      </c>
      <c r="K754" s="11">
        <f>IF(BANK_RAW!A754="","",IF(H754="CR","IN","OUT"))</f>
        <v/>
      </c>
      <c r="L754" s="11" t="inlineStr"/>
      <c r="M754" s="11" t="inlineStr"/>
    </row>
    <row r="755">
      <c r="A755" s="13">
        <f>IF(BANK_RAW!A755="","",ROW()-1)</f>
        <v/>
      </c>
      <c r="B755" s="10">
        <f>IF(BANK_RAW!A755="","",IF(ISNUMBER(BANK_RAW!A755),BANK_RAW!A755,DATEVALUE(TEXT(BANK_RAW!A755,"YYYY-MM-DD"))))</f>
        <v/>
      </c>
      <c r="C755" s="11">
        <f>IF(BANK_RAW!A755="","",TRIM(BANK_RAW!B755))</f>
        <v/>
      </c>
      <c r="D755" s="11">
        <f>IF(BANK_RAW!A755="","",TRIM(BANK_RAW!C755))</f>
        <v/>
      </c>
      <c r="E755" s="12">
        <f>IF(BANK_RAW!A755="","",IFERROR(ABS(BANK_RAW!D755),0))</f>
        <v/>
      </c>
      <c r="F755" s="12">
        <f>IF(BANK_RAW!A755="","",IFERROR(ABS(BANK_RAW!E755),0))</f>
        <v/>
      </c>
      <c r="G755" s="12">
        <f>IF(BANK_RAW!A755="","",IFERROR(BANK_RAW!F755,0))</f>
        <v/>
      </c>
      <c r="H755" s="11">
        <f>IF(BANK_RAW!A755="","",IF(E755&gt;0,"CR",IF(F755&gt;0,"DR","CR")))</f>
        <v/>
      </c>
      <c r="I755" s="12">
        <f>IF(BANK_RAW!A755="","",E755-F755)</f>
        <v/>
      </c>
      <c r="J755" s="12">
        <f>IF(BANK_RAW!A755="","",ABS(I755))</f>
        <v/>
      </c>
      <c r="K755" s="11">
        <f>IF(BANK_RAW!A755="","",IF(H755="CR","IN","OUT"))</f>
        <v/>
      </c>
      <c r="L755" s="11" t="inlineStr"/>
      <c r="M755" s="11" t="inlineStr"/>
    </row>
    <row r="756">
      <c r="A756" s="13">
        <f>IF(BANK_RAW!A756="","",ROW()-1)</f>
        <v/>
      </c>
      <c r="B756" s="10">
        <f>IF(BANK_RAW!A756="","",IF(ISNUMBER(BANK_RAW!A756),BANK_RAW!A756,DATEVALUE(TEXT(BANK_RAW!A756,"YYYY-MM-DD"))))</f>
        <v/>
      </c>
      <c r="C756" s="11">
        <f>IF(BANK_RAW!A756="","",TRIM(BANK_RAW!B756))</f>
        <v/>
      </c>
      <c r="D756" s="11">
        <f>IF(BANK_RAW!A756="","",TRIM(BANK_RAW!C756))</f>
        <v/>
      </c>
      <c r="E756" s="12">
        <f>IF(BANK_RAW!A756="","",IFERROR(ABS(BANK_RAW!D756),0))</f>
        <v/>
      </c>
      <c r="F756" s="12">
        <f>IF(BANK_RAW!A756="","",IFERROR(ABS(BANK_RAW!E756),0))</f>
        <v/>
      </c>
      <c r="G756" s="12">
        <f>IF(BANK_RAW!A756="","",IFERROR(BANK_RAW!F756,0))</f>
        <v/>
      </c>
      <c r="H756" s="11">
        <f>IF(BANK_RAW!A756="","",IF(E756&gt;0,"CR",IF(F756&gt;0,"DR","CR")))</f>
        <v/>
      </c>
      <c r="I756" s="12">
        <f>IF(BANK_RAW!A756="","",E756-F756)</f>
        <v/>
      </c>
      <c r="J756" s="12">
        <f>IF(BANK_RAW!A756="","",ABS(I756))</f>
        <v/>
      </c>
      <c r="K756" s="11">
        <f>IF(BANK_RAW!A756="","",IF(H756="CR","IN","OUT"))</f>
        <v/>
      </c>
      <c r="L756" s="11" t="inlineStr"/>
      <c r="M756" s="11" t="inlineStr"/>
    </row>
    <row r="757">
      <c r="A757" s="13">
        <f>IF(BANK_RAW!A757="","",ROW()-1)</f>
        <v/>
      </c>
      <c r="B757" s="10">
        <f>IF(BANK_RAW!A757="","",IF(ISNUMBER(BANK_RAW!A757),BANK_RAW!A757,DATEVALUE(TEXT(BANK_RAW!A757,"YYYY-MM-DD"))))</f>
        <v/>
      </c>
      <c r="C757" s="11">
        <f>IF(BANK_RAW!A757="","",TRIM(BANK_RAW!B757))</f>
        <v/>
      </c>
      <c r="D757" s="11">
        <f>IF(BANK_RAW!A757="","",TRIM(BANK_RAW!C757))</f>
        <v/>
      </c>
      <c r="E757" s="12">
        <f>IF(BANK_RAW!A757="","",IFERROR(ABS(BANK_RAW!D757),0))</f>
        <v/>
      </c>
      <c r="F757" s="12">
        <f>IF(BANK_RAW!A757="","",IFERROR(ABS(BANK_RAW!E757),0))</f>
        <v/>
      </c>
      <c r="G757" s="12">
        <f>IF(BANK_RAW!A757="","",IFERROR(BANK_RAW!F757,0))</f>
        <v/>
      </c>
      <c r="H757" s="11">
        <f>IF(BANK_RAW!A757="","",IF(E757&gt;0,"CR",IF(F757&gt;0,"DR","CR")))</f>
        <v/>
      </c>
      <c r="I757" s="12">
        <f>IF(BANK_RAW!A757="","",E757-F757)</f>
        <v/>
      </c>
      <c r="J757" s="12">
        <f>IF(BANK_RAW!A757="","",ABS(I757))</f>
        <v/>
      </c>
      <c r="K757" s="11">
        <f>IF(BANK_RAW!A757="","",IF(H757="CR","IN","OUT"))</f>
        <v/>
      </c>
      <c r="L757" s="11" t="inlineStr"/>
      <c r="M757" s="11" t="inlineStr"/>
    </row>
    <row r="758">
      <c r="A758" s="13">
        <f>IF(BANK_RAW!A758="","",ROW()-1)</f>
        <v/>
      </c>
      <c r="B758" s="10">
        <f>IF(BANK_RAW!A758="","",IF(ISNUMBER(BANK_RAW!A758),BANK_RAW!A758,DATEVALUE(TEXT(BANK_RAW!A758,"YYYY-MM-DD"))))</f>
        <v/>
      </c>
      <c r="C758" s="11">
        <f>IF(BANK_RAW!A758="","",TRIM(BANK_RAW!B758))</f>
        <v/>
      </c>
      <c r="D758" s="11">
        <f>IF(BANK_RAW!A758="","",TRIM(BANK_RAW!C758))</f>
        <v/>
      </c>
      <c r="E758" s="12">
        <f>IF(BANK_RAW!A758="","",IFERROR(ABS(BANK_RAW!D758),0))</f>
        <v/>
      </c>
      <c r="F758" s="12">
        <f>IF(BANK_RAW!A758="","",IFERROR(ABS(BANK_RAW!E758),0))</f>
        <v/>
      </c>
      <c r="G758" s="12">
        <f>IF(BANK_RAW!A758="","",IFERROR(BANK_RAW!F758,0))</f>
        <v/>
      </c>
      <c r="H758" s="11">
        <f>IF(BANK_RAW!A758="","",IF(E758&gt;0,"CR",IF(F758&gt;0,"DR","CR")))</f>
        <v/>
      </c>
      <c r="I758" s="12">
        <f>IF(BANK_RAW!A758="","",E758-F758)</f>
        <v/>
      </c>
      <c r="J758" s="12">
        <f>IF(BANK_RAW!A758="","",ABS(I758))</f>
        <v/>
      </c>
      <c r="K758" s="11">
        <f>IF(BANK_RAW!A758="","",IF(H758="CR","IN","OUT"))</f>
        <v/>
      </c>
      <c r="L758" s="11" t="inlineStr"/>
      <c r="M758" s="11" t="inlineStr"/>
    </row>
    <row r="759">
      <c r="A759" s="13">
        <f>IF(BANK_RAW!A759="","",ROW()-1)</f>
        <v/>
      </c>
      <c r="B759" s="10">
        <f>IF(BANK_RAW!A759="","",IF(ISNUMBER(BANK_RAW!A759),BANK_RAW!A759,DATEVALUE(TEXT(BANK_RAW!A759,"YYYY-MM-DD"))))</f>
        <v/>
      </c>
      <c r="C759" s="11">
        <f>IF(BANK_RAW!A759="","",TRIM(BANK_RAW!B759))</f>
        <v/>
      </c>
      <c r="D759" s="11">
        <f>IF(BANK_RAW!A759="","",TRIM(BANK_RAW!C759))</f>
        <v/>
      </c>
      <c r="E759" s="12">
        <f>IF(BANK_RAW!A759="","",IFERROR(ABS(BANK_RAW!D759),0))</f>
        <v/>
      </c>
      <c r="F759" s="12">
        <f>IF(BANK_RAW!A759="","",IFERROR(ABS(BANK_RAW!E759),0))</f>
        <v/>
      </c>
      <c r="G759" s="12">
        <f>IF(BANK_RAW!A759="","",IFERROR(BANK_RAW!F759,0))</f>
        <v/>
      </c>
      <c r="H759" s="11">
        <f>IF(BANK_RAW!A759="","",IF(E759&gt;0,"CR",IF(F759&gt;0,"DR","CR")))</f>
        <v/>
      </c>
      <c r="I759" s="12">
        <f>IF(BANK_RAW!A759="","",E759-F759)</f>
        <v/>
      </c>
      <c r="J759" s="12">
        <f>IF(BANK_RAW!A759="","",ABS(I759))</f>
        <v/>
      </c>
      <c r="K759" s="11">
        <f>IF(BANK_RAW!A759="","",IF(H759="CR","IN","OUT"))</f>
        <v/>
      </c>
      <c r="L759" s="11" t="inlineStr"/>
      <c r="M759" s="11" t="inlineStr"/>
    </row>
    <row r="760">
      <c r="A760" s="13">
        <f>IF(BANK_RAW!A760="","",ROW()-1)</f>
        <v/>
      </c>
      <c r="B760" s="10">
        <f>IF(BANK_RAW!A760="","",IF(ISNUMBER(BANK_RAW!A760),BANK_RAW!A760,DATEVALUE(TEXT(BANK_RAW!A760,"YYYY-MM-DD"))))</f>
        <v/>
      </c>
      <c r="C760" s="11">
        <f>IF(BANK_RAW!A760="","",TRIM(BANK_RAW!B760))</f>
        <v/>
      </c>
      <c r="D760" s="11">
        <f>IF(BANK_RAW!A760="","",TRIM(BANK_RAW!C760))</f>
        <v/>
      </c>
      <c r="E760" s="12">
        <f>IF(BANK_RAW!A760="","",IFERROR(ABS(BANK_RAW!D760),0))</f>
        <v/>
      </c>
      <c r="F760" s="12">
        <f>IF(BANK_RAW!A760="","",IFERROR(ABS(BANK_RAW!E760),0))</f>
        <v/>
      </c>
      <c r="G760" s="12">
        <f>IF(BANK_RAW!A760="","",IFERROR(BANK_RAW!F760,0))</f>
        <v/>
      </c>
      <c r="H760" s="11">
        <f>IF(BANK_RAW!A760="","",IF(E760&gt;0,"CR",IF(F760&gt;0,"DR","CR")))</f>
        <v/>
      </c>
      <c r="I760" s="12">
        <f>IF(BANK_RAW!A760="","",E760-F760)</f>
        <v/>
      </c>
      <c r="J760" s="12">
        <f>IF(BANK_RAW!A760="","",ABS(I760))</f>
        <v/>
      </c>
      <c r="K760" s="11">
        <f>IF(BANK_RAW!A760="","",IF(H760="CR","IN","OUT"))</f>
        <v/>
      </c>
      <c r="L760" s="11" t="inlineStr"/>
      <c r="M760" s="11" t="inlineStr"/>
    </row>
    <row r="761">
      <c r="A761" s="13">
        <f>IF(BANK_RAW!A761="","",ROW()-1)</f>
        <v/>
      </c>
      <c r="B761" s="10">
        <f>IF(BANK_RAW!A761="","",IF(ISNUMBER(BANK_RAW!A761),BANK_RAW!A761,DATEVALUE(TEXT(BANK_RAW!A761,"YYYY-MM-DD"))))</f>
        <v/>
      </c>
      <c r="C761" s="11">
        <f>IF(BANK_RAW!A761="","",TRIM(BANK_RAW!B761))</f>
        <v/>
      </c>
      <c r="D761" s="11">
        <f>IF(BANK_RAW!A761="","",TRIM(BANK_RAW!C761))</f>
        <v/>
      </c>
      <c r="E761" s="12">
        <f>IF(BANK_RAW!A761="","",IFERROR(ABS(BANK_RAW!D761),0))</f>
        <v/>
      </c>
      <c r="F761" s="12">
        <f>IF(BANK_RAW!A761="","",IFERROR(ABS(BANK_RAW!E761),0))</f>
        <v/>
      </c>
      <c r="G761" s="12">
        <f>IF(BANK_RAW!A761="","",IFERROR(BANK_RAW!F761,0))</f>
        <v/>
      </c>
      <c r="H761" s="11">
        <f>IF(BANK_RAW!A761="","",IF(E761&gt;0,"CR",IF(F761&gt;0,"DR","CR")))</f>
        <v/>
      </c>
      <c r="I761" s="12">
        <f>IF(BANK_RAW!A761="","",E761-F761)</f>
        <v/>
      </c>
      <c r="J761" s="12">
        <f>IF(BANK_RAW!A761="","",ABS(I761))</f>
        <v/>
      </c>
      <c r="K761" s="11">
        <f>IF(BANK_RAW!A761="","",IF(H761="CR","IN","OUT"))</f>
        <v/>
      </c>
      <c r="L761" s="11" t="inlineStr"/>
      <c r="M761" s="11" t="inlineStr"/>
    </row>
    <row r="762">
      <c r="A762" s="13">
        <f>IF(BANK_RAW!A762="","",ROW()-1)</f>
        <v/>
      </c>
      <c r="B762" s="10">
        <f>IF(BANK_RAW!A762="","",IF(ISNUMBER(BANK_RAW!A762),BANK_RAW!A762,DATEVALUE(TEXT(BANK_RAW!A762,"YYYY-MM-DD"))))</f>
        <v/>
      </c>
      <c r="C762" s="11">
        <f>IF(BANK_RAW!A762="","",TRIM(BANK_RAW!B762))</f>
        <v/>
      </c>
      <c r="D762" s="11">
        <f>IF(BANK_RAW!A762="","",TRIM(BANK_RAW!C762))</f>
        <v/>
      </c>
      <c r="E762" s="12">
        <f>IF(BANK_RAW!A762="","",IFERROR(ABS(BANK_RAW!D762),0))</f>
        <v/>
      </c>
      <c r="F762" s="12">
        <f>IF(BANK_RAW!A762="","",IFERROR(ABS(BANK_RAW!E762),0))</f>
        <v/>
      </c>
      <c r="G762" s="12">
        <f>IF(BANK_RAW!A762="","",IFERROR(BANK_RAW!F762,0))</f>
        <v/>
      </c>
      <c r="H762" s="11">
        <f>IF(BANK_RAW!A762="","",IF(E762&gt;0,"CR",IF(F762&gt;0,"DR","CR")))</f>
        <v/>
      </c>
      <c r="I762" s="12">
        <f>IF(BANK_RAW!A762="","",E762-F762)</f>
        <v/>
      </c>
      <c r="J762" s="12">
        <f>IF(BANK_RAW!A762="","",ABS(I762))</f>
        <v/>
      </c>
      <c r="K762" s="11">
        <f>IF(BANK_RAW!A762="","",IF(H762="CR","IN","OUT"))</f>
        <v/>
      </c>
      <c r="L762" s="11" t="inlineStr"/>
      <c r="M762" s="11" t="inlineStr"/>
    </row>
    <row r="763">
      <c r="A763" s="13">
        <f>IF(BANK_RAW!A763="","",ROW()-1)</f>
        <v/>
      </c>
      <c r="B763" s="10">
        <f>IF(BANK_RAW!A763="","",IF(ISNUMBER(BANK_RAW!A763),BANK_RAW!A763,DATEVALUE(TEXT(BANK_RAW!A763,"YYYY-MM-DD"))))</f>
        <v/>
      </c>
      <c r="C763" s="11">
        <f>IF(BANK_RAW!A763="","",TRIM(BANK_RAW!B763))</f>
        <v/>
      </c>
      <c r="D763" s="11">
        <f>IF(BANK_RAW!A763="","",TRIM(BANK_RAW!C763))</f>
        <v/>
      </c>
      <c r="E763" s="12">
        <f>IF(BANK_RAW!A763="","",IFERROR(ABS(BANK_RAW!D763),0))</f>
        <v/>
      </c>
      <c r="F763" s="12">
        <f>IF(BANK_RAW!A763="","",IFERROR(ABS(BANK_RAW!E763),0))</f>
        <v/>
      </c>
      <c r="G763" s="12">
        <f>IF(BANK_RAW!A763="","",IFERROR(BANK_RAW!F763,0))</f>
        <v/>
      </c>
      <c r="H763" s="11">
        <f>IF(BANK_RAW!A763="","",IF(E763&gt;0,"CR",IF(F763&gt;0,"DR","CR")))</f>
        <v/>
      </c>
      <c r="I763" s="12">
        <f>IF(BANK_RAW!A763="","",E763-F763)</f>
        <v/>
      </c>
      <c r="J763" s="12">
        <f>IF(BANK_RAW!A763="","",ABS(I763))</f>
        <v/>
      </c>
      <c r="K763" s="11">
        <f>IF(BANK_RAW!A763="","",IF(H763="CR","IN","OUT"))</f>
        <v/>
      </c>
      <c r="L763" s="11" t="inlineStr"/>
      <c r="M763" s="11" t="inlineStr"/>
    </row>
    <row r="764">
      <c r="A764" s="13">
        <f>IF(BANK_RAW!A764="","",ROW()-1)</f>
        <v/>
      </c>
      <c r="B764" s="10">
        <f>IF(BANK_RAW!A764="","",IF(ISNUMBER(BANK_RAW!A764),BANK_RAW!A764,DATEVALUE(TEXT(BANK_RAW!A764,"YYYY-MM-DD"))))</f>
        <v/>
      </c>
      <c r="C764" s="11">
        <f>IF(BANK_RAW!A764="","",TRIM(BANK_RAW!B764))</f>
        <v/>
      </c>
      <c r="D764" s="11">
        <f>IF(BANK_RAW!A764="","",TRIM(BANK_RAW!C764))</f>
        <v/>
      </c>
      <c r="E764" s="12">
        <f>IF(BANK_RAW!A764="","",IFERROR(ABS(BANK_RAW!D764),0))</f>
        <v/>
      </c>
      <c r="F764" s="12">
        <f>IF(BANK_RAW!A764="","",IFERROR(ABS(BANK_RAW!E764),0))</f>
        <v/>
      </c>
      <c r="G764" s="12">
        <f>IF(BANK_RAW!A764="","",IFERROR(BANK_RAW!F764,0))</f>
        <v/>
      </c>
      <c r="H764" s="11">
        <f>IF(BANK_RAW!A764="","",IF(E764&gt;0,"CR",IF(F764&gt;0,"DR","CR")))</f>
        <v/>
      </c>
      <c r="I764" s="12">
        <f>IF(BANK_RAW!A764="","",E764-F764)</f>
        <v/>
      </c>
      <c r="J764" s="12">
        <f>IF(BANK_RAW!A764="","",ABS(I764))</f>
        <v/>
      </c>
      <c r="K764" s="11">
        <f>IF(BANK_RAW!A764="","",IF(H764="CR","IN","OUT"))</f>
        <v/>
      </c>
      <c r="L764" s="11" t="inlineStr"/>
      <c r="M764" s="11" t="inlineStr"/>
    </row>
    <row r="765">
      <c r="A765" s="13">
        <f>IF(BANK_RAW!A765="","",ROW()-1)</f>
        <v/>
      </c>
      <c r="B765" s="10">
        <f>IF(BANK_RAW!A765="","",IF(ISNUMBER(BANK_RAW!A765),BANK_RAW!A765,DATEVALUE(TEXT(BANK_RAW!A765,"YYYY-MM-DD"))))</f>
        <v/>
      </c>
      <c r="C765" s="11">
        <f>IF(BANK_RAW!A765="","",TRIM(BANK_RAW!B765))</f>
        <v/>
      </c>
      <c r="D765" s="11">
        <f>IF(BANK_RAW!A765="","",TRIM(BANK_RAW!C765))</f>
        <v/>
      </c>
      <c r="E765" s="12">
        <f>IF(BANK_RAW!A765="","",IFERROR(ABS(BANK_RAW!D765),0))</f>
        <v/>
      </c>
      <c r="F765" s="12">
        <f>IF(BANK_RAW!A765="","",IFERROR(ABS(BANK_RAW!E765),0))</f>
        <v/>
      </c>
      <c r="G765" s="12">
        <f>IF(BANK_RAW!A765="","",IFERROR(BANK_RAW!F765,0))</f>
        <v/>
      </c>
      <c r="H765" s="11">
        <f>IF(BANK_RAW!A765="","",IF(E765&gt;0,"CR",IF(F765&gt;0,"DR","CR")))</f>
        <v/>
      </c>
      <c r="I765" s="12">
        <f>IF(BANK_RAW!A765="","",E765-F765)</f>
        <v/>
      </c>
      <c r="J765" s="12">
        <f>IF(BANK_RAW!A765="","",ABS(I765))</f>
        <v/>
      </c>
      <c r="K765" s="11">
        <f>IF(BANK_RAW!A765="","",IF(H765="CR","IN","OUT"))</f>
        <v/>
      </c>
      <c r="L765" s="11" t="inlineStr"/>
      <c r="M765" s="11" t="inlineStr"/>
    </row>
    <row r="766">
      <c r="A766" s="13">
        <f>IF(BANK_RAW!A766="","",ROW()-1)</f>
        <v/>
      </c>
      <c r="B766" s="10">
        <f>IF(BANK_RAW!A766="","",IF(ISNUMBER(BANK_RAW!A766),BANK_RAW!A766,DATEVALUE(TEXT(BANK_RAW!A766,"YYYY-MM-DD"))))</f>
        <v/>
      </c>
      <c r="C766" s="11">
        <f>IF(BANK_RAW!A766="","",TRIM(BANK_RAW!B766))</f>
        <v/>
      </c>
      <c r="D766" s="11">
        <f>IF(BANK_RAW!A766="","",TRIM(BANK_RAW!C766))</f>
        <v/>
      </c>
      <c r="E766" s="12">
        <f>IF(BANK_RAW!A766="","",IFERROR(ABS(BANK_RAW!D766),0))</f>
        <v/>
      </c>
      <c r="F766" s="12">
        <f>IF(BANK_RAW!A766="","",IFERROR(ABS(BANK_RAW!E766),0))</f>
        <v/>
      </c>
      <c r="G766" s="12">
        <f>IF(BANK_RAW!A766="","",IFERROR(BANK_RAW!F766,0))</f>
        <v/>
      </c>
      <c r="H766" s="11">
        <f>IF(BANK_RAW!A766="","",IF(E766&gt;0,"CR",IF(F766&gt;0,"DR","CR")))</f>
        <v/>
      </c>
      <c r="I766" s="12">
        <f>IF(BANK_RAW!A766="","",E766-F766)</f>
        <v/>
      </c>
      <c r="J766" s="12">
        <f>IF(BANK_RAW!A766="","",ABS(I766))</f>
        <v/>
      </c>
      <c r="K766" s="11">
        <f>IF(BANK_RAW!A766="","",IF(H766="CR","IN","OUT"))</f>
        <v/>
      </c>
      <c r="L766" s="11" t="inlineStr"/>
      <c r="M766" s="11" t="inlineStr"/>
    </row>
    <row r="767">
      <c r="A767" s="13">
        <f>IF(BANK_RAW!A767="","",ROW()-1)</f>
        <v/>
      </c>
      <c r="B767" s="10">
        <f>IF(BANK_RAW!A767="","",IF(ISNUMBER(BANK_RAW!A767),BANK_RAW!A767,DATEVALUE(TEXT(BANK_RAW!A767,"YYYY-MM-DD"))))</f>
        <v/>
      </c>
      <c r="C767" s="11">
        <f>IF(BANK_RAW!A767="","",TRIM(BANK_RAW!B767))</f>
        <v/>
      </c>
      <c r="D767" s="11">
        <f>IF(BANK_RAW!A767="","",TRIM(BANK_RAW!C767))</f>
        <v/>
      </c>
      <c r="E767" s="12">
        <f>IF(BANK_RAW!A767="","",IFERROR(ABS(BANK_RAW!D767),0))</f>
        <v/>
      </c>
      <c r="F767" s="12">
        <f>IF(BANK_RAW!A767="","",IFERROR(ABS(BANK_RAW!E767),0))</f>
        <v/>
      </c>
      <c r="G767" s="12">
        <f>IF(BANK_RAW!A767="","",IFERROR(BANK_RAW!F767,0))</f>
        <v/>
      </c>
      <c r="H767" s="11">
        <f>IF(BANK_RAW!A767="","",IF(E767&gt;0,"CR",IF(F767&gt;0,"DR","CR")))</f>
        <v/>
      </c>
      <c r="I767" s="12">
        <f>IF(BANK_RAW!A767="","",E767-F767)</f>
        <v/>
      </c>
      <c r="J767" s="12">
        <f>IF(BANK_RAW!A767="","",ABS(I767))</f>
        <v/>
      </c>
      <c r="K767" s="11">
        <f>IF(BANK_RAW!A767="","",IF(H767="CR","IN","OUT"))</f>
        <v/>
      </c>
      <c r="L767" s="11" t="inlineStr"/>
      <c r="M767" s="11" t="inlineStr"/>
    </row>
    <row r="768">
      <c r="A768" s="13">
        <f>IF(BANK_RAW!A768="","",ROW()-1)</f>
        <v/>
      </c>
      <c r="B768" s="10">
        <f>IF(BANK_RAW!A768="","",IF(ISNUMBER(BANK_RAW!A768),BANK_RAW!A768,DATEVALUE(TEXT(BANK_RAW!A768,"YYYY-MM-DD"))))</f>
        <v/>
      </c>
      <c r="C768" s="11">
        <f>IF(BANK_RAW!A768="","",TRIM(BANK_RAW!B768))</f>
        <v/>
      </c>
      <c r="D768" s="11">
        <f>IF(BANK_RAW!A768="","",TRIM(BANK_RAW!C768))</f>
        <v/>
      </c>
      <c r="E768" s="12">
        <f>IF(BANK_RAW!A768="","",IFERROR(ABS(BANK_RAW!D768),0))</f>
        <v/>
      </c>
      <c r="F768" s="12">
        <f>IF(BANK_RAW!A768="","",IFERROR(ABS(BANK_RAW!E768),0))</f>
        <v/>
      </c>
      <c r="G768" s="12">
        <f>IF(BANK_RAW!A768="","",IFERROR(BANK_RAW!F768,0))</f>
        <v/>
      </c>
      <c r="H768" s="11">
        <f>IF(BANK_RAW!A768="","",IF(E768&gt;0,"CR",IF(F768&gt;0,"DR","CR")))</f>
        <v/>
      </c>
      <c r="I768" s="12">
        <f>IF(BANK_RAW!A768="","",E768-F768)</f>
        <v/>
      </c>
      <c r="J768" s="12">
        <f>IF(BANK_RAW!A768="","",ABS(I768))</f>
        <v/>
      </c>
      <c r="K768" s="11">
        <f>IF(BANK_RAW!A768="","",IF(H768="CR","IN","OUT"))</f>
        <v/>
      </c>
      <c r="L768" s="11" t="inlineStr"/>
      <c r="M768" s="11" t="inlineStr"/>
    </row>
    <row r="769">
      <c r="A769" s="13">
        <f>IF(BANK_RAW!A769="","",ROW()-1)</f>
        <v/>
      </c>
      <c r="B769" s="10">
        <f>IF(BANK_RAW!A769="","",IF(ISNUMBER(BANK_RAW!A769),BANK_RAW!A769,DATEVALUE(TEXT(BANK_RAW!A769,"YYYY-MM-DD"))))</f>
        <v/>
      </c>
      <c r="C769" s="11">
        <f>IF(BANK_RAW!A769="","",TRIM(BANK_RAW!B769))</f>
        <v/>
      </c>
      <c r="D769" s="11">
        <f>IF(BANK_RAW!A769="","",TRIM(BANK_RAW!C769))</f>
        <v/>
      </c>
      <c r="E769" s="12">
        <f>IF(BANK_RAW!A769="","",IFERROR(ABS(BANK_RAW!D769),0))</f>
        <v/>
      </c>
      <c r="F769" s="12">
        <f>IF(BANK_RAW!A769="","",IFERROR(ABS(BANK_RAW!E769),0))</f>
        <v/>
      </c>
      <c r="G769" s="12">
        <f>IF(BANK_RAW!A769="","",IFERROR(BANK_RAW!F769,0))</f>
        <v/>
      </c>
      <c r="H769" s="11">
        <f>IF(BANK_RAW!A769="","",IF(E769&gt;0,"CR",IF(F769&gt;0,"DR","CR")))</f>
        <v/>
      </c>
      <c r="I769" s="12">
        <f>IF(BANK_RAW!A769="","",E769-F769)</f>
        <v/>
      </c>
      <c r="J769" s="12">
        <f>IF(BANK_RAW!A769="","",ABS(I769))</f>
        <v/>
      </c>
      <c r="K769" s="11">
        <f>IF(BANK_RAW!A769="","",IF(H769="CR","IN","OUT"))</f>
        <v/>
      </c>
      <c r="L769" s="11" t="inlineStr"/>
      <c r="M769" s="11" t="inlineStr"/>
    </row>
    <row r="770">
      <c r="A770" s="13">
        <f>IF(BANK_RAW!A770="","",ROW()-1)</f>
        <v/>
      </c>
      <c r="B770" s="10">
        <f>IF(BANK_RAW!A770="","",IF(ISNUMBER(BANK_RAW!A770),BANK_RAW!A770,DATEVALUE(TEXT(BANK_RAW!A770,"YYYY-MM-DD"))))</f>
        <v/>
      </c>
      <c r="C770" s="11">
        <f>IF(BANK_RAW!A770="","",TRIM(BANK_RAW!B770))</f>
        <v/>
      </c>
      <c r="D770" s="11">
        <f>IF(BANK_RAW!A770="","",TRIM(BANK_RAW!C770))</f>
        <v/>
      </c>
      <c r="E770" s="12">
        <f>IF(BANK_RAW!A770="","",IFERROR(ABS(BANK_RAW!D770),0))</f>
        <v/>
      </c>
      <c r="F770" s="12">
        <f>IF(BANK_RAW!A770="","",IFERROR(ABS(BANK_RAW!E770),0))</f>
        <v/>
      </c>
      <c r="G770" s="12">
        <f>IF(BANK_RAW!A770="","",IFERROR(BANK_RAW!F770,0))</f>
        <v/>
      </c>
      <c r="H770" s="11">
        <f>IF(BANK_RAW!A770="","",IF(E770&gt;0,"CR",IF(F770&gt;0,"DR","CR")))</f>
        <v/>
      </c>
      <c r="I770" s="12">
        <f>IF(BANK_RAW!A770="","",E770-F770)</f>
        <v/>
      </c>
      <c r="J770" s="12">
        <f>IF(BANK_RAW!A770="","",ABS(I770))</f>
        <v/>
      </c>
      <c r="K770" s="11">
        <f>IF(BANK_RAW!A770="","",IF(H770="CR","IN","OUT"))</f>
        <v/>
      </c>
      <c r="L770" s="11" t="inlineStr"/>
      <c r="M770" s="11" t="inlineStr"/>
    </row>
    <row r="771">
      <c r="A771" s="13">
        <f>IF(BANK_RAW!A771="","",ROW()-1)</f>
        <v/>
      </c>
      <c r="B771" s="10">
        <f>IF(BANK_RAW!A771="","",IF(ISNUMBER(BANK_RAW!A771),BANK_RAW!A771,DATEVALUE(TEXT(BANK_RAW!A771,"YYYY-MM-DD"))))</f>
        <v/>
      </c>
      <c r="C771" s="11">
        <f>IF(BANK_RAW!A771="","",TRIM(BANK_RAW!B771))</f>
        <v/>
      </c>
      <c r="D771" s="11">
        <f>IF(BANK_RAW!A771="","",TRIM(BANK_RAW!C771))</f>
        <v/>
      </c>
      <c r="E771" s="12">
        <f>IF(BANK_RAW!A771="","",IFERROR(ABS(BANK_RAW!D771),0))</f>
        <v/>
      </c>
      <c r="F771" s="12">
        <f>IF(BANK_RAW!A771="","",IFERROR(ABS(BANK_RAW!E771),0))</f>
        <v/>
      </c>
      <c r="G771" s="12">
        <f>IF(BANK_RAW!A771="","",IFERROR(BANK_RAW!F771,0))</f>
        <v/>
      </c>
      <c r="H771" s="11">
        <f>IF(BANK_RAW!A771="","",IF(E771&gt;0,"CR",IF(F771&gt;0,"DR","CR")))</f>
        <v/>
      </c>
      <c r="I771" s="12">
        <f>IF(BANK_RAW!A771="","",E771-F771)</f>
        <v/>
      </c>
      <c r="J771" s="12">
        <f>IF(BANK_RAW!A771="","",ABS(I771))</f>
        <v/>
      </c>
      <c r="K771" s="11">
        <f>IF(BANK_RAW!A771="","",IF(H771="CR","IN","OUT"))</f>
        <v/>
      </c>
      <c r="L771" s="11" t="inlineStr"/>
      <c r="M771" s="11" t="inlineStr"/>
    </row>
    <row r="772">
      <c r="A772" s="13">
        <f>IF(BANK_RAW!A772="","",ROW()-1)</f>
        <v/>
      </c>
      <c r="B772" s="10">
        <f>IF(BANK_RAW!A772="","",IF(ISNUMBER(BANK_RAW!A772),BANK_RAW!A772,DATEVALUE(TEXT(BANK_RAW!A772,"YYYY-MM-DD"))))</f>
        <v/>
      </c>
      <c r="C772" s="11">
        <f>IF(BANK_RAW!A772="","",TRIM(BANK_RAW!B772))</f>
        <v/>
      </c>
      <c r="D772" s="11">
        <f>IF(BANK_RAW!A772="","",TRIM(BANK_RAW!C772))</f>
        <v/>
      </c>
      <c r="E772" s="12">
        <f>IF(BANK_RAW!A772="","",IFERROR(ABS(BANK_RAW!D772),0))</f>
        <v/>
      </c>
      <c r="F772" s="12">
        <f>IF(BANK_RAW!A772="","",IFERROR(ABS(BANK_RAW!E772),0))</f>
        <v/>
      </c>
      <c r="G772" s="12">
        <f>IF(BANK_RAW!A772="","",IFERROR(BANK_RAW!F772,0))</f>
        <v/>
      </c>
      <c r="H772" s="11">
        <f>IF(BANK_RAW!A772="","",IF(E772&gt;0,"CR",IF(F772&gt;0,"DR","CR")))</f>
        <v/>
      </c>
      <c r="I772" s="12">
        <f>IF(BANK_RAW!A772="","",E772-F772)</f>
        <v/>
      </c>
      <c r="J772" s="12">
        <f>IF(BANK_RAW!A772="","",ABS(I772))</f>
        <v/>
      </c>
      <c r="K772" s="11">
        <f>IF(BANK_RAW!A772="","",IF(H772="CR","IN","OUT"))</f>
        <v/>
      </c>
      <c r="L772" s="11" t="inlineStr"/>
      <c r="M772" s="11" t="inlineStr"/>
    </row>
    <row r="773">
      <c r="A773" s="13">
        <f>IF(BANK_RAW!A773="","",ROW()-1)</f>
        <v/>
      </c>
      <c r="B773" s="10">
        <f>IF(BANK_RAW!A773="","",IF(ISNUMBER(BANK_RAW!A773),BANK_RAW!A773,DATEVALUE(TEXT(BANK_RAW!A773,"YYYY-MM-DD"))))</f>
        <v/>
      </c>
      <c r="C773" s="11">
        <f>IF(BANK_RAW!A773="","",TRIM(BANK_RAW!B773))</f>
        <v/>
      </c>
      <c r="D773" s="11">
        <f>IF(BANK_RAW!A773="","",TRIM(BANK_RAW!C773))</f>
        <v/>
      </c>
      <c r="E773" s="12">
        <f>IF(BANK_RAW!A773="","",IFERROR(ABS(BANK_RAW!D773),0))</f>
        <v/>
      </c>
      <c r="F773" s="12">
        <f>IF(BANK_RAW!A773="","",IFERROR(ABS(BANK_RAW!E773),0))</f>
        <v/>
      </c>
      <c r="G773" s="12">
        <f>IF(BANK_RAW!A773="","",IFERROR(BANK_RAW!F773,0))</f>
        <v/>
      </c>
      <c r="H773" s="11">
        <f>IF(BANK_RAW!A773="","",IF(E773&gt;0,"CR",IF(F773&gt;0,"DR","CR")))</f>
        <v/>
      </c>
      <c r="I773" s="12">
        <f>IF(BANK_RAW!A773="","",E773-F773)</f>
        <v/>
      </c>
      <c r="J773" s="12">
        <f>IF(BANK_RAW!A773="","",ABS(I773))</f>
        <v/>
      </c>
      <c r="K773" s="11">
        <f>IF(BANK_RAW!A773="","",IF(H773="CR","IN","OUT"))</f>
        <v/>
      </c>
      <c r="L773" s="11" t="inlineStr"/>
      <c r="M773" s="11" t="inlineStr"/>
    </row>
    <row r="774">
      <c r="A774" s="13">
        <f>IF(BANK_RAW!A774="","",ROW()-1)</f>
        <v/>
      </c>
      <c r="B774" s="10">
        <f>IF(BANK_RAW!A774="","",IF(ISNUMBER(BANK_RAW!A774),BANK_RAW!A774,DATEVALUE(TEXT(BANK_RAW!A774,"YYYY-MM-DD"))))</f>
        <v/>
      </c>
      <c r="C774" s="11">
        <f>IF(BANK_RAW!A774="","",TRIM(BANK_RAW!B774))</f>
        <v/>
      </c>
      <c r="D774" s="11">
        <f>IF(BANK_RAW!A774="","",TRIM(BANK_RAW!C774))</f>
        <v/>
      </c>
      <c r="E774" s="12">
        <f>IF(BANK_RAW!A774="","",IFERROR(ABS(BANK_RAW!D774),0))</f>
        <v/>
      </c>
      <c r="F774" s="12">
        <f>IF(BANK_RAW!A774="","",IFERROR(ABS(BANK_RAW!E774),0))</f>
        <v/>
      </c>
      <c r="G774" s="12">
        <f>IF(BANK_RAW!A774="","",IFERROR(BANK_RAW!F774,0))</f>
        <v/>
      </c>
      <c r="H774" s="11">
        <f>IF(BANK_RAW!A774="","",IF(E774&gt;0,"CR",IF(F774&gt;0,"DR","CR")))</f>
        <v/>
      </c>
      <c r="I774" s="12">
        <f>IF(BANK_RAW!A774="","",E774-F774)</f>
        <v/>
      </c>
      <c r="J774" s="12">
        <f>IF(BANK_RAW!A774="","",ABS(I774))</f>
        <v/>
      </c>
      <c r="K774" s="11">
        <f>IF(BANK_RAW!A774="","",IF(H774="CR","IN","OUT"))</f>
        <v/>
      </c>
      <c r="L774" s="11" t="inlineStr"/>
      <c r="M774" s="11" t="inlineStr"/>
    </row>
    <row r="775">
      <c r="A775" s="13">
        <f>IF(BANK_RAW!A775="","",ROW()-1)</f>
        <v/>
      </c>
      <c r="B775" s="10">
        <f>IF(BANK_RAW!A775="","",IF(ISNUMBER(BANK_RAW!A775),BANK_RAW!A775,DATEVALUE(TEXT(BANK_RAW!A775,"YYYY-MM-DD"))))</f>
        <v/>
      </c>
      <c r="C775" s="11">
        <f>IF(BANK_RAW!A775="","",TRIM(BANK_RAW!B775))</f>
        <v/>
      </c>
      <c r="D775" s="11">
        <f>IF(BANK_RAW!A775="","",TRIM(BANK_RAW!C775))</f>
        <v/>
      </c>
      <c r="E775" s="12">
        <f>IF(BANK_RAW!A775="","",IFERROR(ABS(BANK_RAW!D775),0))</f>
        <v/>
      </c>
      <c r="F775" s="12">
        <f>IF(BANK_RAW!A775="","",IFERROR(ABS(BANK_RAW!E775),0))</f>
        <v/>
      </c>
      <c r="G775" s="12">
        <f>IF(BANK_RAW!A775="","",IFERROR(BANK_RAW!F775,0))</f>
        <v/>
      </c>
      <c r="H775" s="11">
        <f>IF(BANK_RAW!A775="","",IF(E775&gt;0,"CR",IF(F775&gt;0,"DR","CR")))</f>
        <v/>
      </c>
      <c r="I775" s="12">
        <f>IF(BANK_RAW!A775="","",E775-F775)</f>
        <v/>
      </c>
      <c r="J775" s="12">
        <f>IF(BANK_RAW!A775="","",ABS(I775))</f>
        <v/>
      </c>
      <c r="K775" s="11">
        <f>IF(BANK_RAW!A775="","",IF(H775="CR","IN","OUT"))</f>
        <v/>
      </c>
      <c r="L775" s="11" t="inlineStr"/>
      <c r="M775" s="11" t="inlineStr"/>
    </row>
    <row r="776">
      <c r="A776" s="13">
        <f>IF(BANK_RAW!A776="","",ROW()-1)</f>
        <v/>
      </c>
      <c r="B776" s="10">
        <f>IF(BANK_RAW!A776="","",IF(ISNUMBER(BANK_RAW!A776),BANK_RAW!A776,DATEVALUE(TEXT(BANK_RAW!A776,"YYYY-MM-DD"))))</f>
        <v/>
      </c>
      <c r="C776" s="11">
        <f>IF(BANK_RAW!A776="","",TRIM(BANK_RAW!B776))</f>
        <v/>
      </c>
      <c r="D776" s="11">
        <f>IF(BANK_RAW!A776="","",TRIM(BANK_RAW!C776))</f>
        <v/>
      </c>
      <c r="E776" s="12">
        <f>IF(BANK_RAW!A776="","",IFERROR(ABS(BANK_RAW!D776),0))</f>
        <v/>
      </c>
      <c r="F776" s="12">
        <f>IF(BANK_RAW!A776="","",IFERROR(ABS(BANK_RAW!E776),0))</f>
        <v/>
      </c>
      <c r="G776" s="12">
        <f>IF(BANK_RAW!A776="","",IFERROR(BANK_RAW!F776,0))</f>
        <v/>
      </c>
      <c r="H776" s="11">
        <f>IF(BANK_RAW!A776="","",IF(E776&gt;0,"CR",IF(F776&gt;0,"DR","CR")))</f>
        <v/>
      </c>
      <c r="I776" s="12">
        <f>IF(BANK_RAW!A776="","",E776-F776)</f>
        <v/>
      </c>
      <c r="J776" s="12">
        <f>IF(BANK_RAW!A776="","",ABS(I776))</f>
        <v/>
      </c>
      <c r="K776" s="11">
        <f>IF(BANK_RAW!A776="","",IF(H776="CR","IN","OUT"))</f>
        <v/>
      </c>
      <c r="L776" s="11" t="inlineStr"/>
      <c r="M776" s="11" t="inlineStr"/>
    </row>
    <row r="777">
      <c r="A777" s="13">
        <f>IF(BANK_RAW!A777="","",ROW()-1)</f>
        <v/>
      </c>
      <c r="B777" s="10">
        <f>IF(BANK_RAW!A777="","",IF(ISNUMBER(BANK_RAW!A777),BANK_RAW!A777,DATEVALUE(TEXT(BANK_RAW!A777,"YYYY-MM-DD"))))</f>
        <v/>
      </c>
      <c r="C777" s="11">
        <f>IF(BANK_RAW!A777="","",TRIM(BANK_RAW!B777))</f>
        <v/>
      </c>
      <c r="D777" s="11">
        <f>IF(BANK_RAW!A777="","",TRIM(BANK_RAW!C777))</f>
        <v/>
      </c>
      <c r="E777" s="12">
        <f>IF(BANK_RAW!A777="","",IFERROR(ABS(BANK_RAW!D777),0))</f>
        <v/>
      </c>
      <c r="F777" s="12">
        <f>IF(BANK_RAW!A777="","",IFERROR(ABS(BANK_RAW!E777),0))</f>
        <v/>
      </c>
      <c r="G777" s="12">
        <f>IF(BANK_RAW!A777="","",IFERROR(BANK_RAW!F777,0))</f>
        <v/>
      </c>
      <c r="H777" s="11">
        <f>IF(BANK_RAW!A777="","",IF(E777&gt;0,"CR",IF(F777&gt;0,"DR","CR")))</f>
        <v/>
      </c>
      <c r="I777" s="12">
        <f>IF(BANK_RAW!A777="","",E777-F777)</f>
        <v/>
      </c>
      <c r="J777" s="12">
        <f>IF(BANK_RAW!A777="","",ABS(I777))</f>
        <v/>
      </c>
      <c r="K777" s="11">
        <f>IF(BANK_RAW!A777="","",IF(H777="CR","IN","OUT"))</f>
        <v/>
      </c>
      <c r="L777" s="11" t="inlineStr"/>
      <c r="M777" s="11" t="inlineStr"/>
    </row>
    <row r="778">
      <c r="A778" s="13">
        <f>IF(BANK_RAW!A778="","",ROW()-1)</f>
        <v/>
      </c>
      <c r="B778" s="10">
        <f>IF(BANK_RAW!A778="","",IF(ISNUMBER(BANK_RAW!A778),BANK_RAW!A778,DATEVALUE(TEXT(BANK_RAW!A778,"YYYY-MM-DD"))))</f>
        <v/>
      </c>
      <c r="C778" s="11">
        <f>IF(BANK_RAW!A778="","",TRIM(BANK_RAW!B778))</f>
        <v/>
      </c>
      <c r="D778" s="11">
        <f>IF(BANK_RAW!A778="","",TRIM(BANK_RAW!C778))</f>
        <v/>
      </c>
      <c r="E778" s="12">
        <f>IF(BANK_RAW!A778="","",IFERROR(ABS(BANK_RAW!D778),0))</f>
        <v/>
      </c>
      <c r="F778" s="12">
        <f>IF(BANK_RAW!A778="","",IFERROR(ABS(BANK_RAW!E778),0))</f>
        <v/>
      </c>
      <c r="G778" s="12">
        <f>IF(BANK_RAW!A778="","",IFERROR(BANK_RAW!F778,0))</f>
        <v/>
      </c>
      <c r="H778" s="11">
        <f>IF(BANK_RAW!A778="","",IF(E778&gt;0,"CR",IF(F778&gt;0,"DR","CR")))</f>
        <v/>
      </c>
      <c r="I778" s="12">
        <f>IF(BANK_RAW!A778="","",E778-F778)</f>
        <v/>
      </c>
      <c r="J778" s="12">
        <f>IF(BANK_RAW!A778="","",ABS(I778))</f>
        <v/>
      </c>
      <c r="K778" s="11">
        <f>IF(BANK_RAW!A778="","",IF(H778="CR","IN","OUT"))</f>
        <v/>
      </c>
      <c r="L778" s="11" t="inlineStr"/>
      <c r="M778" s="11" t="inlineStr"/>
    </row>
    <row r="779">
      <c r="A779" s="13">
        <f>IF(BANK_RAW!A779="","",ROW()-1)</f>
        <v/>
      </c>
      <c r="B779" s="10">
        <f>IF(BANK_RAW!A779="","",IF(ISNUMBER(BANK_RAW!A779),BANK_RAW!A779,DATEVALUE(TEXT(BANK_RAW!A779,"YYYY-MM-DD"))))</f>
        <v/>
      </c>
      <c r="C779" s="11">
        <f>IF(BANK_RAW!A779="","",TRIM(BANK_RAW!B779))</f>
        <v/>
      </c>
      <c r="D779" s="11">
        <f>IF(BANK_RAW!A779="","",TRIM(BANK_RAW!C779))</f>
        <v/>
      </c>
      <c r="E779" s="12">
        <f>IF(BANK_RAW!A779="","",IFERROR(ABS(BANK_RAW!D779),0))</f>
        <v/>
      </c>
      <c r="F779" s="12">
        <f>IF(BANK_RAW!A779="","",IFERROR(ABS(BANK_RAW!E779),0))</f>
        <v/>
      </c>
      <c r="G779" s="12">
        <f>IF(BANK_RAW!A779="","",IFERROR(BANK_RAW!F779,0))</f>
        <v/>
      </c>
      <c r="H779" s="11">
        <f>IF(BANK_RAW!A779="","",IF(E779&gt;0,"CR",IF(F779&gt;0,"DR","CR")))</f>
        <v/>
      </c>
      <c r="I779" s="12">
        <f>IF(BANK_RAW!A779="","",E779-F779)</f>
        <v/>
      </c>
      <c r="J779" s="12">
        <f>IF(BANK_RAW!A779="","",ABS(I779))</f>
        <v/>
      </c>
      <c r="K779" s="11">
        <f>IF(BANK_RAW!A779="","",IF(H779="CR","IN","OUT"))</f>
        <v/>
      </c>
      <c r="L779" s="11" t="inlineStr"/>
      <c r="M779" s="11" t="inlineStr"/>
    </row>
    <row r="780">
      <c r="A780" s="13">
        <f>IF(BANK_RAW!A780="","",ROW()-1)</f>
        <v/>
      </c>
      <c r="B780" s="10">
        <f>IF(BANK_RAW!A780="","",IF(ISNUMBER(BANK_RAW!A780),BANK_RAW!A780,DATEVALUE(TEXT(BANK_RAW!A780,"YYYY-MM-DD"))))</f>
        <v/>
      </c>
      <c r="C780" s="11">
        <f>IF(BANK_RAW!A780="","",TRIM(BANK_RAW!B780))</f>
        <v/>
      </c>
      <c r="D780" s="11">
        <f>IF(BANK_RAW!A780="","",TRIM(BANK_RAW!C780))</f>
        <v/>
      </c>
      <c r="E780" s="12">
        <f>IF(BANK_RAW!A780="","",IFERROR(ABS(BANK_RAW!D780),0))</f>
        <v/>
      </c>
      <c r="F780" s="12">
        <f>IF(BANK_RAW!A780="","",IFERROR(ABS(BANK_RAW!E780),0))</f>
        <v/>
      </c>
      <c r="G780" s="12">
        <f>IF(BANK_RAW!A780="","",IFERROR(BANK_RAW!F780,0))</f>
        <v/>
      </c>
      <c r="H780" s="11">
        <f>IF(BANK_RAW!A780="","",IF(E780&gt;0,"CR",IF(F780&gt;0,"DR","CR")))</f>
        <v/>
      </c>
      <c r="I780" s="12">
        <f>IF(BANK_RAW!A780="","",E780-F780)</f>
        <v/>
      </c>
      <c r="J780" s="12">
        <f>IF(BANK_RAW!A780="","",ABS(I780))</f>
        <v/>
      </c>
      <c r="K780" s="11">
        <f>IF(BANK_RAW!A780="","",IF(H780="CR","IN","OUT"))</f>
        <v/>
      </c>
      <c r="L780" s="11" t="inlineStr"/>
      <c r="M780" s="11" t="inlineStr"/>
    </row>
    <row r="781">
      <c r="A781" s="13">
        <f>IF(BANK_RAW!A781="","",ROW()-1)</f>
        <v/>
      </c>
      <c r="B781" s="10">
        <f>IF(BANK_RAW!A781="","",IF(ISNUMBER(BANK_RAW!A781),BANK_RAW!A781,DATEVALUE(TEXT(BANK_RAW!A781,"YYYY-MM-DD"))))</f>
        <v/>
      </c>
      <c r="C781" s="11">
        <f>IF(BANK_RAW!A781="","",TRIM(BANK_RAW!B781))</f>
        <v/>
      </c>
      <c r="D781" s="11">
        <f>IF(BANK_RAW!A781="","",TRIM(BANK_RAW!C781))</f>
        <v/>
      </c>
      <c r="E781" s="12">
        <f>IF(BANK_RAW!A781="","",IFERROR(ABS(BANK_RAW!D781),0))</f>
        <v/>
      </c>
      <c r="F781" s="12">
        <f>IF(BANK_RAW!A781="","",IFERROR(ABS(BANK_RAW!E781),0))</f>
        <v/>
      </c>
      <c r="G781" s="12">
        <f>IF(BANK_RAW!A781="","",IFERROR(BANK_RAW!F781,0))</f>
        <v/>
      </c>
      <c r="H781" s="11">
        <f>IF(BANK_RAW!A781="","",IF(E781&gt;0,"CR",IF(F781&gt;0,"DR","CR")))</f>
        <v/>
      </c>
      <c r="I781" s="12">
        <f>IF(BANK_RAW!A781="","",E781-F781)</f>
        <v/>
      </c>
      <c r="J781" s="12">
        <f>IF(BANK_RAW!A781="","",ABS(I781))</f>
        <v/>
      </c>
      <c r="K781" s="11">
        <f>IF(BANK_RAW!A781="","",IF(H781="CR","IN","OUT"))</f>
        <v/>
      </c>
      <c r="L781" s="11" t="inlineStr"/>
      <c r="M781" s="11" t="inlineStr"/>
    </row>
    <row r="782">
      <c r="A782" s="13">
        <f>IF(BANK_RAW!A782="","",ROW()-1)</f>
        <v/>
      </c>
      <c r="B782" s="10">
        <f>IF(BANK_RAW!A782="","",IF(ISNUMBER(BANK_RAW!A782),BANK_RAW!A782,DATEVALUE(TEXT(BANK_RAW!A782,"YYYY-MM-DD"))))</f>
        <v/>
      </c>
      <c r="C782" s="11">
        <f>IF(BANK_RAW!A782="","",TRIM(BANK_RAW!B782))</f>
        <v/>
      </c>
      <c r="D782" s="11">
        <f>IF(BANK_RAW!A782="","",TRIM(BANK_RAW!C782))</f>
        <v/>
      </c>
      <c r="E782" s="12">
        <f>IF(BANK_RAW!A782="","",IFERROR(ABS(BANK_RAW!D782),0))</f>
        <v/>
      </c>
      <c r="F782" s="12">
        <f>IF(BANK_RAW!A782="","",IFERROR(ABS(BANK_RAW!E782),0))</f>
        <v/>
      </c>
      <c r="G782" s="12">
        <f>IF(BANK_RAW!A782="","",IFERROR(BANK_RAW!F782,0))</f>
        <v/>
      </c>
      <c r="H782" s="11">
        <f>IF(BANK_RAW!A782="","",IF(E782&gt;0,"CR",IF(F782&gt;0,"DR","CR")))</f>
        <v/>
      </c>
      <c r="I782" s="12">
        <f>IF(BANK_RAW!A782="","",E782-F782)</f>
        <v/>
      </c>
      <c r="J782" s="12">
        <f>IF(BANK_RAW!A782="","",ABS(I782))</f>
        <v/>
      </c>
      <c r="K782" s="11">
        <f>IF(BANK_RAW!A782="","",IF(H782="CR","IN","OUT"))</f>
        <v/>
      </c>
      <c r="L782" s="11" t="inlineStr"/>
      <c r="M782" s="11" t="inlineStr"/>
    </row>
    <row r="783">
      <c r="A783" s="13">
        <f>IF(BANK_RAW!A783="","",ROW()-1)</f>
        <v/>
      </c>
      <c r="B783" s="10">
        <f>IF(BANK_RAW!A783="","",IF(ISNUMBER(BANK_RAW!A783),BANK_RAW!A783,DATEVALUE(TEXT(BANK_RAW!A783,"YYYY-MM-DD"))))</f>
        <v/>
      </c>
      <c r="C783" s="11">
        <f>IF(BANK_RAW!A783="","",TRIM(BANK_RAW!B783))</f>
        <v/>
      </c>
      <c r="D783" s="11">
        <f>IF(BANK_RAW!A783="","",TRIM(BANK_RAW!C783))</f>
        <v/>
      </c>
      <c r="E783" s="12">
        <f>IF(BANK_RAW!A783="","",IFERROR(ABS(BANK_RAW!D783),0))</f>
        <v/>
      </c>
      <c r="F783" s="12">
        <f>IF(BANK_RAW!A783="","",IFERROR(ABS(BANK_RAW!E783),0))</f>
        <v/>
      </c>
      <c r="G783" s="12">
        <f>IF(BANK_RAW!A783="","",IFERROR(BANK_RAW!F783,0))</f>
        <v/>
      </c>
      <c r="H783" s="11">
        <f>IF(BANK_RAW!A783="","",IF(E783&gt;0,"CR",IF(F783&gt;0,"DR","CR")))</f>
        <v/>
      </c>
      <c r="I783" s="12">
        <f>IF(BANK_RAW!A783="","",E783-F783)</f>
        <v/>
      </c>
      <c r="J783" s="12">
        <f>IF(BANK_RAW!A783="","",ABS(I783))</f>
        <v/>
      </c>
      <c r="K783" s="11">
        <f>IF(BANK_RAW!A783="","",IF(H783="CR","IN","OUT"))</f>
        <v/>
      </c>
      <c r="L783" s="11" t="inlineStr"/>
      <c r="M783" s="11" t="inlineStr"/>
    </row>
    <row r="784">
      <c r="A784" s="13">
        <f>IF(BANK_RAW!A784="","",ROW()-1)</f>
        <v/>
      </c>
      <c r="B784" s="10">
        <f>IF(BANK_RAW!A784="","",IF(ISNUMBER(BANK_RAW!A784),BANK_RAW!A784,DATEVALUE(TEXT(BANK_RAW!A784,"YYYY-MM-DD"))))</f>
        <v/>
      </c>
      <c r="C784" s="11">
        <f>IF(BANK_RAW!A784="","",TRIM(BANK_RAW!B784))</f>
        <v/>
      </c>
      <c r="D784" s="11">
        <f>IF(BANK_RAW!A784="","",TRIM(BANK_RAW!C784))</f>
        <v/>
      </c>
      <c r="E784" s="12">
        <f>IF(BANK_RAW!A784="","",IFERROR(ABS(BANK_RAW!D784),0))</f>
        <v/>
      </c>
      <c r="F784" s="12">
        <f>IF(BANK_RAW!A784="","",IFERROR(ABS(BANK_RAW!E784),0))</f>
        <v/>
      </c>
      <c r="G784" s="12">
        <f>IF(BANK_RAW!A784="","",IFERROR(BANK_RAW!F784,0))</f>
        <v/>
      </c>
      <c r="H784" s="11">
        <f>IF(BANK_RAW!A784="","",IF(E784&gt;0,"CR",IF(F784&gt;0,"DR","CR")))</f>
        <v/>
      </c>
      <c r="I784" s="12">
        <f>IF(BANK_RAW!A784="","",E784-F784)</f>
        <v/>
      </c>
      <c r="J784" s="12">
        <f>IF(BANK_RAW!A784="","",ABS(I784))</f>
        <v/>
      </c>
      <c r="K784" s="11">
        <f>IF(BANK_RAW!A784="","",IF(H784="CR","IN","OUT"))</f>
        <v/>
      </c>
      <c r="L784" s="11" t="inlineStr"/>
      <c r="M784" s="11" t="inlineStr"/>
    </row>
    <row r="785">
      <c r="A785" s="13">
        <f>IF(BANK_RAW!A785="","",ROW()-1)</f>
        <v/>
      </c>
      <c r="B785" s="10">
        <f>IF(BANK_RAW!A785="","",IF(ISNUMBER(BANK_RAW!A785),BANK_RAW!A785,DATEVALUE(TEXT(BANK_RAW!A785,"YYYY-MM-DD"))))</f>
        <v/>
      </c>
      <c r="C785" s="11">
        <f>IF(BANK_RAW!A785="","",TRIM(BANK_RAW!B785))</f>
        <v/>
      </c>
      <c r="D785" s="11">
        <f>IF(BANK_RAW!A785="","",TRIM(BANK_RAW!C785))</f>
        <v/>
      </c>
      <c r="E785" s="12">
        <f>IF(BANK_RAW!A785="","",IFERROR(ABS(BANK_RAW!D785),0))</f>
        <v/>
      </c>
      <c r="F785" s="12">
        <f>IF(BANK_RAW!A785="","",IFERROR(ABS(BANK_RAW!E785),0))</f>
        <v/>
      </c>
      <c r="G785" s="12">
        <f>IF(BANK_RAW!A785="","",IFERROR(BANK_RAW!F785,0))</f>
        <v/>
      </c>
      <c r="H785" s="11">
        <f>IF(BANK_RAW!A785="","",IF(E785&gt;0,"CR",IF(F785&gt;0,"DR","CR")))</f>
        <v/>
      </c>
      <c r="I785" s="12">
        <f>IF(BANK_RAW!A785="","",E785-F785)</f>
        <v/>
      </c>
      <c r="J785" s="12">
        <f>IF(BANK_RAW!A785="","",ABS(I785))</f>
        <v/>
      </c>
      <c r="K785" s="11">
        <f>IF(BANK_RAW!A785="","",IF(H785="CR","IN","OUT"))</f>
        <v/>
      </c>
      <c r="L785" s="11" t="inlineStr"/>
      <c r="M785" s="11" t="inlineStr"/>
    </row>
    <row r="786">
      <c r="A786" s="13">
        <f>IF(BANK_RAW!A786="","",ROW()-1)</f>
        <v/>
      </c>
      <c r="B786" s="10">
        <f>IF(BANK_RAW!A786="","",IF(ISNUMBER(BANK_RAW!A786),BANK_RAW!A786,DATEVALUE(TEXT(BANK_RAW!A786,"YYYY-MM-DD"))))</f>
        <v/>
      </c>
      <c r="C786" s="11">
        <f>IF(BANK_RAW!A786="","",TRIM(BANK_RAW!B786))</f>
        <v/>
      </c>
      <c r="D786" s="11">
        <f>IF(BANK_RAW!A786="","",TRIM(BANK_RAW!C786))</f>
        <v/>
      </c>
      <c r="E786" s="12">
        <f>IF(BANK_RAW!A786="","",IFERROR(ABS(BANK_RAW!D786),0))</f>
        <v/>
      </c>
      <c r="F786" s="12">
        <f>IF(BANK_RAW!A786="","",IFERROR(ABS(BANK_RAW!E786),0))</f>
        <v/>
      </c>
      <c r="G786" s="12">
        <f>IF(BANK_RAW!A786="","",IFERROR(BANK_RAW!F786,0))</f>
        <v/>
      </c>
      <c r="H786" s="11">
        <f>IF(BANK_RAW!A786="","",IF(E786&gt;0,"CR",IF(F786&gt;0,"DR","CR")))</f>
        <v/>
      </c>
      <c r="I786" s="12">
        <f>IF(BANK_RAW!A786="","",E786-F786)</f>
        <v/>
      </c>
      <c r="J786" s="12">
        <f>IF(BANK_RAW!A786="","",ABS(I786))</f>
        <v/>
      </c>
      <c r="K786" s="11">
        <f>IF(BANK_RAW!A786="","",IF(H786="CR","IN","OUT"))</f>
        <v/>
      </c>
      <c r="L786" s="11" t="inlineStr"/>
      <c r="M786" s="11" t="inlineStr"/>
    </row>
    <row r="787">
      <c r="A787" s="13">
        <f>IF(BANK_RAW!A787="","",ROW()-1)</f>
        <v/>
      </c>
      <c r="B787" s="10">
        <f>IF(BANK_RAW!A787="","",IF(ISNUMBER(BANK_RAW!A787),BANK_RAW!A787,DATEVALUE(TEXT(BANK_RAW!A787,"YYYY-MM-DD"))))</f>
        <v/>
      </c>
      <c r="C787" s="11">
        <f>IF(BANK_RAW!A787="","",TRIM(BANK_RAW!B787))</f>
        <v/>
      </c>
      <c r="D787" s="11">
        <f>IF(BANK_RAW!A787="","",TRIM(BANK_RAW!C787))</f>
        <v/>
      </c>
      <c r="E787" s="12">
        <f>IF(BANK_RAW!A787="","",IFERROR(ABS(BANK_RAW!D787),0))</f>
        <v/>
      </c>
      <c r="F787" s="12">
        <f>IF(BANK_RAW!A787="","",IFERROR(ABS(BANK_RAW!E787),0))</f>
        <v/>
      </c>
      <c r="G787" s="12">
        <f>IF(BANK_RAW!A787="","",IFERROR(BANK_RAW!F787,0))</f>
        <v/>
      </c>
      <c r="H787" s="11">
        <f>IF(BANK_RAW!A787="","",IF(E787&gt;0,"CR",IF(F787&gt;0,"DR","CR")))</f>
        <v/>
      </c>
      <c r="I787" s="12">
        <f>IF(BANK_RAW!A787="","",E787-F787)</f>
        <v/>
      </c>
      <c r="J787" s="12">
        <f>IF(BANK_RAW!A787="","",ABS(I787))</f>
        <v/>
      </c>
      <c r="K787" s="11">
        <f>IF(BANK_RAW!A787="","",IF(H787="CR","IN","OUT"))</f>
        <v/>
      </c>
      <c r="L787" s="11" t="inlineStr"/>
      <c r="M787" s="11" t="inlineStr"/>
    </row>
    <row r="788">
      <c r="A788" s="13">
        <f>IF(BANK_RAW!A788="","",ROW()-1)</f>
        <v/>
      </c>
      <c r="B788" s="10">
        <f>IF(BANK_RAW!A788="","",IF(ISNUMBER(BANK_RAW!A788),BANK_RAW!A788,DATEVALUE(TEXT(BANK_RAW!A788,"YYYY-MM-DD"))))</f>
        <v/>
      </c>
      <c r="C788" s="11">
        <f>IF(BANK_RAW!A788="","",TRIM(BANK_RAW!B788))</f>
        <v/>
      </c>
      <c r="D788" s="11">
        <f>IF(BANK_RAW!A788="","",TRIM(BANK_RAW!C788))</f>
        <v/>
      </c>
      <c r="E788" s="12">
        <f>IF(BANK_RAW!A788="","",IFERROR(ABS(BANK_RAW!D788),0))</f>
        <v/>
      </c>
      <c r="F788" s="12">
        <f>IF(BANK_RAW!A788="","",IFERROR(ABS(BANK_RAW!E788),0))</f>
        <v/>
      </c>
      <c r="G788" s="12">
        <f>IF(BANK_RAW!A788="","",IFERROR(BANK_RAW!F788,0))</f>
        <v/>
      </c>
      <c r="H788" s="11">
        <f>IF(BANK_RAW!A788="","",IF(E788&gt;0,"CR",IF(F788&gt;0,"DR","CR")))</f>
        <v/>
      </c>
      <c r="I788" s="12">
        <f>IF(BANK_RAW!A788="","",E788-F788)</f>
        <v/>
      </c>
      <c r="J788" s="12">
        <f>IF(BANK_RAW!A788="","",ABS(I788))</f>
        <v/>
      </c>
      <c r="K788" s="11">
        <f>IF(BANK_RAW!A788="","",IF(H788="CR","IN","OUT"))</f>
        <v/>
      </c>
      <c r="L788" s="11" t="inlineStr"/>
      <c r="M788" s="11" t="inlineStr"/>
    </row>
    <row r="789">
      <c r="A789" s="13">
        <f>IF(BANK_RAW!A789="","",ROW()-1)</f>
        <v/>
      </c>
      <c r="B789" s="10">
        <f>IF(BANK_RAW!A789="","",IF(ISNUMBER(BANK_RAW!A789),BANK_RAW!A789,DATEVALUE(TEXT(BANK_RAW!A789,"YYYY-MM-DD"))))</f>
        <v/>
      </c>
      <c r="C789" s="11">
        <f>IF(BANK_RAW!A789="","",TRIM(BANK_RAW!B789))</f>
        <v/>
      </c>
      <c r="D789" s="11">
        <f>IF(BANK_RAW!A789="","",TRIM(BANK_RAW!C789))</f>
        <v/>
      </c>
      <c r="E789" s="12">
        <f>IF(BANK_RAW!A789="","",IFERROR(ABS(BANK_RAW!D789),0))</f>
        <v/>
      </c>
      <c r="F789" s="12">
        <f>IF(BANK_RAW!A789="","",IFERROR(ABS(BANK_RAW!E789),0))</f>
        <v/>
      </c>
      <c r="G789" s="12">
        <f>IF(BANK_RAW!A789="","",IFERROR(BANK_RAW!F789,0))</f>
        <v/>
      </c>
      <c r="H789" s="11">
        <f>IF(BANK_RAW!A789="","",IF(E789&gt;0,"CR",IF(F789&gt;0,"DR","CR")))</f>
        <v/>
      </c>
      <c r="I789" s="12">
        <f>IF(BANK_RAW!A789="","",E789-F789)</f>
        <v/>
      </c>
      <c r="J789" s="12">
        <f>IF(BANK_RAW!A789="","",ABS(I789))</f>
        <v/>
      </c>
      <c r="K789" s="11">
        <f>IF(BANK_RAW!A789="","",IF(H789="CR","IN","OUT"))</f>
        <v/>
      </c>
      <c r="L789" s="11" t="inlineStr"/>
      <c r="M789" s="11" t="inlineStr"/>
    </row>
    <row r="790">
      <c r="A790" s="13">
        <f>IF(BANK_RAW!A790="","",ROW()-1)</f>
        <v/>
      </c>
      <c r="B790" s="10">
        <f>IF(BANK_RAW!A790="","",IF(ISNUMBER(BANK_RAW!A790),BANK_RAW!A790,DATEVALUE(TEXT(BANK_RAW!A790,"YYYY-MM-DD"))))</f>
        <v/>
      </c>
      <c r="C790" s="11">
        <f>IF(BANK_RAW!A790="","",TRIM(BANK_RAW!B790))</f>
        <v/>
      </c>
      <c r="D790" s="11">
        <f>IF(BANK_RAW!A790="","",TRIM(BANK_RAW!C790))</f>
        <v/>
      </c>
      <c r="E790" s="12">
        <f>IF(BANK_RAW!A790="","",IFERROR(ABS(BANK_RAW!D790),0))</f>
        <v/>
      </c>
      <c r="F790" s="12">
        <f>IF(BANK_RAW!A790="","",IFERROR(ABS(BANK_RAW!E790),0))</f>
        <v/>
      </c>
      <c r="G790" s="12">
        <f>IF(BANK_RAW!A790="","",IFERROR(BANK_RAW!F790,0))</f>
        <v/>
      </c>
      <c r="H790" s="11">
        <f>IF(BANK_RAW!A790="","",IF(E790&gt;0,"CR",IF(F790&gt;0,"DR","CR")))</f>
        <v/>
      </c>
      <c r="I790" s="12">
        <f>IF(BANK_RAW!A790="","",E790-F790)</f>
        <v/>
      </c>
      <c r="J790" s="12">
        <f>IF(BANK_RAW!A790="","",ABS(I790))</f>
        <v/>
      </c>
      <c r="K790" s="11">
        <f>IF(BANK_RAW!A790="","",IF(H790="CR","IN","OUT"))</f>
        <v/>
      </c>
      <c r="L790" s="11" t="inlineStr"/>
      <c r="M790" s="11" t="inlineStr"/>
    </row>
    <row r="791">
      <c r="A791" s="13">
        <f>IF(BANK_RAW!A791="","",ROW()-1)</f>
        <v/>
      </c>
      <c r="B791" s="10">
        <f>IF(BANK_RAW!A791="","",IF(ISNUMBER(BANK_RAW!A791),BANK_RAW!A791,DATEVALUE(TEXT(BANK_RAW!A791,"YYYY-MM-DD"))))</f>
        <v/>
      </c>
      <c r="C791" s="11">
        <f>IF(BANK_RAW!A791="","",TRIM(BANK_RAW!B791))</f>
        <v/>
      </c>
      <c r="D791" s="11">
        <f>IF(BANK_RAW!A791="","",TRIM(BANK_RAW!C791))</f>
        <v/>
      </c>
      <c r="E791" s="12">
        <f>IF(BANK_RAW!A791="","",IFERROR(ABS(BANK_RAW!D791),0))</f>
        <v/>
      </c>
      <c r="F791" s="12">
        <f>IF(BANK_RAW!A791="","",IFERROR(ABS(BANK_RAW!E791),0))</f>
        <v/>
      </c>
      <c r="G791" s="12">
        <f>IF(BANK_RAW!A791="","",IFERROR(BANK_RAW!F791,0))</f>
        <v/>
      </c>
      <c r="H791" s="11">
        <f>IF(BANK_RAW!A791="","",IF(E791&gt;0,"CR",IF(F791&gt;0,"DR","CR")))</f>
        <v/>
      </c>
      <c r="I791" s="12">
        <f>IF(BANK_RAW!A791="","",E791-F791)</f>
        <v/>
      </c>
      <c r="J791" s="12">
        <f>IF(BANK_RAW!A791="","",ABS(I791))</f>
        <v/>
      </c>
      <c r="K791" s="11">
        <f>IF(BANK_RAW!A791="","",IF(H791="CR","IN","OUT"))</f>
        <v/>
      </c>
      <c r="L791" s="11" t="inlineStr"/>
      <c r="M791" s="11" t="inlineStr"/>
    </row>
    <row r="792">
      <c r="A792" s="13">
        <f>IF(BANK_RAW!A792="","",ROW()-1)</f>
        <v/>
      </c>
      <c r="B792" s="10">
        <f>IF(BANK_RAW!A792="","",IF(ISNUMBER(BANK_RAW!A792),BANK_RAW!A792,DATEVALUE(TEXT(BANK_RAW!A792,"YYYY-MM-DD"))))</f>
        <v/>
      </c>
      <c r="C792" s="11">
        <f>IF(BANK_RAW!A792="","",TRIM(BANK_RAW!B792))</f>
        <v/>
      </c>
      <c r="D792" s="11">
        <f>IF(BANK_RAW!A792="","",TRIM(BANK_RAW!C792))</f>
        <v/>
      </c>
      <c r="E792" s="12">
        <f>IF(BANK_RAW!A792="","",IFERROR(ABS(BANK_RAW!D792),0))</f>
        <v/>
      </c>
      <c r="F792" s="12">
        <f>IF(BANK_RAW!A792="","",IFERROR(ABS(BANK_RAW!E792),0))</f>
        <v/>
      </c>
      <c r="G792" s="12">
        <f>IF(BANK_RAW!A792="","",IFERROR(BANK_RAW!F792,0))</f>
        <v/>
      </c>
      <c r="H792" s="11">
        <f>IF(BANK_RAW!A792="","",IF(E792&gt;0,"CR",IF(F792&gt;0,"DR","CR")))</f>
        <v/>
      </c>
      <c r="I792" s="12">
        <f>IF(BANK_RAW!A792="","",E792-F792)</f>
        <v/>
      </c>
      <c r="J792" s="12">
        <f>IF(BANK_RAW!A792="","",ABS(I792))</f>
        <v/>
      </c>
      <c r="K792" s="11">
        <f>IF(BANK_RAW!A792="","",IF(H792="CR","IN","OUT"))</f>
        <v/>
      </c>
      <c r="L792" s="11" t="inlineStr"/>
      <c r="M792" s="11" t="inlineStr"/>
    </row>
    <row r="793">
      <c r="A793" s="13">
        <f>IF(BANK_RAW!A793="","",ROW()-1)</f>
        <v/>
      </c>
      <c r="B793" s="10">
        <f>IF(BANK_RAW!A793="","",IF(ISNUMBER(BANK_RAW!A793),BANK_RAW!A793,DATEVALUE(TEXT(BANK_RAW!A793,"YYYY-MM-DD"))))</f>
        <v/>
      </c>
      <c r="C793" s="11">
        <f>IF(BANK_RAW!A793="","",TRIM(BANK_RAW!B793))</f>
        <v/>
      </c>
      <c r="D793" s="11">
        <f>IF(BANK_RAW!A793="","",TRIM(BANK_RAW!C793))</f>
        <v/>
      </c>
      <c r="E793" s="12">
        <f>IF(BANK_RAW!A793="","",IFERROR(ABS(BANK_RAW!D793),0))</f>
        <v/>
      </c>
      <c r="F793" s="12">
        <f>IF(BANK_RAW!A793="","",IFERROR(ABS(BANK_RAW!E793),0))</f>
        <v/>
      </c>
      <c r="G793" s="12">
        <f>IF(BANK_RAW!A793="","",IFERROR(BANK_RAW!F793,0))</f>
        <v/>
      </c>
      <c r="H793" s="11">
        <f>IF(BANK_RAW!A793="","",IF(E793&gt;0,"CR",IF(F793&gt;0,"DR","CR")))</f>
        <v/>
      </c>
      <c r="I793" s="12">
        <f>IF(BANK_RAW!A793="","",E793-F793)</f>
        <v/>
      </c>
      <c r="J793" s="12">
        <f>IF(BANK_RAW!A793="","",ABS(I793))</f>
        <v/>
      </c>
      <c r="K793" s="11">
        <f>IF(BANK_RAW!A793="","",IF(H793="CR","IN","OUT"))</f>
        <v/>
      </c>
      <c r="L793" s="11" t="inlineStr"/>
      <c r="M793" s="11" t="inlineStr"/>
    </row>
    <row r="794">
      <c r="A794" s="13">
        <f>IF(BANK_RAW!A794="","",ROW()-1)</f>
        <v/>
      </c>
      <c r="B794" s="10">
        <f>IF(BANK_RAW!A794="","",IF(ISNUMBER(BANK_RAW!A794),BANK_RAW!A794,DATEVALUE(TEXT(BANK_RAW!A794,"YYYY-MM-DD"))))</f>
        <v/>
      </c>
      <c r="C794" s="11">
        <f>IF(BANK_RAW!A794="","",TRIM(BANK_RAW!B794))</f>
        <v/>
      </c>
      <c r="D794" s="11">
        <f>IF(BANK_RAW!A794="","",TRIM(BANK_RAW!C794))</f>
        <v/>
      </c>
      <c r="E794" s="12">
        <f>IF(BANK_RAW!A794="","",IFERROR(ABS(BANK_RAW!D794),0))</f>
        <v/>
      </c>
      <c r="F794" s="12">
        <f>IF(BANK_RAW!A794="","",IFERROR(ABS(BANK_RAW!E794),0))</f>
        <v/>
      </c>
      <c r="G794" s="12">
        <f>IF(BANK_RAW!A794="","",IFERROR(BANK_RAW!F794,0))</f>
        <v/>
      </c>
      <c r="H794" s="11">
        <f>IF(BANK_RAW!A794="","",IF(E794&gt;0,"CR",IF(F794&gt;0,"DR","CR")))</f>
        <v/>
      </c>
      <c r="I794" s="12">
        <f>IF(BANK_RAW!A794="","",E794-F794)</f>
        <v/>
      </c>
      <c r="J794" s="12">
        <f>IF(BANK_RAW!A794="","",ABS(I794))</f>
        <v/>
      </c>
      <c r="K794" s="11">
        <f>IF(BANK_RAW!A794="","",IF(H794="CR","IN","OUT"))</f>
        <v/>
      </c>
      <c r="L794" s="11" t="inlineStr"/>
      <c r="M794" s="11" t="inlineStr"/>
    </row>
    <row r="795">
      <c r="A795" s="13">
        <f>IF(BANK_RAW!A795="","",ROW()-1)</f>
        <v/>
      </c>
      <c r="B795" s="10">
        <f>IF(BANK_RAW!A795="","",IF(ISNUMBER(BANK_RAW!A795),BANK_RAW!A795,DATEVALUE(TEXT(BANK_RAW!A795,"YYYY-MM-DD"))))</f>
        <v/>
      </c>
      <c r="C795" s="11">
        <f>IF(BANK_RAW!A795="","",TRIM(BANK_RAW!B795))</f>
        <v/>
      </c>
      <c r="D795" s="11">
        <f>IF(BANK_RAW!A795="","",TRIM(BANK_RAW!C795))</f>
        <v/>
      </c>
      <c r="E795" s="12">
        <f>IF(BANK_RAW!A795="","",IFERROR(ABS(BANK_RAW!D795),0))</f>
        <v/>
      </c>
      <c r="F795" s="12">
        <f>IF(BANK_RAW!A795="","",IFERROR(ABS(BANK_RAW!E795),0))</f>
        <v/>
      </c>
      <c r="G795" s="12">
        <f>IF(BANK_RAW!A795="","",IFERROR(BANK_RAW!F795,0))</f>
        <v/>
      </c>
      <c r="H795" s="11">
        <f>IF(BANK_RAW!A795="","",IF(E795&gt;0,"CR",IF(F795&gt;0,"DR","CR")))</f>
        <v/>
      </c>
      <c r="I795" s="12">
        <f>IF(BANK_RAW!A795="","",E795-F795)</f>
        <v/>
      </c>
      <c r="J795" s="12">
        <f>IF(BANK_RAW!A795="","",ABS(I795))</f>
        <v/>
      </c>
      <c r="K795" s="11">
        <f>IF(BANK_RAW!A795="","",IF(H795="CR","IN","OUT"))</f>
        <v/>
      </c>
      <c r="L795" s="11" t="inlineStr"/>
      <c r="M795" s="11" t="inlineStr"/>
    </row>
    <row r="796">
      <c r="A796" s="13">
        <f>IF(BANK_RAW!A796="","",ROW()-1)</f>
        <v/>
      </c>
      <c r="B796" s="10">
        <f>IF(BANK_RAW!A796="","",IF(ISNUMBER(BANK_RAW!A796),BANK_RAW!A796,DATEVALUE(TEXT(BANK_RAW!A796,"YYYY-MM-DD"))))</f>
        <v/>
      </c>
      <c r="C796" s="11">
        <f>IF(BANK_RAW!A796="","",TRIM(BANK_RAW!B796))</f>
        <v/>
      </c>
      <c r="D796" s="11">
        <f>IF(BANK_RAW!A796="","",TRIM(BANK_RAW!C796))</f>
        <v/>
      </c>
      <c r="E796" s="12">
        <f>IF(BANK_RAW!A796="","",IFERROR(ABS(BANK_RAW!D796),0))</f>
        <v/>
      </c>
      <c r="F796" s="12">
        <f>IF(BANK_RAW!A796="","",IFERROR(ABS(BANK_RAW!E796),0))</f>
        <v/>
      </c>
      <c r="G796" s="12">
        <f>IF(BANK_RAW!A796="","",IFERROR(BANK_RAW!F796,0))</f>
        <v/>
      </c>
      <c r="H796" s="11">
        <f>IF(BANK_RAW!A796="","",IF(E796&gt;0,"CR",IF(F796&gt;0,"DR","CR")))</f>
        <v/>
      </c>
      <c r="I796" s="12">
        <f>IF(BANK_RAW!A796="","",E796-F796)</f>
        <v/>
      </c>
      <c r="J796" s="12">
        <f>IF(BANK_RAW!A796="","",ABS(I796))</f>
        <v/>
      </c>
      <c r="K796" s="11">
        <f>IF(BANK_RAW!A796="","",IF(H796="CR","IN","OUT"))</f>
        <v/>
      </c>
      <c r="L796" s="11" t="inlineStr"/>
      <c r="M796" s="11" t="inlineStr"/>
    </row>
    <row r="797">
      <c r="A797" s="13">
        <f>IF(BANK_RAW!A797="","",ROW()-1)</f>
        <v/>
      </c>
      <c r="B797" s="10">
        <f>IF(BANK_RAW!A797="","",IF(ISNUMBER(BANK_RAW!A797),BANK_RAW!A797,DATEVALUE(TEXT(BANK_RAW!A797,"YYYY-MM-DD"))))</f>
        <v/>
      </c>
      <c r="C797" s="11">
        <f>IF(BANK_RAW!A797="","",TRIM(BANK_RAW!B797))</f>
        <v/>
      </c>
      <c r="D797" s="11">
        <f>IF(BANK_RAW!A797="","",TRIM(BANK_RAW!C797))</f>
        <v/>
      </c>
      <c r="E797" s="12">
        <f>IF(BANK_RAW!A797="","",IFERROR(ABS(BANK_RAW!D797),0))</f>
        <v/>
      </c>
      <c r="F797" s="12">
        <f>IF(BANK_RAW!A797="","",IFERROR(ABS(BANK_RAW!E797),0))</f>
        <v/>
      </c>
      <c r="G797" s="12">
        <f>IF(BANK_RAW!A797="","",IFERROR(BANK_RAW!F797,0))</f>
        <v/>
      </c>
      <c r="H797" s="11">
        <f>IF(BANK_RAW!A797="","",IF(E797&gt;0,"CR",IF(F797&gt;0,"DR","CR")))</f>
        <v/>
      </c>
      <c r="I797" s="12">
        <f>IF(BANK_RAW!A797="","",E797-F797)</f>
        <v/>
      </c>
      <c r="J797" s="12">
        <f>IF(BANK_RAW!A797="","",ABS(I797))</f>
        <v/>
      </c>
      <c r="K797" s="11">
        <f>IF(BANK_RAW!A797="","",IF(H797="CR","IN","OUT"))</f>
        <v/>
      </c>
      <c r="L797" s="11" t="inlineStr"/>
      <c r="M797" s="11" t="inlineStr"/>
    </row>
    <row r="798">
      <c r="A798" s="13">
        <f>IF(BANK_RAW!A798="","",ROW()-1)</f>
        <v/>
      </c>
      <c r="B798" s="10">
        <f>IF(BANK_RAW!A798="","",IF(ISNUMBER(BANK_RAW!A798),BANK_RAW!A798,DATEVALUE(TEXT(BANK_RAW!A798,"YYYY-MM-DD"))))</f>
        <v/>
      </c>
      <c r="C798" s="11">
        <f>IF(BANK_RAW!A798="","",TRIM(BANK_RAW!B798))</f>
        <v/>
      </c>
      <c r="D798" s="11">
        <f>IF(BANK_RAW!A798="","",TRIM(BANK_RAW!C798))</f>
        <v/>
      </c>
      <c r="E798" s="12">
        <f>IF(BANK_RAW!A798="","",IFERROR(ABS(BANK_RAW!D798),0))</f>
        <v/>
      </c>
      <c r="F798" s="12">
        <f>IF(BANK_RAW!A798="","",IFERROR(ABS(BANK_RAW!E798),0))</f>
        <v/>
      </c>
      <c r="G798" s="12">
        <f>IF(BANK_RAW!A798="","",IFERROR(BANK_RAW!F798,0))</f>
        <v/>
      </c>
      <c r="H798" s="11">
        <f>IF(BANK_RAW!A798="","",IF(E798&gt;0,"CR",IF(F798&gt;0,"DR","CR")))</f>
        <v/>
      </c>
      <c r="I798" s="12">
        <f>IF(BANK_RAW!A798="","",E798-F798)</f>
        <v/>
      </c>
      <c r="J798" s="12">
        <f>IF(BANK_RAW!A798="","",ABS(I798))</f>
        <v/>
      </c>
      <c r="K798" s="11">
        <f>IF(BANK_RAW!A798="","",IF(H798="CR","IN","OUT"))</f>
        <v/>
      </c>
      <c r="L798" s="11" t="inlineStr"/>
      <c r="M798" s="11" t="inlineStr"/>
    </row>
    <row r="799">
      <c r="A799" s="13">
        <f>IF(BANK_RAW!A799="","",ROW()-1)</f>
        <v/>
      </c>
      <c r="B799" s="10">
        <f>IF(BANK_RAW!A799="","",IF(ISNUMBER(BANK_RAW!A799),BANK_RAW!A799,DATEVALUE(TEXT(BANK_RAW!A799,"YYYY-MM-DD"))))</f>
        <v/>
      </c>
      <c r="C799" s="11">
        <f>IF(BANK_RAW!A799="","",TRIM(BANK_RAW!B799))</f>
        <v/>
      </c>
      <c r="D799" s="11">
        <f>IF(BANK_RAW!A799="","",TRIM(BANK_RAW!C799))</f>
        <v/>
      </c>
      <c r="E799" s="12">
        <f>IF(BANK_RAW!A799="","",IFERROR(ABS(BANK_RAW!D799),0))</f>
        <v/>
      </c>
      <c r="F799" s="12">
        <f>IF(BANK_RAW!A799="","",IFERROR(ABS(BANK_RAW!E799),0))</f>
        <v/>
      </c>
      <c r="G799" s="12">
        <f>IF(BANK_RAW!A799="","",IFERROR(BANK_RAW!F799,0))</f>
        <v/>
      </c>
      <c r="H799" s="11">
        <f>IF(BANK_RAW!A799="","",IF(E799&gt;0,"CR",IF(F799&gt;0,"DR","CR")))</f>
        <v/>
      </c>
      <c r="I799" s="12">
        <f>IF(BANK_RAW!A799="","",E799-F799)</f>
        <v/>
      </c>
      <c r="J799" s="12">
        <f>IF(BANK_RAW!A799="","",ABS(I799))</f>
        <v/>
      </c>
      <c r="K799" s="11">
        <f>IF(BANK_RAW!A799="","",IF(H799="CR","IN","OUT"))</f>
        <v/>
      </c>
      <c r="L799" s="11" t="inlineStr"/>
      <c r="M799" s="11" t="inlineStr"/>
    </row>
    <row r="800">
      <c r="A800" s="13">
        <f>IF(BANK_RAW!A800="","",ROW()-1)</f>
        <v/>
      </c>
      <c r="B800" s="10">
        <f>IF(BANK_RAW!A800="","",IF(ISNUMBER(BANK_RAW!A800),BANK_RAW!A800,DATEVALUE(TEXT(BANK_RAW!A800,"YYYY-MM-DD"))))</f>
        <v/>
      </c>
      <c r="C800" s="11">
        <f>IF(BANK_RAW!A800="","",TRIM(BANK_RAW!B800))</f>
        <v/>
      </c>
      <c r="D800" s="11">
        <f>IF(BANK_RAW!A800="","",TRIM(BANK_RAW!C800))</f>
        <v/>
      </c>
      <c r="E800" s="12">
        <f>IF(BANK_RAW!A800="","",IFERROR(ABS(BANK_RAW!D800),0))</f>
        <v/>
      </c>
      <c r="F800" s="12">
        <f>IF(BANK_RAW!A800="","",IFERROR(ABS(BANK_RAW!E800),0))</f>
        <v/>
      </c>
      <c r="G800" s="12">
        <f>IF(BANK_RAW!A800="","",IFERROR(BANK_RAW!F800,0))</f>
        <v/>
      </c>
      <c r="H800" s="11">
        <f>IF(BANK_RAW!A800="","",IF(E800&gt;0,"CR",IF(F800&gt;0,"DR","CR")))</f>
        <v/>
      </c>
      <c r="I800" s="12">
        <f>IF(BANK_RAW!A800="","",E800-F800)</f>
        <v/>
      </c>
      <c r="J800" s="12">
        <f>IF(BANK_RAW!A800="","",ABS(I800))</f>
        <v/>
      </c>
      <c r="K800" s="11">
        <f>IF(BANK_RAW!A800="","",IF(H800="CR","IN","OUT"))</f>
        <v/>
      </c>
      <c r="L800" s="11" t="inlineStr"/>
      <c r="M800" s="11" t="inlineStr"/>
    </row>
    <row r="801">
      <c r="A801" s="13">
        <f>IF(BANK_RAW!A801="","",ROW()-1)</f>
        <v/>
      </c>
      <c r="B801" s="10">
        <f>IF(BANK_RAW!A801="","",IF(ISNUMBER(BANK_RAW!A801),BANK_RAW!A801,DATEVALUE(TEXT(BANK_RAW!A801,"YYYY-MM-DD"))))</f>
        <v/>
      </c>
      <c r="C801" s="11">
        <f>IF(BANK_RAW!A801="","",TRIM(BANK_RAW!B801))</f>
        <v/>
      </c>
      <c r="D801" s="11">
        <f>IF(BANK_RAW!A801="","",TRIM(BANK_RAW!C801))</f>
        <v/>
      </c>
      <c r="E801" s="12">
        <f>IF(BANK_RAW!A801="","",IFERROR(ABS(BANK_RAW!D801),0))</f>
        <v/>
      </c>
      <c r="F801" s="12">
        <f>IF(BANK_RAW!A801="","",IFERROR(ABS(BANK_RAW!E801),0))</f>
        <v/>
      </c>
      <c r="G801" s="12">
        <f>IF(BANK_RAW!A801="","",IFERROR(BANK_RAW!F801,0))</f>
        <v/>
      </c>
      <c r="H801" s="11">
        <f>IF(BANK_RAW!A801="","",IF(E801&gt;0,"CR",IF(F801&gt;0,"DR","CR")))</f>
        <v/>
      </c>
      <c r="I801" s="12">
        <f>IF(BANK_RAW!A801="","",E801-F801)</f>
        <v/>
      </c>
      <c r="J801" s="12">
        <f>IF(BANK_RAW!A801="","",ABS(I801))</f>
        <v/>
      </c>
      <c r="K801" s="11">
        <f>IF(BANK_RAW!A801="","",IF(H801="CR","IN","OUT"))</f>
        <v/>
      </c>
      <c r="L801" s="11" t="inlineStr"/>
      <c r="M801" s="11" t="inlineStr"/>
    </row>
    <row r="802">
      <c r="A802" s="13">
        <f>IF(BANK_RAW!A802="","",ROW()-1)</f>
        <v/>
      </c>
      <c r="B802" s="10">
        <f>IF(BANK_RAW!A802="","",IF(ISNUMBER(BANK_RAW!A802),BANK_RAW!A802,DATEVALUE(TEXT(BANK_RAW!A802,"YYYY-MM-DD"))))</f>
        <v/>
      </c>
      <c r="C802" s="11">
        <f>IF(BANK_RAW!A802="","",TRIM(BANK_RAW!B802))</f>
        <v/>
      </c>
      <c r="D802" s="11">
        <f>IF(BANK_RAW!A802="","",TRIM(BANK_RAW!C802))</f>
        <v/>
      </c>
      <c r="E802" s="12">
        <f>IF(BANK_RAW!A802="","",IFERROR(ABS(BANK_RAW!D802),0))</f>
        <v/>
      </c>
      <c r="F802" s="12">
        <f>IF(BANK_RAW!A802="","",IFERROR(ABS(BANK_RAW!E802),0))</f>
        <v/>
      </c>
      <c r="G802" s="12">
        <f>IF(BANK_RAW!A802="","",IFERROR(BANK_RAW!F802,0))</f>
        <v/>
      </c>
      <c r="H802" s="11">
        <f>IF(BANK_RAW!A802="","",IF(E802&gt;0,"CR",IF(F802&gt;0,"DR","CR")))</f>
        <v/>
      </c>
      <c r="I802" s="12">
        <f>IF(BANK_RAW!A802="","",E802-F802)</f>
        <v/>
      </c>
      <c r="J802" s="12">
        <f>IF(BANK_RAW!A802="","",ABS(I802))</f>
        <v/>
      </c>
      <c r="K802" s="11">
        <f>IF(BANK_RAW!A802="","",IF(H802="CR","IN","OUT"))</f>
        <v/>
      </c>
      <c r="L802" s="11" t="inlineStr"/>
      <c r="M802" s="11" t="inlineStr"/>
    </row>
    <row r="803">
      <c r="A803" s="13">
        <f>IF(BANK_RAW!A803="","",ROW()-1)</f>
        <v/>
      </c>
      <c r="B803" s="10">
        <f>IF(BANK_RAW!A803="","",IF(ISNUMBER(BANK_RAW!A803),BANK_RAW!A803,DATEVALUE(TEXT(BANK_RAW!A803,"YYYY-MM-DD"))))</f>
        <v/>
      </c>
      <c r="C803" s="11">
        <f>IF(BANK_RAW!A803="","",TRIM(BANK_RAW!B803))</f>
        <v/>
      </c>
      <c r="D803" s="11">
        <f>IF(BANK_RAW!A803="","",TRIM(BANK_RAW!C803))</f>
        <v/>
      </c>
      <c r="E803" s="12">
        <f>IF(BANK_RAW!A803="","",IFERROR(ABS(BANK_RAW!D803),0))</f>
        <v/>
      </c>
      <c r="F803" s="12">
        <f>IF(BANK_RAW!A803="","",IFERROR(ABS(BANK_RAW!E803),0))</f>
        <v/>
      </c>
      <c r="G803" s="12">
        <f>IF(BANK_RAW!A803="","",IFERROR(BANK_RAW!F803,0))</f>
        <v/>
      </c>
      <c r="H803" s="11">
        <f>IF(BANK_RAW!A803="","",IF(E803&gt;0,"CR",IF(F803&gt;0,"DR","CR")))</f>
        <v/>
      </c>
      <c r="I803" s="12">
        <f>IF(BANK_RAW!A803="","",E803-F803)</f>
        <v/>
      </c>
      <c r="J803" s="12">
        <f>IF(BANK_RAW!A803="","",ABS(I803))</f>
        <v/>
      </c>
      <c r="K803" s="11">
        <f>IF(BANK_RAW!A803="","",IF(H803="CR","IN","OUT"))</f>
        <v/>
      </c>
      <c r="L803" s="11" t="inlineStr"/>
      <c r="M803" s="11" t="inlineStr"/>
    </row>
    <row r="804">
      <c r="A804" s="13">
        <f>IF(BANK_RAW!A804="","",ROW()-1)</f>
        <v/>
      </c>
      <c r="B804" s="10">
        <f>IF(BANK_RAW!A804="","",IF(ISNUMBER(BANK_RAW!A804),BANK_RAW!A804,DATEVALUE(TEXT(BANK_RAW!A804,"YYYY-MM-DD"))))</f>
        <v/>
      </c>
      <c r="C804" s="11">
        <f>IF(BANK_RAW!A804="","",TRIM(BANK_RAW!B804))</f>
        <v/>
      </c>
      <c r="D804" s="11">
        <f>IF(BANK_RAW!A804="","",TRIM(BANK_RAW!C804))</f>
        <v/>
      </c>
      <c r="E804" s="12">
        <f>IF(BANK_RAW!A804="","",IFERROR(ABS(BANK_RAW!D804),0))</f>
        <v/>
      </c>
      <c r="F804" s="12">
        <f>IF(BANK_RAW!A804="","",IFERROR(ABS(BANK_RAW!E804),0))</f>
        <v/>
      </c>
      <c r="G804" s="12">
        <f>IF(BANK_RAW!A804="","",IFERROR(BANK_RAW!F804,0))</f>
        <v/>
      </c>
      <c r="H804" s="11">
        <f>IF(BANK_RAW!A804="","",IF(E804&gt;0,"CR",IF(F804&gt;0,"DR","CR")))</f>
        <v/>
      </c>
      <c r="I804" s="12">
        <f>IF(BANK_RAW!A804="","",E804-F804)</f>
        <v/>
      </c>
      <c r="J804" s="12">
        <f>IF(BANK_RAW!A804="","",ABS(I804))</f>
        <v/>
      </c>
      <c r="K804" s="11">
        <f>IF(BANK_RAW!A804="","",IF(H804="CR","IN","OUT"))</f>
        <v/>
      </c>
      <c r="L804" s="11" t="inlineStr"/>
      <c r="M804" s="11" t="inlineStr"/>
    </row>
    <row r="805">
      <c r="A805" s="13">
        <f>IF(BANK_RAW!A805="","",ROW()-1)</f>
        <v/>
      </c>
      <c r="B805" s="10">
        <f>IF(BANK_RAW!A805="","",IF(ISNUMBER(BANK_RAW!A805),BANK_RAW!A805,DATEVALUE(TEXT(BANK_RAW!A805,"YYYY-MM-DD"))))</f>
        <v/>
      </c>
      <c r="C805" s="11">
        <f>IF(BANK_RAW!A805="","",TRIM(BANK_RAW!B805))</f>
        <v/>
      </c>
      <c r="D805" s="11">
        <f>IF(BANK_RAW!A805="","",TRIM(BANK_RAW!C805))</f>
        <v/>
      </c>
      <c r="E805" s="12">
        <f>IF(BANK_RAW!A805="","",IFERROR(ABS(BANK_RAW!D805),0))</f>
        <v/>
      </c>
      <c r="F805" s="12">
        <f>IF(BANK_RAW!A805="","",IFERROR(ABS(BANK_RAW!E805),0))</f>
        <v/>
      </c>
      <c r="G805" s="12">
        <f>IF(BANK_RAW!A805="","",IFERROR(BANK_RAW!F805,0))</f>
        <v/>
      </c>
      <c r="H805" s="11">
        <f>IF(BANK_RAW!A805="","",IF(E805&gt;0,"CR",IF(F805&gt;0,"DR","CR")))</f>
        <v/>
      </c>
      <c r="I805" s="12">
        <f>IF(BANK_RAW!A805="","",E805-F805)</f>
        <v/>
      </c>
      <c r="J805" s="12">
        <f>IF(BANK_RAW!A805="","",ABS(I805))</f>
        <v/>
      </c>
      <c r="K805" s="11">
        <f>IF(BANK_RAW!A805="","",IF(H805="CR","IN","OUT"))</f>
        <v/>
      </c>
      <c r="L805" s="11" t="inlineStr"/>
      <c r="M805" s="11" t="inlineStr"/>
    </row>
    <row r="806">
      <c r="A806" s="13">
        <f>IF(BANK_RAW!A806="","",ROW()-1)</f>
        <v/>
      </c>
      <c r="B806" s="10">
        <f>IF(BANK_RAW!A806="","",IF(ISNUMBER(BANK_RAW!A806),BANK_RAW!A806,DATEVALUE(TEXT(BANK_RAW!A806,"YYYY-MM-DD"))))</f>
        <v/>
      </c>
      <c r="C806" s="11">
        <f>IF(BANK_RAW!A806="","",TRIM(BANK_RAW!B806))</f>
        <v/>
      </c>
      <c r="D806" s="11">
        <f>IF(BANK_RAW!A806="","",TRIM(BANK_RAW!C806))</f>
        <v/>
      </c>
      <c r="E806" s="12">
        <f>IF(BANK_RAW!A806="","",IFERROR(ABS(BANK_RAW!D806),0))</f>
        <v/>
      </c>
      <c r="F806" s="12">
        <f>IF(BANK_RAW!A806="","",IFERROR(ABS(BANK_RAW!E806),0))</f>
        <v/>
      </c>
      <c r="G806" s="12">
        <f>IF(BANK_RAW!A806="","",IFERROR(BANK_RAW!F806,0))</f>
        <v/>
      </c>
      <c r="H806" s="11">
        <f>IF(BANK_RAW!A806="","",IF(E806&gt;0,"CR",IF(F806&gt;0,"DR","CR")))</f>
        <v/>
      </c>
      <c r="I806" s="12">
        <f>IF(BANK_RAW!A806="","",E806-F806)</f>
        <v/>
      </c>
      <c r="J806" s="12">
        <f>IF(BANK_RAW!A806="","",ABS(I806))</f>
        <v/>
      </c>
      <c r="K806" s="11">
        <f>IF(BANK_RAW!A806="","",IF(H806="CR","IN","OUT"))</f>
        <v/>
      </c>
      <c r="L806" s="11" t="inlineStr"/>
      <c r="M806" s="11" t="inlineStr"/>
    </row>
    <row r="807">
      <c r="A807" s="13">
        <f>IF(BANK_RAW!A807="","",ROW()-1)</f>
        <v/>
      </c>
      <c r="B807" s="10">
        <f>IF(BANK_RAW!A807="","",IF(ISNUMBER(BANK_RAW!A807),BANK_RAW!A807,DATEVALUE(TEXT(BANK_RAW!A807,"YYYY-MM-DD"))))</f>
        <v/>
      </c>
      <c r="C807" s="11">
        <f>IF(BANK_RAW!A807="","",TRIM(BANK_RAW!B807))</f>
        <v/>
      </c>
      <c r="D807" s="11">
        <f>IF(BANK_RAW!A807="","",TRIM(BANK_RAW!C807))</f>
        <v/>
      </c>
      <c r="E807" s="12">
        <f>IF(BANK_RAW!A807="","",IFERROR(ABS(BANK_RAW!D807),0))</f>
        <v/>
      </c>
      <c r="F807" s="12">
        <f>IF(BANK_RAW!A807="","",IFERROR(ABS(BANK_RAW!E807),0))</f>
        <v/>
      </c>
      <c r="G807" s="12">
        <f>IF(BANK_RAW!A807="","",IFERROR(BANK_RAW!F807,0))</f>
        <v/>
      </c>
      <c r="H807" s="11">
        <f>IF(BANK_RAW!A807="","",IF(E807&gt;0,"CR",IF(F807&gt;0,"DR","CR")))</f>
        <v/>
      </c>
      <c r="I807" s="12">
        <f>IF(BANK_RAW!A807="","",E807-F807)</f>
        <v/>
      </c>
      <c r="J807" s="12">
        <f>IF(BANK_RAW!A807="","",ABS(I807))</f>
        <v/>
      </c>
      <c r="K807" s="11">
        <f>IF(BANK_RAW!A807="","",IF(H807="CR","IN","OUT"))</f>
        <v/>
      </c>
      <c r="L807" s="11" t="inlineStr"/>
      <c r="M807" s="11" t="inlineStr"/>
    </row>
    <row r="808">
      <c r="A808" s="13">
        <f>IF(BANK_RAW!A808="","",ROW()-1)</f>
        <v/>
      </c>
      <c r="B808" s="10">
        <f>IF(BANK_RAW!A808="","",IF(ISNUMBER(BANK_RAW!A808),BANK_RAW!A808,DATEVALUE(TEXT(BANK_RAW!A808,"YYYY-MM-DD"))))</f>
        <v/>
      </c>
      <c r="C808" s="11">
        <f>IF(BANK_RAW!A808="","",TRIM(BANK_RAW!B808))</f>
        <v/>
      </c>
      <c r="D808" s="11">
        <f>IF(BANK_RAW!A808="","",TRIM(BANK_RAW!C808))</f>
        <v/>
      </c>
      <c r="E808" s="12">
        <f>IF(BANK_RAW!A808="","",IFERROR(ABS(BANK_RAW!D808),0))</f>
        <v/>
      </c>
      <c r="F808" s="12">
        <f>IF(BANK_RAW!A808="","",IFERROR(ABS(BANK_RAW!E808),0))</f>
        <v/>
      </c>
      <c r="G808" s="12">
        <f>IF(BANK_RAW!A808="","",IFERROR(BANK_RAW!F808,0))</f>
        <v/>
      </c>
      <c r="H808" s="11">
        <f>IF(BANK_RAW!A808="","",IF(E808&gt;0,"CR",IF(F808&gt;0,"DR","CR")))</f>
        <v/>
      </c>
      <c r="I808" s="12">
        <f>IF(BANK_RAW!A808="","",E808-F808)</f>
        <v/>
      </c>
      <c r="J808" s="12">
        <f>IF(BANK_RAW!A808="","",ABS(I808))</f>
        <v/>
      </c>
      <c r="K808" s="11">
        <f>IF(BANK_RAW!A808="","",IF(H808="CR","IN","OUT"))</f>
        <v/>
      </c>
      <c r="L808" s="11" t="inlineStr"/>
      <c r="M808" s="11" t="inlineStr"/>
    </row>
    <row r="809">
      <c r="A809" s="13">
        <f>IF(BANK_RAW!A809="","",ROW()-1)</f>
        <v/>
      </c>
      <c r="B809" s="10">
        <f>IF(BANK_RAW!A809="","",IF(ISNUMBER(BANK_RAW!A809),BANK_RAW!A809,DATEVALUE(TEXT(BANK_RAW!A809,"YYYY-MM-DD"))))</f>
        <v/>
      </c>
      <c r="C809" s="11">
        <f>IF(BANK_RAW!A809="","",TRIM(BANK_RAW!B809))</f>
        <v/>
      </c>
      <c r="D809" s="11">
        <f>IF(BANK_RAW!A809="","",TRIM(BANK_RAW!C809))</f>
        <v/>
      </c>
      <c r="E809" s="12">
        <f>IF(BANK_RAW!A809="","",IFERROR(ABS(BANK_RAW!D809),0))</f>
        <v/>
      </c>
      <c r="F809" s="12">
        <f>IF(BANK_RAW!A809="","",IFERROR(ABS(BANK_RAW!E809),0))</f>
        <v/>
      </c>
      <c r="G809" s="12">
        <f>IF(BANK_RAW!A809="","",IFERROR(BANK_RAW!F809,0))</f>
        <v/>
      </c>
      <c r="H809" s="11">
        <f>IF(BANK_RAW!A809="","",IF(E809&gt;0,"CR",IF(F809&gt;0,"DR","CR")))</f>
        <v/>
      </c>
      <c r="I809" s="12">
        <f>IF(BANK_RAW!A809="","",E809-F809)</f>
        <v/>
      </c>
      <c r="J809" s="12">
        <f>IF(BANK_RAW!A809="","",ABS(I809))</f>
        <v/>
      </c>
      <c r="K809" s="11">
        <f>IF(BANK_RAW!A809="","",IF(H809="CR","IN","OUT"))</f>
        <v/>
      </c>
      <c r="L809" s="11" t="inlineStr"/>
      <c r="M809" s="11" t="inlineStr"/>
    </row>
    <row r="810">
      <c r="A810" s="13">
        <f>IF(BANK_RAW!A810="","",ROW()-1)</f>
        <v/>
      </c>
      <c r="B810" s="10">
        <f>IF(BANK_RAW!A810="","",IF(ISNUMBER(BANK_RAW!A810),BANK_RAW!A810,DATEVALUE(TEXT(BANK_RAW!A810,"YYYY-MM-DD"))))</f>
        <v/>
      </c>
      <c r="C810" s="11">
        <f>IF(BANK_RAW!A810="","",TRIM(BANK_RAW!B810))</f>
        <v/>
      </c>
      <c r="D810" s="11">
        <f>IF(BANK_RAW!A810="","",TRIM(BANK_RAW!C810))</f>
        <v/>
      </c>
      <c r="E810" s="12">
        <f>IF(BANK_RAW!A810="","",IFERROR(ABS(BANK_RAW!D810),0))</f>
        <v/>
      </c>
      <c r="F810" s="12">
        <f>IF(BANK_RAW!A810="","",IFERROR(ABS(BANK_RAW!E810),0))</f>
        <v/>
      </c>
      <c r="G810" s="12">
        <f>IF(BANK_RAW!A810="","",IFERROR(BANK_RAW!F810,0))</f>
        <v/>
      </c>
      <c r="H810" s="11">
        <f>IF(BANK_RAW!A810="","",IF(E810&gt;0,"CR",IF(F810&gt;0,"DR","CR")))</f>
        <v/>
      </c>
      <c r="I810" s="12">
        <f>IF(BANK_RAW!A810="","",E810-F810)</f>
        <v/>
      </c>
      <c r="J810" s="12">
        <f>IF(BANK_RAW!A810="","",ABS(I810))</f>
        <v/>
      </c>
      <c r="K810" s="11">
        <f>IF(BANK_RAW!A810="","",IF(H810="CR","IN","OUT"))</f>
        <v/>
      </c>
      <c r="L810" s="11" t="inlineStr"/>
      <c r="M810" s="11" t="inlineStr"/>
    </row>
    <row r="811">
      <c r="A811" s="13">
        <f>IF(BANK_RAW!A811="","",ROW()-1)</f>
        <v/>
      </c>
      <c r="B811" s="10">
        <f>IF(BANK_RAW!A811="","",IF(ISNUMBER(BANK_RAW!A811),BANK_RAW!A811,DATEVALUE(TEXT(BANK_RAW!A811,"YYYY-MM-DD"))))</f>
        <v/>
      </c>
      <c r="C811" s="11">
        <f>IF(BANK_RAW!A811="","",TRIM(BANK_RAW!B811))</f>
        <v/>
      </c>
      <c r="D811" s="11">
        <f>IF(BANK_RAW!A811="","",TRIM(BANK_RAW!C811))</f>
        <v/>
      </c>
      <c r="E811" s="12">
        <f>IF(BANK_RAW!A811="","",IFERROR(ABS(BANK_RAW!D811),0))</f>
        <v/>
      </c>
      <c r="F811" s="12">
        <f>IF(BANK_RAW!A811="","",IFERROR(ABS(BANK_RAW!E811),0))</f>
        <v/>
      </c>
      <c r="G811" s="12">
        <f>IF(BANK_RAW!A811="","",IFERROR(BANK_RAW!F811,0))</f>
        <v/>
      </c>
      <c r="H811" s="11">
        <f>IF(BANK_RAW!A811="","",IF(E811&gt;0,"CR",IF(F811&gt;0,"DR","CR")))</f>
        <v/>
      </c>
      <c r="I811" s="12">
        <f>IF(BANK_RAW!A811="","",E811-F811)</f>
        <v/>
      </c>
      <c r="J811" s="12">
        <f>IF(BANK_RAW!A811="","",ABS(I811))</f>
        <v/>
      </c>
      <c r="K811" s="11">
        <f>IF(BANK_RAW!A811="","",IF(H811="CR","IN","OUT"))</f>
        <v/>
      </c>
      <c r="L811" s="11" t="inlineStr"/>
      <c r="M811" s="11" t="inlineStr"/>
    </row>
    <row r="812">
      <c r="A812" s="13">
        <f>IF(BANK_RAW!A812="","",ROW()-1)</f>
        <v/>
      </c>
      <c r="B812" s="10">
        <f>IF(BANK_RAW!A812="","",IF(ISNUMBER(BANK_RAW!A812),BANK_RAW!A812,DATEVALUE(TEXT(BANK_RAW!A812,"YYYY-MM-DD"))))</f>
        <v/>
      </c>
      <c r="C812" s="11">
        <f>IF(BANK_RAW!A812="","",TRIM(BANK_RAW!B812))</f>
        <v/>
      </c>
      <c r="D812" s="11">
        <f>IF(BANK_RAW!A812="","",TRIM(BANK_RAW!C812))</f>
        <v/>
      </c>
      <c r="E812" s="12">
        <f>IF(BANK_RAW!A812="","",IFERROR(ABS(BANK_RAW!D812),0))</f>
        <v/>
      </c>
      <c r="F812" s="12">
        <f>IF(BANK_RAW!A812="","",IFERROR(ABS(BANK_RAW!E812),0))</f>
        <v/>
      </c>
      <c r="G812" s="12">
        <f>IF(BANK_RAW!A812="","",IFERROR(BANK_RAW!F812,0))</f>
        <v/>
      </c>
      <c r="H812" s="11">
        <f>IF(BANK_RAW!A812="","",IF(E812&gt;0,"CR",IF(F812&gt;0,"DR","CR")))</f>
        <v/>
      </c>
      <c r="I812" s="12">
        <f>IF(BANK_RAW!A812="","",E812-F812)</f>
        <v/>
      </c>
      <c r="J812" s="12">
        <f>IF(BANK_RAW!A812="","",ABS(I812))</f>
        <v/>
      </c>
      <c r="K812" s="11">
        <f>IF(BANK_RAW!A812="","",IF(H812="CR","IN","OUT"))</f>
        <v/>
      </c>
      <c r="L812" s="11" t="inlineStr"/>
      <c r="M812" s="11" t="inlineStr"/>
    </row>
    <row r="813">
      <c r="A813" s="13">
        <f>IF(BANK_RAW!A813="","",ROW()-1)</f>
        <v/>
      </c>
      <c r="B813" s="10">
        <f>IF(BANK_RAW!A813="","",IF(ISNUMBER(BANK_RAW!A813),BANK_RAW!A813,DATEVALUE(TEXT(BANK_RAW!A813,"YYYY-MM-DD"))))</f>
        <v/>
      </c>
      <c r="C813" s="11">
        <f>IF(BANK_RAW!A813="","",TRIM(BANK_RAW!B813))</f>
        <v/>
      </c>
      <c r="D813" s="11">
        <f>IF(BANK_RAW!A813="","",TRIM(BANK_RAW!C813))</f>
        <v/>
      </c>
      <c r="E813" s="12">
        <f>IF(BANK_RAW!A813="","",IFERROR(ABS(BANK_RAW!D813),0))</f>
        <v/>
      </c>
      <c r="F813" s="12">
        <f>IF(BANK_RAW!A813="","",IFERROR(ABS(BANK_RAW!E813),0))</f>
        <v/>
      </c>
      <c r="G813" s="12">
        <f>IF(BANK_RAW!A813="","",IFERROR(BANK_RAW!F813,0))</f>
        <v/>
      </c>
      <c r="H813" s="11">
        <f>IF(BANK_RAW!A813="","",IF(E813&gt;0,"CR",IF(F813&gt;0,"DR","CR")))</f>
        <v/>
      </c>
      <c r="I813" s="12">
        <f>IF(BANK_RAW!A813="","",E813-F813)</f>
        <v/>
      </c>
      <c r="J813" s="12">
        <f>IF(BANK_RAW!A813="","",ABS(I813))</f>
        <v/>
      </c>
      <c r="K813" s="11">
        <f>IF(BANK_RAW!A813="","",IF(H813="CR","IN","OUT"))</f>
        <v/>
      </c>
      <c r="L813" s="11" t="inlineStr"/>
      <c r="M813" s="11" t="inlineStr"/>
    </row>
    <row r="814">
      <c r="A814" s="13">
        <f>IF(BANK_RAW!A814="","",ROW()-1)</f>
        <v/>
      </c>
      <c r="B814" s="10">
        <f>IF(BANK_RAW!A814="","",IF(ISNUMBER(BANK_RAW!A814),BANK_RAW!A814,DATEVALUE(TEXT(BANK_RAW!A814,"YYYY-MM-DD"))))</f>
        <v/>
      </c>
      <c r="C814" s="11">
        <f>IF(BANK_RAW!A814="","",TRIM(BANK_RAW!B814))</f>
        <v/>
      </c>
      <c r="D814" s="11">
        <f>IF(BANK_RAW!A814="","",TRIM(BANK_RAW!C814))</f>
        <v/>
      </c>
      <c r="E814" s="12">
        <f>IF(BANK_RAW!A814="","",IFERROR(ABS(BANK_RAW!D814),0))</f>
        <v/>
      </c>
      <c r="F814" s="12">
        <f>IF(BANK_RAW!A814="","",IFERROR(ABS(BANK_RAW!E814),0))</f>
        <v/>
      </c>
      <c r="G814" s="12">
        <f>IF(BANK_RAW!A814="","",IFERROR(BANK_RAW!F814,0))</f>
        <v/>
      </c>
      <c r="H814" s="11">
        <f>IF(BANK_RAW!A814="","",IF(E814&gt;0,"CR",IF(F814&gt;0,"DR","CR")))</f>
        <v/>
      </c>
      <c r="I814" s="12">
        <f>IF(BANK_RAW!A814="","",E814-F814)</f>
        <v/>
      </c>
      <c r="J814" s="12">
        <f>IF(BANK_RAW!A814="","",ABS(I814))</f>
        <v/>
      </c>
      <c r="K814" s="11">
        <f>IF(BANK_RAW!A814="","",IF(H814="CR","IN","OUT"))</f>
        <v/>
      </c>
      <c r="L814" s="11" t="inlineStr"/>
      <c r="M814" s="11" t="inlineStr"/>
    </row>
    <row r="815">
      <c r="A815" s="13">
        <f>IF(BANK_RAW!A815="","",ROW()-1)</f>
        <v/>
      </c>
      <c r="B815" s="10">
        <f>IF(BANK_RAW!A815="","",IF(ISNUMBER(BANK_RAW!A815),BANK_RAW!A815,DATEVALUE(TEXT(BANK_RAW!A815,"YYYY-MM-DD"))))</f>
        <v/>
      </c>
      <c r="C815" s="11">
        <f>IF(BANK_RAW!A815="","",TRIM(BANK_RAW!B815))</f>
        <v/>
      </c>
      <c r="D815" s="11">
        <f>IF(BANK_RAW!A815="","",TRIM(BANK_RAW!C815))</f>
        <v/>
      </c>
      <c r="E815" s="12">
        <f>IF(BANK_RAW!A815="","",IFERROR(ABS(BANK_RAW!D815),0))</f>
        <v/>
      </c>
      <c r="F815" s="12">
        <f>IF(BANK_RAW!A815="","",IFERROR(ABS(BANK_RAW!E815),0))</f>
        <v/>
      </c>
      <c r="G815" s="12">
        <f>IF(BANK_RAW!A815="","",IFERROR(BANK_RAW!F815,0))</f>
        <v/>
      </c>
      <c r="H815" s="11">
        <f>IF(BANK_RAW!A815="","",IF(E815&gt;0,"CR",IF(F815&gt;0,"DR","CR")))</f>
        <v/>
      </c>
      <c r="I815" s="12">
        <f>IF(BANK_RAW!A815="","",E815-F815)</f>
        <v/>
      </c>
      <c r="J815" s="12">
        <f>IF(BANK_RAW!A815="","",ABS(I815))</f>
        <v/>
      </c>
      <c r="K815" s="11">
        <f>IF(BANK_RAW!A815="","",IF(H815="CR","IN","OUT"))</f>
        <v/>
      </c>
      <c r="L815" s="11" t="inlineStr"/>
      <c r="M815" s="11" t="inlineStr"/>
    </row>
    <row r="816">
      <c r="A816" s="13">
        <f>IF(BANK_RAW!A816="","",ROW()-1)</f>
        <v/>
      </c>
      <c r="B816" s="10">
        <f>IF(BANK_RAW!A816="","",IF(ISNUMBER(BANK_RAW!A816),BANK_RAW!A816,DATEVALUE(TEXT(BANK_RAW!A816,"YYYY-MM-DD"))))</f>
        <v/>
      </c>
      <c r="C816" s="11">
        <f>IF(BANK_RAW!A816="","",TRIM(BANK_RAW!B816))</f>
        <v/>
      </c>
      <c r="D816" s="11">
        <f>IF(BANK_RAW!A816="","",TRIM(BANK_RAW!C816))</f>
        <v/>
      </c>
      <c r="E816" s="12">
        <f>IF(BANK_RAW!A816="","",IFERROR(ABS(BANK_RAW!D816),0))</f>
        <v/>
      </c>
      <c r="F816" s="12">
        <f>IF(BANK_RAW!A816="","",IFERROR(ABS(BANK_RAW!E816),0))</f>
        <v/>
      </c>
      <c r="G816" s="12">
        <f>IF(BANK_RAW!A816="","",IFERROR(BANK_RAW!F816,0))</f>
        <v/>
      </c>
      <c r="H816" s="11">
        <f>IF(BANK_RAW!A816="","",IF(E816&gt;0,"CR",IF(F816&gt;0,"DR","CR")))</f>
        <v/>
      </c>
      <c r="I816" s="12">
        <f>IF(BANK_RAW!A816="","",E816-F816)</f>
        <v/>
      </c>
      <c r="J816" s="12">
        <f>IF(BANK_RAW!A816="","",ABS(I816))</f>
        <v/>
      </c>
      <c r="K816" s="11">
        <f>IF(BANK_RAW!A816="","",IF(H816="CR","IN","OUT"))</f>
        <v/>
      </c>
      <c r="L816" s="11" t="inlineStr"/>
      <c r="M816" s="11" t="inlineStr"/>
    </row>
    <row r="817">
      <c r="A817" s="13">
        <f>IF(BANK_RAW!A817="","",ROW()-1)</f>
        <v/>
      </c>
      <c r="B817" s="10">
        <f>IF(BANK_RAW!A817="","",IF(ISNUMBER(BANK_RAW!A817),BANK_RAW!A817,DATEVALUE(TEXT(BANK_RAW!A817,"YYYY-MM-DD"))))</f>
        <v/>
      </c>
      <c r="C817" s="11">
        <f>IF(BANK_RAW!A817="","",TRIM(BANK_RAW!B817))</f>
        <v/>
      </c>
      <c r="D817" s="11">
        <f>IF(BANK_RAW!A817="","",TRIM(BANK_RAW!C817))</f>
        <v/>
      </c>
      <c r="E817" s="12">
        <f>IF(BANK_RAW!A817="","",IFERROR(ABS(BANK_RAW!D817),0))</f>
        <v/>
      </c>
      <c r="F817" s="12">
        <f>IF(BANK_RAW!A817="","",IFERROR(ABS(BANK_RAW!E817),0))</f>
        <v/>
      </c>
      <c r="G817" s="12">
        <f>IF(BANK_RAW!A817="","",IFERROR(BANK_RAW!F817,0))</f>
        <v/>
      </c>
      <c r="H817" s="11">
        <f>IF(BANK_RAW!A817="","",IF(E817&gt;0,"CR",IF(F817&gt;0,"DR","CR")))</f>
        <v/>
      </c>
      <c r="I817" s="12">
        <f>IF(BANK_RAW!A817="","",E817-F817)</f>
        <v/>
      </c>
      <c r="J817" s="12">
        <f>IF(BANK_RAW!A817="","",ABS(I817))</f>
        <v/>
      </c>
      <c r="K817" s="11">
        <f>IF(BANK_RAW!A817="","",IF(H817="CR","IN","OUT"))</f>
        <v/>
      </c>
      <c r="L817" s="11" t="inlineStr"/>
      <c r="M817" s="11" t="inlineStr"/>
    </row>
    <row r="818">
      <c r="A818" s="13">
        <f>IF(BANK_RAW!A818="","",ROW()-1)</f>
        <v/>
      </c>
      <c r="B818" s="10">
        <f>IF(BANK_RAW!A818="","",IF(ISNUMBER(BANK_RAW!A818),BANK_RAW!A818,DATEVALUE(TEXT(BANK_RAW!A818,"YYYY-MM-DD"))))</f>
        <v/>
      </c>
      <c r="C818" s="11">
        <f>IF(BANK_RAW!A818="","",TRIM(BANK_RAW!B818))</f>
        <v/>
      </c>
      <c r="D818" s="11">
        <f>IF(BANK_RAW!A818="","",TRIM(BANK_RAW!C818))</f>
        <v/>
      </c>
      <c r="E818" s="12">
        <f>IF(BANK_RAW!A818="","",IFERROR(ABS(BANK_RAW!D818),0))</f>
        <v/>
      </c>
      <c r="F818" s="12">
        <f>IF(BANK_RAW!A818="","",IFERROR(ABS(BANK_RAW!E818),0))</f>
        <v/>
      </c>
      <c r="G818" s="12">
        <f>IF(BANK_RAW!A818="","",IFERROR(BANK_RAW!F818,0))</f>
        <v/>
      </c>
      <c r="H818" s="11">
        <f>IF(BANK_RAW!A818="","",IF(E818&gt;0,"CR",IF(F818&gt;0,"DR","CR")))</f>
        <v/>
      </c>
      <c r="I818" s="12">
        <f>IF(BANK_RAW!A818="","",E818-F818)</f>
        <v/>
      </c>
      <c r="J818" s="12">
        <f>IF(BANK_RAW!A818="","",ABS(I818))</f>
        <v/>
      </c>
      <c r="K818" s="11">
        <f>IF(BANK_RAW!A818="","",IF(H818="CR","IN","OUT"))</f>
        <v/>
      </c>
      <c r="L818" s="11" t="inlineStr"/>
      <c r="M818" s="11" t="inlineStr"/>
    </row>
    <row r="819">
      <c r="A819" s="13">
        <f>IF(BANK_RAW!A819="","",ROW()-1)</f>
        <v/>
      </c>
      <c r="B819" s="10">
        <f>IF(BANK_RAW!A819="","",IF(ISNUMBER(BANK_RAW!A819),BANK_RAW!A819,DATEVALUE(TEXT(BANK_RAW!A819,"YYYY-MM-DD"))))</f>
        <v/>
      </c>
      <c r="C819" s="11">
        <f>IF(BANK_RAW!A819="","",TRIM(BANK_RAW!B819))</f>
        <v/>
      </c>
      <c r="D819" s="11">
        <f>IF(BANK_RAW!A819="","",TRIM(BANK_RAW!C819))</f>
        <v/>
      </c>
      <c r="E819" s="12">
        <f>IF(BANK_RAW!A819="","",IFERROR(ABS(BANK_RAW!D819),0))</f>
        <v/>
      </c>
      <c r="F819" s="12">
        <f>IF(BANK_RAW!A819="","",IFERROR(ABS(BANK_RAW!E819),0))</f>
        <v/>
      </c>
      <c r="G819" s="12">
        <f>IF(BANK_RAW!A819="","",IFERROR(BANK_RAW!F819,0))</f>
        <v/>
      </c>
      <c r="H819" s="11">
        <f>IF(BANK_RAW!A819="","",IF(E819&gt;0,"CR",IF(F819&gt;0,"DR","CR")))</f>
        <v/>
      </c>
      <c r="I819" s="12">
        <f>IF(BANK_RAW!A819="","",E819-F819)</f>
        <v/>
      </c>
      <c r="J819" s="12">
        <f>IF(BANK_RAW!A819="","",ABS(I819))</f>
        <v/>
      </c>
      <c r="K819" s="11">
        <f>IF(BANK_RAW!A819="","",IF(H819="CR","IN","OUT"))</f>
        <v/>
      </c>
      <c r="L819" s="11" t="inlineStr"/>
      <c r="M819" s="11" t="inlineStr"/>
    </row>
    <row r="820">
      <c r="A820" s="13">
        <f>IF(BANK_RAW!A820="","",ROW()-1)</f>
        <v/>
      </c>
      <c r="B820" s="10">
        <f>IF(BANK_RAW!A820="","",IF(ISNUMBER(BANK_RAW!A820),BANK_RAW!A820,DATEVALUE(TEXT(BANK_RAW!A820,"YYYY-MM-DD"))))</f>
        <v/>
      </c>
      <c r="C820" s="11">
        <f>IF(BANK_RAW!A820="","",TRIM(BANK_RAW!B820))</f>
        <v/>
      </c>
      <c r="D820" s="11">
        <f>IF(BANK_RAW!A820="","",TRIM(BANK_RAW!C820))</f>
        <v/>
      </c>
      <c r="E820" s="12">
        <f>IF(BANK_RAW!A820="","",IFERROR(ABS(BANK_RAW!D820),0))</f>
        <v/>
      </c>
      <c r="F820" s="12">
        <f>IF(BANK_RAW!A820="","",IFERROR(ABS(BANK_RAW!E820),0))</f>
        <v/>
      </c>
      <c r="G820" s="12">
        <f>IF(BANK_RAW!A820="","",IFERROR(BANK_RAW!F820,0))</f>
        <v/>
      </c>
      <c r="H820" s="11">
        <f>IF(BANK_RAW!A820="","",IF(E820&gt;0,"CR",IF(F820&gt;0,"DR","CR")))</f>
        <v/>
      </c>
      <c r="I820" s="12">
        <f>IF(BANK_RAW!A820="","",E820-F820)</f>
        <v/>
      </c>
      <c r="J820" s="12">
        <f>IF(BANK_RAW!A820="","",ABS(I820))</f>
        <v/>
      </c>
      <c r="K820" s="11">
        <f>IF(BANK_RAW!A820="","",IF(H820="CR","IN","OUT"))</f>
        <v/>
      </c>
      <c r="L820" s="11" t="inlineStr"/>
      <c r="M820" s="11" t="inlineStr"/>
    </row>
    <row r="821">
      <c r="A821" s="13">
        <f>IF(BANK_RAW!A821="","",ROW()-1)</f>
        <v/>
      </c>
      <c r="B821" s="10">
        <f>IF(BANK_RAW!A821="","",IF(ISNUMBER(BANK_RAW!A821),BANK_RAW!A821,DATEVALUE(TEXT(BANK_RAW!A821,"YYYY-MM-DD"))))</f>
        <v/>
      </c>
      <c r="C821" s="11">
        <f>IF(BANK_RAW!A821="","",TRIM(BANK_RAW!B821))</f>
        <v/>
      </c>
      <c r="D821" s="11">
        <f>IF(BANK_RAW!A821="","",TRIM(BANK_RAW!C821))</f>
        <v/>
      </c>
      <c r="E821" s="12">
        <f>IF(BANK_RAW!A821="","",IFERROR(ABS(BANK_RAW!D821),0))</f>
        <v/>
      </c>
      <c r="F821" s="12">
        <f>IF(BANK_RAW!A821="","",IFERROR(ABS(BANK_RAW!E821),0))</f>
        <v/>
      </c>
      <c r="G821" s="12">
        <f>IF(BANK_RAW!A821="","",IFERROR(BANK_RAW!F821,0))</f>
        <v/>
      </c>
      <c r="H821" s="11">
        <f>IF(BANK_RAW!A821="","",IF(E821&gt;0,"CR",IF(F821&gt;0,"DR","CR")))</f>
        <v/>
      </c>
      <c r="I821" s="12">
        <f>IF(BANK_RAW!A821="","",E821-F821)</f>
        <v/>
      </c>
      <c r="J821" s="12">
        <f>IF(BANK_RAW!A821="","",ABS(I821))</f>
        <v/>
      </c>
      <c r="K821" s="11">
        <f>IF(BANK_RAW!A821="","",IF(H821="CR","IN","OUT"))</f>
        <v/>
      </c>
      <c r="L821" s="11" t="inlineStr"/>
      <c r="M821" s="11" t="inlineStr"/>
    </row>
    <row r="822">
      <c r="A822" s="13">
        <f>IF(BANK_RAW!A822="","",ROW()-1)</f>
        <v/>
      </c>
      <c r="B822" s="10">
        <f>IF(BANK_RAW!A822="","",IF(ISNUMBER(BANK_RAW!A822),BANK_RAW!A822,DATEVALUE(TEXT(BANK_RAW!A822,"YYYY-MM-DD"))))</f>
        <v/>
      </c>
      <c r="C822" s="11">
        <f>IF(BANK_RAW!A822="","",TRIM(BANK_RAW!B822))</f>
        <v/>
      </c>
      <c r="D822" s="11">
        <f>IF(BANK_RAW!A822="","",TRIM(BANK_RAW!C822))</f>
        <v/>
      </c>
      <c r="E822" s="12">
        <f>IF(BANK_RAW!A822="","",IFERROR(ABS(BANK_RAW!D822),0))</f>
        <v/>
      </c>
      <c r="F822" s="12">
        <f>IF(BANK_RAW!A822="","",IFERROR(ABS(BANK_RAW!E822),0))</f>
        <v/>
      </c>
      <c r="G822" s="12">
        <f>IF(BANK_RAW!A822="","",IFERROR(BANK_RAW!F822,0))</f>
        <v/>
      </c>
      <c r="H822" s="11">
        <f>IF(BANK_RAW!A822="","",IF(E822&gt;0,"CR",IF(F822&gt;0,"DR","CR")))</f>
        <v/>
      </c>
      <c r="I822" s="12">
        <f>IF(BANK_RAW!A822="","",E822-F822)</f>
        <v/>
      </c>
      <c r="J822" s="12">
        <f>IF(BANK_RAW!A822="","",ABS(I822))</f>
        <v/>
      </c>
      <c r="K822" s="11">
        <f>IF(BANK_RAW!A822="","",IF(H822="CR","IN","OUT"))</f>
        <v/>
      </c>
      <c r="L822" s="11" t="inlineStr"/>
      <c r="M822" s="11" t="inlineStr"/>
    </row>
    <row r="823">
      <c r="A823" s="13">
        <f>IF(BANK_RAW!A823="","",ROW()-1)</f>
        <v/>
      </c>
      <c r="B823" s="10">
        <f>IF(BANK_RAW!A823="","",IF(ISNUMBER(BANK_RAW!A823),BANK_RAW!A823,DATEVALUE(TEXT(BANK_RAW!A823,"YYYY-MM-DD"))))</f>
        <v/>
      </c>
      <c r="C823" s="11">
        <f>IF(BANK_RAW!A823="","",TRIM(BANK_RAW!B823))</f>
        <v/>
      </c>
      <c r="D823" s="11">
        <f>IF(BANK_RAW!A823="","",TRIM(BANK_RAW!C823))</f>
        <v/>
      </c>
      <c r="E823" s="12">
        <f>IF(BANK_RAW!A823="","",IFERROR(ABS(BANK_RAW!D823),0))</f>
        <v/>
      </c>
      <c r="F823" s="12">
        <f>IF(BANK_RAW!A823="","",IFERROR(ABS(BANK_RAW!E823),0))</f>
        <v/>
      </c>
      <c r="G823" s="12">
        <f>IF(BANK_RAW!A823="","",IFERROR(BANK_RAW!F823,0))</f>
        <v/>
      </c>
      <c r="H823" s="11">
        <f>IF(BANK_RAW!A823="","",IF(E823&gt;0,"CR",IF(F823&gt;0,"DR","CR")))</f>
        <v/>
      </c>
      <c r="I823" s="12">
        <f>IF(BANK_RAW!A823="","",E823-F823)</f>
        <v/>
      </c>
      <c r="J823" s="12">
        <f>IF(BANK_RAW!A823="","",ABS(I823))</f>
        <v/>
      </c>
      <c r="K823" s="11">
        <f>IF(BANK_RAW!A823="","",IF(H823="CR","IN","OUT"))</f>
        <v/>
      </c>
      <c r="L823" s="11" t="inlineStr"/>
      <c r="M823" s="11" t="inlineStr"/>
    </row>
    <row r="824">
      <c r="A824" s="13">
        <f>IF(BANK_RAW!A824="","",ROW()-1)</f>
        <v/>
      </c>
      <c r="B824" s="10">
        <f>IF(BANK_RAW!A824="","",IF(ISNUMBER(BANK_RAW!A824),BANK_RAW!A824,DATEVALUE(TEXT(BANK_RAW!A824,"YYYY-MM-DD"))))</f>
        <v/>
      </c>
      <c r="C824" s="11">
        <f>IF(BANK_RAW!A824="","",TRIM(BANK_RAW!B824))</f>
        <v/>
      </c>
      <c r="D824" s="11">
        <f>IF(BANK_RAW!A824="","",TRIM(BANK_RAW!C824))</f>
        <v/>
      </c>
      <c r="E824" s="12">
        <f>IF(BANK_RAW!A824="","",IFERROR(ABS(BANK_RAW!D824),0))</f>
        <v/>
      </c>
      <c r="F824" s="12">
        <f>IF(BANK_RAW!A824="","",IFERROR(ABS(BANK_RAW!E824),0))</f>
        <v/>
      </c>
      <c r="G824" s="12">
        <f>IF(BANK_RAW!A824="","",IFERROR(BANK_RAW!F824,0))</f>
        <v/>
      </c>
      <c r="H824" s="11">
        <f>IF(BANK_RAW!A824="","",IF(E824&gt;0,"CR",IF(F824&gt;0,"DR","CR")))</f>
        <v/>
      </c>
      <c r="I824" s="12">
        <f>IF(BANK_RAW!A824="","",E824-F824)</f>
        <v/>
      </c>
      <c r="J824" s="12">
        <f>IF(BANK_RAW!A824="","",ABS(I824))</f>
        <v/>
      </c>
      <c r="K824" s="11">
        <f>IF(BANK_RAW!A824="","",IF(H824="CR","IN","OUT"))</f>
        <v/>
      </c>
      <c r="L824" s="11" t="inlineStr"/>
      <c r="M824" s="11" t="inlineStr"/>
    </row>
    <row r="825">
      <c r="A825" s="13">
        <f>IF(BANK_RAW!A825="","",ROW()-1)</f>
        <v/>
      </c>
      <c r="B825" s="10">
        <f>IF(BANK_RAW!A825="","",IF(ISNUMBER(BANK_RAW!A825),BANK_RAW!A825,DATEVALUE(TEXT(BANK_RAW!A825,"YYYY-MM-DD"))))</f>
        <v/>
      </c>
      <c r="C825" s="11">
        <f>IF(BANK_RAW!A825="","",TRIM(BANK_RAW!B825))</f>
        <v/>
      </c>
      <c r="D825" s="11">
        <f>IF(BANK_RAW!A825="","",TRIM(BANK_RAW!C825))</f>
        <v/>
      </c>
      <c r="E825" s="12">
        <f>IF(BANK_RAW!A825="","",IFERROR(ABS(BANK_RAW!D825),0))</f>
        <v/>
      </c>
      <c r="F825" s="12">
        <f>IF(BANK_RAW!A825="","",IFERROR(ABS(BANK_RAW!E825),0))</f>
        <v/>
      </c>
      <c r="G825" s="12">
        <f>IF(BANK_RAW!A825="","",IFERROR(BANK_RAW!F825,0))</f>
        <v/>
      </c>
      <c r="H825" s="11">
        <f>IF(BANK_RAW!A825="","",IF(E825&gt;0,"CR",IF(F825&gt;0,"DR","CR")))</f>
        <v/>
      </c>
      <c r="I825" s="12">
        <f>IF(BANK_RAW!A825="","",E825-F825)</f>
        <v/>
      </c>
      <c r="J825" s="12">
        <f>IF(BANK_RAW!A825="","",ABS(I825))</f>
        <v/>
      </c>
      <c r="K825" s="11">
        <f>IF(BANK_RAW!A825="","",IF(H825="CR","IN","OUT"))</f>
        <v/>
      </c>
      <c r="L825" s="11" t="inlineStr"/>
      <c r="M825" s="11" t="inlineStr"/>
    </row>
    <row r="826">
      <c r="A826" s="13">
        <f>IF(BANK_RAW!A826="","",ROW()-1)</f>
        <v/>
      </c>
      <c r="B826" s="10">
        <f>IF(BANK_RAW!A826="","",IF(ISNUMBER(BANK_RAW!A826),BANK_RAW!A826,DATEVALUE(TEXT(BANK_RAW!A826,"YYYY-MM-DD"))))</f>
        <v/>
      </c>
      <c r="C826" s="11">
        <f>IF(BANK_RAW!A826="","",TRIM(BANK_RAW!B826))</f>
        <v/>
      </c>
      <c r="D826" s="11">
        <f>IF(BANK_RAW!A826="","",TRIM(BANK_RAW!C826))</f>
        <v/>
      </c>
      <c r="E826" s="12">
        <f>IF(BANK_RAW!A826="","",IFERROR(ABS(BANK_RAW!D826),0))</f>
        <v/>
      </c>
      <c r="F826" s="12">
        <f>IF(BANK_RAW!A826="","",IFERROR(ABS(BANK_RAW!E826),0))</f>
        <v/>
      </c>
      <c r="G826" s="12">
        <f>IF(BANK_RAW!A826="","",IFERROR(BANK_RAW!F826,0))</f>
        <v/>
      </c>
      <c r="H826" s="11">
        <f>IF(BANK_RAW!A826="","",IF(E826&gt;0,"CR",IF(F826&gt;0,"DR","CR")))</f>
        <v/>
      </c>
      <c r="I826" s="12">
        <f>IF(BANK_RAW!A826="","",E826-F826)</f>
        <v/>
      </c>
      <c r="J826" s="12">
        <f>IF(BANK_RAW!A826="","",ABS(I826))</f>
        <v/>
      </c>
      <c r="K826" s="11">
        <f>IF(BANK_RAW!A826="","",IF(H826="CR","IN","OUT"))</f>
        <v/>
      </c>
      <c r="L826" s="11" t="inlineStr"/>
      <c r="M826" s="11" t="inlineStr"/>
    </row>
    <row r="827">
      <c r="A827" s="13">
        <f>IF(BANK_RAW!A827="","",ROW()-1)</f>
        <v/>
      </c>
      <c r="B827" s="10">
        <f>IF(BANK_RAW!A827="","",IF(ISNUMBER(BANK_RAW!A827),BANK_RAW!A827,DATEVALUE(TEXT(BANK_RAW!A827,"YYYY-MM-DD"))))</f>
        <v/>
      </c>
      <c r="C827" s="11">
        <f>IF(BANK_RAW!A827="","",TRIM(BANK_RAW!B827))</f>
        <v/>
      </c>
      <c r="D827" s="11">
        <f>IF(BANK_RAW!A827="","",TRIM(BANK_RAW!C827))</f>
        <v/>
      </c>
      <c r="E827" s="12">
        <f>IF(BANK_RAW!A827="","",IFERROR(ABS(BANK_RAW!D827),0))</f>
        <v/>
      </c>
      <c r="F827" s="12">
        <f>IF(BANK_RAW!A827="","",IFERROR(ABS(BANK_RAW!E827),0))</f>
        <v/>
      </c>
      <c r="G827" s="12">
        <f>IF(BANK_RAW!A827="","",IFERROR(BANK_RAW!F827,0))</f>
        <v/>
      </c>
      <c r="H827" s="11">
        <f>IF(BANK_RAW!A827="","",IF(E827&gt;0,"CR",IF(F827&gt;0,"DR","CR")))</f>
        <v/>
      </c>
      <c r="I827" s="12">
        <f>IF(BANK_RAW!A827="","",E827-F827)</f>
        <v/>
      </c>
      <c r="J827" s="12">
        <f>IF(BANK_RAW!A827="","",ABS(I827))</f>
        <v/>
      </c>
      <c r="K827" s="11">
        <f>IF(BANK_RAW!A827="","",IF(H827="CR","IN","OUT"))</f>
        <v/>
      </c>
      <c r="L827" s="11" t="inlineStr"/>
      <c r="M827" s="11" t="inlineStr"/>
    </row>
    <row r="828">
      <c r="A828" s="13">
        <f>IF(BANK_RAW!A828="","",ROW()-1)</f>
        <v/>
      </c>
      <c r="B828" s="10">
        <f>IF(BANK_RAW!A828="","",IF(ISNUMBER(BANK_RAW!A828),BANK_RAW!A828,DATEVALUE(TEXT(BANK_RAW!A828,"YYYY-MM-DD"))))</f>
        <v/>
      </c>
      <c r="C828" s="11">
        <f>IF(BANK_RAW!A828="","",TRIM(BANK_RAW!B828))</f>
        <v/>
      </c>
      <c r="D828" s="11">
        <f>IF(BANK_RAW!A828="","",TRIM(BANK_RAW!C828))</f>
        <v/>
      </c>
      <c r="E828" s="12">
        <f>IF(BANK_RAW!A828="","",IFERROR(ABS(BANK_RAW!D828),0))</f>
        <v/>
      </c>
      <c r="F828" s="12">
        <f>IF(BANK_RAW!A828="","",IFERROR(ABS(BANK_RAW!E828),0))</f>
        <v/>
      </c>
      <c r="G828" s="12">
        <f>IF(BANK_RAW!A828="","",IFERROR(BANK_RAW!F828,0))</f>
        <v/>
      </c>
      <c r="H828" s="11">
        <f>IF(BANK_RAW!A828="","",IF(E828&gt;0,"CR",IF(F828&gt;0,"DR","CR")))</f>
        <v/>
      </c>
      <c r="I828" s="12">
        <f>IF(BANK_RAW!A828="","",E828-F828)</f>
        <v/>
      </c>
      <c r="J828" s="12">
        <f>IF(BANK_RAW!A828="","",ABS(I828))</f>
        <v/>
      </c>
      <c r="K828" s="11">
        <f>IF(BANK_RAW!A828="","",IF(H828="CR","IN","OUT"))</f>
        <v/>
      </c>
      <c r="L828" s="11" t="inlineStr"/>
      <c r="M828" s="11" t="inlineStr"/>
    </row>
    <row r="829">
      <c r="A829" s="13">
        <f>IF(BANK_RAW!A829="","",ROW()-1)</f>
        <v/>
      </c>
      <c r="B829" s="10">
        <f>IF(BANK_RAW!A829="","",IF(ISNUMBER(BANK_RAW!A829),BANK_RAW!A829,DATEVALUE(TEXT(BANK_RAW!A829,"YYYY-MM-DD"))))</f>
        <v/>
      </c>
      <c r="C829" s="11">
        <f>IF(BANK_RAW!A829="","",TRIM(BANK_RAW!B829))</f>
        <v/>
      </c>
      <c r="D829" s="11">
        <f>IF(BANK_RAW!A829="","",TRIM(BANK_RAW!C829))</f>
        <v/>
      </c>
      <c r="E829" s="12">
        <f>IF(BANK_RAW!A829="","",IFERROR(ABS(BANK_RAW!D829),0))</f>
        <v/>
      </c>
      <c r="F829" s="12">
        <f>IF(BANK_RAW!A829="","",IFERROR(ABS(BANK_RAW!E829),0))</f>
        <v/>
      </c>
      <c r="G829" s="12">
        <f>IF(BANK_RAW!A829="","",IFERROR(BANK_RAW!F829,0))</f>
        <v/>
      </c>
      <c r="H829" s="11">
        <f>IF(BANK_RAW!A829="","",IF(E829&gt;0,"CR",IF(F829&gt;0,"DR","CR")))</f>
        <v/>
      </c>
      <c r="I829" s="12">
        <f>IF(BANK_RAW!A829="","",E829-F829)</f>
        <v/>
      </c>
      <c r="J829" s="12">
        <f>IF(BANK_RAW!A829="","",ABS(I829))</f>
        <v/>
      </c>
      <c r="K829" s="11">
        <f>IF(BANK_RAW!A829="","",IF(H829="CR","IN","OUT"))</f>
        <v/>
      </c>
      <c r="L829" s="11" t="inlineStr"/>
      <c r="M829" s="11" t="inlineStr"/>
    </row>
    <row r="830">
      <c r="A830" s="13">
        <f>IF(BANK_RAW!A830="","",ROW()-1)</f>
        <v/>
      </c>
      <c r="B830" s="10">
        <f>IF(BANK_RAW!A830="","",IF(ISNUMBER(BANK_RAW!A830),BANK_RAW!A830,DATEVALUE(TEXT(BANK_RAW!A830,"YYYY-MM-DD"))))</f>
        <v/>
      </c>
      <c r="C830" s="11">
        <f>IF(BANK_RAW!A830="","",TRIM(BANK_RAW!B830))</f>
        <v/>
      </c>
      <c r="D830" s="11">
        <f>IF(BANK_RAW!A830="","",TRIM(BANK_RAW!C830))</f>
        <v/>
      </c>
      <c r="E830" s="12">
        <f>IF(BANK_RAW!A830="","",IFERROR(ABS(BANK_RAW!D830),0))</f>
        <v/>
      </c>
      <c r="F830" s="12">
        <f>IF(BANK_RAW!A830="","",IFERROR(ABS(BANK_RAW!E830),0))</f>
        <v/>
      </c>
      <c r="G830" s="12">
        <f>IF(BANK_RAW!A830="","",IFERROR(BANK_RAW!F830,0))</f>
        <v/>
      </c>
      <c r="H830" s="11">
        <f>IF(BANK_RAW!A830="","",IF(E830&gt;0,"CR",IF(F830&gt;0,"DR","CR")))</f>
        <v/>
      </c>
      <c r="I830" s="12">
        <f>IF(BANK_RAW!A830="","",E830-F830)</f>
        <v/>
      </c>
      <c r="J830" s="12">
        <f>IF(BANK_RAW!A830="","",ABS(I830))</f>
        <v/>
      </c>
      <c r="K830" s="11">
        <f>IF(BANK_RAW!A830="","",IF(H830="CR","IN","OUT"))</f>
        <v/>
      </c>
      <c r="L830" s="11" t="inlineStr"/>
      <c r="M830" s="11" t="inlineStr"/>
    </row>
    <row r="831">
      <c r="A831" s="13">
        <f>IF(BANK_RAW!A831="","",ROW()-1)</f>
        <v/>
      </c>
      <c r="B831" s="10">
        <f>IF(BANK_RAW!A831="","",IF(ISNUMBER(BANK_RAW!A831),BANK_RAW!A831,DATEVALUE(TEXT(BANK_RAW!A831,"YYYY-MM-DD"))))</f>
        <v/>
      </c>
      <c r="C831" s="11">
        <f>IF(BANK_RAW!A831="","",TRIM(BANK_RAW!B831))</f>
        <v/>
      </c>
      <c r="D831" s="11">
        <f>IF(BANK_RAW!A831="","",TRIM(BANK_RAW!C831))</f>
        <v/>
      </c>
      <c r="E831" s="12">
        <f>IF(BANK_RAW!A831="","",IFERROR(ABS(BANK_RAW!D831),0))</f>
        <v/>
      </c>
      <c r="F831" s="12">
        <f>IF(BANK_RAW!A831="","",IFERROR(ABS(BANK_RAW!E831),0))</f>
        <v/>
      </c>
      <c r="G831" s="12">
        <f>IF(BANK_RAW!A831="","",IFERROR(BANK_RAW!F831,0))</f>
        <v/>
      </c>
      <c r="H831" s="11">
        <f>IF(BANK_RAW!A831="","",IF(E831&gt;0,"CR",IF(F831&gt;0,"DR","CR")))</f>
        <v/>
      </c>
      <c r="I831" s="12">
        <f>IF(BANK_RAW!A831="","",E831-F831)</f>
        <v/>
      </c>
      <c r="J831" s="12">
        <f>IF(BANK_RAW!A831="","",ABS(I831))</f>
        <v/>
      </c>
      <c r="K831" s="11">
        <f>IF(BANK_RAW!A831="","",IF(H831="CR","IN","OUT"))</f>
        <v/>
      </c>
      <c r="L831" s="11" t="inlineStr"/>
      <c r="M831" s="11" t="inlineStr"/>
    </row>
    <row r="832">
      <c r="A832" s="13">
        <f>IF(BANK_RAW!A832="","",ROW()-1)</f>
        <v/>
      </c>
      <c r="B832" s="10">
        <f>IF(BANK_RAW!A832="","",IF(ISNUMBER(BANK_RAW!A832),BANK_RAW!A832,DATEVALUE(TEXT(BANK_RAW!A832,"YYYY-MM-DD"))))</f>
        <v/>
      </c>
      <c r="C832" s="11">
        <f>IF(BANK_RAW!A832="","",TRIM(BANK_RAW!B832))</f>
        <v/>
      </c>
      <c r="D832" s="11">
        <f>IF(BANK_RAW!A832="","",TRIM(BANK_RAW!C832))</f>
        <v/>
      </c>
      <c r="E832" s="12">
        <f>IF(BANK_RAW!A832="","",IFERROR(ABS(BANK_RAW!D832),0))</f>
        <v/>
      </c>
      <c r="F832" s="12">
        <f>IF(BANK_RAW!A832="","",IFERROR(ABS(BANK_RAW!E832),0))</f>
        <v/>
      </c>
      <c r="G832" s="12">
        <f>IF(BANK_RAW!A832="","",IFERROR(BANK_RAW!F832,0))</f>
        <v/>
      </c>
      <c r="H832" s="11">
        <f>IF(BANK_RAW!A832="","",IF(E832&gt;0,"CR",IF(F832&gt;0,"DR","CR")))</f>
        <v/>
      </c>
      <c r="I832" s="12">
        <f>IF(BANK_RAW!A832="","",E832-F832)</f>
        <v/>
      </c>
      <c r="J832" s="12">
        <f>IF(BANK_RAW!A832="","",ABS(I832))</f>
        <v/>
      </c>
      <c r="K832" s="11">
        <f>IF(BANK_RAW!A832="","",IF(H832="CR","IN","OUT"))</f>
        <v/>
      </c>
      <c r="L832" s="11" t="inlineStr"/>
      <c r="M832" s="11" t="inlineStr"/>
    </row>
    <row r="833">
      <c r="A833" s="13">
        <f>IF(BANK_RAW!A833="","",ROW()-1)</f>
        <v/>
      </c>
      <c r="B833" s="10">
        <f>IF(BANK_RAW!A833="","",IF(ISNUMBER(BANK_RAW!A833),BANK_RAW!A833,DATEVALUE(TEXT(BANK_RAW!A833,"YYYY-MM-DD"))))</f>
        <v/>
      </c>
      <c r="C833" s="11">
        <f>IF(BANK_RAW!A833="","",TRIM(BANK_RAW!B833))</f>
        <v/>
      </c>
      <c r="D833" s="11">
        <f>IF(BANK_RAW!A833="","",TRIM(BANK_RAW!C833))</f>
        <v/>
      </c>
      <c r="E833" s="12">
        <f>IF(BANK_RAW!A833="","",IFERROR(ABS(BANK_RAW!D833),0))</f>
        <v/>
      </c>
      <c r="F833" s="12">
        <f>IF(BANK_RAW!A833="","",IFERROR(ABS(BANK_RAW!E833),0))</f>
        <v/>
      </c>
      <c r="G833" s="12">
        <f>IF(BANK_RAW!A833="","",IFERROR(BANK_RAW!F833,0))</f>
        <v/>
      </c>
      <c r="H833" s="11">
        <f>IF(BANK_RAW!A833="","",IF(E833&gt;0,"CR",IF(F833&gt;0,"DR","CR")))</f>
        <v/>
      </c>
      <c r="I833" s="12">
        <f>IF(BANK_RAW!A833="","",E833-F833)</f>
        <v/>
      </c>
      <c r="J833" s="12">
        <f>IF(BANK_RAW!A833="","",ABS(I833))</f>
        <v/>
      </c>
      <c r="K833" s="11">
        <f>IF(BANK_RAW!A833="","",IF(H833="CR","IN","OUT"))</f>
        <v/>
      </c>
      <c r="L833" s="11" t="inlineStr"/>
      <c r="M833" s="11" t="inlineStr"/>
    </row>
    <row r="834">
      <c r="A834" s="13">
        <f>IF(BANK_RAW!A834="","",ROW()-1)</f>
        <v/>
      </c>
      <c r="B834" s="10">
        <f>IF(BANK_RAW!A834="","",IF(ISNUMBER(BANK_RAW!A834),BANK_RAW!A834,DATEVALUE(TEXT(BANK_RAW!A834,"YYYY-MM-DD"))))</f>
        <v/>
      </c>
      <c r="C834" s="11">
        <f>IF(BANK_RAW!A834="","",TRIM(BANK_RAW!B834))</f>
        <v/>
      </c>
      <c r="D834" s="11">
        <f>IF(BANK_RAW!A834="","",TRIM(BANK_RAW!C834))</f>
        <v/>
      </c>
      <c r="E834" s="12">
        <f>IF(BANK_RAW!A834="","",IFERROR(ABS(BANK_RAW!D834),0))</f>
        <v/>
      </c>
      <c r="F834" s="12">
        <f>IF(BANK_RAW!A834="","",IFERROR(ABS(BANK_RAW!E834),0))</f>
        <v/>
      </c>
      <c r="G834" s="12">
        <f>IF(BANK_RAW!A834="","",IFERROR(BANK_RAW!F834,0))</f>
        <v/>
      </c>
      <c r="H834" s="11">
        <f>IF(BANK_RAW!A834="","",IF(E834&gt;0,"CR",IF(F834&gt;0,"DR","CR")))</f>
        <v/>
      </c>
      <c r="I834" s="12">
        <f>IF(BANK_RAW!A834="","",E834-F834)</f>
        <v/>
      </c>
      <c r="J834" s="12">
        <f>IF(BANK_RAW!A834="","",ABS(I834))</f>
        <v/>
      </c>
      <c r="K834" s="11">
        <f>IF(BANK_RAW!A834="","",IF(H834="CR","IN","OUT"))</f>
        <v/>
      </c>
      <c r="L834" s="11" t="inlineStr"/>
      <c r="M834" s="11" t="inlineStr"/>
    </row>
    <row r="835">
      <c r="A835" s="13">
        <f>IF(BANK_RAW!A835="","",ROW()-1)</f>
        <v/>
      </c>
      <c r="B835" s="10">
        <f>IF(BANK_RAW!A835="","",IF(ISNUMBER(BANK_RAW!A835),BANK_RAW!A835,DATEVALUE(TEXT(BANK_RAW!A835,"YYYY-MM-DD"))))</f>
        <v/>
      </c>
      <c r="C835" s="11">
        <f>IF(BANK_RAW!A835="","",TRIM(BANK_RAW!B835))</f>
        <v/>
      </c>
      <c r="D835" s="11">
        <f>IF(BANK_RAW!A835="","",TRIM(BANK_RAW!C835))</f>
        <v/>
      </c>
      <c r="E835" s="12">
        <f>IF(BANK_RAW!A835="","",IFERROR(ABS(BANK_RAW!D835),0))</f>
        <v/>
      </c>
      <c r="F835" s="12">
        <f>IF(BANK_RAW!A835="","",IFERROR(ABS(BANK_RAW!E835),0))</f>
        <v/>
      </c>
      <c r="G835" s="12">
        <f>IF(BANK_RAW!A835="","",IFERROR(BANK_RAW!F835,0))</f>
        <v/>
      </c>
      <c r="H835" s="11">
        <f>IF(BANK_RAW!A835="","",IF(E835&gt;0,"CR",IF(F835&gt;0,"DR","CR")))</f>
        <v/>
      </c>
      <c r="I835" s="12">
        <f>IF(BANK_RAW!A835="","",E835-F835)</f>
        <v/>
      </c>
      <c r="J835" s="12">
        <f>IF(BANK_RAW!A835="","",ABS(I835))</f>
        <v/>
      </c>
      <c r="K835" s="11">
        <f>IF(BANK_RAW!A835="","",IF(H835="CR","IN","OUT"))</f>
        <v/>
      </c>
      <c r="L835" s="11" t="inlineStr"/>
      <c r="M835" s="11" t="inlineStr"/>
    </row>
    <row r="836">
      <c r="A836" s="13">
        <f>IF(BANK_RAW!A836="","",ROW()-1)</f>
        <v/>
      </c>
      <c r="B836" s="10">
        <f>IF(BANK_RAW!A836="","",IF(ISNUMBER(BANK_RAW!A836),BANK_RAW!A836,DATEVALUE(TEXT(BANK_RAW!A836,"YYYY-MM-DD"))))</f>
        <v/>
      </c>
      <c r="C836" s="11">
        <f>IF(BANK_RAW!A836="","",TRIM(BANK_RAW!B836))</f>
        <v/>
      </c>
      <c r="D836" s="11">
        <f>IF(BANK_RAW!A836="","",TRIM(BANK_RAW!C836))</f>
        <v/>
      </c>
      <c r="E836" s="12">
        <f>IF(BANK_RAW!A836="","",IFERROR(ABS(BANK_RAW!D836),0))</f>
        <v/>
      </c>
      <c r="F836" s="12">
        <f>IF(BANK_RAW!A836="","",IFERROR(ABS(BANK_RAW!E836),0))</f>
        <v/>
      </c>
      <c r="G836" s="12">
        <f>IF(BANK_RAW!A836="","",IFERROR(BANK_RAW!F836,0))</f>
        <v/>
      </c>
      <c r="H836" s="11">
        <f>IF(BANK_RAW!A836="","",IF(E836&gt;0,"CR",IF(F836&gt;0,"DR","CR")))</f>
        <v/>
      </c>
      <c r="I836" s="12">
        <f>IF(BANK_RAW!A836="","",E836-F836)</f>
        <v/>
      </c>
      <c r="J836" s="12">
        <f>IF(BANK_RAW!A836="","",ABS(I836))</f>
        <v/>
      </c>
      <c r="K836" s="11">
        <f>IF(BANK_RAW!A836="","",IF(H836="CR","IN","OUT"))</f>
        <v/>
      </c>
      <c r="L836" s="11" t="inlineStr"/>
      <c r="M836" s="11" t="inlineStr"/>
    </row>
    <row r="837">
      <c r="A837" s="13">
        <f>IF(BANK_RAW!A837="","",ROW()-1)</f>
        <v/>
      </c>
      <c r="B837" s="10">
        <f>IF(BANK_RAW!A837="","",IF(ISNUMBER(BANK_RAW!A837),BANK_RAW!A837,DATEVALUE(TEXT(BANK_RAW!A837,"YYYY-MM-DD"))))</f>
        <v/>
      </c>
      <c r="C837" s="11">
        <f>IF(BANK_RAW!A837="","",TRIM(BANK_RAW!B837))</f>
        <v/>
      </c>
      <c r="D837" s="11">
        <f>IF(BANK_RAW!A837="","",TRIM(BANK_RAW!C837))</f>
        <v/>
      </c>
      <c r="E837" s="12">
        <f>IF(BANK_RAW!A837="","",IFERROR(ABS(BANK_RAW!D837),0))</f>
        <v/>
      </c>
      <c r="F837" s="12">
        <f>IF(BANK_RAW!A837="","",IFERROR(ABS(BANK_RAW!E837),0))</f>
        <v/>
      </c>
      <c r="G837" s="12">
        <f>IF(BANK_RAW!A837="","",IFERROR(BANK_RAW!F837,0))</f>
        <v/>
      </c>
      <c r="H837" s="11">
        <f>IF(BANK_RAW!A837="","",IF(E837&gt;0,"CR",IF(F837&gt;0,"DR","CR")))</f>
        <v/>
      </c>
      <c r="I837" s="12">
        <f>IF(BANK_RAW!A837="","",E837-F837)</f>
        <v/>
      </c>
      <c r="J837" s="12">
        <f>IF(BANK_RAW!A837="","",ABS(I837))</f>
        <v/>
      </c>
      <c r="K837" s="11">
        <f>IF(BANK_RAW!A837="","",IF(H837="CR","IN","OUT"))</f>
        <v/>
      </c>
      <c r="L837" s="11" t="inlineStr"/>
      <c r="M837" s="11" t="inlineStr"/>
    </row>
    <row r="838">
      <c r="A838" s="13">
        <f>IF(BANK_RAW!A838="","",ROW()-1)</f>
        <v/>
      </c>
      <c r="B838" s="10">
        <f>IF(BANK_RAW!A838="","",IF(ISNUMBER(BANK_RAW!A838),BANK_RAW!A838,DATEVALUE(TEXT(BANK_RAW!A838,"YYYY-MM-DD"))))</f>
        <v/>
      </c>
      <c r="C838" s="11">
        <f>IF(BANK_RAW!A838="","",TRIM(BANK_RAW!B838))</f>
        <v/>
      </c>
      <c r="D838" s="11">
        <f>IF(BANK_RAW!A838="","",TRIM(BANK_RAW!C838))</f>
        <v/>
      </c>
      <c r="E838" s="12">
        <f>IF(BANK_RAW!A838="","",IFERROR(ABS(BANK_RAW!D838),0))</f>
        <v/>
      </c>
      <c r="F838" s="12">
        <f>IF(BANK_RAW!A838="","",IFERROR(ABS(BANK_RAW!E838),0))</f>
        <v/>
      </c>
      <c r="G838" s="12">
        <f>IF(BANK_RAW!A838="","",IFERROR(BANK_RAW!F838,0))</f>
        <v/>
      </c>
      <c r="H838" s="11">
        <f>IF(BANK_RAW!A838="","",IF(E838&gt;0,"CR",IF(F838&gt;0,"DR","CR")))</f>
        <v/>
      </c>
      <c r="I838" s="12">
        <f>IF(BANK_RAW!A838="","",E838-F838)</f>
        <v/>
      </c>
      <c r="J838" s="12">
        <f>IF(BANK_RAW!A838="","",ABS(I838))</f>
        <v/>
      </c>
      <c r="K838" s="11">
        <f>IF(BANK_RAW!A838="","",IF(H838="CR","IN","OUT"))</f>
        <v/>
      </c>
      <c r="L838" s="11" t="inlineStr"/>
      <c r="M838" s="11" t="inlineStr"/>
    </row>
    <row r="839">
      <c r="A839" s="13">
        <f>IF(BANK_RAW!A839="","",ROW()-1)</f>
        <v/>
      </c>
      <c r="B839" s="10">
        <f>IF(BANK_RAW!A839="","",IF(ISNUMBER(BANK_RAW!A839),BANK_RAW!A839,DATEVALUE(TEXT(BANK_RAW!A839,"YYYY-MM-DD"))))</f>
        <v/>
      </c>
      <c r="C839" s="11">
        <f>IF(BANK_RAW!A839="","",TRIM(BANK_RAW!B839))</f>
        <v/>
      </c>
      <c r="D839" s="11">
        <f>IF(BANK_RAW!A839="","",TRIM(BANK_RAW!C839))</f>
        <v/>
      </c>
      <c r="E839" s="12">
        <f>IF(BANK_RAW!A839="","",IFERROR(ABS(BANK_RAW!D839),0))</f>
        <v/>
      </c>
      <c r="F839" s="12">
        <f>IF(BANK_RAW!A839="","",IFERROR(ABS(BANK_RAW!E839),0))</f>
        <v/>
      </c>
      <c r="G839" s="12">
        <f>IF(BANK_RAW!A839="","",IFERROR(BANK_RAW!F839,0))</f>
        <v/>
      </c>
      <c r="H839" s="11">
        <f>IF(BANK_RAW!A839="","",IF(E839&gt;0,"CR",IF(F839&gt;0,"DR","CR")))</f>
        <v/>
      </c>
      <c r="I839" s="12">
        <f>IF(BANK_RAW!A839="","",E839-F839)</f>
        <v/>
      </c>
      <c r="J839" s="12">
        <f>IF(BANK_RAW!A839="","",ABS(I839))</f>
        <v/>
      </c>
      <c r="K839" s="11">
        <f>IF(BANK_RAW!A839="","",IF(H839="CR","IN","OUT"))</f>
        <v/>
      </c>
      <c r="L839" s="11" t="inlineStr"/>
      <c r="M839" s="11" t="inlineStr"/>
    </row>
    <row r="840">
      <c r="A840" s="13">
        <f>IF(BANK_RAW!A840="","",ROW()-1)</f>
        <v/>
      </c>
      <c r="B840" s="10">
        <f>IF(BANK_RAW!A840="","",IF(ISNUMBER(BANK_RAW!A840),BANK_RAW!A840,DATEVALUE(TEXT(BANK_RAW!A840,"YYYY-MM-DD"))))</f>
        <v/>
      </c>
      <c r="C840" s="11">
        <f>IF(BANK_RAW!A840="","",TRIM(BANK_RAW!B840))</f>
        <v/>
      </c>
      <c r="D840" s="11">
        <f>IF(BANK_RAW!A840="","",TRIM(BANK_RAW!C840))</f>
        <v/>
      </c>
      <c r="E840" s="12">
        <f>IF(BANK_RAW!A840="","",IFERROR(ABS(BANK_RAW!D840),0))</f>
        <v/>
      </c>
      <c r="F840" s="12">
        <f>IF(BANK_RAW!A840="","",IFERROR(ABS(BANK_RAW!E840),0))</f>
        <v/>
      </c>
      <c r="G840" s="12">
        <f>IF(BANK_RAW!A840="","",IFERROR(BANK_RAW!F840,0))</f>
        <v/>
      </c>
      <c r="H840" s="11">
        <f>IF(BANK_RAW!A840="","",IF(E840&gt;0,"CR",IF(F840&gt;0,"DR","CR")))</f>
        <v/>
      </c>
      <c r="I840" s="12">
        <f>IF(BANK_RAW!A840="","",E840-F840)</f>
        <v/>
      </c>
      <c r="J840" s="12">
        <f>IF(BANK_RAW!A840="","",ABS(I840))</f>
        <v/>
      </c>
      <c r="K840" s="11">
        <f>IF(BANK_RAW!A840="","",IF(H840="CR","IN","OUT"))</f>
        <v/>
      </c>
      <c r="L840" s="11" t="inlineStr"/>
      <c r="M840" s="11" t="inlineStr"/>
    </row>
    <row r="841">
      <c r="A841" s="13">
        <f>IF(BANK_RAW!A841="","",ROW()-1)</f>
        <v/>
      </c>
      <c r="B841" s="10">
        <f>IF(BANK_RAW!A841="","",IF(ISNUMBER(BANK_RAW!A841),BANK_RAW!A841,DATEVALUE(TEXT(BANK_RAW!A841,"YYYY-MM-DD"))))</f>
        <v/>
      </c>
      <c r="C841" s="11">
        <f>IF(BANK_RAW!A841="","",TRIM(BANK_RAW!B841))</f>
        <v/>
      </c>
      <c r="D841" s="11">
        <f>IF(BANK_RAW!A841="","",TRIM(BANK_RAW!C841))</f>
        <v/>
      </c>
      <c r="E841" s="12">
        <f>IF(BANK_RAW!A841="","",IFERROR(ABS(BANK_RAW!D841),0))</f>
        <v/>
      </c>
      <c r="F841" s="12">
        <f>IF(BANK_RAW!A841="","",IFERROR(ABS(BANK_RAW!E841),0))</f>
        <v/>
      </c>
      <c r="G841" s="12">
        <f>IF(BANK_RAW!A841="","",IFERROR(BANK_RAW!F841,0))</f>
        <v/>
      </c>
      <c r="H841" s="11">
        <f>IF(BANK_RAW!A841="","",IF(E841&gt;0,"CR",IF(F841&gt;0,"DR","CR")))</f>
        <v/>
      </c>
      <c r="I841" s="12">
        <f>IF(BANK_RAW!A841="","",E841-F841)</f>
        <v/>
      </c>
      <c r="J841" s="12">
        <f>IF(BANK_RAW!A841="","",ABS(I841))</f>
        <v/>
      </c>
      <c r="K841" s="11">
        <f>IF(BANK_RAW!A841="","",IF(H841="CR","IN","OUT"))</f>
        <v/>
      </c>
      <c r="L841" s="11" t="inlineStr"/>
      <c r="M841" s="11" t="inlineStr"/>
    </row>
    <row r="842">
      <c r="A842" s="13">
        <f>IF(BANK_RAW!A842="","",ROW()-1)</f>
        <v/>
      </c>
      <c r="B842" s="10">
        <f>IF(BANK_RAW!A842="","",IF(ISNUMBER(BANK_RAW!A842),BANK_RAW!A842,DATEVALUE(TEXT(BANK_RAW!A842,"YYYY-MM-DD"))))</f>
        <v/>
      </c>
      <c r="C842" s="11">
        <f>IF(BANK_RAW!A842="","",TRIM(BANK_RAW!B842))</f>
        <v/>
      </c>
      <c r="D842" s="11">
        <f>IF(BANK_RAW!A842="","",TRIM(BANK_RAW!C842))</f>
        <v/>
      </c>
      <c r="E842" s="12">
        <f>IF(BANK_RAW!A842="","",IFERROR(ABS(BANK_RAW!D842),0))</f>
        <v/>
      </c>
      <c r="F842" s="12">
        <f>IF(BANK_RAW!A842="","",IFERROR(ABS(BANK_RAW!E842),0))</f>
        <v/>
      </c>
      <c r="G842" s="12">
        <f>IF(BANK_RAW!A842="","",IFERROR(BANK_RAW!F842,0))</f>
        <v/>
      </c>
      <c r="H842" s="11">
        <f>IF(BANK_RAW!A842="","",IF(E842&gt;0,"CR",IF(F842&gt;0,"DR","CR")))</f>
        <v/>
      </c>
      <c r="I842" s="12">
        <f>IF(BANK_RAW!A842="","",E842-F842)</f>
        <v/>
      </c>
      <c r="J842" s="12">
        <f>IF(BANK_RAW!A842="","",ABS(I842))</f>
        <v/>
      </c>
      <c r="K842" s="11">
        <f>IF(BANK_RAW!A842="","",IF(H842="CR","IN","OUT"))</f>
        <v/>
      </c>
      <c r="L842" s="11" t="inlineStr"/>
      <c r="M842" s="11" t="inlineStr"/>
    </row>
    <row r="843">
      <c r="A843" s="13">
        <f>IF(BANK_RAW!A843="","",ROW()-1)</f>
        <v/>
      </c>
      <c r="B843" s="10">
        <f>IF(BANK_RAW!A843="","",IF(ISNUMBER(BANK_RAW!A843),BANK_RAW!A843,DATEVALUE(TEXT(BANK_RAW!A843,"YYYY-MM-DD"))))</f>
        <v/>
      </c>
      <c r="C843" s="11">
        <f>IF(BANK_RAW!A843="","",TRIM(BANK_RAW!B843))</f>
        <v/>
      </c>
      <c r="D843" s="11">
        <f>IF(BANK_RAW!A843="","",TRIM(BANK_RAW!C843))</f>
        <v/>
      </c>
      <c r="E843" s="12">
        <f>IF(BANK_RAW!A843="","",IFERROR(ABS(BANK_RAW!D843),0))</f>
        <v/>
      </c>
      <c r="F843" s="12">
        <f>IF(BANK_RAW!A843="","",IFERROR(ABS(BANK_RAW!E843),0))</f>
        <v/>
      </c>
      <c r="G843" s="12">
        <f>IF(BANK_RAW!A843="","",IFERROR(BANK_RAW!F843,0))</f>
        <v/>
      </c>
      <c r="H843" s="11">
        <f>IF(BANK_RAW!A843="","",IF(E843&gt;0,"CR",IF(F843&gt;0,"DR","CR")))</f>
        <v/>
      </c>
      <c r="I843" s="12">
        <f>IF(BANK_RAW!A843="","",E843-F843)</f>
        <v/>
      </c>
      <c r="J843" s="12">
        <f>IF(BANK_RAW!A843="","",ABS(I843))</f>
        <v/>
      </c>
      <c r="K843" s="11">
        <f>IF(BANK_RAW!A843="","",IF(H843="CR","IN","OUT"))</f>
        <v/>
      </c>
      <c r="L843" s="11" t="inlineStr"/>
      <c r="M843" s="11" t="inlineStr"/>
    </row>
    <row r="844">
      <c r="A844" s="13">
        <f>IF(BANK_RAW!A844="","",ROW()-1)</f>
        <v/>
      </c>
      <c r="B844" s="10">
        <f>IF(BANK_RAW!A844="","",IF(ISNUMBER(BANK_RAW!A844),BANK_RAW!A844,DATEVALUE(TEXT(BANK_RAW!A844,"YYYY-MM-DD"))))</f>
        <v/>
      </c>
      <c r="C844" s="11">
        <f>IF(BANK_RAW!A844="","",TRIM(BANK_RAW!B844))</f>
        <v/>
      </c>
      <c r="D844" s="11">
        <f>IF(BANK_RAW!A844="","",TRIM(BANK_RAW!C844))</f>
        <v/>
      </c>
      <c r="E844" s="12">
        <f>IF(BANK_RAW!A844="","",IFERROR(ABS(BANK_RAW!D844),0))</f>
        <v/>
      </c>
      <c r="F844" s="12">
        <f>IF(BANK_RAW!A844="","",IFERROR(ABS(BANK_RAW!E844),0))</f>
        <v/>
      </c>
      <c r="G844" s="12">
        <f>IF(BANK_RAW!A844="","",IFERROR(BANK_RAW!F844,0))</f>
        <v/>
      </c>
      <c r="H844" s="11">
        <f>IF(BANK_RAW!A844="","",IF(E844&gt;0,"CR",IF(F844&gt;0,"DR","CR")))</f>
        <v/>
      </c>
      <c r="I844" s="12">
        <f>IF(BANK_RAW!A844="","",E844-F844)</f>
        <v/>
      </c>
      <c r="J844" s="12">
        <f>IF(BANK_RAW!A844="","",ABS(I844))</f>
        <v/>
      </c>
      <c r="K844" s="11">
        <f>IF(BANK_RAW!A844="","",IF(H844="CR","IN","OUT"))</f>
        <v/>
      </c>
      <c r="L844" s="11" t="inlineStr"/>
      <c r="M844" s="11" t="inlineStr"/>
    </row>
    <row r="845">
      <c r="A845" s="13">
        <f>IF(BANK_RAW!A845="","",ROW()-1)</f>
        <v/>
      </c>
      <c r="B845" s="10">
        <f>IF(BANK_RAW!A845="","",IF(ISNUMBER(BANK_RAW!A845),BANK_RAW!A845,DATEVALUE(TEXT(BANK_RAW!A845,"YYYY-MM-DD"))))</f>
        <v/>
      </c>
      <c r="C845" s="11">
        <f>IF(BANK_RAW!A845="","",TRIM(BANK_RAW!B845))</f>
        <v/>
      </c>
      <c r="D845" s="11">
        <f>IF(BANK_RAW!A845="","",TRIM(BANK_RAW!C845))</f>
        <v/>
      </c>
      <c r="E845" s="12">
        <f>IF(BANK_RAW!A845="","",IFERROR(ABS(BANK_RAW!D845),0))</f>
        <v/>
      </c>
      <c r="F845" s="12">
        <f>IF(BANK_RAW!A845="","",IFERROR(ABS(BANK_RAW!E845),0))</f>
        <v/>
      </c>
      <c r="G845" s="12">
        <f>IF(BANK_RAW!A845="","",IFERROR(BANK_RAW!F845,0))</f>
        <v/>
      </c>
      <c r="H845" s="11">
        <f>IF(BANK_RAW!A845="","",IF(E845&gt;0,"CR",IF(F845&gt;0,"DR","CR")))</f>
        <v/>
      </c>
      <c r="I845" s="12">
        <f>IF(BANK_RAW!A845="","",E845-F845)</f>
        <v/>
      </c>
      <c r="J845" s="12">
        <f>IF(BANK_RAW!A845="","",ABS(I845))</f>
        <v/>
      </c>
      <c r="K845" s="11">
        <f>IF(BANK_RAW!A845="","",IF(H845="CR","IN","OUT"))</f>
        <v/>
      </c>
      <c r="L845" s="11" t="inlineStr"/>
      <c r="M845" s="11" t="inlineStr"/>
    </row>
    <row r="846">
      <c r="A846" s="13">
        <f>IF(BANK_RAW!A846="","",ROW()-1)</f>
        <v/>
      </c>
      <c r="B846" s="10">
        <f>IF(BANK_RAW!A846="","",IF(ISNUMBER(BANK_RAW!A846),BANK_RAW!A846,DATEVALUE(TEXT(BANK_RAW!A846,"YYYY-MM-DD"))))</f>
        <v/>
      </c>
      <c r="C846" s="11">
        <f>IF(BANK_RAW!A846="","",TRIM(BANK_RAW!B846))</f>
        <v/>
      </c>
      <c r="D846" s="11">
        <f>IF(BANK_RAW!A846="","",TRIM(BANK_RAW!C846))</f>
        <v/>
      </c>
      <c r="E846" s="12">
        <f>IF(BANK_RAW!A846="","",IFERROR(ABS(BANK_RAW!D846),0))</f>
        <v/>
      </c>
      <c r="F846" s="12">
        <f>IF(BANK_RAW!A846="","",IFERROR(ABS(BANK_RAW!E846),0))</f>
        <v/>
      </c>
      <c r="G846" s="12">
        <f>IF(BANK_RAW!A846="","",IFERROR(BANK_RAW!F846,0))</f>
        <v/>
      </c>
      <c r="H846" s="11">
        <f>IF(BANK_RAW!A846="","",IF(E846&gt;0,"CR",IF(F846&gt;0,"DR","CR")))</f>
        <v/>
      </c>
      <c r="I846" s="12">
        <f>IF(BANK_RAW!A846="","",E846-F846)</f>
        <v/>
      </c>
      <c r="J846" s="12">
        <f>IF(BANK_RAW!A846="","",ABS(I846))</f>
        <v/>
      </c>
      <c r="K846" s="11">
        <f>IF(BANK_RAW!A846="","",IF(H846="CR","IN","OUT"))</f>
        <v/>
      </c>
      <c r="L846" s="11" t="inlineStr"/>
      <c r="M846" s="11" t="inlineStr"/>
    </row>
    <row r="847">
      <c r="A847" s="13">
        <f>IF(BANK_RAW!A847="","",ROW()-1)</f>
        <v/>
      </c>
      <c r="B847" s="10">
        <f>IF(BANK_RAW!A847="","",IF(ISNUMBER(BANK_RAW!A847),BANK_RAW!A847,DATEVALUE(TEXT(BANK_RAW!A847,"YYYY-MM-DD"))))</f>
        <v/>
      </c>
      <c r="C847" s="11">
        <f>IF(BANK_RAW!A847="","",TRIM(BANK_RAW!B847))</f>
        <v/>
      </c>
      <c r="D847" s="11">
        <f>IF(BANK_RAW!A847="","",TRIM(BANK_RAW!C847))</f>
        <v/>
      </c>
      <c r="E847" s="12">
        <f>IF(BANK_RAW!A847="","",IFERROR(ABS(BANK_RAW!D847),0))</f>
        <v/>
      </c>
      <c r="F847" s="12">
        <f>IF(BANK_RAW!A847="","",IFERROR(ABS(BANK_RAW!E847),0))</f>
        <v/>
      </c>
      <c r="G847" s="12">
        <f>IF(BANK_RAW!A847="","",IFERROR(BANK_RAW!F847,0))</f>
        <v/>
      </c>
      <c r="H847" s="11">
        <f>IF(BANK_RAW!A847="","",IF(E847&gt;0,"CR",IF(F847&gt;0,"DR","CR")))</f>
        <v/>
      </c>
      <c r="I847" s="12">
        <f>IF(BANK_RAW!A847="","",E847-F847)</f>
        <v/>
      </c>
      <c r="J847" s="12">
        <f>IF(BANK_RAW!A847="","",ABS(I847))</f>
        <v/>
      </c>
      <c r="K847" s="11">
        <f>IF(BANK_RAW!A847="","",IF(H847="CR","IN","OUT"))</f>
        <v/>
      </c>
      <c r="L847" s="11" t="inlineStr"/>
      <c r="M847" s="11" t="inlineStr"/>
    </row>
    <row r="848">
      <c r="A848" s="13">
        <f>IF(BANK_RAW!A848="","",ROW()-1)</f>
        <v/>
      </c>
      <c r="B848" s="10">
        <f>IF(BANK_RAW!A848="","",IF(ISNUMBER(BANK_RAW!A848),BANK_RAW!A848,DATEVALUE(TEXT(BANK_RAW!A848,"YYYY-MM-DD"))))</f>
        <v/>
      </c>
      <c r="C848" s="11">
        <f>IF(BANK_RAW!A848="","",TRIM(BANK_RAW!B848))</f>
        <v/>
      </c>
      <c r="D848" s="11">
        <f>IF(BANK_RAW!A848="","",TRIM(BANK_RAW!C848))</f>
        <v/>
      </c>
      <c r="E848" s="12">
        <f>IF(BANK_RAW!A848="","",IFERROR(ABS(BANK_RAW!D848),0))</f>
        <v/>
      </c>
      <c r="F848" s="12">
        <f>IF(BANK_RAW!A848="","",IFERROR(ABS(BANK_RAW!E848),0))</f>
        <v/>
      </c>
      <c r="G848" s="12">
        <f>IF(BANK_RAW!A848="","",IFERROR(BANK_RAW!F848,0))</f>
        <v/>
      </c>
      <c r="H848" s="11">
        <f>IF(BANK_RAW!A848="","",IF(E848&gt;0,"CR",IF(F848&gt;0,"DR","CR")))</f>
        <v/>
      </c>
      <c r="I848" s="12">
        <f>IF(BANK_RAW!A848="","",E848-F848)</f>
        <v/>
      </c>
      <c r="J848" s="12">
        <f>IF(BANK_RAW!A848="","",ABS(I848))</f>
        <v/>
      </c>
      <c r="K848" s="11">
        <f>IF(BANK_RAW!A848="","",IF(H848="CR","IN","OUT"))</f>
        <v/>
      </c>
      <c r="L848" s="11" t="inlineStr"/>
      <c r="M848" s="11" t="inlineStr"/>
    </row>
    <row r="849">
      <c r="A849" s="13">
        <f>IF(BANK_RAW!A849="","",ROW()-1)</f>
        <v/>
      </c>
      <c r="B849" s="10">
        <f>IF(BANK_RAW!A849="","",IF(ISNUMBER(BANK_RAW!A849),BANK_RAW!A849,DATEVALUE(TEXT(BANK_RAW!A849,"YYYY-MM-DD"))))</f>
        <v/>
      </c>
      <c r="C849" s="11">
        <f>IF(BANK_RAW!A849="","",TRIM(BANK_RAW!B849))</f>
        <v/>
      </c>
      <c r="D849" s="11">
        <f>IF(BANK_RAW!A849="","",TRIM(BANK_RAW!C849))</f>
        <v/>
      </c>
      <c r="E849" s="12">
        <f>IF(BANK_RAW!A849="","",IFERROR(ABS(BANK_RAW!D849),0))</f>
        <v/>
      </c>
      <c r="F849" s="12">
        <f>IF(BANK_RAW!A849="","",IFERROR(ABS(BANK_RAW!E849),0))</f>
        <v/>
      </c>
      <c r="G849" s="12">
        <f>IF(BANK_RAW!A849="","",IFERROR(BANK_RAW!F849,0))</f>
        <v/>
      </c>
      <c r="H849" s="11">
        <f>IF(BANK_RAW!A849="","",IF(E849&gt;0,"CR",IF(F849&gt;0,"DR","CR")))</f>
        <v/>
      </c>
      <c r="I849" s="12">
        <f>IF(BANK_RAW!A849="","",E849-F849)</f>
        <v/>
      </c>
      <c r="J849" s="12">
        <f>IF(BANK_RAW!A849="","",ABS(I849))</f>
        <v/>
      </c>
      <c r="K849" s="11">
        <f>IF(BANK_RAW!A849="","",IF(H849="CR","IN","OUT"))</f>
        <v/>
      </c>
      <c r="L849" s="11" t="inlineStr"/>
      <c r="M849" s="11" t="inlineStr"/>
    </row>
    <row r="850">
      <c r="A850" s="13">
        <f>IF(BANK_RAW!A850="","",ROW()-1)</f>
        <v/>
      </c>
      <c r="B850" s="10">
        <f>IF(BANK_RAW!A850="","",IF(ISNUMBER(BANK_RAW!A850),BANK_RAW!A850,DATEVALUE(TEXT(BANK_RAW!A850,"YYYY-MM-DD"))))</f>
        <v/>
      </c>
      <c r="C850" s="11">
        <f>IF(BANK_RAW!A850="","",TRIM(BANK_RAW!B850))</f>
        <v/>
      </c>
      <c r="D850" s="11">
        <f>IF(BANK_RAW!A850="","",TRIM(BANK_RAW!C850))</f>
        <v/>
      </c>
      <c r="E850" s="12">
        <f>IF(BANK_RAW!A850="","",IFERROR(ABS(BANK_RAW!D850),0))</f>
        <v/>
      </c>
      <c r="F850" s="12">
        <f>IF(BANK_RAW!A850="","",IFERROR(ABS(BANK_RAW!E850),0))</f>
        <v/>
      </c>
      <c r="G850" s="12">
        <f>IF(BANK_RAW!A850="","",IFERROR(BANK_RAW!F850,0))</f>
        <v/>
      </c>
      <c r="H850" s="11">
        <f>IF(BANK_RAW!A850="","",IF(E850&gt;0,"CR",IF(F850&gt;0,"DR","CR")))</f>
        <v/>
      </c>
      <c r="I850" s="12">
        <f>IF(BANK_RAW!A850="","",E850-F850)</f>
        <v/>
      </c>
      <c r="J850" s="12">
        <f>IF(BANK_RAW!A850="","",ABS(I850))</f>
        <v/>
      </c>
      <c r="K850" s="11">
        <f>IF(BANK_RAW!A850="","",IF(H850="CR","IN","OUT"))</f>
        <v/>
      </c>
      <c r="L850" s="11" t="inlineStr"/>
      <c r="M850" s="11" t="inlineStr"/>
    </row>
    <row r="851">
      <c r="A851" s="13">
        <f>IF(BANK_RAW!A851="","",ROW()-1)</f>
        <v/>
      </c>
      <c r="B851" s="10">
        <f>IF(BANK_RAW!A851="","",IF(ISNUMBER(BANK_RAW!A851),BANK_RAW!A851,DATEVALUE(TEXT(BANK_RAW!A851,"YYYY-MM-DD"))))</f>
        <v/>
      </c>
      <c r="C851" s="11">
        <f>IF(BANK_RAW!A851="","",TRIM(BANK_RAW!B851))</f>
        <v/>
      </c>
      <c r="D851" s="11">
        <f>IF(BANK_RAW!A851="","",TRIM(BANK_RAW!C851))</f>
        <v/>
      </c>
      <c r="E851" s="12">
        <f>IF(BANK_RAW!A851="","",IFERROR(ABS(BANK_RAW!D851),0))</f>
        <v/>
      </c>
      <c r="F851" s="12">
        <f>IF(BANK_RAW!A851="","",IFERROR(ABS(BANK_RAW!E851),0))</f>
        <v/>
      </c>
      <c r="G851" s="12">
        <f>IF(BANK_RAW!A851="","",IFERROR(BANK_RAW!F851,0))</f>
        <v/>
      </c>
      <c r="H851" s="11">
        <f>IF(BANK_RAW!A851="","",IF(E851&gt;0,"CR",IF(F851&gt;0,"DR","CR")))</f>
        <v/>
      </c>
      <c r="I851" s="12">
        <f>IF(BANK_RAW!A851="","",E851-F851)</f>
        <v/>
      </c>
      <c r="J851" s="12">
        <f>IF(BANK_RAW!A851="","",ABS(I851))</f>
        <v/>
      </c>
      <c r="K851" s="11">
        <f>IF(BANK_RAW!A851="","",IF(H851="CR","IN","OUT"))</f>
        <v/>
      </c>
      <c r="L851" s="11" t="inlineStr"/>
      <c r="M851" s="11" t="inlineStr"/>
    </row>
    <row r="852">
      <c r="A852" s="13">
        <f>IF(BANK_RAW!A852="","",ROW()-1)</f>
        <v/>
      </c>
      <c r="B852" s="10">
        <f>IF(BANK_RAW!A852="","",IF(ISNUMBER(BANK_RAW!A852),BANK_RAW!A852,DATEVALUE(TEXT(BANK_RAW!A852,"YYYY-MM-DD"))))</f>
        <v/>
      </c>
      <c r="C852" s="11">
        <f>IF(BANK_RAW!A852="","",TRIM(BANK_RAW!B852))</f>
        <v/>
      </c>
      <c r="D852" s="11">
        <f>IF(BANK_RAW!A852="","",TRIM(BANK_RAW!C852))</f>
        <v/>
      </c>
      <c r="E852" s="12">
        <f>IF(BANK_RAW!A852="","",IFERROR(ABS(BANK_RAW!D852),0))</f>
        <v/>
      </c>
      <c r="F852" s="12">
        <f>IF(BANK_RAW!A852="","",IFERROR(ABS(BANK_RAW!E852),0))</f>
        <v/>
      </c>
      <c r="G852" s="12">
        <f>IF(BANK_RAW!A852="","",IFERROR(BANK_RAW!F852,0))</f>
        <v/>
      </c>
      <c r="H852" s="11">
        <f>IF(BANK_RAW!A852="","",IF(E852&gt;0,"CR",IF(F852&gt;0,"DR","CR")))</f>
        <v/>
      </c>
      <c r="I852" s="12">
        <f>IF(BANK_RAW!A852="","",E852-F852)</f>
        <v/>
      </c>
      <c r="J852" s="12">
        <f>IF(BANK_RAW!A852="","",ABS(I852))</f>
        <v/>
      </c>
      <c r="K852" s="11">
        <f>IF(BANK_RAW!A852="","",IF(H852="CR","IN","OUT"))</f>
        <v/>
      </c>
      <c r="L852" s="11" t="inlineStr"/>
      <c r="M852" s="11" t="inlineStr"/>
    </row>
    <row r="853">
      <c r="A853" s="13">
        <f>IF(BANK_RAW!A853="","",ROW()-1)</f>
        <v/>
      </c>
      <c r="B853" s="10">
        <f>IF(BANK_RAW!A853="","",IF(ISNUMBER(BANK_RAW!A853),BANK_RAW!A853,DATEVALUE(TEXT(BANK_RAW!A853,"YYYY-MM-DD"))))</f>
        <v/>
      </c>
      <c r="C853" s="11">
        <f>IF(BANK_RAW!A853="","",TRIM(BANK_RAW!B853))</f>
        <v/>
      </c>
      <c r="D853" s="11">
        <f>IF(BANK_RAW!A853="","",TRIM(BANK_RAW!C853))</f>
        <v/>
      </c>
      <c r="E853" s="12">
        <f>IF(BANK_RAW!A853="","",IFERROR(ABS(BANK_RAW!D853),0))</f>
        <v/>
      </c>
      <c r="F853" s="12">
        <f>IF(BANK_RAW!A853="","",IFERROR(ABS(BANK_RAW!E853),0))</f>
        <v/>
      </c>
      <c r="G853" s="12">
        <f>IF(BANK_RAW!A853="","",IFERROR(BANK_RAW!F853,0))</f>
        <v/>
      </c>
      <c r="H853" s="11">
        <f>IF(BANK_RAW!A853="","",IF(E853&gt;0,"CR",IF(F853&gt;0,"DR","CR")))</f>
        <v/>
      </c>
      <c r="I853" s="12">
        <f>IF(BANK_RAW!A853="","",E853-F853)</f>
        <v/>
      </c>
      <c r="J853" s="12">
        <f>IF(BANK_RAW!A853="","",ABS(I853))</f>
        <v/>
      </c>
      <c r="K853" s="11">
        <f>IF(BANK_RAW!A853="","",IF(H853="CR","IN","OUT"))</f>
        <v/>
      </c>
      <c r="L853" s="11" t="inlineStr"/>
      <c r="M853" s="11" t="inlineStr"/>
    </row>
    <row r="854">
      <c r="A854" s="13">
        <f>IF(BANK_RAW!A854="","",ROW()-1)</f>
        <v/>
      </c>
      <c r="B854" s="10">
        <f>IF(BANK_RAW!A854="","",IF(ISNUMBER(BANK_RAW!A854),BANK_RAW!A854,DATEVALUE(TEXT(BANK_RAW!A854,"YYYY-MM-DD"))))</f>
        <v/>
      </c>
      <c r="C854" s="11">
        <f>IF(BANK_RAW!A854="","",TRIM(BANK_RAW!B854))</f>
        <v/>
      </c>
      <c r="D854" s="11">
        <f>IF(BANK_RAW!A854="","",TRIM(BANK_RAW!C854))</f>
        <v/>
      </c>
      <c r="E854" s="12">
        <f>IF(BANK_RAW!A854="","",IFERROR(ABS(BANK_RAW!D854),0))</f>
        <v/>
      </c>
      <c r="F854" s="12">
        <f>IF(BANK_RAW!A854="","",IFERROR(ABS(BANK_RAW!E854),0))</f>
        <v/>
      </c>
      <c r="G854" s="12">
        <f>IF(BANK_RAW!A854="","",IFERROR(BANK_RAW!F854,0))</f>
        <v/>
      </c>
      <c r="H854" s="11">
        <f>IF(BANK_RAW!A854="","",IF(E854&gt;0,"CR",IF(F854&gt;0,"DR","CR")))</f>
        <v/>
      </c>
      <c r="I854" s="12">
        <f>IF(BANK_RAW!A854="","",E854-F854)</f>
        <v/>
      </c>
      <c r="J854" s="12">
        <f>IF(BANK_RAW!A854="","",ABS(I854))</f>
        <v/>
      </c>
      <c r="K854" s="11">
        <f>IF(BANK_RAW!A854="","",IF(H854="CR","IN","OUT"))</f>
        <v/>
      </c>
      <c r="L854" s="11" t="inlineStr"/>
      <c r="M854" s="11" t="inlineStr"/>
    </row>
    <row r="855">
      <c r="A855" s="13">
        <f>IF(BANK_RAW!A855="","",ROW()-1)</f>
        <v/>
      </c>
      <c r="B855" s="10">
        <f>IF(BANK_RAW!A855="","",IF(ISNUMBER(BANK_RAW!A855),BANK_RAW!A855,DATEVALUE(TEXT(BANK_RAW!A855,"YYYY-MM-DD"))))</f>
        <v/>
      </c>
      <c r="C855" s="11">
        <f>IF(BANK_RAW!A855="","",TRIM(BANK_RAW!B855))</f>
        <v/>
      </c>
      <c r="D855" s="11">
        <f>IF(BANK_RAW!A855="","",TRIM(BANK_RAW!C855))</f>
        <v/>
      </c>
      <c r="E855" s="12">
        <f>IF(BANK_RAW!A855="","",IFERROR(ABS(BANK_RAW!D855),0))</f>
        <v/>
      </c>
      <c r="F855" s="12">
        <f>IF(BANK_RAW!A855="","",IFERROR(ABS(BANK_RAW!E855),0))</f>
        <v/>
      </c>
      <c r="G855" s="12">
        <f>IF(BANK_RAW!A855="","",IFERROR(BANK_RAW!F855,0))</f>
        <v/>
      </c>
      <c r="H855" s="11">
        <f>IF(BANK_RAW!A855="","",IF(E855&gt;0,"CR",IF(F855&gt;0,"DR","CR")))</f>
        <v/>
      </c>
      <c r="I855" s="12">
        <f>IF(BANK_RAW!A855="","",E855-F855)</f>
        <v/>
      </c>
      <c r="J855" s="12">
        <f>IF(BANK_RAW!A855="","",ABS(I855))</f>
        <v/>
      </c>
      <c r="K855" s="11">
        <f>IF(BANK_RAW!A855="","",IF(H855="CR","IN","OUT"))</f>
        <v/>
      </c>
      <c r="L855" s="11" t="inlineStr"/>
      <c r="M855" s="11" t="inlineStr"/>
    </row>
    <row r="856">
      <c r="A856" s="13">
        <f>IF(BANK_RAW!A856="","",ROW()-1)</f>
        <v/>
      </c>
      <c r="B856" s="10">
        <f>IF(BANK_RAW!A856="","",IF(ISNUMBER(BANK_RAW!A856),BANK_RAW!A856,DATEVALUE(TEXT(BANK_RAW!A856,"YYYY-MM-DD"))))</f>
        <v/>
      </c>
      <c r="C856" s="11">
        <f>IF(BANK_RAW!A856="","",TRIM(BANK_RAW!B856))</f>
        <v/>
      </c>
      <c r="D856" s="11">
        <f>IF(BANK_RAW!A856="","",TRIM(BANK_RAW!C856))</f>
        <v/>
      </c>
      <c r="E856" s="12">
        <f>IF(BANK_RAW!A856="","",IFERROR(ABS(BANK_RAW!D856),0))</f>
        <v/>
      </c>
      <c r="F856" s="12">
        <f>IF(BANK_RAW!A856="","",IFERROR(ABS(BANK_RAW!E856),0))</f>
        <v/>
      </c>
      <c r="G856" s="12">
        <f>IF(BANK_RAW!A856="","",IFERROR(BANK_RAW!F856,0))</f>
        <v/>
      </c>
      <c r="H856" s="11">
        <f>IF(BANK_RAW!A856="","",IF(E856&gt;0,"CR",IF(F856&gt;0,"DR","CR")))</f>
        <v/>
      </c>
      <c r="I856" s="12">
        <f>IF(BANK_RAW!A856="","",E856-F856)</f>
        <v/>
      </c>
      <c r="J856" s="12">
        <f>IF(BANK_RAW!A856="","",ABS(I856))</f>
        <v/>
      </c>
      <c r="K856" s="11">
        <f>IF(BANK_RAW!A856="","",IF(H856="CR","IN","OUT"))</f>
        <v/>
      </c>
      <c r="L856" s="11" t="inlineStr"/>
      <c r="M856" s="11" t="inlineStr"/>
    </row>
    <row r="857">
      <c r="A857" s="13">
        <f>IF(BANK_RAW!A857="","",ROW()-1)</f>
        <v/>
      </c>
      <c r="B857" s="10">
        <f>IF(BANK_RAW!A857="","",IF(ISNUMBER(BANK_RAW!A857),BANK_RAW!A857,DATEVALUE(TEXT(BANK_RAW!A857,"YYYY-MM-DD"))))</f>
        <v/>
      </c>
      <c r="C857" s="11">
        <f>IF(BANK_RAW!A857="","",TRIM(BANK_RAW!B857))</f>
        <v/>
      </c>
      <c r="D857" s="11">
        <f>IF(BANK_RAW!A857="","",TRIM(BANK_RAW!C857))</f>
        <v/>
      </c>
      <c r="E857" s="12">
        <f>IF(BANK_RAW!A857="","",IFERROR(ABS(BANK_RAW!D857),0))</f>
        <v/>
      </c>
      <c r="F857" s="12">
        <f>IF(BANK_RAW!A857="","",IFERROR(ABS(BANK_RAW!E857),0))</f>
        <v/>
      </c>
      <c r="G857" s="12">
        <f>IF(BANK_RAW!A857="","",IFERROR(BANK_RAW!F857,0))</f>
        <v/>
      </c>
      <c r="H857" s="11">
        <f>IF(BANK_RAW!A857="","",IF(E857&gt;0,"CR",IF(F857&gt;0,"DR","CR")))</f>
        <v/>
      </c>
      <c r="I857" s="12">
        <f>IF(BANK_RAW!A857="","",E857-F857)</f>
        <v/>
      </c>
      <c r="J857" s="12">
        <f>IF(BANK_RAW!A857="","",ABS(I857))</f>
        <v/>
      </c>
      <c r="K857" s="11">
        <f>IF(BANK_RAW!A857="","",IF(H857="CR","IN","OUT"))</f>
        <v/>
      </c>
      <c r="L857" s="11" t="inlineStr"/>
      <c r="M857" s="11" t="inlineStr"/>
    </row>
    <row r="858">
      <c r="A858" s="13">
        <f>IF(BANK_RAW!A858="","",ROW()-1)</f>
        <v/>
      </c>
      <c r="B858" s="10">
        <f>IF(BANK_RAW!A858="","",IF(ISNUMBER(BANK_RAW!A858),BANK_RAW!A858,DATEVALUE(TEXT(BANK_RAW!A858,"YYYY-MM-DD"))))</f>
        <v/>
      </c>
      <c r="C858" s="11">
        <f>IF(BANK_RAW!A858="","",TRIM(BANK_RAW!B858))</f>
        <v/>
      </c>
      <c r="D858" s="11">
        <f>IF(BANK_RAW!A858="","",TRIM(BANK_RAW!C858))</f>
        <v/>
      </c>
      <c r="E858" s="12">
        <f>IF(BANK_RAW!A858="","",IFERROR(ABS(BANK_RAW!D858),0))</f>
        <v/>
      </c>
      <c r="F858" s="12">
        <f>IF(BANK_RAW!A858="","",IFERROR(ABS(BANK_RAW!E858),0))</f>
        <v/>
      </c>
      <c r="G858" s="12">
        <f>IF(BANK_RAW!A858="","",IFERROR(BANK_RAW!F858,0))</f>
        <v/>
      </c>
      <c r="H858" s="11">
        <f>IF(BANK_RAW!A858="","",IF(E858&gt;0,"CR",IF(F858&gt;0,"DR","CR")))</f>
        <v/>
      </c>
      <c r="I858" s="12">
        <f>IF(BANK_RAW!A858="","",E858-F858)</f>
        <v/>
      </c>
      <c r="J858" s="12">
        <f>IF(BANK_RAW!A858="","",ABS(I858))</f>
        <v/>
      </c>
      <c r="K858" s="11">
        <f>IF(BANK_RAW!A858="","",IF(H858="CR","IN","OUT"))</f>
        <v/>
      </c>
      <c r="L858" s="11" t="inlineStr"/>
      <c r="M858" s="11" t="inlineStr"/>
    </row>
    <row r="859">
      <c r="A859" s="13">
        <f>IF(BANK_RAW!A859="","",ROW()-1)</f>
        <v/>
      </c>
      <c r="B859" s="10">
        <f>IF(BANK_RAW!A859="","",IF(ISNUMBER(BANK_RAW!A859),BANK_RAW!A859,DATEVALUE(TEXT(BANK_RAW!A859,"YYYY-MM-DD"))))</f>
        <v/>
      </c>
      <c r="C859" s="11">
        <f>IF(BANK_RAW!A859="","",TRIM(BANK_RAW!B859))</f>
        <v/>
      </c>
      <c r="D859" s="11">
        <f>IF(BANK_RAW!A859="","",TRIM(BANK_RAW!C859))</f>
        <v/>
      </c>
      <c r="E859" s="12">
        <f>IF(BANK_RAW!A859="","",IFERROR(ABS(BANK_RAW!D859),0))</f>
        <v/>
      </c>
      <c r="F859" s="12">
        <f>IF(BANK_RAW!A859="","",IFERROR(ABS(BANK_RAW!E859),0))</f>
        <v/>
      </c>
      <c r="G859" s="12">
        <f>IF(BANK_RAW!A859="","",IFERROR(BANK_RAW!F859,0))</f>
        <v/>
      </c>
      <c r="H859" s="11">
        <f>IF(BANK_RAW!A859="","",IF(E859&gt;0,"CR",IF(F859&gt;0,"DR","CR")))</f>
        <v/>
      </c>
      <c r="I859" s="12">
        <f>IF(BANK_RAW!A859="","",E859-F859)</f>
        <v/>
      </c>
      <c r="J859" s="12">
        <f>IF(BANK_RAW!A859="","",ABS(I859))</f>
        <v/>
      </c>
      <c r="K859" s="11">
        <f>IF(BANK_RAW!A859="","",IF(H859="CR","IN","OUT"))</f>
        <v/>
      </c>
      <c r="L859" s="11" t="inlineStr"/>
      <c r="M859" s="11" t="inlineStr"/>
    </row>
    <row r="860">
      <c r="A860" s="13">
        <f>IF(BANK_RAW!A860="","",ROW()-1)</f>
        <v/>
      </c>
      <c r="B860" s="10">
        <f>IF(BANK_RAW!A860="","",IF(ISNUMBER(BANK_RAW!A860),BANK_RAW!A860,DATEVALUE(TEXT(BANK_RAW!A860,"YYYY-MM-DD"))))</f>
        <v/>
      </c>
      <c r="C860" s="11">
        <f>IF(BANK_RAW!A860="","",TRIM(BANK_RAW!B860))</f>
        <v/>
      </c>
      <c r="D860" s="11">
        <f>IF(BANK_RAW!A860="","",TRIM(BANK_RAW!C860))</f>
        <v/>
      </c>
      <c r="E860" s="12">
        <f>IF(BANK_RAW!A860="","",IFERROR(ABS(BANK_RAW!D860),0))</f>
        <v/>
      </c>
      <c r="F860" s="12">
        <f>IF(BANK_RAW!A860="","",IFERROR(ABS(BANK_RAW!E860),0))</f>
        <v/>
      </c>
      <c r="G860" s="12">
        <f>IF(BANK_RAW!A860="","",IFERROR(BANK_RAW!F860,0))</f>
        <v/>
      </c>
      <c r="H860" s="11">
        <f>IF(BANK_RAW!A860="","",IF(E860&gt;0,"CR",IF(F860&gt;0,"DR","CR")))</f>
        <v/>
      </c>
      <c r="I860" s="12">
        <f>IF(BANK_RAW!A860="","",E860-F860)</f>
        <v/>
      </c>
      <c r="J860" s="12">
        <f>IF(BANK_RAW!A860="","",ABS(I860))</f>
        <v/>
      </c>
      <c r="K860" s="11">
        <f>IF(BANK_RAW!A860="","",IF(H860="CR","IN","OUT"))</f>
        <v/>
      </c>
      <c r="L860" s="11" t="inlineStr"/>
      <c r="M860" s="11" t="inlineStr"/>
    </row>
    <row r="861">
      <c r="A861" s="13">
        <f>IF(BANK_RAW!A861="","",ROW()-1)</f>
        <v/>
      </c>
      <c r="B861" s="10">
        <f>IF(BANK_RAW!A861="","",IF(ISNUMBER(BANK_RAW!A861),BANK_RAW!A861,DATEVALUE(TEXT(BANK_RAW!A861,"YYYY-MM-DD"))))</f>
        <v/>
      </c>
      <c r="C861" s="11">
        <f>IF(BANK_RAW!A861="","",TRIM(BANK_RAW!B861))</f>
        <v/>
      </c>
      <c r="D861" s="11">
        <f>IF(BANK_RAW!A861="","",TRIM(BANK_RAW!C861))</f>
        <v/>
      </c>
      <c r="E861" s="12">
        <f>IF(BANK_RAW!A861="","",IFERROR(ABS(BANK_RAW!D861),0))</f>
        <v/>
      </c>
      <c r="F861" s="12">
        <f>IF(BANK_RAW!A861="","",IFERROR(ABS(BANK_RAW!E861),0))</f>
        <v/>
      </c>
      <c r="G861" s="12">
        <f>IF(BANK_RAW!A861="","",IFERROR(BANK_RAW!F861,0))</f>
        <v/>
      </c>
      <c r="H861" s="11">
        <f>IF(BANK_RAW!A861="","",IF(E861&gt;0,"CR",IF(F861&gt;0,"DR","CR")))</f>
        <v/>
      </c>
      <c r="I861" s="12">
        <f>IF(BANK_RAW!A861="","",E861-F861)</f>
        <v/>
      </c>
      <c r="J861" s="12">
        <f>IF(BANK_RAW!A861="","",ABS(I861))</f>
        <v/>
      </c>
      <c r="K861" s="11">
        <f>IF(BANK_RAW!A861="","",IF(H861="CR","IN","OUT"))</f>
        <v/>
      </c>
      <c r="L861" s="11" t="inlineStr"/>
      <c r="M861" s="11" t="inlineStr"/>
    </row>
    <row r="862">
      <c r="A862" s="13">
        <f>IF(BANK_RAW!A862="","",ROW()-1)</f>
        <v/>
      </c>
      <c r="B862" s="10">
        <f>IF(BANK_RAW!A862="","",IF(ISNUMBER(BANK_RAW!A862),BANK_RAW!A862,DATEVALUE(TEXT(BANK_RAW!A862,"YYYY-MM-DD"))))</f>
        <v/>
      </c>
      <c r="C862" s="11">
        <f>IF(BANK_RAW!A862="","",TRIM(BANK_RAW!B862))</f>
        <v/>
      </c>
      <c r="D862" s="11">
        <f>IF(BANK_RAW!A862="","",TRIM(BANK_RAW!C862))</f>
        <v/>
      </c>
      <c r="E862" s="12">
        <f>IF(BANK_RAW!A862="","",IFERROR(ABS(BANK_RAW!D862),0))</f>
        <v/>
      </c>
      <c r="F862" s="12">
        <f>IF(BANK_RAW!A862="","",IFERROR(ABS(BANK_RAW!E862),0))</f>
        <v/>
      </c>
      <c r="G862" s="12">
        <f>IF(BANK_RAW!A862="","",IFERROR(BANK_RAW!F862,0))</f>
        <v/>
      </c>
      <c r="H862" s="11">
        <f>IF(BANK_RAW!A862="","",IF(E862&gt;0,"CR",IF(F862&gt;0,"DR","CR")))</f>
        <v/>
      </c>
      <c r="I862" s="12">
        <f>IF(BANK_RAW!A862="","",E862-F862)</f>
        <v/>
      </c>
      <c r="J862" s="12">
        <f>IF(BANK_RAW!A862="","",ABS(I862))</f>
        <v/>
      </c>
      <c r="K862" s="11">
        <f>IF(BANK_RAW!A862="","",IF(H862="CR","IN","OUT"))</f>
        <v/>
      </c>
      <c r="L862" s="11" t="inlineStr"/>
      <c r="M862" s="11" t="inlineStr"/>
    </row>
    <row r="863">
      <c r="A863" s="13">
        <f>IF(BANK_RAW!A863="","",ROW()-1)</f>
        <v/>
      </c>
      <c r="B863" s="10">
        <f>IF(BANK_RAW!A863="","",IF(ISNUMBER(BANK_RAW!A863),BANK_RAW!A863,DATEVALUE(TEXT(BANK_RAW!A863,"YYYY-MM-DD"))))</f>
        <v/>
      </c>
      <c r="C863" s="11">
        <f>IF(BANK_RAW!A863="","",TRIM(BANK_RAW!B863))</f>
        <v/>
      </c>
      <c r="D863" s="11">
        <f>IF(BANK_RAW!A863="","",TRIM(BANK_RAW!C863))</f>
        <v/>
      </c>
      <c r="E863" s="12">
        <f>IF(BANK_RAW!A863="","",IFERROR(ABS(BANK_RAW!D863),0))</f>
        <v/>
      </c>
      <c r="F863" s="12">
        <f>IF(BANK_RAW!A863="","",IFERROR(ABS(BANK_RAW!E863),0))</f>
        <v/>
      </c>
      <c r="G863" s="12">
        <f>IF(BANK_RAW!A863="","",IFERROR(BANK_RAW!F863,0))</f>
        <v/>
      </c>
      <c r="H863" s="11">
        <f>IF(BANK_RAW!A863="","",IF(E863&gt;0,"CR",IF(F863&gt;0,"DR","CR")))</f>
        <v/>
      </c>
      <c r="I863" s="12">
        <f>IF(BANK_RAW!A863="","",E863-F863)</f>
        <v/>
      </c>
      <c r="J863" s="12">
        <f>IF(BANK_RAW!A863="","",ABS(I863))</f>
        <v/>
      </c>
      <c r="K863" s="11">
        <f>IF(BANK_RAW!A863="","",IF(H863="CR","IN","OUT"))</f>
        <v/>
      </c>
      <c r="L863" s="11" t="inlineStr"/>
      <c r="M863" s="11" t="inlineStr"/>
    </row>
    <row r="864">
      <c r="A864" s="13">
        <f>IF(BANK_RAW!A864="","",ROW()-1)</f>
        <v/>
      </c>
      <c r="B864" s="10">
        <f>IF(BANK_RAW!A864="","",IF(ISNUMBER(BANK_RAW!A864),BANK_RAW!A864,DATEVALUE(TEXT(BANK_RAW!A864,"YYYY-MM-DD"))))</f>
        <v/>
      </c>
      <c r="C864" s="11">
        <f>IF(BANK_RAW!A864="","",TRIM(BANK_RAW!B864))</f>
        <v/>
      </c>
      <c r="D864" s="11">
        <f>IF(BANK_RAW!A864="","",TRIM(BANK_RAW!C864))</f>
        <v/>
      </c>
      <c r="E864" s="12">
        <f>IF(BANK_RAW!A864="","",IFERROR(ABS(BANK_RAW!D864),0))</f>
        <v/>
      </c>
      <c r="F864" s="12">
        <f>IF(BANK_RAW!A864="","",IFERROR(ABS(BANK_RAW!E864),0))</f>
        <v/>
      </c>
      <c r="G864" s="12">
        <f>IF(BANK_RAW!A864="","",IFERROR(BANK_RAW!F864,0))</f>
        <v/>
      </c>
      <c r="H864" s="11">
        <f>IF(BANK_RAW!A864="","",IF(E864&gt;0,"CR",IF(F864&gt;0,"DR","CR")))</f>
        <v/>
      </c>
      <c r="I864" s="12">
        <f>IF(BANK_RAW!A864="","",E864-F864)</f>
        <v/>
      </c>
      <c r="J864" s="12">
        <f>IF(BANK_RAW!A864="","",ABS(I864))</f>
        <v/>
      </c>
      <c r="K864" s="11">
        <f>IF(BANK_RAW!A864="","",IF(H864="CR","IN","OUT"))</f>
        <v/>
      </c>
      <c r="L864" s="11" t="inlineStr"/>
      <c r="M864" s="11" t="inlineStr"/>
    </row>
    <row r="865">
      <c r="A865" s="13">
        <f>IF(BANK_RAW!A865="","",ROW()-1)</f>
        <v/>
      </c>
      <c r="B865" s="10">
        <f>IF(BANK_RAW!A865="","",IF(ISNUMBER(BANK_RAW!A865),BANK_RAW!A865,DATEVALUE(TEXT(BANK_RAW!A865,"YYYY-MM-DD"))))</f>
        <v/>
      </c>
      <c r="C865" s="11">
        <f>IF(BANK_RAW!A865="","",TRIM(BANK_RAW!B865))</f>
        <v/>
      </c>
      <c r="D865" s="11">
        <f>IF(BANK_RAW!A865="","",TRIM(BANK_RAW!C865))</f>
        <v/>
      </c>
      <c r="E865" s="12">
        <f>IF(BANK_RAW!A865="","",IFERROR(ABS(BANK_RAW!D865),0))</f>
        <v/>
      </c>
      <c r="F865" s="12">
        <f>IF(BANK_RAW!A865="","",IFERROR(ABS(BANK_RAW!E865),0))</f>
        <v/>
      </c>
      <c r="G865" s="12">
        <f>IF(BANK_RAW!A865="","",IFERROR(BANK_RAW!F865,0))</f>
        <v/>
      </c>
      <c r="H865" s="11">
        <f>IF(BANK_RAW!A865="","",IF(E865&gt;0,"CR",IF(F865&gt;0,"DR","CR")))</f>
        <v/>
      </c>
      <c r="I865" s="12">
        <f>IF(BANK_RAW!A865="","",E865-F865)</f>
        <v/>
      </c>
      <c r="J865" s="12">
        <f>IF(BANK_RAW!A865="","",ABS(I865))</f>
        <v/>
      </c>
      <c r="K865" s="11">
        <f>IF(BANK_RAW!A865="","",IF(H865="CR","IN","OUT"))</f>
        <v/>
      </c>
      <c r="L865" s="11" t="inlineStr"/>
      <c r="M865" s="11" t="inlineStr"/>
    </row>
    <row r="866">
      <c r="A866" s="13">
        <f>IF(BANK_RAW!A866="","",ROW()-1)</f>
        <v/>
      </c>
      <c r="B866" s="10">
        <f>IF(BANK_RAW!A866="","",IF(ISNUMBER(BANK_RAW!A866),BANK_RAW!A866,DATEVALUE(TEXT(BANK_RAW!A866,"YYYY-MM-DD"))))</f>
        <v/>
      </c>
      <c r="C866" s="11">
        <f>IF(BANK_RAW!A866="","",TRIM(BANK_RAW!B866))</f>
        <v/>
      </c>
      <c r="D866" s="11">
        <f>IF(BANK_RAW!A866="","",TRIM(BANK_RAW!C866))</f>
        <v/>
      </c>
      <c r="E866" s="12">
        <f>IF(BANK_RAW!A866="","",IFERROR(ABS(BANK_RAW!D866),0))</f>
        <v/>
      </c>
      <c r="F866" s="12">
        <f>IF(BANK_RAW!A866="","",IFERROR(ABS(BANK_RAW!E866),0))</f>
        <v/>
      </c>
      <c r="G866" s="12">
        <f>IF(BANK_RAW!A866="","",IFERROR(BANK_RAW!F866,0))</f>
        <v/>
      </c>
      <c r="H866" s="11">
        <f>IF(BANK_RAW!A866="","",IF(E866&gt;0,"CR",IF(F866&gt;0,"DR","CR")))</f>
        <v/>
      </c>
      <c r="I866" s="12">
        <f>IF(BANK_RAW!A866="","",E866-F866)</f>
        <v/>
      </c>
      <c r="J866" s="12">
        <f>IF(BANK_RAW!A866="","",ABS(I866))</f>
        <v/>
      </c>
      <c r="K866" s="11">
        <f>IF(BANK_RAW!A866="","",IF(H866="CR","IN","OUT"))</f>
        <v/>
      </c>
      <c r="L866" s="11" t="inlineStr"/>
      <c r="M866" s="11" t="inlineStr"/>
    </row>
    <row r="867">
      <c r="A867" s="13">
        <f>IF(BANK_RAW!A867="","",ROW()-1)</f>
        <v/>
      </c>
      <c r="B867" s="10">
        <f>IF(BANK_RAW!A867="","",IF(ISNUMBER(BANK_RAW!A867),BANK_RAW!A867,DATEVALUE(TEXT(BANK_RAW!A867,"YYYY-MM-DD"))))</f>
        <v/>
      </c>
      <c r="C867" s="11">
        <f>IF(BANK_RAW!A867="","",TRIM(BANK_RAW!B867))</f>
        <v/>
      </c>
      <c r="D867" s="11">
        <f>IF(BANK_RAW!A867="","",TRIM(BANK_RAW!C867))</f>
        <v/>
      </c>
      <c r="E867" s="12">
        <f>IF(BANK_RAW!A867="","",IFERROR(ABS(BANK_RAW!D867),0))</f>
        <v/>
      </c>
      <c r="F867" s="12">
        <f>IF(BANK_RAW!A867="","",IFERROR(ABS(BANK_RAW!E867),0))</f>
        <v/>
      </c>
      <c r="G867" s="12">
        <f>IF(BANK_RAW!A867="","",IFERROR(BANK_RAW!F867,0))</f>
        <v/>
      </c>
      <c r="H867" s="11">
        <f>IF(BANK_RAW!A867="","",IF(E867&gt;0,"CR",IF(F867&gt;0,"DR","CR")))</f>
        <v/>
      </c>
      <c r="I867" s="12">
        <f>IF(BANK_RAW!A867="","",E867-F867)</f>
        <v/>
      </c>
      <c r="J867" s="12">
        <f>IF(BANK_RAW!A867="","",ABS(I867))</f>
        <v/>
      </c>
      <c r="K867" s="11">
        <f>IF(BANK_RAW!A867="","",IF(H867="CR","IN","OUT"))</f>
        <v/>
      </c>
      <c r="L867" s="11" t="inlineStr"/>
      <c r="M867" s="11" t="inlineStr"/>
    </row>
    <row r="868">
      <c r="A868" s="13">
        <f>IF(BANK_RAW!A868="","",ROW()-1)</f>
        <v/>
      </c>
      <c r="B868" s="10">
        <f>IF(BANK_RAW!A868="","",IF(ISNUMBER(BANK_RAW!A868),BANK_RAW!A868,DATEVALUE(TEXT(BANK_RAW!A868,"YYYY-MM-DD"))))</f>
        <v/>
      </c>
      <c r="C868" s="11">
        <f>IF(BANK_RAW!A868="","",TRIM(BANK_RAW!B868))</f>
        <v/>
      </c>
      <c r="D868" s="11">
        <f>IF(BANK_RAW!A868="","",TRIM(BANK_RAW!C868))</f>
        <v/>
      </c>
      <c r="E868" s="12">
        <f>IF(BANK_RAW!A868="","",IFERROR(ABS(BANK_RAW!D868),0))</f>
        <v/>
      </c>
      <c r="F868" s="12">
        <f>IF(BANK_RAW!A868="","",IFERROR(ABS(BANK_RAW!E868),0))</f>
        <v/>
      </c>
      <c r="G868" s="12">
        <f>IF(BANK_RAW!A868="","",IFERROR(BANK_RAW!F868,0))</f>
        <v/>
      </c>
      <c r="H868" s="11">
        <f>IF(BANK_RAW!A868="","",IF(E868&gt;0,"CR",IF(F868&gt;0,"DR","CR")))</f>
        <v/>
      </c>
      <c r="I868" s="12">
        <f>IF(BANK_RAW!A868="","",E868-F868)</f>
        <v/>
      </c>
      <c r="J868" s="12">
        <f>IF(BANK_RAW!A868="","",ABS(I868))</f>
        <v/>
      </c>
      <c r="K868" s="11">
        <f>IF(BANK_RAW!A868="","",IF(H868="CR","IN","OUT"))</f>
        <v/>
      </c>
      <c r="L868" s="11" t="inlineStr"/>
      <c r="M868" s="11" t="inlineStr"/>
    </row>
    <row r="869">
      <c r="A869" s="13">
        <f>IF(BANK_RAW!A869="","",ROW()-1)</f>
        <v/>
      </c>
      <c r="B869" s="10">
        <f>IF(BANK_RAW!A869="","",IF(ISNUMBER(BANK_RAW!A869),BANK_RAW!A869,DATEVALUE(TEXT(BANK_RAW!A869,"YYYY-MM-DD"))))</f>
        <v/>
      </c>
      <c r="C869" s="11">
        <f>IF(BANK_RAW!A869="","",TRIM(BANK_RAW!B869))</f>
        <v/>
      </c>
      <c r="D869" s="11">
        <f>IF(BANK_RAW!A869="","",TRIM(BANK_RAW!C869))</f>
        <v/>
      </c>
      <c r="E869" s="12">
        <f>IF(BANK_RAW!A869="","",IFERROR(ABS(BANK_RAW!D869),0))</f>
        <v/>
      </c>
      <c r="F869" s="12">
        <f>IF(BANK_RAW!A869="","",IFERROR(ABS(BANK_RAW!E869),0))</f>
        <v/>
      </c>
      <c r="G869" s="12">
        <f>IF(BANK_RAW!A869="","",IFERROR(BANK_RAW!F869,0))</f>
        <v/>
      </c>
      <c r="H869" s="11">
        <f>IF(BANK_RAW!A869="","",IF(E869&gt;0,"CR",IF(F869&gt;0,"DR","CR")))</f>
        <v/>
      </c>
      <c r="I869" s="12">
        <f>IF(BANK_RAW!A869="","",E869-F869)</f>
        <v/>
      </c>
      <c r="J869" s="12">
        <f>IF(BANK_RAW!A869="","",ABS(I869))</f>
        <v/>
      </c>
      <c r="K869" s="11">
        <f>IF(BANK_RAW!A869="","",IF(H869="CR","IN","OUT"))</f>
        <v/>
      </c>
      <c r="L869" s="11" t="inlineStr"/>
      <c r="M869" s="11" t="inlineStr"/>
    </row>
    <row r="870">
      <c r="A870" s="13">
        <f>IF(BANK_RAW!A870="","",ROW()-1)</f>
        <v/>
      </c>
      <c r="B870" s="10">
        <f>IF(BANK_RAW!A870="","",IF(ISNUMBER(BANK_RAW!A870),BANK_RAW!A870,DATEVALUE(TEXT(BANK_RAW!A870,"YYYY-MM-DD"))))</f>
        <v/>
      </c>
      <c r="C870" s="11">
        <f>IF(BANK_RAW!A870="","",TRIM(BANK_RAW!B870))</f>
        <v/>
      </c>
      <c r="D870" s="11">
        <f>IF(BANK_RAW!A870="","",TRIM(BANK_RAW!C870))</f>
        <v/>
      </c>
      <c r="E870" s="12">
        <f>IF(BANK_RAW!A870="","",IFERROR(ABS(BANK_RAW!D870),0))</f>
        <v/>
      </c>
      <c r="F870" s="12">
        <f>IF(BANK_RAW!A870="","",IFERROR(ABS(BANK_RAW!E870),0))</f>
        <v/>
      </c>
      <c r="G870" s="12">
        <f>IF(BANK_RAW!A870="","",IFERROR(BANK_RAW!F870,0))</f>
        <v/>
      </c>
      <c r="H870" s="11">
        <f>IF(BANK_RAW!A870="","",IF(E870&gt;0,"CR",IF(F870&gt;0,"DR","CR")))</f>
        <v/>
      </c>
      <c r="I870" s="12">
        <f>IF(BANK_RAW!A870="","",E870-F870)</f>
        <v/>
      </c>
      <c r="J870" s="12">
        <f>IF(BANK_RAW!A870="","",ABS(I870))</f>
        <v/>
      </c>
      <c r="K870" s="11">
        <f>IF(BANK_RAW!A870="","",IF(H870="CR","IN","OUT"))</f>
        <v/>
      </c>
      <c r="L870" s="11" t="inlineStr"/>
      <c r="M870" s="11" t="inlineStr"/>
    </row>
    <row r="871">
      <c r="A871" s="13">
        <f>IF(BANK_RAW!A871="","",ROW()-1)</f>
        <v/>
      </c>
      <c r="B871" s="10">
        <f>IF(BANK_RAW!A871="","",IF(ISNUMBER(BANK_RAW!A871),BANK_RAW!A871,DATEVALUE(TEXT(BANK_RAW!A871,"YYYY-MM-DD"))))</f>
        <v/>
      </c>
      <c r="C871" s="11">
        <f>IF(BANK_RAW!A871="","",TRIM(BANK_RAW!B871))</f>
        <v/>
      </c>
      <c r="D871" s="11">
        <f>IF(BANK_RAW!A871="","",TRIM(BANK_RAW!C871))</f>
        <v/>
      </c>
      <c r="E871" s="12">
        <f>IF(BANK_RAW!A871="","",IFERROR(ABS(BANK_RAW!D871),0))</f>
        <v/>
      </c>
      <c r="F871" s="12">
        <f>IF(BANK_RAW!A871="","",IFERROR(ABS(BANK_RAW!E871),0))</f>
        <v/>
      </c>
      <c r="G871" s="12">
        <f>IF(BANK_RAW!A871="","",IFERROR(BANK_RAW!F871,0))</f>
        <v/>
      </c>
      <c r="H871" s="11">
        <f>IF(BANK_RAW!A871="","",IF(E871&gt;0,"CR",IF(F871&gt;0,"DR","CR")))</f>
        <v/>
      </c>
      <c r="I871" s="12">
        <f>IF(BANK_RAW!A871="","",E871-F871)</f>
        <v/>
      </c>
      <c r="J871" s="12">
        <f>IF(BANK_RAW!A871="","",ABS(I871))</f>
        <v/>
      </c>
      <c r="K871" s="11">
        <f>IF(BANK_RAW!A871="","",IF(H871="CR","IN","OUT"))</f>
        <v/>
      </c>
      <c r="L871" s="11" t="inlineStr"/>
      <c r="M871" s="11" t="inlineStr"/>
    </row>
    <row r="872">
      <c r="A872" s="13">
        <f>IF(BANK_RAW!A872="","",ROW()-1)</f>
        <v/>
      </c>
      <c r="B872" s="10">
        <f>IF(BANK_RAW!A872="","",IF(ISNUMBER(BANK_RAW!A872),BANK_RAW!A872,DATEVALUE(TEXT(BANK_RAW!A872,"YYYY-MM-DD"))))</f>
        <v/>
      </c>
      <c r="C872" s="11">
        <f>IF(BANK_RAW!A872="","",TRIM(BANK_RAW!B872))</f>
        <v/>
      </c>
      <c r="D872" s="11">
        <f>IF(BANK_RAW!A872="","",TRIM(BANK_RAW!C872))</f>
        <v/>
      </c>
      <c r="E872" s="12">
        <f>IF(BANK_RAW!A872="","",IFERROR(ABS(BANK_RAW!D872),0))</f>
        <v/>
      </c>
      <c r="F872" s="12">
        <f>IF(BANK_RAW!A872="","",IFERROR(ABS(BANK_RAW!E872),0))</f>
        <v/>
      </c>
      <c r="G872" s="12">
        <f>IF(BANK_RAW!A872="","",IFERROR(BANK_RAW!F872,0))</f>
        <v/>
      </c>
      <c r="H872" s="11">
        <f>IF(BANK_RAW!A872="","",IF(E872&gt;0,"CR",IF(F872&gt;0,"DR","CR")))</f>
        <v/>
      </c>
      <c r="I872" s="12">
        <f>IF(BANK_RAW!A872="","",E872-F872)</f>
        <v/>
      </c>
      <c r="J872" s="12">
        <f>IF(BANK_RAW!A872="","",ABS(I872))</f>
        <v/>
      </c>
      <c r="K872" s="11">
        <f>IF(BANK_RAW!A872="","",IF(H872="CR","IN","OUT"))</f>
        <v/>
      </c>
      <c r="L872" s="11" t="inlineStr"/>
      <c r="M872" s="11" t="inlineStr"/>
    </row>
    <row r="873">
      <c r="A873" s="13">
        <f>IF(BANK_RAW!A873="","",ROW()-1)</f>
        <v/>
      </c>
      <c r="B873" s="10">
        <f>IF(BANK_RAW!A873="","",IF(ISNUMBER(BANK_RAW!A873),BANK_RAW!A873,DATEVALUE(TEXT(BANK_RAW!A873,"YYYY-MM-DD"))))</f>
        <v/>
      </c>
      <c r="C873" s="11">
        <f>IF(BANK_RAW!A873="","",TRIM(BANK_RAW!B873))</f>
        <v/>
      </c>
      <c r="D873" s="11">
        <f>IF(BANK_RAW!A873="","",TRIM(BANK_RAW!C873))</f>
        <v/>
      </c>
      <c r="E873" s="12">
        <f>IF(BANK_RAW!A873="","",IFERROR(ABS(BANK_RAW!D873),0))</f>
        <v/>
      </c>
      <c r="F873" s="12">
        <f>IF(BANK_RAW!A873="","",IFERROR(ABS(BANK_RAW!E873),0))</f>
        <v/>
      </c>
      <c r="G873" s="12">
        <f>IF(BANK_RAW!A873="","",IFERROR(BANK_RAW!F873,0))</f>
        <v/>
      </c>
      <c r="H873" s="11">
        <f>IF(BANK_RAW!A873="","",IF(E873&gt;0,"CR",IF(F873&gt;0,"DR","CR")))</f>
        <v/>
      </c>
      <c r="I873" s="12">
        <f>IF(BANK_RAW!A873="","",E873-F873)</f>
        <v/>
      </c>
      <c r="J873" s="12">
        <f>IF(BANK_RAW!A873="","",ABS(I873))</f>
        <v/>
      </c>
      <c r="K873" s="11">
        <f>IF(BANK_RAW!A873="","",IF(H873="CR","IN","OUT"))</f>
        <v/>
      </c>
      <c r="L873" s="11" t="inlineStr"/>
      <c r="M873" s="11" t="inlineStr"/>
    </row>
    <row r="874">
      <c r="A874" s="13">
        <f>IF(BANK_RAW!A874="","",ROW()-1)</f>
        <v/>
      </c>
      <c r="B874" s="10">
        <f>IF(BANK_RAW!A874="","",IF(ISNUMBER(BANK_RAW!A874),BANK_RAW!A874,DATEVALUE(TEXT(BANK_RAW!A874,"YYYY-MM-DD"))))</f>
        <v/>
      </c>
      <c r="C874" s="11">
        <f>IF(BANK_RAW!A874="","",TRIM(BANK_RAW!B874))</f>
        <v/>
      </c>
      <c r="D874" s="11">
        <f>IF(BANK_RAW!A874="","",TRIM(BANK_RAW!C874))</f>
        <v/>
      </c>
      <c r="E874" s="12">
        <f>IF(BANK_RAW!A874="","",IFERROR(ABS(BANK_RAW!D874),0))</f>
        <v/>
      </c>
      <c r="F874" s="12">
        <f>IF(BANK_RAW!A874="","",IFERROR(ABS(BANK_RAW!E874),0))</f>
        <v/>
      </c>
      <c r="G874" s="12">
        <f>IF(BANK_RAW!A874="","",IFERROR(BANK_RAW!F874,0))</f>
        <v/>
      </c>
      <c r="H874" s="11">
        <f>IF(BANK_RAW!A874="","",IF(E874&gt;0,"CR",IF(F874&gt;0,"DR","CR")))</f>
        <v/>
      </c>
      <c r="I874" s="12">
        <f>IF(BANK_RAW!A874="","",E874-F874)</f>
        <v/>
      </c>
      <c r="J874" s="12">
        <f>IF(BANK_RAW!A874="","",ABS(I874))</f>
        <v/>
      </c>
      <c r="K874" s="11">
        <f>IF(BANK_RAW!A874="","",IF(H874="CR","IN","OUT"))</f>
        <v/>
      </c>
      <c r="L874" s="11" t="inlineStr"/>
      <c r="M874" s="11" t="inlineStr"/>
    </row>
    <row r="875">
      <c r="A875" s="13">
        <f>IF(BANK_RAW!A875="","",ROW()-1)</f>
        <v/>
      </c>
      <c r="B875" s="10">
        <f>IF(BANK_RAW!A875="","",IF(ISNUMBER(BANK_RAW!A875),BANK_RAW!A875,DATEVALUE(TEXT(BANK_RAW!A875,"YYYY-MM-DD"))))</f>
        <v/>
      </c>
      <c r="C875" s="11">
        <f>IF(BANK_RAW!A875="","",TRIM(BANK_RAW!B875))</f>
        <v/>
      </c>
      <c r="D875" s="11">
        <f>IF(BANK_RAW!A875="","",TRIM(BANK_RAW!C875))</f>
        <v/>
      </c>
      <c r="E875" s="12">
        <f>IF(BANK_RAW!A875="","",IFERROR(ABS(BANK_RAW!D875),0))</f>
        <v/>
      </c>
      <c r="F875" s="12">
        <f>IF(BANK_RAW!A875="","",IFERROR(ABS(BANK_RAW!E875),0))</f>
        <v/>
      </c>
      <c r="G875" s="12">
        <f>IF(BANK_RAW!A875="","",IFERROR(BANK_RAW!F875,0))</f>
        <v/>
      </c>
      <c r="H875" s="11">
        <f>IF(BANK_RAW!A875="","",IF(E875&gt;0,"CR",IF(F875&gt;0,"DR","CR")))</f>
        <v/>
      </c>
      <c r="I875" s="12">
        <f>IF(BANK_RAW!A875="","",E875-F875)</f>
        <v/>
      </c>
      <c r="J875" s="12">
        <f>IF(BANK_RAW!A875="","",ABS(I875))</f>
        <v/>
      </c>
      <c r="K875" s="11">
        <f>IF(BANK_RAW!A875="","",IF(H875="CR","IN","OUT"))</f>
        <v/>
      </c>
      <c r="L875" s="11" t="inlineStr"/>
      <c r="M875" s="11" t="inlineStr"/>
    </row>
    <row r="876">
      <c r="A876" s="13">
        <f>IF(BANK_RAW!A876="","",ROW()-1)</f>
        <v/>
      </c>
      <c r="B876" s="10">
        <f>IF(BANK_RAW!A876="","",IF(ISNUMBER(BANK_RAW!A876),BANK_RAW!A876,DATEVALUE(TEXT(BANK_RAW!A876,"YYYY-MM-DD"))))</f>
        <v/>
      </c>
      <c r="C876" s="11">
        <f>IF(BANK_RAW!A876="","",TRIM(BANK_RAW!B876))</f>
        <v/>
      </c>
      <c r="D876" s="11">
        <f>IF(BANK_RAW!A876="","",TRIM(BANK_RAW!C876))</f>
        <v/>
      </c>
      <c r="E876" s="12">
        <f>IF(BANK_RAW!A876="","",IFERROR(ABS(BANK_RAW!D876),0))</f>
        <v/>
      </c>
      <c r="F876" s="12">
        <f>IF(BANK_RAW!A876="","",IFERROR(ABS(BANK_RAW!E876),0))</f>
        <v/>
      </c>
      <c r="G876" s="12">
        <f>IF(BANK_RAW!A876="","",IFERROR(BANK_RAW!F876,0))</f>
        <v/>
      </c>
      <c r="H876" s="11">
        <f>IF(BANK_RAW!A876="","",IF(E876&gt;0,"CR",IF(F876&gt;0,"DR","CR")))</f>
        <v/>
      </c>
      <c r="I876" s="12">
        <f>IF(BANK_RAW!A876="","",E876-F876)</f>
        <v/>
      </c>
      <c r="J876" s="12">
        <f>IF(BANK_RAW!A876="","",ABS(I876))</f>
        <v/>
      </c>
      <c r="K876" s="11">
        <f>IF(BANK_RAW!A876="","",IF(H876="CR","IN","OUT"))</f>
        <v/>
      </c>
      <c r="L876" s="11" t="inlineStr"/>
      <c r="M876" s="11" t="inlineStr"/>
    </row>
    <row r="877">
      <c r="A877" s="13">
        <f>IF(BANK_RAW!A877="","",ROW()-1)</f>
        <v/>
      </c>
      <c r="B877" s="10">
        <f>IF(BANK_RAW!A877="","",IF(ISNUMBER(BANK_RAW!A877),BANK_RAW!A877,DATEVALUE(TEXT(BANK_RAW!A877,"YYYY-MM-DD"))))</f>
        <v/>
      </c>
      <c r="C877" s="11">
        <f>IF(BANK_RAW!A877="","",TRIM(BANK_RAW!B877))</f>
        <v/>
      </c>
      <c r="D877" s="11">
        <f>IF(BANK_RAW!A877="","",TRIM(BANK_RAW!C877))</f>
        <v/>
      </c>
      <c r="E877" s="12">
        <f>IF(BANK_RAW!A877="","",IFERROR(ABS(BANK_RAW!D877),0))</f>
        <v/>
      </c>
      <c r="F877" s="12">
        <f>IF(BANK_RAW!A877="","",IFERROR(ABS(BANK_RAW!E877),0))</f>
        <v/>
      </c>
      <c r="G877" s="12">
        <f>IF(BANK_RAW!A877="","",IFERROR(BANK_RAW!F877,0))</f>
        <v/>
      </c>
      <c r="H877" s="11">
        <f>IF(BANK_RAW!A877="","",IF(E877&gt;0,"CR",IF(F877&gt;0,"DR","CR")))</f>
        <v/>
      </c>
      <c r="I877" s="12">
        <f>IF(BANK_RAW!A877="","",E877-F877)</f>
        <v/>
      </c>
      <c r="J877" s="12">
        <f>IF(BANK_RAW!A877="","",ABS(I877))</f>
        <v/>
      </c>
      <c r="K877" s="11">
        <f>IF(BANK_RAW!A877="","",IF(H877="CR","IN","OUT"))</f>
        <v/>
      </c>
      <c r="L877" s="11" t="inlineStr"/>
      <c r="M877" s="11" t="inlineStr"/>
    </row>
    <row r="878">
      <c r="A878" s="13">
        <f>IF(BANK_RAW!A878="","",ROW()-1)</f>
        <v/>
      </c>
      <c r="B878" s="10">
        <f>IF(BANK_RAW!A878="","",IF(ISNUMBER(BANK_RAW!A878),BANK_RAW!A878,DATEVALUE(TEXT(BANK_RAW!A878,"YYYY-MM-DD"))))</f>
        <v/>
      </c>
      <c r="C878" s="11">
        <f>IF(BANK_RAW!A878="","",TRIM(BANK_RAW!B878))</f>
        <v/>
      </c>
      <c r="D878" s="11">
        <f>IF(BANK_RAW!A878="","",TRIM(BANK_RAW!C878))</f>
        <v/>
      </c>
      <c r="E878" s="12">
        <f>IF(BANK_RAW!A878="","",IFERROR(ABS(BANK_RAW!D878),0))</f>
        <v/>
      </c>
      <c r="F878" s="12">
        <f>IF(BANK_RAW!A878="","",IFERROR(ABS(BANK_RAW!E878),0))</f>
        <v/>
      </c>
      <c r="G878" s="12">
        <f>IF(BANK_RAW!A878="","",IFERROR(BANK_RAW!F878,0))</f>
        <v/>
      </c>
      <c r="H878" s="11">
        <f>IF(BANK_RAW!A878="","",IF(E878&gt;0,"CR",IF(F878&gt;0,"DR","CR")))</f>
        <v/>
      </c>
      <c r="I878" s="12">
        <f>IF(BANK_RAW!A878="","",E878-F878)</f>
        <v/>
      </c>
      <c r="J878" s="12">
        <f>IF(BANK_RAW!A878="","",ABS(I878))</f>
        <v/>
      </c>
      <c r="K878" s="11">
        <f>IF(BANK_RAW!A878="","",IF(H878="CR","IN","OUT"))</f>
        <v/>
      </c>
      <c r="L878" s="11" t="inlineStr"/>
      <c r="M878" s="11" t="inlineStr"/>
    </row>
    <row r="879">
      <c r="A879" s="13">
        <f>IF(BANK_RAW!A879="","",ROW()-1)</f>
        <v/>
      </c>
      <c r="B879" s="10">
        <f>IF(BANK_RAW!A879="","",IF(ISNUMBER(BANK_RAW!A879),BANK_RAW!A879,DATEVALUE(TEXT(BANK_RAW!A879,"YYYY-MM-DD"))))</f>
        <v/>
      </c>
      <c r="C879" s="11">
        <f>IF(BANK_RAW!A879="","",TRIM(BANK_RAW!B879))</f>
        <v/>
      </c>
      <c r="D879" s="11">
        <f>IF(BANK_RAW!A879="","",TRIM(BANK_RAW!C879))</f>
        <v/>
      </c>
      <c r="E879" s="12">
        <f>IF(BANK_RAW!A879="","",IFERROR(ABS(BANK_RAW!D879),0))</f>
        <v/>
      </c>
      <c r="F879" s="12">
        <f>IF(BANK_RAW!A879="","",IFERROR(ABS(BANK_RAW!E879),0))</f>
        <v/>
      </c>
      <c r="G879" s="12">
        <f>IF(BANK_RAW!A879="","",IFERROR(BANK_RAW!F879,0))</f>
        <v/>
      </c>
      <c r="H879" s="11">
        <f>IF(BANK_RAW!A879="","",IF(E879&gt;0,"CR",IF(F879&gt;0,"DR","CR")))</f>
        <v/>
      </c>
      <c r="I879" s="12">
        <f>IF(BANK_RAW!A879="","",E879-F879)</f>
        <v/>
      </c>
      <c r="J879" s="12">
        <f>IF(BANK_RAW!A879="","",ABS(I879))</f>
        <v/>
      </c>
      <c r="K879" s="11">
        <f>IF(BANK_RAW!A879="","",IF(H879="CR","IN","OUT"))</f>
        <v/>
      </c>
      <c r="L879" s="11" t="inlineStr"/>
      <c r="M879" s="11" t="inlineStr"/>
    </row>
    <row r="880">
      <c r="A880" s="13">
        <f>IF(BANK_RAW!A880="","",ROW()-1)</f>
        <v/>
      </c>
      <c r="B880" s="10">
        <f>IF(BANK_RAW!A880="","",IF(ISNUMBER(BANK_RAW!A880),BANK_RAW!A880,DATEVALUE(TEXT(BANK_RAW!A880,"YYYY-MM-DD"))))</f>
        <v/>
      </c>
      <c r="C880" s="11">
        <f>IF(BANK_RAW!A880="","",TRIM(BANK_RAW!B880))</f>
        <v/>
      </c>
      <c r="D880" s="11">
        <f>IF(BANK_RAW!A880="","",TRIM(BANK_RAW!C880))</f>
        <v/>
      </c>
      <c r="E880" s="12">
        <f>IF(BANK_RAW!A880="","",IFERROR(ABS(BANK_RAW!D880),0))</f>
        <v/>
      </c>
      <c r="F880" s="12">
        <f>IF(BANK_RAW!A880="","",IFERROR(ABS(BANK_RAW!E880),0))</f>
        <v/>
      </c>
      <c r="G880" s="12">
        <f>IF(BANK_RAW!A880="","",IFERROR(BANK_RAW!F880,0))</f>
        <v/>
      </c>
      <c r="H880" s="11">
        <f>IF(BANK_RAW!A880="","",IF(E880&gt;0,"CR",IF(F880&gt;0,"DR","CR")))</f>
        <v/>
      </c>
      <c r="I880" s="12">
        <f>IF(BANK_RAW!A880="","",E880-F880)</f>
        <v/>
      </c>
      <c r="J880" s="12">
        <f>IF(BANK_RAW!A880="","",ABS(I880))</f>
        <v/>
      </c>
      <c r="K880" s="11">
        <f>IF(BANK_RAW!A880="","",IF(H880="CR","IN","OUT"))</f>
        <v/>
      </c>
      <c r="L880" s="11" t="inlineStr"/>
      <c r="M880" s="11" t="inlineStr"/>
    </row>
    <row r="881">
      <c r="A881" s="13">
        <f>IF(BANK_RAW!A881="","",ROW()-1)</f>
        <v/>
      </c>
      <c r="B881" s="10">
        <f>IF(BANK_RAW!A881="","",IF(ISNUMBER(BANK_RAW!A881),BANK_RAW!A881,DATEVALUE(TEXT(BANK_RAW!A881,"YYYY-MM-DD"))))</f>
        <v/>
      </c>
      <c r="C881" s="11">
        <f>IF(BANK_RAW!A881="","",TRIM(BANK_RAW!B881))</f>
        <v/>
      </c>
      <c r="D881" s="11">
        <f>IF(BANK_RAW!A881="","",TRIM(BANK_RAW!C881))</f>
        <v/>
      </c>
      <c r="E881" s="12">
        <f>IF(BANK_RAW!A881="","",IFERROR(ABS(BANK_RAW!D881),0))</f>
        <v/>
      </c>
      <c r="F881" s="12">
        <f>IF(BANK_RAW!A881="","",IFERROR(ABS(BANK_RAW!E881),0))</f>
        <v/>
      </c>
      <c r="G881" s="12">
        <f>IF(BANK_RAW!A881="","",IFERROR(BANK_RAW!F881,0))</f>
        <v/>
      </c>
      <c r="H881" s="11">
        <f>IF(BANK_RAW!A881="","",IF(E881&gt;0,"CR",IF(F881&gt;0,"DR","CR")))</f>
        <v/>
      </c>
      <c r="I881" s="12">
        <f>IF(BANK_RAW!A881="","",E881-F881)</f>
        <v/>
      </c>
      <c r="J881" s="12">
        <f>IF(BANK_RAW!A881="","",ABS(I881))</f>
        <v/>
      </c>
      <c r="K881" s="11">
        <f>IF(BANK_RAW!A881="","",IF(H881="CR","IN","OUT"))</f>
        <v/>
      </c>
      <c r="L881" s="11" t="inlineStr"/>
      <c r="M881" s="11" t="inlineStr"/>
    </row>
    <row r="882">
      <c r="A882" s="13">
        <f>IF(BANK_RAW!A882="","",ROW()-1)</f>
        <v/>
      </c>
      <c r="B882" s="10">
        <f>IF(BANK_RAW!A882="","",IF(ISNUMBER(BANK_RAW!A882),BANK_RAW!A882,DATEVALUE(TEXT(BANK_RAW!A882,"YYYY-MM-DD"))))</f>
        <v/>
      </c>
      <c r="C882" s="11">
        <f>IF(BANK_RAW!A882="","",TRIM(BANK_RAW!B882))</f>
        <v/>
      </c>
      <c r="D882" s="11">
        <f>IF(BANK_RAW!A882="","",TRIM(BANK_RAW!C882))</f>
        <v/>
      </c>
      <c r="E882" s="12">
        <f>IF(BANK_RAW!A882="","",IFERROR(ABS(BANK_RAW!D882),0))</f>
        <v/>
      </c>
      <c r="F882" s="12">
        <f>IF(BANK_RAW!A882="","",IFERROR(ABS(BANK_RAW!E882),0))</f>
        <v/>
      </c>
      <c r="G882" s="12">
        <f>IF(BANK_RAW!A882="","",IFERROR(BANK_RAW!F882,0))</f>
        <v/>
      </c>
      <c r="H882" s="11">
        <f>IF(BANK_RAW!A882="","",IF(E882&gt;0,"CR",IF(F882&gt;0,"DR","CR")))</f>
        <v/>
      </c>
      <c r="I882" s="12">
        <f>IF(BANK_RAW!A882="","",E882-F882)</f>
        <v/>
      </c>
      <c r="J882" s="12">
        <f>IF(BANK_RAW!A882="","",ABS(I882))</f>
        <v/>
      </c>
      <c r="K882" s="11">
        <f>IF(BANK_RAW!A882="","",IF(H882="CR","IN","OUT"))</f>
        <v/>
      </c>
      <c r="L882" s="11" t="inlineStr"/>
      <c r="M882" s="11" t="inlineStr"/>
    </row>
    <row r="883">
      <c r="A883" s="13">
        <f>IF(BANK_RAW!A883="","",ROW()-1)</f>
        <v/>
      </c>
      <c r="B883" s="10">
        <f>IF(BANK_RAW!A883="","",IF(ISNUMBER(BANK_RAW!A883),BANK_RAW!A883,DATEVALUE(TEXT(BANK_RAW!A883,"YYYY-MM-DD"))))</f>
        <v/>
      </c>
      <c r="C883" s="11">
        <f>IF(BANK_RAW!A883="","",TRIM(BANK_RAW!B883))</f>
        <v/>
      </c>
      <c r="D883" s="11">
        <f>IF(BANK_RAW!A883="","",TRIM(BANK_RAW!C883))</f>
        <v/>
      </c>
      <c r="E883" s="12">
        <f>IF(BANK_RAW!A883="","",IFERROR(ABS(BANK_RAW!D883),0))</f>
        <v/>
      </c>
      <c r="F883" s="12">
        <f>IF(BANK_RAW!A883="","",IFERROR(ABS(BANK_RAW!E883),0))</f>
        <v/>
      </c>
      <c r="G883" s="12">
        <f>IF(BANK_RAW!A883="","",IFERROR(BANK_RAW!F883,0))</f>
        <v/>
      </c>
      <c r="H883" s="11">
        <f>IF(BANK_RAW!A883="","",IF(E883&gt;0,"CR",IF(F883&gt;0,"DR","CR")))</f>
        <v/>
      </c>
      <c r="I883" s="12">
        <f>IF(BANK_RAW!A883="","",E883-F883)</f>
        <v/>
      </c>
      <c r="J883" s="12">
        <f>IF(BANK_RAW!A883="","",ABS(I883))</f>
        <v/>
      </c>
      <c r="K883" s="11">
        <f>IF(BANK_RAW!A883="","",IF(H883="CR","IN","OUT"))</f>
        <v/>
      </c>
      <c r="L883" s="11" t="inlineStr"/>
      <c r="M883" s="11" t="inlineStr"/>
    </row>
    <row r="884">
      <c r="A884" s="13">
        <f>IF(BANK_RAW!A884="","",ROW()-1)</f>
        <v/>
      </c>
      <c r="B884" s="10">
        <f>IF(BANK_RAW!A884="","",IF(ISNUMBER(BANK_RAW!A884),BANK_RAW!A884,DATEVALUE(TEXT(BANK_RAW!A884,"YYYY-MM-DD"))))</f>
        <v/>
      </c>
      <c r="C884" s="11">
        <f>IF(BANK_RAW!A884="","",TRIM(BANK_RAW!B884))</f>
        <v/>
      </c>
      <c r="D884" s="11">
        <f>IF(BANK_RAW!A884="","",TRIM(BANK_RAW!C884))</f>
        <v/>
      </c>
      <c r="E884" s="12">
        <f>IF(BANK_RAW!A884="","",IFERROR(ABS(BANK_RAW!D884),0))</f>
        <v/>
      </c>
      <c r="F884" s="12">
        <f>IF(BANK_RAW!A884="","",IFERROR(ABS(BANK_RAW!E884),0))</f>
        <v/>
      </c>
      <c r="G884" s="12">
        <f>IF(BANK_RAW!A884="","",IFERROR(BANK_RAW!F884,0))</f>
        <v/>
      </c>
      <c r="H884" s="11">
        <f>IF(BANK_RAW!A884="","",IF(E884&gt;0,"CR",IF(F884&gt;0,"DR","CR")))</f>
        <v/>
      </c>
      <c r="I884" s="12">
        <f>IF(BANK_RAW!A884="","",E884-F884)</f>
        <v/>
      </c>
      <c r="J884" s="12">
        <f>IF(BANK_RAW!A884="","",ABS(I884))</f>
        <v/>
      </c>
      <c r="K884" s="11">
        <f>IF(BANK_RAW!A884="","",IF(H884="CR","IN","OUT"))</f>
        <v/>
      </c>
      <c r="L884" s="11" t="inlineStr"/>
      <c r="M884" s="11" t="inlineStr"/>
    </row>
    <row r="885">
      <c r="A885" s="13">
        <f>IF(BANK_RAW!A885="","",ROW()-1)</f>
        <v/>
      </c>
      <c r="B885" s="10">
        <f>IF(BANK_RAW!A885="","",IF(ISNUMBER(BANK_RAW!A885),BANK_RAW!A885,DATEVALUE(TEXT(BANK_RAW!A885,"YYYY-MM-DD"))))</f>
        <v/>
      </c>
      <c r="C885" s="11">
        <f>IF(BANK_RAW!A885="","",TRIM(BANK_RAW!B885))</f>
        <v/>
      </c>
      <c r="D885" s="11">
        <f>IF(BANK_RAW!A885="","",TRIM(BANK_RAW!C885))</f>
        <v/>
      </c>
      <c r="E885" s="12">
        <f>IF(BANK_RAW!A885="","",IFERROR(ABS(BANK_RAW!D885),0))</f>
        <v/>
      </c>
      <c r="F885" s="12">
        <f>IF(BANK_RAW!A885="","",IFERROR(ABS(BANK_RAW!E885),0))</f>
        <v/>
      </c>
      <c r="G885" s="12">
        <f>IF(BANK_RAW!A885="","",IFERROR(BANK_RAW!F885,0))</f>
        <v/>
      </c>
      <c r="H885" s="11">
        <f>IF(BANK_RAW!A885="","",IF(E885&gt;0,"CR",IF(F885&gt;0,"DR","CR")))</f>
        <v/>
      </c>
      <c r="I885" s="12">
        <f>IF(BANK_RAW!A885="","",E885-F885)</f>
        <v/>
      </c>
      <c r="J885" s="12">
        <f>IF(BANK_RAW!A885="","",ABS(I885))</f>
        <v/>
      </c>
      <c r="K885" s="11">
        <f>IF(BANK_RAW!A885="","",IF(H885="CR","IN","OUT"))</f>
        <v/>
      </c>
      <c r="L885" s="11" t="inlineStr"/>
      <c r="M885" s="11" t="inlineStr"/>
    </row>
    <row r="886">
      <c r="A886" s="13">
        <f>IF(BANK_RAW!A886="","",ROW()-1)</f>
        <v/>
      </c>
      <c r="B886" s="10">
        <f>IF(BANK_RAW!A886="","",IF(ISNUMBER(BANK_RAW!A886),BANK_RAW!A886,DATEVALUE(TEXT(BANK_RAW!A886,"YYYY-MM-DD"))))</f>
        <v/>
      </c>
      <c r="C886" s="11">
        <f>IF(BANK_RAW!A886="","",TRIM(BANK_RAW!B886))</f>
        <v/>
      </c>
      <c r="D886" s="11">
        <f>IF(BANK_RAW!A886="","",TRIM(BANK_RAW!C886))</f>
        <v/>
      </c>
      <c r="E886" s="12">
        <f>IF(BANK_RAW!A886="","",IFERROR(ABS(BANK_RAW!D886),0))</f>
        <v/>
      </c>
      <c r="F886" s="12">
        <f>IF(BANK_RAW!A886="","",IFERROR(ABS(BANK_RAW!E886),0))</f>
        <v/>
      </c>
      <c r="G886" s="12">
        <f>IF(BANK_RAW!A886="","",IFERROR(BANK_RAW!F886,0))</f>
        <v/>
      </c>
      <c r="H886" s="11">
        <f>IF(BANK_RAW!A886="","",IF(E886&gt;0,"CR",IF(F886&gt;0,"DR","CR")))</f>
        <v/>
      </c>
      <c r="I886" s="12">
        <f>IF(BANK_RAW!A886="","",E886-F886)</f>
        <v/>
      </c>
      <c r="J886" s="12">
        <f>IF(BANK_RAW!A886="","",ABS(I886))</f>
        <v/>
      </c>
      <c r="K886" s="11">
        <f>IF(BANK_RAW!A886="","",IF(H886="CR","IN","OUT"))</f>
        <v/>
      </c>
      <c r="L886" s="11" t="inlineStr"/>
      <c r="M886" s="11" t="inlineStr"/>
    </row>
    <row r="887">
      <c r="A887" s="13">
        <f>IF(BANK_RAW!A887="","",ROW()-1)</f>
        <v/>
      </c>
      <c r="B887" s="10">
        <f>IF(BANK_RAW!A887="","",IF(ISNUMBER(BANK_RAW!A887),BANK_RAW!A887,DATEVALUE(TEXT(BANK_RAW!A887,"YYYY-MM-DD"))))</f>
        <v/>
      </c>
      <c r="C887" s="11">
        <f>IF(BANK_RAW!A887="","",TRIM(BANK_RAW!B887))</f>
        <v/>
      </c>
      <c r="D887" s="11">
        <f>IF(BANK_RAW!A887="","",TRIM(BANK_RAW!C887))</f>
        <v/>
      </c>
      <c r="E887" s="12">
        <f>IF(BANK_RAW!A887="","",IFERROR(ABS(BANK_RAW!D887),0))</f>
        <v/>
      </c>
      <c r="F887" s="12">
        <f>IF(BANK_RAW!A887="","",IFERROR(ABS(BANK_RAW!E887),0))</f>
        <v/>
      </c>
      <c r="G887" s="12">
        <f>IF(BANK_RAW!A887="","",IFERROR(BANK_RAW!F887,0))</f>
        <v/>
      </c>
      <c r="H887" s="11">
        <f>IF(BANK_RAW!A887="","",IF(E887&gt;0,"CR",IF(F887&gt;0,"DR","CR")))</f>
        <v/>
      </c>
      <c r="I887" s="12">
        <f>IF(BANK_RAW!A887="","",E887-F887)</f>
        <v/>
      </c>
      <c r="J887" s="12">
        <f>IF(BANK_RAW!A887="","",ABS(I887))</f>
        <v/>
      </c>
      <c r="K887" s="11">
        <f>IF(BANK_RAW!A887="","",IF(H887="CR","IN","OUT"))</f>
        <v/>
      </c>
      <c r="L887" s="11" t="inlineStr"/>
      <c r="M887" s="11" t="inlineStr"/>
    </row>
    <row r="888">
      <c r="A888" s="13">
        <f>IF(BANK_RAW!A888="","",ROW()-1)</f>
        <v/>
      </c>
      <c r="B888" s="10">
        <f>IF(BANK_RAW!A888="","",IF(ISNUMBER(BANK_RAW!A888),BANK_RAW!A888,DATEVALUE(TEXT(BANK_RAW!A888,"YYYY-MM-DD"))))</f>
        <v/>
      </c>
      <c r="C888" s="11">
        <f>IF(BANK_RAW!A888="","",TRIM(BANK_RAW!B888))</f>
        <v/>
      </c>
      <c r="D888" s="11">
        <f>IF(BANK_RAW!A888="","",TRIM(BANK_RAW!C888))</f>
        <v/>
      </c>
      <c r="E888" s="12">
        <f>IF(BANK_RAW!A888="","",IFERROR(ABS(BANK_RAW!D888),0))</f>
        <v/>
      </c>
      <c r="F888" s="12">
        <f>IF(BANK_RAW!A888="","",IFERROR(ABS(BANK_RAW!E888),0))</f>
        <v/>
      </c>
      <c r="G888" s="12">
        <f>IF(BANK_RAW!A888="","",IFERROR(BANK_RAW!F888,0))</f>
        <v/>
      </c>
      <c r="H888" s="11">
        <f>IF(BANK_RAW!A888="","",IF(E888&gt;0,"CR",IF(F888&gt;0,"DR","CR")))</f>
        <v/>
      </c>
      <c r="I888" s="12">
        <f>IF(BANK_RAW!A888="","",E888-F888)</f>
        <v/>
      </c>
      <c r="J888" s="12">
        <f>IF(BANK_RAW!A888="","",ABS(I888))</f>
        <v/>
      </c>
      <c r="K888" s="11">
        <f>IF(BANK_RAW!A888="","",IF(H888="CR","IN","OUT"))</f>
        <v/>
      </c>
      <c r="L888" s="11" t="inlineStr"/>
      <c r="M888" s="11" t="inlineStr"/>
    </row>
    <row r="889">
      <c r="A889" s="13">
        <f>IF(BANK_RAW!A889="","",ROW()-1)</f>
        <v/>
      </c>
      <c r="B889" s="10">
        <f>IF(BANK_RAW!A889="","",IF(ISNUMBER(BANK_RAW!A889),BANK_RAW!A889,DATEVALUE(TEXT(BANK_RAW!A889,"YYYY-MM-DD"))))</f>
        <v/>
      </c>
      <c r="C889" s="11">
        <f>IF(BANK_RAW!A889="","",TRIM(BANK_RAW!B889))</f>
        <v/>
      </c>
      <c r="D889" s="11">
        <f>IF(BANK_RAW!A889="","",TRIM(BANK_RAW!C889))</f>
        <v/>
      </c>
      <c r="E889" s="12">
        <f>IF(BANK_RAW!A889="","",IFERROR(ABS(BANK_RAW!D889),0))</f>
        <v/>
      </c>
      <c r="F889" s="12">
        <f>IF(BANK_RAW!A889="","",IFERROR(ABS(BANK_RAW!E889),0))</f>
        <v/>
      </c>
      <c r="G889" s="12">
        <f>IF(BANK_RAW!A889="","",IFERROR(BANK_RAW!F889,0))</f>
        <v/>
      </c>
      <c r="H889" s="11">
        <f>IF(BANK_RAW!A889="","",IF(E889&gt;0,"CR",IF(F889&gt;0,"DR","CR")))</f>
        <v/>
      </c>
      <c r="I889" s="12">
        <f>IF(BANK_RAW!A889="","",E889-F889)</f>
        <v/>
      </c>
      <c r="J889" s="12">
        <f>IF(BANK_RAW!A889="","",ABS(I889))</f>
        <v/>
      </c>
      <c r="K889" s="11">
        <f>IF(BANK_RAW!A889="","",IF(H889="CR","IN","OUT"))</f>
        <v/>
      </c>
      <c r="L889" s="11" t="inlineStr"/>
      <c r="M889" s="11" t="inlineStr"/>
    </row>
    <row r="890">
      <c r="A890" s="13">
        <f>IF(BANK_RAW!A890="","",ROW()-1)</f>
        <v/>
      </c>
      <c r="B890" s="10">
        <f>IF(BANK_RAW!A890="","",IF(ISNUMBER(BANK_RAW!A890),BANK_RAW!A890,DATEVALUE(TEXT(BANK_RAW!A890,"YYYY-MM-DD"))))</f>
        <v/>
      </c>
      <c r="C890" s="11">
        <f>IF(BANK_RAW!A890="","",TRIM(BANK_RAW!B890))</f>
        <v/>
      </c>
      <c r="D890" s="11">
        <f>IF(BANK_RAW!A890="","",TRIM(BANK_RAW!C890))</f>
        <v/>
      </c>
      <c r="E890" s="12">
        <f>IF(BANK_RAW!A890="","",IFERROR(ABS(BANK_RAW!D890),0))</f>
        <v/>
      </c>
      <c r="F890" s="12">
        <f>IF(BANK_RAW!A890="","",IFERROR(ABS(BANK_RAW!E890),0))</f>
        <v/>
      </c>
      <c r="G890" s="12">
        <f>IF(BANK_RAW!A890="","",IFERROR(BANK_RAW!F890,0))</f>
        <v/>
      </c>
      <c r="H890" s="11">
        <f>IF(BANK_RAW!A890="","",IF(E890&gt;0,"CR",IF(F890&gt;0,"DR","CR")))</f>
        <v/>
      </c>
      <c r="I890" s="12">
        <f>IF(BANK_RAW!A890="","",E890-F890)</f>
        <v/>
      </c>
      <c r="J890" s="12">
        <f>IF(BANK_RAW!A890="","",ABS(I890))</f>
        <v/>
      </c>
      <c r="K890" s="11">
        <f>IF(BANK_RAW!A890="","",IF(H890="CR","IN","OUT"))</f>
        <v/>
      </c>
      <c r="L890" s="11" t="inlineStr"/>
      <c r="M890" s="11" t="inlineStr"/>
    </row>
    <row r="891">
      <c r="A891" s="13">
        <f>IF(BANK_RAW!A891="","",ROW()-1)</f>
        <v/>
      </c>
      <c r="B891" s="10">
        <f>IF(BANK_RAW!A891="","",IF(ISNUMBER(BANK_RAW!A891),BANK_RAW!A891,DATEVALUE(TEXT(BANK_RAW!A891,"YYYY-MM-DD"))))</f>
        <v/>
      </c>
      <c r="C891" s="11">
        <f>IF(BANK_RAW!A891="","",TRIM(BANK_RAW!B891))</f>
        <v/>
      </c>
      <c r="D891" s="11">
        <f>IF(BANK_RAW!A891="","",TRIM(BANK_RAW!C891))</f>
        <v/>
      </c>
      <c r="E891" s="12">
        <f>IF(BANK_RAW!A891="","",IFERROR(ABS(BANK_RAW!D891),0))</f>
        <v/>
      </c>
      <c r="F891" s="12">
        <f>IF(BANK_RAW!A891="","",IFERROR(ABS(BANK_RAW!E891),0))</f>
        <v/>
      </c>
      <c r="G891" s="12">
        <f>IF(BANK_RAW!A891="","",IFERROR(BANK_RAW!F891,0))</f>
        <v/>
      </c>
      <c r="H891" s="11">
        <f>IF(BANK_RAW!A891="","",IF(E891&gt;0,"CR",IF(F891&gt;0,"DR","CR")))</f>
        <v/>
      </c>
      <c r="I891" s="12">
        <f>IF(BANK_RAW!A891="","",E891-F891)</f>
        <v/>
      </c>
      <c r="J891" s="12">
        <f>IF(BANK_RAW!A891="","",ABS(I891))</f>
        <v/>
      </c>
      <c r="K891" s="11">
        <f>IF(BANK_RAW!A891="","",IF(H891="CR","IN","OUT"))</f>
        <v/>
      </c>
      <c r="L891" s="11" t="inlineStr"/>
      <c r="M891" s="11" t="inlineStr"/>
    </row>
    <row r="892">
      <c r="A892" s="13">
        <f>IF(BANK_RAW!A892="","",ROW()-1)</f>
        <v/>
      </c>
      <c r="B892" s="10">
        <f>IF(BANK_RAW!A892="","",IF(ISNUMBER(BANK_RAW!A892),BANK_RAW!A892,DATEVALUE(TEXT(BANK_RAW!A892,"YYYY-MM-DD"))))</f>
        <v/>
      </c>
      <c r="C892" s="11">
        <f>IF(BANK_RAW!A892="","",TRIM(BANK_RAW!B892))</f>
        <v/>
      </c>
      <c r="D892" s="11">
        <f>IF(BANK_RAW!A892="","",TRIM(BANK_RAW!C892))</f>
        <v/>
      </c>
      <c r="E892" s="12">
        <f>IF(BANK_RAW!A892="","",IFERROR(ABS(BANK_RAW!D892),0))</f>
        <v/>
      </c>
      <c r="F892" s="12">
        <f>IF(BANK_RAW!A892="","",IFERROR(ABS(BANK_RAW!E892),0))</f>
        <v/>
      </c>
      <c r="G892" s="12">
        <f>IF(BANK_RAW!A892="","",IFERROR(BANK_RAW!F892,0))</f>
        <v/>
      </c>
      <c r="H892" s="11">
        <f>IF(BANK_RAW!A892="","",IF(E892&gt;0,"CR",IF(F892&gt;0,"DR","CR")))</f>
        <v/>
      </c>
      <c r="I892" s="12">
        <f>IF(BANK_RAW!A892="","",E892-F892)</f>
        <v/>
      </c>
      <c r="J892" s="12">
        <f>IF(BANK_RAW!A892="","",ABS(I892))</f>
        <v/>
      </c>
      <c r="K892" s="11">
        <f>IF(BANK_RAW!A892="","",IF(H892="CR","IN","OUT"))</f>
        <v/>
      </c>
      <c r="L892" s="11" t="inlineStr"/>
      <c r="M892" s="11" t="inlineStr"/>
    </row>
    <row r="893">
      <c r="A893" s="13">
        <f>IF(BANK_RAW!A893="","",ROW()-1)</f>
        <v/>
      </c>
      <c r="B893" s="10">
        <f>IF(BANK_RAW!A893="","",IF(ISNUMBER(BANK_RAW!A893),BANK_RAW!A893,DATEVALUE(TEXT(BANK_RAW!A893,"YYYY-MM-DD"))))</f>
        <v/>
      </c>
      <c r="C893" s="11">
        <f>IF(BANK_RAW!A893="","",TRIM(BANK_RAW!B893))</f>
        <v/>
      </c>
      <c r="D893" s="11">
        <f>IF(BANK_RAW!A893="","",TRIM(BANK_RAW!C893))</f>
        <v/>
      </c>
      <c r="E893" s="12">
        <f>IF(BANK_RAW!A893="","",IFERROR(ABS(BANK_RAW!D893),0))</f>
        <v/>
      </c>
      <c r="F893" s="12">
        <f>IF(BANK_RAW!A893="","",IFERROR(ABS(BANK_RAW!E893),0))</f>
        <v/>
      </c>
      <c r="G893" s="12">
        <f>IF(BANK_RAW!A893="","",IFERROR(BANK_RAW!F893,0))</f>
        <v/>
      </c>
      <c r="H893" s="11">
        <f>IF(BANK_RAW!A893="","",IF(E893&gt;0,"CR",IF(F893&gt;0,"DR","CR")))</f>
        <v/>
      </c>
      <c r="I893" s="12">
        <f>IF(BANK_RAW!A893="","",E893-F893)</f>
        <v/>
      </c>
      <c r="J893" s="12">
        <f>IF(BANK_RAW!A893="","",ABS(I893))</f>
        <v/>
      </c>
      <c r="K893" s="11">
        <f>IF(BANK_RAW!A893="","",IF(H893="CR","IN","OUT"))</f>
        <v/>
      </c>
      <c r="L893" s="11" t="inlineStr"/>
      <c r="M893" s="11" t="inlineStr"/>
    </row>
    <row r="894">
      <c r="A894" s="13">
        <f>IF(BANK_RAW!A894="","",ROW()-1)</f>
        <v/>
      </c>
      <c r="B894" s="10">
        <f>IF(BANK_RAW!A894="","",IF(ISNUMBER(BANK_RAW!A894),BANK_RAW!A894,DATEVALUE(TEXT(BANK_RAW!A894,"YYYY-MM-DD"))))</f>
        <v/>
      </c>
      <c r="C894" s="11">
        <f>IF(BANK_RAW!A894="","",TRIM(BANK_RAW!B894))</f>
        <v/>
      </c>
      <c r="D894" s="11">
        <f>IF(BANK_RAW!A894="","",TRIM(BANK_RAW!C894))</f>
        <v/>
      </c>
      <c r="E894" s="12">
        <f>IF(BANK_RAW!A894="","",IFERROR(ABS(BANK_RAW!D894),0))</f>
        <v/>
      </c>
      <c r="F894" s="12">
        <f>IF(BANK_RAW!A894="","",IFERROR(ABS(BANK_RAW!E894),0))</f>
        <v/>
      </c>
      <c r="G894" s="12">
        <f>IF(BANK_RAW!A894="","",IFERROR(BANK_RAW!F894,0))</f>
        <v/>
      </c>
      <c r="H894" s="11">
        <f>IF(BANK_RAW!A894="","",IF(E894&gt;0,"CR",IF(F894&gt;0,"DR","CR")))</f>
        <v/>
      </c>
      <c r="I894" s="12">
        <f>IF(BANK_RAW!A894="","",E894-F894)</f>
        <v/>
      </c>
      <c r="J894" s="12">
        <f>IF(BANK_RAW!A894="","",ABS(I894))</f>
        <v/>
      </c>
      <c r="K894" s="11">
        <f>IF(BANK_RAW!A894="","",IF(H894="CR","IN","OUT"))</f>
        <v/>
      </c>
      <c r="L894" s="11" t="inlineStr"/>
      <c r="M894" s="11" t="inlineStr"/>
    </row>
    <row r="895">
      <c r="A895" s="13">
        <f>IF(BANK_RAW!A895="","",ROW()-1)</f>
        <v/>
      </c>
      <c r="B895" s="10">
        <f>IF(BANK_RAW!A895="","",IF(ISNUMBER(BANK_RAW!A895),BANK_RAW!A895,DATEVALUE(TEXT(BANK_RAW!A895,"YYYY-MM-DD"))))</f>
        <v/>
      </c>
      <c r="C895" s="11">
        <f>IF(BANK_RAW!A895="","",TRIM(BANK_RAW!B895))</f>
        <v/>
      </c>
      <c r="D895" s="11">
        <f>IF(BANK_RAW!A895="","",TRIM(BANK_RAW!C895))</f>
        <v/>
      </c>
      <c r="E895" s="12">
        <f>IF(BANK_RAW!A895="","",IFERROR(ABS(BANK_RAW!D895),0))</f>
        <v/>
      </c>
      <c r="F895" s="12">
        <f>IF(BANK_RAW!A895="","",IFERROR(ABS(BANK_RAW!E895),0))</f>
        <v/>
      </c>
      <c r="G895" s="12">
        <f>IF(BANK_RAW!A895="","",IFERROR(BANK_RAW!F895,0))</f>
        <v/>
      </c>
      <c r="H895" s="11">
        <f>IF(BANK_RAW!A895="","",IF(E895&gt;0,"CR",IF(F895&gt;0,"DR","CR")))</f>
        <v/>
      </c>
      <c r="I895" s="12">
        <f>IF(BANK_RAW!A895="","",E895-F895)</f>
        <v/>
      </c>
      <c r="J895" s="12">
        <f>IF(BANK_RAW!A895="","",ABS(I895))</f>
        <v/>
      </c>
      <c r="K895" s="11">
        <f>IF(BANK_RAW!A895="","",IF(H895="CR","IN","OUT"))</f>
        <v/>
      </c>
      <c r="L895" s="11" t="inlineStr"/>
      <c r="M895" s="11" t="inlineStr"/>
    </row>
    <row r="896">
      <c r="A896" s="13">
        <f>IF(BANK_RAW!A896="","",ROW()-1)</f>
        <v/>
      </c>
      <c r="B896" s="10">
        <f>IF(BANK_RAW!A896="","",IF(ISNUMBER(BANK_RAW!A896),BANK_RAW!A896,DATEVALUE(TEXT(BANK_RAW!A896,"YYYY-MM-DD"))))</f>
        <v/>
      </c>
      <c r="C896" s="11">
        <f>IF(BANK_RAW!A896="","",TRIM(BANK_RAW!B896))</f>
        <v/>
      </c>
      <c r="D896" s="11">
        <f>IF(BANK_RAW!A896="","",TRIM(BANK_RAW!C896))</f>
        <v/>
      </c>
      <c r="E896" s="12">
        <f>IF(BANK_RAW!A896="","",IFERROR(ABS(BANK_RAW!D896),0))</f>
        <v/>
      </c>
      <c r="F896" s="12">
        <f>IF(BANK_RAW!A896="","",IFERROR(ABS(BANK_RAW!E896),0))</f>
        <v/>
      </c>
      <c r="G896" s="12">
        <f>IF(BANK_RAW!A896="","",IFERROR(BANK_RAW!F896,0))</f>
        <v/>
      </c>
      <c r="H896" s="11">
        <f>IF(BANK_RAW!A896="","",IF(E896&gt;0,"CR",IF(F896&gt;0,"DR","CR")))</f>
        <v/>
      </c>
      <c r="I896" s="12">
        <f>IF(BANK_RAW!A896="","",E896-F896)</f>
        <v/>
      </c>
      <c r="J896" s="12">
        <f>IF(BANK_RAW!A896="","",ABS(I896))</f>
        <v/>
      </c>
      <c r="K896" s="11">
        <f>IF(BANK_RAW!A896="","",IF(H896="CR","IN","OUT"))</f>
        <v/>
      </c>
      <c r="L896" s="11" t="inlineStr"/>
      <c r="M896" s="11" t="inlineStr"/>
    </row>
    <row r="897">
      <c r="A897" s="13">
        <f>IF(BANK_RAW!A897="","",ROW()-1)</f>
        <v/>
      </c>
      <c r="B897" s="10">
        <f>IF(BANK_RAW!A897="","",IF(ISNUMBER(BANK_RAW!A897),BANK_RAW!A897,DATEVALUE(TEXT(BANK_RAW!A897,"YYYY-MM-DD"))))</f>
        <v/>
      </c>
      <c r="C897" s="11">
        <f>IF(BANK_RAW!A897="","",TRIM(BANK_RAW!B897))</f>
        <v/>
      </c>
      <c r="D897" s="11">
        <f>IF(BANK_RAW!A897="","",TRIM(BANK_RAW!C897))</f>
        <v/>
      </c>
      <c r="E897" s="12">
        <f>IF(BANK_RAW!A897="","",IFERROR(ABS(BANK_RAW!D897),0))</f>
        <v/>
      </c>
      <c r="F897" s="12">
        <f>IF(BANK_RAW!A897="","",IFERROR(ABS(BANK_RAW!E897),0))</f>
        <v/>
      </c>
      <c r="G897" s="12">
        <f>IF(BANK_RAW!A897="","",IFERROR(BANK_RAW!F897,0))</f>
        <v/>
      </c>
      <c r="H897" s="11">
        <f>IF(BANK_RAW!A897="","",IF(E897&gt;0,"CR",IF(F897&gt;0,"DR","CR")))</f>
        <v/>
      </c>
      <c r="I897" s="12">
        <f>IF(BANK_RAW!A897="","",E897-F897)</f>
        <v/>
      </c>
      <c r="J897" s="12">
        <f>IF(BANK_RAW!A897="","",ABS(I897))</f>
        <v/>
      </c>
      <c r="K897" s="11">
        <f>IF(BANK_RAW!A897="","",IF(H897="CR","IN","OUT"))</f>
        <v/>
      </c>
      <c r="L897" s="11" t="inlineStr"/>
      <c r="M897" s="11" t="inlineStr"/>
    </row>
    <row r="898">
      <c r="A898" s="13">
        <f>IF(BANK_RAW!A898="","",ROW()-1)</f>
        <v/>
      </c>
      <c r="B898" s="10">
        <f>IF(BANK_RAW!A898="","",IF(ISNUMBER(BANK_RAW!A898),BANK_RAW!A898,DATEVALUE(TEXT(BANK_RAW!A898,"YYYY-MM-DD"))))</f>
        <v/>
      </c>
      <c r="C898" s="11">
        <f>IF(BANK_RAW!A898="","",TRIM(BANK_RAW!B898))</f>
        <v/>
      </c>
      <c r="D898" s="11">
        <f>IF(BANK_RAW!A898="","",TRIM(BANK_RAW!C898))</f>
        <v/>
      </c>
      <c r="E898" s="12">
        <f>IF(BANK_RAW!A898="","",IFERROR(ABS(BANK_RAW!D898),0))</f>
        <v/>
      </c>
      <c r="F898" s="12">
        <f>IF(BANK_RAW!A898="","",IFERROR(ABS(BANK_RAW!E898),0))</f>
        <v/>
      </c>
      <c r="G898" s="12">
        <f>IF(BANK_RAW!A898="","",IFERROR(BANK_RAW!F898,0))</f>
        <v/>
      </c>
      <c r="H898" s="11">
        <f>IF(BANK_RAW!A898="","",IF(E898&gt;0,"CR",IF(F898&gt;0,"DR","CR")))</f>
        <v/>
      </c>
      <c r="I898" s="12">
        <f>IF(BANK_RAW!A898="","",E898-F898)</f>
        <v/>
      </c>
      <c r="J898" s="12">
        <f>IF(BANK_RAW!A898="","",ABS(I898))</f>
        <v/>
      </c>
      <c r="K898" s="11">
        <f>IF(BANK_RAW!A898="","",IF(H898="CR","IN","OUT"))</f>
        <v/>
      </c>
      <c r="L898" s="11" t="inlineStr"/>
      <c r="M898" s="11" t="inlineStr"/>
    </row>
    <row r="899">
      <c r="A899" s="13">
        <f>IF(BANK_RAW!A899="","",ROW()-1)</f>
        <v/>
      </c>
      <c r="B899" s="10">
        <f>IF(BANK_RAW!A899="","",IF(ISNUMBER(BANK_RAW!A899),BANK_RAW!A899,DATEVALUE(TEXT(BANK_RAW!A899,"YYYY-MM-DD"))))</f>
        <v/>
      </c>
      <c r="C899" s="11">
        <f>IF(BANK_RAW!A899="","",TRIM(BANK_RAW!B899))</f>
        <v/>
      </c>
      <c r="D899" s="11">
        <f>IF(BANK_RAW!A899="","",TRIM(BANK_RAW!C899))</f>
        <v/>
      </c>
      <c r="E899" s="12">
        <f>IF(BANK_RAW!A899="","",IFERROR(ABS(BANK_RAW!D899),0))</f>
        <v/>
      </c>
      <c r="F899" s="12">
        <f>IF(BANK_RAW!A899="","",IFERROR(ABS(BANK_RAW!E899),0))</f>
        <v/>
      </c>
      <c r="G899" s="12">
        <f>IF(BANK_RAW!A899="","",IFERROR(BANK_RAW!F899,0))</f>
        <v/>
      </c>
      <c r="H899" s="11">
        <f>IF(BANK_RAW!A899="","",IF(E899&gt;0,"CR",IF(F899&gt;0,"DR","CR")))</f>
        <v/>
      </c>
      <c r="I899" s="12">
        <f>IF(BANK_RAW!A899="","",E899-F899)</f>
        <v/>
      </c>
      <c r="J899" s="12">
        <f>IF(BANK_RAW!A899="","",ABS(I899))</f>
        <v/>
      </c>
      <c r="K899" s="11">
        <f>IF(BANK_RAW!A899="","",IF(H899="CR","IN","OUT"))</f>
        <v/>
      </c>
      <c r="L899" s="11" t="inlineStr"/>
      <c r="M899" s="11" t="inlineStr"/>
    </row>
    <row r="900">
      <c r="A900" s="13">
        <f>IF(BANK_RAW!A900="","",ROW()-1)</f>
        <v/>
      </c>
      <c r="B900" s="10">
        <f>IF(BANK_RAW!A900="","",IF(ISNUMBER(BANK_RAW!A900),BANK_RAW!A900,DATEVALUE(TEXT(BANK_RAW!A900,"YYYY-MM-DD"))))</f>
        <v/>
      </c>
      <c r="C900" s="11">
        <f>IF(BANK_RAW!A900="","",TRIM(BANK_RAW!B900))</f>
        <v/>
      </c>
      <c r="D900" s="11">
        <f>IF(BANK_RAW!A900="","",TRIM(BANK_RAW!C900))</f>
        <v/>
      </c>
      <c r="E900" s="12">
        <f>IF(BANK_RAW!A900="","",IFERROR(ABS(BANK_RAW!D900),0))</f>
        <v/>
      </c>
      <c r="F900" s="12">
        <f>IF(BANK_RAW!A900="","",IFERROR(ABS(BANK_RAW!E900),0))</f>
        <v/>
      </c>
      <c r="G900" s="12">
        <f>IF(BANK_RAW!A900="","",IFERROR(BANK_RAW!F900,0))</f>
        <v/>
      </c>
      <c r="H900" s="11">
        <f>IF(BANK_RAW!A900="","",IF(E900&gt;0,"CR",IF(F900&gt;0,"DR","CR")))</f>
        <v/>
      </c>
      <c r="I900" s="12">
        <f>IF(BANK_RAW!A900="","",E900-F900)</f>
        <v/>
      </c>
      <c r="J900" s="12">
        <f>IF(BANK_RAW!A900="","",ABS(I900))</f>
        <v/>
      </c>
      <c r="K900" s="11">
        <f>IF(BANK_RAW!A900="","",IF(H900="CR","IN","OUT"))</f>
        <v/>
      </c>
      <c r="L900" s="11" t="inlineStr"/>
      <c r="M900" s="11" t="inlineStr"/>
    </row>
    <row r="901">
      <c r="A901" s="13">
        <f>IF(BANK_RAW!A901="","",ROW()-1)</f>
        <v/>
      </c>
      <c r="B901" s="10">
        <f>IF(BANK_RAW!A901="","",IF(ISNUMBER(BANK_RAW!A901),BANK_RAW!A901,DATEVALUE(TEXT(BANK_RAW!A901,"YYYY-MM-DD"))))</f>
        <v/>
      </c>
      <c r="C901" s="11">
        <f>IF(BANK_RAW!A901="","",TRIM(BANK_RAW!B901))</f>
        <v/>
      </c>
      <c r="D901" s="11">
        <f>IF(BANK_RAW!A901="","",TRIM(BANK_RAW!C901))</f>
        <v/>
      </c>
      <c r="E901" s="12">
        <f>IF(BANK_RAW!A901="","",IFERROR(ABS(BANK_RAW!D901),0))</f>
        <v/>
      </c>
      <c r="F901" s="12">
        <f>IF(BANK_RAW!A901="","",IFERROR(ABS(BANK_RAW!E901),0))</f>
        <v/>
      </c>
      <c r="G901" s="12">
        <f>IF(BANK_RAW!A901="","",IFERROR(BANK_RAW!F901,0))</f>
        <v/>
      </c>
      <c r="H901" s="11">
        <f>IF(BANK_RAW!A901="","",IF(E901&gt;0,"CR",IF(F901&gt;0,"DR","CR")))</f>
        <v/>
      </c>
      <c r="I901" s="12">
        <f>IF(BANK_RAW!A901="","",E901-F901)</f>
        <v/>
      </c>
      <c r="J901" s="12">
        <f>IF(BANK_RAW!A901="","",ABS(I901))</f>
        <v/>
      </c>
      <c r="K901" s="11">
        <f>IF(BANK_RAW!A901="","",IF(H901="CR","IN","OUT"))</f>
        <v/>
      </c>
      <c r="L901" s="11" t="inlineStr"/>
      <c r="M901" s="11" t="inlineStr"/>
    </row>
    <row r="902">
      <c r="A902" s="13">
        <f>IF(BANK_RAW!A902="","",ROW()-1)</f>
        <v/>
      </c>
      <c r="B902" s="10">
        <f>IF(BANK_RAW!A902="","",IF(ISNUMBER(BANK_RAW!A902),BANK_RAW!A902,DATEVALUE(TEXT(BANK_RAW!A902,"YYYY-MM-DD"))))</f>
        <v/>
      </c>
      <c r="C902" s="11">
        <f>IF(BANK_RAW!A902="","",TRIM(BANK_RAW!B902))</f>
        <v/>
      </c>
      <c r="D902" s="11">
        <f>IF(BANK_RAW!A902="","",TRIM(BANK_RAW!C902))</f>
        <v/>
      </c>
      <c r="E902" s="12">
        <f>IF(BANK_RAW!A902="","",IFERROR(ABS(BANK_RAW!D902),0))</f>
        <v/>
      </c>
      <c r="F902" s="12">
        <f>IF(BANK_RAW!A902="","",IFERROR(ABS(BANK_RAW!E902),0))</f>
        <v/>
      </c>
      <c r="G902" s="12">
        <f>IF(BANK_RAW!A902="","",IFERROR(BANK_RAW!F902,0))</f>
        <v/>
      </c>
      <c r="H902" s="11">
        <f>IF(BANK_RAW!A902="","",IF(E902&gt;0,"CR",IF(F902&gt;0,"DR","CR")))</f>
        <v/>
      </c>
      <c r="I902" s="12">
        <f>IF(BANK_RAW!A902="","",E902-F902)</f>
        <v/>
      </c>
      <c r="J902" s="12">
        <f>IF(BANK_RAW!A902="","",ABS(I902))</f>
        <v/>
      </c>
      <c r="K902" s="11">
        <f>IF(BANK_RAW!A902="","",IF(H902="CR","IN","OUT"))</f>
        <v/>
      </c>
      <c r="L902" s="11" t="inlineStr"/>
      <c r="M902" s="11" t="inlineStr"/>
    </row>
    <row r="903">
      <c r="A903" s="13">
        <f>IF(BANK_RAW!A903="","",ROW()-1)</f>
        <v/>
      </c>
      <c r="B903" s="10">
        <f>IF(BANK_RAW!A903="","",IF(ISNUMBER(BANK_RAW!A903),BANK_RAW!A903,DATEVALUE(TEXT(BANK_RAW!A903,"YYYY-MM-DD"))))</f>
        <v/>
      </c>
      <c r="C903" s="11">
        <f>IF(BANK_RAW!A903="","",TRIM(BANK_RAW!B903))</f>
        <v/>
      </c>
      <c r="D903" s="11">
        <f>IF(BANK_RAW!A903="","",TRIM(BANK_RAW!C903))</f>
        <v/>
      </c>
      <c r="E903" s="12">
        <f>IF(BANK_RAW!A903="","",IFERROR(ABS(BANK_RAW!D903),0))</f>
        <v/>
      </c>
      <c r="F903" s="12">
        <f>IF(BANK_RAW!A903="","",IFERROR(ABS(BANK_RAW!E903),0))</f>
        <v/>
      </c>
      <c r="G903" s="12">
        <f>IF(BANK_RAW!A903="","",IFERROR(BANK_RAW!F903,0))</f>
        <v/>
      </c>
      <c r="H903" s="11">
        <f>IF(BANK_RAW!A903="","",IF(E903&gt;0,"CR",IF(F903&gt;0,"DR","CR")))</f>
        <v/>
      </c>
      <c r="I903" s="12">
        <f>IF(BANK_RAW!A903="","",E903-F903)</f>
        <v/>
      </c>
      <c r="J903" s="12">
        <f>IF(BANK_RAW!A903="","",ABS(I903))</f>
        <v/>
      </c>
      <c r="K903" s="11">
        <f>IF(BANK_RAW!A903="","",IF(H903="CR","IN","OUT"))</f>
        <v/>
      </c>
      <c r="L903" s="11" t="inlineStr"/>
      <c r="M903" s="11" t="inlineStr"/>
    </row>
    <row r="904">
      <c r="A904" s="13">
        <f>IF(BANK_RAW!A904="","",ROW()-1)</f>
        <v/>
      </c>
      <c r="B904" s="10">
        <f>IF(BANK_RAW!A904="","",IF(ISNUMBER(BANK_RAW!A904),BANK_RAW!A904,DATEVALUE(TEXT(BANK_RAW!A904,"YYYY-MM-DD"))))</f>
        <v/>
      </c>
      <c r="C904" s="11">
        <f>IF(BANK_RAW!A904="","",TRIM(BANK_RAW!B904))</f>
        <v/>
      </c>
      <c r="D904" s="11">
        <f>IF(BANK_RAW!A904="","",TRIM(BANK_RAW!C904))</f>
        <v/>
      </c>
      <c r="E904" s="12">
        <f>IF(BANK_RAW!A904="","",IFERROR(ABS(BANK_RAW!D904),0))</f>
        <v/>
      </c>
      <c r="F904" s="12">
        <f>IF(BANK_RAW!A904="","",IFERROR(ABS(BANK_RAW!E904),0))</f>
        <v/>
      </c>
      <c r="G904" s="12">
        <f>IF(BANK_RAW!A904="","",IFERROR(BANK_RAW!F904,0))</f>
        <v/>
      </c>
      <c r="H904" s="11">
        <f>IF(BANK_RAW!A904="","",IF(E904&gt;0,"CR",IF(F904&gt;0,"DR","CR")))</f>
        <v/>
      </c>
      <c r="I904" s="12">
        <f>IF(BANK_RAW!A904="","",E904-F904)</f>
        <v/>
      </c>
      <c r="J904" s="12">
        <f>IF(BANK_RAW!A904="","",ABS(I904))</f>
        <v/>
      </c>
      <c r="K904" s="11">
        <f>IF(BANK_RAW!A904="","",IF(H904="CR","IN","OUT"))</f>
        <v/>
      </c>
      <c r="L904" s="11" t="inlineStr"/>
      <c r="M904" s="11" t="inlineStr"/>
    </row>
    <row r="905">
      <c r="A905" s="13">
        <f>IF(BANK_RAW!A905="","",ROW()-1)</f>
        <v/>
      </c>
      <c r="B905" s="10">
        <f>IF(BANK_RAW!A905="","",IF(ISNUMBER(BANK_RAW!A905),BANK_RAW!A905,DATEVALUE(TEXT(BANK_RAW!A905,"YYYY-MM-DD"))))</f>
        <v/>
      </c>
      <c r="C905" s="11">
        <f>IF(BANK_RAW!A905="","",TRIM(BANK_RAW!B905))</f>
        <v/>
      </c>
      <c r="D905" s="11">
        <f>IF(BANK_RAW!A905="","",TRIM(BANK_RAW!C905))</f>
        <v/>
      </c>
      <c r="E905" s="12">
        <f>IF(BANK_RAW!A905="","",IFERROR(ABS(BANK_RAW!D905),0))</f>
        <v/>
      </c>
      <c r="F905" s="12">
        <f>IF(BANK_RAW!A905="","",IFERROR(ABS(BANK_RAW!E905),0))</f>
        <v/>
      </c>
      <c r="G905" s="12">
        <f>IF(BANK_RAW!A905="","",IFERROR(BANK_RAW!F905,0))</f>
        <v/>
      </c>
      <c r="H905" s="11">
        <f>IF(BANK_RAW!A905="","",IF(E905&gt;0,"CR",IF(F905&gt;0,"DR","CR")))</f>
        <v/>
      </c>
      <c r="I905" s="12">
        <f>IF(BANK_RAW!A905="","",E905-F905)</f>
        <v/>
      </c>
      <c r="J905" s="12">
        <f>IF(BANK_RAW!A905="","",ABS(I905))</f>
        <v/>
      </c>
      <c r="K905" s="11">
        <f>IF(BANK_RAW!A905="","",IF(H905="CR","IN","OUT"))</f>
        <v/>
      </c>
      <c r="L905" s="11" t="inlineStr"/>
      <c r="M905" s="11" t="inlineStr"/>
    </row>
    <row r="906">
      <c r="A906" s="13">
        <f>IF(BANK_RAW!A906="","",ROW()-1)</f>
        <v/>
      </c>
      <c r="B906" s="10">
        <f>IF(BANK_RAW!A906="","",IF(ISNUMBER(BANK_RAW!A906),BANK_RAW!A906,DATEVALUE(TEXT(BANK_RAW!A906,"YYYY-MM-DD"))))</f>
        <v/>
      </c>
      <c r="C906" s="11">
        <f>IF(BANK_RAW!A906="","",TRIM(BANK_RAW!B906))</f>
        <v/>
      </c>
      <c r="D906" s="11">
        <f>IF(BANK_RAW!A906="","",TRIM(BANK_RAW!C906))</f>
        <v/>
      </c>
      <c r="E906" s="12">
        <f>IF(BANK_RAW!A906="","",IFERROR(ABS(BANK_RAW!D906),0))</f>
        <v/>
      </c>
      <c r="F906" s="12">
        <f>IF(BANK_RAW!A906="","",IFERROR(ABS(BANK_RAW!E906),0))</f>
        <v/>
      </c>
      <c r="G906" s="12">
        <f>IF(BANK_RAW!A906="","",IFERROR(BANK_RAW!F906,0))</f>
        <v/>
      </c>
      <c r="H906" s="11">
        <f>IF(BANK_RAW!A906="","",IF(E906&gt;0,"CR",IF(F906&gt;0,"DR","CR")))</f>
        <v/>
      </c>
      <c r="I906" s="12">
        <f>IF(BANK_RAW!A906="","",E906-F906)</f>
        <v/>
      </c>
      <c r="J906" s="12">
        <f>IF(BANK_RAW!A906="","",ABS(I906))</f>
        <v/>
      </c>
      <c r="K906" s="11">
        <f>IF(BANK_RAW!A906="","",IF(H906="CR","IN","OUT"))</f>
        <v/>
      </c>
      <c r="L906" s="11" t="inlineStr"/>
      <c r="M906" s="11" t="inlineStr"/>
    </row>
    <row r="907">
      <c r="A907" s="13">
        <f>IF(BANK_RAW!A907="","",ROW()-1)</f>
        <v/>
      </c>
      <c r="B907" s="10">
        <f>IF(BANK_RAW!A907="","",IF(ISNUMBER(BANK_RAW!A907),BANK_RAW!A907,DATEVALUE(TEXT(BANK_RAW!A907,"YYYY-MM-DD"))))</f>
        <v/>
      </c>
      <c r="C907" s="11">
        <f>IF(BANK_RAW!A907="","",TRIM(BANK_RAW!B907))</f>
        <v/>
      </c>
      <c r="D907" s="11">
        <f>IF(BANK_RAW!A907="","",TRIM(BANK_RAW!C907))</f>
        <v/>
      </c>
      <c r="E907" s="12">
        <f>IF(BANK_RAW!A907="","",IFERROR(ABS(BANK_RAW!D907),0))</f>
        <v/>
      </c>
      <c r="F907" s="12">
        <f>IF(BANK_RAW!A907="","",IFERROR(ABS(BANK_RAW!E907),0))</f>
        <v/>
      </c>
      <c r="G907" s="12">
        <f>IF(BANK_RAW!A907="","",IFERROR(BANK_RAW!F907,0))</f>
        <v/>
      </c>
      <c r="H907" s="11">
        <f>IF(BANK_RAW!A907="","",IF(E907&gt;0,"CR",IF(F907&gt;0,"DR","CR")))</f>
        <v/>
      </c>
      <c r="I907" s="12">
        <f>IF(BANK_RAW!A907="","",E907-F907)</f>
        <v/>
      </c>
      <c r="J907" s="12">
        <f>IF(BANK_RAW!A907="","",ABS(I907))</f>
        <v/>
      </c>
      <c r="K907" s="11">
        <f>IF(BANK_RAW!A907="","",IF(H907="CR","IN","OUT"))</f>
        <v/>
      </c>
      <c r="L907" s="11" t="inlineStr"/>
      <c r="M907" s="11" t="inlineStr"/>
    </row>
    <row r="908">
      <c r="A908" s="13">
        <f>IF(BANK_RAW!A908="","",ROW()-1)</f>
        <v/>
      </c>
      <c r="B908" s="10">
        <f>IF(BANK_RAW!A908="","",IF(ISNUMBER(BANK_RAW!A908),BANK_RAW!A908,DATEVALUE(TEXT(BANK_RAW!A908,"YYYY-MM-DD"))))</f>
        <v/>
      </c>
      <c r="C908" s="11">
        <f>IF(BANK_RAW!A908="","",TRIM(BANK_RAW!B908))</f>
        <v/>
      </c>
      <c r="D908" s="11">
        <f>IF(BANK_RAW!A908="","",TRIM(BANK_RAW!C908))</f>
        <v/>
      </c>
      <c r="E908" s="12">
        <f>IF(BANK_RAW!A908="","",IFERROR(ABS(BANK_RAW!D908),0))</f>
        <v/>
      </c>
      <c r="F908" s="12">
        <f>IF(BANK_RAW!A908="","",IFERROR(ABS(BANK_RAW!E908),0))</f>
        <v/>
      </c>
      <c r="G908" s="12">
        <f>IF(BANK_RAW!A908="","",IFERROR(BANK_RAW!F908,0))</f>
        <v/>
      </c>
      <c r="H908" s="11">
        <f>IF(BANK_RAW!A908="","",IF(E908&gt;0,"CR",IF(F908&gt;0,"DR","CR")))</f>
        <v/>
      </c>
      <c r="I908" s="12">
        <f>IF(BANK_RAW!A908="","",E908-F908)</f>
        <v/>
      </c>
      <c r="J908" s="12">
        <f>IF(BANK_RAW!A908="","",ABS(I908))</f>
        <v/>
      </c>
      <c r="K908" s="11">
        <f>IF(BANK_RAW!A908="","",IF(H908="CR","IN","OUT"))</f>
        <v/>
      </c>
      <c r="L908" s="11" t="inlineStr"/>
      <c r="M908" s="11" t="inlineStr"/>
    </row>
    <row r="909">
      <c r="A909" s="13">
        <f>IF(BANK_RAW!A909="","",ROW()-1)</f>
        <v/>
      </c>
      <c r="B909" s="10">
        <f>IF(BANK_RAW!A909="","",IF(ISNUMBER(BANK_RAW!A909),BANK_RAW!A909,DATEVALUE(TEXT(BANK_RAW!A909,"YYYY-MM-DD"))))</f>
        <v/>
      </c>
      <c r="C909" s="11">
        <f>IF(BANK_RAW!A909="","",TRIM(BANK_RAW!B909))</f>
        <v/>
      </c>
      <c r="D909" s="11">
        <f>IF(BANK_RAW!A909="","",TRIM(BANK_RAW!C909))</f>
        <v/>
      </c>
      <c r="E909" s="12">
        <f>IF(BANK_RAW!A909="","",IFERROR(ABS(BANK_RAW!D909),0))</f>
        <v/>
      </c>
      <c r="F909" s="12">
        <f>IF(BANK_RAW!A909="","",IFERROR(ABS(BANK_RAW!E909),0))</f>
        <v/>
      </c>
      <c r="G909" s="12">
        <f>IF(BANK_RAW!A909="","",IFERROR(BANK_RAW!F909,0))</f>
        <v/>
      </c>
      <c r="H909" s="11">
        <f>IF(BANK_RAW!A909="","",IF(E909&gt;0,"CR",IF(F909&gt;0,"DR","CR")))</f>
        <v/>
      </c>
      <c r="I909" s="12">
        <f>IF(BANK_RAW!A909="","",E909-F909)</f>
        <v/>
      </c>
      <c r="J909" s="12">
        <f>IF(BANK_RAW!A909="","",ABS(I909))</f>
        <v/>
      </c>
      <c r="K909" s="11">
        <f>IF(BANK_RAW!A909="","",IF(H909="CR","IN","OUT"))</f>
        <v/>
      </c>
      <c r="L909" s="11" t="inlineStr"/>
      <c r="M909" s="11" t="inlineStr"/>
    </row>
    <row r="910">
      <c r="A910" s="13">
        <f>IF(BANK_RAW!A910="","",ROW()-1)</f>
        <v/>
      </c>
      <c r="B910" s="10">
        <f>IF(BANK_RAW!A910="","",IF(ISNUMBER(BANK_RAW!A910),BANK_RAW!A910,DATEVALUE(TEXT(BANK_RAW!A910,"YYYY-MM-DD"))))</f>
        <v/>
      </c>
      <c r="C910" s="11">
        <f>IF(BANK_RAW!A910="","",TRIM(BANK_RAW!B910))</f>
        <v/>
      </c>
      <c r="D910" s="11">
        <f>IF(BANK_RAW!A910="","",TRIM(BANK_RAW!C910))</f>
        <v/>
      </c>
      <c r="E910" s="12">
        <f>IF(BANK_RAW!A910="","",IFERROR(ABS(BANK_RAW!D910),0))</f>
        <v/>
      </c>
      <c r="F910" s="12">
        <f>IF(BANK_RAW!A910="","",IFERROR(ABS(BANK_RAW!E910),0))</f>
        <v/>
      </c>
      <c r="G910" s="12">
        <f>IF(BANK_RAW!A910="","",IFERROR(BANK_RAW!F910,0))</f>
        <v/>
      </c>
      <c r="H910" s="11">
        <f>IF(BANK_RAW!A910="","",IF(E910&gt;0,"CR",IF(F910&gt;0,"DR","CR")))</f>
        <v/>
      </c>
      <c r="I910" s="12">
        <f>IF(BANK_RAW!A910="","",E910-F910)</f>
        <v/>
      </c>
      <c r="J910" s="12">
        <f>IF(BANK_RAW!A910="","",ABS(I910))</f>
        <v/>
      </c>
      <c r="K910" s="11">
        <f>IF(BANK_RAW!A910="","",IF(H910="CR","IN","OUT"))</f>
        <v/>
      </c>
      <c r="L910" s="11" t="inlineStr"/>
      <c r="M910" s="11" t="inlineStr"/>
    </row>
    <row r="911">
      <c r="A911" s="13">
        <f>IF(BANK_RAW!A911="","",ROW()-1)</f>
        <v/>
      </c>
      <c r="B911" s="10">
        <f>IF(BANK_RAW!A911="","",IF(ISNUMBER(BANK_RAW!A911),BANK_RAW!A911,DATEVALUE(TEXT(BANK_RAW!A911,"YYYY-MM-DD"))))</f>
        <v/>
      </c>
      <c r="C911" s="11">
        <f>IF(BANK_RAW!A911="","",TRIM(BANK_RAW!B911))</f>
        <v/>
      </c>
      <c r="D911" s="11">
        <f>IF(BANK_RAW!A911="","",TRIM(BANK_RAW!C911))</f>
        <v/>
      </c>
      <c r="E911" s="12">
        <f>IF(BANK_RAW!A911="","",IFERROR(ABS(BANK_RAW!D911),0))</f>
        <v/>
      </c>
      <c r="F911" s="12">
        <f>IF(BANK_RAW!A911="","",IFERROR(ABS(BANK_RAW!E911),0))</f>
        <v/>
      </c>
      <c r="G911" s="12">
        <f>IF(BANK_RAW!A911="","",IFERROR(BANK_RAW!F911,0))</f>
        <v/>
      </c>
      <c r="H911" s="11">
        <f>IF(BANK_RAW!A911="","",IF(E911&gt;0,"CR",IF(F911&gt;0,"DR","CR")))</f>
        <v/>
      </c>
      <c r="I911" s="12">
        <f>IF(BANK_RAW!A911="","",E911-F911)</f>
        <v/>
      </c>
      <c r="J911" s="12">
        <f>IF(BANK_RAW!A911="","",ABS(I911))</f>
        <v/>
      </c>
      <c r="K911" s="11">
        <f>IF(BANK_RAW!A911="","",IF(H911="CR","IN","OUT"))</f>
        <v/>
      </c>
      <c r="L911" s="11" t="inlineStr"/>
      <c r="M911" s="11" t="inlineStr"/>
    </row>
    <row r="912">
      <c r="A912" s="13">
        <f>IF(BANK_RAW!A912="","",ROW()-1)</f>
        <v/>
      </c>
      <c r="B912" s="10">
        <f>IF(BANK_RAW!A912="","",IF(ISNUMBER(BANK_RAW!A912),BANK_RAW!A912,DATEVALUE(TEXT(BANK_RAW!A912,"YYYY-MM-DD"))))</f>
        <v/>
      </c>
      <c r="C912" s="11">
        <f>IF(BANK_RAW!A912="","",TRIM(BANK_RAW!B912))</f>
        <v/>
      </c>
      <c r="D912" s="11">
        <f>IF(BANK_RAW!A912="","",TRIM(BANK_RAW!C912))</f>
        <v/>
      </c>
      <c r="E912" s="12">
        <f>IF(BANK_RAW!A912="","",IFERROR(ABS(BANK_RAW!D912),0))</f>
        <v/>
      </c>
      <c r="F912" s="12">
        <f>IF(BANK_RAW!A912="","",IFERROR(ABS(BANK_RAW!E912),0))</f>
        <v/>
      </c>
      <c r="G912" s="12">
        <f>IF(BANK_RAW!A912="","",IFERROR(BANK_RAW!F912,0))</f>
        <v/>
      </c>
      <c r="H912" s="11">
        <f>IF(BANK_RAW!A912="","",IF(E912&gt;0,"CR",IF(F912&gt;0,"DR","CR")))</f>
        <v/>
      </c>
      <c r="I912" s="12">
        <f>IF(BANK_RAW!A912="","",E912-F912)</f>
        <v/>
      </c>
      <c r="J912" s="12">
        <f>IF(BANK_RAW!A912="","",ABS(I912))</f>
        <v/>
      </c>
      <c r="K912" s="11">
        <f>IF(BANK_RAW!A912="","",IF(H912="CR","IN","OUT"))</f>
        <v/>
      </c>
      <c r="L912" s="11" t="inlineStr"/>
      <c r="M912" s="11" t="inlineStr"/>
    </row>
    <row r="913">
      <c r="A913" s="13">
        <f>IF(BANK_RAW!A913="","",ROW()-1)</f>
        <v/>
      </c>
      <c r="B913" s="10">
        <f>IF(BANK_RAW!A913="","",IF(ISNUMBER(BANK_RAW!A913),BANK_RAW!A913,DATEVALUE(TEXT(BANK_RAW!A913,"YYYY-MM-DD"))))</f>
        <v/>
      </c>
      <c r="C913" s="11">
        <f>IF(BANK_RAW!A913="","",TRIM(BANK_RAW!B913))</f>
        <v/>
      </c>
      <c r="D913" s="11">
        <f>IF(BANK_RAW!A913="","",TRIM(BANK_RAW!C913))</f>
        <v/>
      </c>
      <c r="E913" s="12">
        <f>IF(BANK_RAW!A913="","",IFERROR(ABS(BANK_RAW!D913),0))</f>
        <v/>
      </c>
      <c r="F913" s="12">
        <f>IF(BANK_RAW!A913="","",IFERROR(ABS(BANK_RAW!E913),0))</f>
        <v/>
      </c>
      <c r="G913" s="12">
        <f>IF(BANK_RAW!A913="","",IFERROR(BANK_RAW!F913,0))</f>
        <v/>
      </c>
      <c r="H913" s="11">
        <f>IF(BANK_RAW!A913="","",IF(E913&gt;0,"CR",IF(F913&gt;0,"DR","CR")))</f>
        <v/>
      </c>
      <c r="I913" s="12">
        <f>IF(BANK_RAW!A913="","",E913-F913)</f>
        <v/>
      </c>
      <c r="J913" s="12">
        <f>IF(BANK_RAW!A913="","",ABS(I913))</f>
        <v/>
      </c>
      <c r="K913" s="11">
        <f>IF(BANK_RAW!A913="","",IF(H913="CR","IN","OUT"))</f>
        <v/>
      </c>
      <c r="L913" s="11" t="inlineStr"/>
      <c r="M913" s="11" t="inlineStr"/>
    </row>
    <row r="914">
      <c r="A914" s="13">
        <f>IF(BANK_RAW!A914="","",ROW()-1)</f>
        <v/>
      </c>
      <c r="B914" s="10">
        <f>IF(BANK_RAW!A914="","",IF(ISNUMBER(BANK_RAW!A914),BANK_RAW!A914,DATEVALUE(TEXT(BANK_RAW!A914,"YYYY-MM-DD"))))</f>
        <v/>
      </c>
      <c r="C914" s="11">
        <f>IF(BANK_RAW!A914="","",TRIM(BANK_RAW!B914))</f>
        <v/>
      </c>
      <c r="D914" s="11">
        <f>IF(BANK_RAW!A914="","",TRIM(BANK_RAW!C914))</f>
        <v/>
      </c>
      <c r="E914" s="12">
        <f>IF(BANK_RAW!A914="","",IFERROR(ABS(BANK_RAW!D914),0))</f>
        <v/>
      </c>
      <c r="F914" s="12">
        <f>IF(BANK_RAW!A914="","",IFERROR(ABS(BANK_RAW!E914),0))</f>
        <v/>
      </c>
      <c r="G914" s="12">
        <f>IF(BANK_RAW!A914="","",IFERROR(BANK_RAW!F914,0))</f>
        <v/>
      </c>
      <c r="H914" s="11">
        <f>IF(BANK_RAW!A914="","",IF(E914&gt;0,"CR",IF(F914&gt;0,"DR","CR")))</f>
        <v/>
      </c>
      <c r="I914" s="12">
        <f>IF(BANK_RAW!A914="","",E914-F914)</f>
        <v/>
      </c>
      <c r="J914" s="12">
        <f>IF(BANK_RAW!A914="","",ABS(I914))</f>
        <v/>
      </c>
      <c r="K914" s="11">
        <f>IF(BANK_RAW!A914="","",IF(H914="CR","IN","OUT"))</f>
        <v/>
      </c>
      <c r="L914" s="11" t="inlineStr"/>
      <c r="M914" s="11" t="inlineStr"/>
    </row>
    <row r="915">
      <c r="A915" s="13">
        <f>IF(BANK_RAW!A915="","",ROW()-1)</f>
        <v/>
      </c>
      <c r="B915" s="10">
        <f>IF(BANK_RAW!A915="","",IF(ISNUMBER(BANK_RAW!A915),BANK_RAW!A915,DATEVALUE(TEXT(BANK_RAW!A915,"YYYY-MM-DD"))))</f>
        <v/>
      </c>
      <c r="C915" s="11">
        <f>IF(BANK_RAW!A915="","",TRIM(BANK_RAW!B915))</f>
        <v/>
      </c>
      <c r="D915" s="11">
        <f>IF(BANK_RAW!A915="","",TRIM(BANK_RAW!C915))</f>
        <v/>
      </c>
      <c r="E915" s="12">
        <f>IF(BANK_RAW!A915="","",IFERROR(ABS(BANK_RAW!D915),0))</f>
        <v/>
      </c>
      <c r="F915" s="12">
        <f>IF(BANK_RAW!A915="","",IFERROR(ABS(BANK_RAW!E915),0))</f>
        <v/>
      </c>
      <c r="G915" s="12">
        <f>IF(BANK_RAW!A915="","",IFERROR(BANK_RAW!F915,0))</f>
        <v/>
      </c>
      <c r="H915" s="11">
        <f>IF(BANK_RAW!A915="","",IF(E915&gt;0,"CR",IF(F915&gt;0,"DR","CR")))</f>
        <v/>
      </c>
      <c r="I915" s="12">
        <f>IF(BANK_RAW!A915="","",E915-F915)</f>
        <v/>
      </c>
      <c r="J915" s="12">
        <f>IF(BANK_RAW!A915="","",ABS(I915))</f>
        <v/>
      </c>
      <c r="K915" s="11">
        <f>IF(BANK_RAW!A915="","",IF(H915="CR","IN","OUT"))</f>
        <v/>
      </c>
      <c r="L915" s="11" t="inlineStr"/>
      <c r="M915" s="11" t="inlineStr"/>
    </row>
    <row r="916">
      <c r="A916" s="13">
        <f>IF(BANK_RAW!A916="","",ROW()-1)</f>
        <v/>
      </c>
      <c r="B916" s="10">
        <f>IF(BANK_RAW!A916="","",IF(ISNUMBER(BANK_RAW!A916),BANK_RAW!A916,DATEVALUE(TEXT(BANK_RAW!A916,"YYYY-MM-DD"))))</f>
        <v/>
      </c>
      <c r="C916" s="11">
        <f>IF(BANK_RAW!A916="","",TRIM(BANK_RAW!B916))</f>
        <v/>
      </c>
      <c r="D916" s="11">
        <f>IF(BANK_RAW!A916="","",TRIM(BANK_RAW!C916))</f>
        <v/>
      </c>
      <c r="E916" s="12">
        <f>IF(BANK_RAW!A916="","",IFERROR(ABS(BANK_RAW!D916),0))</f>
        <v/>
      </c>
      <c r="F916" s="12">
        <f>IF(BANK_RAW!A916="","",IFERROR(ABS(BANK_RAW!E916),0))</f>
        <v/>
      </c>
      <c r="G916" s="12">
        <f>IF(BANK_RAW!A916="","",IFERROR(BANK_RAW!F916,0))</f>
        <v/>
      </c>
      <c r="H916" s="11">
        <f>IF(BANK_RAW!A916="","",IF(E916&gt;0,"CR",IF(F916&gt;0,"DR","CR")))</f>
        <v/>
      </c>
      <c r="I916" s="12">
        <f>IF(BANK_RAW!A916="","",E916-F916)</f>
        <v/>
      </c>
      <c r="J916" s="12">
        <f>IF(BANK_RAW!A916="","",ABS(I916))</f>
        <v/>
      </c>
      <c r="K916" s="11">
        <f>IF(BANK_RAW!A916="","",IF(H916="CR","IN","OUT"))</f>
        <v/>
      </c>
      <c r="L916" s="11" t="inlineStr"/>
      <c r="M916" s="11" t="inlineStr"/>
    </row>
    <row r="917">
      <c r="A917" s="13">
        <f>IF(BANK_RAW!A917="","",ROW()-1)</f>
        <v/>
      </c>
      <c r="B917" s="10">
        <f>IF(BANK_RAW!A917="","",IF(ISNUMBER(BANK_RAW!A917),BANK_RAW!A917,DATEVALUE(TEXT(BANK_RAW!A917,"YYYY-MM-DD"))))</f>
        <v/>
      </c>
      <c r="C917" s="11">
        <f>IF(BANK_RAW!A917="","",TRIM(BANK_RAW!B917))</f>
        <v/>
      </c>
      <c r="D917" s="11">
        <f>IF(BANK_RAW!A917="","",TRIM(BANK_RAW!C917))</f>
        <v/>
      </c>
      <c r="E917" s="12">
        <f>IF(BANK_RAW!A917="","",IFERROR(ABS(BANK_RAW!D917),0))</f>
        <v/>
      </c>
      <c r="F917" s="12">
        <f>IF(BANK_RAW!A917="","",IFERROR(ABS(BANK_RAW!E917),0))</f>
        <v/>
      </c>
      <c r="G917" s="12">
        <f>IF(BANK_RAW!A917="","",IFERROR(BANK_RAW!F917,0))</f>
        <v/>
      </c>
      <c r="H917" s="11">
        <f>IF(BANK_RAW!A917="","",IF(E917&gt;0,"CR",IF(F917&gt;0,"DR","CR")))</f>
        <v/>
      </c>
      <c r="I917" s="12">
        <f>IF(BANK_RAW!A917="","",E917-F917)</f>
        <v/>
      </c>
      <c r="J917" s="12">
        <f>IF(BANK_RAW!A917="","",ABS(I917))</f>
        <v/>
      </c>
      <c r="K917" s="11">
        <f>IF(BANK_RAW!A917="","",IF(H917="CR","IN","OUT"))</f>
        <v/>
      </c>
      <c r="L917" s="11" t="inlineStr"/>
      <c r="M917" s="11" t="inlineStr"/>
    </row>
    <row r="918">
      <c r="A918" s="13">
        <f>IF(BANK_RAW!A918="","",ROW()-1)</f>
        <v/>
      </c>
      <c r="B918" s="10">
        <f>IF(BANK_RAW!A918="","",IF(ISNUMBER(BANK_RAW!A918),BANK_RAW!A918,DATEVALUE(TEXT(BANK_RAW!A918,"YYYY-MM-DD"))))</f>
        <v/>
      </c>
      <c r="C918" s="11">
        <f>IF(BANK_RAW!A918="","",TRIM(BANK_RAW!B918))</f>
        <v/>
      </c>
      <c r="D918" s="11">
        <f>IF(BANK_RAW!A918="","",TRIM(BANK_RAW!C918))</f>
        <v/>
      </c>
      <c r="E918" s="12">
        <f>IF(BANK_RAW!A918="","",IFERROR(ABS(BANK_RAW!D918),0))</f>
        <v/>
      </c>
      <c r="F918" s="12">
        <f>IF(BANK_RAW!A918="","",IFERROR(ABS(BANK_RAW!E918),0))</f>
        <v/>
      </c>
      <c r="G918" s="12">
        <f>IF(BANK_RAW!A918="","",IFERROR(BANK_RAW!F918,0))</f>
        <v/>
      </c>
      <c r="H918" s="11">
        <f>IF(BANK_RAW!A918="","",IF(E918&gt;0,"CR",IF(F918&gt;0,"DR","CR")))</f>
        <v/>
      </c>
      <c r="I918" s="12">
        <f>IF(BANK_RAW!A918="","",E918-F918)</f>
        <v/>
      </c>
      <c r="J918" s="12">
        <f>IF(BANK_RAW!A918="","",ABS(I918))</f>
        <v/>
      </c>
      <c r="K918" s="11">
        <f>IF(BANK_RAW!A918="","",IF(H918="CR","IN","OUT"))</f>
        <v/>
      </c>
      <c r="L918" s="11" t="inlineStr"/>
      <c r="M918" s="11" t="inlineStr"/>
    </row>
    <row r="919">
      <c r="A919" s="13">
        <f>IF(BANK_RAW!A919="","",ROW()-1)</f>
        <v/>
      </c>
      <c r="B919" s="10">
        <f>IF(BANK_RAW!A919="","",IF(ISNUMBER(BANK_RAW!A919),BANK_RAW!A919,DATEVALUE(TEXT(BANK_RAW!A919,"YYYY-MM-DD"))))</f>
        <v/>
      </c>
      <c r="C919" s="11">
        <f>IF(BANK_RAW!A919="","",TRIM(BANK_RAW!B919))</f>
        <v/>
      </c>
      <c r="D919" s="11">
        <f>IF(BANK_RAW!A919="","",TRIM(BANK_RAW!C919))</f>
        <v/>
      </c>
      <c r="E919" s="12">
        <f>IF(BANK_RAW!A919="","",IFERROR(ABS(BANK_RAW!D919),0))</f>
        <v/>
      </c>
      <c r="F919" s="12">
        <f>IF(BANK_RAW!A919="","",IFERROR(ABS(BANK_RAW!E919),0))</f>
        <v/>
      </c>
      <c r="G919" s="12">
        <f>IF(BANK_RAW!A919="","",IFERROR(BANK_RAW!F919,0))</f>
        <v/>
      </c>
      <c r="H919" s="11">
        <f>IF(BANK_RAW!A919="","",IF(E919&gt;0,"CR",IF(F919&gt;0,"DR","CR")))</f>
        <v/>
      </c>
      <c r="I919" s="12">
        <f>IF(BANK_RAW!A919="","",E919-F919)</f>
        <v/>
      </c>
      <c r="J919" s="12">
        <f>IF(BANK_RAW!A919="","",ABS(I919))</f>
        <v/>
      </c>
      <c r="K919" s="11">
        <f>IF(BANK_RAW!A919="","",IF(H919="CR","IN","OUT"))</f>
        <v/>
      </c>
      <c r="L919" s="11" t="inlineStr"/>
      <c r="M919" s="11" t="inlineStr"/>
    </row>
    <row r="920">
      <c r="A920" s="13">
        <f>IF(BANK_RAW!A920="","",ROW()-1)</f>
        <v/>
      </c>
      <c r="B920" s="10">
        <f>IF(BANK_RAW!A920="","",IF(ISNUMBER(BANK_RAW!A920),BANK_RAW!A920,DATEVALUE(TEXT(BANK_RAW!A920,"YYYY-MM-DD"))))</f>
        <v/>
      </c>
      <c r="C920" s="11">
        <f>IF(BANK_RAW!A920="","",TRIM(BANK_RAW!B920))</f>
        <v/>
      </c>
      <c r="D920" s="11">
        <f>IF(BANK_RAW!A920="","",TRIM(BANK_RAW!C920))</f>
        <v/>
      </c>
      <c r="E920" s="12">
        <f>IF(BANK_RAW!A920="","",IFERROR(ABS(BANK_RAW!D920),0))</f>
        <v/>
      </c>
      <c r="F920" s="12">
        <f>IF(BANK_RAW!A920="","",IFERROR(ABS(BANK_RAW!E920),0))</f>
        <v/>
      </c>
      <c r="G920" s="12">
        <f>IF(BANK_RAW!A920="","",IFERROR(BANK_RAW!F920,0))</f>
        <v/>
      </c>
      <c r="H920" s="11">
        <f>IF(BANK_RAW!A920="","",IF(E920&gt;0,"CR",IF(F920&gt;0,"DR","CR")))</f>
        <v/>
      </c>
      <c r="I920" s="12">
        <f>IF(BANK_RAW!A920="","",E920-F920)</f>
        <v/>
      </c>
      <c r="J920" s="12">
        <f>IF(BANK_RAW!A920="","",ABS(I920))</f>
        <v/>
      </c>
      <c r="K920" s="11">
        <f>IF(BANK_RAW!A920="","",IF(H920="CR","IN","OUT"))</f>
        <v/>
      </c>
      <c r="L920" s="11" t="inlineStr"/>
      <c r="M920" s="11" t="inlineStr"/>
    </row>
    <row r="921">
      <c r="A921" s="13">
        <f>IF(BANK_RAW!A921="","",ROW()-1)</f>
        <v/>
      </c>
      <c r="B921" s="10">
        <f>IF(BANK_RAW!A921="","",IF(ISNUMBER(BANK_RAW!A921),BANK_RAW!A921,DATEVALUE(TEXT(BANK_RAW!A921,"YYYY-MM-DD"))))</f>
        <v/>
      </c>
      <c r="C921" s="11">
        <f>IF(BANK_RAW!A921="","",TRIM(BANK_RAW!B921))</f>
        <v/>
      </c>
      <c r="D921" s="11">
        <f>IF(BANK_RAW!A921="","",TRIM(BANK_RAW!C921))</f>
        <v/>
      </c>
      <c r="E921" s="12">
        <f>IF(BANK_RAW!A921="","",IFERROR(ABS(BANK_RAW!D921),0))</f>
        <v/>
      </c>
      <c r="F921" s="12">
        <f>IF(BANK_RAW!A921="","",IFERROR(ABS(BANK_RAW!E921),0))</f>
        <v/>
      </c>
      <c r="G921" s="12">
        <f>IF(BANK_RAW!A921="","",IFERROR(BANK_RAW!F921,0))</f>
        <v/>
      </c>
      <c r="H921" s="11">
        <f>IF(BANK_RAW!A921="","",IF(E921&gt;0,"CR",IF(F921&gt;0,"DR","CR")))</f>
        <v/>
      </c>
      <c r="I921" s="12">
        <f>IF(BANK_RAW!A921="","",E921-F921)</f>
        <v/>
      </c>
      <c r="J921" s="12">
        <f>IF(BANK_RAW!A921="","",ABS(I921))</f>
        <v/>
      </c>
      <c r="K921" s="11">
        <f>IF(BANK_RAW!A921="","",IF(H921="CR","IN","OUT"))</f>
        <v/>
      </c>
      <c r="L921" s="11" t="inlineStr"/>
      <c r="M921" s="11" t="inlineStr"/>
    </row>
    <row r="922">
      <c r="A922" s="13">
        <f>IF(BANK_RAW!A922="","",ROW()-1)</f>
        <v/>
      </c>
      <c r="B922" s="10">
        <f>IF(BANK_RAW!A922="","",IF(ISNUMBER(BANK_RAW!A922),BANK_RAW!A922,DATEVALUE(TEXT(BANK_RAW!A922,"YYYY-MM-DD"))))</f>
        <v/>
      </c>
      <c r="C922" s="11">
        <f>IF(BANK_RAW!A922="","",TRIM(BANK_RAW!B922))</f>
        <v/>
      </c>
      <c r="D922" s="11">
        <f>IF(BANK_RAW!A922="","",TRIM(BANK_RAW!C922))</f>
        <v/>
      </c>
      <c r="E922" s="12">
        <f>IF(BANK_RAW!A922="","",IFERROR(ABS(BANK_RAW!D922),0))</f>
        <v/>
      </c>
      <c r="F922" s="12">
        <f>IF(BANK_RAW!A922="","",IFERROR(ABS(BANK_RAW!E922),0))</f>
        <v/>
      </c>
      <c r="G922" s="12">
        <f>IF(BANK_RAW!A922="","",IFERROR(BANK_RAW!F922,0))</f>
        <v/>
      </c>
      <c r="H922" s="11">
        <f>IF(BANK_RAW!A922="","",IF(E922&gt;0,"CR",IF(F922&gt;0,"DR","CR")))</f>
        <v/>
      </c>
      <c r="I922" s="12">
        <f>IF(BANK_RAW!A922="","",E922-F922)</f>
        <v/>
      </c>
      <c r="J922" s="12">
        <f>IF(BANK_RAW!A922="","",ABS(I922))</f>
        <v/>
      </c>
      <c r="K922" s="11">
        <f>IF(BANK_RAW!A922="","",IF(H922="CR","IN","OUT"))</f>
        <v/>
      </c>
      <c r="L922" s="11" t="inlineStr"/>
      <c r="M922" s="11" t="inlineStr"/>
    </row>
    <row r="923">
      <c r="A923" s="13">
        <f>IF(BANK_RAW!A923="","",ROW()-1)</f>
        <v/>
      </c>
      <c r="B923" s="10">
        <f>IF(BANK_RAW!A923="","",IF(ISNUMBER(BANK_RAW!A923),BANK_RAW!A923,DATEVALUE(TEXT(BANK_RAW!A923,"YYYY-MM-DD"))))</f>
        <v/>
      </c>
      <c r="C923" s="11">
        <f>IF(BANK_RAW!A923="","",TRIM(BANK_RAW!B923))</f>
        <v/>
      </c>
      <c r="D923" s="11">
        <f>IF(BANK_RAW!A923="","",TRIM(BANK_RAW!C923))</f>
        <v/>
      </c>
      <c r="E923" s="12">
        <f>IF(BANK_RAW!A923="","",IFERROR(ABS(BANK_RAW!D923),0))</f>
        <v/>
      </c>
      <c r="F923" s="12">
        <f>IF(BANK_RAW!A923="","",IFERROR(ABS(BANK_RAW!E923),0))</f>
        <v/>
      </c>
      <c r="G923" s="12">
        <f>IF(BANK_RAW!A923="","",IFERROR(BANK_RAW!F923,0))</f>
        <v/>
      </c>
      <c r="H923" s="11">
        <f>IF(BANK_RAW!A923="","",IF(E923&gt;0,"CR",IF(F923&gt;0,"DR","CR")))</f>
        <v/>
      </c>
      <c r="I923" s="12">
        <f>IF(BANK_RAW!A923="","",E923-F923)</f>
        <v/>
      </c>
      <c r="J923" s="12">
        <f>IF(BANK_RAW!A923="","",ABS(I923))</f>
        <v/>
      </c>
      <c r="K923" s="11">
        <f>IF(BANK_RAW!A923="","",IF(H923="CR","IN","OUT"))</f>
        <v/>
      </c>
      <c r="L923" s="11" t="inlineStr"/>
      <c r="M923" s="11" t="inlineStr"/>
    </row>
    <row r="924">
      <c r="A924" s="13">
        <f>IF(BANK_RAW!A924="","",ROW()-1)</f>
        <v/>
      </c>
      <c r="B924" s="10">
        <f>IF(BANK_RAW!A924="","",IF(ISNUMBER(BANK_RAW!A924),BANK_RAW!A924,DATEVALUE(TEXT(BANK_RAW!A924,"YYYY-MM-DD"))))</f>
        <v/>
      </c>
      <c r="C924" s="11">
        <f>IF(BANK_RAW!A924="","",TRIM(BANK_RAW!B924))</f>
        <v/>
      </c>
      <c r="D924" s="11">
        <f>IF(BANK_RAW!A924="","",TRIM(BANK_RAW!C924))</f>
        <v/>
      </c>
      <c r="E924" s="12">
        <f>IF(BANK_RAW!A924="","",IFERROR(ABS(BANK_RAW!D924),0))</f>
        <v/>
      </c>
      <c r="F924" s="12">
        <f>IF(BANK_RAW!A924="","",IFERROR(ABS(BANK_RAW!E924),0))</f>
        <v/>
      </c>
      <c r="G924" s="12">
        <f>IF(BANK_RAW!A924="","",IFERROR(BANK_RAW!F924,0))</f>
        <v/>
      </c>
      <c r="H924" s="11">
        <f>IF(BANK_RAW!A924="","",IF(E924&gt;0,"CR",IF(F924&gt;0,"DR","CR")))</f>
        <v/>
      </c>
      <c r="I924" s="12">
        <f>IF(BANK_RAW!A924="","",E924-F924)</f>
        <v/>
      </c>
      <c r="J924" s="12">
        <f>IF(BANK_RAW!A924="","",ABS(I924))</f>
        <v/>
      </c>
      <c r="K924" s="11">
        <f>IF(BANK_RAW!A924="","",IF(H924="CR","IN","OUT"))</f>
        <v/>
      </c>
      <c r="L924" s="11" t="inlineStr"/>
      <c r="M924" s="11" t="inlineStr"/>
    </row>
    <row r="925">
      <c r="A925" s="13">
        <f>IF(BANK_RAW!A925="","",ROW()-1)</f>
        <v/>
      </c>
      <c r="B925" s="10">
        <f>IF(BANK_RAW!A925="","",IF(ISNUMBER(BANK_RAW!A925),BANK_RAW!A925,DATEVALUE(TEXT(BANK_RAW!A925,"YYYY-MM-DD"))))</f>
        <v/>
      </c>
      <c r="C925" s="11">
        <f>IF(BANK_RAW!A925="","",TRIM(BANK_RAW!B925))</f>
        <v/>
      </c>
      <c r="D925" s="11">
        <f>IF(BANK_RAW!A925="","",TRIM(BANK_RAW!C925))</f>
        <v/>
      </c>
      <c r="E925" s="12">
        <f>IF(BANK_RAW!A925="","",IFERROR(ABS(BANK_RAW!D925),0))</f>
        <v/>
      </c>
      <c r="F925" s="12">
        <f>IF(BANK_RAW!A925="","",IFERROR(ABS(BANK_RAW!E925),0))</f>
        <v/>
      </c>
      <c r="G925" s="12">
        <f>IF(BANK_RAW!A925="","",IFERROR(BANK_RAW!F925,0))</f>
        <v/>
      </c>
      <c r="H925" s="11">
        <f>IF(BANK_RAW!A925="","",IF(E925&gt;0,"CR",IF(F925&gt;0,"DR","CR")))</f>
        <v/>
      </c>
      <c r="I925" s="12">
        <f>IF(BANK_RAW!A925="","",E925-F925)</f>
        <v/>
      </c>
      <c r="J925" s="12">
        <f>IF(BANK_RAW!A925="","",ABS(I925))</f>
        <v/>
      </c>
      <c r="K925" s="11">
        <f>IF(BANK_RAW!A925="","",IF(H925="CR","IN","OUT"))</f>
        <v/>
      </c>
      <c r="L925" s="11" t="inlineStr"/>
      <c r="M925" s="11" t="inlineStr"/>
    </row>
    <row r="926">
      <c r="A926" s="13">
        <f>IF(BANK_RAW!A926="","",ROW()-1)</f>
        <v/>
      </c>
      <c r="B926" s="10">
        <f>IF(BANK_RAW!A926="","",IF(ISNUMBER(BANK_RAW!A926),BANK_RAW!A926,DATEVALUE(TEXT(BANK_RAW!A926,"YYYY-MM-DD"))))</f>
        <v/>
      </c>
      <c r="C926" s="11">
        <f>IF(BANK_RAW!A926="","",TRIM(BANK_RAW!B926))</f>
        <v/>
      </c>
      <c r="D926" s="11">
        <f>IF(BANK_RAW!A926="","",TRIM(BANK_RAW!C926))</f>
        <v/>
      </c>
      <c r="E926" s="12">
        <f>IF(BANK_RAW!A926="","",IFERROR(ABS(BANK_RAW!D926),0))</f>
        <v/>
      </c>
      <c r="F926" s="12">
        <f>IF(BANK_RAW!A926="","",IFERROR(ABS(BANK_RAW!E926),0))</f>
        <v/>
      </c>
      <c r="G926" s="12">
        <f>IF(BANK_RAW!A926="","",IFERROR(BANK_RAW!F926,0))</f>
        <v/>
      </c>
      <c r="H926" s="11">
        <f>IF(BANK_RAW!A926="","",IF(E926&gt;0,"CR",IF(F926&gt;0,"DR","CR")))</f>
        <v/>
      </c>
      <c r="I926" s="12">
        <f>IF(BANK_RAW!A926="","",E926-F926)</f>
        <v/>
      </c>
      <c r="J926" s="12">
        <f>IF(BANK_RAW!A926="","",ABS(I926))</f>
        <v/>
      </c>
      <c r="K926" s="11">
        <f>IF(BANK_RAW!A926="","",IF(H926="CR","IN","OUT"))</f>
        <v/>
      </c>
      <c r="L926" s="11" t="inlineStr"/>
      <c r="M926" s="11" t="inlineStr"/>
    </row>
    <row r="927">
      <c r="A927" s="13">
        <f>IF(BANK_RAW!A927="","",ROW()-1)</f>
        <v/>
      </c>
      <c r="B927" s="10">
        <f>IF(BANK_RAW!A927="","",IF(ISNUMBER(BANK_RAW!A927),BANK_RAW!A927,DATEVALUE(TEXT(BANK_RAW!A927,"YYYY-MM-DD"))))</f>
        <v/>
      </c>
      <c r="C927" s="11">
        <f>IF(BANK_RAW!A927="","",TRIM(BANK_RAW!B927))</f>
        <v/>
      </c>
      <c r="D927" s="11">
        <f>IF(BANK_RAW!A927="","",TRIM(BANK_RAW!C927))</f>
        <v/>
      </c>
      <c r="E927" s="12">
        <f>IF(BANK_RAW!A927="","",IFERROR(ABS(BANK_RAW!D927),0))</f>
        <v/>
      </c>
      <c r="F927" s="12">
        <f>IF(BANK_RAW!A927="","",IFERROR(ABS(BANK_RAW!E927),0))</f>
        <v/>
      </c>
      <c r="G927" s="12">
        <f>IF(BANK_RAW!A927="","",IFERROR(BANK_RAW!F927,0))</f>
        <v/>
      </c>
      <c r="H927" s="11">
        <f>IF(BANK_RAW!A927="","",IF(E927&gt;0,"CR",IF(F927&gt;0,"DR","CR")))</f>
        <v/>
      </c>
      <c r="I927" s="12">
        <f>IF(BANK_RAW!A927="","",E927-F927)</f>
        <v/>
      </c>
      <c r="J927" s="12">
        <f>IF(BANK_RAW!A927="","",ABS(I927))</f>
        <v/>
      </c>
      <c r="K927" s="11">
        <f>IF(BANK_RAW!A927="","",IF(H927="CR","IN","OUT"))</f>
        <v/>
      </c>
      <c r="L927" s="11" t="inlineStr"/>
      <c r="M927" s="11" t="inlineStr"/>
    </row>
    <row r="928">
      <c r="A928" s="13">
        <f>IF(BANK_RAW!A928="","",ROW()-1)</f>
        <v/>
      </c>
      <c r="B928" s="10">
        <f>IF(BANK_RAW!A928="","",IF(ISNUMBER(BANK_RAW!A928),BANK_RAW!A928,DATEVALUE(TEXT(BANK_RAW!A928,"YYYY-MM-DD"))))</f>
        <v/>
      </c>
      <c r="C928" s="11">
        <f>IF(BANK_RAW!A928="","",TRIM(BANK_RAW!B928))</f>
        <v/>
      </c>
      <c r="D928" s="11">
        <f>IF(BANK_RAW!A928="","",TRIM(BANK_RAW!C928))</f>
        <v/>
      </c>
      <c r="E928" s="12">
        <f>IF(BANK_RAW!A928="","",IFERROR(ABS(BANK_RAW!D928),0))</f>
        <v/>
      </c>
      <c r="F928" s="12">
        <f>IF(BANK_RAW!A928="","",IFERROR(ABS(BANK_RAW!E928),0))</f>
        <v/>
      </c>
      <c r="G928" s="12">
        <f>IF(BANK_RAW!A928="","",IFERROR(BANK_RAW!F928,0))</f>
        <v/>
      </c>
      <c r="H928" s="11">
        <f>IF(BANK_RAW!A928="","",IF(E928&gt;0,"CR",IF(F928&gt;0,"DR","CR")))</f>
        <v/>
      </c>
      <c r="I928" s="12">
        <f>IF(BANK_RAW!A928="","",E928-F928)</f>
        <v/>
      </c>
      <c r="J928" s="12">
        <f>IF(BANK_RAW!A928="","",ABS(I928))</f>
        <v/>
      </c>
      <c r="K928" s="11">
        <f>IF(BANK_RAW!A928="","",IF(H928="CR","IN","OUT"))</f>
        <v/>
      </c>
      <c r="L928" s="11" t="inlineStr"/>
      <c r="M928" s="11" t="inlineStr"/>
    </row>
    <row r="929">
      <c r="A929" s="13">
        <f>IF(BANK_RAW!A929="","",ROW()-1)</f>
        <v/>
      </c>
      <c r="B929" s="10">
        <f>IF(BANK_RAW!A929="","",IF(ISNUMBER(BANK_RAW!A929),BANK_RAW!A929,DATEVALUE(TEXT(BANK_RAW!A929,"YYYY-MM-DD"))))</f>
        <v/>
      </c>
      <c r="C929" s="11">
        <f>IF(BANK_RAW!A929="","",TRIM(BANK_RAW!B929))</f>
        <v/>
      </c>
      <c r="D929" s="11">
        <f>IF(BANK_RAW!A929="","",TRIM(BANK_RAW!C929))</f>
        <v/>
      </c>
      <c r="E929" s="12">
        <f>IF(BANK_RAW!A929="","",IFERROR(ABS(BANK_RAW!D929),0))</f>
        <v/>
      </c>
      <c r="F929" s="12">
        <f>IF(BANK_RAW!A929="","",IFERROR(ABS(BANK_RAW!E929),0))</f>
        <v/>
      </c>
      <c r="G929" s="12">
        <f>IF(BANK_RAW!A929="","",IFERROR(BANK_RAW!F929,0))</f>
        <v/>
      </c>
      <c r="H929" s="11">
        <f>IF(BANK_RAW!A929="","",IF(E929&gt;0,"CR",IF(F929&gt;0,"DR","CR")))</f>
        <v/>
      </c>
      <c r="I929" s="12">
        <f>IF(BANK_RAW!A929="","",E929-F929)</f>
        <v/>
      </c>
      <c r="J929" s="12">
        <f>IF(BANK_RAW!A929="","",ABS(I929))</f>
        <v/>
      </c>
      <c r="K929" s="11">
        <f>IF(BANK_RAW!A929="","",IF(H929="CR","IN","OUT"))</f>
        <v/>
      </c>
      <c r="L929" s="11" t="inlineStr"/>
      <c r="M929" s="11" t="inlineStr"/>
    </row>
    <row r="930">
      <c r="A930" s="13">
        <f>IF(BANK_RAW!A930="","",ROW()-1)</f>
        <v/>
      </c>
      <c r="B930" s="10">
        <f>IF(BANK_RAW!A930="","",IF(ISNUMBER(BANK_RAW!A930),BANK_RAW!A930,DATEVALUE(TEXT(BANK_RAW!A930,"YYYY-MM-DD"))))</f>
        <v/>
      </c>
      <c r="C930" s="11">
        <f>IF(BANK_RAW!A930="","",TRIM(BANK_RAW!B930))</f>
        <v/>
      </c>
      <c r="D930" s="11">
        <f>IF(BANK_RAW!A930="","",TRIM(BANK_RAW!C930))</f>
        <v/>
      </c>
      <c r="E930" s="12">
        <f>IF(BANK_RAW!A930="","",IFERROR(ABS(BANK_RAW!D930),0))</f>
        <v/>
      </c>
      <c r="F930" s="12">
        <f>IF(BANK_RAW!A930="","",IFERROR(ABS(BANK_RAW!E930),0))</f>
        <v/>
      </c>
      <c r="G930" s="12">
        <f>IF(BANK_RAW!A930="","",IFERROR(BANK_RAW!F930,0))</f>
        <v/>
      </c>
      <c r="H930" s="11">
        <f>IF(BANK_RAW!A930="","",IF(E930&gt;0,"CR",IF(F930&gt;0,"DR","CR")))</f>
        <v/>
      </c>
      <c r="I930" s="12">
        <f>IF(BANK_RAW!A930="","",E930-F930)</f>
        <v/>
      </c>
      <c r="J930" s="12">
        <f>IF(BANK_RAW!A930="","",ABS(I930))</f>
        <v/>
      </c>
      <c r="K930" s="11">
        <f>IF(BANK_RAW!A930="","",IF(H930="CR","IN","OUT"))</f>
        <v/>
      </c>
      <c r="L930" s="11" t="inlineStr"/>
      <c r="M930" s="11" t="inlineStr"/>
    </row>
    <row r="931">
      <c r="A931" s="13">
        <f>IF(BANK_RAW!A931="","",ROW()-1)</f>
        <v/>
      </c>
      <c r="B931" s="10">
        <f>IF(BANK_RAW!A931="","",IF(ISNUMBER(BANK_RAW!A931),BANK_RAW!A931,DATEVALUE(TEXT(BANK_RAW!A931,"YYYY-MM-DD"))))</f>
        <v/>
      </c>
      <c r="C931" s="11">
        <f>IF(BANK_RAW!A931="","",TRIM(BANK_RAW!B931))</f>
        <v/>
      </c>
      <c r="D931" s="11">
        <f>IF(BANK_RAW!A931="","",TRIM(BANK_RAW!C931))</f>
        <v/>
      </c>
      <c r="E931" s="12">
        <f>IF(BANK_RAW!A931="","",IFERROR(ABS(BANK_RAW!D931),0))</f>
        <v/>
      </c>
      <c r="F931" s="12">
        <f>IF(BANK_RAW!A931="","",IFERROR(ABS(BANK_RAW!E931),0))</f>
        <v/>
      </c>
      <c r="G931" s="12">
        <f>IF(BANK_RAW!A931="","",IFERROR(BANK_RAW!F931,0))</f>
        <v/>
      </c>
      <c r="H931" s="11">
        <f>IF(BANK_RAW!A931="","",IF(E931&gt;0,"CR",IF(F931&gt;0,"DR","CR")))</f>
        <v/>
      </c>
      <c r="I931" s="12">
        <f>IF(BANK_RAW!A931="","",E931-F931)</f>
        <v/>
      </c>
      <c r="J931" s="12">
        <f>IF(BANK_RAW!A931="","",ABS(I931))</f>
        <v/>
      </c>
      <c r="K931" s="11">
        <f>IF(BANK_RAW!A931="","",IF(H931="CR","IN","OUT"))</f>
        <v/>
      </c>
      <c r="L931" s="11" t="inlineStr"/>
      <c r="M931" s="11" t="inlineStr"/>
    </row>
    <row r="932">
      <c r="A932" s="13">
        <f>IF(BANK_RAW!A932="","",ROW()-1)</f>
        <v/>
      </c>
      <c r="B932" s="10">
        <f>IF(BANK_RAW!A932="","",IF(ISNUMBER(BANK_RAW!A932),BANK_RAW!A932,DATEVALUE(TEXT(BANK_RAW!A932,"YYYY-MM-DD"))))</f>
        <v/>
      </c>
      <c r="C932" s="11">
        <f>IF(BANK_RAW!A932="","",TRIM(BANK_RAW!B932))</f>
        <v/>
      </c>
      <c r="D932" s="11">
        <f>IF(BANK_RAW!A932="","",TRIM(BANK_RAW!C932))</f>
        <v/>
      </c>
      <c r="E932" s="12">
        <f>IF(BANK_RAW!A932="","",IFERROR(ABS(BANK_RAW!D932),0))</f>
        <v/>
      </c>
      <c r="F932" s="12">
        <f>IF(BANK_RAW!A932="","",IFERROR(ABS(BANK_RAW!E932),0))</f>
        <v/>
      </c>
      <c r="G932" s="12">
        <f>IF(BANK_RAW!A932="","",IFERROR(BANK_RAW!F932,0))</f>
        <v/>
      </c>
      <c r="H932" s="11">
        <f>IF(BANK_RAW!A932="","",IF(E932&gt;0,"CR",IF(F932&gt;0,"DR","CR")))</f>
        <v/>
      </c>
      <c r="I932" s="12">
        <f>IF(BANK_RAW!A932="","",E932-F932)</f>
        <v/>
      </c>
      <c r="J932" s="12">
        <f>IF(BANK_RAW!A932="","",ABS(I932))</f>
        <v/>
      </c>
      <c r="K932" s="11">
        <f>IF(BANK_RAW!A932="","",IF(H932="CR","IN","OUT"))</f>
        <v/>
      </c>
      <c r="L932" s="11" t="inlineStr"/>
      <c r="M932" s="11" t="inlineStr"/>
    </row>
    <row r="933">
      <c r="A933" s="13">
        <f>IF(BANK_RAW!A933="","",ROW()-1)</f>
        <v/>
      </c>
      <c r="B933" s="10">
        <f>IF(BANK_RAW!A933="","",IF(ISNUMBER(BANK_RAW!A933),BANK_RAW!A933,DATEVALUE(TEXT(BANK_RAW!A933,"YYYY-MM-DD"))))</f>
        <v/>
      </c>
      <c r="C933" s="11">
        <f>IF(BANK_RAW!A933="","",TRIM(BANK_RAW!B933))</f>
        <v/>
      </c>
      <c r="D933" s="11">
        <f>IF(BANK_RAW!A933="","",TRIM(BANK_RAW!C933))</f>
        <v/>
      </c>
      <c r="E933" s="12">
        <f>IF(BANK_RAW!A933="","",IFERROR(ABS(BANK_RAW!D933),0))</f>
        <v/>
      </c>
      <c r="F933" s="12">
        <f>IF(BANK_RAW!A933="","",IFERROR(ABS(BANK_RAW!E933),0))</f>
        <v/>
      </c>
      <c r="G933" s="12">
        <f>IF(BANK_RAW!A933="","",IFERROR(BANK_RAW!F933,0))</f>
        <v/>
      </c>
      <c r="H933" s="11">
        <f>IF(BANK_RAW!A933="","",IF(E933&gt;0,"CR",IF(F933&gt;0,"DR","CR")))</f>
        <v/>
      </c>
      <c r="I933" s="12">
        <f>IF(BANK_RAW!A933="","",E933-F933)</f>
        <v/>
      </c>
      <c r="J933" s="12">
        <f>IF(BANK_RAW!A933="","",ABS(I933))</f>
        <v/>
      </c>
      <c r="K933" s="11">
        <f>IF(BANK_RAW!A933="","",IF(H933="CR","IN","OUT"))</f>
        <v/>
      </c>
      <c r="L933" s="11" t="inlineStr"/>
      <c r="M933" s="11" t="inlineStr"/>
    </row>
    <row r="934">
      <c r="A934" s="13">
        <f>IF(BANK_RAW!A934="","",ROW()-1)</f>
        <v/>
      </c>
      <c r="B934" s="10">
        <f>IF(BANK_RAW!A934="","",IF(ISNUMBER(BANK_RAW!A934),BANK_RAW!A934,DATEVALUE(TEXT(BANK_RAW!A934,"YYYY-MM-DD"))))</f>
        <v/>
      </c>
      <c r="C934" s="11">
        <f>IF(BANK_RAW!A934="","",TRIM(BANK_RAW!B934))</f>
        <v/>
      </c>
      <c r="D934" s="11">
        <f>IF(BANK_RAW!A934="","",TRIM(BANK_RAW!C934))</f>
        <v/>
      </c>
      <c r="E934" s="12">
        <f>IF(BANK_RAW!A934="","",IFERROR(ABS(BANK_RAW!D934),0))</f>
        <v/>
      </c>
      <c r="F934" s="12">
        <f>IF(BANK_RAW!A934="","",IFERROR(ABS(BANK_RAW!E934),0))</f>
        <v/>
      </c>
      <c r="G934" s="12">
        <f>IF(BANK_RAW!A934="","",IFERROR(BANK_RAW!F934,0))</f>
        <v/>
      </c>
      <c r="H934" s="11">
        <f>IF(BANK_RAW!A934="","",IF(E934&gt;0,"CR",IF(F934&gt;0,"DR","CR")))</f>
        <v/>
      </c>
      <c r="I934" s="12">
        <f>IF(BANK_RAW!A934="","",E934-F934)</f>
        <v/>
      </c>
      <c r="J934" s="12">
        <f>IF(BANK_RAW!A934="","",ABS(I934))</f>
        <v/>
      </c>
      <c r="K934" s="11">
        <f>IF(BANK_RAW!A934="","",IF(H934="CR","IN","OUT"))</f>
        <v/>
      </c>
      <c r="L934" s="11" t="inlineStr"/>
      <c r="M934" s="11" t="inlineStr"/>
    </row>
    <row r="935">
      <c r="A935" s="13">
        <f>IF(BANK_RAW!A935="","",ROW()-1)</f>
        <v/>
      </c>
      <c r="B935" s="10">
        <f>IF(BANK_RAW!A935="","",IF(ISNUMBER(BANK_RAW!A935),BANK_RAW!A935,DATEVALUE(TEXT(BANK_RAW!A935,"YYYY-MM-DD"))))</f>
        <v/>
      </c>
      <c r="C935" s="11">
        <f>IF(BANK_RAW!A935="","",TRIM(BANK_RAW!B935))</f>
        <v/>
      </c>
      <c r="D935" s="11">
        <f>IF(BANK_RAW!A935="","",TRIM(BANK_RAW!C935))</f>
        <v/>
      </c>
      <c r="E935" s="12">
        <f>IF(BANK_RAW!A935="","",IFERROR(ABS(BANK_RAW!D935),0))</f>
        <v/>
      </c>
      <c r="F935" s="12">
        <f>IF(BANK_RAW!A935="","",IFERROR(ABS(BANK_RAW!E935),0))</f>
        <v/>
      </c>
      <c r="G935" s="12">
        <f>IF(BANK_RAW!A935="","",IFERROR(BANK_RAW!F935,0))</f>
        <v/>
      </c>
      <c r="H935" s="11">
        <f>IF(BANK_RAW!A935="","",IF(E935&gt;0,"CR",IF(F935&gt;0,"DR","CR")))</f>
        <v/>
      </c>
      <c r="I935" s="12">
        <f>IF(BANK_RAW!A935="","",E935-F935)</f>
        <v/>
      </c>
      <c r="J935" s="12">
        <f>IF(BANK_RAW!A935="","",ABS(I935))</f>
        <v/>
      </c>
      <c r="K935" s="11">
        <f>IF(BANK_RAW!A935="","",IF(H935="CR","IN","OUT"))</f>
        <v/>
      </c>
      <c r="L935" s="11" t="inlineStr"/>
      <c r="M935" s="11" t="inlineStr"/>
    </row>
    <row r="936">
      <c r="A936" s="13">
        <f>IF(BANK_RAW!A936="","",ROW()-1)</f>
        <v/>
      </c>
      <c r="B936" s="10">
        <f>IF(BANK_RAW!A936="","",IF(ISNUMBER(BANK_RAW!A936),BANK_RAW!A936,DATEVALUE(TEXT(BANK_RAW!A936,"YYYY-MM-DD"))))</f>
        <v/>
      </c>
      <c r="C936" s="11">
        <f>IF(BANK_RAW!A936="","",TRIM(BANK_RAW!B936))</f>
        <v/>
      </c>
      <c r="D936" s="11">
        <f>IF(BANK_RAW!A936="","",TRIM(BANK_RAW!C936))</f>
        <v/>
      </c>
      <c r="E936" s="12">
        <f>IF(BANK_RAW!A936="","",IFERROR(ABS(BANK_RAW!D936),0))</f>
        <v/>
      </c>
      <c r="F936" s="12">
        <f>IF(BANK_RAW!A936="","",IFERROR(ABS(BANK_RAW!E936),0))</f>
        <v/>
      </c>
      <c r="G936" s="12">
        <f>IF(BANK_RAW!A936="","",IFERROR(BANK_RAW!F936,0))</f>
        <v/>
      </c>
      <c r="H936" s="11">
        <f>IF(BANK_RAW!A936="","",IF(E936&gt;0,"CR",IF(F936&gt;0,"DR","CR")))</f>
        <v/>
      </c>
      <c r="I936" s="12">
        <f>IF(BANK_RAW!A936="","",E936-F936)</f>
        <v/>
      </c>
      <c r="J936" s="12">
        <f>IF(BANK_RAW!A936="","",ABS(I936))</f>
        <v/>
      </c>
      <c r="K936" s="11">
        <f>IF(BANK_RAW!A936="","",IF(H936="CR","IN","OUT"))</f>
        <v/>
      </c>
      <c r="L936" s="11" t="inlineStr"/>
      <c r="M936" s="11" t="inlineStr"/>
    </row>
    <row r="937">
      <c r="A937" s="13">
        <f>IF(BANK_RAW!A937="","",ROW()-1)</f>
        <v/>
      </c>
      <c r="B937" s="10">
        <f>IF(BANK_RAW!A937="","",IF(ISNUMBER(BANK_RAW!A937),BANK_RAW!A937,DATEVALUE(TEXT(BANK_RAW!A937,"YYYY-MM-DD"))))</f>
        <v/>
      </c>
      <c r="C937" s="11">
        <f>IF(BANK_RAW!A937="","",TRIM(BANK_RAW!B937))</f>
        <v/>
      </c>
      <c r="D937" s="11">
        <f>IF(BANK_RAW!A937="","",TRIM(BANK_RAW!C937))</f>
        <v/>
      </c>
      <c r="E937" s="12">
        <f>IF(BANK_RAW!A937="","",IFERROR(ABS(BANK_RAW!D937),0))</f>
        <v/>
      </c>
      <c r="F937" s="12">
        <f>IF(BANK_RAW!A937="","",IFERROR(ABS(BANK_RAW!E937),0))</f>
        <v/>
      </c>
      <c r="G937" s="12">
        <f>IF(BANK_RAW!A937="","",IFERROR(BANK_RAW!F937,0))</f>
        <v/>
      </c>
      <c r="H937" s="11">
        <f>IF(BANK_RAW!A937="","",IF(E937&gt;0,"CR",IF(F937&gt;0,"DR","CR")))</f>
        <v/>
      </c>
      <c r="I937" s="12">
        <f>IF(BANK_RAW!A937="","",E937-F937)</f>
        <v/>
      </c>
      <c r="J937" s="12">
        <f>IF(BANK_RAW!A937="","",ABS(I937))</f>
        <v/>
      </c>
      <c r="K937" s="11">
        <f>IF(BANK_RAW!A937="","",IF(H937="CR","IN","OUT"))</f>
        <v/>
      </c>
      <c r="L937" s="11" t="inlineStr"/>
      <c r="M937" s="11" t="inlineStr"/>
    </row>
    <row r="938">
      <c r="A938" s="13">
        <f>IF(BANK_RAW!A938="","",ROW()-1)</f>
        <v/>
      </c>
      <c r="B938" s="10">
        <f>IF(BANK_RAW!A938="","",IF(ISNUMBER(BANK_RAW!A938),BANK_RAW!A938,DATEVALUE(TEXT(BANK_RAW!A938,"YYYY-MM-DD"))))</f>
        <v/>
      </c>
      <c r="C938" s="11">
        <f>IF(BANK_RAW!A938="","",TRIM(BANK_RAW!B938))</f>
        <v/>
      </c>
      <c r="D938" s="11">
        <f>IF(BANK_RAW!A938="","",TRIM(BANK_RAW!C938))</f>
        <v/>
      </c>
      <c r="E938" s="12">
        <f>IF(BANK_RAW!A938="","",IFERROR(ABS(BANK_RAW!D938),0))</f>
        <v/>
      </c>
      <c r="F938" s="12">
        <f>IF(BANK_RAW!A938="","",IFERROR(ABS(BANK_RAW!E938),0))</f>
        <v/>
      </c>
      <c r="G938" s="12">
        <f>IF(BANK_RAW!A938="","",IFERROR(BANK_RAW!F938,0))</f>
        <v/>
      </c>
      <c r="H938" s="11">
        <f>IF(BANK_RAW!A938="","",IF(E938&gt;0,"CR",IF(F938&gt;0,"DR","CR")))</f>
        <v/>
      </c>
      <c r="I938" s="12">
        <f>IF(BANK_RAW!A938="","",E938-F938)</f>
        <v/>
      </c>
      <c r="J938" s="12">
        <f>IF(BANK_RAW!A938="","",ABS(I938))</f>
        <v/>
      </c>
      <c r="K938" s="11">
        <f>IF(BANK_RAW!A938="","",IF(H938="CR","IN","OUT"))</f>
        <v/>
      </c>
      <c r="L938" s="11" t="inlineStr"/>
      <c r="M938" s="11" t="inlineStr"/>
    </row>
    <row r="939">
      <c r="A939" s="13">
        <f>IF(BANK_RAW!A939="","",ROW()-1)</f>
        <v/>
      </c>
      <c r="B939" s="10">
        <f>IF(BANK_RAW!A939="","",IF(ISNUMBER(BANK_RAW!A939),BANK_RAW!A939,DATEVALUE(TEXT(BANK_RAW!A939,"YYYY-MM-DD"))))</f>
        <v/>
      </c>
      <c r="C939" s="11">
        <f>IF(BANK_RAW!A939="","",TRIM(BANK_RAW!B939))</f>
        <v/>
      </c>
      <c r="D939" s="11">
        <f>IF(BANK_RAW!A939="","",TRIM(BANK_RAW!C939))</f>
        <v/>
      </c>
      <c r="E939" s="12">
        <f>IF(BANK_RAW!A939="","",IFERROR(ABS(BANK_RAW!D939),0))</f>
        <v/>
      </c>
      <c r="F939" s="12">
        <f>IF(BANK_RAW!A939="","",IFERROR(ABS(BANK_RAW!E939),0))</f>
        <v/>
      </c>
      <c r="G939" s="12">
        <f>IF(BANK_RAW!A939="","",IFERROR(BANK_RAW!F939,0))</f>
        <v/>
      </c>
      <c r="H939" s="11">
        <f>IF(BANK_RAW!A939="","",IF(E939&gt;0,"CR",IF(F939&gt;0,"DR","CR")))</f>
        <v/>
      </c>
      <c r="I939" s="12">
        <f>IF(BANK_RAW!A939="","",E939-F939)</f>
        <v/>
      </c>
      <c r="J939" s="12">
        <f>IF(BANK_RAW!A939="","",ABS(I939))</f>
        <v/>
      </c>
      <c r="K939" s="11">
        <f>IF(BANK_RAW!A939="","",IF(H939="CR","IN","OUT"))</f>
        <v/>
      </c>
      <c r="L939" s="11" t="inlineStr"/>
      <c r="M939" s="11" t="inlineStr"/>
    </row>
    <row r="940">
      <c r="A940" s="13">
        <f>IF(BANK_RAW!A940="","",ROW()-1)</f>
        <v/>
      </c>
      <c r="B940" s="10">
        <f>IF(BANK_RAW!A940="","",IF(ISNUMBER(BANK_RAW!A940),BANK_RAW!A940,DATEVALUE(TEXT(BANK_RAW!A940,"YYYY-MM-DD"))))</f>
        <v/>
      </c>
      <c r="C940" s="11">
        <f>IF(BANK_RAW!A940="","",TRIM(BANK_RAW!B940))</f>
        <v/>
      </c>
      <c r="D940" s="11">
        <f>IF(BANK_RAW!A940="","",TRIM(BANK_RAW!C940))</f>
        <v/>
      </c>
      <c r="E940" s="12">
        <f>IF(BANK_RAW!A940="","",IFERROR(ABS(BANK_RAW!D940),0))</f>
        <v/>
      </c>
      <c r="F940" s="12">
        <f>IF(BANK_RAW!A940="","",IFERROR(ABS(BANK_RAW!E940),0))</f>
        <v/>
      </c>
      <c r="G940" s="12">
        <f>IF(BANK_RAW!A940="","",IFERROR(BANK_RAW!F940,0))</f>
        <v/>
      </c>
      <c r="H940" s="11">
        <f>IF(BANK_RAW!A940="","",IF(E940&gt;0,"CR",IF(F940&gt;0,"DR","CR")))</f>
        <v/>
      </c>
      <c r="I940" s="12">
        <f>IF(BANK_RAW!A940="","",E940-F940)</f>
        <v/>
      </c>
      <c r="J940" s="12">
        <f>IF(BANK_RAW!A940="","",ABS(I940))</f>
        <v/>
      </c>
      <c r="K940" s="11">
        <f>IF(BANK_RAW!A940="","",IF(H940="CR","IN","OUT"))</f>
        <v/>
      </c>
      <c r="L940" s="11" t="inlineStr"/>
      <c r="M940" s="11" t="inlineStr"/>
    </row>
    <row r="941">
      <c r="A941" s="13">
        <f>IF(BANK_RAW!A941="","",ROW()-1)</f>
        <v/>
      </c>
      <c r="B941" s="10">
        <f>IF(BANK_RAW!A941="","",IF(ISNUMBER(BANK_RAW!A941),BANK_RAW!A941,DATEVALUE(TEXT(BANK_RAW!A941,"YYYY-MM-DD"))))</f>
        <v/>
      </c>
      <c r="C941" s="11">
        <f>IF(BANK_RAW!A941="","",TRIM(BANK_RAW!B941))</f>
        <v/>
      </c>
      <c r="D941" s="11">
        <f>IF(BANK_RAW!A941="","",TRIM(BANK_RAW!C941))</f>
        <v/>
      </c>
      <c r="E941" s="12">
        <f>IF(BANK_RAW!A941="","",IFERROR(ABS(BANK_RAW!D941),0))</f>
        <v/>
      </c>
      <c r="F941" s="12">
        <f>IF(BANK_RAW!A941="","",IFERROR(ABS(BANK_RAW!E941),0))</f>
        <v/>
      </c>
      <c r="G941" s="12">
        <f>IF(BANK_RAW!A941="","",IFERROR(BANK_RAW!F941,0))</f>
        <v/>
      </c>
      <c r="H941" s="11">
        <f>IF(BANK_RAW!A941="","",IF(E941&gt;0,"CR",IF(F941&gt;0,"DR","CR")))</f>
        <v/>
      </c>
      <c r="I941" s="12">
        <f>IF(BANK_RAW!A941="","",E941-F941)</f>
        <v/>
      </c>
      <c r="J941" s="12">
        <f>IF(BANK_RAW!A941="","",ABS(I941))</f>
        <v/>
      </c>
      <c r="K941" s="11">
        <f>IF(BANK_RAW!A941="","",IF(H941="CR","IN","OUT"))</f>
        <v/>
      </c>
      <c r="L941" s="11" t="inlineStr"/>
      <c r="M941" s="11" t="inlineStr"/>
    </row>
    <row r="942">
      <c r="A942" s="13">
        <f>IF(BANK_RAW!A942="","",ROW()-1)</f>
        <v/>
      </c>
      <c r="B942" s="10">
        <f>IF(BANK_RAW!A942="","",IF(ISNUMBER(BANK_RAW!A942),BANK_RAW!A942,DATEVALUE(TEXT(BANK_RAW!A942,"YYYY-MM-DD"))))</f>
        <v/>
      </c>
      <c r="C942" s="11">
        <f>IF(BANK_RAW!A942="","",TRIM(BANK_RAW!B942))</f>
        <v/>
      </c>
      <c r="D942" s="11">
        <f>IF(BANK_RAW!A942="","",TRIM(BANK_RAW!C942))</f>
        <v/>
      </c>
      <c r="E942" s="12">
        <f>IF(BANK_RAW!A942="","",IFERROR(ABS(BANK_RAW!D942),0))</f>
        <v/>
      </c>
      <c r="F942" s="12">
        <f>IF(BANK_RAW!A942="","",IFERROR(ABS(BANK_RAW!E942),0))</f>
        <v/>
      </c>
      <c r="G942" s="12">
        <f>IF(BANK_RAW!A942="","",IFERROR(BANK_RAW!F942,0))</f>
        <v/>
      </c>
      <c r="H942" s="11">
        <f>IF(BANK_RAW!A942="","",IF(E942&gt;0,"CR",IF(F942&gt;0,"DR","CR")))</f>
        <v/>
      </c>
      <c r="I942" s="12">
        <f>IF(BANK_RAW!A942="","",E942-F942)</f>
        <v/>
      </c>
      <c r="J942" s="12">
        <f>IF(BANK_RAW!A942="","",ABS(I942))</f>
        <v/>
      </c>
      <c r="K942" s="11">
        <f>IF(BANK_RAW!A942="","",IF(H942="CR","IN","OUT"))</f>
        <v/>
      </c>
      <c r="L942" s="11" t="inlineStr"/>
      <c r="M942" s="11" t="inlineStr"/>
    </row>
    <row r="943">
      <c r="A943" s="13">
        <f>IF(BANK_RAW!A943="","",ROW()-1)</f>
        <v/>
      </c>
      <c r="B943" s="10">
        <f>IF(BANK_RAW!A943="","",IF(ISNUMBER(BANK_RAW!A943),BANK_RAW!A943,DATEVALUE(TEXT(BANK_RAW!A943,"YYYY-MM-DD"))))</f>
        <v/>
      </c>
      <c r="C943" s="11">
        <f>IF(BANK_RAW!A943="","",TRIM(BANK_RAW!B943))</f>
        <v/>
      </c>
      <c r="D943" s="11">
        <f>IF(BANK_RAW!A943="","",TRIM(BANK_RAW!C943))</f>
        <v/>
      </c>
      <c r="E943" s="12">
        <f>IF(BANK_RAW!A943="","",IFERROR(ABS(BANK_RAW!D943),0))</f>
        <v/>
      </c>
      <c r="F943" s="12">
        <f>IF(BANK_RAW!A943="","",IFERROR(ABS(BANK_RAW!E943),0))</f>
        <v/>
      </c>
      <c r="G943" s="12">
        <f>IF(BANK_RAW!A943="","",IFERROR(BANK_RAW!F943,0))</f>
        <v/>
      </c>
      <c r="H943" s="11">
        <f>IF(BANK_RAW!A943="","",IF(E943&gt;0,"CR",IF(F943&gt;0,"DR","CR")))</f>
        <v/>
      </c>
      <c r="I943" s="12">
        <f>IF(BANK_RAW!A943="","",E943-F943)</f>
        <v/>
      </c>
      <c r="J943" s="12">
        <f>IF(BANK_RAW!A943="","",ABS(I943))</f>
        <v/>
      </c>
      <c r="K943" s="11">
        <f>IF(BANK_RAW!A943="","",IF(H943="CR","IN","OUT"))</f>
        <v/>
      </c>
      <c r="L943" s="11" t="inlineStr"/>
      <c r="M943" s="11" t="inlineStr"/>
    </row>
    <row r="944">
      <c r="A944" s="13">
        <f>IF(BANK_RAW!A944="","",ROW()-1)</f>
        <v/>
      </c>
      <c r="B944" s="10">
        <f>IF(BANK_RAW!A944="","",IF(ISNUMBER(BANK_RAW!A944),BANK_RAW!A944,DATEVALUE(TEXT(BANK_RAW!A944,"YYYY-MM-DD"))))</f>
        <v/>
      </c>
      <c r="C944" s="11">
        <f>IF(BANK_RAW!A944="","",TRIM(BANK_RAW!B944))</f>
        <v/>
      </c>
      <c r="D944" s="11">
        <f>IF(BANK_RAW!A944="","",TRIM(BANK_RAW!C944))</f>
        <v/>
      </c>
      <c r="E944" s="12">
        <f>IF(BANK_RAW!A944="","",IFERROR(ABS(BANK_RAW!D944),0))</f>
        <v/>
      </c>
      <c r="F944" s="12">
        <f>IF(BANK_RAW!A944="","",IFERROR(ABS(BANK_RAW!E944),0))</f>
        <v/>
      </c>
      <c r="G944" s="12">
        <f>IF(BANK_RAW!A944="","",IFERROR(BANK_RAW!F944,0))</f>
        <v/>
      </c>
      <c r="H944" s="11">
        <f>IF(BANK_RAW!A944="","",IF(E944&gt;0,"CR",IF(F944&gt;0,"DR","CR")))</f>
        <v/>
      </c>
      <c r="I944" s="12">
        <f>IF(BANK_RAW!A944="","",E944-F944)</f>
        <v/>
      </c>
      <c r="J944" s="12">
        <f>IF(BANK_RAW!A944="","",ABS(I944))</f>
        <v/>
      </c>
      <c r="K944" s="11">
        <f>IF(BANK_RAW!A944="","",IF(H944="CR","IN","OUT"))</f>
        <v/>
      </c>
      <c r="L944" s="11" t="inlineStr"/>
      <c r="M944" s="11" t="inlineStr"/>
    </row>
    <row r="945">
      <c r="A945" s="13">
        <f>IF(BANK_RAW!A945="","",ROW()-1)</f>
        <v/>
      </c>
      <c r="B945" s="10">
        <f>IF(BANK_RAW!A945="","",IF(ISNUMBER(BANK_RAW!A945),BANK_RAW!A945,DATEVALUE(TEXT(BANK_RAW!A945,"YYYY-MM-DD"))))</f>
        <v/>
      </c>
      <c r="C945" s="11">
        <f>IF(BANK_RAW!A945="","",TRIM(BANK_RAW!B945))</f>
        <v/>
      </c>
      <c r="D945" s="11">
        <f>IF(BANK_RAW!A945="","",TRIM(BANK_RAW!C945))</f>
        <v/>
      </c>
      <c r="E945" s="12">
        <f>IF(BANK_RAW!A945="","",IFERROR(ABS(BANK_RAW!D945),0))</f>
        <v/>
      </c>
      <c r="F945" s="12">
        <f>IF(BANK_RAW!A945="","",IFERROR(ABS(BANK_RAW!E945),0))</f>
        <v/>
      </c>
      <c r="G945" s="12">
        <f>IF(BANK_RAW!A945="","",IFERROR(BANK_RAW!F945,0))</f>
        <v/>
      </c>
      <c r="H945" s="11">
        <f>IF(BANK_RAW!A945="","",IF(E945&gt;0,"CR",IF(F945&gt;0,"DR","CR")))</f>
        <v/>
      </c>
      <c r="I945" s="12">
        <f>IF(BANK_RAW!A945="","",E945-F945)</f>
        <v/>
      </c>
      <c r="J945" s="12">
        <f>IF(BANK_RAW!A945="","",ABS(I945))</f>
        <v/>
      </c>
      <c r="K945" s="11">
        <f>IF(BANK_RAW!A945="","",IF(H945="CR","IN","OUT"))</f>
        <v/>
      </c>
      <c r="L945" s="11" t="inlineStr"/>
      <c r="M945" s="11" t="inlineStr"/>
    </row>
    <row r="946">
      <c r="A946" s="13">
        <f>IF(BANK_RAW!A946="","",ROW()-1)</f>
        <v/>
      </c>
      <c r="B946" s="10">
        <f>IF(BANK_RAW!A946="","",IF(ISNUMBER(BANK_RAW!A946),BANK_RAW!A946,DATEVALUE(TEXT(BANK_RAW!A946,"YYYY-MM-DD"))))</f>
        <v/>
      </c>
      <c r="C946" s="11">
        <f>IF(BANK_RAW!A946="","",TRIM(BANK_RAW!B946))</f>
        <v/>
      </c>
      <c r="D946" s="11">
        <f>IF(BANK_RAW!A946="","",TRIM(BANK_RAW!C946))</f>
        <v/>
      </c>
      <c r="E946" s="12">
        <f>IF(BANK_RAW!A946="","",IFERROR(ABS(BANK_RAW!D946),0))</f>
        <v/>
      </c>
      <c r="F946" s="12">
        <f>IF(BANK_RAW!A946="","",IFERROR(ABS(BANK_RAW!E946),0))</f>
        <v/>
      </c>
      <c r="G946" s="12">
        <f>IF(BANK_RAW!A946="","",IFERROR(BANK_RAW!F946,0))</f>
        <v/>
      </c>
      <c r="H946" s="11">
        <f>IF(BANK_RAW!A946="","",IF(E946&gt;0,"CR",IF(F946&gt;0,"DR","CR")))</f>
        <v/>
      </c>
      <c r="I946" s="12">
        <f>IF(BANK_RAW!A946="","",E946-F946)</f>
        <v/>
      </c>
      <c r="J946" s="12">
        <f>IF(BANK_RAW!A946="","",ABS(I946))</f>
        <v/>
      </c>
      <c r="K946" s="11">
        <f>IF(BANK_RAW!A946="","",IF(H946="CR","IN","OUT"))</f>
        <v/>
      </c>
      <c r="L946" s="11" t="inlineStr"/>
      <c r="M946" s="11" t="inlineStr"/>
    </row>
    <row r="947">
      <c r="A947" s="13">
        <f>IF(BANK_RAW!A947="","",ROW()-1)</f>
        <v/>
      </c>
      <c r="B947" s="10">
        <f>IF(BANK_RAW!A947="","",IF(ISNUMBER(BANK_RAW!A947),BANK_RAW!A947,DATEVALUE(TEXT(BANK_RAW!A947,"YYYY-MM-DD"))))</f>
        <v/>
      </c>
      <c r="C947" s="11">
        <f>IF(BANK_RAW!A947="","",TRIM(BANK_RAW!B947))</f>
        <v/>
      </c>
      <c r="D947" s="11">
        <f>IF(BANK_RAW!A947="","",TRIM(BANK_RAW!C947))</f>
        <v/>
      </c>
      <c r="E947" s="12">
        <f>IF(BANK_RAW!A947="","",IFERROR(ABS(BANK_RAW!D947),0))</f>
        <v/>
      </c>
      <c r="F947" s="12">
        <f>IF(BANK_RAW!A947="","",IFERROR(ABS(BANK_RAW!E947),0))</f>
        <v/>
      </c>
      <c r="G947" s="12">
        <f>IF(BANK_RAW!A947="","",IFERROR(BANK_RAW!F947,0))</f>
        <v/>
      </c>
      <c r="H947" s="11">
        <f>IF(BANK_RAW!A947="","",IF(E947&gt;0,"CR",IF(F947&gt;0,"DR","CR")))</f>
        <v/>
      </c>
      <c r="I947" s="12">
        <f>IF(BANK_RAW!A947="","",E947-F947)</f>
        <v/>
      </c>
      <c r="J947" s="12">
        <f>IF(BANK_RAW!A947="","",ABS(I947))</f>
        <v/>
      </c>
      <c r="K947" s="11">
        <f>IF(BANK_RAW!A947="","",IF(H947="CR","IN","OUT"))</f>
        <v/>
      </c>
      <c r="L947" s="11" t="inlineStr"/>
      <c r="M947" s="11" t="inlineStr"/>
    </row>
    <row r="948">
      <c r="A948" s="13">
        <f>IF(BANK_RAW!A948="","",ROW()-1)</f>
        <v/>
      </c>
      <c r="B948" s="10">
        <f>IF(BANK_RAW!A948="","",IF(ISNUMBER(BANK_RAW!A948),BANK_RAW!A948,DATEVALUE(TEXT(BANK_RAW!A948,"YYYY-MM-DD"))))</f>
        <v/>
      </c>
      <c r="C948" s="11">
        <f>IF(BANK_RAW!A948="","",TRIM(BANK_RAW!B948))</f>
        <v/>
      </c>
      <c r="D948" s="11">
        <f>IF(BANK_RAW!A948="","",TRIM(BANK_RAW!C948))</f>
        <v/>
      </c>
      <c r="E948" s="12">
        <f>IF(BANK_RAW!A948="","",IFERROR(ABS(BANK_RAW!D948),0))</f>
        <v/>
      </c>
      <c r="F948" s="12">
        <f>IF(BANK_RAW!A948="","",IFERROR(ABS(BANK_RAW!E948),0))</f>
        <v/>
      </c>
      <c r="G948" s="12">
        <f>IF(BANK_RAW!A948="","",IFERROR(BANK_RAW!F948,0))</f>
        <v/>
      </c>
      <c r="H948" s="11">
        <f>IF(BANK_RAW!A948="","",IF(E948&gt;0,"CR",IF(F948&gt;0,"DR","CR")))</f>
        <v/>
      </c>
      <c r="I948" s="12">
        <f>IF(BANK_RAW!A948="","",E948-F948)</f>
        <v/>
      </c>
      <c r="J948" s="12">
        <f>IF(BANK_RAW!A948="","",ABS(I948))</f>
        <v/>
      </c>
      <c r="K948" s="11">
        <f>IF(BANK_RAW!A948="","",IF(H948="CR","IN","OUT"))</f>
        <v/>
      </c>
      <c r="L948" s="11" t="inlineStr"/>
      <c r="M948" s="11" t="inlineStr"/>
    </row>
    <row r="949">
      <c r="A949" s="13">
        <f>IF(BANK_RAW!A949="","",ROW()-1)</f>
        <v/>
      </c>
      <c r="B949" s="10">
        <f>IF(BANK_RAW!A949="","",IF(ISNUMBER(BANK_RAW!A949),BANK_RAW!A949,DATEVALUE(TEXT(BANK_RAW!A949,"YYYY-MM-DD"))))</f>
        <v/>
      </c>
      <c r="C949" s="11">
        <f>IF(BANK_RAW!A949="","",TRIM(BANK_RAW!B949))</f>
        <v/>
      </c>
      <c r="D949" s="11">
        <f>IF(BANK_RAW!A949="","",TRIM(BANK_RAW!C949))</f>
        <v/>
      </c>
      <c r="E949" s="12">
        <f>IF(BANK_RAW!A949="","",IFERROR(ABS(BANK_RAW!D949),0))</f>
        <v/>
      </c>
      <c r="F949" s="12">
        <f>IF(BANK_RAW!A949="","",IFERROR(ABS(BANK_RAW!E949),0))</f>
        <v/>
      </c>
      <c r="G949" s="12">
        <f>IF(BANK_RAW!A949="","",IFERROR(BANK_RAW!F949,0))</f>
        <v/>
      </c>
      <c r="H949" s="11">
        <f>IF(BANK_RAW!A949="","",IF(E949&gt;0,"CR",IF(F949&gt;0,"DR","CR")))</f>
        <v/>
      </c>
      <c r="I949" s="12">
        <f>IF(BANK_RAW!A949="","",E949-F949)</f>
        <v/>
      </c>
      <c r="J949" s="12">
        <f>IF(BANK_RAW!A949="","",ABS(I949))</f>
        <v/>
      </c>
      <c r="K949" s="11">
        <f>IF(BANK_RAW!A949="","",IF(H949="CR","IN","OUT"))</f>
        <v/>
      </c>
      <c r="L949" s="11" t="inlineStr"/>
      <c r="M949" s="11" t="inlineStr"/>
    </row>
    <row r="950">
      <c r="A950" s="13">
        <f>IF(BANK_RAW!A950="","",ROW()-1)</f>
        <v/>
      </c>
      <c r="B950" s="10">
        <f>IF(BANK_RAW!A950="","",IF(ISNUMBER(BANK_RAW!A950),BANK_RAW!A950,DATEVALUE(TEXT(BANK_RAW!A950,"YYYY-MM-DD"))))</f>
        <v/>
      </c>
      <c r="C950" s="11">
        <f>IF(BANK_RAW!A950="","",TRIM(BANK_RAW!B950))</f>
        <v/>
      </c>
      <c r="D950" s="11">
        <f>IF(BANK_RAW!A950="","",TRIM(BANK_RAW!C950))</f>
        <v/>
      </c>
      <c r="E950" s="12">
        <f>IF(BANK_RAW!A950="","",IFERROR(ABS(BANK_RAW!D950),0))</f>
        <v/>
      </c>
      <c r="F950" s="12">
        <f>IF(BANK_RAW!A950="","",IFERROR(ABS(BANK_RAW!E950),0))</f>
        <v/>
      </c>
      <c r="G950" s="12">
        <f>IF(BANK_RAW!A950="","",IFERROR(BANK_RAW!F950,0))</f>
        <v/>
      </c>
      <c r="H950" s="11">
        <f>IF(BANK_RAW!A950="","",IF(E950&gt;0,"CR",IF(F950&gt;0,"DR","CR")))</f>
        <v/>
      </c>
      <c r="I950" s="12">
        <f>IF(BANK_RAW!A950="","",E950-F950)</f>
        <v/>
      </c>
      <c r="J950" s="12">
        <f>IF(BANK_RAW!A950="","",ABS(I950))</f>
        <v/>
      </c>
      <c r="K950" s="11">
        <f>IF(BANK_RAW!A950="","",IF(H950="CR","IN","OUT"))</f>
        <v/>
      </c>
      <c r="L950" s="11" t="inlineStr"/>
      <c r="M950" s="11" t="inlineStr"/>
    </row>
    <row r="951">
      <c r="A951" s="13">
        <f>IF(BANK_RAW!A951="","",ROW()-1)</f>
        <v/>
      </c>
      <c r="B951" s="10">
        <f>IF(BANK_RAW!A951="","",IF(ISNUMBER(BANK_RAW!A951),BANK_RAW!A951,DATEVALUE(TEXT(BANK_RAW!A951,"YYYY-MM-DD"))))</f>
        <v/>
      </c>
      <c r="C951" s="11">
        <f>IF(BANK_RAW!A951="","",TRIM(BANK_RAW!B951))</f>
        <v/>
      </c>
      <c r="D951" s="11">
        <f>IF(BANK_RAW!A951="","",TRIM(BANK_RAW!C951))</f>
        <v/>
      </c>
      <c r="E951" s="12">
        <f>IF(BANK_RAW!A951="","",IFERROR(ABS(BANK_RAW!D951),0))</f>
        <v/>
      </c>
      <c r="F951" s="12">
        <f>IF(BANK_RAW!A951="","",IFERROR(ABS(BANK_RAW!E951),0))</f>
        <v/>
      </c>
      <c r="G951" s="12">
        <f>IF(BANK_RAW!A951="","",IFERROR(BANK_RAW!F951,0))</f>
        <v/>
      </c>
      <c r="H951" s="11">
        <f>IF(BANK_RAW!A951="","",IF(E951&gt;0,"CR",IF(F951&gt;0,"DR","CR")))</f>
        <v/>
      </c>
      <c r="I951" s="12">
        <f>IF(BANK_RAW!A951="","",E951-F951)</f>
        <v/>
      </c>
      <c r="J951" s="12">
        <f>IF(BANK_RAW!A951="","",ABS(I951))</f>
        <v/>
      </c>
      <c r="K951" s="11">
        <f>IF(BANK_RAW!A951="","",IF(H951="CR","IN","OUT"))</f>
        <v/>
      </c>
      <c r="L951" s="11" t="inlineStr"/>
      <c r="M951" s="11" t="inlineStr"/>
    </row>
    <row r="952">
      <c r="A952" s="13">
        <f>IF(BANK_RAW!A952="","",ROW()-1)</f>
        <v/>
      </c>
      <c r="B952" s="10">
        <f>IF(BANK_RAW!A952="","",IF(ISNUMBER(BANK_RAW!A952),BANK_RAW!A952,DATEVALUE(TEXT(BANK_RAW!A952,"YYYY-MM-DD"))))</f>
        <v/>
      </c>
      <c r="C952" s="11">
        <f>IF(BANK_RAW!A952="","",TRIM(BANK_RAW!B952))</f>
        <v/>
      </c>
      <c r="D952" s="11">
        <f>IF(BANK_RAW!A952="","",TRIM(BANK_RAW!C952))</f>
        <v/>
      </c>
      <c r="E952" s="12">
        <f>IF(BANK_RAW!A952="","",IFERROR(ABS(BANK_RAW!D952),0))</f>
        <v/>
      </c>
      <c r="F952" s="12">
        <f>IF(BANK_RAW!A952="","",IFERROR(ABS(BANK_RAW!E952),0))</f>
        <v/>
      </c>
      <c r="G952" s="12">
        <f>IF(BANK_RAW!A952="","",IFERROR(BANK_RAW!F952,0))</f>
        <v/>
      </c>
      <c r="H952" s="11">
        <f>IF(BANK_RAW!A952="","",IF(E952&gt;0,"CR",IF(F952&gt;0,"DR","CR")))</f>
        <v/>
      </c>
      <c r="I952" s="12">
        <f>IF(BANK_RAW!A952="","",E952-F952)</f>
        <v/>
      </c>
      <c r="J952" s="12">
        <f>IF(BANK_RAW!A952="","",ABS(I952))</f>
        <v/>
      </c>
      <c r="K952" s="11">
        <f>IF(BANK_RAW!A952="","",IF(H952="CR","IN","OUT"))</f>
        <v/>
      </c>
      <c r="L952" s="11" t="inlineStr"/>
      <c r="M952" s="11" t="inlineStr"/>
    </row>
    <row r="953">
      <c r="A953" s="13">
        <f>IF(BANK_RAW!A953="","",ROW()-1)</f>
        <v/>
      </c>
      <c r="B953" s="10">
        <f>IF(BANK_RAW!A953="","",IF(ISNUMBER(BANK_RAW!A953),BANK_RAW!A953,DATEVALUE(TEXT(BANK_RAW!A953,"YYYY-MM-DD"))))</f>
        <v/>
      </c>
      <c r="C953" s="11">
        <f>IF(BANK_RAW!A953="","",TRIM(BANK_RAW!B953))</f>
        <v/>
      </c>
      <c r="D953" s="11">
        <f>IF(BANK_RAW!A953="","",TRIM(BANK_RAW!C953))</f>
        <v/>
      </c>
      <c r="E953" s="12">
        <f>IF(BANK_RAW!A953="","",IFERROR(ABS(BANK_RAW!D953),0))</f>
        <v/>
      </c>
      <c r="F953" s="12">
        <f>IF(BANK_RAW!A953="","",IFERROR(ABS(BANK_RAW!E953),0))</f>
        <v/>
      </c>
      <c r="G953" s="12">
        <f>IF(BANK_RAW!A953="","",IFERROR(BANK_RAW!F953,0))</f>
        <v/>
      </c>
      <c r="H953" s="11">
        <f>IF(BANK_RAW!A953="","",IF(E953&gt;0,"CR",IF(F953&gt;0,"DR","CR")))</f>
        <v/>
      </c>
      <c r="I953" s="12">
        <f>IF(BANK_RAW!A953="","",E953-F953)</f>
        <v/>
      </c>
      <c r="J953" s="12">
        <f>IF(BANK_RAW!A953="","",ABS(I953))</f>
        <v/>
      </c>
      <c r="K953" s="11">
        <f>IF(BANK_RAW!A953="","",IF(H953="CR","IN","OUT"))</f>
        <v/>
      </c>
      <c r="L953" s="11" t="inlineStr"/>
      <c r="M953" s="11" t="inlineStr"/>
    </row>
    <row r="954">
      <c r="A954" s="13">
        <f>IF(BANK_RAW!A954="","",ROW()-1)</f>
        <v/>
      </c>
      <c r="B954" s="10">
        <f>IF(BANK_RAW!A954="","",IF(ISNUMBER(BANK_RAW!A954),BANK_RAW!A954,DATEVALUE(TEXT(BANK_RAW!A954,"YYYY-MM-DD"))))</f>
        <v/>
      </c>
      <c r="C954" s="11">
        <f>IF(BANK_RAW!A954="","",TRIM(BANK_RAW!B954))</f>
        <v/>
      </c>
      <c r="D954" s="11">
        <f>IF(BANK_RAW!A954="","",TRIM(BANK_RAW!C954))</f>
        <v/>
      </c>
      <c r="E954" s="12">
        <f>IF(BANK_RAW!A954="","",IFERROR(ABS(BANK_RAW!D954),0))</f>
        <v/>
      </c>
      <c r="F954" s="12">
        <f>IF(BANK_RAW!A954="","",IFERROR(ABS(BANK_RAW!E954),0))</f>
        <v/>
      </c>
      <c r="G954" s="12">
        <f>IF(BANK_RAW!A954="","",IFERROR(BANK_RAW!F954,0))</f>
        <v/>
      </c>
      <c r="H954" s="11">
        <f>IF(BANK_RAW!A954="","",IF(E954&gt;0,"CR",IF(F954&gt;0,"DR","CR")))</f>
        <v/>
      </c>
      <c r="I954" s="12">
        <f>IF(BANK_RAW!A954="","",E954-F954)</f>
        <v/>
      </c>
      <c r="J954" s="12">
        <f>IF(BANK_RAW!A954="","",ABS(I954))</f>
        <v/>
      </c>
      <c r="K954" s="11">
        <f>IF(BANK_RAW!A954="","",IF(H954="CR","IN","OUT"))</f>
        <v/>
      </c>
      <c r="L954" s="11" t="inlineStr"/>
      <c r="M954" s="11" t="inlineStr"/>
    </row>
    <row r="955">
      <c r="A955" s="13">
        <f>IF(BANK_RAW!A955="","",ROW()-1)</f>
        <v/>
      </c>
      <c r="B955" s="10">
        <f>IF(BANK_RAW!A955="","",IF(ISNUMBER(BANK_RAW!A955),BANK_RAW!A955,DATEVALUE(TEXT(BANK_RAW!A955,"YYYY-MM-DD"))))</f>
        <v/>
      </c>
      <c r="C955" s="11">
        <f>IF(BANK_RAW!A955="","",TRIM(BANK_RAW!B955))</f>
        <v/>
      </c>
      <c r="D955" s="11">
        <f>IF(BANK_RAW!A955="","",TRIM(BANK_RAW!C955))</f>
        <v/>
      </c>
      <c r="E955" s="12">
        <f>IF(BANK_RAW!A955="","",IFERROR(ABS(BANK_RAW!D955),0))</f>
        <v/>
      </c>
      <c r="F955" s="12">
        <f>IF(BANK_RAW!A955="","",IFERROR(ABS(BANK_RAW!E955),0))</f>
        <v/>
      </c>
      <c r="G955" s="12">
        <f>IF(BANK_RAW!A955="","",IFERROR(BANK_RAW!F955,0))</f>
        <v/>
      </c>
      <c r="H955" s="11">
        <f>IF(BANK_RAW!A955="","",IF(E955&gt;0,"CR",IF(F955&gt;0,"DR","CR")))</f>
        <v/>
      </c>
      <c r="I955" s="12">
        <f>IF(BANK_RAW!A955="","",E955-F955)</f>
        <v/>
      </c>
      <c r="J955" s="12">
        <f>IF(BANK_RAW!A955="","",ABS(I955))</f>
        <v/>
      </c>
      <c r="K955" s="11">
        <f>IF(BANK_RAW!A955="","",IF(H955="CR","IN","OUT"))</f>
        <v/>
      </c>
      <c r="L955" s="11" t="inlineStr"/>
      <c r="M955" s="11" t="inlineStr"/>
    </row>
    <row r="956">
      <c r="A956" s="13">
        <f>IF(BANK_RAW!A956="","",ROW()-1)</f>
        <v/>
      </c>
      <c r="B956" s="10">
        <f>IF(BANK_RAW!A956="","",IF(ISNUMBER(BANK_RAW!A956),BANK_RAW!A956,DATEVALUE(TEXT(BANK_RAW!A956,"YYYY-MM-DD"))))</f>
        <v/>
      </c>
      <c r="C956" s="11">
        <f>IF(BANK_RAW!A956="","",TRIM(BANK_RAW!B956))</f>
        <v/>
      </c>
      <c r="D956" s="11">
        <f>IF(BANK_RAW!A956="","",TRIM(BANK_RAW!C956))</f>
        <v/>
      </c>
      <c r="E956" s="12">
        <f>IF(BANK_RAW!A956="","",IFERROR(ABS(BANK_RAW!D956),0))</f>
        <v/>
      </c>
      <c r="F956" s="12">
        <f>IF(BANK_RAW!A956="","",IFERROR(ABS(BANK_RAW!E956),0))</f>
        <v/>
      </c>
      <c r="G956" s="12">
        <f>IF(BANK_RAW!A956="","",IFERROR(BANK_RAW!F956,0))</f>
        <v/>
      </c>
      <c r="H956" s="11">
        <f>IF(BANK_RAW!A956="","",IF(E956&gt;0,"CR",IF(F956&gt;0,"DR","CR")))</f>
        <v/>
      </c>
      <c r="I956" s="12">
        <f>IF(BANK_RAW!A956="","",E956-F956)</f>
        <v/>
      </c>
      <c r="J956" s="12">
        <f>IF(BANK_RAW!A956="","",ABS(I956))</f>
        <v/>
      </c>
      <c r="K956" s="11">
        <f>IF(BANK_RAW!A956="","",IF(H956="CR","IN","OUT"))</f>
        <v/>
      </c>
      <c r="L956" s="11" t="inlineStr"/>
      <c r="M956" s="11" t="inlineStr"/>
    </row>
    <row r="957">
      <c r="A957" s="13">
        <f>IF(BANK_RAW!A957="","",ROW()-1)</f>
        <v/>
      </c>
      <c r="B957" s="10">
        <f>IF(BANK_RAW!A957="","",IF(ISNUMBER(BANK_RAW!A957),BANK_RAW!A957,DATEVALUE(TEXT(BANK_RAW!A957,"YYYY-MM-DD"))))</f>
        <v/>
      </c>
      <c r="C957" s="11">
        <f>IF(BANK_RAW!A957="","",TRIM(BANK_RAW!B957))</f>
        <v/>
      </c>
      <c r="D957" s="11">
        <f>IF(BANK_RAW!A957="","",TRIM(BANK_RAW!C957))</f>
        <v/>
      </c>
      <c r="E957" s="12">
        <f>IF(BANK_RAW!A957="","",IFERROR(ABS(BANK_RAW!D957),0))</f>
        <v/>
      </c>
      <c r="F957" s="12">
        <f>IF(BANK_RAW!A957="","",IFERROR(ABS(BANK_RAW!E957),0))</f>
        <v/>
      </c>
      <c r="G957" s="12">
        <f>IF(BANK_RAW!A957="","",IFERROR(BANK_RAW!F957,0))</f>
        <v/>
      </c>
      <c r="H957" s="11">
        <f>IF(BANK_RAW!A957="","",IF(E957&gt;0,"CR",IF(F957&gt;0,"DR","CR")))</f>
        <v/>
      </c>
      <c r="I957" s="12">
        <f>IF(BANK_RAW!A957="","",E957-F957)</f>
        <v/>
      </c>
      <c r="J957" s="12">
        <f>IF(BANK_RAW!A957="","",ABS(I957))</f>
        <v/>
      </c>
      <c r="K957" s="11">
        <f>IF(BANK_RAW!A957="","",IF(H957="CR","IN","OUT"))</f>
        <v/>
      </c>
      <c r="L957" s="11" t="inlineStr"/>
      <c r="M957" s="11" t="inlineStr"/>
    </row>
    <row r="958">
      <c r="A958" s="13">
        <f>IF(BANK_RAW!A958="","",ROW()-1)</f>
        <v/>
      </c>
      <c r="B958" s="10">
        <f>IF(BANK_RAW!A958="","",IF(ISNUMBER(BANK_RAW!A958),BANK_RAW!A958,DATEVALUE(TEXT(BANK_RAW!A958,"YYYY-MM-DD"))))</f>
        <v/>
      </c>
      <c r="C958" s="11">
        <f>IF(BANK_RAW!A958="","",TRIM(BANK_RAW!B958))</f>
        <v/>
      </c>
      <c r="D958" s="11">
        <f>IF(BANK_RAW!A958="","",TRIM(BANK_RAW!C958))</f>
        <v/>
      </c>
      <c r="E958" s="12">
        <f>IF(BANK_RAW!A958="","",IFERROR(ABS(BANK_RAW!D958),0))</f>
        <v/>
      </c>
      <c r="F958" s="12">
        <f>IF(BANK_RAW!A958="","",IFERROR(ABS(BANK_RAW!E958),0))</f>
        <v/>
      </c>
      <c r="G958" s="12">
        <f>IF(BANK_RAW!A958="","",IFERROR(BANK_RAW!F958,0))</f>
        <v/>
      </c>
      <c r="H958" s="11">
        <f>IF(BANK_RAW!A958="","",IF(E958&gt;0,"CR",IF(F958&gt;0,"DR","CR")))</f>
        <v/>
      </c>
      <c r="I958" s="12">
        <f>IF(BANK_RAW!A958="","",E958-F958)</f>
        <v/>
      </c>
      <c r="J958" s="12">
        <f>IF(BANK_RAW!A958="","",ABS(I958))</f>
        <v/>
      </c>
      <c r="K958" s="11">
        <f>IF(BANK_RAW!A958="","",IF(H958="CR","IN","OUT"))</f>
        <v/>
      </c>
      <c r="L958" s="11" t="inlineStr"/>
      <c r="M958" s="11" t="inlineStr"/>
    </row>
    <row r="959">
      <c r="A959" s="13">
        <f>IF(BANK_RAW!A959="","",ROW()-1)</f>
        <v/>
      </c>
      <c r="B959" s="10">
        <f>IF(BANK_RAW!A959="","",IF(ISNUMBER(BANK_RAW!A959),BANK_RAW!A959,DATEVALUE(TEXT(BANK_RAW!A959,"YYYY-MM-DD"))))</f>
        <v/>
      </c>
      <c r="C959" s="11">
        <f>IF(BANK_RAW!A959="","",TRIM(BANK_RAW!B959))</f>
        <v/>
      </c>
      <c r="D959" s="11">
        <f>IF(BANK_RAW!A959="","",TRIM(BANK_RAW!C959))</f>
        <v/>
      </c>
      <c r="E959" s="12">
        <f>IF(BANK_RAW!A959="","",IFERROR(ABS(BANK_RAW!D959),0))</f>
        <v/>
      </c>
      <c r="F959" s="12">
        <f>IF(BANK_RAW!A959="","",IFERROR(ABS(BANK_RAW!E959),0))</f>
        <v/>
      </c>
      <c r="G959" s="12">
        <f>IF(BANK_RAW!A959="","",IFERROR(BANK_RAW!F959,0))</f>
        <v/>
      </c>
      <c r="H959" s="11">
        <f>IF(BANK_RAW!A959="","",IF(E959&gt;0,"CR",IF(F959&gt;0,"DR","CR")))</f>
        <v/>
      </c>
      <c r="I959" s="12">
        <f>IF(BANK_RAW!A959="","",E959-F959)</f>
        <v/>
      </c>
      <c r="J959" s="12">
        <f>IF(BANK_RAW!A959="","",ABS(I959))</f>
        <v/>
      </c>
      <c r="K959" s="11">
        <f>IF(BANK_RAW!A959="","",IF(H959="CR","IN","OUT"))</f>
        <v/>
      </c>
      <c r="L959" s="11" t="inlineStr"/>
      <c r="M959" s="11" t="inlineStr"/>
    </row>
    <row r="960">
      <c r="A960" s="13">
        <f>IF(BANK_RAW!A960="","",ROW()-1)</f>
        <v/>
      </c>
      <c r="B960" s="10">
        <f>IF(BANK_RAW!A960="","",IF(ISNUMBER(BANK_RAW!A960),BANK_RAW!A960,DATEVALUE(TEXT(BANK_RAW!A960,"YYYY-MM-DD"))))</f>
        <v/>
      </c>
      <c r="C960" s="11">
        <f>IF(BANK_RAW!A960="","",TRIM(BANK_RAW!B960))</f>
        <v/>
      </c>
      <c r="D960" s="11">
        <f>IF(BANK_RAW!A960="","",TRIM(BANK_RAW!C960))</f>
        <v/>
      </c>
      <c r="E960" s="12">
        <f>IF(BANK_RAW!A960="","",IFERROR(ABS(BANK_RAW!D960),0))</f>
        <v/>
      </c>
      <c r="F960" s="12">
        <f>IF(BANK_RAW!A960="","",IFERROR(ABS(BANK_RAW!E960),0))</f>
        <v/>
      </c>
      <c r="G960" s="12">
        <f>IF(BANK_RAW!A960="","",IFERROR(BANK_RAW!F960,0))</f>
        <v/>
      </c>
      <c r="H960" s="11">
        <f>IF(BANK_RAW!A960="","",IF(E960&gt;0,"CR",IF(F960&gt;0,"DR","CR")))</f>
        <v/>
      </c>
      <c r="I960" s="12">
        <f>IF(BANK_RAW!A960="","",E960-F960)</f>
        <v/>
      </c>
      <c r="J960" s="12">
        <f>IF(BANK_RAW!A960="","",ABS(I960))</f>
        <v/>
      </c>
      <c r="K960" s="11">
        <f>IF(BANK_RAW!A960="","",IF(H960="CR","IN","OUT"))</f>
        <v/>
      </c>
      <c r="L960" s="11" t="inlineStr"/>
      <c r="M960" s="11" t="inlineStr"/>
    </row>
    <row r="961">
      <c r="A961" s="13">
        <f>IF(BANK_RAW!A961="","",ROW()-1)</f>
        <v/>
      </c>
      <c r="B961" s="10">
        <f>IF(BANK_RAW!A961="","",IF(ISNUMBER(BANK_RAW!A961),BANK_RAW!A961,DATEVALUE(TEXT(BANK_RAW!A961,"YYYY-MM-DD"))))</f>
        <v/>
      </c>
      <c r="C961" s="11">
        <f>IF(BANK_RAW!A961="","",TRIM(BANK_RAW!B961))</f>
        <v/>
      </c>
      <c r="D961" s="11">
        <f>IF(BANK_RAW!A961="","",TRIM(BANK_RAW!C961))</f>
        <v/>
      </c>
      <c r="E961" s="12">
        <f>IF(BANK_RAW!A961="","",IFERROR(ABS(BANK_RAW!D961),0))</f>
        <v/>
      </c>
      <c r="F961" s="12">
        <f>IF(BANK_RAW!A961="","",IFERROR(ABS(BANK_RAW!E961),0))</f>
        <v/>
      </c>
      <c r="G961" s="12">
        <f>IF(BANK_RAW!A961="","",IFERROR(BANK_RAW!F961,0))</f>
        <v/>
      </c>
      <c r="H961" s="11">
        <f>IF(BANK_RAW!A961="","",IF(E961&gt;0,"CR",IF(F961&gt;0,"DR","CR")))</f>
        <v/>
      </c>
      <c r="I961" s="12">
        <f>IF(BANK_RAW!A961="","",E961-F961)</f>
        <v/>
      </c>
      <c r="J961" s="12">
        <f>IF(BANK_RAW!A961="","",ABS(I961))</f>
        <v/>
      </c>
      <c r="K961" s="11">
        <f>IF(BANK_RAW!A961="","",IF(H961="CR","IN","OUT"))</f>
        <v/>
      </c>
      <c r="L961" s="11" t="inlineStr"/>
      <c r="M961" s="11" t="inlineStr"/>
    </row>
    <row r="962">
      <c r="A962" s="13">
        <f>IF(BANK_RAW!A962="","",ROW()-1)</f>
        <v/>
      </c>
      <c r="B962" s="10">
        <f>IF(BANK_RAW!A962="","",IF(ISNUMBER(BANK_RAW!A962),BANK_RAW!A962,DATEVALUE(TEXT(BANK_RAW!A962,"YYYY-MM-DD"))))</f>
        <v/>
      </c>
      <c r="C962" s="11">
        <f>IF(BANK_RAW!A962="","",TRIM(BANK_RAW!B962))</f>
        <v/>
      </c>
      <c r="D962" s="11">
        <f>IF(BANK_RAW!A962="","",TRIM(BANK_RAW!C962))</f>
        <v/>
      </c>
      <c r="E962" s="12">
        <f>IF(BANK_RAW!A962="","",IFERROR(ABS(BANK_RAW!D962),0))</f>
        <v/>
      </c>
      <c r="F962" s="12">
        <f>IF(BANK_RAW!A962="","",IFERROR(ABS(BANK_RAW!E962),0))</f>
        <v/>
      </c>
      <c r="G962" s="12">
        <f>IF(BANK_RAW!A962="","",IFERROR(BANK_RAW!F962,0))</f>
        <v/>
      </c>
      <c r="H962" s="11">
        <f>IF(BANK_RAW!A962="","",IF(E962&gt;0,"CR",IF(F962&gt;0,"DR","CR")))</f>
        <v/>
      </c>
      <c r="I962" s="12">
        <f>IF(BANK_RAW!A962="","",E962-F962)</f>
        <v/>
      </c>
      <c r="J962" s="12">
        <f>IF(BANK_RAW!A962="","",ABS(I962))</f>
        <v/>
      </c>
      <c r="K962" s="11">
        <f>IF(BANK_RAW!A962="","",IF(H962="CR","IN","OUT"))</f>
        <v/>
      </c>
      <c r="L962" s="11" t="inlineStr"/>
      <c r="M962" s="11" t="inlineStr"/>
    </row>
    <row r="963">
      <c r="A963" s="13">
        <f>IF(BANK_RAW!A963="","",ROW()-1)</f>
        <v/>
      </c>
      <c r="B963" s="10">
        <f>IF(BANK_RAW!A963="","",IF(ISNUMBER(BANK_RAW!A963),BANK_RAW!A963,DATEVALUE(TEXT(BANK_RAW!A963,"YYYY-MM-DD"))))</f>
        <v/>
      </c>
      <c r="C963" s="11">
        <f>IF(BANK_RAW!A963="","",TRIM(BANK_RAW!B963))</f>
        <v/>
      </c>
      <c r="D963" s="11">
        <f>IF(BANK_RAW!A963="","",TRIM(BANK_RAW!C963))</f>
        <v/>
      </c>
      <c r="E963" s="12">
        <f>IF(BANK_RAW!A963="","",IFERROR(ABS(BANK_RAW!D963),0))</f>
        <v/>
      </c>
      <c r="F963" s="12">
        <f>IF(BANK_RAW!A963="","",IFERROR(ABS(BANK_RAW!E963),0))</f>
        <v/>
      </c>
      <c r="G963" s="12">
        <f>IF(BANK_RAW!A963="","",IFERROR(BANK_RAW!F963,0))</f>
        <v/>
      </c>
      <c r="H963" s="11">
        <f>IF(BANK_RAW!A963="","",IF(E963&gt;0,"CR",IF(F963&gt;0,"DR","CR")))</f>
        <v/>
      </c>
      <c r="I963" s="12">
        <f>IF(BANK_RAW!A963="","",E963-F963)</f>
        <v/>
      </c>
      <c r="J963" s="12">
        <f>IF(BANK_RAW!A963="","",ABS(I963))</f>
        <v/>
      </c>
      <c r="K963" s="11">
        <f>IF(BANK_RAW!A963="","",IF(H963="CR","IN","OUT"))</f>
        <v/>
      </c>
      <c r="L963" s="11" t="inlineStr"/>
      <c r="M963" s="11" t="inlineStr"/>
    </row>
    <row r="964">
      <c r="A964" s="13">
        <f>IF(BANK_RAW!A964="","",ROW()-1)</f>
        <v/>
      </c>
      <c r="B964" s="10">
        <f>IF(BANK_RAW!A964="","",IF(ISNUMBER(BANK_RAW!A964),BANK_RAW!A964,DATEVALUE(TEXT(BANK_RAW!A964,"YYYY-MM-DD"))))</f>
        <v/>
      </c>
      <c r="C964" s="11">
        <f>IF(BANK_RAW!A964="","",TRIM(BANK_RAW!B964))</f>
        <v/>
      </c>
      <c r="D964" s="11">
        <f>IF(BANK_RAW!A964="","",TRIM(BANK_RAW!C964))</f>
        <v/>
      </c>
      <c r="E964" s="12">
        <f>IF(BANK_RAW!A964="","",IFERROR(ABS(BANK_RAW!D964),0))</f>
        <v/>
      </c>
      <c r="F964" s="12">
        <f>IF(BANK_RAW!A964="","",IFERROR(ABS(BANK_RAW!E964),0))</f>
        <v/>
      </c>
      <c r="G964" s="12">
        <f>IF(BANK_RAW!A964="","",IFERROR(BANK_RAW!F964,0))</f>
        <v/>
      </c>
      <c r="H964" s="11">
        <f>IF(BANK_RAW!A964="","",IF(E964&gt;0,"CR",IF(F964&gt;0,"DR","CR")))</f>
        <v/>
      </c>
      <c r="I964" s="12">
        <f>IF(BANK_RAW!A964="","",E964-F964)</f>
        <v/>
      </c>
      <c r="J964" s="12">
        <f>IF(BANK_RAW!A964="","",ABS(I964))</f>
        <v/>
      </c>
      <c r="K964" s="11">
        <f>IF(BANK_RAW!A964="","",IF(H964="CR","IN","OUT"))</f>
        <v/>
      </c>
      <c r="L964" s="11" t="inlineStr"/>
      <c r="M964" s="11" t="inlineStr"/>
    </row>
    <row r="965">
      <c r="A965" s="13">
        <f>IF(BANK_RAW!A965="","",ROW()-1)</f>
        <v/>
      </c>
      <c r="B965" s="10">
        <f>IF(BANK_RAW!A965="","",IF(ISNUMBER(BANK_RAW!A965),BANK_RAW!A965,DATEVALUE(TEXT(BANK_RAW!A965,"YYYY-MM-DD"))))</f>
        <v/>
      </c>
      <c r="C965" s="11">
        <f>IF(BANK_RAW!A965="","",TRIM(BANK_RAW!B965))</f>
        <v/>
      </c>
      <c r="D965" s="11">
        <f>IF(BANK_RAW!A965="","",TRIM(BANK_RAW!C965))</f>
        <v/>
      </c>
      <c r="E965" s="12">
        <f>IF(BANK_RAW!A965="","",IFERROR(ABS(BANK_RAW!D965),0))</f>
        <v/>
      </c>
      <c r="F965" s="12">
        <f>IF(BANK_RAW!A965="","",IFERROR(ABS(BANK_RAW!E965),0))</f>
        <v/>
      </c>
      <c r="G965" s="12">
        <f>IF(BANK_RAW!A965="","",IFERROR(BANK_RAW!F965,0))</f>
        <v/>
      </c>
      <c r="H965" s="11">
        <f>IF(BANK_RAW!A965="","",IF(E965&gt;0,"CR",IF(F965&gt;0,"DR","CR")))</f>
        <v/>
      </c>
      <c r="I965" s="12">
        <f>IF(BANK_RAW!A965="","",E965-F965)</f>
        <v/>
      </c>
      <c r="J965" s="12">
        <f>IF(BANK_RAW!A965="","",ABS(I965))</f>
        <v/>
      </c>
      <c r="K965" s="11">
        <f>IF(BANK_RAW!A965="","",IF(H965="CR","IN","OUT"))</f>
        <v/>
      </c>
      <c r="L965" s="11" t="inlineStr"/>
      <c r="M965" s="11" t="inlineStr"/>
    </row>
    <row r="966">
      <c r="A966" s="13">
        <f>IF(BANK_RAW!A966="","",ROW()-1)</f>
        <v/>
      </c>
      <c r="B966" s="10">
        <f>IF(BANK_RAW!A966="","",IF(ISNUMBER(BANK_RAW!A966),BANK_RAW!A966,DATEVALUE(TEXT(BANK_RAW!A966,"YYYY-MM-DD"))))</f>
        <v/>
      </c>
      <c r="C966" s="11">
        <f>IF(BANK_RAW!A966="","",TRIM(BANK_RAW!B966))</f>
        <v/>
      </c>
      <c r="D966" s="11">
        <f>IF(BANK_RAW!A966="","",TRIM(BANK_RAW!C966))</f>
        <v/>
      </c>
      <c r="E966" s="12">
        <f>IF(BANK_RAW!A966="","",IFERROR(ABS(BANK_RAW!D966),0))</f>
        <v/>
      </c>
      <c r="F966" s="12">
        <f>IF(BANK_RAW!A966="","",IFERROR(ABS(BANK_RAW!E966),0))</f>
        <v/>
      </c>
      <c r="G966" s="12">
        <f>IF(BANK_RAW!A966="","",IFERROR(BANK_RAW!F966,0))</f>
        <v/>
      </c>
      <c r="H966" s="11">
        <f>IF(BANK_RAW!A966="","",IF(E966&gt;0,"CR",IF(F966&gt;0,"DR","CR")))</f>
        <v/>
      </c>
      <c r="I966" s="12">
        <f>IF(BANK_RAW!A966="","",E966-F966)</f>
        <v/>
      </c>
      <c r="J966" s="12">
        <f>IF(BANK_RAW!A966="","",ABS(I966))</f>
        <v/>
      </c>
      <c r="K966" s="11">
        <f>IF(BANK_RAW!A966="","",IF(H966="CR","IN","OUT"))</f>
        <v/>
      </c>
      <c r="L966" s="11" t="inlineStr"/>
      <c r="M966" s="11" t="inlineStr"/>
    </row>
    <row r="967">
      <c r="A967" s="13">
        <f>IF(BANK_RAW!A967="","",ROW()-1)</f>
        <v/>
      </c>
      <c r="B967" s="10">
        <f>IF(BANK_RAW!A967="","",IF(ISNUMBER(BANK_RAW!A967),BANK_RAW!A967,DATEVALUE(TEXT(BANK_RAW!A967,"YYYY-MM-DD"))))</f>
        <v/>
      </c>
      <c r="C967" s="11">
        <f>IF(BANK_RAW!A967="","",TRIM(BANK_RAW!B967))</f>
        <v/>
      </c>
      <c r="D967" s="11">
        <f>IF(BANK_RAW!A967="","",TRIM(BANK_RAW!C967))</f>
        <v/>
      </c>
      <c r="E967" s="12">
        <f>IF(BANK_RAW!A967="","",IFERROR(ABS(BANK_RAW!D967),0))</f>
        <v/>
      </c>
      <c r="F967" s="12">
        <f>IF(BANK_RAW!A967="","",IFERROR(ABS(BANK_RAW!E967),0))</f>
        <v/>
      </c>
      <c r="G967" s="12">
        <f>IF(BANK_RAW!A967="","",IFERROR(BANK_RAW!F967,0))</f>
        <v/>
      </c>
      <c r="H967" s="11">
        <f>IF(BANK_RAW!A967="","",IF(E967&gt;0,"CR",IF(F967&gt;0,"DR","CR")))</f>
        <v/>
      </c>
      <c r="I967" s="12">
        <f>IF(BANK_RAW!A967="","",E967-F967)</f>
        <v/>
      </c>
      <c r="J967" s="12">
        <f>IF(BANK_RAW!A967="","",ABS(I967))</f>
        <v/>
      </c>
      <c r="K967" s="11">
        <f>IF(BANK_RAW!A967="","",IF(H967="CR","IN","OUT"))</f>
        <v/>
      </c>
      <c r="L967" s="11" t="inlineStr"/>
      <c r="M967" s="11" t="inlineStr"/>
    </row>
    <row r="968">
      <c r="A968" s="13">
        <f>IF(BANK_RAW!A968="","",ROW()-1)</f>
        <v/>
      </c>
      <c r="B968" s="10">
        <f>IF(BANK_RAW!A968="","",IF(ISNUMBER(BANK_RAW!A968),BANK_RAW!A968,DATEVALUE(TEXT(BANK_RAW!A968,"YYYY-MM-DD"))))</f>
        <v/>
      </c>
      <c r="C968" s="11">
        <f>IF(BANK_RAW!A968="","",TRIM(BANK_RAW!B968))</f>
        <v/>
      </c>
      <c r="D968" s="11">
        <f>IF(BANK_RAW!A968="","",TRIM(BANK_RAW!C968))</f>
        <v/>
      </c>
      <c r="E968" s="12">
        <f>IF(BANK_RAW!A968="","",IFERROR(ABS(BANK_RAW!D968),0))</f>
        <v/>
      </c>
      <c r="F968" s="12">
        <f>IF(BANK_RAW!A968="","",IFERROR(ABS(BANK_RAW!E968),0))</f>
        <v/>
      </c>
      <c r="G968" s="12">
        <f>IF(BANK_RAW!A968="","",IFERROR(BANK_RAW!F968,0))</f>
        <v/>
      </c>
      <c r="H968" s="11">
        <f>IF(BANK_RAW!A968="","",IF(E968&gt;0,"CR",IF(F968&gt;0,"DR","CR")))</f>
        <v/>
      </c>
      <c r="I968" s="12">
        <f>IF(BANK_RAW!A968="","",E968-F968)</f>
        <v/>
      </c>
      <c r="J968" s="12">
        <f>IF(BANK_RAW!A968="","",ABS(I968))</f>
        <v/>
      </c>
      <c r="K968" s="11">
        <f>IF(BANK_RAW!A968="","",IF(H968="CR","IN","OUT"))</f>
        <v/>
      </c>
      <c r="L968" s="11" t="inlineStr"/>
      <c r="M968" s="11" t="inlineStr"/>
    </row>
    <row r="969">
      <c r="A969" s="13">
        <f>IF(BANK_RAW!A969="","",ROW()-1)</f>
        <v/>
      </c>
      <c r="B969" s="10">
        <f>IF(BANK_RAW!A969="","",IF(ISNUMBER(BANK_RAW!A969),BANK_RAW!A969,DATEVALUE(TEXT(BANK_RAW!A969,"YYYY-MM-DD"))))</f>
        <v/>
      </c>
      <c r="C969" s="11">
        <f>IF(BANK_RAW!A969="","",TRIM(BANK_RAW!B969))</f>
        <v/>
      </c>
      <c r="D969" s="11">
        <f>IF(BANK_RAW!A969="","",TRIM(BANK_RAW!C969))</f>
        <v/>
      </c>
      <c r="E969" s="12">
        <f>IF(BANK_RAW!A969="","",IFERROR(ABS(BANK_RAW!D969),0))</f>
        <v/>
      </c>
      <c r="F969" s="12">
        <f>IF(BANK_RAW!A969="","",IFERROR(ABS(BANK_RAW!E969),0))</f>
        <v/>
      </c>
      <c r="G969" s="12">
        <f>IF(BANK_RAW!A969="","",IFERROR(BANK_RAW!F969,0))</f>
        <v/>
      </c>
      <c r="H969" s="11">
        <f>IF(BANK_RAW!A969="","",IF(E969&gt;0,"CR",IF(F969&gt;0,"DR","CR")))</f>
        <v/>
      </c>
      <c r="I969" s="12">
        <f>IF(BANK_RAW!A969="","",E969-F969)</f>
        <v/>
      </c>
      <c r="J969" s="12">
        <f>IF(BANK_RAW!A969="","",ABS(I969))</f>
        <v/>
      </c>
      <c r="K969" s="11">
        <f>IF(BANK_RAW!A969="","",IF(H969="CR","IN","OUT"))</f>
        <v/>
      </c>
      <c r="L969" s="11" t="inlineStr"/>
      <c r="M969" s="11" t="inlineStr"/>
    </row>
    <row r="970">
      <c r="A970" s="13">
        <f>IF(BANK_RAW!A970="","",ROW()-1)</f>
        <v/>
      </c>
      <c r="B970" s="10">
        <f>IF(BANK_RAW!A970="","",IF(ISNUMBER(BANK_RAW!A970),BANK_RAW!A970,DATEVALUE(TEXT(BANK_RAW!A970,"YYYY-MM-DD"))))</f>
        <v/>
      </c>
      <c r="C970" s="11">
        <f>IF(BANK_RAW!A970="","",TRIM(BANK_RAW!B970))</f>
        <v/>
      </c>
      <c r="D970" s="11">
        <f>IF(BANK_RAW!A970="","",TRIM(BANK_RAW!C970))</f>
        <v/>
      </c>
      <c r="E970" s="12">
        <f>IF(BANK_RAW!A970="","",IFERROR(ABS(BANK_RAW!D970),0))</f>
        <v/>
      </c>
      <c r="F970" s="12">
        <f>IF(BANK_RAW!A970="","",IFERROR(ABS(BANK_RAW!E970),0))</f>
        <v/>
      </c>
      <c r="G970" s="12">
        <f>IF(BANK_RAW!A970="","",IFERROR(BANK_RAW!F970,0))</f>
        <v/>
      </c>
      <c r="H970" s="11">
        <f>IF(BANK_RAW!A970="","",IF(E970&gt;0,"CR",IF(F970&gt;0,"DR","CR")))</f>
        <v/>
      </c>
      <c r="I970" s="12">
        <f>IF(BANK_RAW!A970="","",E970-F970)</f>
        <v/>
      </c>
      <c r="J970" s="12">
        <f>IF(BANK_RAW!A970="","",ABS(I970))</f>
        <v/>
      </c>
      <c r="K970" s="11">
        <f>IF(BANK_RAW!A970="","",IF(H970="CR","IN","OUT"))</f>
        <v/>
      </c>
      <c r="L970" s="11" t="inlineStr"/>
      <c r="M970" s="11" t="inlineStr"/>
    </row>
    <row r="971">
      <c r="A971" s="13">
        <f>IF(BANK_RAW!A971="","",ROW()-1)</f>
        <v/>
      </c>
      <c r="B971" s="10">
        <f>IF(BANK_RAW!A971="","",IF(ISNUMBER(BANK_RAW!A971),BANK_RAW!A971,DATEVALUE(TEXT(BANK_RAW!A971,"YYYY-MM-DD"))))</f>
        <v/>
      </c>
      <c r="C971" s="11">
        <f>IF(BANK_RAW!A971="","",TRIM(BANK_RAW!B971))</f>
        <v/>
      </c>
      <c r="D971" s="11">
        <f>IF(BANK_RAW!A971="","",TRIM(BANK_RAW!C971))</f>
        <v/>
      </c>
      <c r="E971" s="12">
        <f>IF(BANK_RAW!A971="","",IFERROR(ABS(BANK_RAW!D971),0))</f>
        <v/>
      </c>
      <c r="F971" s="12">
        <f>IF(BANK_RAW!A971="","",IFERROR(ABS(BANK_RAW!E971),0))</f>
        <v/>
      </c>
      <c r="G971" s="12">
        <f>IF(BANK_RAW!A971="","",IFERROR(BANK_RAW!F971,0))</f>
        <v/>
      </c>
      <c r="H971" s="11">
        <f>IF(BANK_RAW!A971="","",IF(E971&gt;0,"CR",IF(F971&gt;0,"DR","CR")))</f>
        <v/>
      </c>
      <c r="I971" s="12">
        <f>IF(BANK_RAW!A971="","",E971-F971)</f>
        <v/>
      </c>
      <c r="J971" s="12">
        <f>IF(BANK_RAW!A971="","",ABS(I971))</f>
        <v/>
      </c>
      <c r="K971" s="11">
        <f>IF(BANK_RAW!A971="","",IF(H971="CR","IN","OUT"))</f>
        <v/>
      </c>
      <c r="L971" s="11" t="inlineStr"/>
      <c r="M971" s="11" t="inlineStr"/>
    </row>
    <row r="972">
      <c r="A972" s="13">
        <f>IF(BANK_RAW!A972="","",ROW()-1)</f>
        <v/>
      </c>
      <c r="B972" s="10">
        <f>IF(BANK_RAW!A972="","",IF(ISNUMBER(BANK_RAW!A972),BANK_RAW!A972,DATEVALUE(TEXT(BANK_RAW!A972,"YYYY-MM-DD"))))</f>
        <v/>
      </c>
      <c r="C972" s="11">
        <f>IF(BANK_RAW!A972="","",TRIM(BANK_RAW!B972))</f>
        <v/>
      </c>
      <c r="D972" s="11">
        <f>IF(BANK_RAW!A972="","",TRIM(BANK_RAW!C972))</f>
        <v/>
      </c>
      <c r="E972" s="12">
        <f>IF(BANK_RAW!A972="","",IFERROR(ABS(BANK_RAW!D972),0))</f>
        <v/>
      </c>
      <c r="F972" s="12">
        <f>IF(BANK_RAW!A972="","",IFERROR(ABS(BANK_RAW!E972),0))</f>
        <v/>
      </c>
      <c r="G972" s="12">
        <f>IF(BANK_RAW!A972="","",IFERROR(BANK_RAW!F972,0))</f>
        <v/>
      </c>
      <c r="H972" s="11">
        <f>IF(BANK_RAW!A972="","",IF(E972&gt;0,"CR",IF(F972&gt;0,"DR","CR")))</f>
        <v/>
      </c>
      <c r="I972" s="12">
        <f>IF(BANK_RAW!A972="","",E972-F972)</f>
        <v/>
      </c>
      <c r="J972" s="12">
        <f>IF(BANK_RAW!A972="","",ABS(I972))</f>
        <v/>
      </c>
      <c r="K972" s="11">
        <f>IF(BANK_RAW!A972="","",IF(H972="CR","IN","OUT"))</f>
        <v/>
      </c>
      <c r="L972" s="11" t="inlineStr"/>
      <c r="M972" s="11" t="inlineStr"/>
    </row>
    <row r="973">
      <c r="A973" s="13">
        <f>IF(BANK_RAW!A973="","",ROW()-1)</f>
        <v/>
      </c>
      <c r="B973" s="10">
        <f>IF(BANK_RAW!A973="","",IF(ISNUMBER(BANK_RAW!A973),BANK_RAW!A973,DATEVALUE(TEXT(BANK_RAW!A973,"YYYY-MM-DD"))))</f>
        <v/>
      </c>
      <c r="C973" s="11">
        <f>IF(BANK_RAW!A973="","",TRIM(BANK_RAW!B973))</f>
        <v/>
      </c>
      <c r="D973" s="11">
        <f>IF(BANK_RAW!A973="","",TRIM(BANK_RAW!C973))</f>
        <v/>
      </c>
      <c r="E973" s="12">
        <f>IF(BANK_RAW!A973="","",IFERROR(ABS(BANK_RAW!D973),0))</f>
        <v/>
      </c>
      <c r="F973" s="12">
        <f>IF(BANK_RAW!A973="","",IFERROR(ABS(BANK_RAW!E973),0))</f>
        <v/>
      </c>
      <c r="G973" s="12">
        <f>IF(BANK_RAW!A973="","",IFERROR(BANK_RAW!F973,0))</f>
        <v/>
      </c>
      <c r="H973" s="11">
        <f>IF(BANK_RAW!A973="","",IF(E973&gt;0,"CR",IF(F973&gt;0,"DR","CR")))</f>
        <v/>
      </c>
      <c r="I973" s="12">
        <f>IF(BANK_RAW!A973="","",E973-F973)</f>
        <v/>
      </c>
      <c r="J973" s="12">
        <f>IF(BANK_RAW!A973="","",ABS(I973))</f>
        <v/>
      </c>
      <c r="K973" s="11">
        <f>IF(BANK_RAW!A973="","",IF(H973="CR","IN","OUT"))</f>
        <v/>
      </c>
      <c r="L973" s="11" t="inlineStr"/>
      <c r="M973" s="11" t="inlineStr"/>
    </row>
    <row r="974">
      <c r="A974" s="13">
        <f>IF(BANK_RAW!A974="","",ROW()-1)</f>
        <v/>
      </c>
      <c r="B974" s="10">
        <f>IF(BANK_RAW!A974="","",IF(ISNUMBER(BANK_RAW!A974),BANK_RAW!A974,DATEVALUE(TEXT(BANK_RAW!A974,"YYYY-MM-DD"))))</f>
        <v/>
      </c>
      <c r="C974" s="11">
        <f>IF(BANK_RAW!A974="","",TRIM(BANK_RAW!B974))</f>
        <v/>
      </c>
      <c r="D974" s="11">
        <f>IF(BANK_RAW!A974="","",TRIM(BANK_RAW!C974))</f>
        <v/>
      </c>
      <c r="E974" s="12">
        <f>IF(BANK_RAW!A974="","",IFERROR(ABS(BANK_RAW!D974),0))</f>
        <v/>
      </c>
      <c r="F974" s="12">
        <f>IF(BANK_RAW!A974="","",IFERROR(ABS(BANK_RAW!E974),0))</f>
        <v/>
      </c>
      <c r="G974" s="12">
        <f>IF(BANK_RAW!A974="","",IFERROR(BANK_RAW!F974,0))</f>
        <v/>
      </c>
      <c r="H974" s="11">
        <f>IF(BANK_RAW!A974="","",IF(E974&gt;0,"CR",IF(F974&gt;0,"DR","CR")))</f>
        <v/>
      </c>
      <c r="I974" s="12">
        <f>IF(BANK_RAW!A974="","",E974-F974)</f>
        <v/>
      </c>
      <c r="J974" s="12">
        <f>IF(BANK_RAW!A974="","",ABS(I974))</f>
        <v/>
      </c>
      <c r="K974" s="11">
        <f>IF(BANK_RAW!A974="","",IF(H974="CR","IN","OUT"))</f>
        <v/>
      </c>
      <c r="L974" s="11" t="inlineStr"/>
      <c r="M974" s="11" t="inlineStr"/>
    </row>
    <row r="975">
      <c r="A975" s="13">
        <f>IF(BANK_RAW!A975="","",ROW()-1)</f>
        <v/>
      </c>
      <c r="B975" s="10">
        <f>IF(BANK_RAW!A975="","",IF(ISNUMBER(BANK_RAW!A975),BANK_RAW!A975,DATEVALUE(TEXT(BANK_RAW!A975,"YYYY-MM-DD"))))</f>
        <v/>
      </c>
      <c r="C975" s="11">
        <f>IF(BANK_RAW!A975="","",TRIM(BANK_RAW!B975))</f>
        <v/>
      </c>
      <c r="D975" s="11">
        <f>IF(BANK_RAW!A975="","",TRIM(BANK_RAW!C975))</f>
        <v/>
      </c>
      <c r="E975" s="12">
        <f>IF(BANK_RAW!A975="","",IFERROR(ABS(BANK_RAW!D975),0))</f>
        <v/>
      </c>
      <c r="F975" s="12">
        <f>IF(BANK_RAW!A975="","",IFERROR(ABS(BANK_RAW!E975),0))</f>
        <v/>
      </c>
      <c r="G975" s="12">
        <f>IF(BANK_RAW!A975="","",IFERROR(BANK_RAW!F975,0))</f>
        <v/>
      </c>
      <c r="H975" s="11">
        <f>IF(BANK_RAW!A975="","",IF(E975&gt;0,"CR",IF(F975&gt;0,"DR","CR")))</f>
        <v/>
      </c>
      <c r="I975" s="12">
        <f>IF(BANK_RAW!A975="","",E975-F975)</f>
        <v/>
      </c>
      <c r="J975" s="12">
        <f>IF(BANK_RAW!A975="","",ABS(I975))</f>
        <v/>
      </c>
      <c r="K975" s="11">
        <f>IF(BANK_RAW!A975="","",IF(H975="CR","IN","OUT"))</f>
        <v/>
      </c>
      <c r="L975" s="11" t="inlineStr"/>
      <c r="M975" s="11" t="inlineStr"/>
    </row>
    <row r="976">
      <c r="A976" s="13">
        <f>IF(BANK_RAW!A976="","",ROW()-1)</f>
        <v/>
      </c>
      <c r="B976" s="10">
        <f>IF(BANK_RAW!A976="","",IF(ISNUMBER(BANK_RAW!A976),BANK_RAW!A976,DATEVALUE(TEXT(BANK_RAW!A976,"YYYY-MM-DD"))))</f>
        <v/>
      </c>
      <c r="C976" s="11">
        <f>IF(BANK_RAW!A976="","",TRIM(BANK_RAW!B976))</f>
        <v/>
      </c>
      <c r="D976" s="11">
        <f>IF(BANK_RAW!A976="","",TRIM(BANK_RAW!C976))</f>
        <v/>
      </c>
      <c r="E976" s="12">
        <f>IF(BANK_RAW!A976="","",IFERROR(ABS(BANK_RAW!D976),0))</f>
        <v/>
      </c>
      <c r="F976" s="12">
        <f>IF(BANK_RAW!A976="","",IFERROR(ABS(BANK_RAW!E976),0))</f>
        <v/>
      </c>
      <c r="G976" s="12">
        <f>IF(BANK_RAW!A976="","",IFERROR(BANK_RAW!F976,0))</f>
        <v/>
      </c>
      <c r="H976" s="11">
        <f>IF(BANK_RAW!A976="","",IF(E976&gt;0,"CR",IF(F976&gt;0,"DR","CR")))</f>
        <v/>
      </c>
      <c r="I976" s="12">
        <f>IF(BANK_RAW!A976="","",E976-F976)</f>
        <v/>
      </c>
      <c r="J976" s="12">
        <f>IF(BANK_RAW!A976="","",ABS(I976))</f>
        <v/>
      </c>
      <c r="K976" s="11">
        <f>IF(BANK_RAW!A976="","",IF(H976="CR","IN","OUT"))</f>
        <v/>
      </c>
      <c r="L976" s="11" t="inlineStr"/>
      <c r="M976" s="11" t="inlineStr"/>
    </row>
    <row r="977">
      <c r="A977" s="13">
        <f>IF(BANK_RAW!A977="","",ROW()-1)</f>
        <v/>
      </c>
      <c r="B977" s="10">
        <f>IF(BANK_RAW!A977="","",IF(ISNUMBER(BANK_RAW!A977),BANK_RAW!A977,DATEVALUE(TEXT(BANK_RAW!A977,"YYYY-MM-DD"))))</f>
        <v/>
      </c>
      <c r="C977" s="11">
        <f>IF(BANK_RAW!A977="","",TRIM(BANK_RAW!B977))</f>
        <v/>
      </c>
      <c r="D977" s="11">
        <f>IF(BANK_RAW!A977="","",TRIM(BANK_RAW!C977))</f>
        <v/>
      </c>
      <c r="E977" s="12">
        <f>IF(BANK_RAW!A977="","",IFERROR(ABS(BANK_RAW!D977),0))</f>
        <v/>
      </c>
      <c r="F977" s="12">
        <f>IF(BANK_RAW!A977="","",IFERROR(ABS(BANK_RAW!E977),0))</f>
        <v/>
      </c>
      <c r="G977" s="12">
        <f>IF(BANK_RAW!A977="","",IFERROR(BANK_RAW!F977,0))</f>
        <v/>
      </c>
      <c r="H977" s="11">
        <f>IF(BANK_RAW!A977="","",IF(E977&gt;0,"CR",IF(F977&gt;0,"DR","CR")))</f>
        <v/>
      </c>
      <c r="I977" s="12">
        <f>IF(BANK_RAW!A977="","",E977-F977)</f>
        <v/>
      </c>
      <c r="J977" s="12">
        <f>IF(BANK_RAW!A977="","",ABS(I977))</f>
        <v/>
      </c>
      <c r="K977" s="11">
        <f>IF(BANK_RAW!A977="","",IF(H977="CR","IN","OUT"))</f>
        <v/>
      </c>
      <c r="L977" s="11" t="inlineStr"/>
      <c r="M977" s="11" t="inlineStr"/>
    </row>
    <row r="978">
      <c r="A978" s="13">
        <f>IF(BANK_RAW!A978="","",ROW()-1)</f>
        <v/>
      </c>
      <c r="B978" s="10">
        <f>IF(BANK_RAW!A978="","",IF(ISNUMBER(BANK_RAW!A978),BANK_RAW!A978,DATEVALUE(TEXT(BANK_RAW!A978,"YYYY-MM-DD"))))</f>
        <v/>
      </c>
      <c r="C978" s="11">
        <f>IF(BANK_RAW!A978="","",TRIM(BANK_RAW!B978))</f>
        <v/>
      </c>
      <c r="D978" s="11">
        <f>IF(BANK_RAW!A978="","",TRIM(BANK_RAW!C978))</f>
        <v/>
      </c>
      <c r="E978" s="12">
        <f>IF(BANK_RAW!A978="","",IFERROR(ABS(BANK_RAW!D978),0))</f>
        <v/>
      </c>
      <c r="F978" s="12">
        <f>IF(BANK_RAW!A978="","",IFERROR(ABS(BANK_RAW!E978),0))</f>
        <v/>
      </c>
      <c r="G978" s="12">
        <f>IF(BANK_RAW!A978="","",IFERROR(BANK_RAW!F978,0))</f>
        <v/>
      </c>
      <c r="H978" s="11">
        <f>IF(BANK_RAW!A978="","",IF(E978&gt;0,"CR",IF(F978&gt;0,"DR","CR")))</f>
        <v/>
      </c>
      <c r="I978" s="12">
        <f>IF(BANK_RAW!A978="","",E978-F978)</f>
        <v/>
      </c>
      <c r="J978" s="12">
        <f>IF(BANK_RAW!A978="","",ABS(I978))</f>
        <v/>
      </c>
      <c r="K978" s="11">
        <f>IF(BANK_RAW!A978="","",IF(H978="CR","IN","OUT"))</f>
        <v/>
      </c>
      <c r="L978" s="11" t="inlineStr"/>
      <c r="M978" s="11" t="inlineStr"/>
    </row>
    <row r="979">
      <c r="A979" s="13">
        <f>IF(BANK_RAW!A979="","",ROW()-1)</f>
        <v/>
      </c>
      <c r="B979" s="10">
        <f>IF(BANK_RAW!A979="","",IF(ISNUMBER(BANK_RAW!A979),BANK_RAW!A979,DATEVALUE(TEXT(BANK_RAW!A979,"YYYY-MM-DD"))))</f>
        <v/>
      </c>
      <c r="C979" s="11">
        <f>IF(BANK_RAW!A979="","",TRIM(BANK_RAW!B979))</f>
        <v/>
      </c>
      <c r="D979" s="11">
        <f>IF(BANK_RAW!A979="","",TRIM(BANK_RAW!C979))</f>
        <v/>
      </c>
      <c r="E979" s="12">
        <f>IF(BANK_RAW!A979="","",IFERROR(ABS(BANK_RAW!D979),0))</f>
        <v/>
      </c>
      <c r="F979" s="12">
        <f>IF(BANK_RAW!A979="","",IFERROR(ABS(BANK_RAW!E979),0))</f>
        <v/>
      </c>
      <c r="G979" s="12">
        <f>IF(BANK_RAW!A979="","",IFERROR(BANK_RAW!F979,0))</f>
        <v/>
      </c>
      <c r="H979" s="11">
        <f>IF(BANK_RAW!A979="","",IF(E979&gt;0,"CR",IF(F979&gt;0,"DR","CR")))</f>
        <v/>
      </c>
      <c r="I979" s="12">
        <f>IF(BANK_RAW!A979="","",E979-F979)</f>
        <v/>
      </c>
      <c r="J979" s="12">
        <f>IF(BANK_RAW!A979="","",ABS(I979))</f>
        <v/>
      </c>
      <c r="K979" s="11">
        <f>IF(BANK_RAW!A979="","",IF(H979="CR","IN","OUT"))</f>
        <v/>
      </c>
      <c r="L979" s="11" t="inlineStr"/>
      <c r="M979" s="11" t="inlineStr"/>
    </row>
    <row r="980">
      <c r="A980" s="13">
        <f>IF(BANK_RAW!A980="","",ROW()-1)</f>
        <v/>
      </c>
      <c r="B980" s="10">
        <f>IF(BANK_RAW!A980="","",IF(ISNUMBER(BANK_RAW!A980),BANK_RAW!A980,DATEVALUE(TEXT(BANK_RAW!A980,"YYYY-MM-DD"))))</f>
        <v/>
      </c>
      <c r="C980" s="11">
        <f>IF(BANK_RAW!A980="","",TRIM(BANK_RAW!B980))</f>
        <v/>
      </c>
      <c r="D980" s="11">
        <f>IF(BANK_RAW!A980="","",TRIM(BANK_RAW!C980))</f>
        <v/>
      </c>
      <c r="E980" s="12">
        <f>IF(BANK_RAW!A980="","",IFERROR(ABS(BANK_RAW!D980),0))</f>
        <v/>
      </c>
      <c r="F980" s="12">
        <f>IF(BANK_RAW!A980="","",IFERROR(ABS(BANK_RAW!E980),0))</f>
        <v/>
      </c>
      <c r="G980" s="12">
        <f>IF(BANK_RAW!A980="","",IFERROR(BANK_RAW!F980,0))</f>
        <v/>
      </c>
      <c r="H980" s="11">
        <f>IF(BANK_RAW!A980="","",IF(E980&gt;0,"CR",IF(F980&gt;0,"DR","CR")))</f>
        <v/>
      </c>
      <c r="I980" s="12">
        <f>IF(BANK_RAW!A980="","",E980-F980)</f>
        <v/>
      </c>
      <c r="J980" s="12">
        <f>IF(BANK_RAW!A980="","",ABS(I980))</f>
        <v/>
      </c>
      <c r="K980" s="11">
        <f>IF(BANK_RAW!A980="","",IF(H980="CR","IN","OUT"))</f>
        <v/>
      </c>
      <c r="L980" s="11" t="inlineStr"/>
      <c r="M980" s="11" t="inlineStr"/>
    </row>
    <row r="981">
      <c r="A981" s="13">
        <f>IF(BANK_RAW!A981="","",ROW()-1)</f>
        <v/>
      </c>
      <c r="B981" s="10">
        <f>IF(BANK_RAW!A981="","",IF(ISNUMBER(BANK_RAW!A981),BANK_RAW!A981,DATEVALUE(TEXT(BANK_RAW!A981,"YYYY-MM-DD"))))</f>
        <v/>
      </c>
      <c r="C981" s="11">
        <f>IF(BANK_RAW!A981="","",TRIM(BANK_RAW!B981))</f>
        <v/>
      </c>
      <c r="D981" s="11">
        <f>IF(BANK_RAW!A981="","",TRIM(BANK_RAW!C981))</f>
        <v/>
      </c>
      <c r="E981" s="12">
        <f>IF(BANK_RAW!A981="","",IFERROR(ABS(BANK_RAW!D981),0))</f>
        <v/>
      </c>
      <c r="F981" s="12">
        <f>IF(BANK_RAW!A981="","",IFERROR(ABS(BANK_RAW!E981),0))</f>
        <v/>
      </c>
      <c r="G981" s="12">
        <f>IF(BANK_RAW!A981="","",IFERROR(BANK_RAW!F981,0))</f>
        <v/>
      </c>
      <c r="H981" s="11">
        <f>IF(BANK_RAW!A981="","",IF(E981&gt;0,"CR",IF(F981&gt;0,"DR","CR")))</f>
        <v/>
      </c>
      <c r="I981" s="12">
        <f>IF(BANK_RAW!A981="","",E981-F981)</f>
        <v/>
      </c>
      <c r="J981" s="12">
        <f>IF(BANK_RAW!A981="","",ABS(I981))</f>
        <v/>
      </c>
      <c r="K981" s="11">
        <f>IF(BANK_RAW!A981="","",IF(H981="CR","IN","OUT"))</f>
        <v/>
      </c>
      <c r="L981" s="11" t="inlineStr"/>
      <c r="M981" s="11" t="inlineStr"/>
    </row>
    <row r="982">
      <c r="A982" s="13">
        <f>IF(BANK_RAW!A982="","",ROW()-1)</f>
        <v/>
      </c>
      <c r="B982" s="10">
        <f>IF(BANK_RAW!A982="","",IF(ISNUMBER(BANK_RAW!A982),BANK_RAW!A982,DATEVALUE(TEXT(BANK_RAW!A982,"YYYY-MM-DD"))))</f>
        <v/>
      </c>
      <c r="C982" s="11">
        <f>IF(BANK_RAW!A982="","",TRIM(BANK_RAW!B982))</f>
        <v/>
      </c>
      <c r="D982" s="11">
        <f>IF(BANK_RAW!A982="","",TRIM(BANK_RAW!C982))</f>
        <v/>
      </c>
      <c r="E982" s="12">
        <f>IF(BANK_RAW!A982="","",IFERROR(ABS(BANK_RAW!D982),0))</f>
        <v/>
      </c>
      <c r="F982" s="12">
        <f>IF(BANK_RAW!A982="","",IFERROR(ABS(BANK_RAW!E982),0))</f>
        <v/>
      </c>
      <c r="G982" s="12">
        <f>IF(BANK_RAW!A982="","",IFERROR(BANK_RAW!F982,0))</f>
        <v/>
      </c>
      <c r="H982" s="11">
        <f>IF(BANK_RAW!A982="","",IF(E982&gt;0,"CR",IF(F982&gt;0,"DR","CR")))</f>
        <v/>
      </c>
      <c r="I982" s="12">
        <f>IF(BANK_RAW!A982="","",E982-F982)</f>
        <v/>
      </c>
      <c r="J982" s="12">
        <f>IF(BANK_RAW!A982="","",ABS(I982))</f>
        <v/>
      </c>
      <c r="K982" s="11">
        <f>IF(BANK_RAW!A982="","",IF(H982="CR","IN","OUT"))</f>
        <v/>
      </c>
      <c r="L982" s="11" t="inlineStr"/>
      <c r="M982" s="11" t="inlineStr"/>
    </row>
    <row r="983">
      <c r="A983" s="13">
        <f>IF(BANK_RAW!A983="","",ROW()-1)</f>
        <v/>
      </c>
      <c r="B983" s="10">
        <f>IF(BANK_RAW!A983="","",IF(ISNUMBER(BANK_RAW!A983),BANK_RAW!A983,DATEVALUE(TEXT(BANK_RAW!A983,"YYYY-MM-DD"))))</f>
        <v/>
      </c>
      <c r="C983" s="11">
        <f>IF(BANK_RAW!A983="","",TRIM(BANK_RAW!B983))</f>
        <v/>
      </c>
      <c r="D983" s="11">
        <f>IF(BANK_RAW!A983="","",TRIM(BANK_RAW!C983))</f>
        <v/>
      </c>
      <c r="E983" s="12">
        <f>IF(BANK_RAW!A983="","",IFERROR(ABS(BANK_RAW!D983),0))</f>
        <v/>
      </c>
      <c r="F983" s="12">
        <f>IF(BANK_RAW!A983="","",IFERROR(ABS(BANK_RAW!E983),0))</f>
        <v/>
      </c>
      <c r="G983" s="12">
        <f>IF(BANK_RAW!A983="","",IFERROR(BANK_RAW!F983,0))</f>
        <v/>
      </c>
      <c r="H983" s="11">
        <f>IF(BANK_RAW!A983="","",IF(E983&gt;0,"CR",IF(F983&gt;0,"DR","CR")))</f>
        <v/>
      </c>
      <c r="I983" s="12">
        <f>IF(BANK_RAW!A983="","",E983-F983)</f>
        <v/>
      </c>
      <c r="J983" s="12">
        <f>IF(BANK_RAW!A983="","",ABS(I983))</f>
        <v/>
      </c>
      <c r="K983" s="11">
        <f>IF(BANK_RAW!A983="","",IF(H983="CR","IN","OUT"))</f>
        <v/>
      </c>
      <c r="L983" s="11" t="inlineStr"/>
      <c r="M983" s="11" t="inlineStr"/>
    </row>
    <row r="984">
      <c r="A984" s="13">
        <f>IF(BANK_RAW!A984="","",ROW()-1)</f>
        <v/>
      </c>
      <c r="B984" s="10">
        <f>IF(BANK_RAW!A984="","",IF(ISNUMBER(BANK_RAW!A984),BANK_RAW!A984,DATEVALUE(TEXT(BANK_RAW!A984,"YYYY-MM-DD"))))</f>
        <v/>
      </c>
      <c r="C984" s="11">
        <f>IF(BANK_RAW!A984="","",TRIM(BANK_RAW!B984))</f>
        <v/>
      </c>
      <c r="D984" s="11">
        <f>IF(BANK_RAW!A984="","",TRIM(BANK_RAW!C984))</f>
        <v/>
      </c>
      <c r="E984" s="12">
        <f>IF(BANK_RAW!A984="","",IFERROR(ABS(BANK_RAW!D984),0))</f>
        <v/>
      </c>
      <c r="F984" s="12">
        <f>IF(BANK_RAW!A984="","",IFERROR(ABS(BANK_RAW!E984),0))</f>
        <v/>
      </c>
      <c r="G984" s="12">
        <f>IF(BANK_RAW!A984="","",IFERROR(BANK_RAW!F984,0))</f>
        <v/>
      </c>
      <c r="H984" s="11">
        <f>IF(BANK_RAW!A984="","",IF(E984&gt;0,"CR",IF(F984&gt;0,"DR","CR")))</f>
        <v/>
      </c>
      <c r="I984" s="12">
        <f>IF(BANK_RAW!A984="","",E984-F984)</f>
        <v/>
      </c>
      <c r="J984" s="12">
        <f>IF(BANK_RAW!A984="","",ABS(I984))</f>
        <v/>
      </c>
      <c r="K984" s="11">
        <f>IF(BANK_RAW!A984="","",IF(H984="CR","IN","OUT"))</f>
        <v/>
      </c>
      <c r="L984" s="11" t="inlineStr"/>
      <c r="M984" s="11" t="inlineStr"/>
    </row>
    <row r="985">
      <c r="A985" s="13">
        <f>IF(BANK_RAW!A985="","",ROW()-1)</f>
        <v/>
      </c>
      <c r="B985" s="10">
        <f>IF(BANK_RAW!A985="","",IF(ISNUMBER(BANK_RAW!A985),BANK_RAW!A985,DATEVALUE(TEXT(BANK_RAW!A985,"YYYY-MM-DD"))))</f>
        <v/>
      </c>
      <c r="C985" s="11">
        <f>IF(BANK_RAW!A985="","",TRIM(BANK_RAW!B985))</f>
        <v/>
      </c>
      <c r="D985" s="11">
        <f>IF(BANK_RAW!A985="","",TRIM(BANK_RAW!C985))</f>
        <v/>
      </c>
      <c r="E985" s="12">
        <f>IF(BANK_RAW!A985="","",IFERROR(ABS(BANK_RAW!D985),0))</f>
        <v/>
      </c>
      <c r="F985" s="12">
        <f>IF(BANK_RAW!A985="","",IFERROR(ABS(BANK_RAW!E985),0))</f>
        <v/>
      </c>
      <c r="G985" s="12">
        <f>IF(BANK_RAW!A985="","",IFERROR(BANK_RAW!F985,0))</f>
        <v/>
      </c>
      <c r="H985" s="11">
        <f>IF(BANK_RAW!A985="","",IF(E985&gt;0,"CR",IF(F985&gt;0,"DR","CR")))</f>
        <v/>
      </c>
      <c r="I985" s="12">
        <f>IF(BANK_RAW!A985="","",E985-F985)</f>
        <v/>
      </c>
      <c r="J985" s="12">
        <f>IF(BANK_RAW!A985="","",ABS(I985))</f>
        <v/>
      </c>
      <c r="K985" s="11">
        <f>IF(BANK_RAW!A985="","",IF(H985="CR","IN","OUT"))</f>
        <v/>
      </c>
      <c r="L985" s="11" t="inlineStr"/>
      <c r="M985" s="11" t="inlineStr"/>
    </row>
    <row r="986">
      <c r="A986" s="13">
        <f>IF(BANK_RAW!A986="","",ROW()-1)</f>
        <v/>
      </c>
      <c r="B986" s="10">
        <f>IF(BANK_RAW!A986="","",IF(ISNUMBER(BANK_RAW!A986),BANK_RAW!A986,DATEVALUE(TEXT(BANK_RAW!A986,"YYYY-MM-DD"))))</f>
        <v/>
      </c>
      <c r="C986" s="11">
        <f>IF(BANK_RAW!A986="","",TRIM(BANK_RAW!B986))</f>
        <v/>
      </c>
      <c r="D986" s="11">
        <f>IF(BANK_RAW!A986="","",TRIM(BANK_RAW!C986))</f>
        <v/>
      </c>
      <c r="E986" s="12">
        <f>IF(BANK_RAW!A986="","",IFERROR(ABS(BANK_RAW!D986),0))</f>
        <v/>
      </c>
      <c r="F986" s="12">
        <f>IF(BANK_RAW!A986="","",IFERROR(ABS(BANK_RAW!E986),0))</f>
        <v/>
      </c>
      <c r="G986" s="12">
        <f>IF(BANK_RAW!A986="","",IFERROR(BANK_RAW!F986,0))</f>
        <v/>
      </c>
      <c r="H986" s="11">
        <f>IF(BANK_RAW!A986="","",IF(E986&gt;0,"CR",IF(F986&gt;0,"DR","CR")))</f>
        <v/>
      </c>
      <c r="I986" s="12">
        <f>IF(BANK_RAW!A986="","",E986-F986)</f>
        <v/>
      </c>
      <c r="J986" s="12">
        <f>IF(BANK_RAW!A986="","",ABS(I986))</f>
        <v/>
      </c>
      <c r="K986" s="11">
        <f>IF(BANK_RAW!A986="","",IF(H986="CR","IN","OUT"))</f>
        <v/>
      </c>
      <c r="L986" s="11" t="inlineStr"/>
      <c r="M986" s="11" t="inlineStr"/>
    </row>
    <row r="987">
      <c r="A987" s="13">
        <f>IF(BANK_RAW!A987="","",ROW()-1)</f>
        <v/>
      </c>
      <c r="B987" s="10">
        <f>IF(BANK_RAW!A987="","",IF(ISNUMBER(BANK_RAW!A987),BANK_RAW!A987,DATEVALUE(TEXT(BANK_RAW!A987,"YYYY-MM-DD"))))</f>
        <v/>
      </c>
      <c r="C987" s="11">
        <f>IF(BANK_RAW!A987="","",TRIM(BANK_RAW!B987))</f>
        <v/>
      </c>
      <c r="D987" s="11">
        <f>IF(BANK_RAW!A987="","",TRIM(BANK_RAW!C987))</f>
        <v/>
      </c>
      <c r="E987" s="12">
        <f>IF(BANK_RAW!A987="","",IFERROR(ABS(BANK_RAW!D987),0))</f>
        <v/>
      </c>
      <c r="F987" s="12">
        <f>IF(BANK_RAW!A987="","",IFERROR(ABS(BANK_RAW!E987),0))</f>
        <v/>
      </c>
      <c r="G987" s="12">
        <f>IF(BANK_RAW!A987="","",IFERROR(BANK_RAW!F987,0))</f>
        <v/>
      </c>
      <c r="H987" s="11">
        <f>IF(BANK_RAW!A987="","",IF(E987&gt;0,"CR",IF(F987&gt;0,"DR","CR")))</f>
        <v/>
      </c>
      <c r="I987" s="12">
        <f>IF(BANK_RAW!A987="","",E987-F987)</f>
        <v/>
      </c>
      <c r="J987" s="12">
        <f>IF(BANK_RAW!A987="","",ABS(I987))</f>
        <v/>
      </c>
      <c r="K987" s="11">
        <f>IF(BANK_RAW!A987="","",IF(H987="CR","IN","OUT"))</f>
        <v/>
      </c>
      <c r="L987" s="11" t="inlineStr"/>
      <c r="M987" s="11" t="inlineStr"/>
    </row>
    <row r="988">
      <c r="A988" s="13">
        <f>IF(BANK_RAW!A988="","",ROW()-1)</f>
        <v/>
      </c>
      <c r="B988" s="10">
        <f>IF(BANK_RAW!A988="","",IF(ISNUMBER(BANK_RAW!A988),BANK_RAW!A988,DATEVALUE(TEXT(BANK_RAW!A988,"YYYY-MM-DD"))))</f>
        <v/>
      </c>
      <c r="C988" s="11">
        <f>IF(BANK_RAW!A988="","",TRIM(BANK_RAW!B988))</f>
        <v/>
      </c>
      <c r="D988" s="11">
        <f>IF(BANK_RAW!A988="","",TRIM(BANK_RAW!C988))</f>
        <v/>
      </c>
      <c r="E988" s="12">
        <f>IF(BANK_RAW!A988="","",IFERROR(ABS(BANK_RAW!D988),0))</f>
        <v/>
      </c>
      <c r="F988" s="12">
        <f>IF(BANK_RAW!A988="","",IFERROR(ABS(BANK_RAW!E988),0))</f>
        <v/>
      </c>
      <c r="G988" s="12">
        <f>IF(BANK_RAW!A988="","",IFERROR(BANK_RAW!F988,0))</f>
        <v/>
      </c>
      <c r="H988" s="11">
        <f>IF(BANK_RAW!A988="","",IF(E988&gt;0,"CR",IF(F988&gt;0,"DR","CR")))</f>
        <v/>
      </c>
      <c r="I988" s="12">
        <f>IF(BANK_RAW!A988="","",E988-F988)</f>
        <v/>
      </c>
      <c r="J988" s="12">
        <f>IF(BANK_RAW!A988="","",ABS(I988))</f>
        <v/>
      </c>
      <c r="K988" s="11">
        <f>IF(BANK_RAW!A988="","",IF(H988="CR","IN","OUT"))</f>
        <v/>
      </c>
      <c r="L988" s="11" t="inlineStr"/>
      <c r="M988" s="11" t="inlineStr"/>
    </row>
    <row r="989">
      <c r="A989" s="13">
        <f>IF(BANK_RAW!A989="","",ROW()-1)</f>
        <v/>
      </c>
      <c r="B989" s="10">
        <f>IF(BANK_RAW!A989="","",IF(ISNUMBER(BANK_RAW!A989),BANK_RAW!A989,DATEVALUE(TEXT(BANK_RAW!A989,"YYYY-MM-DD"))))</f>
        <v/>
      </c>
      <c r="C989" s="11">
        <f>IF(BANK_RAW!A989="","",TRIM(BANK_RAW!B989))</f>
        <v/>
      </c>
      <c r="D989" s="11">
        <f>IF(BANK_RAW!A989="","",TRIM(BANK_RAW!C989))</f>
        <v/>
      </c>
      <c r="E989" s="12">
        <f>IF(BANK_RAW!A989="","",IFERROR(ABS(BANK_RAW!D989),0))</f>
        <v/>
      </c>
      <c r="F989" s="12">
        <f>IF(BANK_RAW!A989="","",IFERROR(ABS(BANK_RAW!E989),0))</f>
        <v/>
      </c>
      <c r="G989" s="12">
        <f>IF(BANK_RAW!A989="","",IFERROR(BANK_RAW!F989,0))</f>
        <v/>
      </c>
      <c r="H989" s="11">
        <f>IF(BANK_RAW!A989="","",IF(E989&gt;0,"CR",IF(F989&gt;0,"DR","CR")))</f>
        <v/>
      </c>
      <c r="I989" s="12">
        <f>IF(BANK_RAW!A989="","",E989-F989)</f>
        <v/>
      </c>
      <c r="J989" s="12">
        <f>IF(BANK_RAW!A989="","",ABS(I989))</f>
        <v/>
      </c>
      <c r="K989" s="11">
        <f>IF(BANK_RAW!A989="","",IF(H989="CR","IN","OUT"))</f>
        <v/>
      </c>
      <c r="L989" s="11" t="inlineStr"/>
      <c r="M989" s="11" t="inlineStr"/>
    </row>
    <row r="990">
      <c r="A990" s="13">
        <f>IF(BANK_RAW!A990="","",ROW()-1)</f>
        <v/>
      </c>
      <c r="B990" s="10">
        <f>IF(BANK_RAW!A990="","",IF(ISNUMBER(BANK_RAW!A990),BANK_RAW!A990,DATEVALUE(TEXT(BANK_RAW!A990,"YYYY-MM-DD"))))</f>
        <v/>
      </c>
      <c r="C990" s="11">
        <f>IF(BANK_RAW!A990="","",TRIM(BANK_RAW!B990))</f>
        <v/>
      </c>
      <c r="D990" s="11">
        <f>IF(BANK_RAW!A990="","",TRIM(BANK_RAW!C990))</f>
        <v/>
      </c>
      <c r="E990" s="12">
        <f>IF(BANK_RAW!A990="","",IFERROR(ABS(BANK_RAW!D990),0))</f>
        <v/>
      </c>
      <c r="F990" s="12">
        <f>IF(BANK_RAW!A990="","",IFERROR(ABS(BANK_RAW!E990),0))</f>
        <v/>
      </c>
      <c r="G990" s="12">
        <f>IF(BANK_RAW!A990="","",IFERROR(BANK_RAW!F990,0))</f>
        <v/>
      </c>
      <c r="H990" s="11">
        <f>IF(BANK_RAW!A990="","",IF(E990&gt;0,"CR",IF(F990&gt;0,"DR","CR")))</f>
        <v/>
      </c>
      <c r="I990" s="12">
        <f>IF(BANK_RAW!A990="","",E990-F990)</f>
        <v/>
      </c>
      <c r="J990" s="12">
        <f>IF(BANK_RAW!A990="","",ABS(I990))</f>
        <v/>
      </c>
      <c r="K990" s="11">
        <f>IF(BANK_RAW!A990="","",IF(H990="CR","IN","OUT"))</f>
        <v/>
      </c>
      <c r="L990" s="11" t="inlineStr"/>
      <c r="M990" s="11" t="inlineStr"/>
    </row>
    <row r="991">
      <c r="A991" s="13">
        <f>IF(BANK_RAW!A991="","",ROW()-1)</f>
        <v/>
      </c>
      <c r="B991" s="10">
        <f>IF(BANK_RAW!A991="","",IF(ISNUMBER(BANK_RAW!A991),BANK_RAW!A991,DATEVALUE(TEXT(BANK_RAW!A991,"YYYY-MM-DD"))))</f>
        <v/>
      </c>
      <c r="C991" s="11">
        <f>IF(BANK_RAW!A991="","",TRIM(BANK_RAW!B991))</f>
        <v/>
      </c>
      <c r="D991" s="11">
        <f>IF(BANK_RAW!A991="","",TRIM(BANK_RAW!C991))</f>
        <v/>
      </c>
      <c r="E991" s="12">
        <f>IF(BANK_RAW!A991="","",IFERROR(ABS(BANK_RAW!D991),0))</f>
        <v/>
      </c>
      <c r="F991" s="12">
        <f>IF(BANK_RAW!A991="","",IFERROR(ABS(BANK_RAW!E991),0))</f>
        <v/>
      </c>
      <c r="G991" s="12">
        <f>IF(BANK_RAW!A991="","",IFERROR(BANK_RAW!F991,0))</f>
        <v/>
      </c>
      <c r="H991" s="11">
        <f>IF(BANK_RAW!A991="","",IF(E991&gt;0,"CR",IF(F991&gt;0,"DR","CR")))</f>
        <v/>
      </c>
      <c r="I991" s="12">
        <f>IF(BANK_RAW!A991="","",E991-F991)</f>
        <v/>
      </c>
      <c r="J991" s="12">
        <f>IF(BANK_RAW!A991="","",ABS(I991))</f>
        <v/>
      </c>
      <c r="K991" s="11">
        <f>IF(BANK_RAW!A991="","",IF(H991="CR","IN","OUT"))</f>
        <v/>
      </c>
      <c r="L991" s="11" t="inlineStr"/>
      <c r="M991" s="11" t="inlineStr"/>
    </row>
    <row r="992">
      <c r="A992" s="13">
        <f>IF(BANK_RAW!A992="","",ROW()-1)</f>
        <v/>
      </c>
      <c r="B992" s="10">
        <f>IF(BANK_RAW!A992="","",IF(ISNUMBER(BANK_RAW!A992),BANK_RAW!A992,DATEVALUE(TEXT(BANK_RAW!A992,"YYYY-MM-DD"))))</f>
        <v/>
      </c>
      <c r="C992" s="11">
        <f>IF(BANK_RAW!A992="","",TRIM(BANK_RAW!B992))</f>
        <v/>
      </c>
      <c r="D992" s="11">
        <f>IF(BANK_RAW!A992="","",TRIM(BANK_RAW!C992))</f>
        <v/>
      </c>
      <c r="E992" s="12">
        <f>IF(BANK_RAW!A992="","",IFERROR(ABS(BANK_RAW!D992),0))</f>
        <v/>
      </c>
      <c r="F992" s="12">
        <f>IF(BANK_RAW!A992="","",IFERROR(ABS(BANK_RAW!E992),0))</f>
        <v/>
      </c>
      <c r="G992" s="12">
        <f>IF(BANK_RAW!A992="","",IFERROR(BANK_RAW!F992,0))</f>
        <v/>
      </c>
      <c r="H992" s="11">
        <f>IF(BANK_RAW!A992="","",IF(E992&gt;0,"CR",IF(F992&gt;0,"DR","CR")))</f>
        <v/>
      </c>
      <c r="I992" s="12">
        <f>IF(BANK_RAW!A992="","",E992-F992)</f>
        <v/>
      </c>
      <c r="J992" s="12">
        <f>IF(BANK_RAW!A992="","",ABS(I992))</f>
        <v/>
      </c>
      <c r="K992" s="11">
        <f>IF(BANK_RAW!A992="","",IF(H992="CR","IN","OUT"))</f>
        <v/>
      </c>
      <c r="L992" s="11" t="inlineStr"/>
      <c r="M992" s="11" t="inlineStr"/>
    </row>
    <row r="993">
      <c r="A993" s="13">
        <f>IF(BANK_RAW!A993="","",ROW()-1)</f>
        <v/>
      </c>
      <c r="B993" s="10">
        <f>IF(BANK_RAW!A993="","",IF(ISNUMBER(BANK_RAW!A993),BANK_RAW!A993,DATEVALUE(TEXT(BANK_RAW!A993,"YYYY-MM-DD"))))</f>
        <v/>
      </c>
      <c r="C993" s="11">
        <f>IF(BANK_RAW!A993="","",TRIM(BANK_RAW!B993))</f>
        <v/>
      </c>
      <c r="D993" s="11">
        <f>IF(BANK_RAW!A993="","",TRIM(BANK_RAW!C993))</f>
        <v/>
      </c>
      <c r="E993" s="12">
        <f>IF(BANK_RAW!A993="","",IFERROR(ABS(BANK_RAW!D993),0))</f>
        <v/>
      </c>
      <c r="F993" s="12">
        <f>IF(BANK_RAW!A993="","",IFERROR(ABS(BANK_RAW!E993),0))</f>
        <v/>
      </c>
      <c r="G993" s="12">
        <f>IF(BANK_RAW!A993="","",IFERROR(BANK_RAW!F993,0))</f>
        <v/>
      </c>
      <c r="H993" s="11">
        <f>IF(BANK_RAW!A993="","",IF(E993&gt;0,"CR",IF(F993&gt;0,"DR","CR")))</f>
        <v/>
      </c>
      <c r="I993" s="12">
        <f>IF(BANK_RAW!A993="","",E993-F993)</f>
        <v/>
      </c>
      <c r="J993" s="12">
        <f>IF(BANK_RAW!A993="","",ABS(I993))</f>
        <v/>
      </c>
      <c r="K993" s="11">
        <f>IF(BANK_RAW!A993="","",IF(H993="CR","IN","OUT"))</f>
        <v/>
      </c>
      <c r="L993" s="11" t="inlineStr"/>
      <c r="M993" s="11" t="inlineStr"/>
    </row>
    <row r="994">
      <c r="A994" s="13">
        <f>IF(BANK_RAW!A994="","",ROW()-1)</f>
        <v/>
      </c>
      <c r="B994" s="10">
        <f>IF(BANK_RAW!A994="","",IF(ISNUMBER(BANK_RAW!A994),BANK_RAW!A994,DATEVALUE(TEXT(BANK_RAW!A994,"YYYY-MM-DD"))))</f>
        <v/>
      </c>
      <c r="C994" s="11">
        <f>IF(BANK_RAW!A994="","",TRIM(BANK_RAW!B994))</f>
        <v/>
      </c>
      <c r="D994" s="11">
        <f>IF(BANK_RAW!A994="","",TRIM(BANK_RAW!C994))</f>
        <v/>
      </c>
      <c r="E994" s="12">
        <f>IF(BANK_RAW!A994="","",IFERROR(ABS(BANK_RAW!D994),0))</f>
        <v/>
      </c>
      <c r="F994" s="12">
        <f>IF(BANK_RAW!A994="","",IFERROR(ABS(BANK_RAW!E994),0))</f>
        <v/>
      </c>
      <c r="G994" s="12">
        <f>IF(BANK_RAW!A994="","",IFERROR(BANK_RAW!F994,0))</f>
        <v/>
      </c>
      <c r="H994" s="11">
        <f>IF(BANK_RAW!A994="","",IF(E994&gt;0,"CR",IF(F994&gt;0,"DR","CR")))</f>
        <v/>
      </c>
      <c r="I994" s="12">
        <f>IF(BANK_RAW!A994="","",E994-F994)</f>
        <v/>
      </c>
      <c r="J994" s="12">
        <f>IF(BANK_RAW!A994="","",ABS(I994))</f>
        <v/>
      </c>
      <c r="K994" s="11">
        <f>IF(BANK_RAW!A994="","",IF(H994="CR","IN","OUT"))</f>
        <v/>
      </c>
      <c r="L994" s="11" t="inlineStr"/>
      <c r="M994" s="11" t="inlineStr"/>
    </row>
    <row r="995">
      <c r="A995" s="13">
        <f>IF(BANK_RAW!A995="","",ROW()-1)</f>
        <v/>
      </c>
      <c r="B995" s="10">
        <f>IF(BANK_RAW!A995="","",IF(ISNUMBER(BANK_RAW!A995),BANK_RAW!A995,DATEVALUE(TEXT(BANK_RAW!A995,"YYYY-MM-DD"))))</f>
        <v/>
      </c>
      <c r="C995" s="11">
        <f>IF(BANK_RAW!A995="","",TRIM(BANK_RAW!B995))</f>
        <v/>
      </c>
      <c r="D995" s="11">
        <f>IF(BANK_RAW!A995="","",TRIM(BANK_RAW!C995))</f>
        <v/>
      </c>
      <c r="E995" s="12">
        <f>IF(BANK_RAW!A995="","",IFERROR(ABS(BANK_RAW!D995),0))</f>
        <v/>
      </c>
      <c r="F995" s="12">
        <f>IF(BANK_RAW!A995="","",IFERROR(ABS(BANK_RAW!E995),0))</f>
        <v/>
      </c>
      <c r="G995" s="12">
        <f>IF(BANK_RAW!A995="","",IFERROR(BANK_RAW!F995,0))</f>
        <v/>
      </c>
      <c r="H995" s="11">
        <f>IF(BANK_RAW!A995="","",IF(E995&gt;0,"CR",IF(F995&gt;0,"DR","CR")))</f>
        <v/>
      </c>
      <c r="I995" s="12">
        <f>IF(BANK_RAW!A995="","",E995-F995)</f>
        <v/>
      </c>
      <c r="J995" s="12">
        <f>IF(BANK_RAW!A995="","",ABS(I995))</f>
        <v/>
      </c>
      <c r="K995" s="11">
        <f>IF(BANK_RAW!A995="","",IF(H995="CR","IN","OUT"))</f>
        <v/>
      </c>
      <c r="L995" s="11" t="inlineStr"/>
      <c r="M995" s="11" t="inlineStr"/>
    </row>
    <row r="996">
      <c r="A996" s="13">
        <f>IF(BANK_RAW!A996="","",ROW()-1)</f>
        <v/>
      </c>
      <c r="B996" s="10">
        <f>IF(BANK_RAW!A996="","",IF(ISNUMBER(BANK_RAW!A996),BANK_RAW!A996,DATEVALUE(TEXT(BANK_RAW!A996,"YYYY-MM-DD"))))</f>
        <v/>
      </c>
      <c r="C996" s="11">
        <f>IF(BANK_RAW!A996="","",TRIM(BANK_RAW!B996))</f>
        <v/>
      </c>
      <c r="D996" s="11">
        <f>IF(BANK_RAW!A996="","",TRIM(BANK_RAW!C996))</f>
        <v/>
      </c>
      <c r="E996" s="12">
        <f>IF(BANK_RAW!A996="","",IFERROR(ABS(BANK_RAW!D996),0))</f>
        <v/>
      </c>
      <c r="F996" s="12">
        <f>IF(BANK_RAW!A996="","",IFERROR(ABS(BANK_RAW!E996),0))</f>
        <v/>
      </c>
      <c r="G996" s="12">
        <f>IF(BANK_RAW!A996="","",IFERROR(BANK_RAW!F996,0))</f>
        <v/>
      </c>
      <c r="H996" s="11">
        <f>IF(BANK_RAW!A996="","",IF(E996&gt;0,"CR",IF(F996&gt;0,"DR","CR")))</f>
        <v/>
      </c>
      <c r="I996" s="12">
        <f>IF(BANK_RAW!A996="","",E996-F996)</f>
        <v/>
      </c>
      <c r="J996" s="12">
        <f>IF(BANK_RAW!A996="","",ABS(I996))</f>
        <v/>
      </c>
      <c r="K996" s="11">
        <f>IF(BANK_RAW!A996="","",IF(H996="CR","IN","OUT"))</f>
        <v/>
      </c>
      <c r="L996" s="11" t="inlineStr"/>
      <c r="M996" s="11" t="inlineStr"/>
    </row>
    <row r="997">
      <c r="A997" s="13">
        <f>IF(BANK_RAW!A997="","",ROW()-1)</f>
        <v/>
      </c>
      <c r="B997" s="10">
        <f>IF(BANK_RAW!A997="","",IF(ISNUMBER(BANK_RAW!A997),BANK_RAW!A997,DATEVALUE(TEXT(BANK_RAW!A997,"YYYY-MM-DD"))))</f>
        <v/>
      </c>
      <c r="C997" s="11">
        <f>IF(BANK_RAW!A997="","",TRIM(BANK_RAW!B997))</f>
        <v/>
      </c>
      <c r="D997" s="11">
        <f>IF(BANK_RAW!A997="","",TRIM(BANK_RAW!C997))</f>
        <v/>
      </c>
      <c r="E997" s="12">
        <f>IF(BANK_RAW!A997="","",IFERROR(ABS(BANK_RAW!D997),0))</f>
        <v/>
      </c>
      <c r="F997" s="12">
        <f>IF(BANK_RAW!A997="","",IFERROR(ABS(BANK_RAW!E997),0))</f>
        <v/>
      </c>
      <c r="G997" s="12">
        <f>IF(BANK_RAW!A997="","",IFERROR(BANK_RAW!F997,0))</f>
        <v/>
      </c>
      <c r="H997" s="11">
        <f>IF(BANK_RAW!A997="","",IF(E997&gt;0,"CR",IF(F997&gt;0,"DR","CR")))</f>
        <v/>
      </c>
      <c r="I997" s="12">
        <f>IF(BANK_RAW!A997="","",E997-F997)</f>
        <v/>
      </c>
      <c r="J997" s="12">
        <f>IF(BANK_RAW!A997="","",ABS(I997))</f>
        <v/>
      </c>
      <c r="K997" s="11">
        <f>IF(BANK_RAW!A997="","",IF(H997="CR","IN","OUT"))</f>
        <v/>
      </c>
      <c r="L997" s="11" t="inlineStr"/>
      <c r="M997" s="11" t="inlineStr"/>
    </row>
    <row r="998">
      <c r="A998" s="13">
        <f>IF(BANK_RAW!A998="","",ROW()-1)</f>
        <v/>
      </c>
      <c r="B998" s="10">
        <f>IF(BANK_RAW!A998="","",IF(ISNUMBER(BANK_RAW!A998),BANK_RAW!A998,DATEVALUE(TEXT(BANK_RAW!A998,"YYYY-MM-DD"))))</f>
        <v/>
      </c>
      <c r="C998" s="11">
        <f>IF(BANK_RAW!A998="","",TRIM(BANK_RAW!B998))</f>
        <v/>
      </c>
      <c r="D998" s="11">
        <f>IF(BANK_RAW!A998="","",TRIM(BANK_RAW!C998))</f>
        <v/>
      </c>
      <c r="E998" s="12">
        <f>IF(BANK_RAW!A998="","",IFERROR(ABS(BANK_RAW!D998),0))</f>
        <v/>
      </c>
      <c r="F998" s="12">
        <f>IF(BANK_RAW!A998="","",IFERROR(ABS(BANK_RAW!E998),0))</f>
        <v/>
      </c>
      <c r="G998" s="12">
        <f>IF(BANK_RAW!A998="","",IFERROR(BANK_RAW!F998,0))</f>
        <v/>
      </c>
      <c r="H998" s="11">
        <f>IF(BANK_RAW!A998="","",IF(E998&gt;0,"CR",IF(F998&gt;0,"DR","CR")))</f>
        <v/>
      </c>
      <c r="I998" s="12">
        <f>IF(BANK_RAW!A998="","",E998-F998)</f>
        <v/>
      </c>
      <c r="J998" s="12">
        <f>IF(BANK_RAW!A998="","",ABS(I998))</f>
        <v/>
      </c>
      <c r="K998" s="11">
        <f>IF(BANK_RAW!A998="","",IF(H998="CR","IN","OUT"))</f>
        <v/>
      </c>
      <c r="L998" s="11" t="inlineStr"/>
      <c r="M998" s="11" t="inlineStr"/>
    </row>
    <row r="999">
      <c r="A999" s="13">
        <f>IF(BANK_RAW!A999="","",ROW()-1)</f>
        <v/>
      </c>
      <c r="B999" s="10">
        <f>IF(BANK_RAW!A999="","",IF(ISNUMBER(BANK_RAW!A999),BANK_RAW!A999,DATEVALUE(TEXT(BANK_RAW!A999,"YYYY-MM-DD"))))</f>
        <v/>
      </c>
      <c r="C999" s="11">
        <f>IF(BANK_RAW!A999="","",TRIM(BANK_RAW!B999))</f>
        <v/>
      </c>
      <c r="D999" s="11">
        <f>IF(BANK_RAW!A999="","",TRIM(BANK_RAW!C999))</f>
        <v/>
      </c>
      <c r="E999" s="12">
        <f>IF(BANK_RAW!A999="","",IFERROR(ABS(BANK_RAW!D999),0))</f>
        <v/>
      </c>
      <c r="F999" s="12">
        <f>IF(BANK_RAW!A999="","",IFERROR(ABS(BANK_RAW!E999),0))</f>
        <v/>
      </c>
      <c r="G999" s="12">
        <f>IF(BANK_RAW!A999="","",IFERROR(BANK_RAW!F999,0))</f>
        <v/>
      </c>
      <c r="H999" s="11">
        <f>IF(BANK_RAW!A999="","",IF(E999&gt;0,"CR",IF(F999&gt;0,"DR","CR")))</f>
        <v/>
      </c>
      <c r="I999" s="12">
        <f>IF(BANK_RAW!A999="","",E999-F999)</f>
        <v/>
      </c>
      <c r="J999" s="12">
        <f>IF(BANK_RAW!A999="","",ABS(I999))</f>
        <v/>
      </c>
      <c r="K999" s="11">
        <f>IF(BANK_RAW!A999="","",IF(H999="CR","IN","OUT"))</f>
        <v/>
      </c>
      <c r="L999" s="11" t="inlineStr"/>
      <c r="M999" s="11" t="inlineStr"/>
    </row>
    <row r="1000">
      <c r="A1000" s="13">
        <f>IF(BANK_RAW!A1000="","",ROW()-1)</f>
        <v/>
      </c>
      <c r="B1000" s="10">
        <f>IF(BANK_RAW!A1000="","",IF(ISNUMBER(BANK_RAW!A1000),BANK_RAW!A1000,DATEVALUE(TEXT(BANK_RAW!A1000,"YYYY-MM-DD"))))</f>
        <v/>
      </c>
      <c r="C1000" s="11">
        <f>IF(BANK_RAW!A1000="","",TRIM(BANK_RAW!B1000))</f>
        <v/>
      </c>
      <c r="D1000" s="11">
        <f>IF(BANK_RAW!A1000="","",TRIM(BANK_RAW!C1000))</f>
        <v/>
      </c>
      <c r="E1000" s="12">
        <f>IF(BANK_RAW!A1000="","",IFERROR(ABS(BANK_RAW!D1000),0))</f>
        <v/>
      </c>
      <c r="F1000" s="12">
        <f>IF(BANK_RAW!A1000="","",IFERROR(ABS(BANK_RAW!E1000),0))</f>
        <v/>
      </c>
      <c r="G1000" s="12">
        <f>IF(BANK_RAW!A1000="","",IFERROR(BANK_RAW!F1000,0))</f>
        <v/>
      </c>
      <c r="H1000" s="11">
        <f>IF(BANK_RAW!A1000="","",IF(E1000&gt;0,"CR",IF(F1000&gt;0,"DR","CR")))</f>
        <v/>
      </c>
      <c r="I1000" s="12">
        <f>IF(BANK_RAW!A1000="","",E1000-F1000)</f>
        <v/>
      </c>
      <c r="J1000" s="12">
        <f>IF(BANK_RAW!A1000="","",ABS(I1000))</f>
        <v/>
      </c>
      <c r="K1000" s="11">
        <f>IF(BANK_RAW!A1000="","",IF(H1000="CR","IN","OUT"))</f>
        <v/>
      </c>
      <c r="L1000" s="11" t="inlineStr"/>
      <c r="M1000" s="11" t="inlineStr"/>
    </row>
    <row r="1001">
      <c r="A1001" s="13">
        <f>IF(BANK_RAW!A1001="","",ROW()-1)</f>
        <v/>
      </c>
      <c r="B1001" s="10">
        <f>IF(BANK_RAW!A1001="","",IF(ISNUMBER(BANK_RAW!A1001),BANK_RAW!A1001,DATEVALUE(TEXT(BANK_RAW!A1001,"YYYY-MM-DD"))))</f>
        <v/>
      </c>
      <c r="C1001" s="11">
        <f>IF(BANK_RAW!A1001="","",TRIM(BANK_RAW!B1001))</f>
        <v/>
      </c>
      <c r="D1001" s="11">
        <f>IF(BANK_RAW!A1001="","",TRIM(BANK_RAW!C1001))</f>
        <v/>
      </c>
      <c r="E1001" s="12">
        <f>IF(BANK_RAW!A1001="","",IFERROR(ABS(BANK_RAW!D1001),0))</f>
        <v/>
      </c>
      <c r="F1001" s="12">
        <f>IF(BANK_RAW!A1001="","",IFERROR(ABS(BANK_RAW!E1001),0))</f>
        <v/>
      </c>
      <c r="G1001" s="12">
        <f>IF(BANK_RAW!A1001="","",IFERROR(BANK_RAW!F1001,0))</f>
        <v/>
      </c>
      <c r="H1001" s="11">
        <f>IF(BANK_RAW!A1001="","",IF(E1001&gt;0,"CR",IF(F1001&gt;0,"DR","CR")))</f>
        <v/>
      </c>
      <c r="I1001" s="12">
        <f>IF(BANK_RAW!A1001="","",E1001-F1001)</f>
        <v/>
      </c>
      <c r="J1001" s="12">
        <f>IF(BANK_RAW!A1001="","",ABS(I1001))</f>
        <v/>
      </c>
      <c r="K1001" s="11">
        <f>IF(BANK_RAW!A1001="","",IF(H1001="CR","IN","OUT"))</f>
        <v/>
      </c>
      <c r="L1001" s="11" t="inlineStr"/>
      <c r="M1001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651A8"/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4" customWidth="1" min="5" max="5"/>
    <col width="22" customWidth="1" min="6" max="6"/>
    <col width="28" customWidth="1" min="7" max="7"/>
    <col width="15" customWidth="1" min="8" max="8"/>
    <col width="15" customWidth="1" min="9" max="9"/>
    <col width="10" customWidth="1" min="10" max="10"/>
    <col width="20" customWidth="1" min="11" max="11"/>
  </cols>
  <sheetData>
    <row r="1" ht="36" customHeight="1">
      <c r="A1" s="7" t="inlineStr">
        <is>
          <t>معرف
Row ID</t>
        </is>
      </c>
      <c r="B1" s="7" t="inlineStr">
        <is>
          <t>التاريخ
Date</t>
        </is>
      </c>
      <c r="C1" s="7" t="inlineStr">
        <is>
          <t>رقم القيد
JE Number</t>
        </is>
      </c>
      <c r="D1" s="7" t="inlineStr">
        <is>
          <t>مفتاح الترحيل
Posting Key</t>
        </is>
      </c>
      <c r="E1" s="7" t="inlineStr">
        <is>
          <t>نوع القيد
JE Type</t>
        </is>
      </c>
      <c r="F1" s="7" t="inlineStr">
        <is>
          <t>رقم الحساب
GL Account</t>
        </is>
      </c>
      <c r="G1" s="7" t="inlineStr">
        <is>
          <t>اسم الحساب
GL Name</t>
        </is>
      </c>
      <c r="H1" s="7" t="inlineStr">
        <is>
          <t>المبلغ
Amount</t>
        </is>
      </c>
      <c r="I1" s="7" t="inlineStr">
        <is>
          <t>المبلغ المطلق
Abs Amount</t>
        </is>
      </c>
      <c r="J1" s="7" t="inlineStr">
        <is>
          <t>الاتجاه
Direction</t>
        </is>
      </c>
      <c r="K1" s="7" t="inlineStr">
        <is>
          <t>ملاحظات
Notes</t>
        </is>
      </c>
    </row>
    <row r="2">
      <c r="A2" s="13">
        <f>IF(GL_RAW!A2="","",ROW()-1)</f>
        <v/>
      </c>
      <c r="B2" s="10">
        <f>IF(GL_RAW!A2="","",IF(ISNUMBER(GL_RAW!A2),GL_RAW!A2,DATEVALUE(TEXT(GL_RAW!A2,"YYYY-MM-DD"))))</f>
        <v/>
      </c>
      <c r="C2" s="11">
        <f>IF(GL_RAW!A2="","",TRIM(GL_RAW!B2))</f>
        <v/>
      </c>
      <c r="D2" s="11">
        <f>IF(GL_RAW!A2="","",TRIM(GL_RAW!C2))</f>
        <v/>
      </c>
      <c r="E2" s="11">
        <f>IF(GL_RAW!A2="","",TRIM(GL_RAW!D2))</f>
        <v/>
      </c>
      <c r="F2" s="11">
        <f>IF(GL_RAW!A2="","",TRIM(GL_RAW!F2))</f>
        <v/>
      </c>
      <c r="G2" s="11">
        <f>IF(GL_RAW!A2="","",TRIM(GL_RAW!G2))</f>
        <v/>
      </c>
      <c r="H2" s="12">
        <f>IF(GL_RAW!A2="","",IFERROR(GL_RAW!E2,0))</f>
        <v/>
      </c>
      <c r="I2" s="12">
        <f>IF(GL_RAW!A2="","",ABS(H2))</f>
        <v/>
      </c>
      <c r="J2" s="11">
        <f>IF(GL_RAW!A2="","",IF(OR(ISNUMBER(SEARCH("Out",F2)),ISNUMBER(SEARCH("11025002",F2)),H2&lt;0),"OUT","IN"))</f>
        <v/>
      </c>
      <c r="K2" s="11" t="inlineStr"/>
    </row>
    <row r="3">
      <c r="A3" s="13">
        <f>IF(GL_RAW!A3="","",ROW()-1)</f>
        <v/>
      </c>
      <c r="B3" s="10">
        <f>IF(GL_RAW!A3="","",IF(ISNUMBER(GL_RAW!A3),GL_RAW!A3,DATEVALUE(TEXT(GL_RAW!A3,"YYYY-MM-DD"))))</f>
        <v/>
      </c>
      <c r="C3" s="11">
        <f>IF(GL_RAW!A3="","",TRIM(GL_RAW!B3))</f>
        <v/>
      </c>
      <c r="D3" s="11">
        <f>IF(GL_RAW!A3="","",TRIM(GL_RAW!C3))</f>
        <v/>
      </c>
      <c r="E3" s="11">
        <f>IF(GL_RAW!A3="","",TRIM(GL_RAW!D3))</f>
        <v/>
      </c>
      <c r="F3" s="11">
        <f>IF(GL_RAW!A3="","",TRIM(GL_RAW!F3))</f>
        <v/>
      </c>
      <c r="G3" s="11">
        <f>IF(GL_RAW!A3="","",TRIM(GL_RAW!G3))</f>
        <v/>
      </c>
      <c r="H3" s="12">
        <f>IF(GL_RAW!A3="","",IFERROR(GL_RAW!E3,0))</f>
        <v/>
      </c>
      <c r="I3" s="12">
        <f>IF(GL_RAW!A3="","",ABS(H3))</f>
        <v/>
      </c>
      <c r="J3" s="11">
        <f>IF(GL_RAW!A3="","",IF(OR(ISNUMBER(SEARCH("Out",F3)),ISNUMBER(SEARCH("11025002",F3)),H3&lt;0),"OUT","IN"))</f>
        <v/>
      </c>
      <c r="K3" s="11" t="inlineStr"/>
    </row>
    <row r="4">
      <c r="A4" s="13">
        <f>IF(GL_RAW!A4="","",ROW()-1)</f>
        <v/>
      </c>
      <c r="B4" s="10">
        <f>IF(GL_RAW!A4="","",IF(ISNUMBER(GL_RAW!A4),GL_RAW!A4,DATEVALUE(TEXT(GL_RAW!A4,"YYYY-MM-DD"))))</f>
        <v/>
      </c>
      <c r="C4" s="11">
        <f>IF(GL_RAW!A4="","",TRIM(GL_RAW!B4))</f>
        <v/>
      </c>
      <c r="D4" s="11">
        <f>IF(GL_RAW!A4="","",TRIM(GL_RAW!C4))</f>
        <v/>
      </c>
      <c r="E4" s="11">
        <f>IF(GL_RAW!A4="","",TRIM(GL_RAW!D4))</f>
        <v/>
      </c>
      <c r="F4" s="11">
        <f>IF(GL_RAW!A4="","",TRIM(GL_RAW!F4))</f>
        <v/>
      </c>
      <c r="G4" s="11">
        <f>IF(GL_RAW!A4="","",TRIM(GL_RAW!G4))</f>
        <v/>
      </c>
      <c r="H4" s="12">
        <f>IF(GL_RAW!A4="","",IFERROR(GL_RAW!E4,0))</f>
        <v/>
      </c>
      <c r="I4" s="12">
        <f>IF(GL_RAW!A4="","",ABS(H4))</f>
        <v/>
      </c>
      <c r="J4" s="11">
        <f>IF(GL_RAW!A4="","",IF(OR(ISNUMBER(SEARCH("Out",F4)),ISNUMBER(SEARCH("11025002",F4)),H4&lt;0),"OUT","IN"))</f>
        <v/>
      </c>
      <c r="K4" s="11" t="inlineStr"/>
    </row>
    <row r="5">
      <c r="A5" s="13">
        <f>IF(GL_RAW!A5="","",ROW()-1)</f>
        <v/>
      </c>
      <c r="B5" s="10">
        <f>IF(GL_RAW!A5="","",IF(ISNUMBER(GL_RAW!A5),GL_RAW!A5,DATEVALUE(TEXT(GL_RAW!A5,"YYYY-MM-DD"))))</f>
        <v/>
      </c>
      <c r="C5" s="11">
        <f>IF(GL_RAW!A5="","",TRIM(GL_RAW!B5))</f>
        <v/>
      </c>
      <c r="D5" s="11">
        <f>IF(GL_RAW!A5="","",TRIM(GL_RAW!C5))</f>
        <v/>
      </c>
      <c r="E5" s="11">
        <f>IF(GL_RAW!A5="","",TRIM(GL_RAW!D5))</f>
        <v/>
      </c>
      <c r="F5" s="11">
        <f>IF(GL_RAW!A5="","",TRIM(GL_RAW!F5))</f>
        <v/>
      </c>
      <c r="G5" s="11">
        <f>IF(GL_RAW!A5="","",TRIM(GL_RAW!G5))</f>
        <v/>
      </c>
      <c r="H5" s="12">
        <f>IF(GL_RAW!A5="","",IFERROR(GL_RAW!E5,0))</f>
        <v/>
      </c>
      <c r="I5" s="12">
        <f>IF(GL_RAW!A5="","",ABS(H5))</f>
        <v/>
      </c>
      <c r="J5" s="11">
        <f>IF(GL_RAW!A5="","",IF(OR(ISNUMBER(SEARCH("Out",F5)),ISNUMBER(SEARCH("11025002",F5)),H5&lt;0),"OUT","IN"))</f>
        <v/>
      </c>
      <c r="K5" s="11" t="inlineStr"/>
    </row>
    <row r="6">
      <c r="A6" s="13">
        <f>IF(GL_RAW!A6="","",ROW()-1)</f>
        <v/>
      </c>
      <c r="B6" s="10">
        <f>IF(GL_RAW!A6="","",IF(ISNUMBER(GL_RAW!A6),GL_RAW!A6,DATEVALUE(TEXT(GL_RAW!A6,"YYYY-MM-DD"))))</f>
        <v/>
      </c>
      <c r="C6" s="11">
        <f>IF(GL_RAW!A6="","",TRIM(GL_RAW!B6))</f>
        <v/>
      </c>
      <c r="D6" s="11">
        <f>IF(GL_RAW!A6="","",TRIM(GL_RAW!C6))</f>
        <v/>
      </c>
      <c r="E6" s="11">
        <f>IF(GL_RAW!A6="","",TRIM(GL_RAW!D6))</f>
        <v/>
      </c>
      <c r="F6" s="11">
        <f>IF(GL_RAW!A6="","",TRIM(GL_RAW!F6))</f>
        <v/>
      </c>
      <c r="G6" s="11">
        <f>IF(GL_RAW!A6="","",TRIM(GL_RAW!G6))</f>
        <v/>
      </c>
      <c r="H6" s="12">
        <f>IF(GL_RAW!A6="","",IFERROR(GL_RAW!E6,0))</f>
        <v/>
      </c>
      <c r="I6" s="12">
        <f>IF(GL_RAW!A6="","",ABS(H6))</f>
        <v/>
      </c>
      <c r="J6" s="11">
        <f>IF(GL_RAW!A6="","",IF(OR(ISNUMBER(SEARCH("Out",F6)),ISNUMBER(SEARCH("11025002",F6)),H6&lt;0),"OUT","IN"))</f>
        <v/>
      </c>
      <c r="K6" s="11" t="inlineStr"/>
    </row>
    <row r="7">
      <c r="A7" s="13">
        <f>IF(GL_RAW!A7="","",ROW()-1)</f>
        <v/>
      </c>
      <c r="B7" s="10">
        <f>IF(GL_RAW!A7="","",IF(ISNUMBER(GL_RAW!A7),GL_RAW!A7,DATEVALUE(TEXT(GL_RAW!A7,"YYYY-MM-DD"))))</f>
        <v/>
      </c>
      <c r="C7" s="11">
        <f>IF(GL_RAW!A7="","",TRIM(GL_RAW!B7))</f>
        <v/>
      </c>
      <c r="D7" s="11">
        <f>IF(GL_RAW!A7="","",TRIM(GL_RAW!C7))</f>
        <v/>
      </c>
      <c r="E7" s="11">
        <f>IF(GL_RAW!A7="","",TRIM(GL_RAW!D7))</f>
        <v/>
      </c>
      <c r="F7" s="11">
        <f>IF(GL_RAW!A7="","",TRIM(GL_RAW!F7))</f>
        <v/>
      </c>
      <c r="G7" s="11">
        <f>IF(GL_RAW!A7="","",TRIM(GL_RAW!G7))</f>
        <v/>
      </c>
      <c r="H7" s="12">
        <f>IF(GL_RAW!A7="","",IFERROR(GL_RAW!E7,0))</f>
        <v/>
      </c>
      <c r="I7" s="12">
        <f>IF(GL_RAW!A7="","",ABS(H7))</f>
        <v/>
      </c>
      <c r="J7" s="11">
        <f>IF(GL_RAW!A7="","",IF(OR(ISNUMBER(SEARCH("Out",F7)),ISNUMBER(SEARCH("11025002",F7)),H7&lt;0),"OUT","IN"))</f>
        <v/>
      </c>
      <c r="K7" s="11" t="inlineStr"/>
    </row>
    <row r="8">
      <c r="A8" s="13">
        <f>IF(GL_RAW!A8="","",ROW()-1)</f>
        <v/>
      </c>
      <c r="B8" s="10">
        <f>IF(GL_RAW!A8="","",IF(ISNUMBER(GL_RAW!A8),GL_RAW!A8,DATEVALUE(TEXT(GL_RAW!A8,"YYYY-MM-DD"))))</f>
        <v/>
      </c>
      <c r="C8" s="11">
        <f>IF(GL_RAW!A8="","",TRIM(GL_RAW!B8))</f>
        <v/>
      </c>
      <c r="D8" s="11">
        <f>IF(GL_RAW!A8="","",TRIM(GL_RAW!C8))</f>
        <v/>
      </c>
      <c r="E8" s="11">
        <f>IF(GL_RAW!A8="","",TRIM(GL_RAW!D8))</f>
        <v/>
      </c>
      <c r="F8" s="11">
        <f>IF(GL_RAW!A8="","",TRIM(GL_RAW!F8))</f>
        <v/>
      </c>
      <c r="G8" s="11">
        <f>IF(GL_RAW!A8="","",TRIM(GL_RAW!G8))</f>
        <v/>
      </c>
      <c r="H8" s="12">
        <f>IF(GL_RAW!A8="","",IFERROR(GL_RAW!E8,0))</f>
        <v/>
      </c>
      <c r="I8" s="12">
        <f>IF(GL_RAW!A8="","",ABS(H8))</f>
        <v/>
      </c>
      <c r="J8" s="11">
        <f>IF(GL_RAW!A8="","",IF(OR(ISNUMBER(SEARCH("Out",F8)),ISNUMBER(SEARCH("11025002",F8)),H8&lt;0),"OUT","IN"))</f>
        <v/>
      </c>
      <c r="K8" s="11" t="inlineStr"/>
    </row>
    <row r="9">
      <c r="A9" s="13">
        <f>IF(GL_RAW!A9="","",ROW()-1)</f>
        <v/>
      </c>
      <c r="B9" s="10">
        <f>IF(GL_RAW!A9="","",IF(ISNUMBER(GL_RAW!A9),GL_RAW!A9,DATEVALUE(TEXT(GL_RAW!A9,"YYYY-MM-DD"))))</f>
        <v/>
      </c>
      <c r="C9" s="11">
        <f>IF(GL_RAW!A9="","",TRIM(GL_RAW!B9))</f>
        <v/>
      </c>
      <c r="D9" s="11">
        <f>IF(GL_RAW!A9="","",TRIM(GL_RAW!C9))</f>
        <v/>
      </c>
      <c r="E9" s="11">
        <f>IF(GL_RAW!A9="","",TRIM(GL_RAW!D9))</f>
        <v/>
      </c>
      <c r="F9" s="11">
        <f>IF(GL_RAW!A9="","",TRIM(GL_RAW!F9))</f>
        <v/>
      </c>
      <c r="G9" s="11">
        <f>IF(GL_RAW!A9="","",TRIM(GL_RAW!G9))</f>
        <v/>
      </c>
      <c r="H9" s="12">
        <f>IF(GL_RAW!A9="","",IFERROR(GL_RAW!E9,0))</f>
        <v/>
      </c>
      <c r="I9" s="12">
        <f>IF(GL_RAW!A9="","",ABS(H9))</f>
        <v/>
      </c>
      <c r="J9" s="11">
        <f>IF(GL_RAW!A9="","",IF(OR(ISNUMBER(SEARCH("Out",F9)),ISNUMBER(SEARCH("11025002",F9)),H9&lt;0),"OUT","IN"))</f>
        <v/>
      </c>
      <c r="K9" s="11" t="inlineStr"/>
    </row>
    <row r="10">
      <c r="A10" s="13">
        <f>IF(GL_RAW!A10="","",ROW()-1)</f>
        <v/>
      </c>
      <c r="B10" s="10">
        <f>IF(GL_RAW!A10="","",IF(ISNUMBER(GL_RAW!A10),GL_RAW!A10,DATEVALUE(TEXT(GL_RAW!A10,"YYYY-MM-DD"))))</f>
        <v/>
      </c>
      <c r="C10" s="11">
        <f>IF(GL_RAW!A10="","",TRIM(GL_RAW!B10))</f>
        <v/>
      </c>
      <c r="D10" s="11">
        <f>IF(GL_RAW!A10="","",TRIM(GL_RAW!C10))</f>
        <v/>
      </c>
      <c r="E10" s="11">
        <f>IF(GL_RAW!A10="","",TRIM(GL_RAW!D10))</f>
        <v/>
      </c>
      <c r="F10" s="11">
        <f>IF(GL_RAW!A10="","",TRIM(GL_RAW!F10))</f>
        <v/>
      </c>
      <c r="G10" s="11">
        <f>IF(GL_RAW!A10="","",TRIM(GL_RAW!G10))</f>
        <v/>
      </c>
      <c r="H10" s="12">
        <f>IF(GL_RAW!A10="","",IFERROR(GL_RAW!E10,0))</f>
        <v/>
      </c>
      <c r="I10" s="12">
        <f>IF(GL_RAW!A10="","",ABS(H10))</f>
        <v/>
      </c>
      <c r="J10" s="11">
        <f>IF(GL_RAW!A10="","",IF(OR(ISNUMBER(SEARCH("Out",F10)),ISNUMBER(SEARCH("11025002",F10)),H10&lt;0),"OUT","IN"))</f>
        <v/>
      </c>
      <c r="K10" s="11" t="inlineStr"/>
    </row>
    <row r="11">
      <c r="A11" s="13">
        <f>IF(GL_RAW!A11="","",ROW()-1)</f>
        <v/>
      </c>
      <c r="B11" s="10">
        <f>IF(GL_RAW!A11="","",IF(ISNUMBER(GL_RAW!A11),GL_RAW!A11,DATEVALUE(TEXT(GL_RAW!A11,"YYYY-MM-DD"))))</f>
        <v/>
      </c>
      <c r="C11" s="11">
        <f>IF(GL_RAW!A11="","",TRIM(GL_RAW!B11))</f>
        <v/>
      </c>
      <c r="D11" s="11">
        <f>IF(GL_RAW!A11="","",TRIM(GL_RAW!C11))</f>
        <v/>
      </c>
      <c r="E11" s="11">
        <f>IF(GL_RAW!A11="","",TRIM(GL_RAW!D11))</f>
        <v/>
      </c>
      <c r="F11" s="11">
        <f>IF(GL_RAW!A11="","",TRIM(GL_RAW!F11))</f>
        <v/>
      </c>
      <c r="G11" s="11">
        <f>IF(GL_RAW!A11="","",TRIM(GL_RAW!G11))</f>
        <v/>
      </c>
      <c r="H11" s="12">
        <f>IF(GL_RAW!A11="","",IFERROR(GL_RAW!E11,0))</f>
        <v/>
      </c>
      <c r="I11" s="12">
        <f>IF(GL_RAW!A11="","",ABS(H11))</f>
        <v/>
      </c>
      <c r="J11" s="11">
        <f>IF(GL_RAW!A11="","",IF(OR(ISNUMBER(SEARCH("Out",F11)),ISNUMBER(SEARCH("11025002",F11)),H11&lt;0),"OUT","IN"))</f>
        <v/>
      </c>
      <c r="K11" s="11" t="inlineStr"/>
    </row>
    <row r="12">
      <c r="A12" s="13">
        <f>IF(GL_RAW!A12="","",ROW()-1)</f>
        <v/>
      </c>
      <c r="B12" s="10">
        <f>IF(GL_RAW!A12="","",IF(ISNUMBER(GL_RAW!A12),GL_RAW!A12,DATEVALUE(TEXT(GL_RAW!A12,"YYYY-MM-DD"))))</f>
        <v/>
      </c>
      <c r="C12" s="11">
        <f>IF(GL_RAW!A12="","",TRIM(GL_RAW!B12))</f>
        <v/>
      </c>
      <c r="D12" s="11">
        <f>IF(GL_RAW!A12="","",TRIM(GL_RAW!C12))</f>
        <v/>
      </c>
      <c r="E12" s="11">
        <f>IF(GL_RAW!A12="","",TRIM(GL_RAW!D12))</f>
        <v/>
      </c>
      <c r="F12" s="11">
        <f>IF(GL_RAW!A12="","",TRIM(GL_RAW!F12))</f>
        <v/>
      </c>
      <c r="G12" s="11">
        <f>IF(GL_RAW!A12="","",TRIM(GL_RAW!G12))</f>
        <v/>
      </c>
      <c r="H12" s="12">
        <f>IF(GL_RAW!A12="","",IFERROR(GL_RAW!E12,0))</f>
        <v/>
      </c>
      <c r="I12" s="12">
        <f>IF(GL_RAW!A12="","",ABS(H12))</f>
        <v/>
      </c>
      <c r="J12" s="11">
        <f>IF(GL_RAW!A12="","",IF(OR(ISNUMBER(SEARCH("Out",F12)),ISNUMBER(SEARCH("11025002",F12)),H12&lt;0),"OUT","IN"))</f>
        <v/>
      </c>
      <c r="K12" s="11" t="inlineStr"/>
    </row>
    <row r="13">
      <c r="A13" s="13">
        <f>IF(GL_RAW!A13="","",ROW()-1)</f>
        <v/>
      </c>
      <c r="B13" s="10">
        <f>IF(GL_RAW!A13="","",IF(ISNUMBER(GL_RAW!A13),GL_RAW!A13,DATEVALUE(TEXT(GL_RAW!A13,"YYYY-MM-DD"))))</f>
        <v/>
      </c>
      <c r="C13" s="11">
        <f>IF(GL_RAW!A13="","",TRIM(GL_RAW!B13))</f>
        <v/>
      </c>
      <c r="D13" s="11">
        <f>IF(GL_RAW!A13="","",TRIM(GL_RAW!C13))</f>
        <v/>
      </c>
      <c r="E13" s="11">
        <f>IF(GL_RAW!A13="","",TRIM(GL_RAW!D13))</f>
        <v/>
      </c>
      <c r="F13" s="11">
        <f>IF(GL_RAW!A13="","",TRIM(GL_RAW!F13))</f>
        <v/>
      </c>
      <c r="G13" s="11">
        <f>IF(GL_RAW!A13="","",TRIM(GL_RAW!G13))</f>
        <v/>
      </c>
      <c r="H13" s="12">
        <f>IF(GL_RAW!A13="","",IFERROR(GL_RAW!E13,0))</f>
        <v/>
      </c>
      <c r="I13" s="12">
        <f>IF(GL_RAW!A13="","",ABS(H13))</f>
        <v/>
      </c>
      <c r="J13" s="11">
        <f>IF(GL_RAW!A13="","",IF(OR(ISNUMBER(SEARCH("Out",F13)),ISNUMBER(SEARCH("11025002",F13)),H13&lt;0),"OUT","IN"))</f>
        <v/>
      </c>
      <c r="K13" s="11" t="inlineStr"/>
    </row>
    <row r="14">
      <c r="A14" s="13">
        <f>IF(GL_RAW!A14="","",ROW()-1)</f>
        <v/>
      </c>
      <c r="B14" s="10">
        <f>IF(GL_RAW!A14="","",IF(ISNUMBER(GL_RAW!A14),GL_RAW!A14,DATEVALUE(TEXT(GL_RAW!A14,"YYYY-MM-DD"))))</f>
        <v/>
      </c>
      <c r="C14" s="11">
        <f>IF(GL_RAW!A14="","",TRIM(GL_RAW!B14))</f>
        <v/>
      </c>
      <c r="D14" s="11">
        <f>IF(GL_RAW!A14="","",TRIM(GL_RAW!C14))</f>
        <v/>
      </c>
      <c r="E14" s="11">
        <f>IF(GL_RAW!A14="","",TRIM(GL_RAW!D14))</f>
        <v/>
      </c>
      <c r="F14" s="11">
        <f>IF(GL_RAW!A14="","",TRIM(GL_RAW!F14))</f>
        <v/>
      </c>
      <c r="G14" s="11">
        <f>IF(GL_RAW!A14="","",TRIM(GL_RAW!G14))</f>
        <v/>
      </c>
      <c r="H14" s="12">
        <f>IF(GL_RAW!A14="","",IFERROR(GL_RAW!E14,0))</f>
        <v/>
      </c>
      <c r="I14" s="12">
        <f>IF(GL_RAW!A14="","",ABS(H14))</f>
        <v/>
      </c>
      <c r="J14" s="11">
        <f>IF(GL_RAW!A14="","",IF(OR(ISNUMBER(SEARCH("Out",F14)),ISNUMBER(SEARCH("11025002",F14)),H14&lt;0),"OUT","IN"))</f>
        <v/>
      </c>
      <c r="K14" s="11" t="inlineStr"/>
    </row>
    <row r="15">
      <c r="A15" s="13">
        <f>IF(GL_RAW!A15="","",ROW()-1)</f>
        <v/>
      </c>
      <c r="B15" s="10">
        <f>IF(GL_RAW!A15="","",IF(ISNUMBER(GL_RAW!A15),GL_RAW!A15,DATEVALUE(TEXT(GL_RAW!A15,"YYYY-MM-DD"))))</f>
        <v/>
      </c>
      <c r="C15" s="11">
        <f>IF(GL_RAW!A15="","",TRIM(GL_RAW!B15))</f>
        <v/>
      </c>
      <c r="D15" s="11">
        <f>IF(GL_RAW!A15="","",TRIM(GL_RAW!C15))</f>
        <v/>
      </c>
      <c r="E15" s="11">
        <f>IF(GL_RAW!A15="","",TRIM(GL_RAW!D15))</f>
        <v/>
      </c>
      <c r="F15" s="11">
        <f>IF(GL_RAW!A15="","",TRIM(GL_RAW!F15))</f>
        <v/>
      </c>
      <c r="G15" s="11">
        <f>IF(GL_RAW!A15="","",TRIM(GL_RAW!G15))</f>
        <v/>
      </c>
      <c r="H15" s="12">
        <f>IF(GL_RAW!A15="","",IFERROR(GL_RAW!E15,0))</f>
        <v/>
      </c>
      <c r="I15" s="12">
        <f>IF(GL_RAW!A15="","",ABS(H15))</f>
        <v/>
      </c>
      <c r="J15" s="11">
        <f>IF(GL_RAW!A15="","",IF(OR(ISNUMBER(SEARCH("Out",F15)),ISNUMBER(SEARCH("11025002",F15)),H15&lt;0),"OUT","IN"))</f>
        <v/>
      </c>
      <c r="K15" s="11" t="inlineStr"/>
    </row>
    <row r="16">
      <c r="A16" s="13">
        <f>IF(GL_RAW!A16="","",ROW()-1)</f>
        <v/>
      </c>
      <c r="B16" s="10">
        <f>IF(GL_RAW!A16="","",IF(ISNUMBER(GL_RAW!A16),GL_RAW!A16,DATEVALUE(TEXT(GL_RAW!A16,"YYYY-MM-DD"))))</f>
        <v/>
      </c>
      <c r="C16" s="11">
        <f>IF(GL_RAW!A16="","",TRIM(GL_RAW!B16))</f>
        <v/>
      </c>
      <c r="D16" s="11">
        <f>IF(GL_RAW!A16="","",TRIM(GL_RAW!C16))</f>
        <v/>
      </c>
      <c r="E16" s="11">
        <f>IF(GL_RAW!A16="","",TRIM(GL_RAW!D16))</f>
        <v/>
      </c>
      <c r="F16" s="11">
        <f>IF(GL_RAW!A16="","",TRIM(GL_RAW!F16))</f>
        <v/>
      </c>
      <c r="G16" s="11">
        <f>IF(GL_RAW!A16="","",TRIM(GL_RAW!G16))</f>
        <v/>
      </c>
      <c r="H16" s="12">
        <f>IF(GL_RAW!A16="","",IFERROR(GL_RAW!E16,0))</f>
        <v/>
      </c>
      <c r="I16" s="12">
        <f>IF(GL_RAW!A16="","",ABS(H16))</f>
        <v/>
      </c>
      <c r="J16" s="11">
        <f>IF(GL_RAW!A16="","",IF(OR(ISNUMBER(SEARCH("Out",F16)),ISNUMBER(SEARCH("11025002",F16)),H16&lt;0),"OUT","IN"))</f>
        <v/>
      </c>
      <c r="K16" s="11" t="inlineStr"/>
    </row>
    <row r="17">
      <c r="A17" s="13">
        <f>IF(GL_RAW!A17="","",ROW()-1)</f>
        <v/>
      </c>
      <c r="B17" s="10">
        <f>IF(GL_RAW!A17="","",IF(ISNUMBER(GL_RAW!A17),GL_RAW!A17,DATEVALUE(TEXT(GL_RAW!A17,"YYYY-MM-DD"))))</f>
        <v/>
      </c>
      <c r="C17" s="11">
        <f>IF(GL_RAW!A17="","",TRIM(GL_RAW!B17))</f>
        <v/>
      </c>
      <c r="D17" s="11">
        <f>IF(GL_RAW!A17="","",TRIM(GL_RAW!C17))</f>
        <v/>
      </c>
      <c r="E17" s="11">
        <f>IF(GL_RAW!A17="","",TRIM(GL_RAW!D17))</f>
        <v/>
      </c>
      <c r="F17" s="11">
        <f>IF(GL_RAW!A17="","",TRIM(GL_RAW!F17))</f>
        <v/>
      </c>
      <c r="G17" s="11">
        <f>IF(GL_RAW!A17="","",TRIM(GL_RAW!G17))</f>
        <v/>
      </c>
      <c r="H17" s="12">
        <f>IF(GL_RAW!A17="","",IFERROR(GL_RAW!E17,0))</f>
        <v/>
      </c>
      <c r="I17" s="12">
        <f>IF(GL_RAW!A17="","",ABS(H17))</f>
        <v/>
      </c>
      <c r="J17" s="11">
        <f>IF(GL_RAW!A17="","",IF(OR(ISNUMBER(SEARCH("Out",F17)),ISNUMBER(SEARCH("11025002",F17)),H17&lt;0),"OUT","IN"))</f>
        <v/>
      </c>
      <c r="K17" s="11" t="inlineStr"/>
    </row>
    <row r="18">
      <c r="A18" s="13">
        <f>IF(GL_RAW!A18="","",ROW()-1)</f>
        <v/>
      </c>
      <c r="B18" s="10">
        <f>IF(GL_RAW!A18="","",IF(ISNUMBER(GL_RAW!A18),GL_RAW!A18,DATEVALUE(TEXT(GL_RAW!A18,"YYYY-MM-DD"))))</f>
        <v/>
      </c>
      <c r="C18" s="11">
        <f>IF(GL_RAW!A18="","",TRIM(GL_RAW!B18))</f>
        <v/>
      </c>
      <c r="D18" s="11">
        <f>IF(GL_RAW!A18="","",TRIM(GL_RAW!C18))</f>
        <v/>
      </c>
      <c r="E18" s="11">
        <f>IF(GL_RAW!A18="","",TRIM(GL_RAW!D18))</f>
        <v/>
      </c>
      <c r="F18" s="11">
        <f>IF(GL_RAW!A18="","",TRIM(GL_RAW!F18))</f>
        <v/>
      </c>
      <c r="G18" s="11">
        <f>IF(GL_RAW!A18="","",TRIM(GL_RAW!G18))</f>
        <v/>
      </c>
      <c r="H18" s="12">
        <f>IF(GL_RAW!A18="","",IFERROR(GL_RAW!E18,0))</f>
        <v/>
      </c>
      <c r="I18" s="12">
        <f>IF(GL_RAW!A18="","",ABS(H18))</f>
        <v/>
      </c>
      <c r="J18" s="11">
        <f>IF(GL_RAW!A18="","",IF(OR(ISNUMBER(SEARCH("Out",F18)),ISNUMBER(SEARCH("11025002",F18)),H18&lt;0),"OUT","IN"))</f>
        <v/>
      </c>
      <c r="K18" s="11" t="inlineStr"/>
    </row>
    <row r="19">
      <c r="A19" s="13">
        <f>IF(GL_RAW!A19="","",ROW()-1)</f>
        <v/>
      </c>
      <c r="B19" s="10">
        <f>IF(GL_RAW!A19="","",IF(ISNUMBER(GL_RAW!A19),GL_RAW!A19,DATEVALUE(TEXT(GL_RAW!A19,"YYYY-MM-DD"))))</f>
        <v/>
      </c>
      <c r="C19" s="11">
        <f>IF(GL_RAW!A19="","",TRIM(GL_RAW!B19))</f>
        <v/>
      </c>
      <c r="D19" s="11">
        <f>IF(GL_RAW!A19="","",TRIM(GL_RAW!C19))</f>
        <v/>
      </c>
      <c r="E19" s="11">
        <f>IF(GL_RAW!A19="","",TRIM(GL_RAW!D19))</f>
        <v/>
      </c>
      <c r="F19" s="11">
        <f>IF(GL_RAW!A19="","",TRIM(GL_RAW!F19))</f>
        <v/>
      </c>
      <c r="G19" s="11">
        <f>IF(GL_RAW!A19="","",TRIM(GL_RAW!G19))</f>
        <v/>
      </c>
      <c r="H19" s="12">
        <f>IF(GL_RAW!A19="","",IFERROR(GL_RAW!E19,0))</f>
        <v/>
      </c>
      <c r="I19" s="12">
        <f>IF(GL_RAW!A19="","",ABS(H19))</f>
        <v/>
      </c>
      <c r="J19" s="11">
        <f>IF(GL_RAW!A19="","",IF(OR(ISNUMBER(SEARCH("Out",F19)),ISNUMBER(SEARCH("11025002",F19)),H19&lt;0),"OUT","IN"))</f>
        <v/>
      </c>
      <c r="K19" s="11" t="inlineStr"/>
    </row>
    <row r="20">
      <c r="A20" s="13">
        <f>IF(GL_RAW!A20="","",ROW()-1)</f>
        <v/>
      </c>
      <c r="B20" s="10">
        <f>IF(GL_RAW!A20="","",IF(ISNUMBER(GL_RAW!A20),GL_RAW!A20,DATEVALUE(TEXT(GL_RAW!A20,"YYYY-MM-DD"))))</f>
        <v/>
      </c>
      <c r="C20" s="11">
        <f>IF(GL_RAW!A20="","",TRIM(GL_RAW!B20))</f>
        <v/>
      </c>
      <c r="D20" s="11">
        <f>IF(GL_RAW!A20="","",TRIM(GL_RAW!C20))</f>
        <v/>
      </c>
      <c r="E20" s="11">
        <f>IF(GL_RAW!A20="","",TRIM(GL_RAW!D20))</f>
        <v/>
      </c>
      <c r="F20" s="11">
        <f>IF(GL_RAW!A20="","",TRIM(GL_RAW!F20))</f>
        <v/>
      </c>
      <c r="G20" s="11">
        <f>IF(GL_RAW!A20="","",TRIM(GL_RAW!G20))</f>
        <v/>
      </c>
      <c r="H20" s="12">
        <f>IF(GL_RAW!A20="","",IFERROR(GL_RAW!E20,0))</f>
        <v/>
      </c>
      <c r="I20" s="12">
        <f>IF(GL_RAW!A20="","",ABS(H20))</f>
        <v/>
      </c>
      <c r="J20" s="11">
        <f>IF(GL_RAW!A20="","",IF(OR(ISNUMBER(SEARCH("Out",F20)),ISNUMBER(SEARCH("11025002",F20)),H20&lt;0),"OUT","IN"))</f>
        <v/>
      </c>
      <c r="K20" s="11" t="inlineStr"/>
    </row>
    <row r="21">
      <c r="A21" s="13">
        <f>IF(GL_RAW!A21="","",ROW()-1)</f>
        <v/>
      </c>
      <c r="B21" s="10">
        <f>IF(GL_RAW!A21="","",IF(ISNUMBER(GL_RAW!A21),GL_RAW!A21,DATEVALUE(TEXT(GL_RAW!A21,"YYYY-MM-DD"))))</f>
        <v/>
      </c>
      <c r="C21" s="11">
        <f>IF(GL_RAW!A21="","",TRIM(GL_RAW!B21))</f>
        <v/>
      </c>
      <c r="D21" s="11">
        <f>IF(GL_RAW!A21="","",TRIM(GL_RAW!C21))</f>
        <v/>
      </c>
      <c r="E21" s="11">
        <f>IF(GL_RAW!A21="","",TRIM(GL_RAW!D21))</f>
        <v/>
      </c>
      <c r="F21" s="11">
        <f>IF(GL_RAW!A21="","",TRIM(GL_RAW!F21))</f>
        <v/>
      </c>
      <c r="G21" s="11">
        <f>IF(GL_RAW!A21="","",TRIM(GL_RAW!G21))</f>
        <v/>
      </c>
      <c r="H21" s="12">
        <f>IF(GL_RAW!A21="","",IFERROR(GL_RAW!E21,0))</f>
        <v/>
      </c>
      <c r="I21" s="12">
        <f>IF(GL_RAW!A21="","",ABS(H21))</f>
        <v/>
      </c>
      <c r="J21" s="11">
        <f>IF(GL_RAW!A21="","",IF(OR(ISNUMBER(SEARCH("Out",F21)),ISNUMBER(SEARCH("11025002",F21)),H21&lt;0),"OUT","IN"))</f>
        <v/>
      </c>
      <c r="K21" s="11" t="inlineStr"/>
    </row>
    <row r="22">
      <c r="A22" s="13">
        <f>IF(GL_RAW!A22="","",ROW()-1)</f>
        <v/>
      </c>
      <c r="B22" s="10">
        <f>IF(GL_RAW!A22="","",IF(ISNUMBER(GL_RAW!A22),GL_RAW!A22,DATEVALUE(TEXT(GL_RAW!A22,"YYYY-MM-DD"))))</f>
        <v/>
      </c>
      <c r="C22" s="11">
        <f>IF(GL_RAW!A22="","",TRIM(GL_RAW!B22))</f>
        <v/>
      </c>
      <c r="D22" s="11">
        <f>IF(GL_RAW!A22="","",TRIM(GL_RAW!C22))</f>
        <v/>
      </c>
      <c r="E22" s="11">
        <f>IF(GL_RAW!A22="","",TRIM(GL_RAW!D22))</f>
        <v/>
      </c>
      <c r="F22" s="11">
        <f>IF(GL_RAW!A22="","",TRIM(GL_RAW!F22))</f>
        <v/>
      </c>
      <c r="G22" s="11">
        <f>IF(GL_RAW!A22="","",TRIM(GL_RAW!G22))</f>
        <v/>
      </c>
      <c r="H22" s="12">
        <f>IF(GL_RAW!A22="","",IFERROR(GL_RAW!E22,0))</f>
        <v/>
      </c>
      <c r="I22" s="12">
        <f>IF(GL_RAW!A22="","",ABS(H22))</f>
        <v/>
      </c>
      <c r="J22" s="11">
        <f>IF(GL_RAW!A22="","",IF(OR(ISNUMBER(SEARCH("Out",F22)),ISNUMBER(SEARCH("11025002",F22)),H22&lt;0),"OUT","IN"))</f>
        <v/>
      </c>
      <c r="K22" s="11" t="inlineStr"/>
    </row>
    <row r="23">
      <c r="A23" s="13">
        <f>IF(GL_RAW!A23="","",ROW()-1)</f>
        <v/>
      </c>
      <c r="B23" s="10">
        <f>IF(GL_RAW!A23="","",IF(ISNUMBER(GL_RAW!A23),GL_RAW!A23,DATEVALUE(TEXT(GL_RAW!A23,"YYYY-MM-DD"))))</f>
        <v/>
      </c>
      <c r="C23" s="11">
        <f>IF(GL_RAW!A23="","",TRIM(GL_RAW!B23))</f>
        <v/>
      </c>
      <c r="D23" s="11">
        <f>IF(GL_RAW!A23="","",TRIM(GL_RAW!C23))</f>
        <v/>
      </c>
      <c r="E23" s="11">
        <f>IF(GL_RAW!A23="","",TRIM(GL_RAW!D23))</f>
        <v/>
      </c>
      <c r="F23" s="11">
        <f>IF(GL_RAW!A23="","",TRIM(GL_RAW!F23))</f>
        <v/>
      </c>
      <c r="G23" s="11">
        <f>IF(GL_RAW!A23="","",TRIM(GL_RAW!G23))</f>
        <v/>
      </c>
      <c r="H23" s="12">
        <f>IF(GL_RAW!A23="","",IFERROR(GL_RAW!E23,0))</f>
        <v/>
      </c>
      <c r="I23" s="12">
        <f>IF(GL_RAW!A23="","",ABS(H23))</f>
        <v/>
      </c>
      <c r="J23" s="11">
        <f>IF(GL_RAW!A23="","",IF(OR(ISNUMBER(SEARCH("Out",F23)),ISNUMBER(SEARCH("11025002",F23)),H23&lt;0),"OUT","IN"))</f>
        <v/>
      </c>
      <c r="K23" s="11" t="inlineStr"/>
    </row>
    <row r="24">
      <c r="A24" s="13">
        <f>IF(GL_RAW!A24="","",ROW()-1)</f>
        <v/>
      </c>
      <c r="B24" s="10">
        <f>IF(GL_RAW!A24="","",IF(ISNUMBER(GL_RAW!A24),GL_RAW!A24,DATEVALUE(TEXT(GL_RAW!A24,"YYYY-MM-DD"))))</f>
        <v/>
      </c>
      <c r="C24" s="11">
        <f>IF(GL_RAW!A24="","",TRIM(GL_RAW!B24))</f>
        <v/>
      </c>
      <c r="D24" s="11">
        <f>IF(GL_RAW!A24="","",TRIM(GL_RAW!C24))</f>
        <v/>
      </c>
      <c r="E24" s="11">
        <f>IF(GL_RAW!A24="","",TRIM(GL_RAW!D24))</f>
        <v/>
      </c>
      <c r="F24" s="11">
        <f>IF(GL_RAW!A24="","",TRIM(GL_RAW!F24))</f>
        <v/>
      </c>
      <c r="G24" s="11">
        <f>IF(GL_RAW!A24="","",TRIM(GL_RAW!G24))</f>
        <v/>
      </c>
      <c r="H24" s="12">
        <f>IF(GL_RAW!A24="","",IFERROR(GL_RAW!E24,0))</f>
        <v/>
      </c>
      <c r="I24" s="12">
        <f>IF(GL_RAW!A24="","",ABS(H24))</f>
        <v/>
      </c>
      <c r="J24" s="11">
        <f>IF(GL_RAW!A24="","",IF(OR(ISNUMBER(SEARCH("Out",F24)),ISNUMBER(SEARCH("11025002",F24)),H24&lt;0),"OUT","IN"))</f>
        <v/>
      </c>
      <c r="K24" s="11" t="inlineStr"/>
    </row>
    <row r="25">
      <c r="A25" s="13">
        <f>IF(GL_RAW!A25="","",ROW()-1)</f>
        <v/>
      </c>
      <c r="B25" s="10">
        <f>IF(GL_RAW!A25="","",IF(ISNUMBER(GL_RAW!A25),GL_RAW!A25,DATEVALUE(TEXT(GL_RAW!A25,"YYYY-MM-DD"))))</f>
        <v/>
      </c>
      <c r="C25" s="11">
        <f>IF(GL_RAW!A25="","",TRIM(GL_RAW!B25))</f>
        <v/>
      </c>
      <c r="D25" s="11">
        <f>IF(GL_RAW!A25="","",TRIM(GL_RAW!C25))</f>
        <v/>
      </c>
      <c r="E25" s="11">
        <f>IF(GL_RAW!A25="","",TRIM(GL_RAW!D25))</f>
        <v/>
      </c>
      <c r="F25" s="11">
        <f>IF(GL_RAW!A25="","",TRIM(GL_RAW!F25))</f>
        <v/>
      </c>
      <c r="G25" s="11">
        <f>IF(GL_RAW!A25="","",TRIM(GL_RAW!G25))</f>
        <v/>
      </c>
      <c r="H25" s="12">
        <f>IF(GL_RAW!A25="","",IFERROR(GL_RAW!E25,0))</f>
        <v/>
      </c>
      <c r="I25" s="12">
        <f>IF(GL_RAW!A25="","",ABS(H25))</f>
        <v/>
      </c>
      <c r="J25" s="11">
        <f>IF(GL_RAW!A25="","",IF(OR(ISNUMBER(SEARCH("Out",F25)),ISNUMBER(SEARCH("11025002",F25)),H25&lt;0),"OUT","IN"))</f>
        <v/>
      </c>
      <c r="K25" s="11" t="inlineStr"/>
    </row>
    <row r="26">
      <c r="A26" s="13">
        <f>IF(GL_RAW!A26="","",ROW()-1)</f>
        <v/>
      </c>
      <c r="B26" s="10">
        <f>IF(GL_RAW!A26="","",IF(ISNUMBER(GL_RAW!A26),GL_RAW!A26,DATEVALUE(TEXT(GL_RAW!A26,"YYYY-MM-DD"))))</f>
        <v/>
      </c>
      <c r="C26" s="11">
        <f>IF(GL_RAW!A26="","",TRIM(GL_RAW!B26))</f>
        <v/>
      </c>
      <c r="D26" s="11">
        <f>IF(GL_RAW!A26="","",TRIM(GL_RAW!C26))</f>
        <v/>
      </c>
      <c r="E26" s="11">
        <f>IF(GL_RAW!A26="","",TRIM(GL_RAW!D26))</f>
        <v/>
      </c>
      <c r="F26" s="11">
        <f>IF(GL_RAW!A26="","",TRIM(GL_RAW!F26))</f>
        <v/>
      </c>
      <c r="G26" s="11">
        <f>IF(GL_RAW!A26="","",TRIM(GL_RAW!G26))</f>
        <v/>
      </c>
      <c r="H26" s="12">
        <f>IF(GL_RAW!A26="","",IFERROR(GL_RAW!E26,0))</f>
        <v/>
      </c>
      <c r="I26" s="12">
        <f>IF(GL_RAW!A26="","",ABS(H26))</f>
        <v/>
      </c>
      <c r="J26" s="11">
        <f>IF(GL_RAW!A26="","",IF(OR(ISNUMBER(SEARCH("Out",F26)),ISNUMBER(SEARCH("11025002",F26)),H26&lt;0),"OUT","IN"))</f>
        <v/>
      </c>
      <c r="K26" s="11" t="inlineStr"/>
    </row>
    <row r="27">
      <c r="A27" s="13">
        <f>IF(GL_RAW!A27="","",ROW()-1)</f>
        <v/>
      </c>
      <c r="B27" s="10">
        <f>IF(GL_RAW!A27="","",IF(ISNUMBER(GL_RAW!A27),GL_RAW!A27,DATEVALUE(TEXT(GL_RAW!A27,"YYYY-MM-DD"))))</f>
        <v/>
      </c>
      <c r="C27" s="11">
        <f>IF(GL_RAW!A27="","",TRIM(GL_RAW!B27))</f>
        <v/>
      </c>
      <c r="D27" s="11">
        <f>IF(GL_RAW!A27="","",TRIM(GL_RAW!C27))</f>
        <v/>
      </c>
      <c r="E27" s="11">
        <f>IF(GL_RAW!A27="","",TRIM(GL_RAW!D27))</f>
        <v/>
      </c>
      <c r="F27" s="11">
        <f>IF(GL_RAW!A27="","",TRIM(GL_RAW!F27))</f>
        <v/>
      </c>
      <c r="G27" s="11">
        <f>IF(GL_RAW!A27="","",TRIM(GL_RAW!G27))</f>
        <v/>
      </c>
      <c r="H27" s="12">
        <f>IF(GL_RAW!A27="","",IFERROR(GL_RAW!E27,0))</f>
        <v/>
      </c>
      <c r="I27" s="12">
        <f>IF(GL_RAW!A27="","",ABS(H27))</f>
        <v/>
      </c>
      <c r="J27" s="11">
        <f>IF(GL_RAW!A27="","",IF(OR(ISNUMBER(SEARCH("Out",F27)),ISNUMBER(SEARCH("11025002",F27)),H27&lt;0),"OUT","IN"))</f>
        <v/>
      </c>
      <c r="K27" s="11" t="inlineStr"/>
    </row>
    <row r="28">
      <c r="A28" s="13">
        <f>IF(GL_RAW!A28="","",ROW()-1)</f>
        <v/>
      </c>
      <c r="B28" s="10">
        <f>IF(GL_RAW!A28="","",IF(ISNUMBER(GL_RAW!A28),GL_RAW!A28,DATEVALUE(TEXT(GL_RAW!A28,"YYYY-MM-DD"))))</f>
        <v/>
      </c>
      <c r="C28" s="11">
        <f>IF(GL_RAW!A28="","",TRIM(GL_RAW!B28))</f>
        <v/>
      </c>
      <c r="D28" s="11">
        <f>IF(GL_RAW!A28="","",TRIM(GL_RAW!C28))</f>
        <v/>
      </c>
      <c r="E28" s="11">
        <f>IF(GL_RAW!A28="","",TRIM(GL_RAW!D28))</f>
        <v/>
      </c>
      <c r="F28" s="11">
        <f>IF(GL_RAW!A28="","",TRIM(GL_RAW!F28))</f>
        <v/>
      </c>
      <c r="G28" s="11">
        <f>IF(GL_RAW!A28="","",TRIM(GL_RAW!G28))</f>
        <v/>
      </c>
      <c r="H28" s="12">
        <f>IF(GL_RAW!A28="","",IFERROR(GL_RAW!E28,0))</f>
        <v/>
      </c>
      <c r="I28" s="12">
        <f>IF(GL_RAW!A28="","",ABS(H28))</f>
        <v/>
      </c>
      <c r="J28" s="11">
        <f>IF(GL_RAW!A28="","",IF(OR(ISNUMBER(SEARCH("Out",F28)),ISNUMBER(SEARCH("11025002",F28)),H28&lt;0),"OUT","IN"))</f>
        <v/>
      </c>
      <c r="K28" s="11" t="inlineStr"/>
    </row>
    <row r="29">
      <c r="A29" s="13">
        <f>IF(GL_RAW!A29="","",ROW()-1)</f>
        <v/>
      </c>
      <c r="B29" s="10">
        <f>IF(GL_RAW!A29="","",IF(ISNUMBER(GL_RAW!A29),GL_RAW!A29,DATEVALUE(TEXT(GL_RAW!A29,"YYYY-MM-DD"))))</f>
        <v/>
      </c>
      <c r="C29" s="11">
        <f>IF(GL_RAW!A29="","",TRIM(GL_RAW!B29))</f>
        <v/>
      </c>
      <c r="D29" s="11">
        <f>IF(GL_RAW!A29="","",TRIM(GL_RAW!C29))</f>
        <v/>
      </c>
      <c r="E29" s="11">
        <f>IF(GL_RAW!A29="","",TRIM(GL_RAW!D29))</f>
        <v/>
      </c>
      <c r="F29" s="11">
        <f>IF(GL_RAW!A29="","",TRIM(GL_RAW!F29))</f>
        <v/>
      </c>
      <c r="G29" s="11">
        <f>IF(GL_RAW!A29="","",TRIM(GL_RAW!G29))</f>
        <v/>
      </c>
      <c r="H29" s="12">
        <f>IF(GL_RAW!A29="","",IFERROR(GL_RAW!E29,0))</f>
        <v/>
      </c>
      <c r="I29" s="12">
        <f>IF(GL_RAW!A29="","",ABS(H29))</f>
        <v/>
      </c>
      <c r="J29" s="11">
        <f>IF(GL_RAW!A29="","",IF(OR(ISNUMBER(SEARCH("Out",F29)),ISNUMBER(SEARCH("11025002",F29)),H29&lt;0),"OUT","IN"))</f>
        <v/>
      </c>
      <c r="K29" s="11" t="inlineStr"/>
    </row>
    <row r="30">
      <c r="A30" s="13">
        <f>IF(GL_RAW!A30="","",ROW()-1)</f>
        <v/>
      </c>
      <c r="B30" s="10">
        <f>IF(GL_RAW!A30="","",IF(ISNUMBER(GL_RAW!A30),GL_RAW!A30,DATEVALUE(TEXT(GL_RAW!A30,"YYYY-MM-DD"))))</f>
        <v/>
      </c>
      <c r="C30" s="11">
        <f>IF(GL_RAW!A30="","",TRIM(GL_RAW!B30))</f>
        <v/>
      </c>
      <c r="D30" s="11">
        <f>IF(GL_RAW!A30="","",TRIM(GL_RAW!C30))</f>
        <v/>
      </c>
      <c r="E30" s="11">
        <f>IF(GL_RAW!A30="","",TRIM(GL_RAW!D30))</f>
        <v/>
      </c>
      <c r="F30" s="11">
        <f>IF(GL_RAW!A30="","",TRIM(GL_RAW!F30))</f>
        <v/>
      </c>
      <c r="G30" s="11">
        <f>IF(GL_RAW!A30="","",TRIM(GL_RAW!G30))</f>
        <v/>
      </c>
      <c r="H30" s="12">
        <f>IF(GL_RAW!A30="","",IFERROR(GL_RAW!E30,0))</f>
        <v/>
      </c>
      <c r="I30" s="12">
        <f>IF(GL_RAW!A30="","",ABS(H30))</f>
        <v/>
      </c>
      <c r="J30" s="11">
        <f>IF(GL_RAW!A30="","",IF(OR(ISNUMBER(SEARCH("Out",F30)),ISNUMBER(SEARCH("11025002",F30)),H30&lt;0),"OUT","IN"))</f>
        <v/>
      </c>
      <c r="K30" s="11" t="inlineStr"/>
    </row>
    <row r="31">
      <c r="A31" s="13">
        <f>IF(GL_RAW!A31="","",ROW()-1)</f>
        <v/>
      </c>
      <c r="B31" s="10">
        <f>IF(GL_RAW!A31="","",IF(ISNUMBER(GL_RAW!A31),GL_RAW!A31,DATEVALUE(TEXT(GL_RAW!A31,"YYYY-MM-DD"))))</f>
        <v/>
      </c>
      <c r="C31" s="11">
        <f>IF(GL_RAW!A31="","",TRIM(GL_RAW!B31))</f>
        <v/>
      </c>
      <c r="D31" s="11">
        <f>IF(GL_RAW!A31="","",TRIM(GL_RAW!C31))</f>
        <v/>
      </c>
      <c r="E31" s="11">
        <f>IF(GL_RAW!A31="","",TRIM(GL_RAW!D31))</f>
        <v/>
      </c>
      <c r="F31" s="11">
        <f>IF(GL_RAW!A31="","",TRIM(GL_RAW!F31))</f>
        <v/>
      </c>
      <c r="G31" s="11">
        <f>IF(GL_RAW!A31="","",TRIM(GL_RAW!G31))</f>
        <v/>
      </c>
      <c r="H31" s="12">
        <f>IF(GL_RAW!A31="","",IFERROR(GL_RAW!E31,0))</f>
        <v/>
      </c>
      <c r="I31" s="12">
        <f>IF(GL_RAW!A31="","",ABS(H31))</f>
        <v/>
      </c>
      <c r="J31" s="11">
        <f>IF(GL_RAW!A31="","",IF(OR(ISNUMBER(SEARCH("Out",F31)),ISNUMBER(SEARCH("11025002",F31)),H31&lt;0),"OUT","IN"))</f>
        <v/>
      </c>
      <c r="K31" s="11" t="inlineStr"/>
    </row>
    <row r="32">
      <c r="A32" s="13">
        <f>IF(GL_RAW!A32="","",ROW()-1)</f>
        <v/>
      </c>
      <c r="B32" s="10">
        <f>IF(GL_RAW!A32="","",IF(ISNUMBER(GL_RAW!A32),GL_RAW!A32,DATEVALUE(TEXT(GL_RAW!A32,"YYYY-MM-DD"))))</f>
        <v/>
      </c>
      <c r="C32" s="11">
        <f>IF(GL_RAW!A32="","",TRIM(GL_RAW!B32))</f>
        <v/>
      </c>
      <c r="D32" s="11">
        <f>IF(GL_RAW!A32="","",TRIM(GL_RAW!C32))</f>
        <v/>
      </c>
      <c r="E32" s="11">
        <f>IF(GL_RAW!A32="","",TRIM(GL_RAW!D32))</f>
        <v/>
      </c>
      <c r="F32" s="11">
        <f>IF(GL_RAW!A32="","",TRIM(GL_RAW!F32))</f>
        <v/>
      </c>
      <c r="G32" s="11">
        <f>IF(GL_RAW!A32="","",TRIM(GL_RAW!G32))</f>
        <v/>
      </c>
      <c r="H32" s="12">
        <f>IF(GL_RAW!A32="","",IFERROR(GL_RAW!E32,0))</f>
        <v/>
      </c>
      <c r="I32" s="12">
        <f>IF(GL_RAW!A32="","",ABS(H32))</f>
        <v/>
      </c>
      <c r="J32" s="11">
        <f>IF(GL_RAW!A32="","",IF(OR(ISNUMBER(SEARCH("Out",F32)),ISNUMBER(SEARCH("11025002",F32)),H32&lt;0),"OUT","IN"))</f>
        <v/>
      </c>
      <c r="K32" s="11" t="inlineStr"/>
    </row>
    <row r="33">
      <c r="A33" s="13">
        <f>IF(GL_RAW!A33="","",ROW()-1)</f>
        <v/>
      </c>
      <c r="B33" s="10">
        <f>IF(GL_RAW!A33="","",IF(ISNUMBER(GL_RAW!A33),GL_RAW!A33,DATEVALUE(TEXT(GL_RAW!A33,"YYYY-MM-DD"))))</f>
        <v/>
      </c>
      <c r="C33" s="11">
        <f>IF(GL_RAW!A33="","",TRIM(GL_RAW!B33))</f>
        <v/>
      </c>
      <c r="D33" s="11">
        <f>IF(GL_RAW!A33="","",TRIM(GL_RAW!C33))</f>
        <v/>
      </c>
      <c r="E33" s="11">
        <f>IF(GL_RAW!A33="","",TRIM(GL_RAW!D33))</f>
        <v/>
      </c>
      <c r="F33" s="11">
        <f>IF(GL_RAW!A33="","",TRIM(GL_RAW!F33))</f>
        <v/>
      </c>
      <c r="G33" s="11">
        <f>IF(GL_RAW!A33="","",TRIM(GL_RAW!G33))</f>
        <v/>
      </c>
      <c r="H33" s="12">
        <f>IF(GL_RAW!A33="","",IFERROR(GL_RAW!E33,0))</f>
        <v/>
      </c>
      <c r="I33" s="12">
        <f>IF(GL_RAW!A33="","",ABS(H33))</f>
        <v/>
      </c>
      <c r="J33" s="11">
        <f>IF(GL_RAW!A33="","",IF(OR(ISNUMBER(SEARCH("Out",F33)),ISNUMBER(SEARCH("11025002",F33)),H33&lt;0),"OUT","IN"))</f>
        <v/>
      </c>
      <c r="K33" s="11" t="inlineStr"/>
    </row>
    <row r="34">
      <c r="A34" s="13">
        <f>IF(GL_RAW!A34="","",ROW()-1)</f>
        <v/>
      </c>
      <c r="B34" s="10">
        <f>IF(GL_RAW!A34="","",IF(ISNUMBER(GL_RAW!A34),GL_RAW!A34,DATEVALUE(TEXT(GL_RAW!A34,"YYYY-MM-DD"))))</f>
        <v/>
      </c>
      <c r="C34" s="11">
        <f>IF(GL_RAW!A34="","",TRIM(GL_RAW!B34))</f>
        <v/>
      </c>
      <c r="D34" s="11">
        <f>IF(GL_RAW!A34="","",TRIM(GL_RAW!C34))</f>
        <v/>
      </c>
      <c r="E34" s="11">
        <f>IF(GL_RAW!A34="","",TRIM(GL_RAW!D34))</f>
        <v/>
      </c>
      <c r="F34" s="11">
        <f>IF(GL_RAW!A34="","",TRIM(GL_RAW!F34))</f>
        <v/>
      </c>
      <c r="G34" s="11">
        <f>IF(GL_RAW!A34="","",TRIM(GL_RAW!G34))</f>
        <v/>
      </c>
      <c r="H34" s="12">
        <f>IF(GL_RAW!A34="","",IFERROR(GL_RAW!E34,0))</f>
        <v/>
      </c>
      <c r="I34" s="12">
        <f>IF(GL_RAW!A34="","",ABS(H34))</f>
        <v/>
      </c>
      <c r="J34" s="11">
        <f>IF(GL_RAW!A34="","",IF(OR(ISNUMBER(SEARCH("Out",F34)),ISNUMBER(SEARCH("11025002",F34)),H34&lt;0),"OUT","IN"))</f>
        <v/>
      </c>
      <c r="K34" s="11" t="inlineStr"/>
    </row>
    <row r="35">
      <c r="A35" s="13">
        <f>IF(GL_RAW!A35="","",ROW()-1)</f>
        <v/>
      </c>
      <c r="B35" s="10">
        <f>IF(GL_RAW!A35="","",IF(ISNUMBER(GL_RAW!A35),GL_RAW!A35,DATEVALUE(TEXT(GL_RAW!A35,"YYYY-MM-DD"))))</f>
        <v/>
      </c>
      <c r="C35" s="11">
        <f>IF(GL_RAW!A35="","",TRIM(GL_RAW!B35))</f>
        <v/>
      </c>
      <c r="D35" s="11">
        <f>IF(GL_RAW!A35="","",TRIM(GL_RAW!C35))</f>
        <v/>
      </c>
      <c r="E35" s="11">
        <f>IF(GL_RAW!A35="","",TRIM(GL_RAW!D35))</f>
        <v/>
      </c>
      <c r="F35" s="11">
        <f>IF(GL_RAW!A35="","",TRIM(GL_RAW!F35))</f>
        <v/>
      </c>
      <c r="G35" s="11">
        <f>IF(GL_RAW!A35="","",TRIM(GL_RAW!G35))</f>
        <v/>
      </c>
      <c r="H35" s="12">
        <f>IF(GL_RAW!A35="","",IFERROR(GL_RAW!E35,0))</f>
        <v/>
      </c>
      <c r="I35" s="12">
        <f>IF(GL_RAW!A35="","",ABS(H35))</f>
        <v/>
      </c>
      <c r="J35" s="11">
        <f>IF(GL_RAW!A35="","",IF(OR(ISNUMBER(SEARCH("Out",F35)),ISNUMBER(SEARCH("11025002",F35)),H35&lt;0),"OUT","IN"))</f>
        <v/>
      </c>
      <c r="K35" s="11" t="inlineStr"/>
    </row>
    <row r="36">
      <c r="A36" s="13">
        <f>IF(GL_RAW!A36="","",ROW()-1)</f>
        <v/>
      </c>
      <c r="B36" s="10">
        <f>IF(GL_RAW!A36="","",IF(ISNUMBER(GL_RAW!A36),GL_RAW!A36,DATEVALUE(TEXT(GL_RAW!A36,"YYYY-MM-DD"))))</f>
        <v/>
      </c>
      <c r="C36" s="11">
        <f>IF(GL_RAW!A36="","",TRIM(GL_RAW!B36))</f>
        <v/>
      </c>
      <c r="D36" s="11">
        <f>IF(GL_RAW!A36="","",TRIM(GL_RAW!C36))</f>
        <v/>
      </c>
      <c r="E36" s="11">
        <f>IF(GL_RAW!A36="","",TRIM(GL_RAW!D36))</f>
        <v/>
      </c>
      <c r="F36" s="11">
        <f>IF(GL_RAW!A36="","",TRIM(GL_RAW!F36))</f>
        <v/>
      </c>
      <c r="G36" s="11">
        <f>IF(GL_RAW!A36="","",TRIM(GL_RAW!G36))</f>
        <v/>
      </c>
      <c r="H36" s="12">
        <f>IF(GL_RAW!A36="","",IFERROR(GL_RAW!E36,0))</f>
        <v/>
      </c>
      <c r="I36" s="12">
        <f>IF(GL_RAW!A36="","",ABS(H36))</f>
        <v/>
      </c>
      <c r="J36" s="11">
        <f>IF(GL_RAW!A36="","",IF(OR(ISNUMBER(SEARCH("Out",F36)),ISNUMBER(SEARCH("11025002",F36)),H36&lt;0),"OUT","IN"))</f>
        <v/>
      </c>
      <c r="K36" s="11" t="inlineStr"/>
    </row>
    <row r="37">
      <c r="A37" s="13">
        <f>IF(GL_RAW!A37="","",ROW()-1)</f>
        <v/>
      </c>
      <c r="B37" s="10">
        <f>IF(GL_RAW!A37="","",IF(ISNUMBER(GL_RAW!A37),GL_RAW!A37,DATEVALUE(TEXT(GL_RAW!A37,"YYYY-MM-DD"))))</f>
        <v/>
      </c>
      <c r="C37" s="11">
        <f>IF(GL_RAW!A37="","",TRIM(GL_RAW!B37))</f>
        <v/>
      </c>
      <c r="D37" s="11">
        <f>IF(GL_RAW!A37="","",TRIM(GL_RAW!C37))</f>
        <v/>
      </c>
      <c r="E37" s="11">
        <f>IF(GL_RAW!A37="","",TRIM(GL_RAW!D37))</f>
        <v/>
      </c>
      <c r="F37" s="11">
        <f>IF(GL_RAW!A37="","",TRIM(GL_RAW!F37))</f>
        <v/>
      </c>
      <c r="G37" s="11">
        <f>IF(GL_RAW!A37="","",TRIM(GL_RAW!G37))</f>
        <v/>
      </c>
      <c r="H37" s="12">
        <f>IF(GL_RAW!A37="","",IFERROR(GL_RAW!E37,0))</f>
        <v/>
      </c>
      <c r="I37" s="12">
        <f>IF(GL_RAW!A37="","",ABS(H37))</f>
        <v/>
      </c>
      <c r="J37" s="11">
        <f>IF(GL_RAW!A37="","",IF(OR(ISNUMBER(SEARCH("Out",F37)),ISNUMBER(SEARCH("11025002",F37)),H37&lt;0),"OUT","IN"))</f>
        <v/>
      </c>
      <c r="K37" s="11" t="inlineStr"/>
    </row>
    <row r="38">
      <c r="A38" s="13">
        <f>IF(GL_RAW!A38="","",ROW()-1)</f>
        <v/>
      </c>
      <c r="B38" s="10">
        <f>IF(GL_RAW!A38="","",IF(ISNUMBER(GL_RAW!A38),GL_RAW!A38,DATEVALUE(TEXT(GL_RAW!A38,"YYYY-MM-DD"))))</f>
        <v/>
      </c>
      <c r="C38" s="11">
        <f>IF(GL_RAW!A38="","",TRIM(GL_RAW!B38))</f>
        <v/>
      </c>
      <c r="D38" s="11">
        <f>IF(GL_RAW!A38="","",TRIM(GL_RAW!C38))</f>
        <v/>
      </c>
      <c r="E38" s="11">
        <f>IF(GL_RAW!A38="","",TRIM(GL_RAW!D38))</f>
        <v/>
      </c>
      <c r="F38" s="11">
        <f>IF(GL_RAW!A38="","",TRIM(GL_RAW!F38))</f>
        <v/>
      </c>
      <c r="G38" s="11">
        <f>IF(GL_RAW!A38="","",TRIM(GL_RAW!G38))</f>
        <v/>
      </c>
      <c r="H38" s="12">
        <f>IF(GL_RAW!A38="","",IFERROR(GL_RAW!E38,0))</f>
        <v/>
      </c>
      <c r="I38" s="12">
        <f>IF(GL_RAW!A38="","",ABS(H38))</f>
        <v/>
      </c>
      <c r="J38" s="11">
        <f>IF(GL_RAW!A38="","",IF(OR(ISNUMBER(SEARCH("Out",F38)),ISNUMBER(SEARCH("11025002",F38)),H38&lt;0),"OUT","IN"))</f>
        <v/>
      </c>
      <c r="K38" s="11" t="inlineStr"/>
    </row>
    <row r="39">
      <c r="A39" s="13">
        <f>IF(GL_RAW!A39="","",ROW()-1)</f>
        <v/>
      </c>
      <c r="B39" s="10">
        <f>IF(GL_RAW!A39="","",IF(ISNUMBER(GL_RAW!A39),GL_RAW!A39,DATEVALUE(TEXT(GL_RAW!A39,"YYYY-MM-DD"))))</f>
        <v/>
      </c>
      <c r="C39" s="11">
        <f>IF(GL_RAW!A39="","",TRIM(GL_RAW!B39))</f>
        <v/>
      </c>
      <c r="D39" s="11">
        <f>IF(GL_RAW!A39="","",TRIM(GL_RAW!C39))</f>
        <v/>
      </c>
      <c r="E39" s="11">
        <f>IF(GL_RAW!A39="","",TRIM(GL_RAW!D39))</f>
        <v/>
      </c>
      <c r="F39" s="11">
        <f>IF(GL_RAW!A39="","",TRIM(GL_RAW!F39))</f>
        <v/>
      </c>
      <c r="G39" s="11">
        <f>IF(GL_RAW!A39="","",TRIM(GL_RAW!G39))</f>
        <v/>
      </c>
      <c r="H39" s="12">
        <f>IF(GL_RAW!A39="","",IFERROR(GL_RAW!E39,0))</f>
        <v/>
      </c>
      <c r="I39" s="12">
        <f>IF(GL_RAW!A39="","",ABS(H39))</f>
        <v/>
      </c>
      <c r="J39" s="11">
        <f>IF(GL_RAW!A39="","",IF(OR(ISNUMBER(SEARCH("Out",F39)),ISNUMBER(SEARCH("11025002",F39)),H39&lt;0),"OUT","IN"))</f>
        <v/>
      </c>
      <c r="K39" s="11" t="inlineStr"/>
    </row>
    <row r="40">
      <c r="A40" s="13">
        <f>IF(GL_RAW!A40="","",ROW()-1)</f>
        <v/>
      </c>
      <c r="B40" s="10">
        <f>IF(GL_RAW!A40="","",IF(ISNUMBER(GL_RAW!A40),GL_RAW!A40,DATEVALUE(TEXT(GL_RAW!A40,"YYYY-MM-DD"))))</f>
        <v/>
      </c>
      <c r="C40" s="11">
        <f>IF(GL_RAW!A40="","",TRIM(GL_RAW!B40))</f>
        <v/>
      </c>
      <c r="D40" s="11">
        <f>IF(GL_RAW!A40="","",TRIM(GL_RAW!C40))</f>
        <v/>
      </c>
      <c r="E40" s="11">
        <f>IF(GL_RAW!A40="","",TRIM(GL_RAW!D40))</f>
        <v/>
      </c>
      <c r="F40" s="11">
        <f>IF(GL_RAW!A40="","",TRIM(GL_RAW!F40))</f>
        <v/>
      </c>
      <c r="G40" s="11">
        <f>IF(GL_RAW!A40="","",TRIM(GL_RAW!G40))</f>
        <v/>
      </c>
      <c r="H40" s="12">
        <f>IF(GL_RAW!A40="","",IFERROR(GL_RAW!E40,0))</f>
        <v/>
      </c>
      <c r="I40" s="12">
        <f>IF(GL_RAW!A40="","",ABS(H40))</f>
        <v/>
      </c>
      <c r="J40" s="11">
        <f>IF(GL_RAW!A40="","",IF(OR(ISNUMBER(SEARCH("Out",F40)),ISNUMBER(SEARCH("11025002",F40)),H40&lt;0),"OUT","IN"))</f>
        <v/>
      </c>
      <c r="K40" s="11" t="inlineStr"/>
    </row>
    <row r="41">
      <c r="A41" s="13">
        <f>IF(GL_RAW!A41="","",ROW()-1)</f>
        <v/>
      </c>
      <c r="B41" s="10">
        <f>IF(GL_RAW!A41="","",IF(ISNUMBER(GL_RAW!A41),GL_RAW!A41,DATEVALUE(TEXT(GL_RAW!A41,"YYYY-MM-DD"))))</f>
        <v/>
      </c>
      <c r="C41" s="11">
        <f>IF(GL_RAW!A41="","",TRIM(GL_RAW!B41))</f>
        <v/>
      </c>
      <c r="D41" s="11">
        <f>IF(GL_RAW!A41="","",TRIM(GL_RAW!C41))</f>
        <v/>
      </c>
      <c r="E41" s="11">
        <f>IF(GL_RAW!A41="","",TRIM(GL_RAW!D41))</f>
        <v/>
      </c>
      <c r="F41" s="11">
        <f>IF(GL_RAW!A41="","",TRIM(GL_RAW!F41))</f>
        <v/>
      </c>
      <c r="G41" s="11">
        <f>IF(GL_RAW!A41="","",TRIM(GL_RAW!G41))</f>
        <v/>
      </c>
      <c r="H41" s="12">
        <f>IF(GL_RAW!A41="","",IFERROR(GL_RAW!E41,0))</f>
        <v/>
      </c>
      <c r="I41" s="12">
        <f>IF(GL_RAW!A41="","",ABS(H41))</f>
        <v/>
      </c>
      <c r="J41" s="11">
        <f>IF(GL_RAW!A41="","",IF(OR(ISNUMBER(SEARCH("Out",F41)),ISNUMBER(SEARCH("11025002",F41)),H41&lt;0),"OUT","IN"))</f>
        <v/>
      </c>
      <c r="K41" s="11" t="inlineStr"/>
    </row>
    <row r="42">
      <c r="A42" s="13">
        <f>IF(GL_RAW!A42="","",ROW()-1)</f>
        <v/>
      </c>
      <c r="B42" s="10">
        <f>IF(GL_RAW!A42="","",IF(ISNUMBER(GL_RAW!A42),GL_RAW!A42,DATEVALUE(TEXT(GL_RAW!A42,"YYYY-MM-DD"))))</f>
        <v/>
      </c>
      <c r="C42" s="11">
        <f>IF(GL_RAW!A42="","",TRIM(GL_RAW!B42))</f>
        <v/>
      </c>
      <c r="D42" s="11">
        <f>IF(GL_RAW!A42="","",TRIM(GL_RAW!C42))</f>
        <v/>
      </c>
      <c r="E42" s="11">
        <f>IF(GL_RAW!A42="","",TRIM(GL_RAW!D42))</f>
        <v/>
      </c>
      <c r="F42" s="11">
        <f>IF(GL_RAW!A42="","",TRIM(GL_RAW!F42))</f>
        <v/>
      </c>
      <c r="G42" s="11">
        <f>IF(GL_RAW!A42="","",TRIM(GL_RAW!G42))</f>
        <v/>
      </c>
      <c r="H42" s="12">
        <f>IF(GL_RAW!A42="","",IFERROR(GL_RAW!E42,0))</f>
        <v/>
      </c>
      <c r="I42" s="12">
        <f>IF(GL_RAW!A42="","",ABS(H42))</f>
        <v/>
      </c>
      <c r="J42" s="11">
        <f>IF(GL_RAW!A42="","",IF(OR(ISNUMBER(SEARCH("Out",F42)),ISNUMBER(SEARCH("11025002",F42)),H42&lt;0),"OUT","IN"))</f>
        <v/>
      </c>
      <c r="K42" s="11" t="inlineStr"/>
    </row>
    <row r="43">
      <c r="A43" s="13">
        <f>IF(GL_RAW!A43="","",ROW()-1)</f>
        <v/>
      </c>
      <c r="B43" s="10">
        <f>IF(GL_RAW!A43="","",IF(ISNUMBER(GL_RAW!A43),GL_RAW!A43,DATEVALUE(TEXT(GL_RAW!A43,"YYYY-MM-DD"))))</f>
        <v/>
      </c>
      <c r="C43" s="11">
        <f>IF(GL_RAW!A43="","",TRIM(GL_RAW!B43))</f>
        <v/>
      </c>
      <c r="D43" s="11">
        <f>IF(GL_RAW!A43="","",TRIM(GL_RAW!C43))</f>
        <v/>
      </c>
      <c r="E43" s="11">
        <f>IF(GL_RAW!A43="","",TRIM(GL_RAW!D43))</f>
        <v/>
      </c>
      <c r="F43" s="11">
        <f>IF(GL_RAW!A43="","",TRIM(GL_RAW!F43))</f>
        <v/>
      </c>
      <c r="G43" s="11">
        <f>IF(GL_RAW!A43="","",TRIM(GL_RAW!G43))</f>
        <v/>
      </c>
      <c r="H43" s="12">
        <f>IF(GL_RAW!A43="","",IFERROR(GL_RAW!E43,0))</f>
        <v/>
      </c>
      <c r="I43" s="12">
        <f>IF(GL_RAW!A43="","",ABS(H43))</f>
        <v/>
      </c>
      <c r="J43" s="11">
        <f>IF(GL_RAW!A43="","",IF(OR(ISNUMBER(SEARCH("Out",F43)),ISNUMBER(SEARCH("11025002",F43)),H43&lt;0),"OUT","IN"))</f>
        <v/>
      </c>
      <c r="K43" s="11" t="inlineStr"/>
    </row>
    <row r="44">
      <c r="A44" s="13">
        <f>IF(GL_RAW!A44="","",ROW()-1)</f>
        <v/>
      </c>
      <c r="B44" s="10">
        <f>IF(GL_RAW!A44="","",IF(ISNUMBER(GL_RAW!A44),GL_RAW!A44,DATEVALUE(TEXT(GL_RAW!A44,"YYYY-MM-DD"))))</f>
        <v/>
      </c>
      <c r="C44" s="11">
        <f>IF(GL_RAW!A44="","",TRIM(GL_RAW!B44))</f>
        <v/>
      </c>
      <c r="D44" s="11">
        <f>IF(GL_RAW!A44="","",TRIM(GL_RAW!C44))</f>
        <v/>
      </c>
      <c r="E44" s="11">
        <f>IF(GL_RAW!A44="","",TRIM(GL_RAW!D44))</f>
        <v/>
      </c>
      <c r="F44" s="11">
        <f>IF(GL_RAW!A44="","",TRIM(GL_RAW!F44))</f>
        <v/>
      </c>
      <c r="G44" s="11">
        <f>IF(GL_RAW!A44="","",TRIM(GL_RAW!G44))</f>
        <v/>
      </c>
      <c r="H44" s="12">
        <f>IF(GL_RAW!A44="","",IFERROR(GL_RAW!E44,0))</f>
        <v/>
      </c>
      <c r="I44" s="12">
        <f>IF(GL_RAW!A44="","",ABS(H44))</f>
        <v/>
      </c>
      <c r="J44" s="11">
        <f>IF(GL_RAW!A44="","",IF(OR(ISNUMBER(SEARCH("Out",F44)),ISNUMBER(SEARCH("11025002",F44)),H44&lt;0),"OUT","IN"))</f>
        <v/>
      </c>
      <c r="K44" s="11" t="inlineStr"/>
    </row>
    <row r="45">
      <c r="A45" s="13">
        <f>IF(GL_RAW!A45="","",ROW()-1)</f>
        <v/>
      </c>
      <c r="B45" s="10">
        <f>IF(GL_RAW!A45="","",IF(ISNUMBER(GL_RAW!A45),GL_RAW!A45,DATEVALUE(TEXT(GL_RAW!A45,"YYYY-MM-DD"))))</f>
        <v/>
      </c>
      <c r="C45" s="11">
        <f>IF(GL_RAW!A45="","",TRIM(GL_RAW!B45))</f>
        <v/>
      </c>
      <c r="D45" s="11">
        <f>IF(GL_RAW!A45="","",TRIM(GL_RAW!C45))</f>
        <v/>
      </c>
      <c r="E45" s="11">
        <f>IF(GL_RAW!A45="","",TRIM(GL_RAW!D45))</f>
        <v/>
      </c>
      <c r="F45" s="11">
        <f>IF(GL_RAW!A45="","",TRIM(GL_RAW!F45))</f>
        <v/>
      </c>
      <c r="G45" s="11">
        <f>IF(GL_RAW!A45="","",TRIM(GL_RAW!G45))</f>
        <v/>
      </c>
      <c r="H45" s="12">
        <f>IF(GL_RAW!A45="","",IFERROR(GL_RAW!E45,0))</f>
        <v/>
      </c>
      <c r="I45" s="12">
        <f>IF(GL_RAW!A45="","",ABS(H45))</f>
        <v/>
      </c>
      <c r="J45" s="11">
        <f>IF(GL_RAW!A45="","",IF(OR(ISNUMBER(SEARCH("Out",F45)),ISNUMBER(SEARCH("11025002",F45)),H45&lt;0),"OUT","IN"))</f>
        <v/>
      </c>
      <c r="K45" s="11" t="inlineStr"/>
    </row>
    <row r="46">
      <c r="A46" s="13">
        <f>IF(GL_RAW!A46="","",ROW()-1)</f>
        <v/>
      </c>
      <c r="B46" s="10">
        <f>IF(GL_RAW!A46="","",IF(ISNUMBER(GL_RAW!A46),GL_RAW!A46,DATEVALUE(TEXT(GL_RAW!A46,"YYYY-MM-DD"))))</f>
        <v/>
      </c>
      <c r="C46" s="11">
        <f>IF(GL_RAW!A46="","",TRIM(GL_RAW!B46))</f>
        <v/>
      </c>
      <c r="D46" s="11">
        <f>IF(GL_RAW!A46="","",TRIM(GL_RAW!C46))</f>
        <v/>
      </c>
      <c r="E46" s="11">
        <f>IF(GL_RAW!A46="","",TRIM(GL_RAW!D46))</f>
        <v/>
      </c>
      <c r="F46" s="11">
        <f>IF(GL_RAW!A46="","",TRIM(GL_RAW!F46))</f>
        <v/>
      </c>
      <c r="G46" s="11">
        <f>IF(GL_RAW!A46="","",TRIM(GL_RAW!G46))</f>
        <v/>
      </c>
      <c r="H46" s="12">
        <f>IF(GL_RAW!A46="","",IFERROR(GL_RAW!E46,0))</f>
        <v/>
      </c>
      <c r="I46" s="12">
        <f>IF(GL_RAW!A46="","",ABS(H46))</f>
        <v/>
      </c>
      <c r="J46" s="11">
        <f>IF(GL_RAW!A46="","",IF(OR(ISNUMBER(SEARCH("Out",F46)),ISNUMBER(SEARCH("11025002",F46)),H46&lt;0),"OUT","IN"))</f>
        <v/>
      </c>
      <c r="K46" s="11" t="inlineStr"/>
    </row>
    <row r="47">
      <c r="A47" s="13">
        <f>IF(GL_RAW!A47="","",ROW()-1)</f>
        <v/>
      </c>
      <c r="B47" s="10">
        <f>IF(GL_RAW!A47="","",IF(ISNUMBER(GL_RAW!A47),GL_RAW!A47,DATEVALUE(TEXT(GL_RAW!A47,"YYYY-MM-DD"))))</f>
        <v/>
      </c>
      <c r="C47" s="11">
        <f>IF(GL_RAW!A47="","",TRIM(GL_RAW!B47))</f>
        <v/>
      </c>
      <c r="D47" s="11">
        <f>IF(GL_RAW!A47="","",TRIM(GL_RAW!C47))</f>
        <v/>
      </c>
      <c r="E47" s="11">
        <f>IF(GL_RAW!A47="","",TRIM(GL_RAW!D47))</f>
        <v/>
      </c>
      <c r="F47" s="11">
        <f>IF(GL_RAW!A47="","",TRIM(GL_RAW!F47))</f>
        <v/>
      </c>
      <c r="G47" s="11">
        <f>IF(GL_RAW!A47="","",TRIM(GL_RAW!G47))</f>
        <v/>
      </c>
      <c r="H47" s="12">
        <f>IF(GL_RAW!A47="","",IFERROR(GL_RAW!E47,0))</f>
        <v/>
      </c>
      <c r="I47" s="12">
        <f>IF(GL_RAW!A47="","",ABS(H47))</f>
        <v/>
      </c>
      <c r="J47" s="11">
        <f>IF(GL_RAW!A47="","",IF(OR(ISNUMBER(SEARCH("Out",F47)),ISNUMBER(SEARCH("11025002",F47)),H47&lt;0),"OUT","IN"))</f>
        <v/>
      </c>
      <c r="K47" s="11" t="inlineStr"/>
    </row>
    <row r="48">
      <c r="A48" s="13">
        <f>IF(GL_RAW!A48="","",ROW()-1)</f>
        <v/>
      </c>
      <c r="B48" s="10">
        <f>IF(GL_RAW!A48="","",IF(ISNUMBER(GL_RAW!A48),GL_RAW!A48,DATEVALUE(TEXT(GL_RAW!A48,"YYYY-MM-DD"))))</f>
        <v/>
      </c>
      <c r="C48" s="11">
        <f>IF(GL_RAW!A48="","",TRIM(GL_RAW!B48))</f>
        <v/>
      </c>
      <c r="D48" s="11">
        <f>IF(GL_RAW!A48="","",TRIM(GL_RAW!C48))</f>
        <v/>
      </c>
      <c r="E48" s="11">
        <f>IF(GL_RAW!A48="","",TRIM(GL_RAW!D48))</f>
        <v/>
      </c>
      <c r="F48" s="11">
        <f>IF(GL_RAW!A48="","",TRIM(GL_RAW!F48))</f>
        <v/>
      </c>
      <c r="G48" s="11">
        <f>IF(GL_RAW!A48="","",TRIM(GL_RAW!G48))</f>
        <v/>
      </c>
      <c r="H48" s="12">
        <f>IF(GL_RAW!A48="","",IFERROR(GL_RAW!E48,0))</f>
        <v/>
      </c>
      <c r="I48" s="12">
        <f>IF(GL_RAW!A48="","",ABS(H48))</f>
        <v/>
      </c>
      <c r="J48" s="11">
        <f>IF(GL_RAW!A48="","",IF(OR(ISNUMBER(SEARCH("Out",F48)),ISNUMBER(SEARCH("11025002",F48)),H48&lt;0),"OUT","IN"))</f>
        <v/>
      </c>
      <c r="K48" s="11" t="inlineStr"/>
    </row>
    <row r="49">
      <c r="A49" s="13">
        <f>IF(GL_RAW!A49="","",ROW()-1)</f>
        <v/>
      </c>
      <c r="B49" s="10">
        <f>IF(GL_RAW!A49="","",IF(ISNUMBER(GL_RAW!A49),GL_RAW!A49,DATEVALUE(TEXT(GL_RAW!A49,"YYYY-MM-DD"))))</f>
        <v/>
      </c>
      <c r="C49" s="11">
        <f>IF(GL_RAW!A49="","",TRIM(GL_RAW!B49))</f>
        <v/>
      </c>
      <c r="D49" s="11">
        <f>IF(GL_RAW!A49="","",TRIM(GL_RAW!C49))</f>
        <v/>
      </c>
      <c r="E49" s="11">
        <f>IF(GL_RAW!A49="","",TRIM(GL_RAW!D49))</f>
        <v/>
      </c>
      <c r="F49" s="11">
        <f>IF(GL_RAW!A49="","",TRIM(GL_RAW!F49))</f>
        <v/>
      </c>
      <c r="G49" s="11">
        <f>IF(GL_RAW!A49="","",TRIM(GL_RAW!G49))</f>
        <v/>
      </c>
      <c r="H49" s="12">
        <f>IF(GL_RAW!A49="","",IFERROR(GL_RAW!E49,0))</f>
        <v/>
      </c>
      <c r="I49" s="12">
        <f>IF(GL_RAW!A49="","",ABS(H49))</f>
        <v/>
      </c>
      <c r="J49" s="11">
        <f>IF(GL_RAW!A49="","",IF(OR(ISNUMBER(SEARCH("Out",F49)),ISNUMBER(SEARCH("11025002",F49)),H49&lt;0),"OUT","IN"))</f>
        <v/>
      </c>
      <c r="K49" s="11" t="inlineStr"/>
    </row>
    <row r="50">
      <c r="A50" s="13">
        <f>IF(GL_RAW!A50="","",ROW()-1)</f>
        <v/>
      </c>
      <c r="B50" s="10">
        <f>IF(GL_RAW!A50="","",IF(ISNUMBER(GL_RAW!A50),GL_RAW!A50,DATEVALUE(TEXT(GL_RAW!A50,"YYYY-MM-DD"))))</f>
        <v/>
      </c>
      <c r="C50" s="11">
        <f>IF(GL_RAW!A50="","",TRIM(GL_RAW!B50))</f>
        <v/>
      </c>
      <c r="D50" s="11">
        <f>IF(GL_RAW!A50="","",TRIM(GL_RAW!C50))</f>
        <v/>
      </c>
      <c r="E50" s="11">
        <f>IF(GL_RAW!A50="","",TRIM(GL_RAW!D50))</f>
        <v/>
      </c>
      <c r="F50" s="11">
        <f>IF(GL_RAW!A50="","",TRIM(GL_RAW!F50))</f>
        <v/>
      </c>
      <c r="G50" s="11">
        <f>IF(GL_RAW!A50="","",TRIM(GL_RAW!G50))</f>
        <v/>
      </c>
      <c r="H50" s="12">
        <f>IF(GL_RAW!A50="","",IFERROR(GL_RAW!E50,0))</f>
        <v/>
      </c>
      <c r="I50" s="12">
        <f>IF(GL_RAW!A50="","",ABS(H50))</f>
        <v/>
      </c>
      <c r="J50" s="11">
        <f>IF(GL_RAW!A50="","",IF(OR(ISNUMBER(SEARCH("Out",F50)),ISNUMBER(SEARCH("11025002",F50)),H50&lt;0),"OUT","IN"))</f>
        <v/>
      </c>
      <c r="K50" s="11" t="inlineStr"/>
    </row>
    <row r="51">
      <c r="A51" s="13">
        <f>IF(GL_RAW!A51="","",ROW()-1)</f>
        <v/>
      </c>
      <c r="B51" s="10">
        <f>IF(GL_RAW!A51="","",IF(ISNUMBER(GL_RAW!A51),GL_RAW!A51,DATEVALUE(TEXT(GL_RAW!A51,"YYYY-MM-DD"))))</f>
        <v/>
      </c>
      <c r="C51" s="11">
        <f>IF(GL_RAW!A51="","",TRIM(GL_RAW!B51))</f>
        <v/>
      </c>
      <c r="D51" s="11">
        <f>IF(GL_RAW!A51="","",TRIM(GL_RAW!C51))</f>
        <v/>
      </c>
      <c r="E51" s="11">
        <f>IF(GL_RAW!A51="","",TRIM(GL_RAW!D51))</f>
        <v/>
      </c>
      <c r="F51" s="11">
        <f>IF(GL_RAW!A51="","",TRIM(GL_RAW!F51))</f>
        <v/>
      </c>
      <c r="G51" s="11">
        <f>IF(GL_RAW!A51="","",TRIM(GL_RAW!G51))</f>
        <v/>
      </c>
      <c r="H51" s="12">
        <f>IF(GL_RAW!A51="","",IFERROR(GL_RAW!E51,0))</f>
        <v/>
      </c>
      <c r="I51" s="12">
        <f>IF(GL_RAW!A51="","",ABS(H51))</f>
        <v/>
      </c>
      <c r="J51" s="11">
        <f>IF(GL_RAW!A51="","",IF(OR(ISNUMBER(SEARCH("Out",F51)),ISNUMBER(SEARCH("11025002",F51)),H51&lt;0),"OUT","IN"))</f>
        <v/>
      </c>
      <c r="K51" s="11" t="inlineStr"/>
    </row>
    <row r="52">
      <c r="A52" s="13">
        <f>IF(GL_RAW!A52="","",ROW()-1)</f>
        <v/>
      </c>
      <c r="B52" s="10">
        <f>IF(GL_RAW!A52="","",IF(ISNUMBER(GL_RAW!A52),GL_RAW!A52,DATEVALUE(TEXT(GL_RAW!A52,"YYYY-MM-DD"))))</f>
        <v/>
      </c>
      <c r="C52" s="11">
        <f>IF(GL_RAW!A52="","",TRIM(GL_RAW!B52))</f>
        <v/>
      </c>
      <c r="D52" s="11">
        <f>IF(GL_RAW!A52="","",TRIM(GL_RAW!C52))</f>
        <v/>
      </c>
      <c r="E52" s="11">
        <f>IF(GL_RAW!A52="","",TRIM(GL_RAW!D52))</f>
        <v/>
      </c>
      <c r="F52" s="11">
        <f>IF(GL_RAW!A52="","",TRIM(GL_RAW!F52))</f>
        <v/>
      </c>
      <c r="G52" s="11">
        <f>IF(GL_RAW!A52="","",TRIM(GL_RAW!G52))</f>
        <v/>
      </c>
      <c r="H52" s="12">
        <f>IF(GL_RAW!A52="","",IFERROR(GL_RAW!E52,0))</f>
        <v/>
      </c>
      <c r="I52" s="12">
        <f>IF(GL_RAW!A52="","",ABS(H52))</f>
        <v/>
      </c>
      <c r="J52" s="11">
        <f>IF(GL_RAW!A52="","",IF(OR(ISNUMBER(SEARCH("Out",F52)),ISNUMBER(SEARCH("11025002",F52)),H52&lt;0),"OUT","IN"))</f>
        <v/>
      </c>
      <c r="K52" s="11" t="inlineStr"/>
    </row>
    <row r="53">
      <c r="A53" s="13">
        <f>IF(GL_RAW!A53="","",ROW()-1)</f>
        <v/>
      </c>
      <c r="B53" s="10">
        <f>IF(GL_RAW!A53="","",IF(ISNUMBER(GL_RAW!A53),GL_RAW!A53,DATEVALUE(TEXT(GL_RAW!A53,"YYYY-MM-DD"))))</f>
        <v/>
      </c>
      <c r="C53" s="11">
        <f>IF(GL_RAW!A53="","",TRIM(GL_RAW!B53))</f>
        <v/>
      </c>
      <c r="D53" s="11">
        <f>IF(GL_RAW!A53="","",TRIM(GL_RAW!C53))</f>
        <v/>
      </c>
      <c r="E53" s="11">
        <f>IF(GL_RAW!A53="","",TRIM(GL_RAW!D53))</f>
        <v/>
      </c>
      <c r="F53" s="11">
        <f>IF(GL_RAW!A53="","",TRIM(GL_RAW!F53))</f>
        <v/>
      </c>
      <c r="G53" s="11">
        <f>IF(GL_RAW!A53="","",TRIM(GL_RAW!G53))</f>
        <v/>
      </c>
      <c r="H53" s="12">
        <f>IF(GL_RAW!A53="","",IFERROR(GL_RAW!E53,0))</f>
        <v/>
      </c>
      <c r="I53" s="12">
        <f>IF(GL_RAW!A53="","",ABS(H53))</f>
        <v/>
      </c>
      <c r="J53" s="11">
        <f>IF(GL_RAW!A53="","",IF(OR(ISNUMBER(SEARCH("Out",F53)),ISNUMBER(SEARCH("11025002",F53)),H53&lt;0),"OUT","IN"))</f>
        <v/>
      </c>
      <c r="K53" s="11" t="inlineStr"/>
    </row>
    <row r="54">
      <c r="A54" s="13">
        <f>IF(GL_RAW!A54="","",ROW()-1)</f>
        <v/>
      </c>
      <c r="B54" s="10">
        <f>IF(GL_RAW!A54="","",IF(ISNUMBER(GL_RAW!A54),GL_RAW!A54,DATEVALUE(TEXT(GL_RAW!A54,"YYYY-MM-DD"))))</f>
        <v/>
      </c>
      <c r="C54" s="11">
        <f>IF(GL_RAW!A54="","",TRIM(GL_RAW!B54))</f>
        <v/>
      </c>
      <c r="D54" s="11">
        <f>IF(GL_RAW!A54="","",TRIM(GL_RAW!C54))</f>
        <v/>
      </c>
      <c r="E54" s="11">
        <f>IF(GL_RAW!A54="","",TRIM(GL_RAW!D54))</f>
        <v/>
      </c>
      <c r="F54" s="11">
        <f>IF(GL_RAW!A54="","",TRIM(GL_RAW!F54))</f>
        <v/>
      </c>
      <c r="G54" s="11">
        <f>IF(GL_RAW!A54="","",TRIM(GL_RAW!G54))</f>
        <v/>
      </c>
      <c r="H54" s="12">
        <f>IF(GL_RAW!A54="","",IFERROR(GL_RAW!E54,0))</f>
        <v/>
      </c>
      <c r="I54" s="12">
        <f>IF(GL_RAW!A54="","",ABS(H54))</f>
        <v/>
      </c>
      <c r="J54" s="11">
        <f>IF(GL_RAW!A54="","",IF(OR(ISNUMBER(SEARCH("Out",F54)),ISNUMBER(SEARCH("11025002",F54)),H54&lt;0),"OUT","IN"))</f>
        <v/>
      </c>
      <c r="K54" s="11" t="inlineStr"/>
    </row>
    <row r="55">
      <c r="A55" s="13">
        <f>IF(GL_RAW!A55="","",ROW()-1)</f>
        <v/>
      </c>
      <c r="B55" s="10">
        <f>IF(GL_RAW!A55="","",IF(ISNUMBER(GL_RAW!A55),GL_RAW!A55,DATEVALUE(TEXT(GL_RAW!A55,"YYYY-MM-DD"))))</f>
        <v/>
      </c>
      <c r="C55" s="11">
        <f>IF(GL_RAW!A55="","",TRIM(GL_RAW!B55))</f>
        <v/>
      </c>
      <c r="D55" s="11">
        <f>IF(GL_RAW!A55="","",TRIM(GL_RAW!C55))</f>
        <v/>
      </c>
      <c r="E55" s="11">
        <f>IF(GL_RAW!A55="","",TRIM(GL_RAW!D55))</f>
        <v/>
      </c>
      <c r="F55" s="11">
        <f>IF(GL_RAW!A55="","",TRIM(GL_RAW!F55))</f>
        <v/>
      </c>
      <c r="G55" s="11">
        <f>IF(GL_RAW!A55="","",TRIM(GL_RAW!G55))</f>
        <v/>
      </c>
      <c r="H55" s="12">
        <f>IF(GL_RAW!A55="","",IFERROR(GL_RAW!E55,0))</f>
        <v/>
      </c>
      <c r="I55" s="12">
        <f>IF(GL_RAW!A55="","",ABS(H55))</f>
        <v/>
      </c>
      <c r="J55" s="11">
        <f>IF(GL_RAW!A55="","",IF(OR(ISNUMBER(SEARCH("Out",F55)),ISNUMBER(SEARCH("11025002",F55)),H55&lt;0),"OUT","IN"))</f>
        <v/>
      </c>
      <c r="K55" s="11" t="inlineStr"/>
    </row>
    <row r="56">
      <c r="A56" s="13">
        <f>IF(GL_RAW!A56="","",ROW()-1)</f>
        <v/>
      </c>
      <c r="B56" s="10">
        <f>IF(GL_RAW!A56="","",IF(ISNUMBER(GL_RAW!A56),GL_RAW!A56,DATEVALUE(TEXT(GL_RAW!A56,"YYYY-MM-DD"))))</f>
        <v/>
      </c>
      <c r="C56" s="11">
        <f>IF(GL_RAW!A56="","",TRIM(GL_RAW!B56))</f>
        <v/>
      </c>
      <c r="D56" s="11">
        <f>IF(GL_RAW!A56="","",TRIM(GL_RAW!C56))</f>
        <v/>
      </c>
      <c r="E56" s="11">
        <f>IF(GL_RAW!A56="","",TRIM(GL_RAW!D56))</f>
        <v/>
      </c>
      <c r="F56" s="11">
        <f>IF(GL_RAW!A56="","",TRIM(GL_RAW!F56))</f>
        <v/>
      </c>
      <c r="G56" s="11">
        <f>IF(GL_RAW!A56="","",TRIM(GL_RAW!G56))</f>
        <v/>
      </c>
      <c r="H56" s="12">
        <f>IF(GL_RAW!A56="","",IFERROR(GL_RAW!E56,0))</f>
        <v/>
      </c>
      <c r="I56" s="12">
        <f>IF(GL_RAW!A56="","",ABS(H56))</f>
        <v/>
      </c>
      <c r="J56" s="11">
        <f>IF(GL_RAW!A56="","",IF(OR(ISNUMBER(SEARCH("Out",F56)),ISNUMBER(SEARCH("11025002",F56)),H56&lt;0),"OUT","IN"))</f>
        <v/>
      </c>
      <c r="K56" s="11" t="inlineStr"/>
    </row>
    <row r="57">
      <c r="A57" s="13">
        <f>IF(GL_RAW!A57="","",ROW()-1)</f>
        <v/>
      </c>
      <c r="B57" s="10">
        <f>IF(GL_RAW!A57="","",IF(ISNUMBER(GL_RAW!A57),GL_RAW!A57,DATEVALUE(TEXT(GL_RAW!A57,"YYYY-MM-DD"))))</f>
        <v/>
      </c>
      <c r="C57" s="11">
        <f>IF(GL_RAW!A57="","",TRIM(GL_RAW!B57))</f>
        <v/>
      </c>
      <c r="D57" s="11">
        <f>IF(GL_RAW!A57="","",TRIM(GL_RAW!C57))</f>
        <v/>
      </c>
      <c r="E57" s="11">
        <f>IF(GL_RAW!A57="","",TRIM(GL_RAW!D57))</f>
        <v/>
      </c>
      <c r="F57" s="11">
        <f>IF(GL_RAW!A57="","",TRIM(GL_RAW!F57))</f>
        <v/>
      </c>
      <c r="G57" s="11">
        <f>IF(GL_RAW!A57="","",TRIM(GL_RAW!G57))</f>
        <v/>
      </c>
      <c r="H57" s="12">
        <f>IF(GL_RAW!A57="","",IFERROR(GL_RAW!E57,0))</f>
        <v/>
      </c>
      <c r="I57" s="12">
        <f>IF(GL_RAW!A57="","",ABS(H57))</f>
        <v/>
      </c>
      <c r="J57" s="11">
        <f>IF(GL_RAW!A57="","",IF(OR(ISNUMBER(SEARCH("Out",F57)),ISNUMBER(SEARCH("11025002",F57)),H57&lt;0),"OUT","IN"))</f>
        <v/>
      </c>
      <c r="K57" s="11" t="inlineStr"/>
    </row>
    <row r="58">
      <c r="A58" s="13">
        <f>IF(GL_RAW!A58="","",ROW()-1)</f>
        <v/>
      </c>
      <c r="B58" s="10">
        <f>IF(GL_RAW!A58="","",IF(ISNUMBER(GL_RAW!A58),GL_RAW!A58,DATEVALUE(TEXT(GL_RAW!A58,"YYYY-MM-DD"))))</f>
        <v/>
      </c>
      <c r="C58" s="11">
        <f>IF(GL_RAW!A58="","",TRIM(GL_RAW!B58))</f>
        <v/>
      </c>
      <c r="D58" s="11">
        <f>IF(GL_RAW!A58="","",TRIM(GL_RAW!C58))</f>
        <v/>
      </c>
      <c r="E58" s="11">
        <f>IF(GL_RAW!A58="","",TRIM(GL_RAW!D58))</f>
        <v/>
      </c>
      <c r="F58" s="11">
        <f>IF(GL_RAW!A58="","",TRIM(GL_RAW!F58))</f>
        <v/>
      </c>
      <c r="G58" s="11">
        <f>IF(GL_RAW!A58="","",TRIM(GL_RAW!G58))</f>
        <v/>
      </c>
      <c r="H58" s="12">
        <f>IF(GL_RAW!A58="","",IFERROR(GL_RAW!E58,0))</f>
        <v/>
      </c>
      <c r="I58" s="12">
        <f>IF(GL_RAW!A58="","",ABS(H58))</f>
        <v/>
      </c>
      <c r="J58" s="11">
        <f>IF(GL_RAW!A58="","",IF(OR(ISNUMBER(SEARCH("Out",F58)),ISNUMBER(SEARCH("11025002",F58)),H58&lt;0),"OUT","IN"))</f>
        <v/>
      </c>
      <c r="K58" s="11" t="inlineStr"/>
    </row>
    <row r="59">
      <c r="A59" s="13">
        <f>IF(GL_RAW!A59="","",ROW()-1)</f>
        <v/>
      </c>
      <c r="B59" s="10">
        <f>IF(GL_RAW!A59="","",IF(ISNUMBER(GL_RAW!A59),GL_RAW!A59,DATEVALUE(TEXT(GL_RAW!A59,"YYYY-MM-DD"))))</f>
        <v/>
      </c>
      <c r="C59" s="11">
        <f>IF(GL_RAW!A59="","",TRIM(GL_RAW!B59))</f>
        <v/>
      </c>
      <c r="D59" s="11">
        <f>IF(GL_RAW!A59="","",TRIM(GL_RAW!C59))</f>
        <v/>
      </c>
      <c r="E59" s="11">
        <f>IF(GL_RAW!A59="","",TRIM(GL_RAW!D59))</f>
        <v/>
      </c>
      <c r="F59" s="11">
        <f>IF(GL_RAW!A59="","",TRIM(GL_RAW!F59))</f>
        <v/>
      </c>
      <c r="G59" s="11">
        <f>IF(GL_RAW!A59="","",TRIM(GL_RAW!G59))</f>
        <v/>
      </c>
      <c r="H59" s="12">
        <f>IF(GL_RAW!A59="","",IFERROR(GL_RAW!E59,0))</f>
        <v/>
      </c>
      <c r="I59" s="12">
        <f>IF(GL_RAW!A59="","",ABS(H59))</f>
        <v/>
      </c>
      <c r="J59" s="11">
        <f>IF(GL_RAW!A59="","",IF(OR(ISNUMBER(SEARCH("Out",F59)),ISNUMBER(SEARCH("11025002",F59)),H59&lt;0),"OUT","IN"))</f>
        <v/>
      </c>
      <c r="K59" s="11" t="inlineStr"/>
    </row>
    <row r="60">
      <c r="A60" s="13">
        <f>IF(GL_RAW!A60="","",ROW()-1)</f>
        <v/>
      </c>
      <c r="B60" s="10">
        <f>IF(GL_RAW!A60="","",IF(ISNUMBER(GL_RAW!A60),GL_RAW!A60,DATEVALUE(TEXT(GL_RAW!A60,"YYYY-MM-DD"))))</f>
        <v/>
      </c>
      <c r="C60" s="11">
        <f>IF(GL_RAW!A60="","",TRIM(GL_RAW!B60))</f>
        <v/>
      </c>
      <c r="D60" s="11">
        <f>IF(GL_RAW!A60="","",TRIM(GL_RAW!C60))</f>
        <v/>
      </c>
      <c r="E60" s="11">
        <f>IF(GL_RAW!A60="","",TRIM(GL_RAW!D60))</f>
        <v/>
      </c>
      <c r="F60" s="11">
        <f>IF(GL_RAW!A60="","",TRIM(GL_RAW!F60))</f>
        <v/>
      </c>
      <c r="G60" s="11">
        <f>IF(GL_RAW!A60="","",TRIM(GL_RAW!G60))</f>
        <v/>
      </c>
      <c r="H60" s="12">
        <f>IF(GL_RAW!A60="","",IFERROR(GL_RAW!E60,0))</f>
        <v/>
      </c>
      <c r="I60" s="12">
        <f>IF(GL_RAW!A60="","",ABS(H60))</f>
        <v/>
      </c>
      <c r="J60" s="11">
        <f>IF(GL_RAW!A60="","",IF(OR(ISNUMBER(SEARCH("Out",F60)),ISNUMBER(SEARCH("11025002",F60)),H60&lt;0),"OUT","IN"))</f>
        <v/>
      </c>
      <c r="K60" s="11" t="inlineStr"/>
    </row>
    <row r="61">
      <c r="A61" s="13">
        <f>IF(GL_RAW!A61="","",ROW()-1)</f>
        <v/>
      </c>
      <c r="B61" s="10">
        <f>IF(GL_RAW!A61="","",IF(ISNUMBER(GL_RAW!A61),GL_RAW!A61,DATEVALUE(TEXT(GL_RAW!A61,"YYYY-MM-DD"))))</f>
        <v/>
      </c>
      <c r="C61" s="11">
        <f>IF(GL_RAW!A61="","",TRIM(GL_RAW!B61))</f>
        <v/>
      </c>
      <c r="D61" s="11">
        <f>IF(GL_RAW!A61="","",TRIM(GL_RAW!C61))</f>
        <v/>
      </c>
      <c r="E61" s="11">
        <f>IF(GL_RAW!A61="","",TRIM(GL_RAW!D61))</f>
        <v/>
      </c>
      <c r="F61" s="11">
        <f>IF(GL_RAW!A61="","",TRIM(GL_RAW!F61))</f>
        <v/>
      </c>
      <c r="G61" s="11">
        <f>IF(GL_RAW!A61="","",TRIM(GL_RAW!G61))</f>
        <v/>
      </c>
      <c r="H61" s="12">
        <f>IF(GL_RAW!A61="","",IFERROR(GL_RAW!E61,0))</f>
        <v/>
      </c>
      <c r="I61" s="12">
        <f>IF(GL_RAW!A61="","",ABS(H61))</f>
        <v/>
      </c>
      <c r="J61" s="11">
        <f>IF(GL_RAW!A61="","",IF(OR(ISNUMBER(SEARCH("Out",F61)),ISNUMBER(SEARCH("11025002",F61)),H61&lt;0),"OUT","IN"))</f>
        <v/>
      </c>
      <c r="K61" s="11" t="inlineStr"/>
    </row>
    <row r="62">
      <c r="A62" s="13">
        <f>IF(GL_RAW!A62="","",ROW()-1)</f>
        <v/>
      </c>
      <c r="B62" s="10">
        <f>IF(GL_RAW!A62="","",IF(ISNUMBER(GL_RAW!A62),GL_RAW!A62,DATEVALUE(TEXT(GL_RAW!A62,"YYYY-MM-DD"))))</f>
        <v/>
      </c>
      <c r="C62" s="11">
        <f>IF(GL_RAW!A62="","",TRIM(GL_RAW!B62))</f>
        <v/>
      </c>
      <c r="D62" s="11">
        <f>IF(GL_RAW!A62="","",TRIM(GL_RAW!C62))</f>
        <v/>
      </c>
      <c r="E62" s="11">
        <f>IF(GL_RAW!A62="","",TRIM(GL_RAW!D62))</f>
        <v/>
      </c>
      <c r="F62" s="11">
        <f>IF(GL_RAW!A62="","",TRIM(GL_RAW!F62))</f>
        <v/>
      </c>
      <c r="G62" s="11">
        <f>IF(GL_RAW!A62="","",TRIM(GL_RAW!G62))</f>
        <v/>
      </c>
      <c r="H62" s="12">
        <f>IF(GL_RAW!A62="","",IFERROR(GL_RAW!E62,0))</f>
        <v/>
      </c>
      <c r="I62" s="12">
        <f>IF(GL_RAW!A62="","",ABS(H62))</f>
        <v/>
      </c>
      <c r="J62" s="11">
        <f>IF(GL_RAW!A62="","",IF(OR(ISNUMBER(SEARCH("Out",F62)),ISNUMBER(SEARCH("11025002",F62)),H62&lt;0),"OUT","IN"))</f>
        <v/>
      </c>
      <c r="K62" s="11" t="inlineStr"/>
    </row>
    <row r="63">
      <c r="A63" s="13">
        <f>IF(GL_RAW!A63="","",ROW()-1)</f>
        <v/>
      </c>
      <c r="B63" s="10">
        <f>IF(GL_RAW!A63="","",IF(ISNUMBER(GL_RAW!A63),GL_RAW!A63,DATEVALUE(TEXT(GL_RAW!A63,"YYYY-MM-DD"))))</f>
        <v/>
      </c>
      <c r="C63" s="11">
        <f>IF(GL_RAW!A63="","",TRIM(GL_RAW!B63))</f>
        <v/>
      </c>
      <c r="D63" s="11">
        <f>IF(GL_RAW!A63="","",TRIM(GL_RAW!C63))</f>
        <v/>
      </c>
      <c r="E63" s="11">
        <f>IF(GL_RAW!A63="","",TRIM(GL_RAW!D63))</f>
        <v/>
      </c>
      <c r="F63" s="11">
        <f>IF(GL_RAW!A63="","",TRIM(GL_RAW!F63))</f>
        <v/>
      </c>
      <c r="G63" s="11">
        <f>IF(GL_RAW!A63="","",TRIM(GL_RAW!G63))</f>
        <v/>
      </c>
      <c r="H63" s="12">
        <f>IF(GL_RAW!A63="","",IFERROR(GL_RAW!E63,0))</f>
        <v/>
      </c>
      <c r="I63" s="12">
        <f>IF(GL_RAW!A63="","",ABS(H63))</f>
        <v/>
      </c>
      <c r="J63" s="11">
        <f>IF(GL_RAW!A63="","",IF(OR(ISNUMBER(SEARCH("Out",F63)),ISNUMBER(SEARCH("11025002",F63)),H63&lt;0),"OUT","IN"))</f>
        <v/>
      </c>
      <c r="K63" s="11" t="inlineStr"/>
    </row>
    <row r="64">
      <c r="A64" s="13">
        <f>IF(GL_RAW!A64="","",ROW()-1)</f>
        <v/>
      </c>
      <c r="B64" s="10">
        <f>IF(GL_RAW!A64="","",IF(ISNUMBER(GL_RAW!A64),GL_RAW!A64,DATEVALUE(TEXT(GL_RAW!A64,"YYYY-MM-DD"))))</f>
        <v/>
      </c>
      <c r="C64" s="11">
        <f>IF(GL_RAW!A64="","",TRIM(GL_RAW!B64))</f>
        <v/>
      </c>
      <c r="D64" s="11">
        <f>IF(GL_RAW!A64="","",TRIM(GL_RAW!C64))</f>
        <v/>
      </c>
      <c r="E64" s="11">
        <f>IF(GL_RAW!A64="","",TRIM(GL_RAW!D64))</f>
        <v/>
      </c>
      <c r="F64" s="11">
        <f>IF(GL_RAW!A64="","",TRIM(GL_RAW!F64))</f>
        <v/>
      </c>
      <c r="G64" s="11">
        <f>IF(GL_RAW!A64="","",TRIM(GL_RAW!G64))</f>
        <v/>
      </c>
      <c r="H64" s="12">
        <f>IF(GL_RAW!A64="","",IFERROR(GL_RAW!E64,0))</f>
        <v/>
      </c>
      <c r="I64" s="12">
        <f>IF(GL_RAW!A64="","",ABS(H64))</f>
        <v/>
      </c>
      <c r="J64" s="11">
        <f>IF(GL_RAW!A64="","",IF(OR(ISNUMBER(SEARCH("Out",F64)),ISNUMBER(SEARCH("11025002",F64)),H64&lt;0),"OUT","IN"))</f>
        <v/>
      </c>
      <c r="K64" s="11" t="inlineStr"/>
    </row>
    <row r="65">
      <c r="A65" s="13">
        <f>IF(GL_RAW!A65="","",ROW()-1)</f>
        <v/>
      </c>
      <c r="B65" s="10">
        <f>IF(GL_RAW!A65="","",IF(ISNUMBER(GL_RAW!A65),GL_RAW!A65,DATEVALUE(TEXT(GL_RAW!A65,"YYYY-MM-DD"))))</f>
        <v/>
      </c>
      <c r="C65" s="11">
        <f>IF(GL_RAW!A65="","",TRIM(GL_RAW!B65))</f>
        <v/>
      </c>
      <c r="D65" s="11">
        <f>IF(GL_RAW!A65="","",TRIM(GL_RAW!C65))</f>
        <v/>
      </c>
      <c r="E65" s="11">
        <f>IF(GL_RAW!A65="","",TRIM(GL_RAW!D65))</f>
        <v/>
      </c>
      <c r="F65" s="11">
        <f>IF(GL_RAW!A65="","",TRIM(GL_RAW!F65))</f>
        <v/>
      </c>
      <c r="G65" s="11">
        <f>IF(GL_RAW!A65="","",TRIM(GL_RAW!G65))</f>
        <v/>
      </c>
      <c r="H65" s="12">
        <f>IF(GL_RAW!A65="","",IFERROR(GL_RAW!E65,0))</f>
        <v/>
      </c>
      <c r="I65" s="12">
        <f>IF(GL_RAW!A65="","",ABS(H65))</f>
        <v/>
      </c>
      <c r="J65" s="11">
        <f>IF(GL_RAW!A65="","",IF(OR(ISNUMBER(SEARCH("Out",F65)),ISNUMBER(SEARCH("11025002",F65)),H65&lt;0),"OUT","IN"))</f>
        <v/>
      </c>
      <c r="K65" s="11" t="inlineStr"/>
    </row>
    <row r="66">
      <c r="A66" s="13">
        <f>IF(GL_RAW!A66="","",ROW()-1)</f>
        <v/>
      </c>
      <c r="B66" s="10">
        <f>IF(GL_RAW!A66="","",IF(ISNUMBER(GL_RAW!A66),GL_RAW!A66,DATEVALUE(TEXT(GL_RAW!A66,"YYYY-MM-DD"))))</f>
        <v/>
      </c>
      <c r="C66" s="11">
        <f>IF(GL_RAW!A66="","",TRIM(GL_RAW!B66))</f>
        <v/>
      </c>
      <c r="D66" s="11">
        <f>IF(GL_RAW!A66="","",TRIM(GL_RAW!C66))</f>
        <v/>
      </c>
      <c r="E66" s="11">
        <f>IF(GL_RAW!A66="","",TRIM(GL_RAW!D66))</f>
        <v/>
      </c>
      <c r="F66" s="11">
        <f>IF(GL_RAW!A66="","",TRIM(GL_RAW!F66))</f>
        <v/>
      </c>
      <c r="G66" s="11">
        <f>IF(GL_RAW!A66="","",TRIM(GL_RAW!G66))</f>
        <v/>
      </c>
      <c r="H66" s="12">
        <f>IF(GL_RAW!A66="","",IFERROR(GL_RAW!E66,0))</f>
        <v/>
      </c>
      <c r="I66" s="12">
        <f>IF(GL_RAW!A66="","",ABS(H66))</f>
        <v/>
      </c>
      <c r="J66" s="11">
        <f>IF(GL_RAW!A66="","",IF(OR(ISNUMBER(SEARCH("Out",F66)),ISNUMBER(SEARCH("11025002",F66)),H66&lt;0),"OUT","IN"))</f>
        <v/>
      </c>
      <c r="K66" s="11" t="inlineStr"/>
    </row>
    <row r="67">
      <c r="A67" s="13">
        <f>IF(GL_RAW!A67="","",ROW()-1)</f>
        <v/>
      </c>
      <c r="B67" s="10">
        <f>IF(GL_RAW!A67="","",IF(ISNUMBER(GL_RAW!A67),GL_RAW!A67,DATEVALUE(TEXT(GL_RAW!A67,"YYYY-MM-DD"))))</f>
        <v/>
      </c>
      <c r="C67" s="11">
        <f>IF(GL_RAW!A67="","",TRIM(GL_RAW!B67))</f>
        <v/>
      </c>
      <c r="D67" s="11">
        <f>IF(GL_RAW!A67="","",TRIM(GL_RAW!C67))</f>
        <v/>
      </c>
      <c r="E67" s="11">
        <f>IF(GL_RAW!A67="","",TRIM(GL_RAW!D67))</f>
        <v/>
      </c>
      <c r="F67" s="11">
        <f>IF(GL_RAW!A67="","",TRIM(GL_RAW!F67))</f>
        <v/>
      </c>
      <c r="G67" s="11">
        <f>IF(GL_RAW!A67="","",TRIM(GL_RAW!G67))</f>
        <v/>
      </c>
      <c r="H67" s="12">
        <f>IF(GL_RAW!A67="","",IFERROR(GL_RAW!E67,0))</f>
        <v/>
      </c>
      <c r="I67" s="12">
        <f>IF(GL_RAW!A67="","",ABS(H67))</f>
        <v/>
      </c>
      <c r="J67" s="11">
        <f>IF(GL_RAW!A67="","",IF(OR(ISNUMBER(SEARCH("Out",F67)),ISNUMBER(SEARCH("11025002",F67)),H67&lt;0),"OUT","IN"))</f>
        <v/>
      </c>
      <c r="K67" s="11" t="inlineStr"/>
    </row>
    <row r="68">
      <c r="A68" s="13">
        <f>IF(GL_RAW!A68="","",ROW()-1)</f>
        <v/>
      </c>
      <c r="B68" s="10">
        <f>IF(GL_RAW!A68="","",IF(ISNUMBER(GL_RAW!A68),GL_RAW!A68,DATEVALUE(TEXT(GL_RAW!A68,"YYYY-MM-DD"))))</f>
        <v/>
      </c>
      <c r="C68" s="11">
        <f>IF(GL_RAW!A68="","",TRIM(GL_RAW!B68))</f>
        <v/>
      </c>
      <c r="D68" s="11">
        <f>IF(GL_RAW!A68="","",TRIM(GL_RAW!C68))</f>
        <v/>
      </c>
      <c r="E68" s="11">
        <f>IF(GL_RAW!A68="","",TRIM(GL_RAW!D68))</f>
        <v/>
      </c>
      <c r="F68" s="11">
        <f>IF(GL_RAW!A68="","",TRIM(GL_RAW!F68))</f>
        <v/>
      </c>
      <c r="G68" s="11">
        <f>IF(GL_RAW!A68="","",TRIM(GL_RAW!G68))</f>
        <v/>
      </c>
      <c r="H68" s="12">
        <f>IF(GL_RAW!A68="","",IFERROR(GL_RAW!E68,0))</f>
        <v/>
      </c>
      <c r="I68" s="12">
        <f>IF(GL_RAW!A68="","",ABS(H68))</f>
        <v/>
      </c>
      <c r="J68" s="11">
        <f>IF(GL_RAW!A68="","",IF(OR(ISNUMBER(SEARCH("Out",F68)),ISNUMBER(SEARCH("11025002",F68)),H68&lt;0),"OUT","IN"))</f>
        <v/>
      </c>
      <c r="K68" s="11" t="inlineStr"/>
    </row>
    <row r="69">
      <c r="A69" s="13">
        <f>IF(GL_RAW!A69="","",ROW()-1)</f>
        <v/>
      </c>
      <c r="B69" s="10">
        <f>IF(GL_RAW!A69="","",IF(ISNUMBER(GL_RAW!A69),GL_RAW!A69,DATEVALUE(TEXT(GL_RAW!A69,"YYYY-MM-DD"))))</f>
        <v/>
      </c>
      <c r="C69" s="11">
        <f>IF(GL_RAW!A69="","",TRIM(GL_RAW!B69))</f>
        <v/>
      </c>
      <c r="D69" s="11">
        <f>IF(GL_RAW!A69="","",TRIM(GL_RAW!C69))</f>
        <v/>
      </c>
      <c r="E69" s="11">
        <f>IF(GL_RAW!A69="","",TRIM(GL_RAW!D69))</f>
        <v/>
      </c>
      <c r="F69" s="11">
        <f>IF(GL_RAW!A69="","",TRIM(GL_RAW!F69))</f>
        <v/>
      </c>
      <c r="G69" s="11">
        <f>IF(GL_RAW!A69="","",TRIM(GL_RAW!G69))</f>
        <v/>
      </c>
      <c r="H69" s="12">
        <f>IF(GL_RAW!A69="","",IFERROR(GL_RAW!E69,0))</f>
        <v/>
      </c>
      <c r="I69" s="12">
        <f>IF(GL_RAW!A69="","",ABS(H69))</f>
        <v/>
      </c>
      <c r="J69" s="11">
        <f>IF(GL_RAW!A69="","",IF(OR(ISNUMBER(SEARCH("Out",F69)),ISNUMBER(SEARCH("11025002",F69)),H69&lt;0),"OUT","IN"))</f>
        <v/>
      </c>
      <c r="K69" s="11" t="inlineStr"/>
    </row>
    <row r="70">
      <c r="A70" s="13">
        <f>IF(GL_RAW!A70="","",ROW()-1)</f>
        <v/>
      </c>
      <c r="B70" s="10">
        <f>IF(GL_RAW!A70="","",IF(ISNUMBER(GL_RAW!A70),GL_RAW!A70,DATEVALUE(TEXT(GL_RAW!A70,"YYYY-MM-DD"))))</f>
        <v/>
      </c>
      <c r="C70" s="11">
        <f>IF(GL_RAW!A70="","",TRIM(GL_RAW!B70))</f>
        <v/>
      </c>
      <c r="D70" s="11">
        <f>IF(GL_RAW!A70="","",TRIM(GL_RAW!C70))</f>
        <v/>
      </c>
      <c r="E70" s="11">
        <f>IF(GL_RAW!A70="","",TRIM(GL_RAW!D70))</f>
        <v/>
      </c>
      <c r="F70" s="11">
        <f>IF(GL_RAW!A70="","",TRIM(GL_RAW!F70))</f>
        <v/>
      </c>
      <c r="G70" s="11">
        <f>IF(GL_RAW!A70="","",TRIM(GL_RAW!G70))</f>
        <v/>
      </c>
      <c r="H70" s="12">
        <f>IF(GL_RAW!A70="","",IFERROR(GL_RAW!E70,0))</f>
        <v/>
      </c>
      <c r="I70" s="12">
        <f>IF(GL_RAW!A70="","",ABS(H70))</f>
        <v/>
      </c>
      <c r="J70" s="11">
        <f>IF(GL_RAW!A70="","",IF(OR(ISNUMBER(SEARCH("Out",F70)),ISNUMBER(SEARCH("11025002",F70)),H70&lt;0),"OUT","IN"))</f>
        <v/>
      </c>
      <c r="K70" s="11" t="inlineStr"/>
    </row>
    <row r="71">
      <c r="A71" s="13">
        <f>IF(GL_RAW!A71="","",ROW()-1)</f>
        <v/>
      </c>
      <c r="B71" s="10">
        <f>IF(GL_RAW!A71="","",IF(ISNUMBER(GL_RAW!A71),GL_RAW!A71,DATEVALUE(TEXT(GL_RAW!A71,"YYYY-MM-DD"))))</f>
        <v/>
      </c>
      <c r="C71" s="11">
        <f>IF(GL_RAW!A71="","",TRIM(GL_RAW!B71))</f>
        <v/>
      </c>
      <c r="D71" s="11">
        <f>IF(GL_RAW!A71="","",TRIM(GL_RAW!C71))</f>
        <v/>
      </c>
      <c r="E71" s="11">
        <f>IF(GL_RAW!A71="","",TRIM(GL_RAW!D71))</f>
        <v/>
      </c>
      <c r="F71" s="11">
        <f>IF(GL_RAW!A71="","",TRIM(GL_RAW!F71))</f>
        <v/>
      </c>
      <c r="G71" s="11">
        <f>IF(GL_RAW!A71="","",TRIM(GL_RAW!G71))</f>
        <v/>
      </c>
      <c r="H71" s="12">
        <f>IF(GL_RAW!A71="","",IFERROR(GL_RAW!E71,0))</f>
        <v/>
      </c>
      <c r="I71" s="12">
        <f>IF(GL_RAW!A71="","",ABS(H71))</f>
        <v/>
      </c>
      <c r="J71" s="11">
        <f>IF(GL_RAW!A71="","",IF(OR(ISNUMBER(SEARCH("Out",F71)),ISNUMBER(SEARCH("11025002",F71)),H71&lt;0),"OUT","IN"))</f>
        <v/>
      </c>
      <c r="K71" s="11" t="inlineStr"/>
    </row>
    <row r="72">
      <c r="A72" s="13">
        <f>IF(GL_RAW!A72="","",ROW()-1)</f>
        <v/>
      </c>
      <c r="B72" s="10">
        <f>IF(GL_RAW!A72="","",IF(ISNUMBER(GL_RAW!A72),GL_RAW!A72,DATEVALUE(TEXT(GL_RAW!A72,"YYYY-MM-DD"))))</f>
        <v/>
      </c>
      <c r="C72" s="11">
        <f>IF(GL_RAW!A72="","",TRIM(GL_RAW!B72))</f>
        <v/>
      </c>
      <c r="D72" s="11">
        <f>IF(GL_RAW!A72="","",TRIM(GL_RAW!C72))</f>
        <v/>
      </c>
      <c r="E72" s="11">
        <f>IF(GL_RAW!A72="","",TRIM(GL_RAW!D72))</f>
        <v/>
      </c>
      <c r="F72" s="11">
        <f>IF(GL_RAW!A72="","",TRIM(GL_RAW!F72))</f>
        <v/>
      </c>
      <c r="G72" s="11">
        <f>IF(GL_RAW!A72="","",TRIM(GL_RAW!G72))</f>
        <v/>
      </c>
      <c r="H72" s="12">
        <f>IF(GL_RAW!A72="","",IFERROR(GL_RAW!E72,0))</f>
        <v/>
      </c>
      <c r="I72" s="12">
        <f>IF(GL_RAW!A72="","",ABS(H72))</f>
        <v/>
      </c>
      <c r="J72" s="11">
        <f>IF(GL_RAW!A72="","",IF(OR(ISNUMBER(SEARCH("Out",F72)),ISNUMBER(SEARCH("11025002",F72)),H72&lt;0),"OUT","IN"))</f>
        <v/>
      </c>
      <c r="K72" s="11" t="inlineStr"/>
    </row>
    <row r="73">
      <c r="A73" s="13">
        <f>IF(GL_RAW!A73="","",ROW()-1)</f>
        <v/>
      </c>
      <c r="B73" s="10">
        <f>IF(GL_RAW!A73="","",IF(ISNUMBER(GL_RAW!A73),GL_RAW!A73,DATEVALUE(TEXT(GL_RAW!A73,"YYYY-MM-DD"))))</f>
        <v/>
      </c>
      <c r="C73" s="11">
        <f>IF(GL_RAW!A73="","",TRIM(GL_RAW!B73))</f>
        <v/>
      </c>
      <c r="D73" s="11">
        <f>IF(GL_RAW!A73="","",TRIM(GL_RAW!C73))</f>
        <v/>
      </c>
      <c r="E73" s="11">
        <f>IF(GL_RAW!A73="","",TRIM(GL_RAW!D73))</f>
        <v/>
      </c>
      <c r="F73" s="11">
        <f>IF(GL_RAW!A73="","",TRIM(GL_RAW!F73))</f>
        <v/>
      </c>
      <c r="G73" s="11">
        <f>IF(GL_RAW!A73="","",TRIM(GL_RAW!G73))</f>
        <v/>
      </c>
      <c r="H73" s="12">
        <f>IF(GL_RAW!A73="","",IFERROR(GL_RAW!E73,0))</f>
        <v/>
      </c>
      <c r="I73" s="12">
        <f>IF(GL_RAW!A73="","",ABS(H73))</f>
        <v/>
      </c>
      <c r="J73" s="11">
        <f>IF(GL_RAW!A73="","",IF(OR(ISNUMBER(SEARCH("Out",F73)),ISNUMBER(SEARCH("11025002",F73)),H73&lt;0),"OUT","IN"))</f>
        <v/>
      </c>
      <c r="K73" s="11" t="inlineStr"/>
    </row>
    <row r="74">
      <c r="A74" s="13">
        <f>IF(GL_RAW!A74="","",ROW()-1)</f>
        <v/>
      </c>
      <c r="B74" s="10">
        <f>IF(GL_RAW!A74="","",IF(ISNUMBER(GL_RAW!A74),GL_RAW!A74,DATEVALUE(TEXT(GL_RAW!A74,"YYYY-MM-DD"))))</f>
        <v/>
      </c>
      <c r="C74" s="11">
        <f>IF(GL_RAW!A74="","",TRIM(GL_RAW!B74))</f>
        <v/>
      </c>
      <c r="D74" s="11">
        <f>IF(GL_RAW!A74="","",TRIM(GL_RAW!C74))</f>
        <v/>
      </c>
      <c r="E74" s="11">
        <f>IF(GL_RAW!A74="","",TRIM(GL_RAW!D74))</f>
        <v/>
      </c>
      <c r="F74" s="11">
        <f>IF(GL_RAW!A74="","",TRIM(GL_RAW!F74))</f>
        <v/>
      </c>
      <c r="G74" s="11">
        <f>IF(GL_RAW!A74="","",TRIM(GL_RAW!G74))</f>
        <v/>
      </c>
      <c r="H74" s="12">
        <f>IF(GL_RAW!A74="","",IFERROR(GL_RAW!E74,0))</f>
        <v/>
      </c>
      <c r="I74" s="12">
        <f>IF(GL_RAW!A74="","",ABS(H74))</f>
        <v/>
      </c>
      <c r="J74" s="11">
        <f>IF(GL_RAW!A74="","",IF(OR(ISNUMBER(SEARCH("Out",F74)),ISNUMBER(SEARCH("11025002",F74)),H74&lt;0),"OUT","IN"))</f>
        <v/>
      </c>
      <c r="K74" s="11" t="inlineStr"/>
    </row>
    <row r="75">
      <c r="A75" s="13">
        <f>IF(GL_RAW!A75="","",ROW()-1)</f>
        <v/>
      </c>
      <c r="B75" s="10">
        <f>IF(GL_RAW!A75="","",IF(ISNUMBER(GL_RAW!A75),GL_RAW!A75,DATEVALUE(TEXT(GL_RAW!A75,"YYYY-MM-DD"))))</f>
        <v/>
      </c>
      <c r="C75" s="11">
        <f>IF(GL_RAW!A75="","",TRIM(GL_RAW!B75))</f>
        <v/>
      </c>
      <c r="D75" s="11">
        <f>IF(GL_RAW!A75="","",TRIM(GL_RAW!C75))</f>
        <v/>
      </c>
      <c r="E75" s="11">
        <f>IF(GL_RAW!A75="","",TRIM(GL_RAW!D75))</f>
        <v/>
      </c>
      <c r="F75" s="11">
        <f>IF(GL_RAW!A75="","",TRIM(GL_RAW!F75))</f>
        <v/>
      </c>
      <c r="G75" s="11">
        <f>IF(GL_RAW!A75="","",TRIM(GL_RAW!G75))</f>
        <v/>
      </c>
      <c r="H75" s="12">
        <f>IF(GL_RAW!A75="","",IFERROR(GL_RAW!E75,0))</f>
        <v/>
      </c>
      <c r="I75" s="12">
        <f>IF(GL_RAW!A75="","",ABS(H75))</f>
        <v/>
      </c>
      <c r="J75" s="11">
        <f>IF(GL_RAW!A75="","",IF(OR(ISNUMBER(SEARCH("Out",F75)),ISNUMBER(SEARCH("11025002",F75)),H75&lt;0),"OUT","IN"))</f>
        <v/>
      </c>
      <c r="K75" s="11" t="inlineStr"/>
    </row>
    <row r="76">
      <c r="A76" s="13">
        <f>IF(GL_RAW!A76="","",ROW()-1)</f>
        <v/>
      </c>
      <c r="B76" s="10">
        <f>IF(GL_RAW!A76="","",IF(ISNUMBER(GL_RAW!A76),GL_RAW!A76,DATEVALUE(TEXT(GL_RAW!A76,"YYYY-MM-DD"))))</f>
        <v/>
      </c>
      <c r="C76" s="11">
        <f>IF(GL_RAW!A76="","",TRIM(GL_RAW!B76))</f>
        <v/>
      </c>
      <c r="D76" s="11">
        <f>IF(GL_RAW!A76="","",TRIM(GL_RAW!C76))</f>
        <v/>
      </c>
      <c r="E76" s="11">
        <f>IF(GL_RAW!A76="","",TRIM(GL_RAW!D76))</f>
        <v/>
      </c>
      <c r="F76" s="11">
        <f>IF(GL_RAW!A76="","",TRIM(GL_RAW!F76))</f>
        <v/>
      </c>
      <c r="G76" s="11">
        <f>IF(GL_RAW!A76="","",TRIM(GL_RAW!G76))</f>
        <v/>
      </c>
      <c r="H76" s="12">
        <f>IF(GL_RAW!A76="","",IFERROR(GL_RAW!E76,0))</f>
        <v/>
      </c>
      <c r="I76" s="12">
        <f>IF(GL_RAW!A76="","",ABS(H76))</f>
        <v/>
      </c>
      <c r="J76" s="11">
        <f>IF(GL_RAW!A76="","",IF(OR(ISNUMBER(SEARCH("Out",F76)),ISNUMBER(SEARCH("11025002",F76)),H76&lt;0),"OUT","IN"))</f>
        <v/>
      </c>
      <c r="K76" s="11" t="inlineStr"/>
    </row>
    <row r="77">
      <c r="A77" s="13">
        <f>IF(GL_RAW!A77="","",ROW()-1)</f>
        <v/>
      </c>
      <c r="B77" s="10">
        <f>IF(GL_RAW!A77="","",IF(ISNUMBER(GL_RAW!A77),GL_RAW!A77,DATEVALUE(TEXT(GL_RAW!A77,"YYYY-MM-DD"))))</f>
        <v/>
      </c>
      <c r="C77" s="11">
        <f>IF(GL_RAW!A77="","",TRIM(GL_RAW!B77))</f>
        <v/>
      </c>
      <c r="D77" s="11">
        <f>IF(GL_RAW!A77="","",TRIM(GL_RAW!C77))</f>
        <v/>
      </c>
      <c r="E77" s="11">
        <f>IF(GL_RAW!A77="","",TRIM(GL_RAW!D77))</f>
        <v/>
      </c>
      <c r="F77" s="11">
        <f>IF(GL_RAW!A77="","",TRIM(GL_RAW!F77))</f>
        <v/>
      </c>
      <c r="G77" s="11">
        <f>IF(GL_RAW!A77="","",TRIM(GL_RAW!G77))</f>
        <v/>
      </c>
      <c r="H77" s="12">
        <f>IF(GL_RAW!A77="","",IFERROR(GL_RAW!E77,0))</f>
        <v/>
      </c>
      <c r="I77" s="12">
        <f>IF(GL_RAW!A77="","",ABS(H77))</f>
        <v/>
      </c>
      <c r="J77" s="11">
        <f>IF(GL_RAW!A77="","",IF(OR(ISNUMBER(SEARCH("Out",F77)),ISNUMBER(SEARCH("11025002",F77)),H77&lt;0),"OUT","IN"))</f>
        <v/>
      </c>
      <c r="K77" s="11" t="inlineStr"/>
    </row>
    <row r="78">
      <c r="A78" s="13">
        <f>IF(GL_RAW!A78="","",ROW()-1)</f>
        <v/>
      </c>
      <c r="B78" s="10">
        <f>IF(GL_RAW!A78="","",IF(ISNUMBER(GL_RAW!A78),GL_RAW!A78,DATEVALUE(TEXT(GL_RAW!A78,"YYYY-MM-DD"))))</f>
        <v/>
      </c>
      <c r="C78" s="11">
        <f>IF(GL_RAW!A78="","",TRIM(GL_RAW!B78))</f>
        <v/>
      </c>
      <c r="D78" s="11">
        <f>IF(GL_RAW!A78="","",TRIM(GL_RAW!C78))</f>
        <v/>
      </c>
      <c r="E78" s="11">
        <f>IF(GL_RAW!A78="","",TRIM(GL_RAW!D78))</f>
        <v/>
      </c>
      <c r="F78" s="11">
        <f>IF(GL_RAW!A78="","",TRIM(GL_RAW!F78))</f>
        <v/>
      </c>
      <c r="G78" s="11">
        <f>IF(GL_RAW!A78="","",TRIM(GL_RAW!G78))</f>
        <v/>
      </c>
      <c r="H78" s="12">
        <f>IF(GL_RAW!A78="","",IFERROR(GL_RAW!E78,0))</f>
        <v/>
      </c>
      <c r="I78" s="12">
        <f>IF(GL_RAW!A78="","",ABS(H78))</f>
        <v/>
      </c>
      <c r="J78" s="11">
        <f>IF(GL_RAW!A78="","",IF(OR(ISNUMBER(SEARCH("Out",F78)),ISNUMBER(SEARCH("11025002",F78)),H78&lt;0),"OUT","IN"))</f>
        <v/>
      </c>
      <c r="K78" s="11" t="inlineStr"/>
    </row>
    <row r="79">
      <c r="A79" s="13">
        <f>IF(GL_RAW!A79="","",ROW()-1)</f>
        <v/>
      </c>
      <c r="B79" s="10">
        <f>IF(GL_RAW!A79="","",IF(ISNUMBER(GL_RAW!A79),GL_RAW!A79,DATEVALUE(TEXT(GL_RAW!A79,"YYYY-MM-DD"))))</f>
        <v/>
      </c>
      <c r="C79" s="11">
        <f>IF(GL_RAW!A79="","",TRIM(GL_RAW!B79))</f>
        <v/>
      </c>
      <c r="D79" s="11">
        <f>IF(GL_RAW!A79="","",TRIM(GL_RAW!C79))</f>
        <v/>
      </c>
      <c r="E79" s="11">
        <f>IF(GL_RAW!A79="","",TRIM(GL_RAW!D79))</f>
        <v/>
      </c>
      <c r="F79" s="11">
        <f>IF(GL_RAW!A79="","",TRIM(GL_RAW!F79))</f>
        <v/>
      </c>
      <c r="G79" s="11">
        <f>IF(GL_RAW!A79="","",TRIM(GL_RAW!G79))</f>
        <v/>
      </c>
      <c r="H79" s="12">
        <f>IF(GL_RAW!A79="","",IFERROR(GL_RAW!E79,0))</f>
        <v/>
      </c>
      <c r="I79" s="12">
        <f>IF(GL_RAW!A79="","",ABS(H79))</f>
        <v/>
      </c>
      <c r="J79" s="11">
        <f>IF(GL_RAW!A79="","",IF(OR(ISNUMBER(SEARCH("Out",F79)),ISNUMBER(SEARCH("11025002",F79)),H79&lt;0),"OUT","IN"))</f>
        <v/>
      </c>
      <c r="K79" s="11" t="inlineStr"/>
    </row>
    <row r="80">
      <c r="A80" s="13">
        <f>IF(GL_RAW!A80="","",ROW()-1)</f>
        <v/>
      </c>
      <c r="B80" s="10">
        <f>IF(GL_RAW!A80="","",IF(ISNUMBER(GL_RAW!A80),GL_RAW!A80,DATEVALUE(TEXT(GL_RAW!A80,"YYYY-MM-DD"))))</f>
        <v/>
      </c>
      <c r="C80" s="11">
        <f>IF(GL_RAW!A80="","",TRIM(GL_RAW!B80))</f>
        <v/>
      </c>
      <c r="D80" s="11">
        <f>IF(GL_RAW!A80="","",TRIM(GL_RAW!C80))</f>
        <v/>
      </c>
      <c r="E80" s="11">
        <f>IF(GL_RAW!A80="","",TRIM(GL_RAW!D80))</f>
        <v/>
      </c>
      <c r="F80" s="11">
        <f>IF(GL_RAW!A80="","",TRIM(GL_RAW!F80))</f>
        <v/>
      </c>
      <c r="G80" s="11">
        <f>IF(GL_RAW!A80="","",TRIM(GL_RAW!G80))</f>
        <v/>
      </c>
      <c r="H80" s="12">
        <f>IF(GL_RAW!A80="","",IFERROR(GL_RAW!E80,0))</f>
        <v/>
      </c>
      <c r="I80" s="12">
        <f>IF(GL_RAW!A80="","",ABS(H80))</f>
        <v/>
      </c>
      <c r="J80" s="11">
        <f>IF(GL_RAW!A80="","",IF(OR(ISNUMBER(SEARCH("Out",F80)),ISNUMBER(SEARCH("11025002",F80)),H80&lt;0),"OUT","IN"))</f>
        <v/>
      </c>
      <c r="K80" s="11" t="inlineStr"/>
    </row>
    <row r="81">
      <c r="A81" s="13">
        <f>IF(GL_RAW!A81="","",ROW()-1)</f>
        <v/>
      </c>
      <c r="B81" s="10">
        <f>IF(GL_RAW!A81="","",IF(ISNUMBER(GL_RAW!A81),GL_RAW!A81,DATEVALUE(TEXT(GL_RAW!A81,"YYYY-MM-DD"))))</f>
        <v/>
      </c>
      <c r="C81" s="11">
        <f>IF(GL_RAW!A81="","",TRIM(GL_RAW!B81))</f>
        <v/>
      </c>
      <c r="D81" s="11">
        <f>IF(GL_RAW!A81="","",TRIM(GL_RAW!C81))</f>
        <v/>
      </c>
      <c r="E81" s="11">
        <f>IF(GL_RAW!A81="","",TRIM(GL_RAW!D81))</f>
        <v/>
      </c>
      <c r="F81" s="11">
        <f>IF(GL_RAW!A81="","",TRIM(GL_RAW!F81))</f>
        <v/>
      </c>
      <c r="G81" s="11">
        <f>IF(GL_RAW!A81="","",TRIM(GL_RAW!G81))</f>
        <v/>
      </c>
      <c r="H81" s="12">
        <f>IF(GL_RAW!A81="","",IFERROR(GL_RAW!E81,0))</f>
        <v/>
      </c>
      <c r="I81" s="12">
        <f>IF(GL_RAW!A81="","",ABS(H81))</f>
        <v/>
      </c>
      <c r="J81" s="11">
        <f>IF(GL_RAW!A81="","",IF(OR(ISNUMBER(SEARCH("Out",F81)),ISNUMBER(SEARCH("11025002",F81)),H81&lt;0),"OUT","IN"))</f>
        <v/>
      </c>
      <c r="K81" s="11" t="inlineStr"/>
    </row>
    <row r="82">
      <c r="A82" s="13">
        <f>IF(GL_RAW!A82="","",ROW()-1)</f>
        <v/>
      </c>
      <c r="B82" s="10">
        <f>IF(GL_RAW!A82="","",IF(ISNUMBER(GL_RAW!A82),GL_RAW!A82,DATEVALUE(TEXT(GL_RAW!A82,"YYYY-MM-DD"))))</f>
        <v/>
      </c>
      <c r="C82" s="11">
        <f>IF(GL_RAW!A82="","",TRIM(GL_RAW!B82))</f>
        <v/>
      </c>
      <c r="D82" s="11">
        <f>IF(GL_RAW!A82="","",TRIM(GL_RAW!C82))</f>
        <v/>
      </c>
      <c r="E82" s="11">
        <f>IF(GL_RAW!A82="","",TRIM(GL_RAW!D82))</f>
        <v/>
      </c>
      <c r="F82" s="11">
        <f>IF(GL_RAW!A82="","",TRIM(GL_RAW!F82))</f>
        <v/>
      </c>
      <c r="G82" s="11">
        <f>IF(GL_RAW!A82="","",TRIM(GL_RAW!G82))</f>
        <v/>
      </c>
      <c r="H82" s="12">
        <f>IF(GL_RAW!A82="","",IFERROR(GL_RAW!E82,0))</f>
        <v/>
      </c>
      <c r="I82" s="12">
        <f>IF(GL_RAW!A82="","",ABS(H82))</f>
        <v/>
      </c>
      <c r="J82" s="11">
        <f>IF(GL_RAW!A82="","",IF(OR(ISNUMBER(SEARCH("Out",F82)),ISNUMBER(SEARCH("11025002",F82)),H82&lt;0),"OUT","IN"))</f>
        <v/>
      </c>
      <c r="K82" s="11" t="inlineStr"/>
    </row>
    <row r="83">
      <c r="A83" s="13">
        <f>IF(GL_RAW!A83="","",ROW()-1)</f>
        <v/>
      </c>
      <c r="B83" s="10">
        <f>IF(GL_RAW!A83="","",IF(ISNUMBER(GL_RAW!A83),GL_RAW!A83,DATEVALUE(TEXT(GL_RAW!A83,"YYYY-MM-DD"))))</f>
        <v/>
      </c>
      <c r="C83" s="11">
        <f>IF(GL_RAW!A83="","",TRIM(GL_RAW!B83))</f>
        <v/>
      </c>
      <c r="D83" s="11">
        <f>IF(GL_RAW!A83="","",TRIM(GL_RAW!C83))</f>
        <v/>
      </c>
      <c r="E83" s="11">
        <f>IF(GL_RAW!A83="","",TRIM(GL_RAW!D83))</f>
        <v/>
      </c>
      <c r="F83" s="11">
        <f>IF(GL_RAW!A83="","",TRIM(GL_RAW!F83))</f>
        <v/>
      </c>
      <c r="G83" s="11">
        <f>IF(GL_RAW!A83="","",TRIM(GL_RAW!G83))</f>
        <v/>
      </c>
      <c r="H83" s="12">
        <f>IF(GL_RAW!A83="","",IFERROR(GL_RAW!E83,0))</f>
        <v/>
      </c>
      <c r="I83" s="12">
        <f>IF(GL_RAW!A83="","",ABS(H83))</f>
        <v/>
      </c>
      <c r="J83" s="11">
        <f>IF(GL_RAW!A83="","",IF(OR(ISNUMBER(SEARCH("Out",F83)),ISNUMBER(SEARCH("11025002",F83)),H83&lt;0),"OUT","IN"))</f>
        <v/>
      </c>
      <c r="K83" s="11" t="inlineStr"/>
    </row>
    <row r="84">
      <c r="A84" s="13">
        <f>IF(GL_RAW!A84="","",ROW()-1)</f>
        <v/>
      </c>
      <c r="B84" s="10">
        <f>IF(GL_RAW!A84="","",IF(ISNUMBER(GL_RAW!A84),GL_RAW!A84,DATEVALUE(TEXT(GL_RAW!A84,"YYYY-MM-DD"))))</f>
        <v/>
      </c>
      <c r="C84" s="11">
        <f>IF(GL_RAW!A84="","",TRIM(GL_RAW!B84))</f>
        <v/>
      </c>
      <c r="D84" s="11">
        <f>IF(GL_RAW!A84="","",TRIM(GL_RAW!C84))</f>
        <v/>
      </c>
      <c r="E84" s="11">
        <f>IF(GL_RAW!A84="","",TRIM(GL_RAW!D84))</f>
        <v/>
      </c>
      <c r="F84" s="11">
        <f>IF(GL_RAW!A84="","",TRIM(GL_RAW!F84))</f>
        <v/>
      </c>
      <c r="G84" s="11">
        <f>IF(GL_RAW!A84="","",TRIM(GL_RAW!G84))</f>
        <v/>
      </c>
      <c r="H84" s="12">
        <f>IF(GL_RAW!A84="","",IFERROR(GL_RAW!E84,0))</f>
        <v/>
      </c>
      <c r="I84" s="12">
        <f>IF(GL_RAW!A84="","",ABS(H84))</f>
        <v/>
      </c>
      <c r="J84" s="11">
        <f>IF(GL_RAW!A84="","",IF(OR(ISNUMBER(SEARCH("Out",F84)),ISNUMBER(SEARCH("11025002",F84)),H84&lt;0),"OUT","IN"))</f>
        <v/>
      </c>
      <c r="K84" s="11" t="inlineStr"/>
    </row>
    <row r="85">
      <c r="A85" s="13">
        <f>IF(GL_RAW!A85="","",ROW()-1)</f>
        <v/>
      </c>
      <c r="B85" s="10">
        <f>IF(GL_RAW!A85="","",IF(ISNUMBER(GL_RAW!A85),GL_RAW!A85,DATEVALUE(TEXT(GL_RAW!A85,"YYYY-MM-DD"))))</f>
        <v/>
      </c>
      <c r="C85" s="11">
        <f>IF(GL_RAW!A85="","",TRIM(GL_RAW!B85))</f>
        <v/>
      </c>
      <c r="D85" s="11">
        <f>IF(GL_RAW!A85="","",TRIM(GL_RAW!C85))</f>
        <v/>
      </c>
      <c r="E85" s="11">
        <f>IF(GL_RAW!A85="","",TRIM(GL_RAW!D85))</f>
        <v/>
      </c>
      <c r="F85" s="11">
        <f>IF(GL_RAW!A85="","",TRIM(GL_RAW!F85))</f>
        <v/>
      </c>
      <c r="G85" s="11">
        <f>IF(GL_RAW!A85="","",TRIM(GL_RAW!G85))</f>
        <v/>
      </c>
      <c r="H85" s="12">
        <f>IF(GL_RAW!A85="","",IFERROR(GL_RAW!E85,0))</f>
        <v/>
      </c>
      <c r="I85" s="12">
        <f>IF(GL_RAW!A85="","",ABS(H85))</f>
        <v/>
      </c>
      <c r="J85" s="11">
        <f>IF(GL_RAW!A85="","",IF(OR(ISNUMBER(SEARCH("Out",F85)),ISNUMBER(SEARCH("11025002",F85)),H85&lt;0),"OUT","IN"))</f>
        <v/>
      </c>
      <c r="K85" s="11" t="inlineStr"/>
    </row>
    <row r="86">
      <c r="A86" s="13">
        <f>IF(GL_RAW!A86="","",ROW()-1)</f>
        <v/>
      </c>
      <c r="B86" s="10">
        <f>IF(GL_RAW!A86="","",IF(ISNUMBER(GL_RAW!A86),GL_RAW!A86,DATEVALUE(TEXT(GL_RAW!A86,"YYYY-MM-DD"))))</f>
        <v/>
      </c>
      <c r="C86" s="11">
        <f>IF(GL_RAW!A86="","",TRIM(GL_RAW!B86))</f>
        <v/>
      </c>
      <c r="D86" s="11">
        <f>IF(GL_RAW!A86="","",TRIM(GL_RAW!C86))</f>
        <v/>
      </c>
      <c r="E86" s="11">
        <f>IF(GL_RAW!A86="","",TRIM(GL_RAW!D86))</f>
        <v/>
      </c>
      <c r="F86" s="11">
        <f>IF(GL_RAW!A86="","",TRIM(GL_RAW!F86))</f>
        <v/>
      </c>
      <c r="G86" s="11">
        <f>IF(GL_RAW!A86="","",TRIM(GL_RAW!G86))</f>
        <v/>
      </c>
      <c r="H86" s="12">
        <f>IF(GL_RAW!A86="","",IFERROR(GL_RAW!E86,0))</f>
        <v/>
      </c>
      <c r="I86" s="12">
        <f>IF(GL_RAW!A86="","",ABS(H86))</f>
        <v/>
      </c>
      <c r="J86" s="11">
        <f>IF(GL_RAW!A86="","",IF(OR(ISNUMBER(SEARCH("Out",F86)),ISNUMBER(SEARCH("11025002",F86)),H86&lt;0),"OUT","IN"))</f>
        <v/>
      </c>
      <c r="K86" s="11" t="inlineStr"/>
    </row>
    <row r="87">
      <c r="A87" s="13">
        <f>IF(GL_RAW!A87="","",ROW()-1)</f>
        <v/>
      </c>
      <c r="B87" s="10">
        <f>IF(GL_RAW!A87="","",IF(ISNUMBER(GL_RAW!A87),GL_RAW!A87,DATEVALUE(TEXT(GL_RAW!A87,"YYYY-MM-DD"))))</f>
        <v/>
      </c>
      <c r="C87" s="11">
        <f>IF(GL_RAW!A87="","",TRIM(GL_RAW!B87))</f>
        <v/>
      </c>
      <c r="D87" s="11">
        <f>IF(GL_RAW!A87="","",TRIM(GL_RAW!C87))</f>
        <v/>
      </c>
      <c r="E87" s="11">
        <f>IF(GL_RAW!A87="","",TRIM(GL_RAW!D87))</f>
        <v/>
      </c>
      <c r="F87" s="11">
        <f>IF(GL_RAW!A87="","",TRIM(GL_RAW!F87))</f>
        <v/>
      </c>
      <c r="G87" s="11">
        <f>IF(GL_RAW!A87="","",TRIM(GL_RAW!G87))</f>
        <v/>
      </c>
      <c r="H87" s="12">
        <f>IF(GL_RAW!A87="","",IFERROR(GL_RAW!E87,0))</f>
        <v/>
      </c>
      <c r="I87" s="12">
        <f>IF(GL_RAW!A87="","",ABS(H87))</f>
        <v/>
      </c>
      <c r="J87" s="11">
        <f>IF(GL_RAW!A87="","",IF(OR(ISNUMBER(SEARCH("Out",F87)),ISNUMBER(SEARCH("11025002",F87)),H87&lt;0),"OUT","IN"))</f>
        <v/>
      </c>
      <c r="K87" s="11" t="inlineStr"/>
    </row>
    <row r="88">
      <c r="A88" s="13">
        <f>IF(GL_RAW!A88="","",ROW()-1)</f>
        <v/>
      </c>
      <c r="B88" s="10">
        <f>IF(GL_RAW!A88="","",IF(ISNUMBER(GL_RAW!A88),GL_RAW!A88,DATEVALUE(TEXT(GL_RAW!A88,"YYYY-MM-DD"))))</f>
        <v/>
      </c>
      <c r="C88" s="11">
        <f>IF(GL_RAW!A88="","",TRIM(GL_RAW!B88))</f>
        <v/>
      </c>
      <c r="D88" s="11">
        <f>IF(GL_RAW!A88="","",TRIM(GL_RAW!C88))</f>
        <v/>
      </c>
      <c r="E88" s="11">
        <f>IF(GL_RAW!A88="","",TRIM(GL_RAW!D88))</f>
        <v/>
      </c>
      <c r="F88" s="11">
        <f>IF(GL_RAW!A88="","",TRIM(GL_RAW!F88))</f>
        <v/>
      </c>
      <c r="G88" s="11">
        <f>IF(GL_RAW!A88="","",TRIM(GL_RAW!G88))</f>
        <v/>
      </c>
      <c r="H88" s="12">
        <f>IF(GL_RAW!A88="","",IFERROR(GL_RAW!E88,0))</f>
        <v/>
      </c>
      <c r="I88" s="12">
        <f>IF(GL_RAW!A88="","",ABS(H88))</f>
        <v/>
      </c>
      <c r="J88" s="11">
        <f>IF(GL_RAW!A88="","",IF(OR(ISNUMBER(SEARCH("Out",F88)),ISNUMBER(SEARCH("11025002",F88)),H88&lt;0),"OUT","IN"))</f>
        <v/>
      </c>
      <c r="K88" s="11" t="inlineStr"/>
    </row>
    <row r="89">
      <c r="A89" s="13">
        <f>IF(GL_RAW!A89="","",ROW()-1)</f>
        <v/>
      </c>
      <c r="B89" s="10">
        <f>IF(GL_RAW!A89="","",IF(ISNUMBER(GL_RAW!A89),GL_RAW!A89,DATEVALUE(TEXT(GL_RAW!A89,"YYYY-MM-DD"))))</f>
        <v/>
      </c>
      <c r="C89" s="11">
        <f>IF(GL_RAW!A89="","",TRIM(GL_RAW!B89))</f>
        <v/>
      </c>
      <c r="D89" s="11">
        <f>IF(GL_RAW!A89="","",TRIM(GL_RAW!C89))</f>
        <v/>
      </c>
      <c r="E89" s="11">
        <f>IF(GL_RAW!A89="","",TRIM(GL_RAW!D89))</f>
        <v/>
      </c>
      <c r="F89" s="11">
        <f>IF(GL_RAW!A89="","",TRIM(GL_RAW!F89))</f>
        <v/>
      </c>
      <c r="G89" s="11">
        <f>IF(GL_RAW!A89="","",TRIM(GL_RAW!G89))</f>
        <v/>
      </c>
      <c r="H89" s="12">
        <f>IF(GL_RAW!A89="","",IFERROR(GL_RAW!E89,0))</f>
        <v/>
      </c>
      <c r="I89" s="12">
        <f>IF(GL_RAW!A89="","",ABS(H89))</f>
        <v/>
      </c>
      <c r="J89" s="11">
        <f>IF(GL_RAW!A89="","",IF(OR(ISNUMBER(SEARCH("Out",F89)),ISNUMBER(SEARCH("11025002",F89)),H89&lt;0),"OUT","IN"))</f>
        <v/>
      </c>
      <c r="K89" s="11" t="inlineStr"/>
    </row>
    <row r="90">
      <c r="A90" s="13">
        <f>IF(GL_RAW!A90="","",ROW()-1)</f>
        <v/>
      </c>
      <c r="B90" s="10">
        <f>IF(GL_RAW!A90="","",IF(ISNUMBER(GL_RAW!A90),GL_RAW!A90,DATEVALUE(TEXT(GL_RAW!A90,"YYYY-MM-DD"))))</f>
        <v/>
      </c>
      <c r="C90" s="11">
        <f>IF(GL_RAW!A90="","",TRIM(GL_RAW!B90))</f>
        <v/>
      </c>
      <c r="D90" s="11">
        <f>IF(GL_RAW!A90="","",TRIM(GL_RAW!C90))</f>
        <v/>
      </c>
      <c r="E90" s="11">
        <f>IF(GL_RAW!A90="","",TRIM(GL_RAW!D90))</f>
        <v/>
      </c>
      <c r="F90" s="11">
        <f>IF(GL_RAW!A90="","",TRIM(GL_RAW!F90))</f>
        <v/>
      </c>
      <c r="G90" s="11">
        <f>IF(GL_RAW!A90="","",TRIM(GL_RAW!G90))</f>
        <v/>
      </c>
      <c r="H90" s="12">
        <f>IF(GL_RAW!A90="","",IFERROR(GL_RAW!E90,0))</f>
        <v/>
      </c>
      <c r="I90" s="12">
        <f>IF(GL_RAW!A90="","",ABS(H90))</f>
        <v/>
      </c>
      <c r="J90" s="11">
        <f>IF(GL_RAW!A90="","",IF(OR(ISNUMBER(SEARCH("Out",F90)),ISNUMBER(SEARCH("11025002",F90)),H90&lt;0),"OUT","IN"))</f>
        <v/>
      </c>
      <c r="K90" s="11" t="inlineStr"/>
    </row>
    <row r="91">
      <c r="A91" s="13">
        <f>IF(GL_RAW!A91="","",ROW()-1)</f>
        <v/>
      </c>
      <c r="B91" s="10">
        <f>IF(GL_RAW!A91="","",IF(ISNUMBER(GL_RAW!A91),GL_RAW!A91,DATEVALUE(TEXT(GL_RAW!A91,"YYYY-MM-DD"))))</f>
        <v/>
      </c>
      <c r="C91" s="11">
        <f>IF(GL_RAW!A91="","",TRIM(GL_RAW!B91))</f>
        <v/>
      </c>
      <c r="D91" s="11">
        <f>IF(GL_RAW!A91="","",TRIM(GL_RAW!C91))</f>
        <v/>
      </c>
      <c r="E91" s="11">
        <f>IF(GL_RAW!A91="","",TRIM(GL_RAW!D91))</f>
        <v/>
      </c>
      <c r="F91" s="11">
        <f>IF(GL_RAW!A91="","",TRIM(GL_RAW!F91))</f>
        <v/>
      </c>
      <c r="G91" s="11">
        <f>IF(GL_RAW!A91="","",TRIM(GL_RAW!G91))</f>
        <v/>
      </c>
      <c r="H91" s="12">
        <f>IF(GL_RAW!A91="","",IFERROR(GL_RAW!E91,0))</f>
        <v/>
      </c>
      <c r="I91" s="12">
        <f>IF(GL_RAW!A91="","",ABS(H91))</f>
        <v/>
      </c>
      <c r="J91" s="11">
        <f>IF(GL_RAW!A91="","",IF(OR(ISNUMBER(SEARCH("Out",F91)),ISNUMBER(SEARCH("11025002",F91)),H91&lt;0),"OUT","IN"))</f>
        <v/>
      </c>
      <c r="K91" s="11" t="inlineStr"/>
    </row>
    <row r="92">
      <c r="A92" s="13">
        <f>IF(GL_RAW!A92="","",ROW()-1)</f>
        <v/>
      </c>
      <c r="B92" s="10">
        <f>IF(GL_RAW!A92="","",IF(ISNUMBER(GL_RAW!A92),GL_RAW!A92,DATEVALUE(TEXT(GL_RAW!A92,"YYYY-MM-DD"))))</f>
        <v/>
      </c>
      <c r="C92" s="11">
        <f>IF(GL_RAW!A92="","",TRIM(GL_RAW!B92))</f>
        <v/>
      </c>
      <c r="D92" s="11">
        <f>IF(GL_RAW!A92="","",TRIM(GL_RAW!C92))</f>
        <v/>
      </c>
      <c r="E92" s="11">
        <f>IF(GL_RAW!A92="","",TRIM(GL_RAW!D92))</f>
        <v/>
      </c>
      <c r="F92" s="11">
        <f>IF(GL_RAW!A92="","",TRIM(GL_RAW!F92))</f>
        <v/>
      </c>
      <c r="G92" s="11">
        <f>IF(GL_RAW!A92="","",TRIM(GL_RAW!G92))</f>
        <v/>
      </c>
      <c r="H92" s="12">
        <f>IF(GL_RAW!A92="","",IFERROR(GL_RAW!E92,0))</f>
        <v/>
      </c>
      <c r="I92" s="12">
        <f>IF(GL_RAW!A92="","",ABS(H92))</f>
        <v/>
      </c>
      <c r="J92" s="11">
        <f>IF(GL_RAW!A92="","",IF(OR(ISNUMBER(SEARCH("Out",F92)),ISNUMBER(SEARCH("11025002",F92)),H92&lt;0),"OUT","IN"))</f>
        <v/>
      </c>
      <c r="K92" s="11" t="inlineStr"/>
    </row>
    <row r="93">
      <c r="A93" s="13">
        <f>IF(GL_RAW!A93="","",ROW()-1)</f>
        <v/>
      </c>
      <c r="B93" s="10">
        <f>IF(GL_RAW!A93="","",IF(ISNUMBER(GL_RAW!A93),GL_RAW!A93,DATEVALUE(TEXT(GL_RAW!A93,"YYYY-MM-DD"))))</f>
        <v/>
      </c>
      <c r="C93" s="11">
        <f>IF(GL_RAW!A93="","",TRIM(GL_RAW!B93))</f>
        <v/>
      </c>
      <c r="D93" s="11">
        <f>IF(GL_RAW!A93="","",TRIM(GL_RAW!C93))</f>
        <v/>
      </c>
      <c r="E93" s="11">
        <f>IF(GL_RAW!A93="","",TRIM(GL_RAW!D93))</f>
        <v/>
      </c>
      <c r="F93" s="11">
        <f>IF(GL_RAW!A93="","",TRIM(GL_RAW!F93))</f>
        <v/>
      </c>
      <c r="G93" s="11">
        <f>IF(GL_RAW!A93="","",TRIM(GL_RAW!G93))</f>
        <v/>
      </c>
      <c r="H93" s="12">
        <f>IF(GL_RAW!A93="","",IFERROR(GL_RAW!E93,0))</f>
        <v/>
      </c>
      <c r="I93" s="12">
        <f>IF(GL_RAW!A93="","",ABS(H93))</f>
        <v/>
      </c>
      <c r="J93" s="11">
        <f>IF(GL_RAW!A93="","",IF(OR(ISNUMBER(SEARCH("Out",F93)),ISNUMBER(SEARCH("11025002",F93)),H93&lt;0),"OUT","IN"))</f>
        <v/>
      </c>
      <c r="K93" s="11" t="inlineStr"/>
    </row>
    <row r="94">
      <c r="A94" s="13">
        <f>IF(GL_RAW!A94="","",ROW()-1)</f>
        <v/>
      </c>
      <c r="B94" s="10">
        <f>IF(GL_RAW!A94="","",IF(ISNUMBER(GL_RAW!A94),GL_RAW!A94,DATEVALUE(TEXT(GL_RAW!A94,"YYYY-MM-DD"))))</f>
        <v/>
      </c>
      <c r="C94" s="11">
        <f>IF(GL_RAW!A94="","",TRIM(GL_RAW!B94))</f>
        <v/>
      </c>
      <c r="D94" s="11">
        <f>IF(GL_RAW!A94="","",TRIM(GL_RAW!C94))</f>
        <v/>
      </c>
      <c r="E94" s="11">
        <f>IF(GL_RAW!A94="","",TRIM(GL_RAW!D94))</f>
        <v/>
      </c>
      <c r="F94" s="11">
        <f>IF(GL_RAW!A94="","",TRIM(GL_RAW!F94))</f>
        <v/>
      </c>
      <c r="G94" s="11">
        <f>IF(GL_RAW!A94="","",TRIM(GL_RAW!G94))</f>
        <v/>
      </c>
      <c r="H94" s="12">
        <f>IF(GL_RAW!A94="","",IFERROR(GL_RAW!E94,0))</f>
        <v/>
      </c>
      <c r="I94" s="12">
        <f>IF(GL_RAW!A94="","",ABS(H94))</f>
        <v/>
      </c>
      <c r="J94" s="11">
        <f>IF(GL_RAW!A94="","",IF(OR(ISNUMBER(SEARCH("Out",F94)),ISNUMBER(SEARCH("11025002",F94)),H94&lt;0),"OUT","IN"))</f>
        <v/>
      </c>
      <c r="K94" s="11" t="inlineStr"/>
    </row>
    <row r="95">
      <c r="A95" s="13">
        <f>IF(GL_RAW!A95="","",ROW()-1)</f>
        <v/>
      </c>
      <c r="B95" s="10">
        <f>IF(GL_RAW!A95="","",IF(ISNUMBER(GL_RAW!A95),GL_RAW!A95,DATEVALUE(TEXT(GL_RAW!A95,"YYYY-MM-DD"))))</f>
        <v/>
      </c>
      <c r="C95" s="11">
        <f>IF(GL_RAW!A95="","",TRIM(GL_RAW!B95))</f>
        <v/>
      </c>
      <c r="D95" s="11">
        <f>IF(GL_RAW!A95="","",TRIM(GL_RAW!C95))</f>
        <v/>
      </c>
      <c r="E95" s="11">
        <f>IF(GL_RAW!A95="","",TRIM(GL_RAW!D95))</f>
        <v/>
      </c>
      <c r="F95" s="11">
        <f>IF(GL_RAW!A95="","",TRIM(GL_RAW!F95))</f>
        <v/>
      </c>
      <c r="G95" s="11">
        <f>IF(GL_RAW!A95="","",TRIM(GL_RAW!G95))</f>
        <v/>
      </c>
      <c r="H95" s="12">
        <f>IF(GL_RAW!A95="","",IFERROR(GL_RAW!E95,0))</f>
        <v/>
      </c>
      <c r="I95" s="12">
        <f>IF(GL_RAW!A95="","",ABS(H95))</f>
        <v/>
      </c>
      <c r="J95" s="11">
        <f>IF(GL_RAW!A95="","",IF(OR(ISNUMBER(SEARCH("Out",F95)),ISNUMBER(SEARCH("11025002",F95)),H95&lt;0),"OUT","IN"))</f>
        <v/>
      </c>
      <c r="K95" s="11" t="inlineStr"/>
    </row>
    <row r="96">
      <c r="A96" s="13">
        <f>IF(GL_RAW!A96="","",ROW()-1)</f>
        <v/>
      </c>
      <c r="B96" s="10">
        <f>IF(GL_RAW!A96="","",IF(ISNUMBER(GL_RAW!A96),GL_RAW!A96,DATEVALUE(TEXT(GL_RAW!A96,"YYYY-MM-DD"))))</f>
        <v/>
      </c>
      <c r="C96" s="11">
        <f>IF(GL_RAW!A96="","",TRIM(GL_RAW!B96))</f>
        <v/>
      </c>
      <c r="D96" s="11">
        <f>IF(GL_RAW!A96="","",TRIM(GL_RAW!C96))</f>
        <v/>
      </c>
      <c r="E96" s="11">
        <f>IF(GL_RAW!A96="","",TRIM(GL_RAW!D96))</f>
        <v/>
      </c>
      <c r="F96" s="11">
        <f>IF(GL_RAW!A96="","",TRIM(GL_RAW!F96))</f>
        <v/>
      </c>
      <c r="G96" s="11">
        <f>IF(GL_RAW!A96="","",TRIM(GL_RAW!G96))</f>
        <v/>
      </c>
      <c r="H96" s="12">
        <f>IF(GL_RAW!A96="","",IFERROR(GL_RAW!E96,0))</f>
        <v/>
      </c>
      <c r="I96" s="12">
        <f>IF(GL_RAW!A96="","",ABS(H96))</f>
        <v/>
      </c>
      <c r="J96" s="11">
        <f>IF(GL_RAW!A96="","",IF(OR(ISNUMBER(SEARCH("Out",F96)),ISNUMBER(SEARCH("11025002",F96)),H96&lt;0),"OUT","IN"))</f>
        <v/>
      </c>
      <c r="K96" s="11" t="inlineStr"/>
    </row>
    <row r="97">
      <c r="A97" s="13">
        <f>IF(GL_RAW!A97="","",ROW()-1)</f>
        <v/>
      </c>
      <c r="B97" s="10">
        <f>IF(GL_RAW!A97="","",IF(ISNUMBER(GL_RAW!A97),GL_RAW!A97,DATEVALUE(TEXT(GL_RAW!A97,"YYYY-MM-DD"))))</f>
        <v/>
      </c>
      <c r="C97" s="11">
        <f>IF(GL_RAW!A97="","",TRIM(GL_RAW!B97))</f>
        <v/>
      </c>
      <c r="D97" s="11">
        <f>IF(GL_RAW!A97="","",TRIM(GL_RAW!C97))</f>
        <v/>
      </c>
      <c r="E97" s="11">
        <f>IF(GL_RAW!A97="","",TRIM(GL_RAW!D97))</f>
        <v/>
      </c>
      <c r="F97" s="11">
        <f>IF(GL_RAW!A97="","",TRIM(GL_RAW!F97))</f>
        <v/>
      </c>
      <c r="G97" s="11">
        <f>IF(GL_RAW!A97="","",TRIM(GL_RAW!G97))</f>
        <v/>
      </c>
      <c r="H97" s="12">
        <f>IF(GL_RAW!A97="","",IFERROR(GL_RAW!E97,0))</f>
        <v/>
      </c>
      <c r="I97" s="12">
        <f>IF(GL_RAW!A97="","",ABS(H97))</f>
        <v/>
      </c>
      <c r="J97" s="11">
        <f>IF(GL_RAW!A97="","",IF(OR(ISNUMBER(SEARCH("Out",F97)),ISNUMBER(SEARCH("11025002",F97)),H97&lt;0),"OUT","IN"))</f>
        <v/>
      </c>
      <c r="K97" s="11" t="inlineStr"/>
    </row>
    <row r="98">
      <c r="A98" s="13">
        <f>IF(GL_RAW!A98="","",ROW()-1)</f>
        <v/>
      </c>
      <c r="B98" s="10">
        <f>IF(GL_RAW!A98="","",IF(ISNUMBER(GL_RAW!A98),GL_RAW!A98,DATEVALUE(TEXT(GL_RAW!A98,"YYYY-MM-DD"))))</f>
        <v/>
      </c>
      <c r="C98" s="11">
        <f>IF(GL_RAW!A98="","",TRIM(GL_RAW!B98))</f>
        <v/>
      </c>
      <c r="D98" s="11">
        <f>IF(GL_RAW!A98="","",TRIM(GL_RAW!C98))</f>
        <v/>
      </c>
      <c r="E98" s="11">
        <f>IF(GL_RAW!A98="","",TRIM(GL_RAW!D98))</f>
        <v/>
      </c>
      <c r="F98" s="11">
        <f>IF(GL_RAW!A98="","",TRIM(GL_RAW!F98))</f>
        <v/>
      </c>
      <c r="G98" s="11">
        <f>IF(GL_RAW!A98="","",TRIM(GL_RAW!G98))</f>
        <v/>
      </c>
      <c r="H98" s="12">
        <f>IF(GL_RAW!A98="","",IFERROR(GL_RAW!E98,0))</f>
        <v/>
      </c>
      <c r="I98" s="12">
        <f>IF(GL_RAW!A98="","",ABS(H98))</f>
        <v/>
      </c>
      <c r="J98" s="11">
        <f>IF(GL_RAW!A98="","",IF(OR(ISNUMBER(SEARCH("Out",F98)),ISNUMBER(SEARCH("11025002",F98)),H98&lt;0),"OUT","IN"))</f>
        <v/>
      </c>
      <c r="K98" s="11" t="inlineStr"/>
    </row>
    <row r="99">
      <c r="A99" s="13">
        <f>IF(GL_RAW!A99="","",ROW()-1)</f>
        <v/>
      </c>
      <c r="B99" s="10">
        <f>IF(GL_RAW!A99="","",IF(ISNUMBER(GL_RAW!A99),GL_RAW!A99,DATEVALUE(TEXT(GL_RAW!A99,"YYYY-MM-DD"))))</f>
        <v/>
      </c>
      <c r="C99" s="11">
        <f>IF(GL_RAW!A99="","",TRIM(GL_RAW!B99))</f>
        <v/>
      </c>
      <c r="D99" s="11">
        <f>IF(GL_RAW!A99="","",TRIM(GL_RAW!C99))</f>
        <v/>
      </c>
      <c r="E99" s="11">
        <f>IF(GL_RAW!A99="","",TRIM(GL_RAW!D99))</f>
        <v/>
      </c>
      <c r="F99" s="11">
        <f>IF(GL_RAW!A99="","",TRIM(GL_RAW!F99))</f>
        <v/>
      </c>
      <c r="G99" s="11">
        <f>IF(GL_RAW!A99="","",TRIM(GL_RAW!G99))</f>
        <v/>
      </c>
      <c r="H99" s="12">
        <f>IF(GL_RAW!A99="","",IFERROR(GL_RAW!E99,0))</f>
        <v/>
      </c>
      <c r="I99" s="12">
        <f>IF(GL_RAW!A99="","",ABS(H99))</f>
        <v/>
      </c>
      <c r="J99" s="11">
        <f>IF(GL_RAW!A99="","",IF(OR(ISNUMBER(SEARCH("Out",F99)),ISNUMBER(SEARCH("11025002",F99)),H99&lt;0),"OUT","IN"))</f>
        <v/>
      </c>
      <c r="K99" s="11" t="inlineStr"/>
    </row>
    <row r="100">
      <c r="A100" s="13">
        <f>IF(GL_RAW!A100="","",ROW()-1)</f>
        <v/>
      </c>
      <c r="B100" s="10">
        <f>IF(GL_RAW!A100="","",IF(ISNUMBER(GL_RAW!A100),GL_RAW!A100,DATEVALUE(TEXT(GL_RAW!A100,"YYYY-MM-DD"))))</f>
        <v/>
      </c>
      <c r="C100" s="11">
        <f>IF(GL_RAW!A100="","",TRIM(GL_RAW!B100))</f>
        <v/>
      </c>
      <c r="D100" s="11">
        <f>IF(GL_RAW!A100="","",TRIM(GL_RAW!C100))</f>
        <v/>
      </c>
      <c r="E100" s="11">
        <f>IF(GL_RAW!A100="","",TRIM(GL_RAW!D100))</f>
        <v/>
      </c>
      <c r="F100" s="11">
        <f>IF(GL_RAW!A100="","",TRIM(GL_RAW!F100))</f>
        <v/>
      </c>
      <c r="G100" s="11">
        <f>IF(GL_RAW!A100="","",TRIM(GL_RAW!G100))</f>
        <v/>
      </c>
      <c r="H100" s="12">
        <f>IF(GL_RAW!A100="","",IFERROR(GL_RAW!E100,0))</f>
        <v/>
      </c>
      <c r="I100" s="12">
        <f>IF(GL_RAW!A100="","",ABS(H100))</f>
        <v/>
      </c>
      <c r="J100" s="11">
        <f>IF(GL_RAW!A100="","",IF(OR(ISNUMBER(SEARCH("Out",F100)),ISNUMBER(SEARCH("11025002",F100)),H100&lt;0),"OUT","IN"))</f>
        <v/>
      </c>
      <c r="K100" s="11" t="inlineStr"/>
    </row>
    <row r="101">
      <c r="A101" s="13">
        <f>IF(GL_RAW!A101="","",ROW()-1)</f>
        <v/>
      </c>
      <c r="B101" s="10">
        <f>IF(GL_RAW!A101="","",IF(ISNUMBER(GL_RAW!A101),GL_RAW!A101,DATEVALUE(TEXT(GL_RAW!A101,"YYYY-MM-DD"))))</f>
        <v/>
      </c>
      <c r="C101" s="11">
        <f>IF(GL_RAW!A101="","",TRIM(GL_RAW!B101))</f>
        <v/>
      </c>
      <c r="D101" s="11">
        <f>IF(GL_RAW!A101="","",TRIM(GL_RAW!C101))</f>
        <v/>
      </c>
      <c r="E101" s="11">
        <f>IF(GL_RAW!A101="","",TRIM(GL_RAW!D101))</f>
        <v/>
      </c>
      <c r="F101" s="11">
        <f>IF(GL_RAW!A101="","",TRIM(GL_RAW!F101))</f>
        <v/>
      </c>
      <c r="G101" s="11">
        <f>IF(GL_RAW!A101="","",TRIM(GL_RAW!G101))</f>
        <v/>
      </c>
      <c r="H101" s="12">
        <f>IF(GL_RAW!A101="","",IFERROR(GL_RAW!E101,0))</f>
        <v/>
      </c>
      <c r="I101" s="12">
        <f>IF(GL_RAW!A101="","",ABS(H101))</f>
        <v/>
      </c>
      <c r="J101" s="11">
        <f>IF(GL_RAW!A101="","",IF(OR(ISNUMBER(SEARCH("Out",F101)),ISNUMBER(SEARCH("11025002",F101)),H101&lt;0),"OUT","IN"))</f>
        <v/>
      </c>
      <c r="K101" s="11" t="inlineStr"/>
    </row>
    <row r="102">
      <c r="A102" s="13">
        <f>IF(GL_RAW!A102="","",ROW()-1)</f>
        <v/>
      </c>
      <c r="B102" s="10">
        <f>IF(GL_RAW!A102="","",IF(ISNUMBER(GL_RAW!A102),GL_RAW!A102,DATEVALUE(TEXT(GL_RAW!A102,"YYYY-MM-DD"))))</f>
        <v/>
      </c>
      <c r="C102" s="11">
        <f>IF(GL_RAW!A102="","",TRIM(GL_RAW!B102))</f>
        <v/>
      </c>
      <c r="D102" s="11">
        <f>IF(GL_RAW!A102="","",TRIM(GL_RAW!C102))</f>
        <v/>
      </c>
      <c r="E102" s="11">
        <f>IF(GL_RAW!A102="","",TRIM(GL_RAW!D102))</f>
        <v/>
      </c>
      <c r="F102" s="11">
        <f>IF(GL_RAW!A102="","",TRIM(GL_RAW!F102))</f>
        <v/>
      </c>
      <c r="G102" s="11">
        <f>IF(GL_RAW!A102="","",TRIM(GL_RAW!G102))</f>
        <v/>
      </c>
      <c r="H102" s="12">
        <f>IF(GL_RAW!A102="","",IFERROR(GL_RAW!E102,0))</f>
        <v/>
      </c>
      <c r="I102" s="12">
        <f>IF(GL_RAW!A102="","",ABS(H102))</f>
        <v/>
      </c>
      <c r="J102" s="11">
        <f>IF(GL_RAW!A102="","",IF(OR(ISNUMBER(SEARCH("Out",F102)),ISNUMBER(SEARCH("11025002",F102)),H102&lt;0),"OUT","IN"))</f>
        <v/>
      </c>
      <c r="K102" s="11" t="inlineStr"/>
    </row>
    <row r="103">
      <c r="A103" s="13">
        <f>IF(GL_RAW!A103="","",ROW()-1)</f>
        <v/>
      </c>
      <c r="B103" s="10">
        <f>IF(GL_RAW!A103="","",IF(ISNUMBER(GL_RAW!A103),GL_RAW!A103,DATEVALUE(TEXT(GL_RAW!A103,"YYYY-MM-DD"))))</f>
        <v/>
      </c>
      <c r="C103" s="11">
        <f>IF(GL_RAW!A103="","",TRIM(GL_RAW!B103))</f>
        <v/>
      </c>
      <c r="D103" s="11">
        <f>IF(GL_RAW!A103="","",TRIM(GL_RAW!C103))</f>
        <v/>
      </c>
      <c r="E103" s="11">
        <f>IF(GL_RAW!A103="","",TRIM(GL_RAW!D103))</f>
        <v/>
      </c>
      <c r="F103" s="11">
        <f>IF(GL_RAW!A103="","",TRIM(GL_RAW!F103))</f>
        <v/>
      </c>
      <c r="G103" s="11">
        <f>IF(GL_RAW!A103="","",TRIM(GL_RAW!G103))</f>
        <v/>
      </c>
      <c r="H103" s="12">
        <f>IF(GL_RAW!A103="","",IFERROR(GL_RAW!E103,0))</f>
        <v/>
      </c>
      <c r="I103" s="12">
        <f>IF(GL_RAW!A103="","",ABS(H103))</f>
        <v/>
      </c>
      <c r="J103" s="11">
        <f>IF(GL_RAW!A103="","",IF(OR(ISNUMBER(SEARCH("Out",F103)),ISNUMBER(SEARCH("11025002",F103)),H103&lt;0),"OUT","IN"))</f>
        <v/>
      </c>
      <c r="K103" s="11" t="inlineStr"/>
    </row>
    <row r="104">
      <c r="A104" s="13">
        <f>IF(GL_RAW!A104="","",ROW()-1)</f>
        <v/>
      </c>
      <c r="B104" s="10">
        <f>IF(GL_RAW!A104="","",IF(ISNUMBER(GL_RAW!A104),GL_RAW!A104,DATEVALUE(TEXT(GL_RAW!A104,"YYYY-MM-DD"))))</f>
        <v/>
      </c>
      <c r="C104" s="11">
        <f>IF(GL_RAW!A104="","",TRIM(GL_RAW!B104))</f>
        <v/>
      </c>
      <c r="D104" s="11">
        <f>IF(GL_RAW!A104="","",TRIM(GL_RAW!C104))</f>
        <v/>
      </c>
      <c r="E104" s="11">
        <f>IF(GL_RAW!A104="","",TRIM(GL_RAW!D104))</f>
        <v/>
      </c>
      <c r="F104" s="11">
        <f>IF(GL_RAW!A104="","",TRIM(GL_RAW!F104))</f>
        <v/>
      </c>
      <c r="G104" s="11">
        <f>IF(GL_RAW!A104="","",TRIM(GL_RAW!G104))</f>
        <v/>
      </c>
      <c r="H104" s="12">
        <f>IF(GL_RAW!A104="","",IFERROR(GL_RAW!E104,0))</f>
        <v/>
      </c>
      <c r="I104" s="12">
        <f>IF(GL_RAW!A104="","",ABS(H104))</f>
        <v/>
      </c>
      <c r="J104" s="11">
        <f>IF(GL_RAW!A104="","",IF(OR(ISNUMBER(SEARCH("Out",F104)),ISNUMBER(SEARCH("11025002",F104)),H104&lt;0),"OUT","IN"))</f>
        <v/>
      </c>
      <c r="K104" s="11" t="inlineStr"/>
    </row>
    <row r="105">
      <c r="A105" s="13">
        <f>IF(GL_RAW!A105="","",ROW()-1)</f>
        <v/>
      </c>
      <c r="B105" s="10">
        <f>IF(GL_RAW!A105="","",IF(ISNUMBER(GL_RAW!A105),GL_RAW!A105,DATEVALUE(TEXT(GL_RAW!A105,"YYYY-MM-DD"))))</f>
        <v/>
      </c>
      <c r="C105" s="11">
        <f>IF(GL_RAW!A105="","",TRIM(GL_RAW!B105))</f>
        <v/>
      </c>
      <c r="D105" s="11">
        <f>IF(GL_RAW!A105="","",TRIM(GL_RAW!C105))</f>
        <v/>
      </c>
      <c r="E105" s="11">
        <f>IF(GL_RAW!A105="","",TRIM(GL_RAW!D105))</f>
        <v/>
      </c>
      <c r="F105" s="11">
        <f>IF(GL_RAW!A105="","",TRIM(GL_RAW!F105))</f>
        <v/>
      </c>
      <c r="G105" s="11">
        <f>IF(GL_RAW!A105="","",TRIM(GL_RAW!G105))</f>
        <v/>
      </c>
      <c r="H105" s="12">
        <f>IF(GL_RAW!A105="","",IFERROR(GL_RAW!E105,0))</f>
        <v/>
      </c>
      <c r="I105" s="12">
        <f>IF(GL_RAW!A105="","",ABS(H105))</f>
        <v/>
      </c>
      <c r="J105" s="11">
        <f>IF(GL_RAW!A105="","",IF(OR(ISNUMBER(SEARCH("Out",F105)),ISNUMBER(SEARCH("11025002",F105)),H105&lt;0),"OUT","IN"))</f>
        <v/>
      </c>
      <c r="K105" s="11" t="inlineStr"/>
    </row>
    <row r="106">
      <c r="A106" s="13">
        <f>IF(GL_RAW!A106="","",ROW()-1)</f>
        <v/>
      </c>
      <c r="B106" s="10">
        <f>IF(GL_RAW!A106="","",IF(ISNUMBER(GL_RAW!A106),GL_RAW!A106,DATEVALUE(TEXT(GL_RAW!A106,"YYYY-MM-DD"))))</f>
        <v/>
      </c>
      <c r="C106" s="11">
        <f>IF(GL_RAW!A106="","",TRIM(GL_RAW!B106))</f>
        <v/>
      </c>
      <c r="D106" s="11">
        <f>IF(GL_RAW!A106="","",TRIM(GL_RAW!C106))</f>
        <v/>
      </c>
      <c r="E106" s="11">
        <f>IF(GL_RAW!A106="","",TRIM(GL_RAW!D106))</f>
        <v/>
      </c>
      <c r="F106" s="11">
        <f>IF(GL_RAW!A106="","",TRIM(GL_RAW!F106))</f>
        <v/>
      </c>
      <c r="G106" s="11">
        <f>IF(GL_RAW!A106="","",TRIM(GL_RAW!G106))</f>
        <v/>
      </c>
      <c r="H106" s="12">
        <f>IF(GL_RAW!A106="","",IFERROR(GL_RAW!E106,0))</f>
        <v/>
      </c>
      <c r="I106" s="12">
        <f>IF(GL_RAW!A106="","",ABS(H106))</f>
        <v/>
      </c>
      <c r="J106" s="11">
        <f>IF(GL_RAW!A106="","",IF(OR(ISNUMBER(SEARCH("Out",F106)),ISNUMBER(SEARCH("11025002",F106)),H106&lt;0),"OUT","IN"))</f>
        <v/>
      </c>
      <c r="K106" s="11" t="inlineStr"/>
    </row>
    <row r="107">
      <c r="A107" s="13">
        <f>IF(GL_RAW!A107="","",ROW()-1)</f>
        <v/>
      </c>
      <c r="B107" s="10">
        <f>IF(GL_RAW!A107="","",IF(ISNUMBER(GL_RAW!A107),GL_RAW!A107,DATEVALUE(TEXT(GL_RAW!A107,"YYYY-MM-DD"))))</f>
        <v/>
      </c>
      <c r="C107" s="11">
        <f>IF(GL_RAW!A107="","",TRIM(GL_RAW!B107))</f>
        <v/>
      </c>
      <c r="D107" s="11">
        <f>IF(GL_RAW!A107="","",TRIM(GL_RAW!C107))</f>
        <v/>
      </c>
      <c r="E107" s="11">
        <f>IF(GL_RAW!A107="","",TRIM(GL_RAW!D107))</f>
        <v/>
      </c>
      <c r="F107" s="11">
        <f>IF(GL_RAW!A107="","",TRIM(GL_RAW!F107))</f>
        <v/>
      </c>
      <c r="G107" s="11">
        <f>IF(GL_RAW!A107="","",TRIM(GL_RAW!G107))</f>
        <v/>
      </c>
      <c r="H107" s="12">
        <f>IF(GL_RAW!A107="","",IFERROR(GL_RAW!E107,0))</f>
        <v/>
      </c>
      <c r="I107" s="12">
        <f>IF(GL_RAW!A107="","",ABS(H107))</f>
        <v/>
      </c>
      <c r="J107" s="11">
        <f>IF(GL_RAW!A107="","",IF(OR(ISNUMBER(SEARCH("Out",F107)),ISNUMBER(SEARCH("11025002",F107)),H107&lt;0),"OUT","IN"))</f>
        <v/>
      </c>
      <c r="K107" s="11" t="inlineStr"/>
    </row>
    <row r="108">
      <c r="A108" s="13">
        <f>IF(GL_RAW!A108="","",ROW()-1)</f>
        <v/>
      </c>
      <c r="B108" s="10">
        <f>IF(GL_RAW!A108="","",IF(ISNUMBER(GL_RAW!A108),GL_RAW!A108,DATEVALUE(TEXT(GL_RAW!A108,"YYYY-MM-DD"))))</f>
        <v/>
      </c>
      <c r="C108" s="11">
        <f>IF(GL_RAW!A108="","",TRIM(GL_RAW!B108))</f>
        <v/>
      </c>
      <c r="D108" s="11">
        <f>IF(GL_RAW!A108="","",TRIM(GL_RAW!C108))</f>
        <v/>
      </c>
      <c r="E108" s="11">
        <f>IF(GL_RAW!A108="","",TRIM(GL_RAW!D108))</f>
        <v/>
      </c>
      <c r="F108" s="11">
        <f>IF(GL_RAW!A108="","",TRIM(GL_RAW!F108))</f>
        <v/>
      </c>
      <c r="G108" s="11">
        <f>IF(GL_RAW!A108="","",TRIM(GL_RAW!G108))</f>
        <v/>
      </c>
      <c r="H108" s="12">
        <f>IF(GL_RAW!A108="","",IFERROR(GL_RAW!E108,0))</f>
        <v/>
      </c>
      <c r="I108" s="12">
        <f>IF(GL_RAW!A108="","",ABS(H108))</f>
        <v/>
      </c>
      <c r="J108" s="11">
        <f>IF(GL_RAW!A108="","",IF(OR(ISNUMBER(SEARCH("Out",F108)),ISNUMBER(SEARCH("11025002",F108)),H108&lt;0),"OUT","IN"))</f>
        <v/>
      </c>
      <c r="K108" s="11" t="inlineStr"/>
    </row>
    <row r="109">
      <c r="A109" s="13">
        <f>IF(GL_RAW!A109="","",ROW()-1)</f>
        <v/>
      </c>
      <c r="B109" s="10">
        <f>IF(GL_RAW!A109="","",IF(ISNUMBER(GL_RAW!A109),GL_RAW!A109,DATEVALUE(TEXT(GL_RAW!A109,"YYYY-MM-DD"))))</f>
        <v/>
      </c>
      <c r="C109" s="11">
        <f>IF(GL_RAW!A109="","",TRIM(GL_RAW!B109))</f>
        <v/>
      </c>
      <c r="D109" s="11">
        <f>IF(GL_RAW!A109="","",TRIM(GL_RAW!C109))</f>
        <v/>
      </c>
      <c r="E109" s="11">
        <f>IF(GL_RAW!A109="","",TRIM(GL_RAW!D109))</f>
        <v/>
      </c>
      <c r="F109" s="11">
        <f>IF(GL_RAW!A109="","",TRIM(GL_RAW!F109))</f>
        <v/>
      </c>
      <c r="G109" s="11">
        <f>IF(GL_RAW!A109="","",TRIM(GL_RAW!G109))</f>
        <v/>
      </c>
      <c r="H109" s="12">
        <f>IF(GL_RAW!A109="","",IFERROR(GL_RAW!E109,0))</f>
        <v/>
      </c>
      <c r="I109" s="12">
        <f>IF(GL_RAW!A109="","",ABS(H109))</f>
        <v/>
      </c>
      <c r="J109" s="11">
        <f>IF(GL_RAW!A109="","",IF(OR(ISNUMBER(SEARCH("Out",F109)),ISNUMBER(SEARCH("11025002",F109)),H109&lt;0),"OUT","IN"))</f>
        <v/>
      </c>
      <c r="K109" s="11" t="inlineStr"/>
    </row>
    <row r="110">
      <c r="A110" s="13">
        <f>IF(GL_RAW!A110="","",ROW()-1)</f>
        <v/>
      </c>
      <c r="B110" s="10">
        <f>IF(GL_RAW!A110="","",IF(ISNUMBER(GL_RAW!A110),GL_RAW!A110,DATEVALUE(TEXT(GL_RAW!A110,"YYYY-MM-DD"))))</f>
        <v/>
      </c>
      <c r="C110" s="11">
        <f>IF(GL_RAW!A110="","",TRIM(GL_RAW!B110))</f>
        <v/>
      </c>
      <c r="D110" s="11">
        <f>IF(GL_RAW!A110="","",TRIM(GL_RAW!C110))</f>
        <v/>
      </c>
      <c r="E110" s="11">
        <f>IF(GL_RAW!A110="","",TRIM(GL_RAW!D110))</f>
        <v/>
      </c>
      <c r="F110" s="11">
        <f>IF(GL_RAW!A110="","",TRIM(GL_RAW!F110))</f>
        <v/>
      </c>
      <c r="G110" s="11">
        <f>IF(GL_RAW!A110="","",TRIM(GL_RAW!G110))</f>
        <v/>
      </c>
      <c r="H110" s="12">
        <f>IF(GL_RAW!A110="","",IFERROR(GL_RAW!E110,0))</f>
        <v/>
      </c>
      <c r="I110" s="12">
        <f>IF(GL_RAW!A110="","",ABS(H110))</f>
        <v/>
      </c>
      <c r="J110" s="11">
        <f>IF(GL_RAW!A110="","",IF(OR(ISNUMBER(SEARCH("Out",F110)),ISNUMBER(SEARCH("11025002",F110)),H110&lt;0),"OUT","IN"))</f>
        <v/>
      </c>
      <c r="K110" s="11" t="inlineStr"/>
    </row>
    <row r="111">
      <c r="A111" s="13">
        <f>IF(GL_RAW!A111="","",ROW()-1)</f>
        <v/>
      </c>
      <c r="B111" s="10">
        <f>IF(GL_RAW!A111="","",IF(ISNUMBER(GL_RAW!A111),GL_RAW!A111,DATEVALUE(TEXT(GL_RAW!A111,"YYYY-MM-DD"))))</f>
        <v/>
      </c>
      <c r="C111" s="11">
        <f>IF(GL_RAW!A111="","",TRIM(GL_RAW!B111))</f>
        <v/>
      </c>
      <c r="D111" s="11">
        <f>IF(GL_RAW!A111="","",TRIM(GL_RAW!C111))</f>
        <v/>
      </c>
      <c r="E111" s="11">
        <f>IF(GL_RAW!A111="","",TRIM(GL_RAW!D111))</f>
        <v/>
      </c>
      <c r="F111" s="11">
        <f>IF(GL_RAW!A111="","",TRIM(GL_RAW!F111))</f>
        <v/>
      </c>
      <c r="G111" s="11">
        <f>IF(GL_RAW!A111="","",TRIM(GL_RAW!G111))</f>
        <v/>
      </c>
      <c r="H111" s="12">
        <f>IF(GL_RAW!A111="","",IFERROR(GL_RAW!E111,0))</f>
        <v/>
      </c>
      <c r="I111" s="12">
        <f>IF(GL_RAW!A111="","",ABS(H111))</f>
        <v/>
      </c>
      <c r="J111" s="11">
        <f>IF(GL_RAW!A111="","",IF(OR(ISNUMBER(SEARCH("Out",F111)),ISNUMBER(SEARCH("11025002",F111)),H111&lt;0),"OUT","IN"))</f>
        <v/>
      </c>
      <c r="K111" s="11" t="inlineStr"/>
    </row>
    <row r="112">
      <c r="A112" s="13">
        <f>IF(GL_RAW!A112="","",ROW()-1)</f>
        <v/>
      </c>
      <c r="B112" s="10">
        <f>IF(GL_RAW!A112="","",IF(ISNUMBER(GL_RAW!A112),GL_RAW!A112,DATEVALUE(TEXT(GL_RAW!A112,"YYYY-MM-DD"))))</f>
        <v/>
      </c>
      <c r="C112" s="11">
        <f>IF(GL_RAW!A112="","",TRIM(GL_RAW!B112))</f>
        <v/>
      </c>
      <c r="D112" s="11">
        <f>IF(GL_RAW!A112="","",TRIM(GL_RAW!C112))</f>
        <v/>
      </c>
      <c r="E112" s="11">
        <f>IF(GL_RAW!A112="","",TRIM(GL_RAW!D112))</f>
        <v/>
      </c>
      <c r="F112" s="11">
        <f>IF(GL_RAW!A112="","",TRIM(GL_RAW!F112))</f>
        <v/>
      </c>
      <c r="G112" s="11">
        <f>IF(GL_RAW!A112="","",TRIM(GL_RAW!G112))</f>
        <v/>
      </c>
      <c r="H112" s="12">
        <f>IF(GL_RAW!A112="","",IFERROR(GL_RAW!E112,0))</f>
        <v/>
      </c>
      <c r="I112" s="12">
        <f>IF(GL_RAW!A112="","",ABS(H112))</f>
        <v/>
      </c>
      <c r="J112" s="11">
        <f>IF(GL_RAW!A112="","",IF(OR(ISNUMBER(SEARCH("Out",F112)),ISNUMBER(SEARCH("11025002",F112)),H112&lt;0),"OUT","IN"))</f>
        <v/>
      </c>
      <c r="K112" s="11" t="inlineStr"/>
    </row>
    <row r="113">
      <c r="A113" s="13">
        <f>IF(GL_RAW!A113="","",ROW()-1)</f>
        <v/>
      </c>
      <c r="B113" s="10">
        <f>IF(GL_RAW!A113="","",IF(ISNUMBER(GL_RAW!A113),GL_RAW!A113,DATEVALUE(TEXT(GL_RAW!A113,"YYYY-MM-DD"))))</f>
        <v/>
      </c>
      <c r="C113" s="11">
        <f>IF(GL_RAW!A113="","",TRIM(GL_RAW!B113))</f>
        <v/>
      </c>
      <c r="D113" s="11">
        <f>IF(GL_RAW!A113="","",TRIM(GL_RAW!C113))</f>
        <v/>
      </c>
      <c r="E113" s="11">
        <f>IF(GL_RAW!A113="","",TRIM(GL_RAW!D113))</f>
        <v/>
      </c>
      <c r="F113" s="11">
        <f>IF(GL_RAW!A113="","",TRIM(GL_RAW!F113))</f>
        <v/>
      </c>
      <c r="G113" s="11">
        <f>IF(GL_RAW!A113="","",TRIM(GL_RAW!G113))</f>
        <v/>
      </c>
      <c r="H113" s="12">
        <f>IF(GL_RAW!A113="","",IFERROR(GL_RAW!E113,0))</f>
        <v/>
      </c>
      <c r="I113" s="12">
        <f>IF(GL_RAW!A113="","",ABS(H113))</f>
        <v/>
      </c>
      <c r="J113" s="11">
        <f>IF(GL_RAW!A113="","",IF(OR(ISNUMBER(SEARCH("Out",F113)),ISNUMBER(SEARCH("11025002",F113)),H113&lt;0),"OUT","IN"))</f>
        <v/>
      </c>
      <c r="K113" s="11" t="inlineStr"/>
    </row>
    <row r="114">
      <c r="A114" s="13">
        <f>IF(GL_RAW!A114="","",ROW()-1)</f>
        <v/>
      </c>
      <c r="B114" s="10">
        <f>IF(GL_RAW!A114="","",IF(ISNUMBER(GL_RAW!A114),GL_RAW!A114,DATEVALUE(TEXT(GL_RAW!A114,"YYYY-MM-DD"))))</f>
        <v/>
      </c>
      <c r="C114" s="11">
        <f>IF(GL_RAW!A114="","",TRIM(GL_RAW!B114))</f>
        <v/>
      </c>
      <c r="D114" s="11">
        <f>IF(GL_RAW!A114="","",TRIM(GL_RAW!C114))</f>
        <v/>
      </c>
      <c r="E114" s="11">
        <f>IF(GL_RAW!A114="","",TRIM(GL_RAW!D114))</f>
        <v/>
      </c>
      <c r="F114" s="11">
        <f>IF(GL_RAW!A114="","",TRIM(GL_RAW!F114))</f>
        <v/>
      </c>
      <c r="G114" s="11">
        <f>IF(GL_RAW!A114="","",TRIM(GL_RAW!G114))</f>
        <v/>
      </c>
      <c r="H114" s="12">
        <f>IF(GL_RAW!A114="","",IFERROR(GL_RAW!E114,0))</f>
        <v/>
      </c>
      <c r="I114" s="12">
        <f>IF(GL_RAW!A114="","",ABS(H114))</f>
        <v/>
      </c>
      <c r="J114" s="11">
        <f>IF(GL_RAW!A114="","",IF(OR(ISNUMBER(SEARCH("Out",F114)),ISNUMBER(SEARCH("11025002",F114)),H114&lt;0),"OUT","IN"))</f>
        <v/>
      </c>
      <c r="K114" s="11" t="inlineStr"/>
    </row>
    <row r="115">
      <c r="A115" s="13">
        <f>IF(GL_RAW!A115="","",ROW()-1)</f>
        <v/>
      </c>
      <c r="B115" s="10">
        <f>IF(GL_RAW!A115="","",IF(ISNUMBER(GL_RAW!A115),GL_RAW!A115,DATEVALUE(TEXT(GL_RAW!A115,"YYYY-MM-DD"))))</f>
        <v/>
      </c>
      <c r="C115" s="11">
        <f>IF(GL_RAW!A115="","",TRIM(GL_RAW!B115))</f>
        <v/>
      </c>
      <c r="D115" s="11">
        <f>IF(GL_RAW!A115="","",TRIM(GL_RAW!C115))</f>
        <v/>
      </c>
      <c r="E115" s="11">
        <f>IF(GL_RAW!A115="","",TRIM(GL_RAW!D115))</f>
        <v/>
      </c>
      <c r="F115" s="11">
        <f>IF(GL_RAW!A115="","",TRIM(GL_RAW!F115))</f>
        <v/>
      </c>
      <c r="G115" s="11">
        <f>IF(GL_RAW!A115="","",TRIM(GL_RAW!G115))</f>
        <v/>
      </c>
      <c r="H115" s="12">
        <f>IF(GL_RAW!A115="","",IFERROR(GL_RAW!E115,0))</f>
        <v/>
      </c>
      <c r="I115" s="12">
        <f>IF(GL_RAW!A115="","",ABS(H115))</f>
        <v/>
      </c>
      <c r="J115" s="11">
        <f>IF(GL_RAW!A115="","",IF(OR(ISNUMBER(SEARCH("Out",F115)),ISNUMBER(SEARCH("11025002",F115)),H115&lt;0),"OUT","IN"))</f>
        <v/>
      </c>
      <c r="K115" s="11" t="inlineStr"/>
    </row>
    <row r="116">
      <c r="A116" s="13">
        <f>IF(GL_RAW!A116="","",ROW()-1)</f>
        <v/>
      </c>
      <c r="B116" s="10">
        <f>IF(GL_RAW!A116="","",IF(ISNUMBER(GL_RAW!A116),GL_RAW!A116,DATEVALUE(TEXT(GL_RAW!A116,"YYYY-MM-DD"))))</f>
        <v/>
      </c>
      <c r="C116" s="11">
        <f>IF(GL_RAW!A116="","",TRIM(GL_RAW!B116))</f>
        <v/>
      </c>
      <c r="D116" s="11">
        <f>IF(GL_RAW!A116="","",TRIM(GL_RAW!C116))</f>
        <v/>
      </c>
      <c r="E116" s="11">
        <f>IF(GL_RAW!A116="","",TRIM(GL_RAW!D116))</f>
        <v/>
      </c>
      <c r="F116" s="11">
        <f>IF(GL_RAW!A116="","",TRIM(GL_RAW!F116))</f>
        <v/>
      </c>
      <c r="G116" s="11">
        <f>IF(GL_RAW!A116="","",TRIM(GL_RAW!G116))</f>
        <v/>
      </c>
      <c r="H116" s="12">
        <f>IF(GL_RAW!A116="","",IFERROR(GL_RAW!E116,0))</f>
        <v/>
      </c>
      <c r="I116" s="12">
        <f>IF(GL_RAW!A116="","",ABS(H116))</f>
        <v/>
      </c>
      <c r="J116" s="11">
        <f>IF(GL_RAW!A116="","",IF(OR(ISNUMBER(SEARCH("Out",F116)),ISNUMBER(SEARCH("11025002",F116)),H116&lt;0),"OUT","IN"))</f>
        <v/>
      </c>
      <c r="K116" s="11" t="inlineStr"/>
    </row>
    <row r="117">
      <c r="A117" s="13">
        <f>IF(GL_RAW!A117="","",ROW()-1)</f>
        <v/>
      </c>
      <c r="B117" s="10">
        <f>IF(GL_RAW!A117="","",IF(ISNUMBER(GL_RAW!A117),GL_RAW!A117,DATEVALUE(TEXT(GL_RAW!A117,"YYYY-MM-DD"))))</f>
        <v/>
      </c>
      <c r="C117" s="11">
        <f>IF(GL_RAW!A117="","",TRIM(GL_RAW!B117))</f>
        <v/>
      </c>
      <c r="D117" s="11">
        <f>IF(GL_RAW!A117="","",TRIM(GL_RAW!C117))</f>
        <v/>
      </c>
      <c r="E117" s="11">
        <f>IF(GL_RAW!A117="","",TRIM(GL_RAW!D117))</f>
        <v/>
      </c>
      <c r="F117" s="11">
        <f>IF(GL_RAW!A117="","",TRIM(GL_RAW!F117))</f>
        <v/>
      </c>
      <c r="G117" s="11">
        <f>IF(GL_RAW!A117="","",TRIM(GL_RAW!G117))</f>
        <v/>
      </c>
      <c r="H117" s="12">
        <f>IF(GL_RAW!A117="","",IFERROR(GL_RAW!E117,0))</f>
        <v/>
      </c>
      <c r="I117" s="12">
        <f>IF(GL_RAW!A117="","",ABS(H117))</f>
        <v/>
      </c>
      <c r="J117" s="11">
        <f>IF(GL_RAW!A117="","",IF(OR(ISNUMBER(SEARCH("Out",F117)),ISNUMBER(SEARCH("11025002",F117)),H117&lt;0),"OUT","IN"))</f>
        <v/>
      </c>
      <c r="K117" s="11" t="inlineStr"/>
    </row>
    <row r="118">
      <c r="A118" s="13">
        <f>IF(GL_RAW!A118="","",ROW()-1)</f>
        <v/>
      </c>
      <c r="B118" s="10">
        <f>IF(GL_RAW!A118="","",IF(ISNUMBER(GL_RAW!A118),GL_RAW!A118,DATEVALUE(TEXT(GL_RAW!A118,"YYYY-MM-DD"))))</f>
        <v/>
      </c>
      <c r="C118" s="11">
        <f>IF(GL_RAW!A118="","",TRIM(GL_RAW!B118))</f>
        <v/>
      </c>
      <c r="D118" s="11">
        <f>IF(GL_RAW!A118="","",TRIM(GL_RAW!C118))</f>
        <v/>
      </c>
      <c r="E118" s="11">
        <f>IF(GL_RAW!A118="","",TRIM(GL_RAW!D118))</f>
        <v/>
      </c>
      <c r="F118" s="11">
        <f>IF(GL_RAW!A118="","",TRIM(GL_RAW!F118))</f>
        <v/>
      </c>
      <c r="G118" s="11">
        <f>IF(GL_RAW!A118="","",TRIM(GL_RAW!G118))</f>
        <v/>
      </c>
      <c r="H118" s="12">
        <f>IF(GL_RAW!A118="","",IFERROR(GL_RAW!E118,0))</f>
        <v/>
      </c>
      <c r="I118" s="12">
        <f>IF(GL_RAW!A118="","",ABS(H118))</f>
        <v/>
      </c>
      <c r="J118" s="11">
        <f>IF(GL_RAW!A118="","",IF(OR(ISNUMBER(SEARCH("Out",F118)),ISNUMBER(SEARCH("11025002",F118)),H118&lt;0),"OUT","IN"))</f>
        <v/>
      </c>
      <c r="K118" s="11" t="inlineStr"/>
    </row>
    <row r="119">
      <c r="A119" s="13">
        <f>IF(GL_RAW!A119="","",ROW()-1)</f>
        <v/>
      </c>
      <c r="B119" s="10">
        <f>IF(GL_RAW!A119="","",IF(ISNUMBER(GL_RAW!A119),GL_RAW!A119,DATEVALUE(TEXT(GL_RAW!A119,"YYYY-MM-DD"))))</f>
        <v/>
      </c>
      <c r="C119" s="11">
        <f>IF(GL_RAW!A119="","",TRIM(GL_RAW!B119))</f>
        <v/>
      </c>
      <c r="D119" s="11">
        <f>IF(GL_RAW!A119="","",TRIM(GL_RAW!C119))</f>
        <v/>
      </c>
      <c r="E119" s="11">
        <f>IF(GL_RAW!A119="","",TRIM(GL_RAW!D119))</f>
        <v/>
      </c>
      <c r="F119" s="11">
        <f>IF(GL_RAW!A119="","",TRIM(GL_RAW!F119))</f>
        <v/>
      </c>
      <c r="G119" s="11">
        <f>IF(GL_RAW!A119="","",TRIM(GL_RAW!G119))</f>
        <v/>
      </c>
      <c r="H119" s="12">
        <f>IF(GL_RAW!A119="","",IFERROR(GL_RAW!E119,0))</f>
        <v/>
      </c>
      <c r="I119" s="12">
        <f>IF(GL_RAW!A119="","",ABS(H119))</f>
        <v/>
      </c>
      <c r="J119" s="11">
        <f>IF(GL_RAW!A119="","",IF(OR(ISNUMBER(SEARCH("Out",F119)),ISNUMBER(SEARCH("11025002",F119)),H119&lt;0),"OUT","IN"))</f>
        <v/>
      </c>
      <c r="K119" s="11" t="inlineStr"/>
    </row>
    <row r="120">
      <c r="A120" s="13">
        <f>IF(GL_RAW!A120="","",ROW()-1)</f>
        <v/>
      </c>
      <c r="B120" s="10">
        <f>IF(GL_RAW!A120="","",IF(ISNUMBER(GL_RAW!A120),GL_RAW!A120,DATEVALUE(TEXT(GL_RAW!A120,"YYYY-MM-DD"))))</f>
        <v/>
      </c>
      <c r="C120" s="11">
        <f>IF(GL_RAW!A120="","",TRIM(GL_RAW!B120))</f>
        <v/>
      </c>
      <c r="D120" s="11">
        <f>IF(GL_RAW!A120="","",TRIM(GL_RAW!C120))</f>
        <v/>
      </c>
      <c r="E120" s="11">
        <f>IF(GL_RAW!A120="","",TRIM(GL_RAW!D120))</f>
        <v/>
      </c>
      <c r="F120" s="11">
        <f>IF(GL_RAW!A120="","",TRIM(GL_RAW!F120))</f>
        <v/>
      </c>
      <c r="G120" s="11">
        <f>IF(GL_RAW!A120="","",TRIM(GL_RAW!G120))</f>
        <v/>
      </c>
      <c r="H120" s="12">
        <f>IF(GL_RAW!A120="","",IFERROR(GL_RAW!E120,0))</f>
        <v/>
      </c>
      <c r="I120" s="12">
        <f>IF(GL_RAW!A120="","",ABS(H120))</f>
        <v/>
      </c>
      <c r="J120" s="11">
        <f>IF(GL_RAW!A120="","",IF(OR(ISNUMBER(SEARCH("Out",F120)),ISNUMBER(SEARCH("11025002",F120)),H120&lt;0),"OUT","IN"))</f>
        <v/>
      </c>
      <c r="K120" s="11" t="inlineStr"/>
    </row>
    <row r="121">
      <c r="A121" s="13">
        <f>IF(GL_RAW!A121="","",ROW()-1)</f>
        <v/>
      </c>
      <c r="B121" s="10">
        <f>IF(GL_RAW!A121="","",IF(ISNUMBER(GL_RAW!A121),GL_RAW!A121,DATEVALUE(TEXT(GL_RAW!A121,"YYYY-MM-DD"))))</f>
        <v/>
      </c>
      <c r="C121" s="11">
        <f>IF(GL_RAW!A121="","",TRIM(GL_RAW!B121))</f>
        <v/>
      </c>
      <c r="D121" s="11">
        <f>IF(GL_RAW!A121="","",TRIM(GL_RAW!C121))</f>
        <v/>
      </c>
      <c r="E121" s="11">
        <f>IF(GL_RAW!A121="","",TRIM(GL_RAW!D121))</f>
        <v/>
      </c>
      <c r="F121" s="11">
        <f>IF(GL_RAW!A121="","",TRIM(GL_RAW!F121))</f>
        <v/>
      </c>
      <c r="G121" s="11">
        <f>IF(GL_RAW!A121="","",TRIM(GL_RAW!G121))</f>
        <v/>
      </c>
      <c r="H121" s="12">
        <f>IF(GL_RAW!A121="","",IFERROR(GL_RAW!E121,0))</f>
        <v/>
      </c>
      <c r="I121" s="12">
        <f>IF(GL_RAW!A121="","",ABS(H121))</f>
        <v/>
      </c>
      <c r="J121" s="11">
        <f>IF(GL_RAW!A121="","",IF(OR(ISNUMBER(SEARCH("Out",F121)),ISNUMBER(SEARCH("11025002",F121)),H121&lt;0),"OUT","IN"))</f>
        <v/>
      </c>
      <c r="K121" s="11" t="inlineStr"/>
    </row>
    <row r="122">
      <c r="A122" s="13">
        <f>IF(GL_RAW!A122="","",ROW()-1)</f>
        <v/>
      </c>
      <c r="B122" s="10">
        <f>IF(GL_RAW!A122="","",IF(ISNUMBER(GL_RAW!A122),GL_RAW!A122,DATEVALUE(TEXT(GL_RAW!A122,"YYYY-MM-DD"))))</f>
        <v/>
      </c>
      <c r="C122" s="11">
        <f>IF(GL_RAW!A122="","",TRIM(GL_RAW!B122))</f>
        <v/>
      </c>
      <c r="D122" s="11">
        <f>IF(GL_RAW!A122="","",TRIM(GL_RAW!C122))</f>
        <v/>
      </c>
      <c r="E122" s="11">
        <f>IF(GL_RAW!A122="","",TRIM(GL_RAW!D122))</f>
        <v/>
      </c>
      <c r="F122" s="11">
        <f>IF(GL_RAW!A122="","",TRIM(GL_RAW!F122))</f>
        <v/>
      </c>
      <c r="G122" s="11">
        <f>IF(GL_RAW!A122="","",TRIM(GL_RAW!G122))</f>
        <v/>
      </c>
      <c r="H122" s="12">
        <f>IF(GL_RAW!A122="","",IFERROR(GL_RAW!E122,0))</f>
        <v/>
      </c>
      <c r="I122" s="12">
        <f>IF(GL_RAW!A122="","",ABS(H122))</f>
        <v/>
      </c>
      <c r="J122" s="11">
        <f>IF(GL_RAW!A122="","",IF(OR(ISNUMBER(SEARCH("Out",F122)),ISNUMBER(SEARCH("11025002",F122)),H122&lt;0),"OUT","IN"))</f>
        <v/>
      </c>
      <c r="K122" s="11" t="inlineStr"/>
    </row>
    <row r="123">
      <c r="A123" s="13">
        <f>IF(GL_RAW!A123="","",ROW()-1)</f>
        <v/>
      </c>
      <c r="B123" s="10">
        <f>IF(GL_RAW!A123="","",IF(ISNUMBER(GL_RAW!A123),GL_RAW!A123,DATEVALUE(TEXT(GL_RAW!A123,"YYYY-MM-DD"))))</f>
        <v/>
      </c>
      <c r="C123" s="11">
        <f>IF(GL_RAW!A123="","",TRIM(GL_RAW!B123))</f>
        <v/>
      </c>
      <c r="D123" s="11">
        <f>IF(GL_RAW!A123="","",TRIM(GL_RAW!C123))</f>
        <v/>
      </c>
      <c r="E123" s="11">
        <f>IF(GL_RAW!A123="","",TRIM(GL_RAW!D123))</f>
        <v/>
      </c>
      <c r="F123" s="11">
        <f>IF(GL_RAW!A123="","",TRIM(GL_RAW!F123))</f>
        <v/>
      </c>
      <c r="G123" s="11">
        <f>IF(GL_RAW!A123="","",TRIM(GL_RAW!G123))</f>
        <v/>
      </c>
      <c r="H123" s="12">
        <f>IF(GL_RAW!A123="","",IFERROR(GL_RAW!E123,0))</f>
        <v/>
      </c>
      <c r="I123" s="12">
        <f>IF(GL_RAW!A123="","",ABS(H123))</f>
        <v/>
      </c>
      <c r="J123" s="11">
        <f>IF(GL_RAW!A123="","",IF(OR(ISNUMBER(SEARCH("Out",F123)),ISNUMBER(SEARCH("11025002",F123)),H123&lt;0),"OUT","IN"))</f>
        <v/>
      </c>
      <c r="K123" s="11" t="inlineStr"/>
    </row>
    <row r="124">
      <c r="A124" s="13">
        <f>IF(GL_RAW!A124="","",ROW()-1)</f>
        <v/>
      </c>
      <c r="B124" s="10">
        <f>IF(GL_RAW!A124="","",IF(ISNUMBER(GL_RAW!A124),GL_RAW!A124,DATEVALUE(TEXT(GL_RAW!A124,"YYYY-MM-DD"))))</f>
        <v/>
      </c>
      <c r="C124" s="11">
        <f>IF(GL_RAW!A124="","",TRIM(GL_RAW!B124))</f>
        <v/>
      </c>
      <c r="D124" s="11">
        <f>IF(GL_RAW!A124="","",TRIM(GL_RAW!C124))</f>
        <v/>
      </c>
      <c r="E124" s="11">
        <f>IF(GL_RAW!A124="","",TRIM(GL_RAW!D124))</f>
        <v/>
      </c>
      <c r="F124" s="11">
        <f>IF(GL_RAW!A124="","",TRIM(GL_RAW!F124))</f>
        <v/>
      </c>
      <c r="G124" s="11">
        <f>IF(GL_RAW!A124="","",TRIM(GL_RAW!G124))</f>
        <v/>
      </c>
      <c r="H124" s="12">
        <f>IF(GL_RAW!A124="","",IFERROR(GL_RAW!E124,0))</f>
        <v/>
      </c>
      <c r="I124" s="12">
        <f>IF(GL_RAW!A124="","",ABS(H124))</f>
        <v/>
      </c>
      <c r="J124" s="11">
        <f>IF(GL_RAW!A124="","",IF(OR(ISNUMBER(SEARCH("Out",F124)),ISNUMBER(SEARCH("11025002",F124)),H124&lt;0),"OUT","IN"))</f>
        <v/>
      </c>
      <c r="K124" s="11" t="inlineStr"/>
    </row>
    <row r="125">
      <c r="A125" s="13">
        <f>IF(GL_RAW!A125="","",ROW()-1)</f>
        <v/>
      </c>
      <c r="B125" s="10">
        <f>IF(GL_RAW!A125="","",IF(ISNUMBER(GL_RAW!A125),GL_RAW!A125,DATEVALUE(TEXT(GL_RAW!A125,"YYYY-MM-DD"))))</f>
        <v/>
      </c>
      <c r="C125" s="11">
        <f>IF(GL_RAW!A125="","",TRIM(GL_RAW!B125))</f>
        <v/>
      </c>
      <c r="D125" s="11">
        <f>IF(GL_RAW!A125="","",TRIM(GL_RAW!C125))</f>
        <v/>
      </c>
      <c r="E125" s="11">
        <f>IF(GL_RAW!A125="","",TRIM(GL_RAW!D125))</f>
        <v/>
      </c>
      <c r="F125" s="11">
        <f>IF(GL_RAW!A125="","",TRIM(GL_RAW!F125))</f>
        <v/>
      </c>
      <c r="G125" s="11">
        <f>IF(GL_RAW!A125="","",TRIM(GL_RAW!G125))</f>
        <v/>
      </c>
      <c r="H125" s="12">
        <f>IF(GL_RAW!A125="","",IFERROR(GL_RAW!E125,0))</f>
        <v/>
      </c>
      <c r="I125" s="12">
        <f>IF(GL_RAW!A125="","",ABS(H125))</f>
        <v/>
      </c>
      <c r="J125" s="11">
        <f>IF(GL_RAW!A125="","",IF(OR(ISNUMBER(SEARCH("Out",F125)),ISNUMBER(SEARCH("11025002",F125)),H125&lt;0),"OUT","IN"))</f>
        <v/>
      </c>
      <c r="K125" s="11" t="inlineStr"/>
    </row>
    <row r="126">
      <c r="A126" s="13">
        <f>IF(GL_RAW!A126="","",ROW()-1)</f>
        <v/>
      </c>
      <c r="B126" s="10">
        <f>IF(GL_RAW!A126="","",IF(ISNUMBER(GL_RAW!A126),GL_RAW!A126,DATEVALUE(TEXT(GL_RAW!A126,"YYYY-MM-DD"))))</f>
        <v/>
      </c>
      <c r="C126" s="11">
        <f>IF(GL_RAW!A126="","",TRIM(GL_RAW!B126))</f>
        <v/>
      </c>
      <c r="D126" s="11">
        <f>IF(GL_RAW!A126="","",TRIM(GL_RAW!C126))</f>
        <v/>
      </c>
      <c r="E126" s="11">
        <f>IF(GL_RAW!A126="","",TRIM(GL_RAW!D126))</f>
        <v/>
      </c>
      <c r="F126" s="11">
        <f>IF(GL_RAW!A126="","",TRIM(GL_RAW!F126))</f>
        <v/>
      </c>
      <c r="G126" s="11">
        <f>IF(GL_RAW!A126="","",TRIM(GL_RAW!G126))</f>
        <v/>
      </c>
      <c r="H126" s="12">
        <f>IF(GL_RAW!A126="","",IFERROR(GL_RAW!E126,0))</f>
        <v/>
      </c>
      <c r="I126" s="12">
        <f>IF(GL_RAW!A126="","",ABS(H126))</f>
        <v/>
      </c>
      <c r="J126" s="11">
        <f>IF(GL_RAW!A126="","",IF(OR(ISNUMBER(SEARCH("Out",F126)),ISNUMBER(SEARCH("11025002",F126)),H126&lt;0),"OUT","IN"))</f>
        <v/>
      </c>
      <c r="K126" s="11" t="inlineStr"/>
    </row>
    <row r="127">
      <c r="A127" s="13">
        <f>IF(GL_RAW!A127="","",ROW()-1)</f>
        <v/>
      </c>
      <c r="B127" s="10">
        <f>IF(GL_RAW!A127="","",IF(ISNUMBER(GL_RAW!A127),GL_RAW!A127,DATEVALUE(TEXT(GL_RAW!A127,"YYYY-MM-DD"))))</f>
        <v/>
      </c>
      <c r="C127" s="11">
        <f>IF(GL_RAW!A127="","",TRIM(GL_RAW!B127))</f>
        <v/>
      </c>
      <c r="D127" s="11">
        <f>IF(GL_RAW!A127="","",TRIM(GL_RAW!C127))</f>
        <v/>
      </c>
      <c r="E127" s="11">
        <f>IF(GL_RAW!A127="","",TRIM(GL_RAW!D127))</f>
        <v/>
      </c>
      <c r="F127" s="11">
        <f>IF(GL_RAW!A127="","",TRIM(GL_RAW!F127))</f>
        <v/>
      </c>
      <c r="G127" s="11">
        <f>IF(GL_RAW!A127="","",TRIM(GL_RAW!G127))</f>
        <v/>
      </c>
      <c r="H127" s="12">
        <f>IF(GL_RAW!A127="","",IFERROR(GL_RAW!E127,0))</f>
        <v/>
      </c>
      <c r="I127" s="12">
        <f>IF(GL_RAW!A127="","",ABS(H127))</f>
        <v/>
      </c>
      <c r="J127" s="11">
        <f>IF(GL_RAW!A127="","",IF(OR(ISNUMBER(SEARCH("Out",F127)),ISNUMBER(SEARCH("11025002",F127)),H127&lt;0),"OUT","IN"))</f>
        <v/>
      </c>
      <c r="K127" s="11" t="inlineStr"/>
    </row>
    <row r="128">
      <c r="A128" s="13">
        <f>IF(GL_RAW!A128="","",ROW()-1)</f>
        <v/>
      </c>
      <c r="B128" s="10">
        <f>IF(GL_RAW!A128="","",IF(ISNUMBER(GL_RAW!A128),GL_RAW!A128,DATEVALUE(TEXT(GL_RAW!A128,"YYYY-MM-DD"))))</f>
        <v/>
      </c>
      <c r="C128" s="11">
        <f>IF(GL_RAW!A128="","",TRIM(GL_RAW!B128))</f>
        <v/>
      </c>
      <c r="D128" s="11">
        <f>IF(GL_RAW!A128="","",TRIM(GL_RAW!C128))</f>
        <v/>
      </c>
      <c r="E128" s="11">
        <f>IF(GL_RAW!A128="","",TRIM(GL_RAW!D128))</f>
        <v/>
      </c>
      <c r="F128" s="11">
        <f>IF(GL_RAW!A128="","",TRIM(GL_RAW!F128))</f>
        <v/>
      </c>
      <c r="G128" s="11">
        <f>IF(GL_RAW!A128="","",TRIM(GL_RAW!G128))</f>
        <v/>
      </c>
      <c r="H128" s="12">
        <f>IF(GL_RAW!A128="","",IFERROR(GL_RAW!E128,0))</f>
        <v/>
      </c>
      <c r="I128" s="12">
        <f>IF(GL_RAW!A128="","",ABS(H128))</f>
        <v/>
      </c>
      <c r="J128" s="11">
        <f>IF(GL_RAW!A128="","",IF(OR(ISNUMBER(SEARCH("Out",F128)),ISNUMBER(SEARCH("11025002",F128)),H128&lt;0),"OUT","IN"))</f>
        <v/>
      </c>
      <c r="K128" s="11" t="inlineStr"/>
    </row>
    <row r="129">
      <c r="A129" s="13">
        <f>IF(GL_RAW!A129="","",ROW()-1)</f>
        <v/>
      </c>
      <c r="B129" s="10">
        <f>IF(GL_RAW!A129="","",IF(ISNUMBER(GL_RAW!A129),GL_RAW!A129,DATEVALUE(TEXT(GL_RAW!A129,"YYYY-MM-DD"))))</f>
        <v/>
      </c>
      <c r="C129" s="11">
        <f>IF(GL_RAW!A129="","",TRIM(GL_RAW!B129))</f>
        <v/>
      </c>
      <c r="D129" s="11">
        <f>IF(GL_RAW!A129="","",TRIM(GL_RAW!C129))</f>
        <v/>
      </c>
      <c r="E129" s="11">
        <f>IF(GL_RAW!A129="","",TRIM(GL_RAW!D129))</f>
        <v/>
      </c>
      <c r="F129" s="11">
        <f>IF(GL_RAW!A129="","",TRIM(GL_RAW!F129))</f>
        <v/>
      </c>
      <c r="G129" s="11">
        <f>IF(GL_RAW!A129="","",TRIM(GL_RAW!G129))</f>
        <v/>
      </c>
      <c r="H129" s="12">
        <f>IF(GL_RAW!A129="","",IFERROR(GL_RAW!E129,0))</f>
        <v/>
      </c>
      <c r="I129" s="12">
        <f>IF(GL_RAW!A129="","",ABS(H129))</f>
        <v/>
      </c>
      <c r="J129" s="11">
        <f>IF(GL_RAW!A129="","",IF(OR(ISNUMBER(SEARCH("Out",F129)),ISNUMBER(SEARCH("11025002",F129)),H129&lt;0),"OUT","IN"))</f>
        <v/>
      </c>
      <c r="K129" s="11" t="inlineStr"/>
    </row>
    <row r="130">
      <c r="A130" s="13">
        <f>IF(GL_RAW!A130="","",ROW()-1)</f>
        <v/>
      </c>
      <c r="B130" s="10">
        <f>IF(GL_RAW!A130="","",IF(ISNUMBER(GL_RAW!A130),GL_RAW!A130,DATEVALUE(TEXT(GL_RAW!A130,"YYYY-MM-DD"))))</f>
        <v/>
      </c>
      <c r="C130" s="11">
        <f>IF(GL_RAW!A130="","",TRIM(GL_RAW!B130))</f>
        <v/>
      </c>
      <c r="D130" s="11">
        <f>IF(GL_RAW!A130="","",TRIM(GL_RAW!C130))</f>
        <v/>
      </c>
      <c r="E130" s="11">
        <f>IF(GL_RAW!A130="","",TRIM(GL_RAW!D130))</f>
        <v/>
      </c>
      <c r="F130" s="11">
        <f>IF(GL_RAW!A130="","",TRIM(GL_RAW!F130))</f>
        <v/>
      </c>
      <c r="G130" s="11">
        <f>IF(GL_RAW!A130="","",TRIM(GL_RAW!G130))</f>
        <v/>
      </c>
      <c r="H130" s="12">
        <f>IF(GL_RAW!A130="","",IFERROR(GL_RAW!E130,0))</f>
        <v/>
      </c>
      <c r="I130" s="12">
        <f>IF(GL_RAW!A130="","",ABS(H130))</f>
        <v/>
      </c>
      <c r="J130" s="11">
        <f>IF(GL_RAW!A130="","",IF(OR(ISNUMBER(SEARCH("Out",F130)),ISNUMBER(SEARCH("11025002",F130)),H130&lt;0),"OUT","IN"))</f>
        <v/>
      </c>
      <c r="K130" s="11" t="inlineStr"/>
    </row>
    <row r="131">
      <c r="A131" s="13">
        <f>IF(GL_RAW!A131="","",ROW()-1)</f>
        <v/>
      </c>
      <c r="B131" s="10">
        <f>IF(GL_RAW!A131="","",IF(ISNUMBER(GL_RAW!A131),GL_RAW!A131,DATEVALUE(TEXT(GL_RAW!A131,"YYYY-MM-DD"))))</f>
        <v/>
      </c>
      <c r="C131" s="11">
        <f>IF(GL_RAW!A131="","",TRIM(GL_RAW!B131))</f>
        <v/>
      </c>
      <c r="D131" s="11">
        <f>IF(GL_RAW!A131="","",TRIM(GL_RAW!C131))</f>
        <v/>
      </c>
      <c r="E131" s="11">
        <f>IF(GL_RAW!A131="","",TRIM(GL_RAW!D131))</f>
        <v/>
      </c>
      <c r="F131" s="11">
        <f>IF(GL_RAW!A131="","",TRIM(GL_RAW!F131))</f>
        <v/>
      </c>
      <c r="G131" s="11">
        <f>IF(GL_RAW!A131="","",TRIM(GL_RAW!G131))</f>
        <v/>
      </c>
      <c r="H131" s="12">
        <f>IF(GL_RAW!A131="","",IFERROR(GL_RAW!E131,0))</f>
        <v/>
      </c>
      <c r="I131" s="12">
        <f>IF(GL_RAW!A131="","",ABS(H131))</f>
        <v/>
      </c>
      <c r="J131" s="11">
        <f>IF(GL_RAW!A131="","",IF(OR(ISNUMBER(SEARCH("Out",F131)),ISNUMBER(SEARCH("11025002",F131)),H131&lt;0),"OUT","IN"))</f>
        <v/>
      </c>
      <c r="K131" s="11" t="inlineStr"/>
    </row>
    <row r="132">
      <c r="A132" s="13">
        <f>IF(GL_RAW!A132="","",ROW()-1)</f>
        <v/>
      </c>
      <c r="B132" s="10">
        <f>IF(GL_RAW!A132="","",IF(ISNUMBER(GL_RAW!A132),GL_RAW!A132,DATEVALUE(TEXT(GL_RAW!A132,"YYYY-MM-DD"))))</f>
        <v/>
      </c>
      <c r="C132" s="11">
        <f>IF(GL_RAW!A132="","",TRIM(GL_RAW!B132))</f>
        <v/>
      </c>
      <c r="D132" s="11">
        <f>IF(GL_RAW!A132="","",TRIM(GL_RAW!C132))</f>
        <v/>
      </c>
      <c r="E132" s="11">
        <f>IF(GL_RAW!A132="","",TRIM(GL_RAW!D132))</f>
        <v/>
      </c>
      <c r="F132" s="11">
        <f>IF(GL_RAW!A132="","",TRIM(GL_RAW!F132))</f>
        <v/>
      </c>
      <c r="G132" s="11">
        <f>IF(GL_RAW!A132="","",TRIM(GL_RAW!G132))</f>
        <v/>
      </c>
      <c r="H132" s="12">
        <f>IF(GL_RAW!A132="","",IFERROR(GL_RAW!E132,0))</f>
        <v/>
      </c>
      <c r="I132" s="12">
        <f>IF(GL_RAW!A132="","",ABS(H132))</f>
        <v/>
      </c>
      <c r="J132" s="11">
        <f>IF(GL_RAW!A132="","",IF(OR(ISNUMBER(SEARCH("Out",F132)),ISNUMBER(SEARCH("11025002",F132)),H132&lt;0),"OUT","IN"))</f>
        <v/>
      </c>
      <c r="K132" s="11" t="inlineStr"/>
    </row>
    <row r="133">
      <c r="A133" s="13">
        <f>IF(GL_RAW!A133="","",ROW()-1)</f>
        <v/>
      </c>
      <c r="B133" s="10">
        <f>IF(GL_RAW!A133="","",IF(ISNUMBER(GL_RAW!A133),GL_RAW!A133,DATEVALUE(TEXT(GL_RAW!A133,"YYYY-MM-DD"))))</f>
        <v/>
      </c>
      <c r="C133" s="11">
        <f>IF(GL_RAW!A133="","",TRIM(GL_RAW!B133))</f>
        <v/>
      </c>
      <c r="D133" s="11">
        <f>IF(GL_RAW!A133="","",TRIM(GL_RAW!C133))</f>
        <v/>
      </c>
      <c r="E133" s="11">
        <f>IF(GL_RAW!A133="","",TRIM(GL_RAW!D133))</f>
        <v/>
      </c>
      <c r="F133" s="11">
        <f>IF(GL_RAW!A133="","",TRIM(GL_RAW!F133))</f>
        <v/>
      </c>
      <c r="G133" s="11">
        <f>IF(GL_RAW!A133="","",TRIM(GL_RAW!G133))</f>
        <v/>
      </c>
      <c r="H133" s="12">
        <f>IF(GL_RAW!A133="","",IFERROR(GL_RAW!E133,0))</f>
        <v/>
      </c>
      <c r="I133" s="12">
        <f>IF(GL_RAW!A133="","",ABS(H133))</f>
        <v/>
      </c>
      <c r="J133" s="11">
        <f>IF(GL_RAW!A133="","",IF(OR(ISNUMBER(SEARCH("Out",F133)),ISNUMBER(SEARCH("11025002",F133)),H133&lt;0),"OUT","IN"))</f>
        <v/>
      </c>
      <c r="K133" s="11" t="inlineStr"/>
    </row>
    <row r="134">
      <c r="A134" s="13">
        <f>IF(GL_RAW!A134="","",ROW()-1)</f>
        <v/>
      </c>
      <c r="B134" s="10">
        <f>IF(GL_RAW!A134="","",IF(ISNUMBER(GL_RAW!A134),GL_RAW!A134,DATEVALUE(TEXT(GL_RAW!A134,"YYYY-MM-DD"))))</f>
        <v/>
      </c>
      <c r="C134" s="11">
        <f>IF(GL_RAW!A134="","",TRIM(GL_RAW!B134))</f>
        <v/>
      </c>
      <c r="D134" s="11">
        <f>IF(GL_RAW!A134="","",TRIM(GL_RAW!C134))</f>
        <v/>
      </c>
      <c r="E134" s="11">
        <f>IF(GL_RAW!A134="","",TRIM(GL_RAW!D134))</f>
        <v/>
      </c>
      <c r="F134" s="11">
        <f>IF(GL_RAW!A134="","",TRIM(GL_RAW!F134))</f>
        <v/>
      </c>
      <c r="G134" s="11">
        <f>IF(GL_RAW!A134="","",TRIM(GL_RAW!G134))</f>
        <v/>
      </c>
      <c r="H134" s="12">
        <f>IF(GL_RAW!A134="","",IFERROR(GL_RAW!E134,0))</f>
        <v/>
      </c>
      <c r="I134" s="12">
        <f>IF(GL_RAW!A134="","",ABS(H134))</f>
        <v/>
      </c>
      <c r="J134" s="11">
        <f>IF(GL_RAW!A134="","",IF(OR(ISNUMBER(SEARCH("Out",F134)),ISNUMBER(SEARCH("11025002",F134)),H134&lt;0),"OUT","IN"))</f>
        <v/>
      </c>
      <c r="K134" s="11" t="inlineStr"/>
    </row>
    <row r="135">
      <c r="A135" s="13">
        <f>IF(GL_RAW!A135="","",ROW()-1)</f>
        <v/>
      </c>
      <c r="B135" s="10">
        <f>IF(GL_RAW!A135="","",IF(ISNUMBER(GL_RAW!A135),GL_RAW!A135,DATEVALUE(TEXT(GL_RAW!A135,"YYYY-MM-DD"))))</f>
        <v/>
      </c>
      <c r="C135" s="11">
        <f>IF(GL_RAW!A135="","",TRIM(GL_RAW!B135))</f>
        <v/>
      </c>
      <c r="D135" s="11">
        <f>IF(GL_RAW!A135="","",TRIM(GL_RAW!C135))</f>
        <v/>
      </c>
      <c r="E135" s="11">
        <f>IF(GL_RAW!A135="","",TRIM(GL_RAW!D135))</f>
        <v/>
      </c>
      <c r="F135" s="11">
        <f>IF(GL_RAW!A135="","",TRIM(GL_RAW!F135))</f>
        <v/>
      </c>
      <c r="G135" s="11">
        <f>IF(GL_RAW!A135="","",TRIM(GL_RAW!G135))</f>
        <v/>
      </c>
      <c r="H135" s="12">
        <f>IF(GL_RAW!A135="","",IFERROR(GL_RAW!E135,0))</f>
        <v/>
      </c>
      <c r="I135" s="12">
        <f>IF(GL_RAW!A135="","",ABS(H135))</f>
        <v/>
      </c>
      <c r="J135" s="11">
        <f>IF(GL_RAW!A135="","",IF(OR(ISNUMBER(SEARCH("Out",F135)),ISNUMBER(SEARCH("11025002",F135)),H135&lt;0),"OUT","IN"))</f>
        <v/>
      </c>
      <c r="K135" s="11" t="inlineStr"/>
    </row>
    <row r="136">
      <c r="A136" s="13">
        <f>IF(GL_RAW!A136="","",ROW()-1)</f>
        <v/>
      </c>
      <c r="B136" s="10">
        <f>IF(GL_RAW!A136="","",IF(ISNUMBER(GL_RAW!A136),GL_RAW!A136,DATEVALUE(TEXT(GL_RAW!A136,"YYYY-MM-DD"))))</f>
        <v/>
      </c>
      <c r="C136" s="11">
        <f>IF(GL_RAW!A136="","",TRIM(GL_RAW!B136))</f>
        <v/>
      </c>
      <c r="D136" s="11">
        <f>IF(GL_RAW!A136="","",TRIM(GL_RAW!C136))</f>
        <v/>
      </c>
      <c r="E136" s="11">
        <f>IF(GL_RAW!A136="","",TRIM(GL_RAW!D136))</f>
        <v/>
      </c>
      <c r="F136" s="11">
        <f>IF(GL_RAW!A136="","",TRIM(GL_RAW!F136))</f>
        <v/>
      </c>
      <c r="G136" s="11">
        <f>IF(GL_RAW!A136="","",TRIM(GL_RAW!G136))</f>
        <v/>
      </c>
      <c r="H136" s="12">
        <f>IF(GL_RAW!A136="","",IFERROR(GL_RAW!E136,0))</f>
        <v/>
      </c>
      <c r="I136" s="12">
        <f>IF(GL_RAW!A136="","",ABS(H136))</f>
        <v/>
      </c>
      <c r="J136" s="11">
        <f>IF(GL_RAW!A136="","",IF(OR(ISNUMBER(SEARCH("Out",F136)),ISNUMBER(SEARCH("11025002",F136)),H136&lt;0),"OUT","IN"))</f>
        <v/>
      </c>
      <c r="K136" s="11" t="inlineStr"/>
    </row>
    <row r="137">
      <c r="A137" s="13">
        <f>IF(GL_RAW!A137="","",ROW()-1)</f>
        <v/>
      </c>
      <c r="B137" s="10">
        <f>IF(GL_RAW!A137="","",IF(ISNUMBER(GL_RAW!A137),GL_RAW!A137,DATEVALUE(TEXT(GL_RAW!A137,"YYYY-MM-DD"))))</f>
        <v/>
      </c>
      <c r="C137" s="11">
        <f>IF(GL_RAW!A137="","",TRIM(GL_RAW!B137))</f>
        <v/>
      </c>
      <c r="D137" s="11">
        <f>IF(GL_RAW!A137="","",TRIM(GL_RAW!C137))</f>
        <v/>
      </c>
      <c r="E137" s="11">
        <f>IF(GL_RAW!A137="","",TRIM(GL_RAW!D137))</f>
        <v/>
      </c>
      <c r="F137" s="11">
        <f>IF(GL_RAW!A137="","",TRIM(GL_RAW!F137))</f>
        <v/>
      </c>
      <c r="G137" s="11">
        <f>IF(GL_RAW!A137="","",TRIM(GL_RAW!G137))</f>
        <v/>
      </c>
      <c r="H137" s="12">
        <f>IF(GL_RAW!A137="","",IFERROR(GL_RAW!E137,0))</f>
        <v/>
      </c>
      <c r="I137" s="12">
        <f>IF(GL_RAW!A137="","",ABS(H137))</f>
        <v/>
      </c>
      <c r="J137" s="11">
        <f>IF(GL_RAW!A137="","",IF(OR(ISNUMBER(SEARCH("Out",F137)),ISNUMBER(SEARCH("11025002",F137)),H137&lt;0),"OUT","IN"))</f>
        <v/>
      </c>
      <c r="K137" s="11" t="inlineStr"/>
    </row>
    <row r="138">
      <c r="A138" s="13">
        <f>IF(GL_RAW!A138="","",ROW()-1)</f>
        <v/>
      </c>
      <c r="B138" s="10">
        <f>IF(GL_RAW!A138="","",IF(ISNUMBER(GL_RAW!A138),GL_RAW!A138,DATEVALUE(TEXT(GL_RAW!A138,"YYYY-MM-DD"))))</f>
        <v/>
      </c>
      <c r="C138" s="11">
        <f>IF(GL_RAW!A138="","",TRIM(GL_RAW!B138))</f>
        <v/>
      </c>
      <c r="D138" s="11">
        <f>IF(GL_RAW!A138="","",TRIM(GL_RAW!C138))</f>
        <v/>
      </c>
      <c r="E138" s="11">
        <f>IF(GL_RAW!A138="","",TRIM(GL_RAW!D138))</f>
        <v/>
      </c>
      <c r="F138" s="11">
        <f>IF(GL_RAW!A138="","",TRIM(GL_RAW!F138))</f>
        <v/>
      </c>
      <c r="G138" s="11">
        <f>IF(GL_RAW!A138="","",TRIM(GL_RAW!G138))</f>
        <v/>
      </c>
      <c r="H138" s="12">
        <f>IF(GL_RAW!A138="","",IFERROR(GL_RAW!E138,0))</f>
        <v/>
      </c>
      <c r="I138" s="12">
        <f>IF(GL_RAW!A138="","",ABS(H138))</f>
        <v/>
      </c>
      <c r="J138" s="11">
        <f>IF(GL_RAW!A138="","",IF(OR(ISNUMBER(SEARCH("Out",F138)),ISNUMBER(SEARCH("11025002",F138)),H138&lt;0),"OUT","IN"))</f>
        <v/>
      </c>
      <c r="K138" s="11" t="inlineStr"/>
    </row>
    <row r="139">
      <c r="A139" s="13">
        <f>IF(GL_RAW!A139="","",ROW()-1)</f>
        <v/>
      </c>
      <c r="B139" s="10">
        <f>IF(GL_RAW!A139="","",IF(ISNUMBER(GL_RAW!A139),GL_RAW!A139,DATEVALUE(TEXT(GL_RAW!A139,"YYYY-MM-DD"))))</f>
        <v/>
      </c>
      <c r="C139" s="11">
        <f>IF(GL_RAW!A139="","",TRIM(GL_RAW!B139))</f>
        <v/>
      </c>
      <c r="D139" s="11">
        <f>IF(GL_RAW!A139="","",TRIM(GL_RAW!C139))</f>
        <v/>
      </c>
      <c r="E139" s="11">
        <f>IF(GL_RAW!A139="","",TRIM(GL_RAW!D139))</f>
        <v/>
      </c>
      <c r="F139" s="11">
        <f>IF(GL_RAW!A139="","",TRIM(GL_RAW!F139))</f>
        <v/>
      </c>
      <c r="G139" s="11">
        <f>IF(GL_RAW!A139="","",TRIM(GL_RAW!G139))</f>
        <v/>
      </c>
      <c r="H139" s="12">
        <f>IF(GL_RAW!A139="","",IFERROR(GL_RAW!E139,0))</f>
        <v/>
      </c>
      <c r="I139" s="12">
        <f>IF(GL_RAW!A139="","",ABS(H139))</f>
        <v/>
      </c>
      <c r="J139" s="11">
        <f>IF(GL_RAW!A139="","",IF(OR(ISNUMBER(SEARCH("Out",F139)),ISNUMBER(SEARCH("11025002",F139)),H139&lt;0),"OUT","IN"))</f>
        <v/>
      </c>
      <c r="K139" s="11" t="inlineStr"/>
    </row>
    <row r="140">
      <c r="A140" s="13">
        <f>IF(GL_RAW!A140="","",ROW()-1)</f>
        <v/>
      </c>
      <c r="B140" s="10">
        <f>IF(GL_RAW!A140="","",IF(ISNUMBER(GL_RAW!A140),GL_RAW!A140,DATEVALUE(TEXT(GL_RAW!A140,"YYYY-MM-DD"))))</f>
        <v/>
      </c>
      <c r="C140" s="11">
        <f>IF(GL_RAW!A140="","",TRIM(GL_RAW!B140))</f>
        <v/>
      </c>
      <c r="D140" s="11">
        <f>IF(GL_RAW!A140="","",TRIM(GL_RAW!C140))</f>
        <v/>
      </c>
      <c r="E140" s="11">
        <f>IF(GL_RAW!A140="","",TRIM(GL_RAW!D140))</f>
        <v/>
      </c>
      <c r="F140" s="11">
        <f>IF(GL_RAW!A140="","",TRIM(GL_RAW!F140))</f>
        <v/>
      </c>
      <c r="G140" s="11">
        <f>IF(GL_RAW!A140="","",TRIM(GL_RAW!G140))</f>
        <v/>
      </c>
      <c r="H140" s="12">
        <f>IF(GL_RAW!A140="","",IFERROR(GL_RAW!E140,0))</f>
        <v/>
      </c>
      <c r="I140" s="12">
        <f>IF(GL_RAW!A140="","",ABS(H140))</f>
        <v/>
      </c>
      <c r="J140" s="11">
        <f>IF(GL_RAW!A140="","",IF(OR(ISNUMBER(SEARCH("Out",F140)),ISNUMBER(SEARCH("11025002",F140)),H140&lt;0),"OUT","IN"))</f>
        <v/>
      </c>
      <c r="K140" s="11" t="inlineStr"/>
    </row>
    <row r="141">
      <c r="A141" s="13">
        <f>IF(GL_RAW!A141="","",ROW()-1)</f>
        <v/>
      </c>
      <c r="B141" s="10">
        <f>IF(GL_RAW!A141="","",IF(ISNUMBER(GL_RAW!A141),GL_RAW!A141,DATEVALUE(TEXT(GL_RAW!A141,"YYYY-MM-DD"))))</f>
        <v/>
      </c>
      <c r="C141" s="11">
        <f>IF(GL_RAW!A141="","",TRIM(GL_RAW!B141))</f>
        <v/>
      </c>
      <c r="D141" s="11">
        <f>IF(GL_RAW!A141="","",TRIM(GL_RAW!C141))</f>
        <v/>
      </c>
      <c r="E141" s="11">
        <f>IF(GL_RAW!A141="","",TRIM(GL_RAW!D141))</f>
        <v/>
      </c>
      <c r="F141" s="11">
        <f>IF(GL_RAW!A141="","",TRIM(GL_RAW!F141))</f>
        <v/>
      </c>
      <c r="G141" s="11">
        <f>IF(GL_RAW!A141="","",TRIM(GL_RAW!G141))</f>
        <v/>
      </c>
      <c r="H141" s="12">
        <f>IF(GL_RAW!A141="","",IFERROR(GL_RAW!E141,0))</f>
        <v/>
      </c>
      <c r="I141" s="12">
        <f>IF(GL_RAW!A141="","",ABS(H141))</f>
        <v/>
      </c>
      <c r="J141" s="11">
        <f>IF(GL_RAW!A141="","",IF(OR(ISNUMBER(SEARCH("Out",F141)),ISNUMBER(SEARCH("11025002",F141)),H141&lt;0),"OUT","IN"))</f>
        <v/>
      </c>
      <c r="K141" s="11" t="inlineStr"/>
    </row>
    <row r="142">
      <c r="A142" s="13">
        <f>IF(GL_RAW!A142="","",ROW()-1)</f>
        <v/>
      </c>
      <c r="B142" s="10">
        <f>IF(GL_RAW!A142="","",IF(ISNUMBER(GL_RAW!A142),GL_RAW!A142,DATEVALUE(TEXT(GL_RAW!A142,"YYYY-MM-DD"))))</f>
        <v/>
      </c>
      <c r="C142" s="11">
        <f>IF(GL_RAW!A142="","",TRIM(GL_RAW!B142))</f>
        <v/>
      </c>
      <c r="D142" s="11">
        <f>IF(GL_RAW!A142="","",TRIM(GL_RAW!C142))</f>
        <v/>
      </c>
      <c r="E142" s="11">
        <f>IF(GL_RAW!A142="","",TRIM(GL_RAW!D142))</f>
        <v/>
      </c>
      <c r="F142" s="11">
        <f>IF(GL_RAW!A142="","",TRIM(GL_RAW!F142))</f>
        <v/>
      </c>
      <c r="G142" s="11">
        <f>IF(GL_RAW!A142="","",TRIM(GL_RAW!G142))</f>
        <v/>
      </c>
      <c r="H142" s="12">
        <f>IF(GL_RAW!A142="","",IFERROR(GL_RAW!E142,0))</f>
        <v/>
      </c>
      <c r="I142" s="12">
        <f>IF(GL_RAW!A142="","",ABS(H142))</f>
        <v/>
      </c>
      <c r="J142" s="11">
        <f>IF(GL_RAW!A142="","",IF(OR(ISNUMBER(SEARCH("Out",F142)),ISNUMBER(SEARCH("11025002",F142)),H142&lt;0),"OUT","IN"))</f>
        <v/>
      </c>
      <c r="K142" s="11" t="inlineStr"/>
    </row>
    <row r="143">
      <c r="A143" s="13">
        <f>IF(GL_RAW!A143="","",ROW()-1)</f>
        <v/>
      </c>
      <c r="B143" s="10">
        <f>IF(GL_RAW!A143="","",IF(ISNUMBER(GL_RAW!A143),GL_RAW!A143,DATEVALUE(TEXT(GL_RAW!A143,"YYYY-MM-DD"))))</f>
        <v/>
      </c>
      <c r="C143" s="11">
        <f>IF(GL_RAW!A143="","",TRIM(GL_RAW!B143))</f>
        <v/>
      </c>
      <c r="D143" s="11">
        <f>IF(GL_RAW!A143="","",TRIM(GL_RAW!C143))</f>
        <v/>
      </c>
      <c r="E143" s="11">
        <f>IF(GL_RAW!A143="","",TRIM(GL_RAW!D143))</f>
        <v/>
      </c>
      <c r="F143" s="11">
        <f>IF(GL_RAW!A143="","",TRIM(GL_RAW!F143))</f>
        <v/>
      </c>
      <c r="G143" s="11">
        <f>IF(GL_RAW!A143="","",TRIM(GL_RAW!G143))</f>
        <v/>
      </c>
      <c r="H143" s="12">
        <f>IF(GL_RAW!A143="","",IFERROR(GL_RAW!E143,0))</f>
        <v/>
      </c>
      <c r="I143" s="12">
        <f>IF(GL_RAW!A143="","",ABS(H143))</f>
        <v/>
      </c>
      <c r="J143" s="11">
        <f>IF(GL_RAW!A143="","",IF(OR(ISNUMBER(SEARCH("Out",F143)),ISNUMBER(SEARCH("11025002",F143)),H143&lt;0),"OUT","IN"))</f>
        <v/>
      </c>
      <c r="K143" s="11" t="inlineStr"/>
    </row>
    <row r="144">
      <c r="A144" s="13">
        <f>IF(GL_RAW!A144="","",ROW()-1)</f>
        <v/>
      </c>
      <c r="B144" s="10">
        <f>IF(GL_RAW!A144="","",IF(ISNUMBER(GL_RAW!A144),GL_RAW!A144,DATEVALUE(TEXT(GL_RAW!A144,"YYYY-MM-DD"))))</f>
        <v/>
      </c>
      <c r="C144" s="11">
        <f>IF(GL_RAW!A144="","",TRIM(GL_RAW!B144))</f>
        <v/>
      </c>
      <c r="D144" s="11">
        <f>IF(GL_RAW!A144="","",TRIM(GL_RAW!C144))</f>
        <v/>
      </c>
      <c r="E144" s="11">
        <f>IF(GL_RAW!A144="","",TRIM(GL_RAW!D144))</f>
        <v/>
      </c>
      <c r="F144" s="11">
        <f>IF(GL_RAW!A144="","",TRIM(GL_RAW!F144))</f>
        <v/>
      </c>
      <c r="G144" s="11">
        <f>IF(GL_RAW!A144="","",TRIM(GL_RAW!G144))</f>
        <v/>
      </c>
      <c r="H144" s="12">
        <f>IF(GL_RAW!A144="","",IFERROR(GL_RAW!E144,0))</f>
        <v/>
      </c>
      <c r="I144" s="12">
        <f>IF(GL_RAW!A144="","",ABS(H144))</f>
        <v/>
      </c>
      <c r="J144" s="11">
        <f>IF(GL_RAW!A144="","",IF(OR(ISNUMBER(SEARCH("Out",F144)),ISNUMBER(SEARCH("11025002",F144)),H144&lt;0),"OUT","IN"))</f>
        <v/>
      </c>
      <c r="K144" s="11" t="inlineStr"/>
    </row>
    <row r="145">
      <c r="A145" s="13">
        <f>IF(GL_RAW!A145="","",ROW()-1)</f>
        <v/>
      </c>
      <c r="B145" s="10">
        <f>IF(GL_RAW!A145="","",IF(ISNUMBER(GL_RAW!A145),GL_RAW!A145,DATEVALUE(TEXT(GL_RAW!A145,"YYYY-MM-DD"))))</f>
        <v/>
      </c>
      <c r="C145" s="11">
        <f>IF(GL_RAW!A145="","",TRIM(GL_RAW!B145))</f>
        <v/>
      </c>
      <c r="D145" s="11">
        <f>IF(GL_RAW!A145="","",TRIM(GL_RAW!C145))</f>
        <v/>
      </c>
      <c r="E145" s="11">
        <f>IF(GL_RAW!A145="","",TRIM(GL_RAW!D145))</f>
        <v/>
      </c>
      <c r="F145" s="11">
        <f>IF(GL_RAW!A145="","",TRIM(GL_RAW!F145))</f>
        <v/>
      </c>
      <c r="G145" s="11">
        <f>IF(GL_RAW!A145="","",TRIM(GL_RAW!G145))</f>
        <v/>
      </c>
      <c r="H145" s="12">
        <f>IF(GL_RAW!A145="","",IFERROR(GL_RAW!E145,0))</f>
        <v/>
      </c>
      <c r="I145" s="12">
        <f>IF(GL_RAW!A145="","",ABS(H145))</f>
        <v/>
      </c>
      <c r="J145" s="11">
        <f>IF(GL_RAW!A145="","",IF(OR(ISNUMBER(SEARCH("Out",F145)),ISNUMBER(SEARCH("11025002",F145)),H145&lt;0),"OUT","IN"))</f>
        <v/>
      </c>
      <c r="K145" s="11" t="inlineStr"/>
    </row>
    <row r="146">
      <c r="A146" s="13">
        <f>IF(GL_RAW!A146="","",ROW()-1)</f>
        <v/>
      </c>
      <c r="B146" s="10">
        <f>IF(GL_RAW!A146="","",IF(ISNUMBER(GL_RAW!A146),GL_RAW!A146,DATEVALUE(TEXT(GL_RAW!A146,"YYYY-MM-DD"))))</f>
        <v/>
      </c>
      <c r="C146" s="11">
        <f>IF(GL_RAW!A146="","",TRIM(GL_RAW!B146))</f>
        <v/>
      </c>
      <c r="D146" s="11">
        <f>IF(GL_RAW!A146="","",TRIM(GL_RAW!C146))</f>
        <v/>
      </c>
      <c r="E146" s="11">
        <f>IF(GL_RAW!A146="","",TRIM(GL_RAW!D146))</f>
        <v/>
      </c>
      <c r="F146" s="11">
        <f>IF(GL_RAW!A146="","",TRIM(GL_RAW!F146))</f>
        <v/>
      </c>
      <c r="G146" s="11">
        <f>IF(GL_RAW!A146="","",TRIM(GL_RAW!G146))</f>
        <v/>
      </c>
      <c r="H146" s="12">
        <f>IF(GL_RAW!A146="","",IFERROR(GL_RAW!E146,0))</f>
        <v/>
      </c>
      <c r="I146" s="12">
        <f>IF(GL_RAW!A146="","",ABS(H146))</f>
        <v/>
      </c>
      <c r="J146" s="11">
        <f>IF(GL_RAW!A146="","",IF(OR(ISNUMBER(SEARCH("Out",F146)),ISNUMBER(SEARCH("11025002",F146)),H146&lt;0),"OUT","IN"))</f>
        <v/>
      </c>
      <c r="K146" s="11" t="inlineStr"/>
    </row>
    <row r="147">
      <c r="A147" s="13">
        <f>IF(GL_RAW!A147="","",ROW()-1)</f>
        <v/>
      </c>
      <c r="B147" s="10">
        <f>IF(GL_RAW!A147="","",IF(ISNUMBER(GL_RAW!A147),GL_RAW!A147,DATEVALUE(TEXT(GL_RAW!A147,"YYYY-MM-DD"))))</f>
        <v/>
      </c>
      <c r="C147" s="11">
        <f>IF(GL_RAW!A147="","",TRIM(GL_RAW!B147))</f>
        <v/>
      </c>
      <c r="D147" s="11">
        <f>IF(GL_RAW!A147="","",TRIM(GL_RAW!C147))</f>
        <v/>
      </c>
      <c r="E147" s="11">
        <f>IF(GL_RAW!A147="","",TRIM(GL_RAW!D147))</f>
        <v/>
      </c>
      <c r="F147" s="11">
        <f>IF(GL_RAW!A147="","",TRIM(GL_RAW!F147))</f>
        <v/>
      </c>
      <c r="G147" s="11">
        <f>IF(GL_RAW!A147="","",TRIM(GL_RAW!G147))</f>
        <v/>
      </c>
      <c r="H147" s="12">
        <f>IF(GL_RAW!A147="","",IFERROR(GL_RAW!E147,0))</f>
        <v/>
      </c>
      <c r="I147" s="12">
        <f>IF(GL_RAW!A147="","",ABS(H147))</f>
        <v/>
      </c>
      <c r="J147" s="11">
        <f>IF(GL_RAW!A147="","",IF(OR(ISNUMBER(SEARCH("Out",F147)),ISNUMBER(SEARCH("11025002",F147)),H147&lt;0),"OUT","IN"))</f>
        <v/>
      </c>
      <c r="K147" s="11" t="inlineStr"/>
    </row>
    <row r="148">
      <c r="A148" s="13">
        <f>IF(GL_RAW!A148="","",ROW()-1)</f>
        <v/>
      </c>
      <c r="B148" s="10">
        <f>IF(GL_RAW!A148="","",IF(ISNUMBER(GL_RAW!A148),GL_RAW!A148,DATEVALUE(TEXT(GL_RAW!A148,"YYYY-MM-DD"))))</f>
        <v/>
      </c>
      <c r="C148" s="11">
        <f>IF(GL_RAW!A148="","",TRIM(GL_RAW!B148))</f>
        <v/>
      </c>
      <c r="D148" s="11">
        <f>IF(GL_RAW!A148="","",TRIM(GL_RAW!C148))</f>
        <v/>
      </c>
      <c r="E148" s="11">
        <f>IF(GL_RAW!A148="","",TRIM(GL_RAW!D148))</f>
        <v/>
      </c>
      <c r="F148" s="11">
        <f>IF(GL_RAW!A148="","",TRIM(GL_RAW!F148))</f>
        <v/>
      </c>
      <c r="G148" s="11">
        <f>IF(GL_RAW!A148="","",TRIM(GL_RAW!G148))</f>
        <v/>
      </c>
      <c r="H148" s="12">
        <f>IF(GL_RAW!A148="","",IFERROR(GL_RAW!E148,0))</f>
        <v/>
      </c>
      <c r="I148" s="12">
        <f>IF(GL_RAW!A148="","",ABS(H148))</f>
        <v/>
      </c>
      <c r="J148" s="11">
        <f>IF(GL_RAW!A148="","",IF(OR(ISNUMBER(SEARCH("Out",F148)),ISNUMBER(SEARCH("11025002",F148)),H148&lt;0),"OUT","IN"))</f>
        <v/>
      </c>
      <c r="K148" s="11" t="inlineStr"/>
    </row>
    <row r="149">
      <c r="A149" s="13">
        <f>IF(GL_RAW!A149="","",ROW()-1)</f>
        <v/>
      </c>
      <c r="B149" s="10">
        <f>IF(GL_RAW!A149="","",IF(ISNUMBER(GL_RAW!A149),GL_RAW!A149,DATEVALUE(TEXT(GL_RAW!A149,"YYYY-MM-DD"))))</f>
        <v/>
      </c>
      <c r="C149" s="11">
        <f>IF(GL_RAW!A149="","",TRIM(GL_RAW!B149))</f>
        <v/>
      </c>
      <c r="D149" s="11">
        <f>IF(GL_RAW!A149="","",TRIM(GL_RAW!C149))</f>
        <v/>
      </c>
      <c r="E149" s="11">
        <f>IF(GL_RAW!A149="","",TRIM(GL_RAW!D149))</f>
        <v/>
      </c>
      <c r="F149" s="11">
        <f>IF(GL_RAW!A149="","",TRIM(GL_RAW!F149))</f>
        <v/>
      </c>
      <c r="G149" s="11">
        <f>IF(GL_RAW!A149="","",TRIM(GL_RAW!G149))</f>
        <v/>
      </c>
      <c r="H149" s="12">
        <f>IF(GL_RAW!A149="","",IFERROR(GL_RAW!E149,0))</f>
        <v/>
      </c>
      <c r="I149" s="12">
        <f>IF(GL_RAW!A149="","",ABS(H149))</f>
        <v/>
      </c>
      <c r="J149" s="11">
        <f>IF(GL_RAW!A149="","",IF(OR(ISNUMBER(SEARCH("Out",F149)),ISNUMBER(SEARCH("11025002",F149)),H149&lt;0),"OUT","IN"))</f>
        <v/>
      </c>
      <c r="K149" s="11" t="inlineStr"/>
    </row>
    <row r="150">
      <c r="A150" s="13">
        <f>IF(GL_RAW!A150="","",ROW()-1)</f>
        <v/>
      </c>
      <c r="B150" s="10">
        <f>IF(GL_RAW!A150="","",IF(ISNUMBER(GL_RAW!A150),GL_RAW!A150,DATEVALUE(TEXT(GL_RAW!A150,"YYYY-MM-DD"))))</f>
        <v/>
      </c>
      <c r="C150" s="11">
        <f>IF(GL_RAW!A150="","",TRIM(GL_RAW!B150))</f>
        <v/>
      </c>
      <c r="D150" s="11">
        <f>IF(GL_RAW!A150="","",TRIM(GL_RAW!C150))</f>
        <v/>
      </c>
      <c r="E150" s="11">
        <f>IF(GL_RAW!A150="","",TRIM(GL_RAW!D150))</f>
        <v/>
      </c>
      <c r="F150" s="11">
        <f>IF(GL_RAW!A150="","",TRIM(GL_RAW!F150))</f>
        <v/>
      </c>
      <c r="G150" s="11">
        <f>IF(GL_RAW!A150="","",TRIM(GL_RAW!G150))</f>
        <v/>
      </c>
      <c r="H150" s="12">
        <f>IF(GL_RAW!A150="","",IFERROR(GL_RAW!E150,0))</f>
        <v/>
      </c>
      <c r="I150" s="12">
        <f>IF(GL_RAW!A150="","",ABS(H150))</f>
        <v/>
      </c>
      <c r="J150" s="11">
        <f>IF(GL_RAW!A150="","",IF(OR(ISNUMBER(SEARCH("Out",F150)),ISNUMBER(SEARCH("11025002",F150)),H150&lt;0),"OUT","IN"))</f>
        <v/>
      </c>
      <c r="K150" s="11" t="inlineStr"/>
    </row>
    <row r="151">
      <c r="A151" s="13">
        <f>IF(GL_RAW!A151="","",ROW()-1)</f>
        <v/>
      </c>
      <c r="B151" s="10">
        <f>IF(GL_RAW!A151="","",IF(ISNUMBER(GL_RAW!A151),GL_RAW!A151,DATEVALUE(TEXT(GL_RAW!A151,"YYYY-MM-DD"))))</f>
        <v/>
      </c>
      <c r="C151" s="11">
        <f>IF(GL_RAW!A151="","",TRIM(GL_RAW!B151))</f>
        <v/>
      </c>
      <c r="D151" s="11">
        <f>IF(GL_RAW!A151="","",TRIM(GL_RAW!C151))</f>
        <v/>
      </c>
      <c r="E151" s="11">
        <f>IF(GL_RAW!A151="","",TRIM(GL_RAW!D151))</f>
        <v/>
      </c>
      <c r="F151" s="11">
        <f>IF(GL_RAW!A151="","",TRIM(GL_RAW!F151))</f>
        <v/>
      </c>
      <c r="G151" s="11">
        <f>IF(GL_RAW!A151="","",TRIM(GL_RAW!G151))</f>
        <v/>
      </c>
      <c r="H151" s="12">
        <f>IF(GL_RAW!A151="","",IFERROR(GL_RAW!E151,0))</f>
        <v/>
      </c>
      <c r="I151" s="12">
        <f>IF(GL_RAW!A151="","",ABS(H151))</f>
        <v/>
      </c>
      <c r="J151" s="11">
        <f>IF(GL_RAW!A151="","",IF(OR(ISNUMBER(SEARCH("Out",F151)),ISNUMBER(SEARCH("11025002",F151)),H151&lt;0),"OUT","IN"))</f>
        <v/>
      </c>
      <c r="K151" s="11" t="inlineStr"/>
    </row>
    <row r="152">
      <c r="A152" s="13">
        <f>IF(GL_RAW!A152="","",ROW()-1)</f>
        <v/>
      </c>
      <c r="B152" s="10">
        <f>IF(GL_RAW!A152="","",IF(ISNUMBER(GL_RAW!A152),GL_RAW!A152,DATEVALUE(TEXT(GL_RAW!A152,"YYYY-MM-DD"))))</f>
        <v/>
      </c>
      <c r="C152" s="11">
        <f>IF(GL_RAW!A152="","",TRIM(GL_RAW!B152))</f>
        <v/>
      </c>
      <c r="D152" s="11">
        <f>IF(GL_RAW!A152="","",TRIM(GL_RAW!C152))</f>
        <v/>
      </c>
      <c r="E152" s="11">
        <f>IF(GL_RAW!A152="","",TRIM(GL_RAW!D152))</f>
        <v/>
      </c>
      <c r="F152" s="11">
        <f>IF(GL_RAW!A152="","",TRIM(GL_RAW!F152))</f>
        <v/>
      </c>
      <c r="G152" s="11">
        <f>IF(GL_RAW!A152="","",TRIM(GL_RAW!G152))</f>
        <v/>
      </c>
      <c r="H152" s="12">
        <f>IF(GL_RAW!A152="","",IFERROR(GL_RAW!E152,0))</f>
        <v/>
      </c>
      <c r="I152" s="12">
        <f>IF(GL_RAW!A152="","",ABS(H152))</f>
        <v/>
      </c>
      <c r="J152" s="11">
        <f>IF(GL_RAW!A152="","",IF(OR(ISNUMBER(SEARCH("Out",F152)),ISNUMBER(SEARCH("11025002",F152)),H152&lt;0),"OUT","IN"))</f>
        <v/>
      </c>
      <c r="K152" s="11" t="inlineStr"/>
    </row>
    <row r="153">
      <c r="A153" s="13">
        <f>IF(GL_RAW!A153="","",ROW()-1)</f>
        <v/>
      </c>
      <c r="B153" s="10">
        <f>IF(GL_RAW!A153="","",IF(ISNUMBER(GL_RAW!A153),GL_RAW!A153,DATEVALUE(TEXT(GL_RAW!A153,"YYYY-MM-DD"))))</f>
        <v/>
      </c>
      <c r="C153" s="11">
        <f>IF(GL_RAW!A153="","",TRIM(GL_RAW!B153))</f>
        <v/>
      </c>
      <c r="D153" s="11">
        <f>IF(GL_RAW!A153="","",TRIM(GL_RAW!C153))</f>
        <v/>
      </c>
      <c r="E153" s="11">
        <f>IF(GL_RAW!A153="","",TRIM(GL_RAW!D153))</f>
        <v/>
      </c>
      <c r="F153" s="11">
        <f>IF(GL_RAW!A153="","",TRIM(GL_RAW!F153))</f>
        <v/>
      </c>
      <c r="G153" s="11">
        <f>IF(GL_RAW!A153="","",TRIM(GL_RAW!G153))</f>
        <v/>
      </c>
      <c r="H153" s="12">
        <f>IF(GL_RAW!A153="","",IFERROR(GL_RAW!E153,0))</f>
        <v/>
      </c>
      <c r="I153" s="12">
        <f>IF(GL_RAW!A153="","",ABS(H153))</f>
        <v/>
      </c>
      <c r="J153" s="11">
        <f>IF(GL_RAW!A153="","",IF(OR(ISNUMBER(SEARCH("Out",F153)),ISNUMBER(SEARCH("11025002",F153)),H153&lt;0),"OUT","IN"))</f>
        <v/>
      </c>
      <c r="K153" s="11" t="inlineStr"/>
    </row>
    <row r="154">
      <c r="A154" s="13">
        <f>IF(GL_RAW!A154="","",ROW()-1)</f>
        <v/>
      </c>
      <c r="B154" s="10">
        <f>IF(GL_RAW!A154="","",IF(ISNUMBER(GL_RAW!A154),GL_RAW!A154,DATEVALUE(TEXT(GL_RAW!A154,"YYYY-MM-DD"))))</f>
        <v/>
      </c>
      <c r="C154" s="11">
        <f>IF(GL_RAW!A154="","",TRIM(GL_RAW!B154))</f>
        <v/>
      </c>
      <c r="D154" s="11">
        <f>IF(GL_RAW!A154="","",TRIM(GL_RAW!C154))</f>
        <v/>
      </c>
      <c r="E154" s="11">
        <f>IF(GL_RAW!A154="","",TRIM(GL_RAW!D154))</f>
        <v/>
      </c>
      <c r="F154" s="11">
        <f>IF(GL_RAW!A154="","",TRIM(GL_RAW!F154))</f>
        <v/>
      </c>
      <c r="G154" s="11">
        <f>IF(GL_RAW!A154="","",TRIM(GL_RAW!G154))</f>
        <v/>
      </c>
      <c r="H154" s="12">
        <f>IF(GL_RAW!A154="","",IFERROR(GL_RAW!E154,0))</f>
        <v/>
      </c>
      <c r="I154" s="12">
        <f>IF(GL_RAW!A154="","",ABS(H154))</f>
        <v/>
      </c>
      <c r="J154" s="11">
        <f>IF(GL_RAW!A154="","",IF(OR(ISNUMBER(SEARCH("Out",F154)),ISNUMBER(SEARCH("11025002",F154)),H154&lt;0),"OUT","IN"))</f>
        <v/>
      </c>
      <c r="K154" s="11" t="inlineStr"/>
    </row>
    <row r="155">
      <c r="A155" s="13">
        <f>IF(GL_RAW!A155="","",ROW()-1)</f>
        <v/>
      </c>
      <c r="B155" s="10">
        <f>IF(GL_RAW!A155="","",IF(ISNUMBER(GL_RAW!A155),GL_RAW!A155,DATEVALUE(TEXT(GL_RAW!A155,"YYYY-MM-DD"))))</f>
        <v/>
      </c>
      <c r="C155" s="11">
        <f>IF(GL_RAW!A155="","",TRIM(GL_RAW!B155))</f>
        <v/>
      </c>
      <c r="D155" s="11">
        <f>IF(GL_RAW!A155="","",TRIM(GL_RAW!C155))</f>
        <v/>
      </c>
      <c r="E155" s="11">
        <f>IF(GL_RAW!A155="","",TRIM(GL_RAW!D155))</f>
        <v/>
      </c>
      <c r="F155" s="11">
        <f>IF(GL_RAW!A155="","",TRIM(GL_RAW!F155))</f>
        <v/>
      </c>
      <c r="G155" s="11">
        <f>IF(GL_RAW!A155="","",TRIM(GL_RAW!G155))</f>
        <v/>
      </c>
      <c r="H155" s="12">
        <f>IF(GL_RAW!A155="","",IFERROR(GL_RAW!E155,0))</f>
        <v/>
      </c>
      <c r="I155" s="12">
        <f>IF(GL_RAW!A155="","",ABS(H155))</f>
        <v/>
      </c>
      <c r="J155" s="11">
        <f>IF(GL_RAW!A155="","",IF(OR(ISNUMBER(SEARCH("Out",F155)),ISNUMBER(SEARCH("11025002",F155)),H155&lt;0),"OUT","IN"))</f>
        <v/>
      </c>
      <c r="K155" s="11" t="inlineStr"/>
    </row>
    <row r="156">
      <c r="A156" s="13">
        <f>IF(GL_RAW!A156="","",ROW()-1)</f>
        <v/>
      </c>
      <c r="B156" s="10">
        <f>IF(GL_RAW!A156="","",IF(ISNUMBER(GL_RAW!A156),GL_RAW!A156,DATEVALUE(TEXT(GL_RAW!A156,"YYYY-MM-DD"))))</f>
        <v/>
      </c>
      <c r="C156" s="11">
        <f>IF(GL_RAW!A156="","",TRIM(GL_RAW!B156))</f>
        <v/>
      </c>
      <c r="D156" s="11">
        <f>IF(GL_RAW!A156="","",TRIM(GL_RAW!C156))</f>
        <v/>
      </c>
      <c r="E156" s="11">
        <f>IF(GL_RAW!A156="","",TRIM(GL_RAW!D156))</f>
        <v/>
      </c>
      <c r="F156" s="11">
        <f>IF(GL_RAW!A156="","",TRIM(GL_RAW!F156))</f>
        <v/>
      </c>
      <c r="G156" s="11">
        <f>IF(GL_RAW!A156="","",TRIM(GL_RAW!G156))</f>
        <v/>
      </c>
      <c r="H156" s="12">
        <f>IF(GL_RAW!A156="","",IFERROR(GL_RAW!E156,0))</f>
        <v/>
      </c>
      <c r="I156" s="12">
        <f>IF(GL_RAW!A156="","",ABS(H156))</f>
        <v/>
      </c>
      <c r="J156" s="11">
        <f>IF(GL_RAW!A156="","",IF(OR(ISNUMBER(SEARCH("Out",F156)),ISNUMBER(SEARCH("11025002",F156)),H156&lt;0),"OUT","IN"))</f>
        <v/>
      </c>
      <c r="K156" s="11" t="inlineStr"/>
    </row>
    <row r="157">
      <c r="A157" s="13">
        <f>IF(GL_RAW!A157="","",ROW()-1)</f>
        <v/>
      </c>
      <c r="B157" s="10">
        <f>IF(GL_RAW!A157="","",IF(ISNUMBER(GL_RAW!A157),GL_RAW!A157,DATEVALUE(TEXT(GL_RAW!A157,"YYYY-MM-DD"))))</f>
        <v/>
      </c>
      <c r="C157" s="11">
        <f>IF(GL_RAW!A157="","",TRIM(GL_RAW!B157))</f>
        <v/>
      </c>
      <c r="D157" s="11">
        <f>IF(GL_RAW!A157="","",TRIM(GL_RAW!C157))</f>
        <v/>
      </c>
      <c r="E157" s="11">
        <f>IF(GL_RAW!A157="","",TRIM(GL_RAW!D157))</f>
        <v/>
      </c>
      <c r="F157" s="11">
        <f>IF(GL_RAW!A157="","",TRIM(GL_RAW!F157))</f>
        <v/>
      </c>
      <c r="G157" s="11">
        <f>IF(GL_RAW!A157="","",TRIM(GL_RAW!G157))</f>
        <v/>
      </c>
      <c r="H157" s="12">
        <f>IF(GL_RAW!A157="","",IFERROR(GL_RAW!E157,0))</f>
        <v/>
      </c>
      <c r="I157" s="12">
        <f>IF(GL_RAW!A157="","",ABS(H157))</f>
        <v/>
      </c>
      <c r="J157" s="11">
        <f>IF(GL_RAW!A157="","",IF(OR(ISNUMBER(SEARCH("Out",F157)),ISNUMBER(SEARCH("11025002",F157)),H157&lt;0),"OUT","IN"))</f>
        <v/>
      </c>
      <c r="K157" s="11" t="inlineStr"/>
    </row>
    <row r="158">
      <c r="A158" s="13">
        <f>IF(GL_RAW!A158="","",ROW()-1)</f>
        <v/>
      </c>
      <c r="B158" s="10">
        <f>IF(GL_RAW!A158="","",IF(ISNUMBER(GL_RAW!A158),GL_RAW!A158,DATEVALUE(TEXT(GL_RAW!A158,"YYYY-MM-DD"))))</f>
        <v/>
      </c>
      <c r="C158" s="11">
        <f>IF(GL_RAW!A158="","",TRIM(GL_RAW!B158))</f>
        <v/>
      </c>
      <c r="D158" s="11">
        <f>IF(GL_RAW!A158="","",TRIM(GL_RAW!C158))</f>
        <v/>
      </c>
      <c r="E158" s="11">
        <f>IF(GL_RAW!A158="","",TRIM(GL_RAW!D158))</f>
        <v/>
      </c>
      <c r="F158" s="11">
        <f>IF(GL_RAW!A158="","",TRIM(GL_RAW!F158))</f>
        <v/>
      </c>
      <c r="G158" s="11">
        <f>IF(GL_RAW!A158="","",TRIM(GL_RAW!G158))</f>
        <v/>
      </c>
      <c r="H158" s="12">
        <f>IF(GL_RAW!A158="","",IFERROR(GL_RAW!E158,0))</f>
        <v/>
      </c>
      <c r="I158" s="12">
        <f>IF(GL_RAW!A158="","",ABS(H158))</f>
        <v/>
      </c>
      <c r="J158" s="11">
        <f>IF(GL_RAW!A158="","",IF(OR(ISNUMBER(SEARCH("Out",F158)),ISNUMBER(SEARCH("11025002",F158)),H158&lt;0),"OUT","IN"))</f>
        <v/>
      </c>
      <c r="K158" s="11" t="inlineStr"/>
    </row>
    <row r="159">
      <c r="A159" s="13">
        <f>IF(GL_RAW!A159="","",ROW()-1)</f>
        <v/>
      </c>
      <c r="B159" s="10">
        <f>IF(GL_RAW!A159="","",IF(ISNUMBER(GL_RAW!A159),GL_RAW!A159,DATEVALUE(TEXT(GL_RAW!A159,"YYYY-MM-DD"))))</f>
        <v/>
      </c>
      <c r="C159" s="11">
        <f>IF(GL_RAW!A159="","",TRIM(GL_RAW!B159))</f>
        <v/>
      </c>
      <c r="D159" s="11">
        <f>IF(GL_RAW!A159="","",TRIM(GL_RAW!C159))</f>
        <v/>
      </c>
      <c r="E159" s="11">
        <f>IF(GL_RAW!A159="","",TRIM(GL_RAW!D159))</f>
        <v/>
      </c>
      <c r="F159" s="11">
        <f>IF(GL_RAW!A159="","",TRIM(GL_RAW!F159))</f>
        <v/>
      </c>
      <c r="G159" s="11">
        <f>IF(GL_RAW!A159="","",TRIM(GL_RAW!G159))</f>
        <v/>
      </c>
      <c r="H159" s="12">
        <f>IF(GL_RAW!A159="","",IFERROR(GL_RAW!E159,0))</f>
        <v/>
      </c>
      <c r="I159" s="12">
        <f>IF(GL_RAW!A159="","",ABS(H159))</f>
        <v/>
      </c>
      <c r="J159" s="11">
        <f>IF(GL_RAW!A159="","",IF(OR(ISNUMBER(SEARCH("Out",F159)),ISNUMBER(SEARCH("11025002",F159)),H159&lt;0),"OUT","IN"))</f>
        <v/>
      </c>
      <c r="K159" s="11" t="inlineStr"/>
    </row>
    <row r="160">
      <c r="A160" s="13">
        <f>IF(GL_RAW!A160="","",ROW()-1)</f>
        <v/>
      </c>
      <c r="B160" s="10">
        <f>IF(GL_RAW!A160="","",IF(ISNUMBER(GL_RAW!A160),GL_RAW!A160,DATEVALUE(TEXT(GL_RAW!A160,"YYYY-MM-DD"))))</f>
        <v/>
      </c>
      <c r="C160" s="11">
        <f>IF(GL_RAW!A160="","",TRIM(GL_RAW!B160))</f>
        <v/>
      </c>
      <c r="D160" s="11">
        <f>IF(GL_RAW!A160="","",TRIM(GL_RAW!C160))</f>
        <v/>
      </c>
      <c r="E160" s="11">
        <f>IF(GL_RAW!A160="","",TRIM(GL_RAW!D160))</f>
        <v/>
      </c>
      <c r="F160" s="11">
        <f>IF(GL_RAW!A160="","",TRIM(GL_RAW!F160))</f>
        <v/>
      </c>
      <c r="G160" s="11">
        <f>IF(GL_RAW!A160="","",TRIM(GL_RAW!G160))</f>
        <v/>
      </c>
      <c r="H160" s="12">
        <f>IF(GL_RAW!A160="","",IFERROR(GL_RAW!E160,0))</f>
        <v/>
      </c>
      <c r="I160" s="12">
        <f>IF(GL_RAW!A160="","",ABS(H160))</f>
        <v/>
      </c>
      <c r="J160" s="11">
        <f>IF(GL_RAW!A160="","",IF(OR(ISNUMBER(SEARCH("Out",F160)),ISNUMBER(SEARCH("11025002",F160)),H160&lt;0),"OUT","IN"))</f>
        <v/>
      </c>
      <c r="K160" s="11" t="inlineStr"/>
    </row>
    <row r="161">
      <c r="A161" s="13">
        <f>IF(GL_RAW!A161="","",ROW()-1)</f>
        <v/>
      </c>
      <c r="B161" s="10">
        <f>IF(GL_RAW!A161="","",IF(ISNUMBER(GL_RAW!A161),GL_RAW!A161,DATEVALUE(TEXT(GL_RAW!A161,"YYYY-MM-DD"))))</f>
        <v/>
      </c>
      <c r="C161" s="11">
        <f>IF(GL_RAW!A161="","",TRIM(GL_RAW!B161))</f>
        <v/>
      </c>
      <c r="D161" s="11">
        <f>IF(GL_RAW!A161="","",TRIM(GL_RAW!C161))</f>
        <v/>
      </c>
      <c r="E161" s="11">
        <f>IF(GL_RAW!A161="","",TRIM(GL_RAW!D161))</f>
        <v/>
      </c>
      <c r="F161" s="11">
        <f>IF(GL_RAW!A161="","",TRIM(GL_RAW!F161))</f>
        <v/>
      </c>
      <c r="G161" s="11">
        <f>IF(GL_RAW!A161="","",TRIM(GL_RAW!G161))</f>
        <v/>
      </c>
      <c r="H161" s="12">
        <f>IF(GL_RAW!A161="","",IFERROR(GL_RAW!E161,0))</f>
        <v/>
      </c>
      <c r="I161" s="12">
        <f>IF(GL_RAW!A161="","",ABS(H161))</f>
        <v/>
      </c>
      <c r="J161" s="11">
        <f>IF(GL_RAW!A161="","",IF(OR(ISNUMBER(SEARCH("Out",F161)),ISNUMBER(SEARCH("11025002",F161)),H161&lt;0),"OUT","IN"))</f>
        <v/>
      </c>
      <c r="K161" s="11" t="inlineStr"/>
    </row>
    <row r="162">
      <c r="A162" s="13">
        <f>IF(GL_RAW!A162="","",ROW()-1)</f>
        <v/>
      </c>
      <c r="B162" s="10">
        <f>IF(GL_RAW!A162="","",IF(ISNUMBER(GL_RAW!A162),GL_RAW!A162,DATEVALUE(TEXT(GL_RAW!A162,"YYYY-MM-DD"))))</f>
        <v/>
      </c>
      <c r="C162" s="11">
        <f>IF(GL_RAW!A162="","",TRIM(GL_RAW!B162))</f>
        <v/>
      </c>
      <c r="D162" s="11">
        <f>IF(GL_RAW!A162="","",TRIM(GL_RAW!C162))</f>
        <v/>
      </c>
      <c r="E162" s="11">
        <f>IF(GL_RAW!A162="","",TRIM(GL_RAW!D162))</f>
        <v/>
      </c>
      <c r="F162" s="11">
        <f>IF(GL_RAW!A162="","",TRIM(GL_RAW!F162))</f>
        <v/>
      </c>
      <c r="G162" s="11">
        <f>IF(GL_RAW!A162="","",TRIM(GL_RAW!G162))</f>
        <v/>
      </c>
      <c r="H162" s="12">
        <f>IF(GL_RAW!A162="","",IFERROR(GL_RAW!E162,0))</f>
        <v/>
      </c>
      <c r="I162" s="12">
        <f>IF(GL_RAW!A162="","",ABS(H162))</f>
        <v/>
      </c>
      <c r="J162" s="11">
        <f>IF(GL_RAW!A162="","",IF(OR(ISNUMBER(SEARCH("Out",F162)),ISNUMBER(SEARCH("11025002",F162)),H162&lt;0),"OUT","IN"))</f>
        <v/>
      </c>
      <c r="K162" s="11" t="inlineStr"/>
    </row>
    <row r="163">
      <c r="A163" s="13">
        <f>IF(GL_RAW!A163="","",ROW()-1)</f>
        <v/>
      </c>
      <c r="B163" s="10">
        <f>IF(GL_RAW!A163="","",IF(ISNUMBER(GL_RAW!A163),GL_RAW!A163,DATEVALUE(TEXT(GL_RAW!A163,"YYYY-MM-DD"))))</f>
        <v/>
      </c>
      <c r="C163" s="11">
        <f>IF(GL_RAW!A163="","",TRIM(GL_RAW!B163))</f>
        <v/>
      </c>
      <c r="D163" s="11">
        <f>IF(GL_RAW!A163="","",TRIM(GL_RAW!C163))</f>
        <v/>
      </c>
      <c r="E163" s="11">
        <f>IF(GL_RAW!A163="","",TRIM(GL_RAW!D163))</f>
        <v/>
      </c>
      <c r="F163" s="11">
        <f>IF(GL_RAW!A163="","",TRIM(GL_RAW!F163))</f>
        <v/>
      </c>
      <c r="G163" s="11">
        <f>IF(GL_RAW!A163="","",TRIM(GL_RAW!G163))</f>
        <v/>
      </c>
      <c r="H163" s="12">
        <f>IF(GL_RAW!A163="","",IFERROR(GL_RAW!E163,0))</f>
        <v/>
      </c>
      <c r="I163" s="12">
        <f>IF(GL_RAW!A163="","",ABS(H163))</f>
        <v/>
      </c>
      <c r="J163" s="11">
        <f>IF(GL_RAW!A163="","",IF(OR(ISNUMBER(SEARCH("Out",F163)),ISNUMBER(SEARCH("11025002",F163)),H163&lt;0),"OUT","IN"))</f>
        <v/>
      </c>
      <c r="K163" s="11" t="inlineStr"/>
    </row>
    <row r="164">
      <c r="A164" s="13">
        <f>IF(GL_RAW!A164="","",ROW()-1)</f>
        <v/>
      </c>
      <c r="B164" s="10">
        <f>IF(GL_RAW!A164="","",IF(ISNUMBER(GL_RAW!A164),GL_RAW!A164,DATEVALUE(TEXT(GL_RAW!A164,"YYYY-MM-DD"))))</f>
        <v/>
      </c>
      <c r="C164" s="11">
        <f>IF(GL_RAW!A164="","",TRIM(GL_RAW!B164))</f>
        <v/>
      </c>
      <c r="D164" s="11">
        <f>IF(GL_RAW!A164="","",TRIM(GL_RAW!C164))</f>
        <v/>
      </c>
      <c r="E164" s="11">
        <f>IF(GL_RAW!A164="","",TRIM(GL_RAW!D164))</f>
        <v/>
      </c>
      <c r="F164" s="11">
        <f>IF(GL_RAW!A164="","",TRIM(GL_RAW!F164))</f>
        <v/>
      </c>
      <c r="G164" s="11">
        <f>IF(GL_RAW!A164="","",TRIM(GL_RAW!G164))</f>
        <v/>
      </c>
      <c r="H164" s="12">
        <f>IF(GL_RAW!A164="","",IFERROR(GL_RAW!E164,0))</f>
        <v/>
      </c>
      <c r="I164" s="12">
        <f>IF(GL_RAW!A164="","",ABS(H164))</f>
        <v/>
      </c>
      <c r="J164" s="11">
        <f>IF(GL_RAW!A164="","",IF(OR(ISNUMBER(SEARCH("Out",F164)),ISNUMBER(SEARCH("11025002",F164)),H164&lt;0),"OUT","IN"))</f>
        <v/>
      </c>
      <c r="K164" s="11" t="inlineStr"/>
    </row>
    <row r="165">
      <c r="A165" s="13">
        <f>IF(GL_RAW!A165="","",ROW()-1)</f>
        <v/>
      </c>
      <c r="B165" s="10">
        <f>IF(GL_RAW!A165="","",IF(ISNUMBER(GL_RAW!A165),GL_RAW!A165,DATEVALUE(TEXT(GL_RAW!A165,"YYYY-MM-DD"))))</f>
        <v/>
      </c>
      <c r="C165" s="11">
        <f>IF(GL_RAW!A165="","",TRIM(GL_RAW!B165))</f>
        <v/>
      </c>
      <c r="D165" s="11">
        <f>IF(GL_RAW!A165="","",TRIM(GL_RAW!C165))</f>
        <v/>
      </c>
      <c r="E165" s="11">
        <f>IF(GL_RAW!A165="","",TRIM(GL_RAW!D165))</f>
        <v/>
      </c>
      <c r="F165" s="11">
        <f>IF(GL_RAW!A165="","",TRIM(GL_RAW!F165))</f>
        <v/>
      </c>
      <c r="G165" s="11">
        <f>IF(GL_RAW!A165="","",TRIM(GL_RAW!G165))</f>
        <v/>
      </c>
      <c r="H165" s="12">
        <f>IF(GL_RAW!A165="","",IFERROR(GL_RAW!E165,0))</f>
        <v/>
      </c>
      <c r="I165" s="12">
        <f>IF(GL_RAW!A165="","",ABS(H165))</f>
        <v/>
      </c>
      <c r="J165" s="11">
        <f>IF(GL_RAW!A165="","",IF(OR(ISNUMBER(SEARCH("Out",F165)),ISNUMBER(SEARCH("11025002",F165)),H165&lt;0),"OUT","IN"))</f>
        <v/>
      </c>
      <c r="K165" s="11" t="inlineStr"/>
    </row>
    <row r="166">
      <c r="A166" s="13">
        <f>IF(GL_RAW!A166="","",ROW()-1)</f>
        <v/>
      </c>
      <c r="B166" s="10">
        <f>IF(GL_RAW!A166="","",IF(ISNUMBER(GL_RAW!A166),GL_RAW!A166,DATEVALUE(TEXT(GL_RAW!A166,"YYYY-MM-DD"))))</f>
        <v/>
      </c>
      <c r="C166" s="11">
        <f>IF(GL_RAW!A166="","",TRIM(GL_RAW!B166))</f>
        <v/>
      </c>
      <c r="D166" s="11">
        <f>IF(GL_RAW!A166="","",TRIM(GL_RAW!C166))</f>
        <v/>
      </c>
      <c r="E166" s="11">
        <f>IF(GL_RAW!A166="","",TRIM(GL_RAW!D166))</f>
        <v/>
      </c>
      <c r="F166" s="11">
        <f>IF(GL_RAW!A166="","",TRIM(GL_RAW!F166))</f>
        <v/>
      </c>
      <c r="G166" s="11">
        <f>IF(GL_RAW!A166="","",TRIM(GL_RAW!G166))</f>
        <v/>
      </c>
      <c r="H166" s="12">
        <f>IF(GL_RAW!A166="","",IFERROR(GL_RAW!E166,0))</f>
        <v/>
      </c>
      <c r="I166" s="12">
        <f>IF(GL_RAW!A166="","",ABS(H166))</f>
        <v/>
      </c>
      <c r="J166" s="11">
        <f>IF(GL_RAW!A166="","",IF(OR(ISNUMBER(SEARCH("Out",F166)),ISNUMBER(SEARCH("11025002",F166)),H166&lt;0),"OUT","IN"))</f>
        <v/>
      </c>
      <c r="K166" s="11" t="inlineStr"/>
    </row>
    <row r="167">
      <c r="A167" s="13">
        <f>IF(GL_RAW!A167="","",ROW()-1)</f>
        <v/>
      </c>
      <c r="B167" s="10">
        <f>IF(GL_RAW!A167="","",IF(ISNUMBER(GL_RAW!A167),GL_RAW!A167,DATEVALUE(TEXT(GL_RAW!A167,"YYYY-MM-DD"))))</f>
        <v/>
      </c>
      <c r="C167" s="11">
        <f>IF(GL_RAW!A167="","",TRIM(GL_RAW!B167))</f>
        <v/>
      </c>
      <c r="D167" s="11">
        <f>IF(GL_RAW!A167="","",TRIM(GL_RAW!C167))</f>
        <v/>
      </c>
      <c r="E167" s="11">
        <f>IF(GL_RAW!A167="","",TRIM(GL_RAW!D167))</f>
        <v/>
      </c>
      <c r="F167" s="11">
        <f>IF(GL_RAW!A167="","",TRIM(GL_RAW!F167))</f>
        <v/>
      </c>
      <c r="G167" s="11">
        <f>IF(GL_RAW!A167="","",TRIM(GL_RAW!G167))</f>
        <v/>
      </c>
      <c r="H167" s="12">
        <f>IF(GL_RAW!A167="","",IFERROR(GL_RAW!E167,0))</f>
        <v/>
      </c>
      <c r="I167" s="12">
        <f>IF(GL_RAW!A167="","",ABS(H167))</f>
        <v/>
      </c>
      <c r="J167" s="11">
        <f>IF(GL_RAW!A167="","",IF(OR(ISNUMBER(SEARCH("Out",F167)),ISNUMBER(SEARCH("11025002",F167)),H167&lt;0),"OUT","IN"))</f>
        <v/>
      </c>
      <c r="K167" s="11" t="inlineStr"/>
    </row>
    <row r="168">
      <c r="A168" s="13">
        <f>IF(GL_RAW!A168="","",ROW()-1)</f>
        <v/>
      </c>
      <c r="B168" s="10">
        <f>IF(GL_RAW!A168="","",IF(ISNUMBER(GL_RAW!A168),GL_RAW!A168,DATEVALUE(TEXT(GL_RAW!A168,"YYYY-MM-DD"))))</f>
        <v/>
      </c>
      <c r="C168" s="11">
        <f>IF(GL_RAW!A168="","",TRIM(GL_RAW!B168))</f>
        <v/>
      </c>
      <c r="D168" s="11">
        <f>IF(GL_RAW!A168="","",TRIM(GL_RAW!C168))</f>
        <v/>
      </c>
      <c r="E168" s="11">
        <f>IF(GL_RAW!A168="","",TRIM(GL_RAW!D168))</f>
        <v/>
      </c>
      <c r="F168" s="11">
        <f>IF(GL_RAW!A168="","",TRIM(GL_RAW!F168))</f>
        <v/>
      </c>
      <c r="G168" s="11">
        <f>IF(GL_RAW!A168="","",TRIM(GL_RAW!G168))</f>
        <v/>
      </c>
      <c r="H168" s="12">
        <f>IF(GL_RAW!A168="","",IFERROR(GL_RAW!E168,0))</f>
        <v/>
      </c>
      <c r="I168" s="12">
        <f>IF(GL_RAW!A168="","",ABS(H168))</f>
        <v/>
      </c>
      <c r="J168" s="11">
        <f>IF(GL_RAW!A168="","",IF(OR(ISNUMBER(SEARCH("Out",F168)),ISNUMBER(SEARCH("11025002",F168)),H168&lt;0),"OUT","IN"))</f>
        <v/>
      </c>
      <c r="K168" s="11" t="inlineStr"/>
    </row>
    <row r="169">
      <c r="A169" s="13">
        <f>IF(GL_RAW!A169="","",ROW()-1)</f>
        <v/>
      </c>
      <c r="B169" s="10">
        <f>IF(GL_RAW!A169="","",IF(ISNUMBER(GL_RAW!A169),GL_RAW!A169,DATEVALUE(TEXT(GL_RAW!A169,"YYYY-MM-DD"))))</f>
        <v/>
      </c>
      <c r="C169" s="11">
        <f>IF(GL_RAW!A169="","",TRIM(GL_RAW!B169))</f>
        <v/>
      </c>
      <c r="D169" s="11">
        <f>IF(GL_RAW!A169="","",TRIM(GL_RAW!C169))</f>
        <v/>
      </c>
      <c r="E169" s="11">
        <f>IF(GL_RAW!A169="","",TRIM(GL_RAW!D169))</f>
        <v/>
      </c>
      <c r="F169" s="11">
        <f>IF(GL_RAW!A169="","",TRIM(GL_RAW!F169))</f>
        <v/>
      </c>
      <c r="G169" s="11">
        <f>IF(GL_RAW!A169="","",TRIM(GL_RAW!G169))</f>
        <v/>
      </c>
      <c r="H169" s="12">
        <f>IF(GL_RAW!A169="","",IFERROR(GL_RAW!E169,0))</f>
        <v/>
      </c>
      <c r="I169" s="12">
        <f>IF(GL_RAW!A169="","",ABS(H169))</f>
        <v/>
      </c>
      <c r="J169" s="11">
        <f>IF(GL_RAW!A169="","",IF(OR(ISNUMBER(SEARCH("Out",F169)),ISNUMBER(SEARCH("11025002",F169)),H169&lt;0),"OUT","IN"))</f>
        <v/>
      </c>
      <c r="K169" s="11" t="inlineStr"/>
    </row>
    <row r="170">
      <c r="A170" s="13">
        <f>IF(GL_RAW!A170="","",ROW()-1)</f>
        <v/>
      </c>
      <c r="B170" s="10">
        <f>IF(GL_RAW!A170="","",IF(ISNUMBER(GL_RAW!A170),GL_RAW!A170,DATEVALUE(TEXT(GL_RAW!A170,"YYYY-MM-DD"))))</f>
        <v/>
      </c>
      <c r="C170" s="11">
        <f>IF(GL_RAW!A170="","",TRIM(GL_RAW!B170))</f>
        <v/>
      </c>
      <c r="D170" s="11">
        <f>IF(GL_RAW!A170="","",TRIM(GL_RAW!C170))</f>
        <v/>
      </c>
      <c r="E170" s="11">
        <f>IF(GL_RAW!A170="","",TRIM(GL_RAW!D170))</f>
        <v/>
      </c>
      <c r="F170" s="11">
        <f>IF(GL_RAW!A170="","",TRIM(GL_RAW!F170))</f>
        <v/>
      </c>
      <c r="G170" s="11">
        <f>IF(GL_RAW!A170="","",TRIM(GL_RAW!G170))</f>
        <v/>
      </c>
      <c r="H170" s="12">
        <f>IF(GL_RAW!A170="","",IFERROR(GL_RAW!E170,0))</f>
        <v/>
      </c>
      <c r="I170" s="12">
        <f>IF(GL_RAW!A170="","",ABS(H170))</f>
        <v/>
      </c>
      <c r="J170" s="11">
        <f>IF(GL_RAW!A170="","",IF(OR(ISNUMBER(SEARCH("Out",F170)),ISNUMBER(SEARCH("11025002",F170)),H170&lt;0),"OUT","IN"))</f>
        <v/>
      </c>
      <c r="K170" s="11" t="inlineStr"/>
    </row>
    <row r="171">
      <c r="A171" s="13">
        <f>IF(GL_RAW!A171="","",ROW()-1)</f>
        <v/>
      </c>
      <c r="B171" s="10">
        <f>IF(GL_RAW!A171="","",IF(ISNUMBER(GL_RAW!A171),GL_RAW!A171,DATEVALUE(TEXT(GL_RAW!A171,"YYYY-MM-DD"))))</f>
        <v/>
      </c>
      <c r="C171" s="11">
        <f>IF(GL_RAW!A171="","",TRIM(GL_RAW!B171))</f>
        <v/>
      </c>
      <c r="D171" s="11">
        <f>IF(GL_RAW!A171="","",TRIM(GL_RAW!C171))</f>
        <v/>
      </c>
      <c r="E171" s="11">
        <f>IF(GL_RAW!A171="","",TRIM(GL_RAW!D171))</f>
        <v/>
      </c>
      <c r="F171" s="11">
        <f>IF(GL_RAW!A171="","",TRIM(GL_RAW!F171))</f>
        <v/>
      </c>
      <c r="G171" s="11">
        <f>IF(GL_RAW!A171="","",TRIM(GL_RAW!G171))</f>
        <v/>
      </c>
      <c r="H171" s="12">
        <f>IF(GL_RAW!A171="","",IFERROR(GL_RAW!E171,0))</f>
        <v/>
      </c>
      <c r="I171" s="12">
        <f>IF(GL_RAW!A171="","",ABS(H171))</f>
        <v/>
      </c>
      <c r="J171" s="11">
        <f>IF(GL_RAW!A171="","",IF(OR(ISNUMBER(SEARCH("Out",F171)),ISNUMBER(SEARCH("11025002",F171)),H171&lt;0),"OUT","IN"))</f>
        <v/>
      </c>
      <c r="K171" s="11" t="inlineStr"/>
    </row>
    <row r="172">
      <c r="A172" s="13">
        <f>IF(GL_RAW!A172="","",ROW()-1)</f>
        <v/>
      </c>
      <c r="B172" s="10">
        <f>IF(GL_RAW!A172="","",IF(ISNUMBER(GL_RAW!A172),GL_RAW!A172,DATEVALUE(TEXT(GL_RAW!A172,"YYYY-MM-DD"))))</f>
        <v/>
      </c>
      <c r="C172" s="11">
        <f>IF(GL_RAW!A172="","",TRIM(GL_RAW!B172))</f>
        <v/>
      </c>
      <c r="D172" s="11">
        <f>IF(GL_RAW!A172="","",TRIM(GL_RAW!C172))</f>
        <v/>
      </c>
      <c r="E172" s="11">
        <f>IF(GL_RAW!A172="","",TRIM(GL_RAW!D172))</f>
        <v/>
      </c>
      <c r="F172" s="11">
        <f>IF(GL_RAW!A172="","",TRIM(GL_RAW!F172))</f>
        <v/>
      </c>
      <c r="G172" s="11">
        <f>IF(GL_RAW!A172="","",TRIM(GL_RAW!G172))</f>
        <v/>
      </c>
      <c r="H172" s="12">
        <f>IF(GL_RAW!A172="","",IFERROR(GL_RAW!E172,0))</f>
        <v/>
      </c>
      <c r="I172" s="12">
        <f>IF(GL_RAW!A172="","",ABS(H172))</f>
        <v/>
      </c>
      <c r="J172" s="11">
        <f>IF(GL_RAW!A172="","",IF(OR(ISNUMBER(SEARCH("Out",F172)),ISNUMBER(SEARCH("11025002",F172)),H172&lt;0),"OUT","IN"))</f>
        <v/>
      </c>
      <c r="K172" s="11" t="inlineStr"/>
    </row>
    <row r="173">
      <c r="A173" s="13">
        <f>IF(GL_RAW!A173="","",ROW()-1)</f>
        <v/>
      </c>
      <c r="B173" s="10">
        <f>IF(GL_RAW!A173="","",IF(ISNUMBER(GL_RAW!A173),GL_RAW!A173,DATEVALUE(TEXT(GL_RAW!A173,"YYYY-MM-DD"))))</f>
        <v/>
      </c>
      <c r="C173" s="11">
        <f>IF(GL_RAW!A173="","",TRIM(GL_RAW!B173))</f>
        <v/>
      </c>
      <c r="D173" s="11">
        <f>IF(GL_RAW!A173="","",TRIM(GL_RAW!C173))</f>
        <v/>
      </c>
      <c r="E173" s="11">
        <f>IF(GL_RAW!A173="","",TRIM(GL_RAW!D173))</f>
        <v/>
      </c>
      <c r="F173" s="11">
        <f>IF(GL_RAW!A173="","",TRIM(GL_RAW!F173))</f>
        <v/>
      </c>
      <c r="G173" s="11">
        <f>IF(GL_RAW!A173="","",TRIM(GL_RAW!G173))</f>
        <v/>
      </c>
      <c r="H173" s="12">
        <f>IF(GL_RAW!A173="","",IFERROR(GL_RAW!E173,0))</f>
        <v/>
      </c>
      <c r="I173" s="12">
        <f>IF(GL_RAW!A173="","",ABS(H173))</f>
        <v/>
      </c>
      <c r="J173" s="11">
        <f>IF(GL_RAW!A173="","",IF(OR(ISNUMBER(SEARCH("Out",F173)),ISNUMBER(SEARCH("11025002",F173)),H173&lt;0),"OUT","IN"))</f>
        <v/>
      </c>
      <c r="K173" s="11" t="inlineStr"/>
    </row>
    <row r="174">
      <c r="A174" s="13">
        <f>IF(GL_RAW!A174="","",ROW()-1)</f>
        <v/>
      </c>
      <c r="B174" s="10">
        <f>IF(GL_RAW!A174="","",IF(ISNUMBER(GL_RAW!A174),GL_RAW!A174,DATEVALUE(TEXT(GL_RAW!A174,"YYYY-MM-DD"))))</f>
        <v/>
      </c>
      <c r="C174" s="11">
        <f>IF(GL_RAW!A174="","",TRIM(GL_RAW!B174))</f>
        <v/>
      </c>
      <c r="D174" s="11">
        <f>IF(GL_RAW!A174="","",TRIM(GL_RAW!C174))</f>
        <v/>
      </c>
      <c r="E174" s="11">
        <f>IF(GL_RAW!A174="","",TRIM(GL_RAW!D174))</f>
        <v/>
      </c>
      <c r="F174" s="11">
        <f>IF(GL_RAW!A174="","",TRIM(GL_RAW!F174))</f>
        <v/>
      </c>
      <c r="G174" s="11">
        <f>IF(GL_RAW!A174="","",TRIM(GL_RAW!G174))</f>
        <v/>
      </c>
      <c r="H174" s="12">
        <f>IF(GL_RAW!A174="","",IFERROR(GL_RAW!E174,0))</f>
        <v/>
      </c>
      <c r="I174" s="12">
        <f>IF(GL_RAW!A174="","",ABS(H174))</f>
        <v/>
      </c>
      <c r="J174" s="11">
        <f>IF(GL_RAW!A174="","",IF(OR(ISNUMBER(SEARCH("Out",F174)),ISNUMBER(SEARCH("11025002",F174)),H174&lt;0),"OUT","IN"))</f>
        <v/>
      </c>
      <c r="K174" s="11" t="inlineStr"/>
    </row>
    <row r="175">
      <c r="A175" s="13">
        <f>IF(GL_RAW!A175="","",ROW()-1)</f>
        <v/>
      </c>
      <c r="B175" s="10">
        <f>IF(GL_RAW!A175="","",IF(ISNUMBER(GL_RAW!A175),GL_RAW!A175,DATEVALUE(TEXT(GL_RAW!A175,"YYYY-MM-DD"))))</f>
        <v/>
      </c>
      <c r="C175" s="11">
        <f>IF(GL_RAW!A175="","",TRIM(GL_RAW!B175))</f>
        <v/>
      </c>
      <c r="D175" s="11">
        <f>IF(GL_RAW!A175="","",TRIM(GL_RAW!C175))</f>
        <v/>
      </c>
      <c r="E175" s="11">
        <f>IF(GL_RAW!A175="","",TRIM(GL_RAW!D175))</f>
        <v/>
      </c>
      <c r="F175" s="11">
        <f>IF(GL_RAW!A175="","",TRIM(GL_RAW!F175))</f>
        <v/>
      </c>
      <c r="G175" s="11">
        <f>IF(GL_RAW!A175="","",TRIM(GL_RAW!G175))</f>
        <v/>
      </c>
      <c r="H175" s="12">
        <f>IF(GL_RAW!A175="","",IFERROR(GL_RAW!E175,0))</f>
        <v/>
      </c>
      <c r="I175" s="12">
        <f>IF(GL_RAW!A175="","",ABS(H175))</f>
        <v/>
      </c>
      <c r="J175" s="11">
        <f>IF(GL_RAW!A175="","",IF(OR(ISNUMBER(SEARCH("Out",F175)),ISNUMBER(SEARCH("11025002",F175)),H175&lt;0),"OUT","IN"))</f>
        <v/>
      </c>
      <c r="K175" s="11" t="inlineStr"/>
    </row>
    <row r="176">
      <c r="A176" s="13">
        <f>IF(GL_RAW!A176="","",ROW()-1)</f>
        <v/>
      </c>
      <c r="B176" s="10">
        <f>IF(GL_RAW!A176="","",IF(ISNUMBER(GL_RAW!A176),GL_RAW!A176,DATEVALUE(TEXT(GL_RAW!A176,"YYYY-MM-DD"))))</f>
        <v/>
      </c>
      <c r="C176" s="11">
        <f>IF(GL_RAW!A176="","",TRIM(GL_RAW!B176))</f>
        <v/>
      </c>
      <c r="D176" s="11">
        <f>IF(GL_RAW!A176="","",TRIM(GL_RAW!C176))</f>
        <v/>
      </c>
      <c r="E176" s="11">
        <f>IF(GL_RAW!A176="","",TRIM(GL_RAW!D176))</f>
        <v/>
      </c>
      <c r="F176" s="11">
        <f>IF(GL_RAW!A176="","",TRIM(GL_RAW!F176))</f>
        <v/>
      </c>
      <c r="G176" s="11">
        <f>IF(GL_RAW!A176="","",TRIM(GL_RAW!G176))</f>
        <v/>
      </c>
      <c r="H176" s="12">
        <f>IF(GL_RAW!A176="","",IFERROR(GL_RAW!E176,0))</f>
        <v/>
      </c>
      <c r="I176" s="12">
        <f>IF(GL_RAW!A176="","",ABS(H176))</f>
        <v/>
      </c>
      <c r="J176" s="11">
        <f>IF(GL_RAW!A176="","",IF(OR(ISNUMBER(SEARCH("Out",F176)),ISNUMBER(SEARCH("11025002",F176)),H176&lt;0),"OUT","IN"))</f>
        <v/>
      </c>
      <c r="K176" s="11" t="inlineStr"/>
    </row>
    <row r="177">
      <c r="A177" s="13">
        <f>IF(GL_RAW!A177="","",ROW()-1)</f>
        <v/>
      </c>
      <c r="B177" s="10">
        <f>IF(GL_RAW!A177="","",IF(ISNUMBER(GL_RAW!A177),GL_RAW!A177,DATEVALUE(TEXT(GL_RAW!A177,"YYYY-MM-DD"))))</f>
        <v/>
      </c>
      <c r="C177" s="11">
        <f>IF(GL_RAW!A177="","",TRIM(GL_RAW!B177))</f>
        <v/>
      </c>
      <c r="D177" s="11">
        <f>IF(GL_RAW!A177="","",TRIM(GL_RAW!C177))</f>
        <v/>
      </c>
      <c r="E177" s="11">
        <f>IF(GL_RAW!A177="","",TRIM(GL_RAW!D177))</f>
        <v/>
      </c>
      <c r="F177" s="11">
        <f>IF(GL_RAW!A177="","",TRIM(GL_RAW!F177))</f>
        <v/>
      </c>
      <c r="G177" s="11">
        <f>IF(GL_RAW!A177="","",TRIM(GL_RAW!G177))</f>
        <v/>
      </c>
      <c r="H177" s="12">
        <f>IF(GL_RAW!A177="","",IFERROR(GL_RAW!E177,0))</f>
        <v/>
      </c>
      <c r="I177" s="12">
        <f>IF(GL_RAW!A177="","",ABS(H177))</f>
        <v/>
      </c>
      <c r="J177" s="11">
        <f>IF(GL_RAW!A177="","",IF(OR(ISNUMBER(SEARCH("Out",F177)),ISNUMBER(SEARCH("11025002",F177)),H177&lt;0),"OUT","IN"))</f>
        <v/>
      </c>
      <c r="K177" s="11" t="inlineStr"/>
    </row>
    <row r="178">
      <c r="A178" s="13">
        <f>IF(GL_RAW!A178="","",ROW()-1)</f>
        <v/>
      </c>
      <c r="B178" s="10">
        <f>IF(GL_RAW!A178="","",IF(ISNUMBER(GL_RAW!A178),GL_RAW!A178,DATEVALUE(TEXT(GL_RAW!A178,"YYYY-MM-DD"))))</f>
        <v/>
      </c>
      <c r="C178" s="11">
        <f>IF(GL_RAW!A178="","",TRIM(GL_RAW!B178))</f>
        <v/>
      </c>
      <c r="D178" s="11">
        <f>IF(GL_RAW!A178="","",TRIM(GL_RAW!C178))</f>
        <v/>
      </c>
      <c r="E178" s="11">
        <f>IF(GL_RAW!A178="","",TRIM(GL_RAW!D178))</f>
        <v/>
      </c>
      <c r="F178" s="11">
        <f>IF(GL_RAW!A178="","",TRIM(GL_RAW!F178))</f>
        <v/>
      </c>
      <c r="G178" s="11">
        <f>IF(GL_RAW!A178="","",TRIM(GL_RAW!G178))</f>
        <v/>
      </c>
      <c r="H178" s="12">
        <f>IF(GL_RAW!A178="","",IFERROR(GL_RAW!E178,0))</f>
        <v/>
      </c>
      <c r="I178" s="12">
        <f>IF(GL_RAW!A178="","",ABS(H178))</f>
        <v/>
      </c>
      <c r="J178" s="11">
        <f>IF(GL_RAW!A178="","",IF(OR(ISNUMBER(SEARCH("Out",F178)),ISNUMBER(SEARCH("11025002",F178)),H178&lt;0),"OUT","IN"))</f>
        <v/>
      </c>
      <c r="K178" s="11" t="inlineStr"/>
    </row>
    <row r="179">
      <c r="A179" s="13">
        <f>IF(GL_RAW!A179="","",ROW()-1)</f>
        <v/>
      </c>
      <c r="B179" s="10">
        <f>IF(GL_RAW!A179="","",IF(ISNUMBER(GL_RAW!A179),GL_RAW!A179,DATEVALUE(TEXT(GL_RAW!A179,"YYYY-MM-DD"))))</f>
        <v/>
      </c>
      <c r="C179" s="11">
        <f>IF(GL_RAW!A179="","",TRIM(GL_RAW!B179))</f>
        <v/>
      </c>
      <c r="D179" s="11">
        <f>IF(GL_RAW!A179="","",TRIM(GL_RAW!C179))</f>
        <v/>
      </c>
      <c r="E179" s="11">
        <f>IF(GL_RAW!A179="","",TRIM(GL_RAW!D179))</f>
        <v/>
      </c>
      <c r="F179" s="11">
        <f>IF(GL_RAW!A179="","",TRIM(GL_RAW!F179))</f>
        <v/>
      </c>
      <c r="G179" s="11">
        <f>IF(GL_RAW!A179="","",TRIM(GL_RAW!G179))</f>
        <v/>
      </c>
      <c r="H179" s="12">
        <f>IF(GL_RAW!A179="","",IFERROR(GL_RAW!E179,0))</f>
        <v/>
      </c>
      <c r="I179" s="12">
        <f>IF(GL_RAW!A179="","",ABS(H179))</f>
        <v/>
      </c>
      <c r="J179" s="11">
        <f>IF(GL_RAW!A179="","",IF(OR(ISNUMBER(SEARCH("Out",F179)),ISNUMBER(SEARCH("11025002",F179)),H179&lt;0),"OUT","IN"))</f>
        <v/>
      </c>
      <c r="K179" s="11" t="inlineStr"/>
    </row>
    <row r="180">
      <c r="A180" s="13">
        <f>IF(GL_RAW!A180="","",ROW()-1)</f>
        <v/>
      </c>
      <c r="B180" s="10">
        <f>IF(GL_RAW!A180="","",IF(ISNUMBER(GL_RAW!A180),GL_RAW!A180,DATEVALUE(TEXT(GL_RAW!A180,"YYYY-MM-DD"))))</f>
        <v/>
      </c>
      <c r="C180" s="11">
        <f>IF(GL_RAW!A180="","",TRIM(GL_RAW!B180))</f>
        <v/>
      </c>
      <c r="D180" s="11">
        <f>IF(GL_RAW!A180="","",TRIM(GL_RAW!C180))</f>
        <v/>
      </c>
      <c r="E180" s="11">
        <f>IF(GL_RAW!A180="","",TRIM(GL_RAW!D180))</f>
        <v/>
      </c>
      <c r="F180" s="11">
        <f>IF(GL_RAW!A180="","",TRIM(GL_RAW!F180))</f>
        <v/>
      </c>
      <c r="G180" s="11">
        <f>IF(GL_RAW!A180="","",TRIM(GL_RAW!G180))</f>
        <v/>
      </c>
      <c r="H180" s="12">
        <f>IF(GL_RAW!A180="","",IFERROR(GL_RAW!E180,0))</f>
        <v/>
      </c>
      <c r="I180" s="12">
        <f>IF(GL_RAW!A180="","",ABS(H180))</f>
        <v/>
      </c>
      <c r="J180" s="11">
        <f>IF(GL_RAW!A180="","",IF(OR(ISNUMBER(SEARCH("Out",F180)),ISNUMBER(SEARCH("11025002",F180)),H180&lt;0),"OUT","IN"))</f>
        <v/>
      </c>
      <c r="K180" s="11" t="inlineStr"/>
    </row>
    <row r="181">
      <c r="A181" s="13">
        <f>IF(GL_RAW!A181="","",ROW()-1)</f>
        <v/>
      </c>
      <c r="B181" s="10">
        <f>IF(GL_RAW!A181="","",IF(ISNUMBER(GL_RAW!A181),GL_RAW!A181,DATEVALUE(TEXT(GL_RAW!A181,"YYYY-MM-DD"))))</f>
        <v/>
      </c>
      <c r="C181" s="11">
        <f>IF(GL_RAW!A181="","",TRIM(GL_RAW!B181))</f>
        <v/>
      </c>
      <c r="D181" s="11">
        <f>IF(GL_RAW!A181="","",TRIM(GL_RAW!C181))</f>
        <v/>
      </c>
      <c r="E181" s="11">
        <f>IF(GL_RAW!A181="","",TRIM(GL_RAW!D181))</f>
        <v/>
      </c>
      <c r="F181" s="11">
        <f>IF(GL_RAW!A181="","",TRIM(GL_RAW!F181))</f>
        <v/>
      </c>
      <c r="G181" s="11">
        <f>IF(GL_RAW!A181="","",TRIM(GL_RAW!G181))</f>
        <v/>
      </c>
      <c r="H181" s="12">
        <f>IF(GL_RAW!A181="","",IFERROR(GL_RAW!E181,0))</f>
        <v/>
      </c>
      <c r="I181" s="12">
        <f>IF(GL_RAW!A181="","",ABS(H181))</f>
        <v/>
      </c>
      <c r="J181" s="11">
        <f>IF(GL_RAW!A181="","",IF(OR(ISNUMBER(SEARCH("Out",F181)),ISNUMBER(SEARCH("11025002",F181)),H181&lt;0),"OUT","IN"))</f>
        <v/>
      </c>
      <c r="K181" s="11" t="inlineStr"/>
    </row>
    <row r="182">
      <c r="A182" s="13">
        <f>IF(GL_RAW!A182="","",ROW()-1)</f>
        <v/>
      </c>
      <c r="B182" s="10">
        <f>IF(GL_RAW!A182="","",IF(ISNUMBER(GL_RAW!A182),GL_RAW!A182,DATEVALUE(TEXT(GL_RAW!A182,"YYYY-MM-DD"))))</f>
        <v/>
      </c>
      <c r="C182" s="11">
        <f>IF(GL_RAW!A182="","",TRIM(GL_RAW!B182))</f>
        <v/>
      </c>
      <c r="D182" s="11">
        <f>IF(GL_RAW!A182="","",TRIM(GL_RAW!C182))</f>
        <v/>
      </c>
      <c r="E182" s="11">
        <f>IF(GL_RAW!A182="","",TRIM(GL_RAW!D182))</f>
        <v/>
      </c>
      <c r="F182" s="11">
        <f>IF(GL_RAW!A182="","",TRIM(GL_RAW!F182))</f>
        <v/>
      </c>
      <c r="G182" s="11">
        <f>IF(GL_RAW!A182="","",TRIM(GL_RAW!G182))</f>
        <v/>
      </c>
      <c r="H182" s="12">
        <f>IF(GL_RAW!A182="","",IFERROR(GL_RAW!E182,0))</f>
        <v/>
      </c>
      <c r="I182" s="12">
        <f>IF(GL_RAW!A182="","",ABS(H182))</f>
        <v/>
      </c>
      <c r="J182" s="11">
        <f>IF(GL_RAW!A182="","",IF(OR(ISNUMBER(SEARCH("Out",F182)),ISNUMBER(SEARCH("11025002",F182)),H182&lt;0),"OUT","IN"))</f>
        <v/>
      </c>
      <c r="K182" s="11" t="inlineStr"/>
    </row>
    <row r="183">
      <c r="A183" s="13">
        <f>IF(GL_RAW!A183="","",ROW()-1)</f>
        <v/>
      </c>
      <c r="B183" s="10">
        <f>IF(GL_RAW!A183="","",IF(ISNUMBER(GL_RAW!A183),GL_RAW!A183,DATEVALUE(TEXT(GL_RAW!A183,"YYYY-MM-DD"))))</f>
        <v/>
      </c>
      <c r="C183" s="11">
        <f>IF(GL_RAW!A183="","",TRIM(GL_RAW!B183))</f>
        <v/>
      </c>
      <c r="D183" s="11">
        <f>IF(GL_RAW!A183="","",TRIM(GL_RAW!C183))</f>
        <v/>
      </c>
      <c r="E183" s="11">
        <f>IF(GL_RAW!A183="","",TRIM(GL_RAW!D183))</f>
        <v/>
      </c>
      <c r="F183" s="11">
        <f>IF(GL_RAW!A183="","",TRIM(GL_RAW!F183))</f>
        <v/>
      </c>
      <c r="G183" s="11">
        <f>IF(GL_RAW!A183="","",TRIM(GL_RAW!G183))</f>
        <v/>
      </c>
      <c r="H183" s="12">
        <f>IF(GL_RAW!A183="","",IFERROR(GL_RAW!E183,0))</f>
        <v/>
      </c>
      <c r="I183" s="12">
        <f>IF(GL_RAW!A183="","",ABS(H183))</f>
        <v/>
      </c>
      <c r="J183" s="11">
        <f>IF(GL_RAW!A183="","",IF(OR(ISNUMBER(SEARCH("Out",F183)),ISNUMBER(SEARCH("11025002",F183)),H183&lt;0),"OUT","IN"))</f>
        <v/>
      </c>
      <c r="K183" s="11" t="inlineStr"/>
    </row>
    <row r="184">
      <c r="A184" s="13">
        <f>IF(GL_RAW!A184="","",ROW()-1)</f>
        <v/>
      </c>
      <c r="B184" s="10">
        <f>IF(GL_RAW!A184="","",IF(ISNUMBER(GL_RAW!A184),GL_RAW!A184,DATEVALUE(TEXT(GL_RAW!A184,"YYYY-MM-DD"))))</f>
        <v/>
      </c>
      <c r="C184" s="11">
        <f>IF(GL_RAW!A184="","",TRIM(GL_RAW!B184))</f>
        <v/>
      </c>
      <c r="D184" s="11">
        <f>IF(GL_RAW!A184="","",TRIM(GL_RAW!C184))</f>
        <v/>
      </c>
      <c r="E184" s="11">
        <f>IF(GL_RAW!A184="","",TRIM(GL_RAW!D184))</f>
        <v/>
      </c>
      <c r="F184" s="11">
        <f>IF(GL_RAW!A184="","",TRIM(GL_RAW!F184))</f>
        <v/>
      </c>
      <c r="G184" s="11">
        <f>IF(GL_RAW!A184="","",TRIM(GL_RAW!G184))</f>
        <v/>
      </c>
      <c r="H184" s="12">
        <f>IF(GL_RAW!A184="","",IFERROR(GL_RAW!E184,0))</f>
        <v/>
      </c>
      <c r="I184" s="12">
        <f>IF(GL_RAW!A184="","",ABS(H184))</f>
        <v/>
      </c>
      <c r="J184" s="11">
        <f>IF(GL_RAW!A184="","",IF(OR(ISNUMBER(SEARCH("Out",F184)),ISNUMBER(SEARCH("11025002",F184)),H184&lt;0),"OUT","IN"))</f>
        <v/>
      </c>
      <c r="K184" s="11" t="inlineStr"/>
    </row>
    <row r="185">
      <c r="A185" s="13">
        <f>IF(GL_RAW!A185="","",ROW()-1)</f>
        <v/>
      </c>
      <c r="B185" s="10">
        <f>IF(GL_RAW!A185="","",IF(ISNUMBER(GL_RAW!A185),GL_RAW!A185,DATEVALUE(TEXT(GL_RAW!A185,"YYYY-MM-DD"))))</f>
        <v/>
      </c>
      <c r="C185" s="11">
        <f>IF(GL_RAW!A185="","",TRIM(GL_RAW!B185))</f>
        <v/>
      </c>
      <c r="D185" s="11">
        <f>IF(GL_RAW!A185="","",TRIM(GL_RAW!C185))</f>
        <v/>
      </c>
      <c r="E185" s="11">
        <f>IF(GL_RAW!A185="","",TRIM(GL_RAW!D185))</f>
        <v/>
      </c>
      <c r="F185" s="11">
        <f>IF(GL_RAW!A185="","",TRIM(GL_RAW!F185))</f>
        <v/>
      </c>
      <c r="G185" s="11">
        <f>IF(GL_RAW!A185="","",TRIM(GL_RAW!G185))</f>
        <v/>
      </c>
      <c r="H185" s="12">
        <f>IF(GL_RAW!A185="","",IFERROR(GL_RAW!E185,0))</f>
        <v/>
      </c>
      <c r="I185" s="12">
        <f>IF(GL_RAW!A185="","",ABS(H185))</f>
        <v/>
      </c>
      <c r="J185" s="11">
        <f>IF(GL_RAW!A185="","",IF(OR(ISNUMBER(SEARCH("Out",F185)),ISNUMBER(SEARCH("11025002",F185)),H185&lt;0),"OUT","IN"))</f>
        <v/>
      </c>
      <c r="K185" s="11" t="inlineStr"/>
    </row>
    <row r="186">
      <c r="A186" s="13">
        <f>IF(GL_RAW!A186="","",ROW()-1)</f>
        <v/>
      </c>
      <c r="B186" s="10">
        <f>IF(GL_RAW!A186="","",IF(ISNUMBER(GL_RAW!A186),GL_RAW!A186,DATEVALUE(TEXT(GL_RAW!A186,"YYYY-MM-DD"))))</f>
        <v/>
      </c>
      <c r="C186" s="11">
        <f>IF(GL_RAW!A186="","",TRIM(GL_RAW!B186))</f>
        <v/>
      </c>
      <c r="D186" s="11">
        <f>IF(GL_RAW!A186="","",TRIM(GL_RAW!C186))</f>
        <v/>
      </c>
      <c r="E186" s="11">
        <f>IF(GL_RAW!A186="","",TRIM(GL_RAW!D186))</f>
        <v/>
      </c>
      <c r="F186" s="11">
        <f>IF(GL_RAW!A186="","",TRIM(GL_RAW!F186))</f>
        <v/>
      </c>
      <c r="G186" s="11">
        <f>IF(GL_RAW!A186="","",TRIM(GL_RAW!G186))</f>
        <v/>
      </c>
      <c r="H186" s="12">
        <f>IF(GL_RAW!A186="","",IFERROR(GL_RAW!E186,0))</f>
        <v/>
      </c>
      <c r="I186" s="12">
        <f>IF(GL_RAW!A186="","",ABS(H186))</f>
        <v/>
      </c>
      <c r="J186" s="11">
        <f>IF(GL_RAW!A186="","",IF(OR(ISNUMBER(SEARCH("Out",F186)),ISNUMBER(SEARCH("11025002",F186)),H186&lt;0),"OUT","IN"))</f>
        <v/>
      </c>
      <c r="K186" s="11" t="inlineStr"/>
    </row>
    <row r="187">
      <c r="A187" s="13">
        <f>IF(GL_RAW!A187="","",ROW()-1)</f>
        <v/>
      </c>
      <c r="B187" s="10">
        <f>IF(GL_RAW!A187="","",IF(ISNUMBER(GL_RAW!A187),GL_RAW!A187,DATEVALUE(TEXT(GL_RAW!A187,"YYYY-MM-DD"))))</f>
        <v/>
      </c>
      <c r="C187" s="11">
        <f>IF(GL_RAW!A187="","",TRIM(GL_RAW!B187))</f>
        <v/>
      </c>
      <c r="D187" s="11">
        <f>IF(GL_RAW!A187="","",TRIM(GL_RAW!C187))</f>
        <v/>
      </c>
      <c r="E187" s="11">
        <f>IF(GL_RAW!A187="","",TRIM(GL_RAW!D187))</f>
        <v/>
      </c>
      <c r="F187" s="11">
        <f>IF(GL_RAW!A187="","",TRIM(GL_RAW!F187))</f>
        <v/>
      </c>
      <c r="G187" s="11">
        <f>IF(GL_RAW!A187="","",TRIM(GL_RAW!G187))</f>
        <v/>
      </c>
      <c r="H187" s="12">
        <f>IF(GL_RAW!A187="","",IFERROR(GL_RAW!E187,0))</f>
        <v/>
      </c>
      <c r="I187" s="12">
        <f>IF(GL_RAW!A187="","",ABS(H187))</f>
        <v/>
      </c>
      <c r="J187" s="11">
        <f>IF(GL_RAW!A187="","",IF(OR(ISNUMBER(SEARCH("Out",F187)),ISNUMBER(SEARCH("11025002",F187)),H187&lt;0),"OUT","IN"))</f>
        <v/>
      </c>
      <c r="K187" s="11" t="inlineStr"/>
    </row>
    <row r="188">
      <c r="A188" s="13">
        <f>IF(GL_RAW!A188="","",ROW()-1)</f>
        <v/>
      </c>
      <c r="B188" s="10">
        <f>IF(GL_RAW!A188="","",IF(ISNUMBER(GL_RAW!A188),GL_RAW!A188,DATEVALUE(TEXT(GL_RAW!A188,"YYYY-MM-DD"))))</f>
        <v/>
      </c>
      <c r="C188" s="11">
        <f>IF(GL_RAW!A188="","",TRIM(GL_RAW!B188))</f>
        <v/>
      </c>
      <c r="D188" s="11">
        <f>IF(GL_RAW!A188="","",TRIM(GL_RAW!C188))</f>
        <v/>
      </c>
      <c r="E188" s="11">
        <f>IF(GL_RAW!A188="","",TRIM(GL_RAW!D188))</f>
        <v/>
      </c>
      <c r="F188" s="11">
        <f>IF(GL_RAW!A188="","",TRIM(GL_RAW!F188))</f>
        <v/>
      </c>
      <c r="G188" s="11">
        <f>IF(GL_RAW!A188="","",TRIM(GL_RAW!G188))</f>
        <v/>
      </c>
      <c r="H188" s="12">
        <f>IF(GL_RAW!A188="","",IFERROR(GL_RAW!E188,0))</f>
        <v/>
      </c>
      <c r="I188" s="12">
        <f>IF(GL_RAW!A188="","",ABS(H188))</f>
        <v/>
      </c>
      <c r="J188" s="11">
        <f>IF(GL_RAW!A188="","",IF(OR(ISNUMBER(SEARCH("Out",F188)),ISNUMBER(SEARCH("11025002",F188)),H188&lt;0),"OUT","IN"))</f>
        <v/>
      </c>
      <c r="K188" s="11" t="inlineStr"/>
    </row>
    <row r="189">
      <c r="A189" s="13">
        <f>IF(GL_RAW!A189="","",ROW()-1)</f>
        <v/>
      </c>
      <c r="B189" s="10">
        <f>IF(GL_RAW!A189="","",IF(ISNUMBER(GL_RAW!A189),GL_RAW!A189,DATEVALUE(TEXT(GL_RAW!A189,"YYYY-MM-DD"))))</f>
        <v/>
      </c>
      <c r="C189" s="11">
        <f>IF(GL_RAW!A189="","",TRIM(GL_RAW!B189))</f>
        <v/>
      </c>
      <c r="D189" s="11">
        <f>IF(GL_RAW!A189="","",TRIM(GL_RAW!C189))</f>
        <v/>
      </c>
      <c r="E189" s="11">
        <f>IF(GL_RAW!A189="","",TRIM(GL_RAW!D189))</f>
        <v/>
      </c>
      <c r="F189" s="11">
        <f>IF(GL_RAW!A189="","",TRIM(GL_RAW!F189))</f>
        <v/>
      </c>
      <c r="G189" s="11">
        <f>IF(GL_RAW!A189="","",TRIM(GL_RAW!G189))</f>
        <v/>
      </c>
      <c r="H189" s="12">
        <f>IF(GL_RAW!A189="","",IFERROR(GL_RAW!E189,0))</f>
        <v/>
      </c>
      <c r="I189" s="12">
        <f>IF(GL_RAW!A189="","",ABS(H189))</f>
        <v/>
      </c>
      <c r="J189" s="11">
        <f>IF(GL_RAW!A189="","",IF(OR(ISNUMBER(SEARCH("Out",F189)),ISNUMBER(SEARCH("11025002",F189)),H189&lt;0),"OUT","IN"))</f>
        <v/>
      </c>
      <c r="K189" s="11" t="inlineStr"/>
    </row>
    <row r="190">
      <c r="A190" s="13">
        <f>IF(GL_RAW!A190="","",ROW()-1)</f>
        <v/>
      </c>
      <c r="B190" s="10">
        <f>IF(GL_RAW!A190="","",IF(ISNUMBER(GL_RAW!A190),GL_RAW!A190,DATEVALUE(TEXT(GL_RAW!A190,"YYYY-MM-DD"))))</f>
        <v/>
      </c>
      <c r="C190" s="11">
        <f>IF(GL_RAW!A190="","",TRIM(GL_RAW!B190))</f>
        <v/>
      </c>
      <c r="D190" s="11">
        <f>IF(GL_RAW!A190="","",TRIM(GL_RAW!C190))</f>
        <v/>
      </c>
      <c r="E190" s="11">
        <f>IF(GL_RAW!A190="","",TRIM(GL_RAW!D190))</f>
        <v/>
      </c>
      <c r="F190" s="11">
        <f>IF(GL_RAW!A190="","",TRIM(GL_RAW!F190))</f>
        <v/>
      </c>
      <c r="G190" s="11">
        <f>IF(GL_RAW!A190="","",TRIM(GL_RAW!G190))</f>
        <v/>
      </c>
      <c r="H190" s="12">
        <f>IF(GL_RAW!A190="","",IFERROR(GL_RAW!E190,0))</f>
        <v/>
      </c>
      <c r="I190" s="12">
        <f>IF(GL_RAW!A190="","",ABS(H190))</f>
        <v/>
      </c>
      <c r="J190" s="11">
        <f>IF(GL_RAW!A190="","",IF(OR(ISNUMBER(SEARCH("Out",F190)),ISNUMBER(SEARCH("11025002",F190)),H190&lt;0),"OUT","IN"))</f>
        <v/>
      </c>
      <c r="K190" s="11" t="inlineStr"/>
    </row>
    <row r="191">
      <c r="A191" s="13">
        <f>IF(GL_RAW!A191="","",ROW()-1)</f>
        <v/>
      </c>
      <c r="B191" s="10">
        <f>IF(GL_RAW!A191="","",IF(ISNUMBER(GL_RAW!A191),GL_RAW!A191,DATEVALUE(TEXT(GL_RAW!A191,"YYYY-MM-DD"))))</f>
        <v/>
      </c>
      <c r="C191" s="11">
        <f>IF(GL_RAW!A191="","",TRIM(GL_RAW!B191))</f>
        <v/>
      </c>
      <c r="D191" s="11">
        <f>IF(GL_RAW!A191="","",TRIM(GL_RAW!C191))</f>
        <v/>
      </c>
      <c r="E191" s="11">
        <f>IF(GL_RAW!A191="","",TRIM(GL_RAW!D191))</f>
        <v/>
      </c>
      <c r="F191" s="11">
        <f>IF(GL_RAW!A191="","",TRIM(GL_RAW!F191))</f>
        <v/>
      </c>
      <c r="G191" s="11">
        <f>IF(GL_RAW!A191="","",TRIM(GL_RAW!G191))</f>
        <v/>
      </c>
      <c r="H191" s="12">
        <f>IF(GL_RAW!A191="","",IFERROR(GL_RAW!E191,0))</f>
        <v/>
      </c>
      <c r="I191" s="12">
        <f>IF(GL_RAW!A191="","",ABS(H191))</f>
        <v/>
      </c>
      <c r="J191" s="11">
        <f>IF(GL_RAW!A191="","",IF(OR(ISNUMBER(SEARCH("Out",F191)),ISNUMBER(SEARCH("11025002",F191)),H191&lt;0),"OUT","IN"))</f>
        <v/>
      </c>
      <c r="K191" s="11" t="inlineStr"/>
    </row>
    <row r="192">
      <c r="A192" s="13">
        <f>IF(GL_RAW!A192="","",ROW()-1)</f>
        <v/>
      </c>
      <c r="B192" s="10">
        <f>IF(GL_RAW!A192="","",IF(ISNUMBER(GL_RAW!A192),GL_RAW!A192,DATEVALUE(TEXT(GL_RAW!A192,"YYYY-MM-DD"))))</f>
        <v/>
      </c>
      <c r="C192" s="11">
        <f>IF(GL_RAW!A192="","",TRIM(GL_RAW!B192))</f>
        <v/>
      </c>
      <c r="D192" s="11">
        <f>IF(GL_RAW!A192="","",TRIM(GL_RAW!C192))</f>
        <v/>
      </c>
      <c r="E192" s="11">
        <f>IF(GL_RAW!A192="","",TRIM(GL_RAW!D192))</f>
        <v/>
      </c>
      <c r="F192" s="11">
        <f>IF(GL_RAW!A192="","",TRIM(GL_RAW!F192))</f>
        <v/>
      </c>
      <c r="G192" s="11">
        <f>IF(GL_RAW!A192="","",TRIM(GL_RAW!G192))</f>
        <v/>
      </c>
      <c r="H192" s="12">
        <f>IF(GL_RAW!A192="","",IFERROR(GL_RAW!E192,0))</f>
        <v/>
      </c>
      <c r="I192" s="12">
        <f>IF(GL_RAW!A192="","",ABS(H192))</f>
        <v/>
      </c>
      <c r="J192" s="11">
        <f>IF(GL_RAW!A192="","",IF(OR(ISNUMBER(SEARCH("Out",F192)),ISNUMBER(SEARCH("11025002",F192)),H192&lt;0),"OUT","IN"))</f>
        <v/>
      </c>
      <c r="K192" s="11" t="inlineStr"/>
    </row>
    <row r="193">
      <c r="A193" s="13">
        <f>IF(GL_RAW!A193="","",ROW()-1)</f>
        <v/>
      </c>
      <c r="B193" s="10">
        <f>IF(GL_RAW!A193="","",IF(ISNUMBER(GL_RAW!A193),GL_RAW!A193,DATEVALUE(TEXT(GL_RAW!A193,"YYYY-MM-DD"))))</f>
        <v/>
      </c>
      <c r="C193" s="11">
        <f>IF(GL_RAW!A193="","",TRIM(GL_RAW!B193))</f>
        <v/>
      </c>
      <c r="D193" s="11">
        <f>IF(GL_RAW!A193="","",TRIM(GL_RAW!C193))</f>
        <v/>
      </c>
      <c r="E193" s="11">
        <f>IF(GL_RAW!A193="","",TRIM(GL_RAW!D193))</f>
        <v/>
      </c>
      <c r="F193" s="11">
        <f>IF(GL_RAW!A193="","",TRIM(GL_RAW!F193))</f>
        <v/>
      </c>
      <c r="G193" s="11">
        <f>IF(GL_RAW!A193="","",TRIM(GL_RAW!G193))</f>
        <v/>
      </c>
      <c r="H193" s="12">
        <f>IF(GL_RAW!A193="","",IFERROR(GL_RAW!E193,0))</f>
        <v/>
      </c>
      <c r="I193" s="12">
        <f>IF(GL_RAW!A193="","",ABS(H193))</f>
        <v/>
      </c>
      <c r="J193" s="11">
        <f>IF(GL_RAW!A193="","",IF(OR(ISNUMBER(SEARCH("Out",F193)),ISNUMBER(SEARCH("11025002",F193)),H193&lt;0),"OUT","IN"))</f>
        <v/>
      </c>
      <c r="K193" s="11" t="inlineStr"/>
    </row>
    <row r="194">
      <c r="A194" s="13">
        <f>IF(GL_RAW!A194="","",ROW()-1)</f>
        <v/>
      </c>
      <c r="B194" s="10">
        <f>IF(GL_RAW!A194="","",IF(ISNUMBER(GL_RAW!A194),GL_RAW!A194,DATEVALUE(TEXT(GL_RAW!A194,"YYYY-MM-DD"))))</f>
        <v/>
      </c>
      <c r="C194" s="11">
        <f>IF(GL_RAW!A194="","",TRIM(GL_RAW!B194))</f>
        <v/>
      </c>
      <c r="D194" s="11">
        <f>IF(GL_RAW!A194="","",TRIM(GL_RAW!C194))</f>
        <v/>
      </c>
      <c r="E194" s="11">
        <f>IF(GL_RAW!A194="","",TRIM(GL_RAW!D194))</f>
        <v/>
      </c>
      <c r="F194" s="11">
        <f>IF(GL_RAW!A194="","",TRIM(GL_RAW!F194))</f>
        <v/>
      </c>
      <c r="G194" s="11">
        <f>IF(GL_RAW!A194="","",TRIM(GL_RAW!G194))</f>
        <v/>
      </c>
      <c r="H194" s="12">
        <f>IF(GL_RAW!A194="","",IFERROR(GL_RAW!E194,0))</f>
        <v/>
      </c>
      <c r="I194" s="12">
        <f>IF(GL_RAW!A194="","",ABS(H194))</f>
        <v/>
      </c>
      <c r="J194" s="11">
        <f>IF(GL_RAW!A194="","",IF(OR(ISNUMBER(SEARCH("Out",F194)),ISNUMBER(SEARCH("11025002",F194)),H194&lt;0),"OUT","IN"))</f>
        <v/>
      </c>
      <c r="K194" s="11" t="inlineStr"/>
    </row>
    <row r="195">
      <c r="A195" s="13">
        <f>IF(GL_RAW!A195="","",ROW()-1)</f>
        <v/>
      </c>
      <c r="B195" s="10">
        <f>IF(GL_RAW!A195="","",IF(ISNUMBER(GL_RAW!A195),GL_RAW!A195,DATEVALUE(TEXT(GL_RAW!A195,"YYYY-MM-DD"))))</f>
        <v/>
      </c>
      <c r="C195" s="11">
        <f>IF(GL_RAW!A195="","",TRIM(GL_RAW!B195))</f>
        <v/>
      </c>
      <c r="D195" s="11">
        <f>IF(GL_RAW!A195="","",TRIM(GL_RAW!C195))</f>
        <v/>
      </c>
      <c r="E195" s="11">
        <f>IF(GL_RAW!A195="","",TRIM(GL_RAW!D195))</f>
        <v/>
      </c>
      <c r="F195" s="11">
        <f>IF(GL_RAW!A195="","",TRIM(GL_RAW!F195))</f>
        <v/>
      </c>
      <c r="G195" s="11">
        <f>IF(GL_RAW!A195="","",TRIM(GL_RAW!G195))</f>
        <v/>
      </c>
      <c r="H195" s="12">
        <f>IF(GL_RAW!A195="","",IFERROR(GL_RAW!E195,0))</f>
        <v/>
      </c>
      <c r="I195" s="12">
        <f>IF(GL_RAW!A195="","",ABS(H195))</f>
        <v/>
      </c>
      <c r="J195" s="11">
        <f>IF(GL_RAW!A195="","",IF(OR(ISNUMBER(SEARCH("Out",F195)),ISNUMBER(SEARCH("11025002",F195)),H195&lt;0),"OUT","IN"))</f>
        <v/>
      </c>
      <c r="K195" s="11" t="inlineStr"/>
    </row>
    <row r="196">
      <c r="A196" s="13">
        <f>IF(GL_RAW!A196="","",ROW()-1)</f>
        <v/>
      </c>
      <c r="B196" s="10">
        <f>IF(GL_RAW!A196="","",IF(ISNUMBER(GL_RAW!A196),GL_RAW!A196,DATEVALUE(TEXT(GL_RAW!A196,"YYYY-MM-DD"))))</f>
        <v/>
      </c>
      <c r="C196" s="11">
        <f>IF(GL_RAW!A196="","",TRIM(GL_RAW!B196))</f>
        <v/>
      </c>
      <c r="D196" s="11">
        <f>IF(GL_RAW!A196="","",TRIM(GL_RAW!C196))</f>
        <v/>
      </c>
      <c r="E196" s="11">
        <f>IF(GL_RAW!A196="","",TRIM(GL_RAW!D196))</f>
        <v/>
      </c>
      <c r="F196" s="11">
        <f>IF(GL_RAW!A196="","",TRIM(GL_RAW!F196))</f>
        <v/>
      </c>
      <c r="G196" s="11">
        <f>IF(GL_RAW!A196="","",TRIM(GL_RAW!G196))</f>
        <v/>
      </c>
      <c r="H196" s="12">
        <f>IF(GL_RAW!A196="","",IFERROR(GL_RAW!E196,0))</f>
        <v/>
      </c>
      <c r="I196" s="12">
        <f>IF(GL_RAW!A196="","",ABS(H196))</f>
        <v/>
      </c>
      <c r="J196" s="11">
        <f>IF(GL_RAW!A196="","",IF(OR(ISNUMBER(SEARCH("Out",F196)),ISNUMBER(SEARCH("11025002",F196)),H196&lt;0),"OUT","IN"))</f>
        <v/>
      </c>
      <c r="K196" s="11" t="inlineStr"/>
    </row>
    <row r="197">
      <c r="A197" s="13">
        <f>IF(GL_RAW!A197="","",ROW()-1)</f>
        <v/>
      </c>
      <c r="B197" s="10">
        <f>IF(GL_RAW!A197="","",IF(ISNUMBER(GL_RAW!A197),GL_RAW!A197,DATEVALUE(TEXT(GL_RAW!A197,"YYYY-MM-DD"))))</f>
        <v/>
      </c>
      <c r="C197" s="11">
        <f>IF(GL_RAW!A197="","",TRIM(GL_RAW!B197))</f>
        <v/>
      </c>
      <c r="D197" s="11">
        <f>IF(GL_RAW!A197="","",TRIM(GL_RAW!C197))</f>
        <v/>
      </c>
      <c r="E197" s="11">
        <f>IF(GL_RAW!A197="","",TRIM(GL_RAW!D197))</f>
        <v/>
      </c>
      <c r="F197" s="11">
        <f>IF(GL_RAW!A197="","",TRIM(GL_RAW!F197))</f>
        <v/>
      </c>
      <c r="G197" s="11">
        <f>IF(GL_RAW!A197="","",TRIM(GL_RAW!G197))</f>
        <v/>
      </c>
      <c r="H197" s="12">
        <f>IF(GL_RAW!A197="","",IFERROR(GL_RAW!E197,0))</f>
        <v/>
      </c>
      <c r="I197" s="12">
        <f>IF(GL_RAW!A197="","",ABS(H197))</f>
        <v/>
      </c>
      <c r="J197" s="11">
        <f>IF(GL_RAW!A197="","",IF(OR(ISNUMBER(SEARCH("Out",F197)),ISNUMBER(SEARCH("11025002",F197)),H197&lt;0),"OUT","IN"))</f>
        <v/>
      </c>
      <c r="K197" s="11" t="inlineStr"/>
    </row>
    <row r="198">
      <c r="A198" s="13">
        <f>IF(GL_RAW!A198="","",ROW()-1)</f>
        <v/>
      </c>
      <c r="B198" s="10">
        <f>IF(GL_RAW!A198="","",IF(ISNUMBER(GL_RAW!A198),GL_RAW!A198,DATEVALUE(TEXT(GL_RAW!A198,"YYYY-MM-DD"))))</f>
        <v/>
      </c>
      <c r="C198" s="11">
        <f>IF(GL_RAW!A198="","",TRIM(GL_RAW!B198))</f>
        <v/>
      </c>
      <c r="D198" s="11">
        <f>IF(GL_RAW!A198="","",TRIM(GL_RAW!C198))</f>
        <v/>
      </c>
      <c r="E198" s="11">
        <f>IF(GL_RAW!A198="","",TRIM(GL_RAW!D198))</f>
        <v/>
      </c>
      <c r="F198" s="11">
        <f>IF(GL_RAW!A198="","",TRIM(GL_RAW!F198))</f>
        <v/>
      </c>
      <c r="G198" s="11">
        <f>IF(GL_RAW!A198="","",TRIM(GL_RAW!G198))</f>
        <v/>
      </c>
      <c r="H198" s="12">
        <f>IF(GL_RAW!A198="","",IFERROR(GL_RAW!E198,0))</f>
        <v/>
      </c>
      <c r="I198" s="12">
        <f>IF(GL_RAW!A198="","",ABS(H198))</f>
        <v/>
      </c>
      <c r="J198" s="11">
        <f>IF(GL_RAW!A198="","",IF(OR(ISNUMBER(SEARCH("Out",F198)),ISNUMBER(SEARCH("11025002",F198)),H198&lt;0),"OUT","IN"))</f>
        <v/>
      </c>
      <c r="K198" s="11" t="inlineStr"/>
    </row>
    <row r="199">
      <c r="A199" s="13">
        <f>IF(GL_RAW!A199="","",ROW()-1)</f>
        <v/>
      </c>
      <c r="B199" s="10">
        <f>IF(GL_RAW!A199="","",IF(ISNUMBER(GL_RAW!A199),GL_RAW!A199,DATEVALUE(TEXT(GL_RAW!A199,"YYYY-MM-DD"))))</f>
        <v/>
      </c>
      <c r="C199" s="11">
        <f>IF(GL_RAW!A199="","",TRIM(GL_RAW!B199))</f>
        <v/>
      </c>
      <c r="D199" s="11">
        <f>IF(GL_RAW!A199="","",TRIM(GL_RAW!C199))</f>
        <v/>
      </c>
      <c r="E199" s="11">
        <f>IF(GL_RAW!A199="","",TRIM(GL_RAW!D199))</f>
        <v/>
      </c>
      <c r="F199" s="11">
        <f>IF(GL_RAW!A199="","",TRIM(GL_RAW!F199))</f>
        <v/>
      </c>
      <c r="G199" s="11">
        <f>IF(GL_RAW!A199="","",TRIM(GL_RAW!G199))</f>
        <v/>
      </c>
      <c r="H199" s="12">
        <f>IF(GL_RAW!A199="","",IFERROR(GL_RAW!E199,0))</f>
        <v/>
      </c>
      <c r="I199" s="12">
        <f>IF(GL_RAW!A199="","",ABS(H199))</f>
        <v/>
      </c>
      <c r="J199" s="11">
        <f>IF(GL_RAW!A199="","",IF(OR(ISNUMBER(SEARCH("Out",F199)),ISNUMBER(SEARCH("11025002",F199)),H199&lt;0),"OUT","IN"))</f>
        <v/>
      </c>
      <c r="K199" s="11" t="inlineStr"/>
    </row>
    <row r="200">
      <c r="A200" s="13">
        <f>IF(GL_RAW!A200="","",ROW()-1)</f>
        <v/>
      </c>
      <c r="B200" s="10">
        <f>IF(GL_RAW!A200="","",IF(ISNUMBER(GL_RAW!A200),GL_RAW!A200,DATEVALUE(TEXT(GL_RAW!A200,"YYYY-MM-DD"))))</f>
        <v/>
      </c>
      <c r="C200" s="11">
        <f>IF(GL_RAW!A200="","",TRIM(GL_RAW!B200))</f>
        <v/>
      </c>
      <c r="D200" s="11">
        <f>IF(GL_RAW!A200="","",TRIM(GL_RAW!C200))</f>
        <v/>
      </c>
      <c r="E200" s="11">
        <f>IF(GL_RAW!A200="","",TRIM(GL_RAW!D200))</f>
        <v/>
      </c>
      <c r="F200" s="11">
        <f>IF(GL_RAW!A200="","",TRIM(GL_RAW!F200))</f>
        <v/>
      </c>
      <c r="G200" s="11">
        <f>IF(GL_RAW!A200="","",TRIM(GL_RAW!G200))</f>
        <v/>
      </c>
      <c r="H200" s="12">
        <f>IF(GL_RAW!A200="","",IFERROR(GL_RAW!E200,0))</f>
        <v/>
      </c>
      <c r="I200" s="12">
        <f>IF(GL_RAW!A200="","",ABS(H200))</f>
        <v/>
      </c>
      <c r="J200" s="11">
        <f>IF(GL_RAW!A200="","",IF(OR(ISNUMBER(SEARCH("Out",F200)),ISNUMBER(SEARCH("11025002",F200)),H200&lt;0),"OUT","IN"))</f>
        <v/>
      </c>
      <c r="K200" s="11" t="inlineStr"/>
    </row>
    <row r="201">
      <c r="A201" s="13">
        <f>IF(GL_RAW!A201="","",ROW()-1)</f>
        <v/>
      </c>
      <c r="B201" s="10">
        <f>IF(GL_RAW!A201="","",IF(ISNUMBER(GL_RAW!A201),GL_RAW!A201,DATEVALUE(TEXT(GL_RAW!A201,"YYYY-MM-DD"))))</f>
        <v/>
      </c>
      <c r="C201" s="11">
        <f>IF(GL_RAW!A201="","",TRIM(GL_RAW!B201))</f>
        <v/>
      </c>
      <c r="D201" s="11">
        <f>IF(GL_RAW!A201="","",TRIM(GL_RAW!C201))</f>
        <v/>
      </c>
      <c r="E201" s="11">
        <f>IF(GL_RAW!A201="","",TRIM(GL_RAW!D201))</f>
        <v/>
      </c>
      <c r="F201" s="11">
        <f>IF(GL_RAW!A201="","",TRIM(GL_RAW!F201))</f>
        <v/>
      </c>
      <c r="G201" s="11">
        <f>IF(GL_RAW!A201="","",TRIM(GL_RAW!G201))</f>
        <v/>
      </c>
      <c r="H201" s="12">
        <f>IF(GL_RAW!A201="","",IFERROR(GL_RAW!E201,0))</f>
        <v/>
      </c>
      <c r="I201" s="12">
        <f>IF(GL_RAW!A201="","",ABS(H201))</f>
        <v/>
      </c>
      <c r="J201" s="11">
        <f>IF(GL_RAW!A201="","",IF(OR(ISNUMBER(SEARCH("Out",F201)),ISNUMBER(SEARCH("11025002",F201)),H201&lt;0),"OUT","IN"))</f>
        <v/>
      </c>
      <c r="K201" s="11" t="inlineStr"/>
    </row>
    <row r="202">
      <c r="A202" s="13">
        <f>IF(GL_RAW!A202="","",ROW()-1)</f>
        <v/>
      </c>
      <c r="B202" s="10">
        <f>IF(GL_RAW!A202="","",IF(ISNUMBER(GL_RAW!A202),GL_RAW!A202,DATEVALUE(TEXT(GL_RAW!A202,"YYYY-MM-DD"))))</f>
        <v/>
      </c>
      <c r="C202" s="11">
        <f>IF(GL_RAW!A202="","",TRIM(GL_RAW!B202))</f>
        <v/>
      </c>
      <c r="D202" s="11">
        <f>IF(GL_RAW!A202="","",TRIM(GL_RAW!C202))</f>
        <v/>
      </c>
      <c r="E202" s="11">
        <f>IF(GL_RAW!A202="","",TRIM(GL_RAW!D202))</f>
        <v/>
      </c>
      <c r="F202" s="11">
        <f>IF(GL_RAW!A202="","",TRIM(GL_RAW!F202))</f>
        <v/>
      </c>
      <c r="G202" s="11">
        <f>IF(GL_RAW!A202="","",TRIM(GL_RAW!G202))</f>
        <v/>
      </c>
      <c r="H202" s="12">
        <f>IF(GL_RAW!A202="","",IFERROR(GL_RAW!E202,0))</f>
        <v/>
      </c>
      <c r="I202" s="12">
        <f>IF(GL_RAW!A202="","",ABS(H202))</f>
        <v/>
      </c>
      <c r="J202" s="11">
        <f>IF(GL_RAW!A202="","",IF(OR(ISNUMBER(SEARCH("Out",F202)),ISNUMBER(SEARCH("11025002",F202)),H202&lt;0),"OUT","IN"))</f>
        <v/>
      </c>
      <c r="K202" s="11" t="inlineStr"/>
    </row>
    <row r="203">
      <c r="A203" s="13">
        <f>IF(GL_RAW!A203="","",ROW()-1)</f>
        <v/>
      </c>
      <c r="B203" s="10">
        <f>IF(GL_RAW!A203="","",IF(ISNUMBER(GL_RAW!A203),GL_RAW!A203,DATEVALUE(TEXT(GL_RAW!A203,"YYYY-MM-DD"))))</f>
        <v/>
      </c>
      <c r="C203" s="11">
        <f>IF(GL_RAW!A203="","",TRIM(GL_RAW!B203))</f>
        <v/>
      </c>
      <c r="D203" s="11">
        <f>IF(GL_RAW!A203="","",TRIM(GL_RAW!C203))</f>
        <v/>
      </c>
      <c r="E203" s="11">
        <f>IF(GL_RAW!A203="","",TRIM(GL_RAW!D203))</f>
        <v/>
      </c>
      <c r="F203" s="11">
        <f>IF(GL_RAW!A203="","",TRIM(GL_RAW!F203))</f>
        <v/>
      </c>
      <c r="G203" s="11">
        <f>IF(GL_RAW!A203="","",TRIM(GL_RAW!G203))</f>
        <v/>
      </c>
      <c r="H203" s="12">
        <f>IF(GL_RAW!A203="","",IFERROR(GL_RAW!E203,0))</f>
        <v/>
      </c>
      <c r="I203" s="12">
        <f>IF(GL_RAW!A203="","",ABS(H203))</f>
        <v/>
      </c>
      <c r="J203" s="11">
        <f>IF(GL_RAW!A203="","",IF(OR(ISNUMBER(SEARCH("Out",F203)),ISNUMBER(SEARCH("11025002",F203)),H203&lt;0),"OUT","IN"))</f>
        <v/>
      </c>
      <c r="K203" s="11" t="inlineStr"/>
    </row>
    <row r="204">
      <c r="A204" s="13">
        <f>IF(GL_RAW!A204="","",ROW()-1)</f>
        <v/>
      </c>
      <c r="B204" s="10">
        <f>IF(GL_RAW!A204="","",IF(ISNUMBER(GL_RAW!A204),GL_RAW!A204,DATEVALUE(TEXT(GL_RAW!A204,"YYYY-MM-DD"))))</f>
        <v/>
      </c>
      <c r="C204" s="11">
        <f>IF(GL_RAW!A204="","",TRIM(GL_RAW!B204))</f>
        <v/>
      </c>
      <c r="D204" s="11">
        <f>IF(GL_RAW!A204="","",TRIM(GL_RAW!C204))</f>
        <v/>
      </c>
      <c r="E204" s="11">
        <f>IF(GL_RAW!A204="","",TRIM(GL_RAW!D204))</f>
        <v/>
      </c>
      <c r="F204" s="11">
        <f>IF(GL_RAW!A204="","",TRIM(GL_RAW!F204))</f>
        <v/>
      </c>
      <c r="G204" s="11">
        <f>IF(GL_RAW!A204="","",TRIM(GL_RAW!G204))</f>
        <v/>
      </c>
      <c r="H204" s="12">
        <f>IF(GL_RAW!A204="","",IFERROR(GL_RAW!E204,0))</f>
        <v/>
      </c>
      <c r="I204" s="12">
        <f>IF(GL_RAW!A204="","",ABS(H204))</f>
        <v/>
      </c>
      <c r="J204" s="11">
        <f>IF(GL_RAW!A204="","",IF(OR(ISNUMBER(SEARCH("Out",F204)),ISNUMBER(SEARCH("11025002",F204)),H204&lt;0),"OUT","IN"))</f>
        <v/>
      </c>
      <c r="K204" s="11" t="inlineStr"/>
    </row>
    <row r="205">
      <c r="A205" s="13">
        <f>IF(GL_RAW!A205="","",ROW()-1)</f>
        <v/>
      </c>
      <c r="B205" s="10">
        <f>IF(GL_RAW!A205="","",IF(ISNUMBER(GL_RAW!A205),GL_RAW!A205,DATEVALUE(TEXT(GL_RAW!A205,"YYYY-MM-DD"))))</f>
        <v/>
      </c>
      <c r="C205" s="11">
        <f>IF(GL_RAW!A205="","",TRIM(GL_RAW!B205))</f>
        <v/>
      </c>
      <c r="D205" s="11">
        <f>IF(GL_RAW!A205="","",TRIM(GL_RAW!C205))</f>
        <v/>
      </c>
      <c r="E205" s="11">
        <f>IF(GL_RAW!A205="","",TRIM(GL_RAW!D205))</f>
        <v/>
      </c>
      <c r="F205" s="11">
        <f>IF(GL_RAW!A205="","",TRIM(GL_RAW!F205))</f>
        <v/>
      </c>
      <c r="G205" s="11">
        <f>IF(GL_RAW!A205="","",TRIM(GL_RAW!G205))</f>
        <v/>
      </c>
      <c r="H205" s="12">
        <f>IF(GL_RAW!A205="","",IFERROR(GL_RAW!E205,0))</f>
        <v/>
      </c>
      <c r="I205" s="12">
        <f>IF(GL_RAW!A205="","",ABS(H205))</f>
        <v/>
      </c>
      <c r="J205" s="11">
        <f>IF(GL_RAW!A205="","",IF(OR(ISNUMBER(SEARCH("Out",F205)),ISNUMBER(SEARCH("11025002",F205)),H205&lt;0),"OUT","IN"))</f>
        <v/>
      </c>
      <c r="K205" s="11" t="inlineStr"/>
    </row>
    <row r="206">
      <c r="A206" s="13">
        <f>IF(GL_RAW!A206="","",ROW()-1)</f>
        <v/>
      </c>
      <c r="B206" s="10">
        <f>IF(GL_RAW!A206="","",IF(ISNUMBER(GL_RAW!A206),GL_RAW!A206,DATEVALUE(TEXT(GL_RAW!A206,"YYYY-MM-DD"))))</f>
        <v/>
      </c>
      <c r="C206" s="11">
        <f>IF(GL_RAW!A206="","",TRIM(GL_RAW!B206))</f>
        <v/>
      </c>
      <c r="D206" s="11">
        <f>IF(GL_RAW!A206="","",TRIM(GL_RAW!C206))</f>
        <v/>
      </c>
      <c r="E206" s="11">
        <f>IF(GL_RAW!A206="","",TRIM(GL_RAW!D206))</f>
        <v/>
      </c>
      <c r="F206" s="11">
        <f>IF(GL_RAW!A206="","",TRIM(GL_RAW!F206))</f>
        <v/>
      </c>
      <c r="G206" s="11">
        <f>IF(GL_RAW!A206="","",TRIM(GL_RAW!G206))</f>
        <v/>
      </c>
      <c r="H206" s="12">
        <f>IF(GL_RAW!A206="","",IFERROR(GL_RAW!E206,0))</f>
        <v/>
      </c>
      <c r="I206" s="12">
        <f>IF(GL_RAW!A206="","",ABS(H206))</f>
        <v/>
      </c>
      <c r="J206" s="11">
        <f>IF(GL_RAW!A206="","",IF(OR(ISNUMBER(SEARCH("Out",F206)),ISNUMBER(SEARCH("11025002",F206)),H206&lt;0),"OUT","IN"))</f>
        <v/>
      </c>
      <c r="K206" s="11" t="inlineStr"/>
    </row>
    <row r="207">
      <c r="A207" s="13">
        <f>IF(GL_RAW!A207="","",ROW()-1)</f>
        <v/>
      </c>
      <c r="B207" s="10">
        <f>IF(GL_RAW!A207="","",IF(ISNUMBER(GL_RAW!A207),GL_RAW!A207,DATEVALUE(TEXT(GL_RAW!A207,"YYYY-MM-DD"))))</f>
        <v/>
      </c>
      <c r="C207" s="11">
        <f>IF(GL_RAW!A207="","",TRIM(GL_RAW!B207))</f>
        <v/>
      </c>
      <c r="D207" s="11">
        <f>IF(GL_RAW!A207="","",TRIM(GL_RAW!C207))</f>
        <v/>
      </c>
      <c r="E207" s="11">
        <f>IF(GL_RAW!A207="","",TRIM(GL_RAW!D207))</f>
        <v/>
      </c>
      <c r="F207" s="11">
        <f>IF(GL_RAW!A207="","",TRIM(GL_RAW!F207))</f>
        <v/>
      </c>
      <c r="G207" s="11">
        <f>IF(GL_RAW!A207="","",TRIM(GL_RAW!G207))</f>
        <v/>
      </c>
      <c r="H207" s="12">
        <f>IF(GL_RAW!A207="","",IFERROR(GL_RAW!E207,0))</f>
        <v/>
      </c>
      <c r="I207" s="12">
        <f>IF(GL_RAW!A207="","",ABS(H207))</f>
        <v/>
      </c>
      <c r="J207" s="11">
        <f>IF(GL_RAW!A207="","",IF(OR(ISNUMBER(SEARCH("Out",F207)),ISNUMBER(SEARCH("11025002",F207)),H207&lt;0),"OUT","IN"))</f>
        <v/>
      </c>
      <c r="K207" s="11" t="inlineStr"/>
    </row>
    <row r="208">
      <c r="A208" s="13">
        <f>IF(GL_RAW!A208="","",ROW()-1)</f>
        <v/>
      </c>
      <c r="B208" s="10">
        <f>IF(GL_RAW!A208="","",IF(ISNUMBER(GL_RAW!A208),GL_RAW!A208,DATEVALUE(TEXT(GL_RAW!A208,"YYYY-MM-DD"))))</f>
        <v/>
      </c>
      <c r="C208" s="11">
        <f>IF(GL_RAW!A208="","",TRIM(GL_RAW!B208))</f>
        <v/>
      </c>
      <c r="D208" s="11">
        <f>IF(GL_RAW!A208="","",TRIM(GL_RAW!C208))</f>
        <v/>
      </c>
      <c r="E208" s="11">
        <f>IF(GL_RAW!A208="","",TRIM(GL_RAW!D208))</f>
        <v/>
      </c>
      <c r="F208" s="11">
        <f>IF(GL_RAW!A208="","",TRIM(GL_RAW!F208))</f>
        <v/>
      </c>
      <c r="G208" s="11">
        <f>IF(GL_RAW!A208="","",TRIM(GL_RAW!G208))</f>
        <v/>
      </c>
      <c r="H208" s="12">
        <f>IF(GL_RAW!A208="","",IFERROR(GL_RAW!E208,0))</f>
        <v/>
      </c>
      <c r="I208" s="12">
        <f>IF(GL_RAW!A208="","",ABS(H208))</f>
        <v/>
      </c>
      <c r="J208" s="11">
        <f>IF(GL_RAW!A208="","",IF(OR(ISNUMBER(SEARCH("Out",F208)),ISNUMBER(SEARCH("11025002",F208)),H208&lt;0),"OUT","IN"))</f>
        <v/>
      </c>
      <c r="K208" s="11" t="inlineStr"/>
    </row>
    <row r="209">
      <c r="A209" s="13">
        <f>IF(GL_RAW!A209="","",ROW()-1)</f>
        <v/>
      </c>
      <c r="B209" s="10">
        <f>IF(GL_RAW!A209="","",IF(ISNUMBER(GL_RAW!A209),GL_RAW!A209,DATEVALUE(TEXT(GL_RAW!A209,"YYYY-MM-DD"))))</f>
        <v/>
      </c>
      <c r="C209" s="11">
        <f>IF(GL_RAW!A209="","",TRIM(GL_RAW!B209))</f>
        <v/>
      </c>
      <c r="D209" s="11">
        <f>IF(GL_RAW!A209="","",TRIM(GL_RAW!C209))</f>
        <v/>
      </c>
      <c r="E209" s="11">
        <f>IF(GL_RAW!A209="","",TRIM(GL_RAW!D209))</f>
        <v/>
      </c>
      <c r="F209" s="11">
        <f>IF(GL_RAW!A209="","",TRIM(GL_RAW!F209))</f>
        <v/>
      </c>
      <c r="G209" s="11">
        <f>IF(GL_RAW!A209="","",TRIM(GL_RAW!G209))</f>
        <v/>
      </c>
      <c r="H209" s="12">
        <f>IF(GL_RAW!A209="","",IFERROR(GL_RAW!E209,0))</f>
        <v/>
      </c>
      <c r="I209" s="12">
        <f>IF(GL_RAW!A209="","",ABS(H209))</f>
        <v/>
      </c>
      <c r="J209" s="11">
        <f>IF(GL_RAW!A209="","",IF(OR(ISNUMBER(SEARCH("Out",F209)),ISNUMBER(SEARCH("11025002",F209)),H209&lt;0),"OUT","IN"))</f>
        <v/>
      </c>
      <c r="K209" s="11" t="inlineStr"/>
    </row>
    <row r="210">
      <c r="A210" s="13">
        <f>IF(GL_RAW!A210="","",ROW()-1)</f>
        <v/>
      </c>
      <c r="B210" s="10">
        <f>IF(GL_RAW!A210="","",IF(ISNUMBER(GL_RAW!A210),GL_RAW!A210,DATEVALUE(TEXT(GL_RAW!A210,"YYYY-MM-DD"))))</f>
        <v/>
      </c>
      <c r="C210" s="11">
        <f>IF(GL_RAW!A210="","",TRIM(GL_RAW!B210))</f>
        <v/>
      </c>
      <c r="D210" s="11">
        <f>IF(GL_RAW!A210="","",TRIM(GL_RAW!C210))</f>
        <v/>
      </c>
      <c r="E210" s="11">
        <f>IF(GL_RAW!A210="","",TRIM(GL_RAW!D210))</f>
        <v/>
      </c>
      <c r="F210" s="11">
        <f>IF(GL_RAW!A210="","",TRIM(GL_RAW!F210))</f>
        <v/>
      </c>
      <c r="G210" s="11">
        <f>IF(GL_RAW!A210="","",TRIM(GL_RAW!G210))</f>
        <v/>
      </c>
      <c r="H210" s="12">
        <f>IF(GL_RAW!A210="","",IFERROR(GL_RAW!E210,0))</f>
        <v/>
      </c>
      <c r="I210" s="12">
        <f>IF(GL_RAW!A210="","",ABS(H210))</f>
        <v/>
      </c>
      <c r="J210" s="11">
        <f>IF(GL_RAW!A210="","",IF(OR(ISNUMBER(SEARCH("Out",F210)),ISNUMBER(SEARCH("11025002",F210)),H210&lt;0),"OUT","IN"))</f>
        <v/>
      </c>
      <c r="K210" s="11" t="inlineStr"/>
    </row>
    <row r="211">
      <c r="A211" s="13">
        <f>IF(GL_RAW!A211="","",ROW()-1)</f>
        <v/>
      </c>
      <c r="B211" s="10">
        <f>IF(GL_RAW!A211="","",IF(ISNUMBER(GL_RAW!A211),GL_RAW!A211,DATEVALUE(TEXT(GL_RAW!A211,"YYYY-MM-DD"))))</f>
        <v/>
      </c>
      <c r="C211" s="11">
        <f>IF(GL_RAW!A211="","",TRIM(GL_RAW!B211))</f>
        <v/>
      </c>
      <c r="D211" s="11">
        <f>IF(GL_RAW!A211="","",TRIM(GL_RAW!C211))</f>
        <v/>
      </c>
      <c r="E211" s="11">
        <f>IF(GL_RAW!A211="","",TRIM(GL_RAW!D211))</f>
        <v/>
      </c>
      <c r="F211" s="11">
        <f>IF(GL_RAW!A211="","",TRIM(GL_RAW!F211))</f>
        <v/>
      </c>
      <c r="G211" s="11">
        <f>IF(GL_RAW!A211="","",TRIM(GL_RAW!G211))</f>
        <v/>
      </c>
      <c r="H211" s="12">
        <f>IF(GL_RAW!A211="","",IFERROR(GL_RAW!E211,0))</f>
        <v/>
      </c>
      <c r="I211" s="12">
        <f>IF(GL_RAW!A211="","",ABS(H211))</f>
        <v/>
      </c>
      <c r="J211" s="11">
        <f>IF(GL_RAW!A211="","",IF(OR(ISNUMBER(SEARCH("Out",F211)),ISNUMBER(SEARCH("11025002",F211)),H211&lt;0),"OUT","IN"))</f>
        <v/>
      </c>
      <c r="K211" s="11" t="inlineStr"/>
    </row>
    <row r="212">
      <c r="A212" s="13">
        <f>IF(GL_RAW!A212="","",ROW()-1)</f>
        <v/>
      </c>
      <c r="B212" s="10">
        <f>IF(GL_RAW!A212="","",IF(ISNUMBER(GL_RAW!A212),GL_RAW!A212,DATEVALUE(TEXT(GL_RAW!A212,"YYYY-MM-DD"))))</f>
        <v/>
      </c>
      <c r="C212" s="11">
        <f>IF(GL_RAW!A212="","",TRIM(GL_RAW!B212))</f>
        <v/>
      </c>
      <c r="D212" s="11">
        <f>IF(GL_RAW!A212="","",TRIM(GL_RAW!C212))</f>
        <v/>
      </c>
      <c r="E212" s="11">
        <f>IF(GL_RAW!A212="","",TRIM(GL_RAW!D212))</f>
        <v/>
      </c>
      <c r="F212" s="11">
        <f>IF(GL_RAW!A212="","",TRIM(GL_RAW!F212))</f>
        <v/>
      </c>
      <c r="G212" s="11">
        <f>IF(GL_RAW!A212="","",TRIM(GL_RAW!G212))</f>
        <v/>
      </c>
      <c r="H212" s="12">
        <f>IF(GL_RAW!A212="","",IFERROR(GL_RAW!E212,0))</f>
        <v/>
      </c>
      <c r="I212" s="12">
        <f>IF(GL_RAW!A212="","",ABS(H212))</f>
        <v/>
      </c>
      <c r="J212" s="11">
        <f>IF(GL_RAW!A212="","",IF(OR(ISNUMBER(SEARCH("Out",F212)),ISNUMBER(SEARCH("11025002",F212)),H212&lt;0),"OUT","IN"))</f>
        <v/>
      </c>
      <c r="K212" s="11" t="inlineStr"/>
    </row>
    <row r="213">
      <c r="A213" s="13">
        <f>IF(GL_RAW!A213="","",ROW()-1)</f>
        <v/>
      </c>
      <c r="B213" s="10">
        <f>IF(GL_RAW!A213="","",IF(ISNUMBER(GL_RAW!A213),GL_RAW!A213,DATEVALUE(TEXT(GL_RAW!A213,"YYYY-MM-DD"))))</f>
        <v/>
      </c>
      <c r="C213" s="11">
        <f>IF(GL_RAW!A213="","",TRIM(GL_RAW!B213))</f>
        <v/>
      </c>
      <c r="D213" s="11">
        <f>IF(GL_RAW!A213="","",TRIM(GL_RAW!C213))</f>
        <v/>
      </c>
      <c r="E213" s="11">
        <f>IF(GL_RAW!A213="","",TRIM(GL_RAW!D213))</f>
        <v/>
      </c>
      <c r="F213" s="11">
        <f>IF(GL_RAW!A213="","",TRIM(GL_RAW!F213))</f>
        <v/>
      </c>
      <c r="G213" s="11">
        <f>IF(GL_RAW!A213="","",TRIM(GL_RAW!G213))</f>
        <v/>
      </c>
      <c r="H213" s="12">
        <f>IF(GL_RAW!A213="","",IFERROR(GL_RAW!E213,0))</f>
        <v/>
      </c>
      <c r="I213" s="12">
        <f>IF(GL_RAW!A213="","",ABS(H213))</f>
        <v/>
      </c>
      <c r="J213" s="11">
        <f>IF(GL_RAW!A213="","",IF(OR(ISNUMBER(SEARCH("Out",F213)),ISNUMBER(SEARCH("11025002",F213)),H213&lt;0),"OUT","IN"))</f>
        <v/>
      </c>
      <c r="K213" s="11" t="inlineStr"/>
    </row>
    <row r="214">
      <c r="A214" s="13">
        <f>IF(GL_RAW!A214="","",ROW()-1)</f>
        <v/>
      </c>
      <c r="B214" s="10">
        <f>IF(GL_RAW!A214="","",IF(ISNUMBER(GL_RAW!A214),GL_RAW!A214,DATEVALUE(TEXT(GL_RAW!A214,"YYYY-MM-DD"))))</f>
        <v/>
      </c>
      <c r="C214" s="11">
        <f>IF(GL_RAW!A214="","",TRIM(GL_RAW!B214))</f>
        <v/>
      </c>
      <c r="D214" s="11">
        <f>IF(GL_RAW!A214="","",TRIM(GL_RAW!C214))</f>
        <v/>
      </c>
      <c r="E214" s="11">
        <f>IF(GL_RAW!A214="","",TRIM(GL_RAW!D214))</f>
        <v/>
      </c>
      <c r="F214" s="11">
        <f>IF(GL_RAW!A214="","",TRIM(GL_RAW!F214))</f>
        <v/>
      </c>
      <c r="G214" s="11">
        <f>IF(GL_RAW!A214="","",TRIM(GL_RAW!G214))</f>
        <v/>
      </c>
      <c r="H214" s="12">
        <f>IF(GL_RAW!A214="","",IFERROR(GL_RAW!E214,0))</f>
        <v/>
      </c>
      <c r="I214" s="12">
        <f>IF(GL_RAW!A214="","",ABS(H214))</f>
        <v/>
      </c>
      <c r="J214" s="11">
        <f>IF(GL_RAW!A214="","",IF(OR(ISNUMBER(SEARCH("Out",F214)),ISNUMBER(SEARCH("11025002",F214)),H214&lt;0),"OUT","IN"))</f>
        <v/>
      </c>
      <c r="K214" s="11" t="inlineStr"/>
    </row>
    <row r="215">
      <c r="A215" s="13">
        <f>IF(GL_RAW!A215="","",ROW()-1)</f>
        <v/>
      </c>
      <c r="B215" s="10">
        <f>IF(GL_RAW!A215="","",IF(ISNUMBER(GL_RAW!A215),GL_RAW!A215,DATEVALUE(TEXT(GL_RAW!A215,"YYYY-MM-DD"))))</f>
        <v/>
      </c>
      <c r="C215" s="11">
        <f>IF(GL_RAW!A215="","",TRIM(GL_RAW!B215))</f>
        <v/>
      </c>
      <c r="D215" s="11">
        <f>IF(GL_RAW!A215="","",TRIM(GL_RAW!C215))</f>
        <v/>
      </c>
      <c r="E215" s="11">
        <f>IF(GL_RAW!A215="","",TRIM(GL_RAW!D215))</f>
        <v/>
      </c>
      <c r="F215" s="11">
        <f>IF(GL_RAW!A215="","",TRIM(GL_RAW!F215))</f>
        <v/>
      </c>
      <c r="G215" s="11">
        <f>IF(GL_RAW!A215="","",TRIM(GL_RAW!G215))</f>
        <v/>
      </c>
      <c r="H215" s="12">
        <f>IF(GL_RAW!A215="","",IFERROR(GL_RAW!E215,0))</f>
        <v/>
      </c>
      <c r="I215" s="12">
        <f>IF(GL_RAW!A215="","",ABS(H215))</f>
        <v/>
      </c>
      <c r="J215" s="11">
        <f>IF(GL_RAW!A215="","",IF(OR(ISNUMBER(SEARCH("Out",F215)),ISNUMBER(SEARCH("11025002",F215)),H215&lt;0),"OUT","IN"))</f>
        <v/>
      </c>
      <c r="K215" s="11" t="inlineStr"/>
    </row>
    <row r="216">
      <c r="A216" s="13">
        <f>IF(GL_RAW!A216="","",ROW()-1)</f>
        <v/>
      </c>
      <c r="B216" s="10">
        <f>IF(GL_RAW!A216="","",IF(ISNUMBER(GL_RAW!A216),GL_RAW!A216,DATEVALUE(TEXT(GL_RAW!A216,"YYYY-MM-DD"))))</f>
        <v/>
      </c>
      <c r="C216" s="11">
        <f>IF(GL_RAW!A216="","",TRIM(GL_RAW!B216))</f>
        <v/>
      </c>
      <c r="D216" s="11">
        <f>IF(GL_RAW!A216="","",TRIM(GL_RAW!C216))</f>
        <v/>
      </c>
      <c r="E216" s="11">
        <f>IF(GL_RAW!A216="","",TRIM(GL_RAW!D216))</f>
        <v/>
      </c>
      <c r="F216" s="11">
        <f>IF(GL_RAW!A216="","",TRIM(GL_RAW!F216))</f>
        <v/>
      </c>
      <c r="G216" s="11">
        <f>IF(GL_RAW!A216="","",TRIM(GL_RAW!G216))</f>
        <v/>
      </c>
      <c r="H216" s="12">
        <f>IF(GL_RAW!A216="","",IFERROR(GL_RAW!E216,0))</f>
        <v/>
      </c>
      <c r="I216" s="12">
        <f>IF(GL_RAW!A216="","",ABS(H216))</f>
        <v/>
      </c>
      <c r="J216" s="11">
        <f>IF(GL_RAW!A216="","",IF(OR(ISNUMBER(SEARCH("Out",F216)),ISNUMBER(SEARCH("11025002",F216)),H216&lt;0),"OUT","IN"))</f>
        <v/>
      </c>
      <c r="K216" s="11" t="inlineStr"/>
    </row>
    <row r="217">
      <c r="A217" s="13">
        <f>IF(GL_RAW!A217="","",ROW()-1)</f>
        <v/>
      </c>
      <c r="B217" s="10">
        <f>IF(GL_RAW!A217="","",IF(ISNUMBER(GL_RAW!A217),GL_RAW!A217,DATEVALUE(TEXT(GL_RAW!A217,"YYYY-MM-DD"))))</f>
        <v/>
      </c>
      <c r="C217" s="11">
        <f>IF(GL_RAW!A217="","",TRIM(GL_RAW!B217))</f>
        <v/>
      </c>
      <c r="D217" s="11">
        <f>IF(GL_RAW!A217="","",TRIM(GL_RAW!C217))</f>
        <v/>
      </c>
      <c r="E217" s="11">
        <f>IF(GL_RAW!A217="","",TRIM(GL_RAW!D217))</f>
        <v/>
      </c>
      <c r="F217" s="11">
        <f>IF(GL_RAW!A217="","",TRIM(GL_RAW!F217))</f>
        <v/>
      </c>
      <c r="G217" s="11">
        <f>IF(GL_RAW!A217="","",TRIM(GL_RAW!G217))</f>
        <v/>
      </c>
      <c r="H217" s="12">
        <f>IF(GL_RAW!A217="","",IFERROR(GL_RAW!E217,0))</f>
        <v/>
      </c>
      <c r="I217" s="12">
        <f>IF(GL_RAW!A217="","",ABS(H217))</f>
        <v/>
      </c>
      <c r="J217" s="11">
        <f>IF(GL_RAW!A217="","",IF(OR(ISNUMBER(SEARCH("Out",F217)),ISNUMBER(SEARCH("11025002",F217)),H217&lt;0),"OUT","IN"))</f>
        <v/>
      </c>
      <c r="K217" s="11" t="inlineStr"/>
    </row>
    <row r="218">
      <c r="A218" s="13">
        <f>IF(GL_RAW!A218="","",ROW()-1)</f>
        <v/>
      </c>
      <c r="B218" s="10">
        <f>IF(GL_RAW!A218="","",IF(ISNUMBER(GL_RAW!A218),GL_RAW!A218,DATEVALUE(TEXT(GL_RAW!A218,"YYYY-MM-DD"))))</f>
        <v/>
      </c>
      <c r="C218" s="11">
        <f>IF(GL_RAW!A218="","",TRIM(GL_RAW!B218))</f>
        <v/>
      </c>
      <c r="D218" s="11">
        <f>IF(GL_RAW!A218="","",TRIM(GL_RAW!C218))</f>
        <v/>
      </c>
      <c r="E218" s="11">
        <f>IF(GL_RAW!A218="","",TRIM(GL_RAW!D218))</f>
        <v/>
      </c>
      <c r="F218" s="11">
        <f>IF(GL_RAW!A218="","",TRIM(GL_RAW!F218))</f>
        <v/>
      </c>
      <c r="G218" s="11">
        <f>IF(GL_RAW!A218="","",TRIM(GL_RAW!G218))</f>
        <v/>
      </c>
      <c r="H218" s="12">
        <f>IF(GL_RAW!A218="","",IFERROR(GL_RAW!E218,0))</f>
        <v/>
      </c>
      <c r="I218" s="12">
        <f>IF(GL_RAW!A218="","",ABS(H218))</f>
        <v/>
      </c>
      <c r="J218" s="11">
        <f>IF(GL_RAW!A218="","",IF(OR(ISNUMBER(SEARCH("Out",F218)),ISNUMBER(SEARCH("11025002",F218)),H218&lt;0),"OUT","IN"))</f>
        <v/>
      </c>
      <c r="K218" s="11" t="inlineStr"/>
    </row>
    <row r="219">
      <c r="A219" s="13">
        <f>IF(GL_RAW!A219="","",ROW()-1)</f>
        <v/>
      </c>
      <c r="B219" s="10">
        <f>IF(GL_RAW!A219="","",IF(ISNUMBER(GL_RAW!A219),GL_RAW!A219,DATEVALUE(TEXT(GL_RAW!A219,"YYYY-MM-DD"))))</f>
        <v/>
      </c>
      <c r="C219" s="11">
        <f>IF(GL_RAW!A219="","",TRIM(GL_RAW!B219))</f>
        <v/>
      </c>
      <c r="D219" s="11">
        <f>IF(GL_RAW!A219="","",TRIM(GL_RAW!C219))</f>
        <v/>
      </c>
      <c r="E219" s="11">
        <f>IF(GL_RAW!A219="","",TRIM(GL_RAW!D219))</f>
        <v/>
      </c>
      <c r="F219" s="11">
        <f>IF(GL_RAW!A219="","",TRIM(GL_RAW!F219))</f>
        <v/>
      </c>
      <c r="G219" s="11">
        <f>IF(GL_RAW!A219="","",TRIM(GL_RAW!G219))</f>
        <v/>
      </c>
      <c r="H219" s="12">
        <f>IF(GL_RAW!A219="","",IFERROR(GL_RAW!E219,0))</f>
        <v/>
      </c>
      <c r="I219" s="12">
        <f>IF(GL_RAW!A219="","",ABS(H219))</f>
        <v/>
      </c>
      <c r="J219" s="11">
        <f>IF(GL_RAW!A219="","",IF(OR(ISNUMBER(SEARCH("Out",F219)),ISNUMBER(SEARCH("11025002",F219)),H219&lt;0),"OUT","IN"))</f>
        <v/>
      </c>
      <c r="K219" s="11" t="inlineStr"/>
    </row>
    <row r="220">
      <c r="A220" s="13">
        <f>IF(GL_RAW!A220="","",ROW()-1)</f>
        <v/>
      </c>
      <c r="B220" s="10">
        <f>IF(GL_RAW!A220="","",IF(ISNUMBER(GL_RAW!A220),GL_RAW!A220,DATEVALUE(TEXT(GL_RAW!A220,"YYYY-MM-DD"))))</f>
        <v/>
      </c>
      <c r="C220" s="11">
        <f>IF(GL_RAW!A220="","",TRIM(GL_RAW!B220))</f>
        <v/>
      </c>
      <c r="D220" s="11">
        <f>IF(GL_RAW!A220="","",TRIM(GL_RAW!C220))</f>
        <v/>
      </c>
      <c r="E220" s="11">
        <f>IF(GL_RAW!A220="","",TRIM(GL_RAW!D220))</f>
        <v/>
      </c>
      <c r="F220" s="11">
        <f>IF(GL_RAW!A220="","",TRIM(GL_RAW!F220))</f>
        <v/>
      </c>
      <c r="G220" s="11">
        <f>IF(GL_RAW!A220="","",TRIM(GL_RAW!G220))</f>
        <v/>
      </c>
      <c r="H220" s="12">
        <f>IF(GL_RAW!A220="","",IFERROR(GL_RAW!E220,0))</f>
        <v/>
      </c>
      <c r="I220" s="12">
        <f>IF(GL_RAW!A220="","",ABS(H220))</f>
        <v/>
      </c>
      <c r="J220" s="11">
        <f>IF(GL_RAW!A220="","",IF(OR(ISNUMBER(SEARCH("Out",F220)),ISNUMBER(SEARCH("11025002",F220)),H220&lt;0),"OUT","IN"))</f>
        <v/>
      </c>
      <c r="K220" s="11" t="inlineStr"/>
    </row>
    <row r="221">
      <c r="A221" s="13">
        <f>IF(GL_RAW!A221="","",ROW()-1)</f>
        <v/>
      </c>
      <c r="B221" s="10">
        <f>IF(GL_RAW!A221="","",IF(ISNUMBER(GL_RAW!A221),GL_RAW!A221,DATEVALUE(TEXT(GL_RAW!A221,"YYYY-MM-DD"))))</f>
        <v/>
      </c>
      <c r="C221" s="11">
        <f>IF(GL_RAW!A221="","",TRIM(GL_RAW!B221))</f>
        <v/>
      </c>
      <c r="D221" s="11">
        <f>IF(GL_RAW!A221="","",TRIM(GL_RAW!C221))</f>
        <v/>
      </c>
      <c r="E221" s="11">
        <f>IF(GL_RAW!A221="","",TRIM(GL_RAW!D221))</f>
        <v/>
      </c>
      <c r="F221" s="11">
        <f>IF(GL_RAW!A221="","",TRIM(GL_RAW!F221))</f>
        <v/>
      </c>
      <c r="G221" s="11">
        <f>IF(GL_RAW!A221="","",TRIM(GL_RAW!G221))</f>
        <v/>
      </c>
      <c r="H221" s="12">
        <f>IF(GL_RAW!A221="","",IFERROR(GL_RAW!E221,0))</f>
        <v/>
      </c>
      <c r="I221" s="12">
        <f>IF(GL_RAW!A221="","",ABS(H221))</f>
        <v/>
      </c>
      <c r="J221" s="11">
        <f>IF(GL_RAW!A221="","",IF(OR(ISNUMBER(SEARCH("Out",F221)),ISNUMBER(SEARCH("11025002",F221)),H221&lt;0),"OUT","IN"))</f>
        <v/>
      </c>
      <c r="K221" s="11" t="inlineStr"/>
    </row>
    <row r="222">
      <c r="A222" s="13">
        <f>IF(GL_RAW!A222="","",ROW()-1)</f>
        <v/>
      </c>
      <c r="B222" s="10">
        <f>IF(GL_RAW!A222="","",IF(ISNUMBER(GL_RAW!A222),GL_RAW!A222,DATEVALUE(TEXT(GL_RAW!A222,"YYYY-MM-DD"))))</f>
        <v/>
      </c>
      <c r="C222" s="11">
        <f>IF(GL_RAW!A222="","",TRIM(GL_RAW!B222))</f>
        <v/>
      </c>
      <c r="D222" s="11">
        <f>IF(GL_RAW!A222="","",TRIM(GL_RAW!C222))</f>
        <v/>
      </c>
      <c r="E222" s="11">
        <f>IF(GL_RAW!A222="","",TRIM(GL_RAW!D222))</f>
        <v/>
      </c>
      <c r="F222" s="11">
        <f>IF(GL_RAW!A222="","",TRIM(GL_RAW!F222))</f>
        <v/>
      </c>
      <c r="G222" s="11">
        <f>IF(GL_RAW!A222="","",TRIM(GL_RAW!G222))</f>
        <v/>
      </c>
      <c r="H222" s="12">
        <f>IF(GL_RAW!A222="","",IFERROR(GL_RAW!E222,0))</f>
        <v/>
      </c>
      <c r="I222" s="12">
        <f>IF(GL_RAW!A222="","",ABS(H222))</f>
        <v/>
      </c>
      <c r="J222" s="11">
        <f>IF(GL_RAW!A222="","",IF(OR(ISNUMBER(SEARCH("Out",F222)),ISNUMBER(SEARCH("11025002",F222)),H222&lt;0),"OUT","IN"))</f>
        <v/>
      </c>
      <c r="K222" s="11" t="inlineStr"/>
    </row>
    <row r="223">
      <c r="A223" s="13">
        <f>IF(GL_RAW!A223="","",ROW()-1)</f>
        <v/>
      </c>
      <c r="B223" s="10">
        <f>IF(GL_RAW!A223="","",IF(ISNUMBER(GL_RAW!A223),GL_RAW!A223,DATEVALUE(TEXT(GL_RAW!A223,"YYYY-MM-DD"))))</f>
        <v/>
      </c>
      <c r="C223" s="11">
        <f>IF(GL_RAW!A223="","",TRIM(GL_RAW!B223))</f>
        <v/>
      </c>
      <c r="D223" s="11">
        <f>IF(GL_RAW!A223="","",TRIM(GL_RAW!C223))</f>
        <v/>
      </c>
      <c r="E223" s="11">
        <f>IF(GL_RAW!A223="","",TRIM(GL_RAW!D223))</f>
        <v/>
      </c>
      <c r="F223" s="11">
        <f>IF(GL_RAW!A223="","",TRIM(GL_RAW!F223))</f>
        <v/>
      </c>
      <c r="G223" s="11">
        <f>IF(GL_RAW!A223="","",TRIM(GL_RAW!G223))</f>
        <v/>
      </c>
      <c r="H223" s="12">
        <f>IF(GL_RAW!A223="","",IFERROR(GL_RAW!E223,0))</f>
        <v/>
      </c>
      <c r="I223" s="12">
        <f>IF(GL_RAW!A223="","",ABS(H223))</f>
        <v/>
      </c>
      <c r="J223" s="11">
        <f>IF(GL_RAW!A223="","",IF(OR(ISNUMBER(SEARCH("Out",F223)),ISNUMBER(SEARCH("11025002",F223)),H223&lt;0),"OUT","IN"))</f>
        <v/>
      </c>
      <c r="K223" s="11" t="inlineStr"/>
    </row>
    <row r="224">
      <c r="A224" s="13">
        <f>IF(GL_RAW!A224="","",ROW()-1)</f>
        <v/>
      </c>
      <c r="B224" s="10">
        <f>IF(GL_RAW!A224="","",IF(ISNUMBER(GL_RAW!A224),GL_RAW!A224,DATEVALUE(TEXT(GL_RAW!A224,"YYYY-MM-DD"))))</f>
        <v/>
      </c>
      <c r="C224" s="11">
        <f>IF(GL_RAW!A224="","",TRIM(GL_RAW!B224))</f>
        <v/>
      </c>
      <c r="D224" s="11">
        <f>IF(GL_RAW!A224="","",TRIM(GL_RAW!C224))</f>
        <v/>
      </c>
      <c r="E224" s="11">
        <f>IF(GL_RAW!A224="","",TRIM(GL_RAW!D224))</f>
        <v/>
      </c>
      <c r="F224" s="11">
        <f>IF(GL_RAW!A224="","",TRIM(GL_RAW!F224))</f>
        <v/>
      </c>
      <c r="G224" s="11">
        <f>IF(GL_RAW!A224="","",TRIM(GL_RAW!G224))</f>
        <v/>
      </c>
      <c r="H224" s="12">
        <f>IF(GL_RAW!A224="","",IFERROR(GL_RAW!E224,0))</f>
        <v/>
      </c>
      <c r="I224" s="12">
        <f>IF(GL_RAW!A224="","",ABS(H224))</f>
        <v/>
      </c>
      <c r="J224" s="11">
        <f>IF(GL_RAW!A224="","",IF(OR(ISNUMBER(SEARCH("Out",F224)),ISNUMBER(SEARCH("11025002",F224)),H224&lt;0),"OUT","IN"))</f>
        <v/>
      </c>
      <c r="K224" s="11" t="inlineStr"/>
    </row>
    <row r="225">
      <c r="A225" s="13">
        <f>IF(GL_RAW!A225="","",ROW()-1)</f>
        <v/>
      </c>
      <c r="B225" s="10">
        <f>IF(GL_RAW!A225="","",IF(ISNUMBER(GL_RAW!A225),GL_RAW!A225,DATEVALUE(TEXT(GL_RAW!A225,"YYYY-MM-DD"))))</f>
        <v/>
      </c>
      <c r="C225" s="11">
        <f>IF(GL_RAW!A225="","",TRIM(GL_RAW!B225))</f>
        <v/>
      </c>
      <c r="D225" s="11">
        <f>IF(GL_RAW!A225="","",TRIM(GL_RAW!C225))</f>
        <v/>
      </c>
      <c r="E225" s="11">
        <f>IF(GL_RAW!A225="","",TRIM(GL_RAW!D225))</f>
        <v/>
      </c>
      <c r="F225" s="11">
        <f>IF(GL_RAW!A225="","",TRIM(GL_RAW!F225))</f>
        <v/>
      </c>
      <c r="G225" s="11">
        <f>IF(GL_RAW!A225="","",TRIM(GL_RAW!G225))</f>
        <v/>
      </c>
      <c r="H225" s="12">
        <f>IF(GL_RAW!A225="","",IFERROR(GL_RAW!E225,0))</f>
        <v/>
      </c>
      <c r="I225" s="12">
        <f>IF(GL_RAW!A225="","",ABS(H225))</f>
        <v/>
      </c>
      <c r="J225" s="11">
        <f>IF(GL_RAW!A225="","",IF(OR(ISNUMBER(SEARCH("Out",F225)),ISNUMBER(SEARCH("11025002",F225)),H225&lt;0),"OUT","IN"))</f>
        <v/>
      </c>
      <c r="K225" s="11" t="inlineStr"/>
    </row>
    <row r="226">
      <c r="A226" s="13">
        <f>IF(GL_RAW!A226="","",ROW()-1)</f>
        <v/>
      </c>
      <c r="B226" s="10">
        <f>IF(GL_RAW!A226="","",IF(ISNUMBER(GL_RAW!A226),GL_RAW!A226,DATEVALUE(TEXT(GL_RAW!A226,"YYYY-MM-DD"))))</f>
        <v/>
      </c>
      <c r="C226" s="11">
        <f>IF(GL_RAW!A226="","",TRIM(GL_RAW!B226))</f>
        <v/>
      </c>
      <c r="D226" s="11">
        <f>IF(GL_RAW!A226="","",TRIM(GL_RAW!C226))</f>
        <v/>
      </c>
      <c r="E226" s="11">
        <f>IF(GL_RAW!A226="","",TRIM(GL_RAW!D226))</f>
        <v/>
      </c>
      <c r="F226" s="11">
        <f>IF(GL_RAW!A226="","",TRIM(GL_RAW!F226))</f>
        <v/>
      </c>
      <c r="G226" s="11">
        <f>IF(GL_RAW!A226="","",TRIM(GL_RAW!G226))</f>
        <v/>
      </c>
      <c r="H226" s="12">
        <f>IF(GL_RAW!A226="","",IFERROR(GL_RAW!E226,0))</f>
        <v/>
      </c>
      <c r="I226" s="12">
        <f>IF(GL_RAW!A226="","",ABS(H226))</f>
        <v/>
      </c>
      <c r="J226" s="11">
        <f>IF(GL_RAW!A226="","",IF(OR(ISNUMBER(SEARCH("Out",F226)),ISNUMBER(SEARCH("11025002",F226)),H226&lt;0),"OUT","IN"))</f>
        <v/>
      </c>
      <c r="K226" s="11" t="inlineStr"/>
    </row>
    <row r="227">
      <c r="A227" s="13">
        <f>IF(GL_RAW!A227="","",ROW()-1)</f>
        <v/>
      </c>
      <c r="B227" s="10">
        <f>IF(GL_RAW!A227="","",IF(ISNUMBER(GL_RAW!A227),GL_RAW!A227,DATEVALUE(TEXT(GL_RAW!A227,"YYYY-MM-DD"))))</f>
        <v/>
      </c>
      <c r="C227" s="11">
        <f>IF(GL_RAW!A227="","",TRIM(GL_RAW!B227))</f>
        <v/>
      </c>
      <c r="D227" s="11">
        <f>IF(GL_RAW!A227="","",TRIM(GL_RAW!C227))</f>
        <v/>
      </c>
      <c r="E227" s="11">
        <f>IF(GL_RAW!A227="","",TRIM(GL_RAW!D227))</f>
        <v/>
      </c>
      <c r="F227" s="11">
        <f>IF(GL_RAW!A227="","",TRIM(GL_RAW!F227))</f>
        <v/>
      </c>
      <c r="G227" s="11">
        <f>IF(GL_RAW!A227="","",TRIM(GL_RAW!G227))</f>
        <v/>
      </c>
      <c r="H227" s="12">
        <f>IF(GL_RAW!A227="","",IFERROR(GL_RAW!E227,0))</f>
        <v/>
      </c>
      <c r="I227" s="12">
        <f>IF(GL_RAW!A227="","",ABS(H227))</f>
        <v/>
      </c>
      <c r="J227" s="11">
        <f>IF(GL_RAW!A227="","",IF(OR(ISNUMBER(SEARCH("Out",F227)),ISNUMBER(SEARCH("11025002",F227)),H227&lt;0),"OUT","IN"))</f>
        <v/>
      </c>
      <c r="K227" s="11" t="inlineStr"/>
    </row>
    <row r="228">
      <c r="A228" s="13">
        <f>IF(GL_RAW!A228="","",ROW()-1)</f>
        <v/>
      </c>
      <c r="B228" s="10">
        <f>IF(GL_RAW!A228="","",IF(ISNUMBER(GL_RAW!A228),GL_RAW!A228,DATEVALUE(TEXT(GL_RAW!A228,"YYYY-MM-DD"))))</f>
        <v/>
      </c>
      <c r="C228" s="11">
        <f>IF(GL_RAW!A228="","",TRIM(GL_RAW!B228))</f>
        <v/>
      </c>
      <c r="D228" s="11">
        <f>IF(GL_RAW!A228="","",TRIM(GL_RAW!C228))</f>
        <v/>
      </c>
      <c r="E228" s="11">
        <f>IF(GL_RAW!A228="","",TRIM(GL_RAW!D228))</f>
        <v/>
      </c>
      <c r="F228" s="11">
        <f>IF(GL_RAW!A228="","",TRIM(GL_RAW!F228))</f>
        <v/>
      </c>
      <c r="G228" s="11">
        <f>IF(GL_RAW!A228="","",TRIM(GL_RAW!G228))</f>
        <v/>
      </c>
      <c r="H228" s="12">
        <f>IF(GL_RAW!A228="","",IFERROR(GL_RAW!E228,0))</f>
        <v/>
      </c>
      <c r="I228" s="12">
        <f>IF(GL_RAW!A228="","",ABS(H228))</f>
        <v/>
      </c>
      <c r="J228" s="11">
        <f>IF(GL_RAW!A228="","",IF(OR(ISNUMBER(SEARCH("Out",F228)),ISNUMBER(SEARCH("11025002",F228)),H228&lt;0),"OUT","IN"))</f>
        <v/>
      </c>
      <c r="K228" s="11" t="inlineStr"/>
    </row>
    <row r="229">
      <c r="A229" s="13">
        <f>IF(GL_RAW!A229="","",ROW()-1)</f>
        <v/>
      </c>
      <c r="B229" s="10">
        <f>IF(GL_RAW!A229="","",IF(ISNUMBER(GL_RAW!A229),GL_RAW!A229,DATEVALUE(TEXT(GL_RAW!A229,"YYYY-MM-DD"))))</f>
        <v/>
      </c>
      <c r="C229" s="11">
        <f>IF(GL_RAW!A229="","",TRIM(GL_RAW!B229))</f>
        <v/>
      </c>
      <c r="D229" s="11">
        <f>IF(GL_RAW!A229="","",TRIM(GL_RAW!C229))</f>
        <v/>
      </c>
      <c r="E229" s="11">
        <f>IF(GL_RAW!A229="","",TRIM(GL_RAW!D229))</f>
        <v/>
      </c>
      <c r="F229" s="11">
        <f>IF(GL_RAW!A229="","",TRIM(GL_RAW!F229))</f>
        <v/>
      </c>
      <c r="G229" s="11">
        <f>IF(GL_RAW!A229="","",TRIM(GL_RAW!G229))</f>
        <v/>
      </c>
      <c r="H229" s="12">
        <f>IF(GL_RAW!A229="","",IFERROR(GL_RAW!E229,0))</f>
        <v/>
      </c>
      <c r="I229" s="12">
        <f>IF(GL_RAW!A229="","",ABS(H229))</f>
        <v/>
      </c>
      <c r="J229" s="11">
        <f>IF(GL_RAW!A229="","",IF(OR(ISNUMBER(SEARCH("Out",F229)),ISNUMBER(SEARCH("11025002",F229)),H229&lt;0),"OUT","IN"))</f>
        <v/>
      </c>
      <c r="K229" s="11" t="inlineStr"/>
    </row>
    <row r="230">
      <c r="A230" s="13">
        <f>IF(GL_RAW!A230="","",ROW()-1)</f>
        <v/>
      </c>
      <c r="B230" s="10">
        <f>IF(GL_RAW!A230="","",IF(ISNUMBER(GL_RAW!A230),GL_RAW!A230,DATEVALUE(TEXT(GL_RAW!A230,"YYYY-MM-DD"))))</f>
        <v/>
      </c>
      <c r="C230" s="11">
        <f>IF(GL_RAW!A230="","",TRIM(GL_RAW!B230))</f>
        <v/>
      </c>
      <c r="D230" s="11">
        <f>IF(GL_RAW!A230="","",TRIM(GL_RAW!C230))</f>
        <v/>
      </c>
      <c r="E230" s="11">
        <f>IF(GL_RAW!A230="","",TRIM(GL_RAW!D230))</f>
        <v/>
      </c>
      <c r="F230" s="11">
        <f>IF(GL_RAW!A230="","",TRIM(GL_RAW!F230))</f>
        <v/>
      </c>
      <c r="G230" s="11">
        <f>IF(GL_RAW!A230="","",TRIM(GL_RAW!G230))</f>
        <v/>
      </c>
      <c r="H230" s="12">
        <f>IF(GL_RAW!A230="","",IFERROR(GL_RAW!E230,0))</f>
        <v/>
      </c>
      <c r="I230" s="12">
        <f>IF(GL_RAW!A230="","",ABS(H230))</f>
        <v/>
      </c>
      <c r="J230" s="11">
        <f>IF(GL_RAW!A230="","",IF(OR(ISNUMBER(SEARCH("Out",F230)),ISNUMBER(SEARCH("11025002",F230)),H230&lt;0),"OUT","IN"))</f>
        <v/>
      </c>
      <c r="K230" s="11" t="inlineStr"/>
    </row>
    <row r="231">
      <c r="A231" s="13">
        <f>IF(GL_RAW!A231="","",ROW()-1)</f>
        <v/>
      </c>
      <c r="B231" s="10">
        <f>IF(GL_RAW!A231="","",IF(ISNUMBER(GL_RAW!A231),GL_RAW!A231,DATEVALUE(TEXT(GL_RAW!A231,"YYYY-MM-DD"))))</f>
        <v/>
      </c>
      <c r="C231" s="11">
        <f>IF(GL_RAW!A231="","",TRIM(GL_RAW!B231))</f>
        <v/>
      </c>
      <c r="D231" s="11">
        <f>IF(GL_RAW!A231="","",TRIM(GL_RAW!C231))</f>
        <v/>
      </c>
      <c r="E231" s="11">
        <f>IF(GL_RAW!A231="","",TRIM(GL_RAW!D231))</f>
        <v/>
      </c>
      <c r="F231" s="11">
        <f>IF(GL_RAW!A231="","",TRIM(GL_RAW!F231))</f>
        <v/>
      </c>
      <c r="G231" s="11">
        <f>IF(GL_RAW!A231="","",TRIM(GL_RAW!G231))</f>
        <v/>
      </c>
      <c r="H231" s="12">
        <f>IF(GL_RAW!A231="","",IFERROR(GL_RAW!E231,0))</f>
        <v/>
      </c>
      <c r="I231" s="12">
        <f>IF(GL_RAW!A231="","",ABS(H231))</f>
        <v/>
      </c>
      <c r="J231" s="11">
        <f>IF(GL_RAW!A231="","",IF(OR(ISNUMBER(SEARCH("Out",F231)),ISNUMBER(SEARCH("11025002",F231)),H231&lt;0),"OUT","IN"))</f>
        <v/>
      </c>
      <c r="K231" s="11" t="inlineStr"/>
    </row>
    <row r="232">
      <c r="A232" s="13">
        <f>IF(GL_RAW!A232="","",ROW()-1)</f>
        <v/>
      </c>
      <c r="B232" s="10">
        <f>IF(GL_RAW!A232="","",IF(ISNUMBER(GL_RAW!A232),GL_RAW!A232,DATEVALUE(TEXT(GL_RAW!A232,"YYYY-MM-DD"))))</f>
        <v/>
      </c>
      <c r="C232" s="11">
        <f>IF(GL_RAW!A232="","",TRIM(GL_RAW!B232))</f>
        <v/>
      </c>
      <c r="D232" s="11">
        <f>IF(GL_RAW!A232="","",TRIM(GL_RAW!C232))</f>
        <v/>
      </c>
      <c r="E232" s="11">
        <f>IF(GL_RAW!A232="","",TRIM(GL_RAW!D232))</f>
        <v/>
      </c>
      <c r="F232" s="11">
        <f>IF(GL_RAW!A232="","",TRIM(GL_RAW!F232))</f>
        <v/>
      </c>
      <c r="G232" s="11">
        <f>IF(GL_RAW!A232="","",TRIM(GL_RAW!G232))</f>
        <v/>
      </c>
      <c r="H232" s="12">
        <f>IF(GL_RAW!A232="","",IFERROR(GL_RAW!E232,0))</f>
        <v/>
      </c>
      <c r="I232" s="12">
        <f>IF(GL_RAW!A232="","",ABS(H232))</f>
        <v/>
      </c>
      <c r="J232" s="11">
        <f>IF(GL_RAW!A232="","",IF(OR(ISNUMBER(SEARCH("Out",F232)),ISNUMBER(SEARCH("11025002",F232)),H232&lt;0),"OUT","IN"))</f>
        <v/>
      </c>
      <c r="K232" s="11" t="inlineStr"/>
    </row>
    <row r="233">
      <c r="A233" s="13">
        <f>IF(GL_RAW!A233="","",ROW()-1)</f>
        <v/>
      </c>
      <c r="B233" s="10">
        <f>IF(GL_RAW!A233="","",IF(ISNUMBER(GL_RAW!A233),GL_RAW!A233,DATEVALUE(TEXT(GL_RAW!A233,"YYYY-MM-DD"))))</f>
        <v/>
      </c>
      <c r="C233" s="11">
        <f>IF(GL_RAW!A233="","",TRIM(GL_RAW!B233))</f>
        <v/>
      </c>
      <c r="D233" s="11">
        <f>IF(GL_RAW!A233="","",TRIM(GL_RAW!C233))</f>
        <v/>
      </c>
      <c r="E233" s="11">
        <f>IF(GL_RAW!A233="","",TRIM(GL_RAW!D233))</f>
        <v/>
      </c>
      <c r="F233" s="11">
        <f>IF(GL_RAW!A233="","",TRIM(GL_RAW!F233))</f>
        <v/>
      </c>
      <c r="G233" s="11">
        <f>IF(GL_RAW!A233="","",TRIM(GL_RAW!G233))</f>
        <v/>
      </c>
      <c r="H233" s="12">
        <f>IF(GL_RAW!A233="","",IFERROR(GL_RAW!E233,0))</f>
        <v/>
      </c>
      <c r="I233" s="12">
        <f>IF(GL_RAW!A233="","",ABS(H233))</f>
        <v/>
      </c>
      <c r="J233" s="11">
        <f>IF(GL_RAW!A233="","",IF(OR(ISNUMBER(SEARCH("Out",F233)),ISNUMBER(SEARCH("11025002",F233)),H233&lt;0),"OUT","IN"))</f>
        <v/>
      </c>
      <c r="K233" s="11" t="inlineStr"/>
    </row>
    <row r="234">
      <c r="A234" s="13">
        <f>IF(GL_RAW!A234="","",ROW()-1)</f>
        <v/>
      </c>
      <c r="B234" s="10">
        <f>IF(GL_RAW!A234="","",IF(ISNUMBER(GL_RAW!A234),GL_RAW!A234,DATEVALUE(TEXT(GL_RAW!A234,"YYYY-MM-DD"))))</f>
        <v/>
      </c>
      <c r="C234" s="11">
        <f>IF(GL_RAW!A234="","",TRIM(GL_RAW!B234))</f>
        <v/>
      </c>
      <c r="D234" s="11">
        <f>IF(GL_RAW!A234="","",TRIM(GL_RAW!C234))</f>
        <v/>
      </c>
      <c r="E234" s="11">
        <f>IF(GL_RAW!A234="","",TRIM(GL_RAW!D234))</f>
        <v/>
      </c>
      <c r="F234" s="11">
        <f>IF(GL_RAW!A234="","",TRIM(GL_RAW!F234))</f>
        <v/>
      </c>
      <c r="G234" s="11">
        <f>IF(GL_RAW!A234="","",TRIM(GL_RAW!G234))</f>
        <v/>
      </c>
      <c r="H234" s="12">
        <f>IF(GL_RAW!A234="","",IFERROR(GL_RAW!E234,0))</f>
        <v/>
      </c>
      <c r="I234" s="12">
        <f>IF(GL_RAW!A234="","",ABS(H234))</f>
        <v/>
      </c>
      <c r="J234" s="11">
        <f>IF(GL_RAW!A234="","",IF(OR(ISNUMBER(SEARCH("Out",F234)),ISNUMBER(SEARCH("11025002",F234)),H234&lt;0),"OUT","IN"))</f>
        <v/>
      </c>
      <c r="K234" s="11" t="inlineStr"/>
    </row>
    <row r="235">
      <c r="A235" s="13">
        <f>IF(GL_RAW!A235="","",ROW()-1)</f>
        <v/>
      </c>
      <c r="B235" s="10">
        <f>IF(GL_RAW!A235="","",IF(ISNUMBER(GL_RAW!A235),GL_RAW!A235,DATEVALUE(TEXT(GL_RAW!A235,"YYYY-MM-DD"))))</f>
        <v/>
      </c>
      <c r="C235" s="11">
        <f>IF(GL_RAW!A235="","",TRIM(GL_RAW!B235))</f>
        <v/>
      </c>
      <c r="D235" s="11">
        <f>IF(GL_RAW!A235="","",TRIM(GL_RAW!C235))</f>
        <v/>
      </c>
      <c r="E235" s="11">
        <f>IF(GL_RAW!A235="","",TRIM(GL_RAW!D235))</f>
        <v/>
      </c>
      <c r="F235" s="11">
        <f>IF(GL_RAW!A235="","",TRIM(GL_RAW!F235))</f>
        <v/>
      </c>
      <c r="G235" s="11">
        <f>IF(GL_RAW!A235="","",TRIM(GL_RAW!G235))</f>
        <v/>
      </c>
      <c r="H235" s="12">
        <f>IF(GL_RAW!A235="","",IFERROR(GL_RAW!E235,0))</f>
        <v/>
      </c>
      <c r="I235" s="12">
        <f>IF(GL_RAW!A235="","",ABS(H235))</f>
        <v/>
      </c>
      <c r="J235" s="11">
        <f>IF(GL_RAW!A235="","",IF(OR(ISNUMBER(SEARCH("Out",F235)),ISNUMBER(SEARCH("11025002",F235)),H235&lt;0),"OUT","IN"))</f>
        <v/>
      </c>
      <c r="K235" s="11" t="inlineStr"/>
    </row>
    <row r="236">
      <c r="A236" s="13">
        <f>IF(GL_RAW!A236="","",ROW()-1)</f>
        <v/>
      </c>
      <c r="B236" s="10">
        <f>IF(GL_RAW!A236="","",IF(ISNUMBER(GL_RAW!A236),GL_RAW!A236,DATEVALUE(TEXT(GL_RAW!A236,"YYYY-MM-DD"))))</f>
        <v/>
      </c>
      <c r="C236" s="11">
        <f>IF(GL_RAW!A236="","",TRIM(GL_RAW!B236))</f>
        <v/>
      </c>
      <c r="D236" s="11">
        <f>IF(GL_RAW!A236="","",TRIM(GL_RAW!C236))</f>
        <v/>
      </c>
      <c r="E236" s="11">
        <f>IF(GL_RAW!A236="","",TRIM(GL_RAW!D236))</f>
        <v/>
      </c>
      <c r="F236" s="11">
        <f>IF(GL_RAW!A236="","",TRIM(GL_RAW!F236))</f>
        <v/>
      </c>
      <c r="G236" s="11">
        <f>IF(GL_RAW!A236="","",TRIM(GL_RAW!G236))</f>
        <v/>
      </c>
      <c r="H236" s="12">
        <f>IF(GL_RAW!A236="","",IFERROR(GL_RAW!E236,0))</f>
        <v/>
      </c>
      <c r="I236" s="12">
        <f>IF(GL_RAW!A236="","",ABS(H236))</f>
        <v/>
      </c>
      <c r="J236" s="11">
        <f>IF(GL_RAW!A236="","",IF(OR(ISNUMBER(SEARCH("Out",F236)),ISNUMBER(SEARCH("11025002",F236)),H236&lt;0),"OUT","IN"))</f>
        <v/>
      </c>
      <c r="K236" s="11" t="inlineStr"/>
    </row>
    <row r="237">
      <c r="A237" s="13">
        <f>IF(GL_RAW!A237="","",ROW()-1)</f>
        <v/>
      </c>
      <c r="B237" s="10">
        <f>IF(GL_RAW!A237="","",IF(ISNUMBER(GL_RAW!A237),GL_RAW!A237,DATEVALUE(TEXT(GL_RAW!A237,"YYYY-MM-DD"))))</f>
        <v/>
      </c>
      <c r="C237" s="11">
        <f>IF(GL_RAW!A237="","",TRIM(GL_RAW!B237))</f>
        <v/>
      </c>
      <c r="D237" s="11">
        <f>IF(GL_RAW!A237="","",TRIM(GL_RAW!C237))</f>
        <v/>
      </c>
      <c r="E237" s="11">
        <f>IF(GL_RAW!A237="","",TRIM(GL_RAW!D237))</f>
        <v/>
      </c>
      <c r="F237" s="11">
        <f>IF(GL_RAW!A237="","",TRIM(GL_RAW!F237))</f>
        <v/>
      </c>
      <c r="G237" s="11">
        <f>IF(GL_RAW!A237="","",TRIM(GL_RAW!G237))</f>
        <v/>
      </c>
      <c r="H237" s="12">
        <f>IF(GL_RAW!A237="","",IFERROR(GL_RAW!E237,0))</f>
        <v/>
      </c>
      <c r="I237" s="12">
        <f>IF(GL_RAW!A237="","",ABS(H237))</f>
        <v/>
      </c>
      <c r="J237" s="11">
        <f>IF(GL_RAW!A237="","",IF(OR(ISNUMBER(SEARCH("Out",F237)),ISNUMBER(SEARCH("11025002",F237)),H237&lt;0),"OUT","IN"))</f>
        <v/>
      </c>
      <c r="K237" s="11" t="inlineStr"/>
    </row>
    <row r="238">
      <c r="A238" s="13">
        <f>IF(GL_RAW!A238="","",ROW()-1)</f>
        <v/>
      </c>
      <c r="B238" s="10">
        <f>IF(GL_RAW!A238="","",IF(ISNUMBER(GL_RAW!A238),GL_RAW!A238,DATEVALUE(TEXT(GL_RAW!A238,"YYYY-MM-DD"))))</f>
        <v/>
      </c>
      <c r="C238" s="11">
        <f>IF(GL_RAW!A238="","",TRIM(GL_RAW!B238))</f>
        <v/>
      </c>
      <c r="D238" s="11">
        <f>IF(GL_RAW!A238="","",TRIM(GL_RAW!C238))</f>
        <v/>
      </c>
      <c r="E238" s="11">
        <f>IF(GL_RAW!A238="","",TRIM(GL_RAW!D238))</f>
        <v/>
      </c>
      <c r="F238" s="11">
        <f>IF(GL_RAW!A238="","",TRIM(GL_RAW!F238))</f>
        <v/>
      </c>
      <c r="G238" s="11">
        <f>IF(GL_RAW!A238="","",TRIM(GL_RAW!G238))</f>
        <v/>
      </c>
      <c r="H238" s="12">
        <f>IF(GL_RAW!A238="","",IFERROR(GL_RAW!E238,0))</f>
        <v/>
      </c>
      <c r="I238" s="12">
        <f>IF(GL_RAW!A238="","",ABS(H238))</f>
        <v/>
      </c>
      <c r="J238" s="11">
        <f>IF(GL_RAW!A238="","",IF(OR(ISNUMBER(SEARCH("Out",F238)),ISNUMBER(SEARCH("11025002",F238)),H238&lt;0),"OUT","IN"))</f>
        <v/>
      </c>
      <c r="K238" s="11" t="inlineStr"/>
    </row>
    <row r="239">
      <c r="A239" s="13">
        <f>IF(GL_RAW!A239="","",ROW()-1)</f>
        <v/>
      </c>
      <c r="B239" s="10">
        <f>IF(GL_RAW!A239="","",IF(ISNUMBER(GL_RAW!A239),GL_RAW!A239,DATEVALUE(TEXT(GL_RAW!A239,"YYYY-MM-DD"))))</f>
        <v/>
      </c>
      <c r="C239" s="11">
        <f>IF(GL_RAW!A239="","",TRIM(GL_RAW!B239))</f>
        <v/>
      </c>
      <c r="D239" s="11">
        <f>IF(GL_RAW!A239="","",TRIM(GL_RAW!C239))</f>
        <v/>
      </c>
      <c r="E239" s="11">
        <f>IF(GL_RAW!A239="","",TRIM(GL_RAW!D239))</f>
        <v/>
      </c>
      <c r="F239" s="11">
        <f>IF(GL_RAW!A239="","",TRIM(GL_RAW!F239))</f>
        <v/>
      </c>
      <c r="G239" s="11">
        <f>IF(GL_RAW!A239="","",TRIM(GL_RAW!G239))</f>
        <v/>
      </c>
      <c r="H239" s="12">
        <f>IF(GL_RAW!A239="","",IFERROR(GL_RAW!E239,0))</f>
        <v/>
      </c>
      <c r="I239" s="12">
        <f>IF(GL_RAW!A239="","",ABS(H239))</f>
        <v/>
      </c>
      <c r="J239" s="11">
        <f>IF(GL_RAW!A239="","",IF(OR(ISNUMBER(SEARCH("Out",F239)),ISNUMBER(SEARCH("11025002",F239)),H239&lt;0),"OUT","IN"))</f>
        <v/>
      </c>
      <c r="K239" s="11" t="inlineStr"/>
    </row>
    <row r="240">
      <c r="A240" s="13">
        <f>IF(GL_RAW!A240="","",ROW()-1)</f>
        <v/>
      </c>
      <c r="B240" s="10">
        <f>IF(GL_RAW!A240="","",IF(ISNUMBER(GL_RAW!A240),GL_RAW!A240,DATEVALUE(TEXT(GL_RAW!A240,"YYYY-MM-DD"))))</f>
        <v/>
      </c>
      <c r="C240" s="11">
        <f>IF(GL_RAW!A240="","",TRIM(GL_RAW!B240))</f>
        <v/>
      </c>
      <c r="D240" s="11">
        <f>IF(GL_RAW!A240="","",TRIM(GL_RAW!C240))</f>
        <v/>
      </c>
      <c r="E240" s="11">
        <f>IF(GL_RAW!A240="","",TRIM(GL_RAW!D240))</f>
        <v/>
      </c>
      <c r="F240" s="11">
        <f>IF(GL_RAW!A240="","",TRIM(GL_RAW!F240))</f>
        <v/>
      </c>
      <c r="G240" s="11">
        <f>IF(GL_RAW!A240="","",TRIM(GL_RAW!G240))</f>
        <v/>
      </c>
      <c r="H240" s="12">
        <f>IF(GL_RAW!A240="","",IFERROR(GL_RAW!E240,0))</f>
        <v/>
      </c>
      <c r="I240" s="12">
        <f>IF(GL_RAW!A240="","",ABS(H240))</f>
        <v/>
      </c>
      <c r="J240" s="11">
        <f>IF(GL_RAW!A240="","",IF(OR(ISNUMBER(SEARCH("Out",F240)),ISNUMBER(SEARCH("11025002",F240)),H240&lt;0),"OUT","IN"))</f>
        <v/>
      </c>
      <c r="K240" s="11" t="inlineStr"/>
    </row>
    <row r="241">
      <c r="A241" s="13">
        <f>IF(GL_RAW!A241="","",ROW()-1)</f>
        <v/>
      </c>
      <c r="B241" s="10">
        <f>IF(GL_RAW!A241="","",IF(ISNUMBER(GL_RAW!A241),GL_RAW!A241,DATEVALUE(TEXT(GL_RAW!A241,"YYYY-MM-DD"))))</f>
        <v/>
      </c>
      <c r="C241" s="11">
        <f>IF(GL_RAW!A241="","",TRIM(GL_RAW!B241))</f>
        <v/>
      </c>
      <c r="D241" s="11">
        <f>IF(GL_RAW!A241="","",TRIM(GL_RAW!C241))</f>
        <v/>
      </c>
      <c r="E241" s="11">
        <f>IF(GL_RAW!A241="","",TRIM(GL_RAW!D241))</f>
        <v/>
      </c>
      <c r="F241" s="11">
        <f>IF(GL_RAW!A241="","",TRIM(GL_RAW!F241))</f>
        <v/>
      </c>
      <c r="G241" s="11">
        <f>IF(GL_RAW!A241="","",TRIM(GL_RAW!G241))</f>
        <v/>
      </c>
      <c r="H241" s="12">
        <f>IF(GL_RAW!A241="","",IFERROR(GL_RAW!E241,0))</f>
        <v/>
      </c>
      <c r="I241" s="12">
        <f>IF(GL_RAW!A241="","",ABS(H241))</f>
        <v/>
      </c>
      <c r="J241" s="11">
        <f>IF(GL_RAW!A241="","",IF(OR(ISNUMBER(SEARCH("Out",F241)),ISNUMBER(SEARCH("11025002",F241)),H241&lt;0),"OUT","IN"))</f>
        <v/>
      </c>
      <c r="K241" s="11" t="inlineStr"/>
    </row>
    <row r="242">
      <c r="A242" s="13">
        <f>IF(GL_RAW!A242="","",ROW()-1)</f>
        <v/>
      </c>
      <c r="B242" s="10">
        <f>IF(GL_RAW!A242="","",IF(ISNUMBER(GL_RAW!A242),GL_RAW!A242,DATEVALUE(TEXT(GL_RAW!A242,"YYYY-MM-DD"))))</f>
        <v/>
      </c>
      <c r="C242" s="11">
        <f>IF(GL_RAW!A242="","",TRIM(GL_RAW!B242))</f>
        <v/>
      </c>
      <c r="D242" s="11">
        <f>IF(GL_RAW!A242="","",TRIM(GL_RAW!C242))</f>
        <v/>
      </c>
      <c r="E242" s="11">
        <f>IF(GL_RAW!A242="","",TRIM(GL_RAW!D242))</f>
        <v/>
      </c>
      <c r="F242" s="11">
        <f>IF(GL_RAW!A242="","",TRIM(GL_RAW!F242))</f>
        <v/>
      </c>
      <c r="G242" s="11">
        <f>IF(GL_RAW!A242="","",TRIM(GL_RAW!G242))</f>
        <v/>
      </c>
      <c r="H242" s="12">
        <f>IF(GL_RAW!A242="","",IFERROR(GL_RAW!E242,0))</f>
        <v/>
      </c>
      <c r="I242" s="12">
        <f>IF(GL_RAW!A242="","",ABS(H242))</f>
        <v/>
      </c>
      <c r="J242" s="11">
        <f>IF(GL_RAW!A242="","",IF(OR(ISNUMBER(SEARCH("Out",F242)),ISNUMBER(SEARCH("11025002",F242)),H242&lt;0),"OUT","IN"))</f>
        <v/>
      </c>
      <c r="K242" s="11" t="inlineStr"/>
    </row>
    <row r="243">
      <c r="A243" s="13">
        <f>IF(GL_RAW!A243="","",ROW()-1)</f>
        <v/>
      </c>
      <c r="B243" s="10">
        <f>IF(GL_RAW!A243="","",IF(ISNUMBER(GL_RAW!A243),GL_RAW!A243,DATEVALUE(TEXT(GL_RAW!A243,"YYYY-MM-DD"))))</f>
        <v/>
      </c>
      <c r="C243" s="11">
        <f>IF(GL_RAW!A243="","",TRIM(GL_RAW!B243))</f>
        <v/>
      </c>
      <c r="D243" s="11">
        <f>IF(GL_RAW!A243="","",TRIM(GL_RAW!C243))</f>
        <v/>
      </c>
      <c r="E243" s="11">
        <f>IF(GL_RAW!A243="","",TRIM(GL_RAW!D243))</f>
        <v/>
      </c>
      <c r="F243" s="11">
        <f>IF(GL_RAW!A243="","",TRIM(GL_RAW!F243))</f>
        <v/>
      </c>
      <c r="G243" s="11">
        <f>IF(GL_RAW!A243="","",TRIM(GL_RAW!G243))</f>
        <v/>
      </c>
      <c r="H243" s="12">
        <f>IF(GL_RAW!A243="","",IFERROR(GL_RAW!E243,0))</f>
        <v/>
      </c>
      <c r="I243" s="12">
        <f>IF(GL_RAW!A243="","",ABS(H243))</f>
        <v/>
      </c>
      <c r="J243" s="11">
        <f>IF(GL_RAW!A243="","",IF(OR(ISNUMBER(SEARCH("Out",F243)),ISNUMBER(SEARCH("11025002",F243)),H243&lt;0),"OUT","IN"))</f>
        <v/>
      </c>
      <c r="K243" s="11" t="inlineStr"/>
    </row>
    <row r="244">
      <c r="A244" s="13">
        <f>IF(GL_RAW!A244="","",ROW()-1)</f>
        <v/>
      </c>
      <c r="B244" s="10">
        <f>IF(GL_RAW!A244="","",IF(ISNUMBER(GL_RAW!A244),GL_RAW!A244,DATEVALUE(TEXT(GL_RAW!A244,"YYYY-MM-DD"))))</f>
        <v/>
      </c>
      <c r="C244" s="11">
        <f>IF(GL_RAW!A244="","",TRIM(GL_RAW!B244))</f>
        <v/>
      </c>
      <c r="D244" s="11">
        <f>IF(GL_RAW!A244="","",TRIM(GL_RAW!C244))</f>
        <v/>
      </c>
      <c r="E244" s="11">
        <f>IF(GL_RAW!A244="","",TRIM(GL_RAW!D244))</f>
        <v/>
      </c>
      <c r="F244" s="11">
        <f>IF(GL_RAW!A244="","",TRIM(GL_RAW!F244))</f>
        <v/>
      </c>
      <c r="G244" s="11">
        <f>IF(GL_RAW!A244="","",TRIM(GL_RAW!G244))</f>
        <v/>
      </c>
      <c r="H244" s="12">
        <f>IF(GL_RAW!A244="","",IFERROR(GL_RAW!E244,0))</f>
        <v/>
      </c>
      <c r="I244" s="12">
        <f>IF(GL_RAW!A244="","",ABS(H244))</f>
        <v/>
      </c>
      <c r="J244" s="11">
        <f>IF(GL_RAW!A244="","",IF(OR(ISNUMBER(SEARCH("Out",F244)),ISNUMBER(SEARCH("11025002",F244)),H244&lt;0),"OUT","IN"))</f>
        <v/>
      </c>
      <c r="K244" s="11" t="inlineStr"/>
    </row>
    <row r="245">
      <c r="A245" s="13">
        <f>IF(GL_RAW!A245="","",ROW()-1)</f>
        <v/>
      </c>
      <c r="B245" s="10">
        <f>IF(GL_RAW!A245="","",IF(ISNUMBER(GL_RAW!A245),GL_RAW!A245,DATEVALUE(TEXT(GL_RAW!A245,"YYYY-MM-DD"))))</f>
        <v/>
      </c>
      <c r="C245" s="11">
        <f>IF(GL_RAW!A245="","",TRIM(GL_RAW!B245))</f>
        <v/>
      </c>
      <c r="D245" s="11">
        <f>IF(GL_RAW!A245="","",TRIM(GL_RAW!C245))</f>
        <v/>
      </c>
      <c r="E245" s="11">
        <f>IF(GL_RAW!A245="","",TRIM(GL_RAW!D245))</f>
        <v/>
      </c>
      <c r="F245" s="11">
        <f>IF(GL_RAW!A245="","",TRIM(GL_RAW!F245))</f>
        <v/>
      </c>
      <c r="G245" s="11">
        <f>IF(GL_RAW!A245="","",TRIM(GL_RAW!G245))</f>
        <v/>
      </c>
      <c r="H245" s="12">
        <f>IF(GL_RAW!A245="","",IFERROR(GL_RAW!E245,0))</f>
        <v/>
      </c>
      <c r="I245" s="12">
        <f>IF(GL_RAW!A245="","",ABS(H245))</f>
        <v/>
      </c>
      <c r="J245" s="11">
        <f>IF(GL_RAW!A245="","",IF(OR(ISNUMBER(SEARCH("Out",F245)),ISNUMBER(SEARCH("11025002",F245)),H245&lt;0),"OUT","IN"))</f>
        <v/>
      </c>
      <c r="K245" s="11" t="inlineStr"/>
    </row>
    <row r="246">
      <c r="A246" s="13">
        <f>IF(GL_RAW!A246="","",ROW()-1)</f>
        <v/>
      </c>
      <c r="B246" s="10">
        <f>IF(GL_RAW!A246="","",IF(ISNUMBER(GL_RAW!A246),GL_RAW!A246,DATEVALUE(TEXT(GL_RAW!A246,"YYYY-MM-DD"))))</f>
        <v/>
      </c>
      <c r="C246" s="11">
        <f>IF(GL_RAW!A246="","",TRIM(GL_RAW!B246))</f>
        <v/>
      </c>
      <c r="D246" s="11">
        <f>IF(GL_RAW!A246="","",TRIM(GL_RAW!C246))</f>
        <v/>
      </c>
      <c r="E246" s="11">
        <f>IF(GL_RAW!A246="","",TRIM(GL_RAW!D246))</f>
        <v/>
      </c>
      <c r="F246" s="11">
        <f>IF(GL_RAW!A246="","",TRIM(GL_RAW!F246))</f>
        <v/>
      </c>
      <c r="G246" s="11">
        <f>IF(GL_RAW!A246="","",TRIM(GL_RAW!G246))</f>
        <v/>
      </c>
      <c r="H246" s="12">
        <f>IF(GL_RAW!A246="","",IFERROR(GL_RAW!E246,0))</f>
        <v/>
      </c>
      <c r="I246" s="12">
        <f>IF(GL_RAW!A246="","",ABS(H246))</f>
        <v/>
      </c>
      <c r="J246" s="11">
        <f>IF(GL_RAW!A246="","",IF(OR(ISNUMBER(SEARCH("Out",F246)),ISNUMBER(SEARCH("11025002",F246)),H246&lt;0),"OUT","IN"))</f>
        <v/>
      </c>
      <c r="K246" s="11" t="inlineStr"/>
    </row>
    <row r="247">
      <c r="A247" s="13">
        <f>IF(GL_RAW!A247="","",ROW()-1)</f>
        <v/>
      </c>
      <c r="B247" s="10">
        <f>IF(GL_RAW!A247="","",IF(ISNUMBER(GL_RAW!A247),GL_RAW!A247,DATEVALUE(TEXT(GL_RAW!A247,"YYYY-MM-DD"))))</f>
        <v/>
      </c>
      <c r="C247" s="11">
        <f>IF(GL_RAW!A247="","",TRIM(GL_RAW!B247))</f>
        <v/>
      </c>
      <c r="D247" s="11">
        <f>IF(GL_RAW!A247="","",TRIM(GL_RAW!C247))</f>
        <v/>
      </c>
      <c r="E247" s="11">
        <f>IF(GL_RAW!A247="","",TRIM(GL_RAW!D247))</f>
        <v/>
      </c>
      <c r="F247" s="11">
        <f>IF(GL_RAW!A247="","",TRIM(GL_RAW!F247))</f>
        <v/>
      </c>
      <c r="G247" s="11">
        <f>IF(GL_RAW!A247="","",TRIM(GL_RAW!G247))</f>
        <v/>
      </c>
      <c r="H247" s="12">
        <f>IF(GL_RAW!A247="","",IFERROR(GL_RAW!E247,0))</f>
        <v/>
      </c>
      <c r="I247" s="12">
        <f>IF(GL_RAW!A247="","",ABS(H247))</f>
        <v/>
      </c>
      <c r="J247" s="11">
        <f>IF(GL_RAW!A247="","",IF(OR(ISNUMBER(SEARCH("Out",F247)),ISNUMBER(SEARCH("11025002",F247)),H247&lt;0),"OUT","IN"))</f>
        <v/>
      </c>
      <c r="K247" s="11" t="inlineStr"/>
    </row>
    <row r="248">
      <c r="A248" s="13">
        <f>IF(GL_RAW!A248="","",ROW()-1)</f>
        <v/>
      </c>
      <c r="B248" s="10">
        <f>IF(GL_RAW!A248="","",IF(ISNUMBER(GL_RAW!A248),GL_RAW!A248,DATEVALUE(TEXT(GL_RAW!A248,"YYYY-MM-DD"))))</f>
        <v/>
      </c>
      <c r="C248" s="11">
        <f>IF(GL_RAW!A248="","",TRIM(GL_RAW!B248))</f>
        <v/>
      </c>
      <c r="D248" s="11">
        <f>IF(GL_RAW!A248="","",TRIM(GL_RAW!C248))</f>
        <v/>
      </c>
      <c r="E248" s="11">
        <f>IF(GL_RAW!A248="","",TRIM(GL_RAW!D248))</f>
        <v/>
      </c>
      <c r="F248" s="11">
        <f>IF(GL_RAW!A248="","",TRIM(GL_RAW!F248))</f>
        <v/>
      </c>
      <c r="G248" s="11">
        <f>IF(GL_RAW!A248="","",TRIM(GL_RAW!G248))</f>
        <v/>
      </c>
      <c r="H248" s="12">
        <f>IF(GL_RAW!A248="","",IFERROR(GL_RAW!E248,0))</f>
        <v/>
      </c>
      <c r="I248" s="12">
        <f>IF(GL_RAW!A248="","",ABS(H248))</f>
        <v/>
      </c>
      <c r="J248" s="11">
        <f>IF(GL_RAW!A248="","",IF(OR(ISNUMBER(SEARCH("Out",F248)),ISNUMBER(SEARCH("11025002",F248)),H248&lt;0),"OUT","IN"))</f>
        <v/>
      </c>
      <c r="K248" s="11" t="inlineStr"/>
    </row>
    <row r="249">
      <c r="A249" s="13">
        <f>IF(GL_RAW!A249="","",ROW()-1)</f>
        <v/>
      </c>
      <c r="B249" s="10">
        <f>IF(GL_RAW!A249="","",IF(ISNUMBER(GL_RAW!A249),GL_RAW!A249,DATEVALUE(TEXT(GL_RAW!A249,"YYYY-MM-DD"))))</f>
        <v/>
      </c>
      <c r="C249" s="11">
        <f>IF(GL_RAW!A249="","",TRIM(GL_RAW!B249))</f>
        <v/>
      </c>
      <c r="D249" s="11">
        <f>IF(GL_RAW!A249="","",TRIM(GL_RAW!C249))</f>
        <v/>
      </c>
      <c r="E249" s="11">
        <f>IF(GL_RAW!A249="","",TRIM(GL_RAW!D249))</f>
        <v/>
      </c>
      <c r="F249" s="11">
        <f>IF(GL_RAW!A249="","",TRIM(GL_RAW!F249))</f>
        <v/>
      </c>
      <c r="G249" s="11">
        <f>IF(GL_RAW!A249="","",TRIM(GL_RAW!G249))</f>
        <v/>
      </c>
      <c r="H249" s="12">
        <f>IF(GL_RAW!A249="","",IFERROR(GL_RAW!E249,0))</f>
        <v/>
      </c>
      <c r="I249" s="12">
        <f>IF(GL_RAW!A249="","",ABS(H249))</f>
        <v/>
      </c>
      <c r="J249" s="11">
        <f>IF(GL_RAW!A249="","",IF(OR(ISNUMBER(SEARCH("Out",F249)),ISNUMBER(SEARCH("11025002",F249)),H249&lt;0),"OUT","IN"))</f>
        <v/>
      </c>
      <c r="K249" s="11" t="inlineStr"/>
    </row>
    <row r="250">
      <c r="A250" s="13">
        <f>IF(GL_RAW!A250="","",ROW()-1)</f>
        <v/>
      </c>
      <c r="B250" s="10">
        <f>IF(GL_RAW!A250="","",IF(ISNUMBER(GL_RAW!A250),GL_RAW!A250,DATEVALUE(TEXT(GL_RAW!A250,"YYYY-MM-DD"))))</f>
        <v/>
      </c>
      <c r="C250" s="11">
        <f>IF(GL_RAW!A250="","",TRIM(GL_RAW!B250))</f>
        <v/>
      </c>
      <c r="D250" s="11">
        <f>IF(GL_RAW!A250="","",TRIM(GL_RAW!C250))</f>
        <v/>
      </c>
      <c r="E250" s="11">
        <f>IF(GL_RAW!A250="","",TRIM(GL_RAW!D250))</f>
        <v/>
      </c>
      <c r="F250" s="11">
        <f>IF(GL_RAW!A250="","",TRIM(GL_RAW!F250))</f>
        <v/>
      </c>
      <c r="G250" s="11">
        <f>IF(GL_RAW!A250="","",TRIM(GL_RAW!G250))</f>
        <v/>
      </c>
      <c r="H250" s="12">
        <f>IF(GL_RAW!A250="","",IFERROR(GL_RAW!E250,0))</f>
        <v/>
      </c>
      <c r="I250" s="12">
        <f>IF(GL_RAW!A250="","",ABS(H250))</f>
        <v/>
      </c>
      <c r="J250" s="11">
        <f>IF(GL_RAW!A250="","",IF(OR(ISNUMBER(SEARCH("Out",F250)),ISNUMBER(SEARCH("11025002",F250)),H250&lt;0),"OUT","IN"))</f>
        <v/>
      </c>
      <c r="K250" s="11" t="inlineStr"/>
    </row>
    <row r="251">
      <c r="A251" s="13">
        <f>IF(GL_RAW!A251="","",ROW()-1)</f>
        <v/>
      </c>
      <c r="B251" s="10">
        <f>IF(GL_RAW!A251="","",IF(ISNUMBER(GL_RAW!A251),GL_RAW!A251,DATEVALUE(TEXT(GL_RAW!A251,"YYYY-MM-DD"))))</f>
        <v/>
      </c>
      <c r="C251" s="11">
        <f>IF(GL_RAW!A251="","",TRIM(GL_RAW!B251))</f>
        <v/>
      </c>
      <c r="D251" s="11">
        <f>IF(GL_RAW!A251="","",TRIM(GL_RAW!C251))</f>
        <v/>
      </c>
      <c r="E251" s="11">
        <f>IF(GL_RAW!A251="","",TRIM(GL_RAW!D251))</f>
        <v/>
      </c>
      <c r="F251" s="11">
        <f>IF(GL_RAW!A251="","",TRIM(GL_RAW!F251))</f>
        <v/>
      </c>
      <c r="G251" s="11">
        <f>IF(GL_RAW!A251="","",TRIM(GL_RAW!G251))</f>
        <v/>
      </c>
      <c r="H251" s="12">
        <f>IF(GL_RAW!A251="","",IFERROR(GL_RAW!E251,0))</f>
        <v/>
      </c>
      <c r="I251" s="12">
        <f>IF(GL_RAW!A251="","",ABS(H251))</f>
        <v/>
      </c>
      <c r="J251" s="11">
        <f>IF(GL_RAW!A251="","",IF(OR(ISNUMBER(SEARCH("Out",F251)),ISNUMBER(SEARCH("11025002",F251)),H251&lt;0),"OUT","IN"))</f>
        <v/>
      </c>
      <c r="K251" s="11" t="inlineStr"/>
    </row>
    <row r="252">
      <c r="A252" s="13">
        <f>IF(GL_RAW!A252="","",ROW()-1)</f>
        <v/>
      </c>
      <c r="B252" s="10">
        <f>IF(GL_RAW!A252="","",IF(ISNUMBER(GL_RAW!A252),GL_RAW!A252,DATEVALUE(TEXT(GL_RAW!A252,"YYYY-MM-DD"))))</f>
        <v/>
      </c>
      <c r="C252" s="11">
        <f>IF(GL_RAW!A252="","",TRIM(GL_RAW!B252))</f>
        <v/>
      </c>
      <c r="D252" s="11">
        <f>IF(GL_RAW!A252="","",TRIM(GL_RAW!C252))</f>
        <v/>
      </c>
      <c r="E252" s="11">
        <f>IF(GL_RAW!A252="","",TRIM(GL_RAW!D252))</f>
        <v/>
      </c>
      <c r="F252" s="11">
        <f>IF(GL_RAW!A252="","",TRIM(GL_RAW!F252))</f>
        <v/>
      </c>
      <c r="G252" s="11">
        <f>IF(GL_RAW!A252="","",TRIM(GL_RAW!G252))</f>
        <v/>
      </c>
      <c r="H252" s="12">
        <f>IF(GL_RAW!A252="","",IFERROR(GL_RAW!E252,0))</f>
        <v/>
      </c>
      <c r="I252" s="12">
        <f>IF(GL_RAW!A252="","",ABS(H252))</f>
        <v/>
      </c>
      <c r="J252" s="11">
        <f>IF(GL_RAW!A252="","",IF(OR(ISNUMBER(SEARCH("Out",F252)),ISNUMBER(SEARCH("11025002",F252)),H252&lt;0),"OUT","IN"))</f>
        <v/>
      </c>
      <c r="K252" s="11" t="inlineStr"/>
    </row>
    <row r="253">
      <c r="A253" s="13">
        <f>IF(GL_RAW!A253="","",ROW()-1)</f>
        <v/>
      </c>
      <c r="B253" s="10">
        <f>IF(GL_RAW!A253="","",IF(ISNUMBER(GL_RAW!A253),GL_RAW!A253,DATEVALUE(TEXT(GL_RAW!A253,"YYYY-MM-DD"))))</f>
        <v/>
      </c>
      <c r="C253" s="11">
        <f>IF(GL_RAW!A253="","",TRIM(GL_RAW!B253))</f>
        <v/>
      </c>
      <c r="D253" s="11">
        <f>IF(GL_RAW!A253="","",TRIM(GL_RAW!C253))</f>
        <v/>
      </c>
      <c r="E253" s="11">
        <f>IF(GL_RAW!A253="","",TRIM(GL_RAW!D253))</f>
        <v/>
      </c>
      <c r="F253" s="11">
        <f>IF(GL_RAW!A253="","",TRIM(GL_RAW!F253))</f>
        <v/>
      </c>
      <c r="G253" s="11">
        <f>IF(GL_RAW!A253="","",TRIM(GL_RAW!G253))</f>
        <v/>
      </c>
      <c r="H253" s="12">
        <f>IF(GL_RAW!A253="","",IFERROR(GL_RAW!E253,0))</f>
        <v/>
      </c>
      <c r="I253" s="12">
        <f>IF(GL_RAW!A253="","",ABS(H253))</f>
        <v/>
      </c>
      <c r="J253" s="11">
        <f>IF(GL_RAW!A253="","",IF(OR(ISNUMBER(SEARCH("Out",F253)),ISNUMBER(SEARCH("11025002",F253)),H253&lt;0),"OUT","IN"))</f>
        <v/>
      </c>
      <c r="K253" s="11" t="inlineStr"/>
    </row>
    <row r="254">
      <c r="A254" s="13">
        <f>IF(GL_RAW!A254="","",ROW()-1)</f>
        <v/>
      </c>
      <c r="B254" s="10">
        <f>IF(GL_RAW!A254="","",IF(ISNUMBER(GL_RAW!A254),GL_RAW!A254,DATEVALUE(TEXT(GL_RAW!A254,"YYYY-MM-DD"))))</f>
        <v/>
      </c>
      <c r="C254" s="11">
        <f>IF(GL_RAW!A254="","",TRIM(GL_RAW!B254))</f>
        <v/>
      </c>
      <c r="D254" s="11">
        <f>IF(GL_RAW!A254="","",TRIM(GL_RAW!C254))</f>
        <v/>
      </c>
      <c r="E254" s="11">
        <f>IF(GL_RAW!A254="","",TRIM(GL_RAW!D254))</f>
        <v/>
      </c>
      <c r="F254" s="11">
        <f>IF(GL_RAW!A254="","",TRIM(GL_RAW!F254))</f>
        <v/>
      </c>
      <c r="G254" s="11">
        <f>IF(GL_RAW!A254="","",TRIM(GL_RAW!G254))</f>
        <v/>
      </c>
      <c r="H254" s="12">
        <f>IF(GL_RAW!A254="","",IFERROR(GL_RAW!E254,0))</f>
        <v/>
      </c>
      <c r="I254" s="12">
        <f>IF(GL_RAW!A254="","",ABS(H254))</f>
        <v/>
      </c>
      <c r="J254" s="11">
        <f>IF(GL_RAW!A254="","",IF(OR(ISNUMBER(SEARCH("Out",F254)),ISNUMBER(SEARCH("11025002",F254)),H254&lt;0),"OUT","IN"))</f>
        <v/>
      </c>
      <c r="K254" s="11" t="inlineStr"/>
    </row>
    <row r="255">
      <c r="A255" s="13">
        <f>IF(GL_RAW!A255="","",ROW()-1)</f>
        <v/>
      </c>
      <c r="B255" s="10">
        <f>IF(GL_RAW!A255="","",IF(ISNUMBER(GL_RAW!A255),GL_RAW!A255,DATEVALUE(TEXT(GL_RAW!A255,"YYYY-MM-DD"))))</f>
        <v/>
      </c>
      <c r="C255" s="11">
        <f>IF(GL_RAW!A255="","",TRIM(GL_RAW!B255))</f>
        <v/>
      </c>
      <c r="D255" s="11">
        <f>IF(GL_RAW!A255="","",TRIM(GL_RAW!C255))</f>
        <v/>
      </c>
      <c r="E255" s="11">
        <f>IF(GL_RAW!A255="","",TRIM(GL_RAW!D255))</f>
        <v/>
      </c>
      <c r="F255" s="11">
        <f>IF(GL_RAW!A255="","",TRIM(GL_RAW!F255))</f>
        <v/>
      </c>
      <c r="G255" s="11">
        <f>IF(GL_RAW!A255="","",TRIM(GL_RAW!G255))</f>
        <v/>
      </c>
      <c r="H255" s="12">
        <f>IF(GL_RAW!A255="","",IFERROR(GL_RAW!E255,0))</f>
        <v/>
      </c>
      <c r="I255" s="12">
        <f>IF(GL_RAW!A255="","",ABS(H255))</f>
        <v/>
      </c>
      <c r="J255" s="11">
        <f>IF(GL_RAW!A255="","",IF(OR(ISNUMBER(SEARCH("Out",F255)),ISNUMBER(SEARCH("11025002",F255)),H255&lt;0),"OUT","IN"))</f>
        <v/>
      </c>
      <c r="K255" s="11" t="inlineStr"/>
    </row>
    <row r="256">
      <c r="A256" s="13">
        <f>IF(GL_RAW!A256="","",ROW()-1)</f>
        <v/>
      </c>
      <c r="B256" s="10">
        <f>IF(GL_RAW!A256="","",IF(ISNUMBER(GL_RAW!A256),GL_RAW!A256,DATEVALUE(TEXT(GL_RAW!A256,"YYYY-MM-DD"))))</f>
        <v/>
      </c>
      <c r="C256" s="11">
        <f>IF(GL_RAW!A256="","",TRIM(GL_RAW!B256))</f>
        <v/>
      </c>
      <c r="D256" s="11">
        <f>IF(GL_RAW!A256="","",TRIM(GL_RAW!C256))</f>
        <v/>
      </c>
      <c r="E256" s="11">
        <f>IF(GL_RAW!A256="","",TRIM(GL_RAW!D256))</f>
        <v/>
      </c>
      <c r="F256" s="11">
        <f>IF(GL_RAW!A256="","",TRIM(GL_RAW!F256))</f>
        <v/>
      </c>
      <c r="G256" s="11">
        <f>IF(GL_RAW!A256="","",TRIM(GL_RAW!G256))</f>
        <v/>
      </c>
      <c r="H256" s="12">
        <f>IF(GL_RAW!A256="","",IFERROR(GL_RAW!E256,0))</f>
        <v/>
      </c>
      <c r="I256" s="12">
        <f>IF(GL_RAW!A256="","",ABS(H256))</f>
        <v/>
      </c>
      <c r="J256" s="11">
        <f>IF(GL_RAW!A256="","",IF(OR(ISNUMBER(SEARCH("Out",F256)),ISNUMBER(SEARCH("11025002",F256)),H256&lt;0),"OUT","IN"))</f>
        <v/>
      </c>
      <c r="K256" s="11" t="inlineStr"/>
    </row>
    <row r="257">
      <c r="A257" s="13">
        <f>IF(GL_RAW!A257="","",ROW()-1)</f>
        <v/>
      </c>
      <c r="B257" s="10">
        <f>IF(GL_RAW!A257="","",IF(ISNUMBER(GL_RAW!A257),GL_RAW!A257,DATEVALUE(TEXT(GL_RAW!A257,"YYYY-MM-DD"))))</f>
        <v/>
      </c>
      <c r="C257" s="11">
        <f>IF(GL_RAW!A257="","",TRIM(GL_RAW!B257))</f>
        <v/>
      </c>
      <c r="D257" s="11">
        <f>IF(GL_RAW!A257="","",TRIM(GL_RAW!C257))</f>
        <v/>
      </c>
      <c r="E257" s="11">
        <f>IF(GL_RAW!A257="","",TRIM(GL_RAW!D257))</f>
        <v/>
      </c>
      <c r="F257" s="11">
        <f>IF(GL_RAW!A257="","",TRIM(GL_RAW!F257))</f>
        <v/>
      </c>
      <c r="G257" s="11">
        <f>IF(GL_RAW!A257="","",TRIM(GL_RAW!G257))</f>
        <v/>
      </c>
      <c r="H257" s="12">
        <f>IF(GL_RAW!A257="","",IFERROR(GL_RAW!E257,0))</f>
        <v/>
      </c>
      <c r="I257" s="12">
        <f>IF(GL_RAW!A257="","",ABS(H257))</f>
        <v/>
      </c>
      <c r="J257" s="11">
        <f>IF(GL_RAW!A257="","",IF(OR(ISNUMBER(SEARCH("Out",F257)),ISNUMBER(SEARCH("11025002",F257)),H257&lt;0),"OUT","IN"))</f>
        <v/>
      </c>
      <c r="K257" s="11" t="inlineStr"/>
    </row>
    <row r="258">
      <c r="A258" s="13">
        <f>IF(GL_RAW!A258="","",ROW()-1)</f>
        <v/>
      </c>
      <c r="B258" s="10">
        <f>IF(GL_RAW!A258="","",IF(ISNUMBER(GL_RAW!A258),GL_RAW!A258,DATEVALUE(TEXT(GL_RAW!A258,"YYYY-MM-DD"))))</f>
        <v/>
      </c>
      <c r="C258" s="11">
        <f>IF(GL_RAW!A258="","",TRIM(GL_RAW!B258))</f>
        <v/>
      </c>
      <c r="D258" s="11">
        <f>IF(GL_RAW!A258="","",TRIM(GL_RAW!C258))</f>
        <v/>
      </c>
      <c r="E258" s="11">
        <f>IF(GL_RAW!A258="","",TRIM(GL_RAW!D258))</f>
        <v/>
      </c>
      <c r="F258" s="11">
        <f>IF(GL_RAW!A258="","",TRIM(GL_RAW!F258))</f>
        <v/>
      </c>
      <c r="G258" s="11">
        <f>IF(GL_RAW!A258="","",TRIM(GL_RAW!G258))</f>
        <v/>
      </c>
      <c r="H258" s="12">
        <f>IF(GL_RAW!A258="","",IFERROR(GL_RAW!E258,0))</f>
        <v/>
      </c>
      <c r="I258" s="12">
        <f>IF(GL_RAW!A258="","",ABS(H258))</f>
        <v/>
      </c>
      <c r="J258" s="11">
        <f>IF(GL_RAW!A258="","",IF(OR(ISNUMBER(SEARCH("Out",F258)),ISNUMBER(SEARCH("11025002",F258)),H258&lt;0),"OUT","IN"))</f>
        <v/>
      </c>
      <c r="K258" s="11" t="inlineStr"/>
    </row>
    <row r="259">
      <c r="A259" s="13">
        <f>IF(GL_RAW!A259="","",ROW()-1)</f>
        <v/>
      </c>
      <c r="B259" s="10">
        <f>IF(GL_RAW!A259="","",IF(ISNUMBER(GL_RAW!A259),GL_RAW!A259,DATEVALUE(TEXT(GL_RAW!A259,"YYYY-MM-DD"))))</f>
        <v/>
      </c>
      <c r="C259" s="11">
        <f>IF(GL_RAW!A259="","",TRIM(GL_RAW!B259))</f>
        <v/>
      </c>
      <c r="D259" s="11">
        <f>IF(GL_RAW!A259="","",TRIM(GL_RAW!C259))</f>
        <v/>
      </c>
      <c r="E259" s="11">
        <f>IF(GL_RAW!A259="","",TRIM(GL_RAW!D259))</f>
        <v/>
      </c>
      <c r="F259" s="11">
        <f>IF(GL_RAW!A259="","",TRIM(GL_RAW!F259))</f>
        <v/>
      </c>
      <c r="G259" s="11">
        <f>IF(GL_RAW!A259="","",TRIM(GL_RAW!G259))</f>
        <v/>
      </c>
      <c r="H259" s="12">
        <f>IF(GL_RAW!A259="","",IFERROR(GL_RAW!E259,0))</f>
        <v/>
      </c>
      <c r="I259" s="12">
        <f>IF(GL_RAW!A259="","",ABS(H259))</f>
        <v/>
      </c>
      <c r="J259" s="11">
        <f>IF(GL_RAW!A259="","",IF(OR(ISNUMBER(SEARCH("Out",F259)),ISNUMBER(SEARCH("11025002",F259)),H259&lt;0),"OUT","IN"))</f>
        <v/>
      </c>
      <c r="K259" s="11" t="inlineStr"/>
    </row>
    <row r="260">
      <c r="A260" s="13">
        <f>IF(GL_RAW!A260="","",ROW()-1)</f>
        <v/>
      </c>
      <c r="B260" s="10">
        <f>IF(GL_RAW!A260="","",IF(ISNUMBER(GL_RAW!A260),GL_RAW!A260,DATEVALUE(TEXT(GL_RAW!A260,"YYYY-MM-DD"))))</f>
        <v/>
      </c>
      <c r="C260" s="11">
        <f>IF(GL_RAW!A260="","",TRIM(GL_RAW!B260))</f>
        <v/>
      </c>
      <c r="D260" s="11">
        <f>IF(GL_RAW!A260="","",TRIM(GL_RAW!C260))</f>
        <v/>
      </c>
      <c r="E260" s="11">
        <f>IF(GL_RAW!A260="","",TRIM(GL_RAW!D260))</f>
        <v/>
      </c>
      <c r="F260" s="11">
        <f>IF(GL_RAW!A260="","",TRIM(GL_RAW!F260))</f>
        <v/>
      </c>
      <c r="G260" s="11">
        <f>IF(GL_RAW!A260="","",TRIM(GL_RAW!G260))</f>
        <v/>
      </c>
      <c r="H260" s="12">
        <f>IF(GL_RAW!A260="","",IFERROR(GL_RAW!E260,0))</f>
        <v/>
      </c>
      <c r="I260" s="12">
        <f>IF(GL_RAW!A260="","",ABS(H260))</f>
        <v/>
      </c>
      <c r="J260" s="11">
        <f>IF(GL_RAW!A260="","",IF(OR(ISNUMBER(SEARCH("Out",F260)),ISNUMBER(SEARCH("11025002",F260)),H260&lt;0),"OUT","IN"))</f>
        <v/>
      </c>
      <c r="K260" s="11" t="inlineStr"/>
    </row>
    <row r="261">
      <c r="A261" s="13">
        <f>IF(GL_RAW!A261="","",ROW()-1)</f>
        <v/>
      </c>
      <c r="B261" s="10">
        <f>IF(GL_RAW!A261="","",IF(ISNUMBER(GL_RAW!A261),GL_RAW!A261,DATEVALUE(TEXT(GL_RAW!A261,"YYYY-MM-DD"))))</f>
        <v/>
      </c>
      <c r="C261" s="11">
        <f>IF(GL_RAW!A261="","",TRIM(GL_RAW!B261))</f>
        <v/>
      </c>
      <c r="D261" s="11">
        <f>IF(GL_RAW!A261="","",TRIM(GL_RAW!C261))</f>
        <v/>
      </c>
      <c r="E261" s="11">
        <f>IF(GL_RAW!A261="","",TRIM(GL_RAW!D261))</f>
        <v/>
      </c>
      <c r="F261" s="11">
        <f>IF(GL_RAW!A261="","",TRIM(GL_RAW!F261))</f>
        <v/>
      </c>
      <c r="G261" s="11">
        <f>IF(GL_RAW!A261="","",TRIM(GL_RAW!G261))</f>
        <v/>
      </c>
      <c r="H261" s="12">
        <f>IF(GL_RAW!A261="","",IFERROR(GL_RAW!E261,0))</f>
        <v/>
      </c>
      <c r="I261" s="12">
        <f>IF(GL_RAW!A261="","",ABS(H261))</f>
        <v/>
      </c>
      <c r="J261" s="11">
        <f>IF(GL_RAW!A261="","",IF(OR(ISNUMBER(SEARCH("Out",F261)),ISNUMBER(SEARCH("11025002",F261)),H261&lt;0),"OUT","IN"))</f>
        <v/>
      </c>
      <c r="K261" s="11" t="inlineStr"/>
    </row>
    <row r="262">
      <c r="A262" s="13">
        <f>IF(GL_RAW!A262="","",ROW()-1)</f>
        <v/>
      </c>
      <c r="B262" s="10">
        <f>IF(GL_RAW!A262="","",IF(ISNUMBER(GL_RAW!A262),GL_RAW!A262,DATEVALUE(TEXT(GL_RAW!A262,"YYYY-MM-DD"))))</f>
        <v/>
      </c>
      <c r="C262" s="11">
        <f>IF(GL_RAW!A262="","",TRIM(GL_RAW!B262))</f>
        <v/>
      </c>
      <c r="D262" s="11">
        <f>IF(GL_RAW!A262="","",TRIM(GL_RAW!C262))</f>
        <v/>
      </c>
      <c r="E262" s="11">
        <f>IF(GL_RAW!A262="","",TRIM(GL_RAW!D262))</f>
        <v/>
      </c>
      <c r="F262" s="11">
        <f>IF(GL_RAW!A262="","",TRIM(GL_RAW!F262))</f>
        <v/>
      </c>
      <c r="G262" s="11">
        <f>IF(GL_RAW!A262="","",TRIM(GL_RAW!G262))</f>
        <v/>
      </c>
      <c r="H262" s="12">
        <f>IF(GL_RAW!A262="","",IFERROR(GL_RAW!E262,0))</f>
        <v/>
      </c>
      <c r="I262" s="12">
        <f>IF(GL_RAW!A262="","",ABS(H262))</f>
        <v/>
      </c>
      <c r="J262" s="11">
        <f>IF(GL_RAW!A262="","",IF(OR(ISNUMBER(SEARCH("Out",F262)),ISNUMBER(SEARCH("11025002",F262)),H262&lt;0),"OUT","IN"))</f>
        <v/>
      </c>
      <c r="K262" s="11" t="inlineStr"/>
    </row>
    <row r="263">
      <c r="A263" s="13">
        <f>IF(GL_RAW!A263="","",ROW()-1)</f>
        <v/>
      </c>
      <c r="B263" s="10">
        <f>IF(GL_RAW!A263="","",IF(ISNUMBER(GL_RAW!A263),GL_RAW!A263,DATEVALUE(TEXT(GL_RAW!A263,"YYYY-MM-DD"))))</f>
        <v/>
      </c>
      <c r="C263" s="11">
        <f>IF(GL_RAW!A263="","",TRIM(GL_RAW!B263))</f>
        <v/>
      </c>
      <c r="D263" s="11">
        <f>IF(GL_RAW!A263="","",TRIM(GL_RAW!C263))</f>
        <v/>
      </c>
      <c r="E263" s="11">
        <f>IF(GL_RAW!A263="","",TRIM(GL_RAW!D263))</f>
        <v/>
      </c>
      <c r="F263" s="11">
        <f>IF(GL_RAW!A263="","",TRIM(GL_RAW!F263))</f>
        <v/>
      </c>
      <c r="G263" s="11">
        <f>IF(GL_RAW!A263="","",TRIM(GL_RAW!G263))</f>
        <v/>
      </c>
      <c r="H263" s="12">
        <f>IF(GL_RAW!A263="","",IFERROR(GL_RAW!E263,0))</f>
        <v/>
      </c>
      <c r="I263" s="12">
        <f>IF(GL_RAW!A263="","",ABS(H263))</f>
        <v/>
      </c>
      <c r="J263" s="11">
        <f>IF(GL_RAW!A263="","",IF(OR(ISNUMBER(SEARCH("Out",F263)),ISNUMBER(SEARCH("11025002",F263)),H263&lt;0),"OUT","IN"))</f>
        <v/>
      </c>
      <c r="K263" s="11" t="inlineStr"/>
    </row>
    <row r="264">
      <c r="A264" s="13">
        <f>IF(GL_RAW!A264="","",ROW()-1)</f>
        <v/>
      </c>
      <c r="B264" s="10">
        <f>IF(GL_RAW!A264="","",IF(ISNUMBER(GL_RAW!A264),GL_RAW!A264,DATEVALUE(TEXT(GL_RAW!A264,"YYYY-MM-DD"))))</f>
        <v/>
      </c>
      <c r="C264" s="11">
        <f>IF(GL_RAW!A264="","",TRIM(GL_RAW!B264))</f>
        <v/>
      </c>
      <c r="D264" s="11">
        <f>IF(GL_RAW!A264="","",TRIM(GL_RAW!C264))</f>
        <v/>
      </c>
      <c r="E264" s="11">
        <f>IF(GL_RAW!A264="","",TRIM(GL_RAW!D264))</f>
        <v/>
      </c>
      <c r="F264" s="11">
        <f>IF(GL_RAW!A264="","",TRIM(GL_RAW!F264))</f>
        <v/>
      </c>
      <c r="G264" s="11">
        <f>IF(GL_RAW!A264="","",TRIM(GL_RAW!G264))</f>
        <v/>
      </c>
      <c r="H264" s="12">
        <f>IF(GL_RAW!A264="","",IFERROR(GL_RAW!E264,0))</f>
        <v/>
      </c>
      <c r="I264" s="12">
        <f>IF(GL_RAW!A264="","",ABS(H264))</f>
        <v/>
      </c>
      <c r="J264" s="11">
        <f>IF(GL_RAW!A264="","",IF(OR(ISNUMBER(SEARCH("Out",F264)),ISNUMBER(SEARCH("11025002",F264)),H264&lt;0),"OUT","IN"))</f>
        <v/>
      </c>
      <c r="K264" s="11" t="inlineStr"/>
    </row>
    <row r="265">
      <c r="A265" s="13">
        <f>IF(GL_RAW!A265="","",ROW()-1)</f>
        <v/>
      </c>
      <c r="B265" s="10">
        <f>IF(GL_RAW!A265="","",IF(ISNUMBER(GL_RAW!A265),GL_RAW!A265,DATEVALUE(TEXT(GL_RAW!A265,"YYYY-MM-DD"))))</f>
        <v/>
      </c>
      <c r="C265" s="11">
        <f>IF(GL_RAW!A265="","",TRIM(GL_RAW!B265))</f>
        <v/>
      </c>
      <c r="D265" s="11">
        <f>IF(GL_RAW!A265="","",TRIM(GL_RAW!C265))</f>
        <v/>
      </c>
      <c r="E265" s="11">
        <f>IF(GL_RAW!A265="","",TRIM(GL_RAW!D265))</f>
        <v/>
      </c>
      <c r="F265" s="11">
        <f>IF(GL_RAW!A265="","",TRIM(GL_RAW!F265))</f>
        <v/>
      </c>
      <c r="G265" s="11">
        <f>IF(GL_RAW!A265="","",TRIM(GL_RAW!G265))</f>
        <v/>
      </c>
      <c r="H265" s="12">
        <f>IF(GL_RAW!A265="","",IFERROR(GL_RAW!E265,0))</f>
        <v/>
      </c>
      <c r="I265" s="12">
        <f>IF(GL_RAW!A265="","",ABS(H265))</f>
        <v/>
      </c>
      <c r="J265" s="11">
        <f>IF(GL_RAW!A265="","",IF(OR(ISNUMBER(SEARCH("Out",F265)),ISNUMBER(SEARCH("11025002",F265)),H265&lt;0),"OUT","IN"))</f>
        <v/>
      </c>
      <c r="K265" s="11" t="inlineStr"/>
    </row>
    <row r="266">
      <c r="A266" s="13">
        <f>IF(GL_RAW!A266="","",ROW()-1)</f>
        <v/>
      </c>
      <c r="B266" s="10">
        <f>IF(GL_RAW!A266="","",IF(ISNUMBER(GL_RAW!A266),GL_RAW!A266,DATEVALUE(TEXT(GL_RAW!A266,"YYYY-MM-DD"))))</f>
        <v/>
      </c>
      <c r="C266" s="11">
        <f>IF(GL_RAW!A266="","",TRIM(GL_RAW!B266))</f>
        <v/>
      </c>
      <c r="D266" s="11">
        <f>IF(GL_RAW!A266="","",TRIM(GL_RAW!C266))</f>
        <v/>
      </c>
      <c r="E266" s="11">
        <f>IF(GL_RAW!A266="","",TRIM(GL_RAW!D266))</f>
        <v/>
      </c>
      <c r="F266" s="11">
        <f>IF(GL_RAW!A266="","",TRIM(GL_RAW!F266))</f>
        <v/>
      </c>
      <c r="G266" s="11">
        <f>IF(GL_RAW!A266="","",TRIM(GL_RAW!G266))</f>
        <v/>
      </c>
      <c r="H266" s="12">
        <f>IF(GL_RAW!A266="","",IFERROR(GL_RAW!E266,0))</f>
        <v/>
      </c>
      <c r="I266" s="12">
        <f>IF(GL_RAW!A266="","",ABS(H266))</f>
        <v/>
      </c>
      <c r="J266" s="11">
        <f>IF(GL_RAW!A266="","",IF(OR(ISNUMBER(SEARCH("Out",F266)),ISNUMBER(SEARCH("11025002",F266)),H266&lt;0),"OUT","IN"))</f>
        <v/>
      </c>
      <c r="K266" s="11" t="inlineStr"/>
    </row>
    <row r="267">
      <c r="A267" s="13">
        <f>IF(GL_RAW!A267="","",ROW()-1)</f>
        <v/>
      </c>
      <c r="B267" s="10">
        <f>IF(GL_RAW!A267="","",IF(ISNUMBER(GL_RAW!A267),GL_RAW!A267,DATEVALUE(TEXT(GL_RAW!A267,"YYYY-MM-DD"))))</f>
        <v/>
      </c>
      <c r="C267" s="11">
        <f>IF(GL_RAW!A267="","",TRIM(GL_RAW!B267))</f>
        <v/>
      </c>
      <c r="D267" s="11">
        <f>IF(GL_RAW!A267="","",TRIM(GL_RAW!C267))</f>
        <v/>
      </c>
      <c r="E267" s="11">
        <f>IF(GL_RAW!A267="","",TRIM(GL_RAW!D267))</f>
        <v/>
      </c>
      <c r="F267" s="11">
        <f>IF(GL_RAW!A267="","",TRIM(GL_RAW!F267))</f>
        <v/>
      </c>
      <c r="G267" s="11">
        <f>IF(GL_RAW!A267="","",TRIM(GL_RAW!G267))</f>
        <v/>
      </c>
      <c r="H267" s="12">
        <f>IF(GL_RAW!A267="","",IFERROR(GL_RAW!E267,0))</f>
        <v/>
      </c>
      <c r="I267" s="12">
        <f>IF(GL_RAW!A267="","",ABS(H267))</f>
        <v/>
      </c>
      <c r="J267" s="11">
        <f>IF(GL_RAW!A267="","",IF(OR(ISNUMBER(SEARCH("Out",F267)),ISNUMBER(SEARCH("11025002",F267)),H267&lt;0),"OUT","IN"))</f>
        <v/>
      </c>
      <c r="K267" s="11" t="inlineStr"/>
    </row>
    <row r="268">
      <c r="A268" s="13">
        <f>IF(GL_RAW!A268="","",ROW()-1)</f>
        <v/>
      </c>
      <c r="B268" s="10">
        <f>IF(GL_RAW!A268="","",IF(ISNUMBER(GL_RAW!A268),GL_RAW!A268,DATEVALUE(TEXT(GL_RAW!A268,"YYYY-MM-DD"))))</f>
        <v/>
      </c>
      <c r="C268" s="11">
        <f>IF(GL_RAW!A268="","",TRIM(GL_RAW!B268))</f>
        <v/>
      </c>
      <c r="D268" s="11">
        <f>IF(GL_RAW!A268="","",TRIM(GL_RAW!C268))</f>
        <v/>
      </c>
      <c r="E268" s="11">
        <f>IF(GL_RAW!A268="","",TRIM(GL_RAW!D268))</f>
        <v/>
      </c>
      <c r="F268" s="11">
        <f>IF(GL_RAW!A268="","",TRIM(GL_RAW!F268))</f>
        <v/>
      </c>
      <c r="G268" s="11">
        <f>IF(GL_RAW!A268="","",TRIM(GL_RAW!G268))</f>
        <v/>
      </c>
      <c r="H268" s="12">
        <f>IF(GL_RAW!A268="","",IFERROR(GL_RAW!E268,0))</f>
        <v/>
      </c>
      <c r="I268" s="12">
        <f>IF(GL_RAW!A268="","",ABS(H268))</f>
        <v/>
      </c>
      <c r="J268" s="11">
        <f>IF(GL_RAW!A268="","",IF(OR(ISNUMBER(SEARCH("Out",F268)),ISNUMBER(SEARCH("11025002",F268)),H268&lt;0),"OUT","IN"))</f>
        <v/>
      </c>
      <c r="K268" s="11" t="inlineStr"/>
    </row>
    <row r="269">
      <c r="A269" s="13">
        <f>IF(GL_RAW!A269="","",ROW()-1)</f>
        <v/>
      </c>
      <c r="B269" s="10">
        <f>IF(GL_RAW!A269="","",IF(ISNUMBER(GL_RAW!A269),GL_RAW!A269,DATEVALUE(TEXT(GL_RAW!A269,"YYYY-MM-DD"))))</f>
        <v/>
      </c>
      <c r="C269" s="11">
        <f>IF(GL_RAW!A269="","",TRIM(GL_RAW!B269))</f>
        <v/>
      </c>
      <c r="D269" s="11">
        <f>IF(GL_RAW!A269="","",TRIM(GL_RAW!C269))</f>
        <v/>
      </c>
      <c r="E269" s="11">
        <f>IF(GL_RAW!A269="","",TRIM(GL_RAW!D269))</f>
        <v/>
      </c>
      <c r="F269" s="11">
        <f>IF(GL_RAW!A269="","",TRIM(GL_RAW!F269))</f>
        <v/>
      </c>
      <c r="G269" s="11">
        <f>IF(GL_RAW!A269="","",TRIM(GL_RAW!G269))</f>
        <v/>
      </c>
      <c r="H269" s="12">
        <f>IF(GL_RAW!A269="","",IFERROR(GL_RAW!E269,0))</f>
        <v/>
      </c>
      <c r="I269" s="12">
        <f>IF(GL_RAW!A269="","",ABS(H269))</f>
        <v/>
      </c>
      <c r="J269" s="11">
        <f>IF(GL_RAW!A269="","",IF(OR(ISNUMBER(SEARCH("Out",F269)),ISNUMBER(SEARCH("11025002",F269)),H269&lt;0),"OUT","IN"))</f>
        <v/>
      </c>
      <c r="K269" s="11" t="inlineStr"/>
    </row>
    <row r="270">
      <c r="A270" s="13">
        <f>IF(GL_RAW!A270="","",ROW()-1)</f>
        <v/>
      </c>
      <c r="B270" s="10">
        <f>IF(GL_RAW!A270="","",IF(ISNUMBER(GL_RAW!A270),GL_RAW!A270,DATEVALUE(TEXT(GL_RAW!A270,"YYYY-MM-DD"))))</f>
        <v/>
      </c>
      <c r="C270" s="11">
        <f>IF(GL_RAW!A270="","",TRIM(GL_RAW!B270))</f>
        <v/>
      </c>
      <c r="D270" s="11">
        <f>IF(GL_RAW!A270="","",TRIM(GL_RAW!C270))</f>
        <v/>
      </c>
      <c r="E270" s="11">
        <f>IF(GL_RAW!A270="","",TRIM(GL_RAW!D270))</f>
        <v/>
      </c>
      <c r="F270" s="11">
        <f>IF(GL_RAW!A270="","",TRIM(GL_RAW!F270))</f>
        <v/>
      </c>
      <c r="G270" s="11">
        <f>IF(GL_RAW!A270="","",TRIM(GL_RAW!G270))</f>
        <v/>
      </c>
      <c r="H270" s="12">
        <f>IF(GL_RAW!A270="","",IFERROR(GL_RAW!E270,0))</f>
        <v/>
      </c>
      <c r="I270" s="12">
        <f>IF(GL_RAW!A270="","",ABS(H270))</f>
        <v/>
      </c>
      <c r="J270" s="11">
        <f>IF(GL_RAW!A270="","",IF(OR(ISNUMBER(SEARCH("Out",F270)),ISNUMBER(SEARCH("11025002",F270)),H270&lt;0),"OUT","IN"))</f>
        <v/>
      </c>
      <c r="K270" s="11" t="inlineStr"/>
    </row>
    <row r="271">
      <c r="A271" s="13">
        <f>IF(GL_RAW!A271="","",ROW()-1)</f>
        <v/>
      </c>
      <c r="B271" s="10">
        <f>IF(GL_RAW!A271="","",IF(ISNUMBER(GL_RAW!A271),GL_RAW!A271,DATEVALUE(TEXT(GL_RAW!A271,"YYYY-MM-DD"))))</f>
        <v/>
      </c>
      <c r="C271" s="11">
        <f>IF(GL_RAW!A271="","",TRIM(GL_RAW!B271))</f>
        <v/>
      </c>
      <c r="D271" s="11">
        <f>IF(GL_RAW!A271="","",TRIM(GL_RAW!C271))</f>
        <v/>
      </c>
      <c r="E271" s="11">
        <f>IF(GL_RAW!A271="","",TRIM(GL_RAW!D271))</f>
        <v/>
      </c>
      <c r="F271" s="11">
        <f>IF(GL_RAW!A271="","",TRIM(GL_RAW!F271))</f>
        <v/>
      </c>
      <c r="G271" s="11">
        <f>IF(GL_RAW!A271="","",TRIM(GL_RAW!G271))</f>
        <v/>
      </c>
      <c r="H271" s="12">
        <f>IF(GL_RAW!A271="","",IFERROR(GL_RAW!E271,0))</f>
        <v/>
      </c>
      <c r="I271" s="12">
        <f>IF(GL_RAW!A271="","",ABS(H271))</f>
        <v/>
      </c>
      <c r="J271" s="11">
        <f>IF(GL_RAW!A271="","",IF(OR(ISNUMBER(SEARCH("Out",F271)),ISNUMBER(SEARCH("11025002",F271)),H271&lt;0),"OUT","IN"))</f>
        <v/>
      </c>
      <c r="K271" s="11" t="inlineStr"/>
    </row>
    <row r="272">
      <c r="A272" s="13">
        <f>IF(GL_RAW!A272="","",ROW()-1)</f>
        <v/>
      </c>
      <c r="B272" s="10">
        <f>IF(GL_RAW!A272="","",IF(ISNUMBER(GL_RAW!A272),GL_RAW!A272,DATEVALUE(TEXT(GL_RAW!A272,"YYYY-MM-DD"))))</f>
        <v/>
      </c>
      <c r="C272" s="11">
        <f>IF(GL_RAW!A272="","",TRIM(GL_RAW!B272))</f>
        <v/>
      </c>
      <c r="D272" s="11">
        <f>IF(GL_RAW!A272="","",TRIM(GL_RAW!C272))</f>
        <v/>
      </c>
      <c r="E272" s="11">
        <f>IF(GL_RAW!A272="","",TRIM(GL_RAW!D272))</f>
        <v/>
      </c>
      <c r="F272" s="11">
        <f>IF(GL_RAW!A272="","",TRIM(GL_RAW!F272))</f>
        <v/>
      </c>
      <c r="G272" s="11">
        <f>IF(GL_RAW!A272="","",TRIM(GL_RAW!G272))</f>
        <v/>
      </c>
      <c r="H272" s="12">
        <f>IF(GL_RAW!A272="","",IFERROR(GL_RAW!E272,0))</f>
        <v/>
      </c>
      <c r="I272" s="12">
        <f>IF(GL_RAW!A272="","",ABS(H272))</f>
        <v/>
      </c>
      <c r="J272" s="11">
        <f>IF(GL_RAW!A272="","",IF(OR(ISNUMBER(SEARCH("Out",F272)),ISNUMBER(SEARCH("11025002",F272)),H272&lt;0),"OUT","IN"))</f>
        <v/>
      </c>
      <c r="K272" s="11" t="inlineStr"/>
    </row>
    <row r="273">
      <c r="A273" s="13">
        <f>IF(GL_RAW!A273="","",ROW()-1)</f>
        <v/>
      </c>
      <c r="B273" s="10">
        <f>IF(GL_RAW!A273="","",IF(ISNUMBER(GL_RAW!A273),GL_RAW!A273,DATEVALUE(TEXT(GL_RAW!A273,"YYYY-MM-DD"))))</f>
        <v/>
      </c>
      <c r="C273" s="11">
        <f>IF(GL_RAW!A273="","",TRIM(GL_RAW!B273))</f>
        <v/>
      </c>
      <c r="D273" s="11">
        <f>IF(GL_RAW!A273="","",TRIM(GL_RAW!C273))</f>
        <v/>
      </c>
      <c r="E273" s="11">
        <f>IF(GL_RAW!A273="","",TRIM(GL_RAW!D273))</f>
        <v/>
      </c>
      <c r="F273" s="11">
        <f>IF(GL_RAW!A273="","",TRIM(GL_RAW!F273))</f>
        <v/>
      </c>
      <c r="G273" s="11">
        <f>IF(GL_RAW!A273="","",TRIM(GL_RAW!G273))</f>
        <v/>
      </c>
      <c r="H273" s="12">
        <f>IF(GL_RAW!A273="","",IFERROR(GL_RAW!E273,0))</f>
        <v/>
      </c>
      <c r="I273" s="12">
        <f>IF(GL_RAW!A273="","",ABS(H273))</f>
        <v/>
      </c>
      <c r="J273" s="11">
        <f>IF(GL_RAW!A273="","",IF(OR(ISNUMBER(SEARCH("Out",F273)),ISNUMBER(SEARCH("11025002",F273)),H273&lt;0),"OUT","IN"))</f>
        <v/>
      </c>
      <c r="K273" s="11" t="inlineStr"/>
    </row>
    <row r="274">
      <c r="A274" s="13">
        <f>IF(GL_RAW!A274="","",ROW()-1)</f>
        <v/>
      </c>
      <c r="B274" s="10">
        <f>IF(GL_RAW!A274="","",IF(ISNUMBER(GL_RAW!A274),GL_RAW!A274,DATEVALUE(TEXT(GL_RAW!A274,"YYYY-MM-DD"))))</f>
        <v/>
      </c>
      <c r="C274" s="11">
        <f>IF(GL_RAW!A274="","",TRIM(GL_RAW!B274))</f>
        <v/>
      </c>
      <c r="D274" s="11">
        <f>IF(GL_RAW!A274="","",TRIM(GL_RAW!C274))</f>
        <v/>
      </c>
      <c r="E274" s="11">
        <f>IF(GL_RAW!A274="","",TRIM(GL_RAW!D274))</f>
        <v/>
      </c>
      <c r="F274" s="11">
        <f>IF(GL_RAW!A274="","",TRIM(GL_RAW!F274))</f>
        <v/>
      </c>
      <c r="G274" s="11">
        <f>IF(GL_RAW!A274="","",TRIM(GL_RAW!G274))</f>
        <v/>
      </c>
      <c r="H274" s="12">
        <f>IF(GL_RAW!A274="","",IFERROR(GL_RAW!E274,0))</f>
        <v/>
      </c>
      <c r="I274" s="12">
        <f>IF(GL_RAW!A274="","",ABS(H274))</f>
        <v/>
      </c>
      <c r="J274" s="11">
        <f>IF(GL_RAW!A274="","",IF(OR(ISNUMBER(SEARCH("Out",F274)),ISNUMBER(SEARCH("11025002",F274)),H274&lt;0),"OUT","IN"))</f>
        <v/>
      </c>
      <c r="K274" s="11" t="inlineStr"/>
    </row>
    <row r="275">
      <c r="A275" s="13">
        <f>IF(GL_RAW!A275="","",ROW()-1)</f>
        <v/>
      </c>
      <c r="B275" s="10">
        <f>IF(GL_RAW!A275="","",IF(ISNUMBER(GL_RAW!A275),GL_RAW!A275,DATEVALUE(TEXT(GL_RAW!A275,"YYYY-MM-DD"))))</f>
        <v/>
      </c>
      <c r="C275" s="11">
        <f>IF(GL_RAW!A275="","",TRIM(GL_RAW!B275))</f>
        <v/>
      </c>
      <c r="D275" s="11">
        <f>IF(GL_RAW!A275="","",TRIM(GL_RAW!C275))</f>
        <v/>
      </c>
      <c r="E275" s="11">
        <f>IF(GL_RAW!A275="","",TRIM(GL_RAW!D275))</f>
        <v/>
      </c>
      <c r="F275" s="11">
        <f>IF(GL_RAW!A275="","",TRIM(GL_RAW!F275))</f>
        <v/>
      </c>
      <c r="G275" s="11">
        <f>IF(GL_RAW!A275="","",TRIM(GL_RAW!G275))</f>
        <v/>
      </c>
      <c r="H275" s="12">
        <f>IF(GL_RAW!A275="","",IFERROR(GL_RAW!E275,0))</f>
        <v/>
      </c>
      <c r="I275" s="12">
        <f>IF(GL_RAW!A275="","",ABS(H275))</f>
        <v/>
      </c>
      <c r="J275" s="11">
        <f>IF(GL_RAW!A275="","",IF(OR(ISNUMBER(SEARCH("Out",F275)),ISNUMBER(SEARCH("11025002",F275)),H275&lt;0),"OUT","IN"))</f>
        <v/>
      </c>
      <c r="K275" s="11" t="inlineStr"/>
    </row>
    <row r="276">
      <c r="A276" s="13">
        <f>IF(GL_RAW!A276="","",ROW()-1)</f>
        <v/>
      </c>
      <c r="B276" s="10">
        <f>IF(GL_RAW!A276="","",IF(ISNUMBER(GL_RAW!A276),GL_RAW!A276,DATEVALUE(TEXT(GL_RAW!A276,"YYYY-MM-DD"))))</f>
        <v/>
      </c>
      <c r="C276" s="11">
        <f>IF(GL_RAW!A276="","",TRIM(GL_RAW!B276))</f>
        <v/>
      </c>
      <c r="D276" s="11">
        <f>IF(GL_RAW!A276="","",TRIM(GL_RAW!C276))</f>
        <v/>
      </c>
      <c r="E276" s="11">
        <f>IF(GL_RAW!A276="","",TRIM(GL_RAW!D276))</f>
        <v/>
      </c>
      <c r="F276" s="11">
        <f>IF(GL_RAW!A276="","",TRIM(GL_RAW!F276))</f>
        <v/>
      </c>
      <c r="G276" s="11">
        <f>IF(GL_RAW!A276="","",TRIM(GL_RAW!G276))</f>
        <v/>
      </c>
      <c r="H276" s="12">
        <f>IF(GL_RAW!A276="","",IFERROR(GL_RAW!E276,0))</f>
        <v/>
      </c>
      <c r="I276" s="12">
        <f>IF(GL_RAW!A276="","",ABS(H276))</f>
        <v/>
      </c>
      <c r="J276" s="11">
        <f>IF(GL_RAW!A276="","",IF(OR(ISNUMBER(SEARCH("Out",F276)),ISNUMBER(SEARCH("11025002",F276)),H276&lt;0),"OUT","IN"))</f>
        <v/>
      </c>
      <c r="K276" s="11" t="inlineStr"/>
    </row>
    <row r="277">
      <c r="A277" s="13">
        <f>IF(GL_RAW!A277="","",ROW()-1)</f>
        <v/>
      </c>
      <c r="B277" s="10">
        <f>IF(GL_RAW!A277="","",IF(ISNUMBER(GL_RAW!A277),GL_RAW!A277,DATEVALUE(TEXT(GL_RAW!A277,"YYYY-MM-DD"))))</f>
        <v/>
      </c>
      <c r="C277" s="11">
        <f>IF(GL_RAW!A277="","",TRIM(GL_RAW!B277))</f>
        <v/>
      </c>
      <c r="D277" s="11">
        <f>IF(GL_RAW!A277="","",TRIM(GL_RAW!C277))</f>
        <v/>
      </c>
      <c r="E277" s="11">
        <f>IF(GL_RAW!A277="","",TRIM(GL_RAW!D277))</f>
        <v/>
      </c>
      <c r="F277" s="11">
        <f>IF(GL_RAW!A277="","",TRIM(GL_RAW!F277))</f>
        <v/>
      </c>
      <c r="G277" s="11">
        <f>IF(GL_RAW!A277="","",TRIM(GL_RAW!G277))</f>
        <v/>
      </c>
      <c r="H277" s="12">
        <f>IF(GL_RAW!A277="","",IFERROR(GL_RAW!E277,0))</f>
        <v/>
      </c>
      <c r="I277" s="12">
        <f>IF(GL_RAW!A277="","",ABS(H277))</f>
        <v/>
      </c>
      <c r="J277" s="11">
        <f>IF(GL_RAW!A277="","",IF(OR(ISNUMBER(SEARCH("Out",F277)),ISNUMBER(SEARCH("11025002",F277)),H277&lt;0),"OUT","IN"))</f>
        <v/>
      </c>
      <c r="K277" s="11" t="inlineStr"/>
    </row>
    <row r="278">
      <c r="A278" s="13">
        <f>IF(GL_RAW!A278="","",ROW()-1)</f>
        <v/>
      </c>
      <c r="B278" s="10">
        <f>IF(GL_RAW!A278="","",IF(ISNUMBER(GL_RAW!A278),GL_RAW!A278,DATEVALUE(TEXT(GL_RAW!A278,"YYYY-MM-DD"))))</f>
        <v/>
      </c>
      <c r="C278" s="11">
        <f>IF(GL_RAW!A278="","",TRIM(GL_RAW!B278))</f>
        <v/>
      </c>
      <c r="D278" s="11">
        <f>IF(GL_RAW!A278="","",TRIM(GL_RAW!C278))</f>
        <v/>
      </c>
      <c r="E278" s="11">
        <f>IF(GL_RAW!A278="","",TRIM(GL_RAW!D278))</f>
        <v/>
      </c>
      <c r="F278" s="11">
        <f>IF(GL_RAW!A278="","",TRIM(GL_RAW!F278))</f>
        <v/>
      </c>
      <c r="G278" s="11">
        <f>IF(GL_RAW!A278="","",TRIM(GL_RAW!G278))</f>
        <v/>
      </c>
      <c r="H278" s="12">
        <f>IF(GL_RAW!A278="","",IFERROR(GL_RAW!E278,0))</f>
        <v/>
      </c>
      <c r="I278" s="12">
        <f>IF(GL_RAW!A278="","",ABS(H278))</f>
        <v/>
      </c>
      <c r="J278" s="11">
        <f>IF(GL_RAW!A278="","",IF(OR(ISNUMBER(SEARCH("Out",F278)),ISNUMBER(SEARCH("11025002",F278)),H278&lt;0),"OUT","IN"))</f>
        <v/>
      </c>
      <c r="K278" s="11" t="inlineStr"/>
    </row>
    <row r="279">
      <c r="A279" s="13">
        <f>IF(GL_RAW!A279="","",ROW()-1)</f>
        <v/>
      </c>
      <c r="B279" s="10">
        <f>IF(GL_RAW!A279="","",IF(ISNUMBER(GL_RAW!A279),GL_RAW!A279,DATEVALUE(TEXT(GL_RAW!A279,"YYYY-MM-DD"))))</f>
        <v/>
      </c>
      <c r="C279" s="11">
        <f>IF(GL_RAW!A279="","",TRIM(GL_RAW!B279))</f>
        <v/>
      </c>
      <c r="D279" s="11">
        <f>IF(GL_RAW!A279="","",TRIM(GL_RAW!C279))</f>
        <v/>
      </c>
      <c r="E279" s="11">
        <f>IF(GL_RAW!A279="","",TRIM(GL_RAW!D279))</f>
        <v/>
      </c>
      <c r="F279" s="11">
        <f>IF(GL_RAW!A279="","",TRIM(GL_RAW!F279))</f>
        <v/>
      </c>
      <c r="G279" s="11">
        <f>IF(GL_RAW!A279="","",TRIM(GL_RAW!G279))</f>
        <v/>
      </c>
      <c r="H279" s="12">
        <f>IF(GL_RAW!A279="","",IFERROR(GL_RAW!E279,0))</f>
        <v/>
      </c>
      <c r="I279" s="12">
        <f>IF(GL_RAW!A279="","",ABS(H279))</f>
        <v/>
      </c>
      <c r="J279" s="11">
        <f>IF(GL_RAW!A279="","",IF(OR(ISNUMBER(SEARCH("Out",F279)),ISNUMBER(SEARCH("11025002",F279)),H279&lt;0),"OUT","IN"))</f>
        <v/>
      </c>
      <c r="K279" s="11" t="inlineStr"/>
    </row>
    <row r="280">
      <c r="A280" s="13">
        <f>IF(GL_RAW!A280="","",ROW()-1)</f>
        <v/>
      </c>
      <c r="B280" s="10">
        <f>IF(GL_RAW!A280="","",IF(ISNUMBER(GL_RAW!A280),GL_RAW!A280,DATEVALUE(TEXT(GL_RAW!A280,"YYYY-MM-DD"))))</f>
        <v/>
      </c>
      <c r="C280" s="11">
        <f>IF(GL_RAW!A280="","",TRIM(GL_RAW!B280))</f>
        <v/>
      </c>
      <c r="D280" s="11">
        <f>IF(GL_RAW!A280="","",TRIM(GL_RAW!C280))</f>
        <v/>
      </c>
      <c r="E280" s="11">
        <f>IF(GL_RAW!A280="","",TRIM(GL_RAW!D280))</f>
        <v/>
      </c>
      <c r="F280" s="11">
        <f>IF(GL_RAW!A280="","",TRIM(GL_RAW!F280))</f>
        <v/>
      </c>
      <c r="G280" s="11">
        <f>IF(GL_RAW!A280="","",TRIM(GL_RAW!G280))</f>
        <v/>
      </c>
      <c r="H280" s="12">
        <f>IF(GL_RAW!A280="","",IFERROR(GL_RAW!E280,0))</f>
        <v/>
      </c>
      <c r="I280" s="12">
        <f>IF(GL_RAW!A280="","",ABS(H280))</f>
        <v/>
      </c>
      <c r="J280" s="11">
        <f>IF(GL_RAW!A280="","",IF(OR(ISNUMBER(SEARCH("Out",F280)),ISNUMBER(SEARCH("11025002",F280)),H280&lt;0),"OUT","IN"))</f>
        <v/>
      </c>
      <c r="K280" s="11" t="inlineStr"/>
    </row>
    <row r="281">
      <c r="A281" s="13">
        <f>IF(GL_RAW!A281="","",ROW()-1)</f>
        <v/>
      </c>
      <c r="B281" s="10">
        <f>IF(GL_RAW!A281="","",IF(ISNUMBER(GL_RAW!A281),GL_RAW!A281,DATEVALUE(TEXT(GL_RAW!A281,"YYYY-MM-DD"))))</f>
        <v/>
      </c>
      <c r="C281" s="11">
        <f>IF(GL_RAW!A281="","",TRIM(GL_RAW!B281))</f>
        <v/>
      </c>
      <c r="D281" s="11">
        <f>IF(GL_RAW!A281="","",TRIM(GL_RAW!C281))</f>
        <v/>
      </c>
      <c r="E281" s="11">
        <f>IF(GL_RAW!A281="","",TRIM(GL_RAW!D281))</f>
        <v/>
      </c>
      <c r="F281" s="11">
        <f>IF(GL_RAW!A281="","",TRIM(GL_RAW!F281))</f>
        <v/>
      </c>
      <c r="G281" s="11">
        <f>IF(GL_RAW!A281="","",TRIM(GL_RAW!G281))</f>
        <v/>
      </c>
      <c r="H281" s="12">
        <f>IF(GL_RAW!A281="","",IFERROR(GL_RAW!E281,0))</f>
        <v/>
      </c>
      <c r="I281" s="12">
        <f>IF(GL_RAW!A281="","",ABS(H281))</f>
        <v/>
      </c>
      <c r="J281" s="11">
        <f>IF(GL_RAW!A281="","",IF(OR(ISNUMBER(SEARCH("Out",F281)),ISNUMBER(SEARCH("11025002",F281)),H281&lt;0),"OUT","IN"))</f>
        <v/>
      </c>
      <c r="K281" s="11" t="inlineStr"/>
    </row>
    <row r="282">
      <c r="A282" s="13">
        <f>IF(GL_RAW!A282="","",ROW()-1)</f>
        <v/>
      </c>
      <c r="B282" s="10">
        <f>IF(GL_RAW!A282="","",IF(ISNUMBER(GL_RAW!A282),GL_RAW!A282,DATEVALUE(TEXT(GL_RAW!A282,"YYYY-MM-DD"))))</f>
        <v/>
      </c>
      <c r="C282" s="11">
        <f>IF(GL_RAW!A282="","",TRIM(GL_RAW!B282))</f>
        <v/>
      </c>
      <c r="D282" s="11">
        <f>IF(GL_RAW!A282="","",TRIM(GL_RAW!C282))</f>
        <v/>
      </c>
      <c r="E282" s="11">
        <f>IF(GL_RAW!A282="","",TRIM(GL_RAW!D282))</f>
        <v/>
      </c>
      <c r="F282" s="11">
        <f>IF(GL_RAW!A282="","",TRIM(GL_RAW!F282))</f>
        <v/>
      </c>
      <c r="G282" s="11">
        <f>IF(GL_RAW!A282="","",TRIM(GL_RAW!G282))</f>
        <v/>
      </c>
      <c r="H282" s="12">
        <f>IF(GL_RAW!A282="","",IFERROR(GL_RAW!E282,0))</f>
        <v/>
      </c>
      <c r="I282" s="12">
        <f>IF(GL_RAW!A282="","",ABS(H282))</f>
        <v/>
      </c>
      <c r="J282" s="11">
        <f>IF(GL_RAW!A282="","",IF(OR(ISNUMBER(SEARCH("Out",F282)),ISNUMBER(SEARCH("11025002",F282)),H282&lt;0),"OUT","IN"))</f>
        <v/>
      </c>
      <c r="K282" s="11" t="inlineStr"/>
    </row>
    <row r="283">
      <c r="A283" s="13">
        <f>IF(GL_RAW!A283="","",ROW()-1)</f>
        <v/>
      </c>
      <c r="B283" s="10">
        <f>IF(GL_RAW!A283="","",IF(ISNUMBER(GL_RAW!A283),GL_RAW!A283,DATEVALUE(TEXT(GL_RAW!A283,"YYYY-MM-DD"))))</f>
        <v/>
      </c>
      <c r="C283" s="11">
        <f>IF(GL_RAW!A283="","",TRIM(GL_RAW!B283))</f>
        <v/>
      </c>
      <c r="D283" s="11">
        <f>IF(GL_RAW!A283="","",TRIM(GL_RAW!C283))</f>
        <v/>
      </c>
      <c r="E283" s="11">
        <f>IF(GL_RAW!A283="","",TRIM(GL_RAW!D283))</f>
        <v/>
      </c>
      <c r="F283" s="11">
        <f>IF(GL_RAW!A283="","",TRIM(GL_RAW!F283))</f>
        <v/>
      </c>
      <c r="G283" s="11">
        <f>IF(GL_RAW!A283="","",TRIM(GL_RAW!G283))</f>
        <v/>
      </c>
      <c r="H283" s="12">
        <f>IF(GL_RAW!A283="","",IFERROR(GL_RAW!E283,0))</f>
        <v/>
      </c>
      <c r="I283" s="12">
        <f>IF(GL_RAW!A283="","",ABS(H283))</f>
        <v/>
      </c>
      <c r="J283" s="11">
        <f>IF(GL_RAW!A283="","",IF(OR(ISNUMBER(SEARCH("Out",F283)),ISNUMBER(SEARCH("11025002",F283)),H283&lt;0),"OUT","IN"))</f>
        <v/>
      </c>
      <c r="K283" s="11" t="inlineStr"/>
    </row>
    <row r="284">
      <c r="A284" s="13">
        <f>IF(GL_RAW!A284="","",ROW()-1)</f>
        <v/>
      </c>
      <c r="B284" s="10">
        <f>IF(GL_RAW!A284="","",IF(ISNUMBER(GL_RAW!A284),GL_RAW!A284,DATEVALUE(TEXT(GL_RAW!A284,"YYYY-MM-DD"))))</f>
        <v/>
      </c>
      <c r="C284" s="11">
        <f>IF(GL_RAW!A284="","",TRIM(GL_RAW!B284))</f>
        <v/>
      </c>
      <c r="D284" s="11">
        <f>IF(GL_RAW!A284="","",TRIM(GL_RAW!C284))</f>
        <v/>
      </c>
      <c r="E284" s="11">
        <f>IF(GL_RAW!A284="","",TRIM(GL_RAW!D284))</f>
        <v/>
      </c>
      <c r="F284" s="11">
        <f>IF(GL_RAW!A284="","",TRIM(GL_RAW!F284))</f>
        <v/>
      </c>
      <c r="G284" s="11">
        <f>IF(GL_RAW!A284="","",TRIM(GL_RAW!G284))</f>
        <v/>
      </c>
      <c r="H284" s="12">
        <f>IF(GL_RAW!A284="","",IFERROR(GL_RAW!E284,0))</f>
        <v/>
      </c>
      <c r="I284" s="12">
        <f>IF(GL_RAW!A284="","",ABS(H284))</f>
        <v/>
      </c>
      <c r="J284" s="11">
        <f>IF(GL_RAW!A284="","",IF(OR(ISNUMBER(SEARCH("Out",F284)),ISNUMBER(SEARCH("11025002",F284)),H284&lt;0),"OUT","IN"))</f>
        <v/>
      </c>
      <c r="K284" s="11" t="inlineStr"/>
    </row>
    <row r="285">
      <c r="A285" s="13">
        <f>IF(GL_RAW!A285="","",ROW()-1)</f>
        <v/>
      </c>
      <c r="B285" s="10">
        <f>IF(GL_RAW!A285="","",IF(ISNUMBER(GL_RAW!A285),GL_RAW!A285,DATEVALUE(TEXT(GL_RAW!A285,"YYYY-MM-DD"))))</f>
        <v/>
      </c>
      <c r="C285" s="11">
        <f>IF(GL_RAW!A285="","",TRIM(GL_RAW!B285))</f>
        <v/>
      </c>
      <c r="D285" s="11">
        <f>IF(GL_RAW!A285="","",TRIM(GL_RAW!C285))</f>
        <v/>
      </c>
      <c r="E285" s="11">
        <f>IF(GL_RAW!A285="","",TRIM(GL_RAW!D285))</f>
        <v/>
      </c>
      <c r="F285" s="11">
        <f>IF(GL_RAW!A285="","",TRIM(GL_RAW!F285))</f>
        <v/>
      </c>
      <c r="G285" s="11">
        <f>IF(GL_RAW!A285="","",TRIM(GL_RAW!G285))</f>
        <v/>
      </c>
      <c r="H285" s="12">
        <f>IF(GL_RAW!A285="","",IFERROR(GL_RAW!E285,0))</f>
        <v/>
      </c>
      <c r="I285" s="12">
        <f>IF(GL_RAW!A285="","",ABS(H285))</f>
        <v/>
      </c>
      <c r="J285" s="11">
        <f>IF(GL_RAW!A285="","",IF(OR(ISNUMBER(SEARCH("Out",F285)),ISNUMBER(SEARCH("11025002",F285)),H285&lt;0),"OUT","IN"))</f>
        <v/>
      </c>
      <c r="K285" s="11" t="inlineStr"/>
    </row>
    <row r="286">
      <c r="A286" s="13">
        <f>IF(GL_RAW!A286="","",ROW()-1)</f>
        <v/>
      </c>
      <c r="B286" s="10">
        <f>IF(GL_RAW!A286="","",IF(ISNUMBER(GL_RAW!A286),GL_RAW!A286,DATEVALUE(TEXT(GL_RAW!A286,"YYYY-MM-DD"))))</f>
        <v/>
      </c>
      <c r="C286" s="11">
        <f>IF(GL_RAW!A286="","",TRIM(GL_RAW!B286))</f>
        <v/>
      </c>
      <c r="D286" s="11">
        <f>IF(GL_RAW!A286="","",TRIM(GL_RAW!C286))</f>
        <v/>
      </c>
      <c r="E286" s="11">
        <f>IF(GL_RAW!A286="","",TRIM(GL_RAW!D286))</f>
        <v/>
      </c>
      <c r="F286" s="11">
        <f>IF(GL_RAW!A286="","",TRIM(GL_RAW!F286))</f>
        <v/>
      </c>
      <c r="G286" s="11">
        <f>IF(GL_RAW!A286="","",TRIM(GL_RAW!G286))</f>
        <v/>
      </c>
      <c r="H286" s="12">
        <f>IF(GL_RAW!A286="","",IFERROR(GL_RAW!E286,0))</f>
        <v/>
      </c>
      <c r="I286" s="12">
        <f>IF(GL_RAW!A286="","",ABS(H286))</f>
        <v/>
      </c>
      <c r="J286" s="11">
        <f>IF(GL_RAW!A286="","",IF(OR(ISNUMBER(SEARCH("Out",F286)),ISNUMBER(SEARCH("11025002",F286)),H286&lt;0),"OUT","IN"))</f>
        <v/>
      </c>
      <c r="K286" s="11" t="inlineStr"/>
    </row>
    <row r="287">
      <c r="A287" s="13">
        <f>IF(GL_RAW!A287="","",ROW()-1)</f>
        <v/>
      </c>
      <c r="B287" s="10">
        <f>IF(GL_RAW!A287="","",IF(ISNUMBER(GL_RAW!A287),GL_RAW!A287,DATEVALUE(TEXT(GL_RAW!A287,"YYYY-MM-DD"))))</f>
        <v/>
      </c>
      <c r="C287" s="11">
        <f>IF(GL_RAW!A287="","",TRIM(GL_RAW!B287))</f>
        <v/>
      </c>
      <c r="D287" s="11">
        <f>IF(GL_RAW!A287="","",TRIM(GL_RAW!C287))</f>
        <v/>
      </c>
      <c r="E287" s="11">
        <f>IF(GL_RAW!A287="","",TRIM(GL_RAW!D287))</f>
        <v/>
      </c>
      <c r="F287" s="11">
        <f>IF(GL_RAW!A287="","",TRIM(GL_RAW!F287))</f>
        <v/>
      </c>
      <c r="G287" s="11">
        <f>IF(GL_RAW!A287="","",TRIM(GL_RAW!G287))</f>
        <v/>
      </c>
      <c r="H287" s="12">
        <f>IF(GL_RAW!A287="","",IFERROR(GL_RAW!E287,0))</f>
        <v/>
      </c>
      <c r="I287" s="12">
        <f>IF(GL_RAW!A287="","",ABS(H287))</f>
        <v/>
      </c>
      <c r="J287" s="11">
        <f>IF(GL_RAW!A287="","",IF(OR(ISNUMBER(SEARCH("Out",F287)),ISNUMBER(SEARCH("11025002",F287)),H287&lt;0),"OUT","IN"))</f>
        <v/>
      </c>
      <c r="K287" s="11" t="inlineStr"/>
    </row>
    <row r="288">
      <c r="A288" s="13">
        <f>IF(GL_RAW!A288="","",ROW()-1)</f>
        <v/>
      </c>
      <c r="B288" s="10">
        <f>IF(GL_RAW!A288="","",IF(ISNUMBER(GL_RAW!A288),GL_RAW!A288,DATEVALUE(TEXT(GL_RAW!A288,"YYYY-MM-DD"))))</f>
        <v/>
      </c>
      <c r="C288" s="11">
        <f>IF(GL_RAW!A288="","",TRIM(GL_RAW!B288))</f>
        <v/>
      </c>
      <c r="D288" s="11">
        <f>IF(GL_RAW!A288="","",TRIM(GL_RAW!C288))</f>
        <v/>
      </c>
      <c r="E288" s="11">
        <f>IF(GL_RAW!A288="","",TRIM(GL_RAW!D288))</f>
        <v/>
      </c>
      <c r="F288" s="11">
        <f>IF(GL_RAW!A288="","",TRIM(GL_RAW!F288))</f>
        <v/>
      </c>
      <c r="G288" s="11">
        <f>IF(GL_RAW!A288="","",TRIM(GL_RAW!G288))</f>
        <v/>
      </c>
      <c r="H288" s="12">
        <f>IF(GL_RAW!A288="","",IFERROR(GL_RAW!E288,0))</f>
        <v/>
      </c>
      <c r="I288" s="12">
        <f>IF(GL_RAW!A288="","",ABS(H288))</f>
        <v/>
      </c>
      <c r="J288" s="11">
        <f>IF(GL_RAW!A288="","",IF(OR(ISNUMBER(SEARCH("Out",F288)),ISNUMBER(SEARCH("11025002",F288)),H288&lt;0),"OUT","IN"))</f>
        <v/>
      </c>
      <c r="K288" s="11" t="inlineStr"/>
    </row>
    <row r="289">
      <c r="A289" s="13">
        <f>IF(GL_RAW!A289="","",ROW()-1)</f>
        <v/>
      </c>
      <c r="B289" s="10">
        <f>IF(GL_RAW!A289="","",IF(ISNUMBER(GL_RAW!A289),GL_RAW!A289,DATEVALUE(TEXT(GL_RAW!A289,"YYYY-MM-DD"))))</f>
        <v/>
      </c>
      <c r="C289" s="11">
        <f>IF(GL_RAW!A289="","",TRIM(GL_RAW!B289))</f>
        <v/>
      </c>
      <c r="D289" s="11">
        <f>IF(GL_RAW!A289="","",TRIM(GL_RAW!C289))</f>
        <v/>
      </c>
      <c r="E289" s="11">
        <f>IF(GL_RAW!A289="","",TRIM(GL_RAW!D289))</f>
        <v/>
      </c>
      <c r="F289" s="11">
        <f>IF(GL_RAW!A289="","",TRIM(GL_RAW!F289))</f>
        <v/>
      </c>
      <c r="G289" s="11">
        <f>IF(GL_RAW!A289="","",TRIM(GL_RAW!G289))</f>
        <v/>
      </c>
      <c r="H289" s="12">
        <f>IF(GL_RAW!A289="","",IFERROR(GL_RAW!E289,0))</f>
        <v/>
      </c>
      <c r="I289" s="12">
        <f>IF(GL_RAW!A289="","",ABS(H289))</f>
        <v/>
      </c>
      <c r="J289" s="11">
        <f>IF(GL_RAW!A289="","",IF(OR(ISNUMBER(SEARCH("Out",F289)),ISNUMBER(SEARCH("11025002",F289)),H289&lt;0),"OUT","IN"))</f>
        <v/>
      </c>
      <c r="K289" s="11" t="inlineStr"/>
    </row>
    <row r="290">
      <c r="A290" s="13">
        <f>IF(GL_RAW!A290="","",ROW()-1)</f>
        <v/>
      </c>
      <c r="B290" s="10">
        <f>IF(GL_RAW!A290="","",IF(ISNUMBER(GL_RAW!A290),GL_RAW!A290,DATEVALUE(TEXT(GL_RAW!A290,"YYYY-MM-DD"))))</f>
        <v/>
      </c>
      <c r="C290" s="11">
        <f>IF(GL_RAW!A290="","",TRIM(GL_RAW!B290))</f>
        <v/>
      </c>
      <c r="D290" s="11">
        <f>IF(GL_RAW!A290="","",TRIM(GL_RAW!C290))</f>
        <v/>
      </c>
      <c r="E290" s="11">
        <f>IF(GL_RAW!A290="","",TRIM(GL_RAW!D290))</f>
        <v/>
      </c>
      <c r="F290" s="11">
        <f>IF(GL_RAW!A290="","",TRIM(GL_RAW!F290))</f>
        <v/>
      </c>
      <c r="G290" s="11">
        <f>IF(GL_RAW!A290="","",TRIM(GL_RAW!G290))</f>
        <v/>
      </c>
      <c r="H290" s="12">
        <f>IF(GL_RAW!A290="","",IFERROR(GL_RAW!E290,0))</f>
        <v/>
      </c>
      <c r="I290" s="12">
        <f>IF(GL_RAW!A290="","",ABS(H290))</f>
        <v/>
      </c>
      <c r="J290" s="11">
        <f>IF(GL_RAW!A290="","",IF(OR(ISNUMBER(SEARCH("Out",F290)),ISNUMBER(SEARCH("11025002",F290)),H290&lt;0),"OUT","IN"))</f>
        <v/>
      </c>
      <c r="K290" s="11" t="inlineStr"/>
    </row>
    <row r="291">
      <c r="A291" s="13">
        <f>IF(GL_RAW!A291="","",ROW()-1)</f>
        <v/>
      </c>
      <c r="B291" s="10">
        <f>IF(GL_RAW!A291="","",IF(ISNUMBER(GL_RAW!A291),GL_RAW!A291,DATEVALUE(TEXT(GL_RAW!A291,"YYYY-MM-DD"))))</f>
        <v/>
      </c>
      <c r="C291" s="11">
        <f>IF(GL_RAW!A291="","",TRIM(GL_RAW!B291))</f>
        <v/>
      </c>
      <c r="D291" s="11">
        <f>IF(GL_RAW!A291="","",TRIM(GL_RAW!C291))</f>
        <v/>
      </c>
      <c r="E291" s="11">
        <f>IF(GL_RAW!A291="","",TRIM(GL_RAW!D291))</f>
        <v/>
      </c>
      <c r="F291" s="11">
        <f>IF(GL_RAW!A291="","",TRIM(GL_RAW!F291))</f>
        <v/>
      </c>
      <c r="G291" s="11">
        <f>IF(GL_RAW!A291="","",TRIM(GL_RAW!G291))</f>
        <v/>
      </c>
      <c r="H291" s="12">
        <f>IF(GL_RAW!A291="","",IFERROR(GL_RAW!E291,0))</f>
        <v/>
      </c>
      <c r="I291" s="12">
        <f>IF(GL_RAW!A291="","",ABS(H291))</f>
        <v/>
      </c>
      <c r="J291" s="11">
        <f>IF(GL_RAW!A291="","",IF(OR(ISNUMBER(SEARCH("Out",F291)),ISNUMBER(SEARCH("11025002",F291)),H291&lt;0),"OUT","IN"))</f>
        <v/>
      </c>
      <c r="K291" s="11" t="inlineStr"/>
    </row>
    <row r="292">
      <c r="A292" s="13">
        <f>IF(GL_RAW!A292="","",ROW()-1)</f>
        <v/>
      </c>
      <c r="B292" s="10">
        <f>IF(GL_RAW!A292="","",IF(ISNUMBER(GL_RAW!A292),GL_RAW!A292,DATEVALUE(TEXT(GL_RAW!A292,"YYYY-MM-DD"))))</f>
        <v/>
      </c>
      <c r="C292" s="11">
        <f>IF(GL_RAW!A292="","",TRIM(GL_RAW!B292))</f>
        <v/>
      </c>
      <c r="D292" s="11">
        <f>IF(GL_RAW!A292="","",TRIM(GL_RAW!C292))</f>
        <v/>
      </c>
      <c r="E292" s="11">
        <f>IF(GL_RAW!A292="","",TRIM(GL_RAW!D292))</f>
        <v/>
      </c>
      <c r="F292" s="11">
        <f>IF(GL_RAW!A292="","",TRIM(GL_RAW!F292))</f>
        <v/>
      </c>
      <c r="G292" s="11">
        <f>IF(GL_RAW!A292="","",TRIM(GL_RAW!G292))</f>
        <v/>
      </c>
      <c r="H292" s="12">
        <f>IF(GL_RAW!A292="","",IFERROR(GL_RAW!E292,0))</f>
        <v/>
      </c>
      <c r="I292" s="12">
        <f>IF(GL_RAW!A292="","",ABS(H292))</f>
        <v/>
      </c>
      <c r="J292" s="11">
        <f>IF(GL_RAW!A292="","",IF(OR(ISNUMBER(SEARCH("Out",F292)),ISNUMBER(SEARCH("11025002",F292)),H292&lt;0),"OUT","IN"))</f>
        <v/>
      </c>
      <c r="K292" s="11" t="inlineStr"/>
    </row>
    <row r="293">
      <c r="A293" s="13">
        <f>IF(GL_RAW!A293="","",ROW()-1)</f>
        <v/>
      </c>
      <c r="B293" s="10">
        <f>IF(GL_RAW!A293="","",IF(ISNUMBER(GL_RAW!A293),GL_RAW!A293,DATEVALUE(TEXT(GL_RAW!A293,"YYYY-MM-DD"))))</f>
        <v/>
      </c>
      <c r="C293" s="11">
        <f>IF(GL_RAW!A293="","",TRIM(GL_RAW!B293))</f>
        <v/>
      </c>
      <c r="D293" s="11">
        <f>IF(GL_RAW!A293="","",TRIM(GL_RAW!C293))</f>
        <v/>
      </c>
      <c r="E293" s="11">
        <f>IF(GL_RAW!A293="","",TRIM(GL_RAW!D293))</f>
        <v/>
      </c>
      <c r="F293" s="11">
        <f>IF(GL_RAW!A293="","",TRIM(GL_RAW!F293))</f>
        <v/>
      </c>
      <c r="G293" s="11">
        <f>IF(GL_RAW!A293="","",TRIM(GL_RAW!G293))</f>
        <v/>
      </c>
      <c r="H293" s="12">
        <f>IF(GL_RAW!A293="","",IFERROR(GL_RAW!E293,0))</f>
        <v/>
      </c>
      <c r="I293" s="12">
        <f>IF(GL_RAW!A293="","",ABS(H293))</f>
        <v/>
      </c>
      <c r="J293" s="11">
        <f>IF(GL_RAW!A293="","",IF(OR(ISNUMBER(SEARCH("Out",F293)),ISNUMBER(SEARCH("11025002",F293)),H293&lt;0),"OUT","IN"))</f>
        <v/>
      </c>
      <c r="K293" s="11" t="inlineStr"/>
    </row>
    <row r="294">
      <c r="A294" s="13">
        <f>IF(GL_RAW!A294="","",ROW()-1)</f>
        <v/>
      </c>
      <c r="B294" s="10">
        <f>IF(GL_RAW!A294="","",IF(ISNUMBER(GL_RAW!A294),GL_RAW!A294,DATEVALUE(TEXT(GL_RAW!A294,"YYYY-MM-DD"))))</f>
        <v/>
      </c>
      <c r="C294" s="11">
        <f>IF(GL_RAW!A294="","",TRIM(GL_RAW!B294))</f>
        <v/>
      </c>
      <c r="D294" s="11">
        <f>IF(GL_RAW!A294="","",TRIM(GL_RAW!C294))</f>
        <v/>
      </c>
      <c r="E294" s="11">
        <f>IF(GL_RAW!A294="","",TRIM(GL_RAW!D294))</f>
        <v/>
      </c>
      <c r="F294" s="11">
        <f>IF(GL_RAW!A294="","",TRIM(GL_RAW!F294))</f>
        <v/>
      </c>
      <c r="G294" s="11">
        <f>IF(GL_RAW!A294="","",TRIM(GL_RAW!G294))</f>
        <v/>
      </c>
      <c r="H294" s="12">
        <f>IF(GL_RAW!A294="","",IFERROR(GL_RAW!E294,0))</f>
        <v/>
      </c>
      <c r="I294" s="12">
        <f>IF(GL_RAW!A294="","",ABS(H294))</f>
        <v/>
      </c>
      <c r="J294" s="11">
        <f>IF(GL_RAW!A294="","",IF(OR(ISNUMBER(SEARCH("Out",F294)),ISNUMBER(SEARCH("11025002",F294)),H294&lt;0),"OUT","IN"))</f>
        <v/>
      </c>
      <c r="K294" s="11" t="inlineStr"/>
    </row>
    <row r="295">
      <c r="A295" s="13">
        <f>IF(GL_RAW!A295="","",ROW()-1)</f>
        <v/>
      </c>
      <c r="B295" s="10">
        <f>IF(GL_RAW!A295="","",IF(ISNUMBER(GL_RAW!A295),GL_RAW!A295,DATEVALUE(TEXT(GL_RAW!A295,"YYYY-MM-DD"))))</f>
        <v/>
      </c>
      <c r="C295" s="11">
        <f>IF(GL_RAW!A295="","",TRIM(GL_RAW!B295))</f>
        <v/>
      </c>
      <c r="D295" s="11">
        <f>IF(GL_RAW!A295="","",TRIM(GL_RAW!C295))</f>
        <v/>
      </c>
      <c r="E295" s="11">
        <f>IF(GL_RAW!A295="","",TRIM(GL_RAW!D295))</f>
        <v/>
      </c>
      <c r="F295" s="11">
        <f>IF(GL_RAW!A295="","",TRIM(GL_RAW!F295))</f>
        <v/>
      </c>
      <c r="G295" s="11">
        <f>IF(GL_RAW!A295="","",TRIM(GL_RAW!G295))</f>
        <v/>
      </c>
      <c r="H295" s="12">
        <f>IF(GL_RAW!A295="","",IFERROR(GL_RAW!E295,0))</f>
        <v/>
      </c>
      <c r="I295" s="12">
        <f>IF(GL_RAW!A295="","",ABS(H295))</f>
        <v/>
      </c>
      <c r="J295" s="11">
        <f>IF(GL_RAW!A295="","",IF(OR(ISNUMBER(SEARCH("Out",F295)),ISNUMBER(SEARCH("11025002",F295)),H295&lt;0),"OUT","IN"))</f>
        <v/>
      </c>
      <c r="K295" s="11" t="inlineStr"/>
    </row>
    <row r="296">
      <c r="A296" s="13">
        <f>IF(GL_RAW!A296="","",ROW()-1)</f>
        <v/>
      </c>
      <c r="B296" s="10">
        <f>IF(GL_RAW!A296="","",IF(ISNUMBER(GL_RAW!A296),GL_RAW!A296,DATEVALUE(TEXT(GL_RAW!A296,"YYYY-MM-DD"))))</f>
        <v/>
      </c>
      <c r="C296" s="11">
        <f>IF(GL_RAW!A296="","",TRIM(GL_RAW!B296))</f>
        <v/>
      </c>
      <c r="D296" s="11">
        <f>IF(GL_RAW!A296="","",TRIM(GL_RAW!C296))</f>
        <v/>
      </c>
      <c r="E296" s="11">
        <f>IF(GL_RAW!A296="","",TRIM(GL_RAW!D296))</f>
        <v/>
      </c>
      <c r="F296" s="11">
        <f>IF(GL_RAW!A296="","",TRIM(GL_RAW!F296))</f>
        <v/>
      </c>
      <c r="G296" s="11">
        <f>IF(GL_RAW!A296="","",TRIM(GL_RAW!G296))</f>
        <v/>
      </c>
      <c r="H296" s="12">
        <f>IF(GL_RAW!A296="","",IFERROR(GL_RAW!E296,0))</f>
        <v/>
      </c>
      <c r="I296" s="12">
        <f>IF(GL_RAW!A296="","",ABS(H296))</f>
        <v/>
      </c>
      <c r="J296" s="11">
        <f>IF(GL_RAW!A296="","",IF(OR(ISNUMBER(SEARCH("Out",F296)),ISNUMBER(SEARCH("11025002",F296)),H296&lt;0),"OUT","IN"))</f>
        <v/>
      </c>
      <c r="K296" s="11" t="inlineStr"/>
    </row>
    <row r="297">
      <c r="A297" s="13">
        <f>IF(GL_RAW!A297="","",ROW()-1)</f>
        <v/>
      </c>
      <c r="B297" s="10">
        <f>IF(GL_RAW!A297="","",IF(ISNUMBER(GL_RAW!A297),GL_RAW!A297,DATEVALUE(TEXT(GL_RAW!A297,"YYYY-MM-DD"))))</f>
        <v/>
      </c>
      <c r="C297" s="11">
        <f>IF(GL_RAW!A297="","",TRIM(GL_RAW!B297))</f>
        <v/>
      </c>
      <c r="D297" s="11">
        <f>IF(GL_RAW!A297="","",TRIM(GL_RAW!C297))</f>
        <v/>
      </c>
      <c r="E297" s="11">
        <f>IF(GL_RAW!A297="","",TRIM(GL_RAW!D297))</f>
        <v/>
      </c>
      <c r="F297" s="11">
        <f>IF(GL_RAW!A297="","",TRIM(GL_RAW!F297))</f>
        <v/>
      </c>
      <c r="G297" s="11">
        <f>IF(GL_RAW!A297="","",TRIM(GL_RAW!G297))</f>
        <v/>
      </c>
      <c r="H297" s="12">
        <f>IF(GL_RAW!A297="","",IFERROR(GL_RAW!E297,0))</f>
        <v/>
      </c>
      <c r="I297" s="12">
        <f>IF(GL_RAW!A297="","",ABS(H297))</f>
        <v/>
      </c>
      <c r="J297" s="11">
        <f>IF(GL_RAW!A297="","",IF(OR(ISNUMBER(SEARCH("Out",F297)),ISNUMBER(SEARCH("11025002",F297)),H297&lt;0),"OUT","IN"))</f>
        <v/>
      </c>
      <c r="K297" s="11" t="inlineStr"/>
    </row>
    <row r="298">
      <c r="A298" s="13">
        <f>IF(GL_RAW!A298="","",ROW()-1)</f>
        <v/>
      </c>
      <c r="B298" s="10">
        <f>IF(GL_RAW!A298="","",IF(ISNUMBER(GL_RAW!A298),GL_RAW!A298,DATEVALUE(TEXT(GL_RAW!A298,"YYYY-MM-DD"))))</f>
        <v/>
      </c>
      <c r="C298" s="11">
        <f>IF(GL_RAW!A298="","",TRIM(GL_RAW!B298))</f>
        <v/>
      </c>
      <c r="D298" s="11">
        <f>IF(GL_RAW!A298="","",TRIM(GL_RAW!C298))</f>
        <v/>
      </c>
      <c r="E298" s="11">
        <f>IF(GL_RAW!A298="","",TRIM(GL_RAW!D298))</f>
        <v/>
      </c>
      <c r="F298" s="11">
        <f>IF(GL_RAW!A298="","",TRIM(GL_RAW!F298))</f>
        <v/>
      </c>
      <c r="G298" s="11">
        <f>IF(GL_RAW!A298="","",TRIM(GL_RAW!G298))</f>
        <v/>
      </c>
      <c r="H298" s="12">
        <f>IF(GL_RAW!A298="","",IFERROR(GL_RAW!E298,0))</f>
        <v/>
      </c>
      <c r="I298" s="12">
        <f>IF(GL_RAW!A298="","",ABS(H298))</f>
        <v/>
      </c>
      <c r="J298" s="11">
        <f>IF(GL_RAW!A298="","",IF(OR(ISNUMBER(SEARCH("Out",F298)),ISNUMBER(SEARCH("11025002",F298)),H298&lt;0),"OUT","IN"))</f>
        <v/>
      </c>
      <c r="K298" s="11" t="inlineStr"/>
    </row>
    <row r="299">
      <c r="A299" s="13">
        <f>IF(GL_RAW!A299="","",ROW()-1)</f>
        <v/>
      </c>
      <c r="B299" s="10">
        <f>IF(GL_RAW!A299="","",IF(ISNUMBER(GL_RAW!A299),GL_RAW!A299,DATEVALUE(TEXT(GL_RAW!A299,"YYYY-MM-DD"))))</f>
        <v/>
      </c>
      <c r="C299" s="11">
        <f>IF(GL_RAW!A299="","",TRIM(GL_RAW!B299))</f>
        <v/>
      </c>
      <c r="D299" s="11">
        <f>IF(GL_RAW!A299="","",TRIM(GL_RAW!C299))</f>
        <v/>
      </c>
      <c r="E299" s="11">
        <f>IF(GL_RAW!A299="","",TRIM(GL_RAW!D299))</f>
        <v/>
      </c>
      <c r="F299" s="11">
        <f>IF(GL_RAW!A299="","",TRIM(GL_RAW!F299))</f>
        <v/>
      </c>
      <c r="G299" s="11">
        <f>IF(GL_RAW!A299="","",TRIM(GL_RAW!G299))</f>
        <v/>
      </c>
      <c r="H299" s="12">
        <f>IF(GL_RAW!A299="","",IFERROR(GL_RAW!E299,0))</f>
        <v/>
      </c>
      <c r="I299" s="12">
        <f>IF(GL_RAW!A299="","",ABS(H299))</f>
        <v/>
      </c>
      <c r="J299" s="11">
        <f>IF(GL_RAW!A299="","",IF(OR(ISNUMBER(SEARCH("Out",F299)),ISNUMBER(SEARCH("11025002",F299)),H299&lt;0),"OUT","IN"))</f>
        <v/>
      </c>
      <c r="K299" s="11" t="inlineStr"/>
    </row>
    <row r="300">
      <c r="A300" s="13">
        <f>IF(GL_RAW!A300="","",ROW()-1)</f>
        <v/>
      </c>
      <c r="B300" s="10">
        <f>IF(GL_RAW!A300="","",IF(ISNUMBER(GL_RAW!A300),GL_RAW!A300,DATEVALUE(TEXT(GL_RAW!A300,"YYYY-MM-DD"))))</f>
        <v/>
      </c>
      <c r="C300" s="11">
        <f>IF(GL_RAW!A300="","",TRIM(GL_RAW!B300))</f>
        <v/>
      </c>
      <c r="D300" s="11">
        <f>IF(GL_RAW!A300="","",TRIM(GL_RAW!C300))</f>
        <v/>
      </c>
      <c r="E300" s="11">
        <f>IF(GL_RAW!A300="","",TRIM(GL_RAW!D300))</f>
        <v/>
      </c>
      <c r="F300" s="11">
        <f>IF(GL_RAW!A300="","",TRIM(GL_RAW!F300))</f>
        <v/>
      </c>
      <c r="G300" s="11">
        <f>IF(GL_RAW!A300="","",TRIM(GL_RAW!G300))</f>
        <v/>
      </c>
      <c r="H300" s="12">
        <f>IF(GL_RAW!A300="","",IFERROR(GL_RAW!E300,0))</f>
        <v/>
      </c>
      <c r="I300" s="12">
        <f>IF(GL_RAW!A300="","",ABS(H300))</f>
        <v/>
      </c>
      <c r="J300" s="11">
        <f>IF(GL_RAW!A300="","",IF(OR(ISNUMBER(SEARCH("Out",F300)),ISNUMBER(SEARCH("11025002",F300)),H300&lt;0),"OUT","IN"))</f>
        <v/>
      </c>
      <c r="K300" s="11" t="inlineStr"/>
    </row>
    <row r="301">
      <c r="A301" s="13">
        <f>IF(GL_RAW!A301="","",ROW()-1)</f>
        <v/>
      </c>
      <c r="B301" s="10">
        <f>IF(GL_RAW!A301="","",IF(ISNUMBER(GL_RAW!A301),GL_RAW!A301,DATEVALUE(TEXT(GL_RAW!A301,"YYYY-MM-DD"))))</f>
        <v/>
      </c>
      <c r="C301" s="11">
        <f>IF(GL_RAW!A301="","",TRIM(GL_RAW!B301))</f>
        <v/>
      </c>
      <c r="D301" s="11">
        <f>IF(GL_RAW!A301="","",TRIM(GL_RAW!C301))</f>
        <v/>
      </c>
      <c r="E301" s="11">
        <f>IF(GL_RAW!A301="","",TRIM(GL_RAW!D301))</f>
        <v/>
      </c>
      <c r="F301" s="11">
        <f>IF(GL_RAW!A301="","",TRIM(GL_RAW!F301))</f>
        <v/>
      </c>
      <c r="G301" s="11">
        <f>IF(GL_RAW!A301="","",TRIM(GL_RAW!G301))</f>
        <v/>
      </c>
      <c r="H301" s="12">
        <f>IF(GL_RAW!A301="","",IFERROR(GL_RAW!E301,0))</f>
        <v/>
      </c>
      <c r="I301" s="12">
        <f>IF(GL_RAW!A301="","",ABS(H301))</f>
        <v/>
      </c>
      <c r="J301" s="11">
        <f>IF(GL_RAW!A301="","",IF(OR(ISNUMBER(SEARCH("Out",F301)),ISNUMBER(SEARCH("11025002",F301)),H301&lt;0),"OUT","IN"))</f>
        <v/>
      </c>
      <c r="K301" s="11" t="inlineStr"/>
    </row>
    <row r="302">
      <c r="A302" s="13">
        <f>IF(GL_RAW!A302="","",ROW()-1)</f>
        <v/>
      </c>
      <c r="B302" s="10">
        <f>IF(GL_RAW!A302="","",IF(ISNUMBER(GL_RAW!A302),GL_RAW!A302,DATEVALUE(TEXT(GL_RAW!A302,"YYYY-MM-DD"))))</f>
        <v/>
      </c>
      <c r="C302" s="11">
        <f>IF(GL_RAW!A302="","",TRIM(GL_RAW!B302))</f>
        <v/>
      </c>
      <c r="D302" s="11">
        <f>IF(GL_RAW!A302="","",TRIM(GL_RAW!C302))</f>
        <v/>
      </c>
      <c r="E302" s="11">
        <f>IF(GL_RAW!A302="","",TRIM(GL_RAW!D302))</f>
        <v/>
      </c>
      <c r="F302" s="11">
        <f>IF(GL_RAW!A302="","",TRIM(GL_RAW!F302))</f>
        <v/>
      </c>
      <c r="G302" s="11">
        <f>IF(GL_RAW!A302="","",TRIM(GL_RAW!G302))</f>
        <v/>
      </c>
      <c r="H302" s="12">
        <f>IF(GL_RAW!A302="","",IFERROR(GL_RAW!E302,0))</f>
        <v/>
      </c>
      <c r="I302" s="12">
        <f>IF(GL_RAW!A302="","",ABS(H302))</f>
        <v/>
      </c>
      <c r="J302" s="11">
        <f>IF(GL_RAW!A302="","",IF(OR(ISNUMBER(SEARCH("Out",F302)),ISNUMBER(SEARCH("11025002",F302)),H302&lt;0),"OUT","IN"))</f>
        <v/>
      </c>
      <c r="K302" s="11" t="inlineStr"/>
    </row>
    <row r="303">
      <c r="A303" s="13">
        <f>IF(GL_RAW!A303="","",ROW()-1)</f>
        <v/>
      </c>
      <c r="B303" s="10">
        <f>IF(GL_RAW!A303="","",IF(ISNUMBER(GL_RAW!A303),GL_RAW!A303,DATEVALUE(TEXT(GL_RAW!A303,"YYYY-MM-DD"))))</f>
        <v/>
      </c>
      <c r="C303" s="11">
        <f>IF(GL_RAW!A303="","",TRIM(GL_RAW!B303))</f>
        <v/>
      </c>
      <c r="D303" s="11">
        <f>IF(GL_RAW!A303="","",TRIM(GL_RAW!C303))</f>
        <v/>
      </c>
      <c r="E303" s="11">
        <f>IF(GL_RAW!A303="","",TRIM(GL_RAW!D303))</f>
        <v/>
      </c>
      <c r="F303" s="11">
        <f>IF(GL_RAW!A303="","",TRIM(GL_RAW!F303))</f>
        <v/>
      </c>
      <c r="G303" s="11">
        <f>IF(GL_RAW!A303="","",TRIM(GL_RAW!G303))</f>
        <v/>
      </c>
      <c r="H303" s="12">
        <f>IF(GL_RAW!A303="","",IFERROR(GL_RAW!E303,0))</f>
        <v/>
      </c>
      <c r="I303" s="12">
        <f>IF(GL_RAW!A303="","",ABS(H303))</f>
        <v/>
      </c>
      <c r="J303" s="11">
        <f>IF(GL_RAW!A303="","",IF(OR(ISNUMBER(SEARCH("Out",F303)),ISNUMBER(SEARCH("11025002",F303)),H303&lt;0),"OUT","IN"))</f>
        <v/>
      </c>
      <c r="K303" s="11" t="inlineStr"/>
    </row>
    <row r="304">
      <c r="A304" s="13">
        <f>IF(GL_RAW!A304="","",ROW()-1)</f>
        <v/>
      </c>
      <c r="B304" s="10">
        <f>IF(GL_RAW!A304="","",IF(ISNUMBER(GL_RAW!A304),GL_RAW!A304,DATEVALUE(TEXT(GL_RAW!A304,"YYYY-MM-DD"))))</f>
        <v/>
      </c>
      <c r="C304" s="11">
        <f>IF(GL_RAW!A304="","",TRIM(GL_RAW!B304))</f>
        <v/>
      </c>
      <c r="D304" s="11">
        <f>IF(GL_RAW!A304="","",TRIM(GL_RAW!C304))</f>
        <v/>
      </c>
      <c r="E304" s="11">
        <f>IF(GL_RAW!A304="","",TRIM(GL_RAW!D304))</f>
        <v/>
      </c>
      <c r="F304" s="11">
        <f>IF(GL_RAW!A304="","",TRIM(GL_RAW!F304))</f>
        <v/>
      </c>
      <c r="G304" s="11">
        <f>IF(GL_RAW!A304="","",TRIM(GL_RAW!G304))</f>
        <v/>
      </c>
      <c r="H304" s="12">
        <f>IF(GL_RAW!A304="","",IFERROR(GL_RAW!E304,0))</f>
        <v/>
      </c>
      <c r="I304" s="12">
        <f>IF(GL_RAW!A304="","",ABS(H304))</f>
        <v/>
      </c>
      <c r="J304" s="11">
        <f>IF(GL_RAW!A304="","",IF(OR(ISNUMBER(SEARCH("Out",F304)),ISNUMBER(SEARCH("11025002",F304)),H304&lt;0),"OUT","IN"))</f>
        <v/>
      </c>
      <c r="K304" s="11" t="inlineStr"/>
    </row>
    <row r="305">
      <c r="A305" s="13">
        <f>IF(GL_RAW!A305="","",ROW()-1)</f>
        <v/>
      </c>
      <c r="B305" s="10">
        <f>IF(GL_RAW!A305="","",IF(ISNUMBER(GL_RAW!A305),GL_RAW!A305,DATEVALUE(TEXT(GL_RAW!A305,"YYYY-MM-DD"))))</f>
        <v/>
      </c>
      <c r="C305" s="11">
        <f>IF(GL_RAW!A305="","",TRIM(GL_RAW!B305))</f>
        <v/>
      </c>
      <c r="D305" s="11">
        <f>IF(GL_RAW!A305="","",TRIM(GL_RAW!C305))</f>
        <v/>
      </c>
      <c r="E305" s="11">
        <f>IF(GL_RAW!A305="","",TRIM(GL_RAW!D305))</f>
        <v/>
      </c>
      <c r="F305" s="11">
        <f>IF(GL_RAW!A305="","",TRIM(GL_RAW!F305))</f>
        <v/>
      </c>
      <c r="G305" s="11">
        <f>IF(GL_RAW!A305="","",TRIM(GL_RAW!G305))</f>
        <v/>
      </c>
      <c r="H305" s="12">
        <f>IF(GL_RAW!A305="","",IFERROR(GL_RAW!E305,0))</f>
        <v/>
      </c>
      <c r="I305" s="12">
        <f>IF(GL_RAW!A305="","",ABS(H305))</f>
        <v/>
      </c>
      <c r="J305" s="11">
        <f>IF(GL_RAW!A305="","",IF(OR(ISNUMBER(SEARCH("Out",F305)),ISNUMBER(SEARCH("11025002",F305)),H305&lt;0),"OUT","IN"))</f>
        <v/>
      </c>
      <c r="K305" s="11" t="inlineStr"/>
    </row>
    <row r="306">
      <c r="A306" s="13">
        <f>IF(GL_RAW!A306="","",ROW()-1)</f>
        <v/>
      </c>
      <c r="B306" s="10">
        <f>IF(GL_RAW!A306="","",IF(ISNUMBER(GL_RAW!A306),GL_RAW!A306,DATEVALUE(TEXT(GL_RAW!A306,"YYYY-MM-DD"))))</f>
        <v/>
      </c>
      <c r="C306" s="11">
        <f>IF(GL_RAW!A306="","",TRIM(GL_RAW!B306))</f>
        <v/>
      </c>
      <c r="D306" s="11">
        <f>IF(GL_RAW!A306="","",TRIM(GL_RAW!C306))</f>
        <v/>
      </c>
      <c r="E306" s="11">
        <f>IF(GL_RAW!A306="","",TRIM(GL_RAW!D306))</f>
        <v/>
      </c>
      <c r="F306" s="11">
        <f>IF(GL_RAW!A306="","",TRIM(GL_RAW!F306))</f>
        <v/>
      </c>
      <c r="G306" s="11">
        <f>IF(GL_RAW!A306="","",TRIM(GL_RAW!G306))</f>
        <v/>
      </c>
      <c r="H306" s="12">
        <f>IF(GL_RAW!A306="","",IFERROR(GL_RAW!E306,0))</f>
        <v/>
      </c>
      <c r="I306" s="12">
        <f>IF(GL_RAW!A306="","",ABS(H306))</f>
        <v/>
      </c>
      <c r="J306" s="11">
        <f>IF(GL_RAW!A306="","",IF(OR(ISNUMBER(SEARCH("Out",F306)),ISNUMBER(SEARCH("11025002",F306)),H306&lt;0),"OUT","IN"))</f>
        <v/>
      </c>
      <c r="K306" s="11" t="inlineStr"/>
    </row>
    <row r="307">
      <c r="A307" s="13">
        <f>IF(GL_RAW!A307="","",ROW()-1)</f>
        <v/>
      </c>
      <c r="B307" s="10">
        <f>IF(GL_RAW!A307="","",IF(ISNUMBER(GL_RAW!A307),GL_RAW!A307,DATEVALUE(TEXT(GL_RAW!A307,"YYYY-MM-DD"))))</f>
        <v/>
      </c>
      <c r="C307" s="11">
        <f>IF(GL_RAW!A307="","",TRIM(GL_RAW!B307))</f>
        <v/>
      </c>
      <c r="D307" s="11">
        <f>IF(GL_RAW!A307="","",TRIM(GL_RAW!C307))</f>
        <v/>
      </c>
      <c r="E307" s="11">
        <f>IF(GL_RAW!A307="","",TRIM(GL_RAW!D307))</f>
        <v/>
      </c>
      <c r="F307" s="11">
        <f>IF(GL_RAW!A307="","",TRIM(GL_RAW!F307))</f>
        <v/>
      </c>
      <c r="G307" s="11">
        <f>IF(GL_RAW!A307="","",TRIM(GL_RAW!G307))</f>
        <v/>
      </c>
      <c r="H307" s="12">
        <f>IF(GL_RAW!A307="","",IFERROR(GL_RAW!E307,0))</f>
        <v/>
      </c>
      <c r="I307" s="12">
        <f>IF(GL_RAW!A307="","",ABS(H307))</f>
        <v/>
      </c>
      <c r="J307" s="11">
        <f>IF(GL_RAW!A307="","",IF(OR(ISNUMBER(SEARCH("Out",F307)),ISNUMBER(SEARCH("11025002",F307)),H307&lt;0),"OUT","IN"))</f>
        <v/>
      </c>
      <c r="K307" s="11" t="inlineStr"/>
    </row>
    <row r="308">
      <c r="A308" s="13">
        <f>IF(GL_RAW!A308="","",ROW()-1)</f>
        <v/>
      </c>
      <c r="B308" s="10">
        <f>IF(GL_RAW!A308="","",IF(ISNUMBER(GL_RAW!A308),GL_RAW!A308,DATEVALUE(TEXT(GL_RAW!A308,"YYYY-MM-DD"))))</f>
        <v/>
      </c>
      <c r="C308" s="11">
        <f>IF(GL_RAW!A308="","",TRIM(GL_RAW!B308))</f>
        <v/>
      </c>
      <c r="D308" s="11">
        <f>IF(GL_RAW!A308="","",TRIM(GL_RAW!C308))</f>
        <v/>
      </c>
      <c r="E308" s="11">
        <f>IF(GL_RAW!A308="","",TRIM(GL_RAW!D308))</f>
        <v/>
      </c>
      <c r="F308" s="11">
        <f>IF(GL_RAW!A308="","",TRIM(GL_RAW!F308))</f>
        <v/>
      </c>
      <c r="G308" s="11">
        <f>IF(GL_RAW!A308="","",TRIM(GL_RAW!G308))</f>
        <v/>
      </c>
      <c r="H308" s="12">
        <f>IF(GL_RAW!A308="","",IFERROR(GL_RAW!E308,0))</f>
        <v/>
      </c>
      <c r="I308" s="12">
        <f>IF(GL_RAW!A308="","",ABS(H308))</f>
        <v/>
      </c>
      <c r="J308" s="11">
        <f>IF(GL_RAW!A308="","",IF(OR(ISNUMBER(SEARCH("Out",F308)),ISNUMBER(SEARCH("11025002",F308)),H308&lt;0),"OUT","IN"))</f>
        <v/>
      </c>
      <c r="K308" s="11" t="inlineStr"/>
    </row>
    <row r="309">
      <c r="A309" s="13">
        <f>IF(GL_RAW!A309="","",ROW()-1)</f>
        <v/>
      </c>
      <c r="B309" s="10">
        <f>IF(GL_RAW!A309="","",IF(ISNUMBER(GL_RAW!A309),GL_RAW!A309,DATEVALUE(TEXT(GL_RAW!A309,"YYYY-MM-DD"))))</f>
        <v/>
      </c>
      <c r="C309" s="11">
        <f>IF(GL_RAW!A309="","",TRIM(GL_RAW!B309))</f>
        <v/>
      </c>
      <c r="D309" s="11">
        <f>IF(GL_RAW!A309="","",TRIM(GL_RAW!C309))</f>
        <v/>
      </c>
      <c r="E309" s="11">
        <f>IF(GL_RAW!A309="","",TRIM(GL_RAW!D309))</f>
        <v/>
      </c>
      <c r="F309" s="11">
        <f>IF(GL_RAW!A309="","",TRIM(GL_RAW!F309))</f>
        <v/>
      </c>
      <c r="G309" s="11">
        <f>IF(GL_RAW!A309="","",TRIM(GL_RAW!G309))</f>
        <v/>
      </c>
      <c r="H309" s="12">
        <f>IF(GL_RAW!A309="","",IFERROR(GL_RAW!E309,0))</f>
        <v/>
      </c>
      <c r="I309" s="12">
        <f>IF(GL_RAW!A309="","",ABS(H309))</f>
        <v/>
      </c>
      <c r="J309" s="11">
        <f>IF(GL_RAW!A309="","",IF(OR(ISNUMBER(SEARCH("Out",F309)),ISNUMBER(SEARCH("11025002",F309)),H309&lt;0),"OUT","IN"))</f>
        <v/>
      </c>
      <c r="K309" s="11" t="inlineStr"/>
    </row>
    <row r="310">
      <c r="A310" s="13">
        <f>IF(GL_RAW!A310="","",ROW()-1)</f>
        <v/>
      </c>
      <c r="B310" s="10">
        <f>IF(GL_RAW!A310="","",IF(ISNUMBER(GL_RAW!A310),GL_RAW!A310,DATEVALUE(TEXT(GL_RAW!A310,"YYYY-MM-DD"))))</f>
        <v/>
      </c>
      <c r="C310" s="11">
        <f>IF(GL_RAW!A310="","",TRIM(GL_RAW!B310))</f>
        <v/>
      </c>
      <c r="D310" s="11">
        <f>IF(GL_RAW!A310="","",TRIM(GL_RAW!C310))</f>
        <v/>
      </c>
      <c r="E310" s="11">
        <f>IF(GL_RAW!A310="","",TRIM(GL_RAW!D310))</f>
        <v/>
      </c>
      <c r="F310" s="11">
        <f>IF(GL_RAW!A310="","",TRIM(GL_RAW!F310))</f>
        <v/>
      </c>
      <c r="G310" s="11">
        <f>IF(GL_RAW!A310="","",TRIM(GL_RAW!G310))</f>
        <v/>
      </c>
      <c r="H310" s="12">
        <f>IF(GL_RAW!A310="","",IFERROR(GL_RAW!E310,0))</f>
        <v/>
      </c>
      <c r="I310" s="12">
        <f>IF(GL_RAW!A310="","",ABS(H310))</f>
        <v/>
      </c>
      <c r="J310" s="11">
        <f>IF(GL_RAW!A310="","",IF(OR(ISNUMBER(SEARCH("Out",F310)),ISNUMBER(SEARCH("11025002",F310)),H310&lt;0),"OUT","IN"))</f>
        <v/>
      </c>
      <c r="K310" s="11" t="inlineStr"/>
    </row>
    <row r="311">
      <c r="A311" s="13">
        <f>IF(GL_RAW!A311="","",ROW()-1)</f>
        <v/>
      </c>
      <c r="B311" s="10">
        <f>IF(GL_RAW!A311="","",IF(ISNUMBER(GL_RAW!A311),GL_RAW!A311,DATEVALUE(TEXT(GL_RAW!A311,"YYYY-MM-DD"))))</f>
        <v/>
      </c>
      <c r="C311" s="11">
        <f>IF(GL_RAW!A311="","",TRIM(GL_RAW!B311))</f>
        <v/>
      </c>
      <c r="D311" s="11">
        <f>IF(GL_RAW!A311="","",TRIM(GL_RAW!C311))</f>
        <v/>
      </c>
      <c r="E311" s="11">
        <f>IF(GL_RAW!A311="","",TRIM(GL_RAW!D311))</f>
        <v/>
      </c>
      <c r="F311" s="11">
        <f>IF(GL_RAW!A311="","",TRIM(GL_RAW!F311))</f>
        <v/>
      </c>
      <c r="G311" s="11">
        <f>IF(GL_RAW!A311="","",TRIM(GL_RAW!G311))</f>
        <v/>
      </c>
      <c r="H311" s="12">
        <f>IF(GL_RAW!A311="","",IFERROR(GL_RAW!E311,0))</f>
        <v/>
      </c>
      <c r="I311" s="12">
        <f>IF(GL_RAW!A311="","",ABS(H311))</f>
        <v/>
      </c>
      <c r="J311" s="11">
        <f>IF(GL_RAW!A311="","",IF(OR(ISNUMBER(SEARCH("Out",F311)),ISNUMBER(SEARCH("11025002",F311)),H311&lt;0),"OUT","IN"))</f>
        <v/>
      </c>
      <c r="K311" s="11" t="inlineStr"/>
    </row>
    <row r="312">
      <c r="A312" s="13">
        <f>IF(GL_RAW!A312="","",ROW()-1)</f>
        <v/>
      </c>
      <c r="B312" s="10">
        <f>IF(GL_RAW!A312="","",IF(ISNUMBER(GL_RAW!A312),GL_RAW!A312,DATEVALUE(TEXT(GL_RAW!A312,"YYYY-MM-DD"))))</f>
        <v/>
      </c>
      <c r="C312" s="11">
        <f>IF(GL_RAW!A312="","",TRIM(GL_RAW!B312))</f>
        <v/>
      </c>
      <c r="D312" s="11">
        <f>IF(GL_RAW!A312="","",TRIM(GL_RAW!C312))</f>
        <v/>
      </c>
      <c r="E312" s="11">
        <f>IF(GL_RAW!A312="","",TRIM(GL_RAW!D312))</f>
        <v/>
      </c>
      <c r="F312" s="11">
        <f>IF(GL_RAW!A312="","",TRIM(GL_RAW!F312))</f>
        <v/>
      </c>
      <c r="G312" s="11">
        <f>IF(GL_RAW!A312="","",TRIM(GL_RAW!G312))</f>
        <v/>
      </c>
      <c r="H312" s="12">
        <f>IF(GL_RAW!A312="","",IFERROR(GL_RAW!E312,0))</f>
        <v/>
      </c>
      <c r="I312" s="12">
        <f>IF(GL_RAW!A312="","",ABS(H312))</f>
        <v/>
      </c>
      <c r="J312" s="11">
        <f>IF(GL_RAW!A312="","",IF(OR(ISNUMBER(SEARCH("Out",F312)),ISNUMBER(SEARCH("11025002",F312)),H312&lt;0),"OUT","IN"))</f>
        <v/>
      </c>
      <c r="K312" s="11" t="inlineStr"/>
    </row>
    <row r="313">
      <c r="A313" s="13">
        <f>IF(GL_RAW!A313="","",ROW()-1)</f>
        <v/>
      </c>
      <c r="B313" s="10">
        <f>IF(GL_RAW!A313="","",IF(ISNUMBER(GL_RAW!A313),GL_RAW!A313,DATEVALUE(TEXT(GL_RAW!A313,"YYYY-MM-DD"))))</f>
        <v/>
      </c>
      <c r="C313" s="11">
        <f>IF(GL_RAW!A313="","",TRIM(GL_RAW!B313))</f>
        <v/>
      </c>
      <c r="D313" s="11">
        <f>IF(GL_RAW!A313="","",TRIM(GL_RAW!C313))</f>
        <v/>
      </c>
      <c r="E313" s="11">
        <f>IF(GL_RAW!A313="","",TRIM(GL_RAW!D313))</f>
        <v/>
      </c>
      <c r="F313" s="11">
        <f>IF(GL_RAW!A313="","",TRIM(GL_RAW!F313))</f>
        <v/>
      </c>
      <c r="G313" s="11">
        <f>IF(GL_RAW!A313="","",TRIM(GL_RAW!G313))</f>
        <v/>
      </c>
      <c r="H313" s="12">
        <f>IF(GL_RAW!A313="","",IFERROR(GL_RAW!E313,0))</f>
        <v/>
      </c>
      <c r="I313" s="12">
        <f>IF(GL_RAW!A313="","",ABS(H313))</f>
        <v/>
      </c>
      <c r="J313" s="11">
        <f>IF(GL_RAW!A313="","",IF(OR(ISNUMBER(SEARCH("Out",F313)),ISNUMBER(SEARCH("11025002",F313)),H313&lt;0),"OUT","IN"))</f>
        <v/>
      </c>
      <c r="K313" s="11" t="inlineStr"/>
    </row>
    <row r="314">
      <c r="A314" s="13">
        <f>IF(GL_RAW!A314="","",ROW()-1)</f>
        <v/>
      </c>
      <c r="B314" s="10">
        <f>IF(GL_RAW!A314="","",IF(ISNUMBER(GL_RAW!A314),GL_RAW!A314,DATEVALUE(TEXT(GL_RAW!A314,"YYYY-MM-DD"))))</f>
        <v/>
      </c>
      <c r="C314" s="11">
        <f>IF(GL_RAW!A314="","",TRIM(GL_RAW!B314))</f>
        <v/>
      </c>
      <c r="D314" s="11">
        <f>IF(GL_RAW!A314="","",TRIM(GL_RAW!C314))</f>
        <v/>
      </c>
      <c r="E314" s="11">
        <f>IF(GL_RAW!A314="","",TRIM(GL_RAW!D314))</f>
        <v/>
      </c>
      <c r="F314" s="11">
        <f>IF(GL_RAW!A314="","",TRIM(GL_RAW!F314))</f>
        <v/>
      </c>
      <c r="G314" s="11">
        <f>IF(GL_RAW!A314="","",TRIM(GL_RAW!G314))</f>
        <v/>
      </c>
      <c r="H314" s="12">
        <f>IF(GL_RAW!A314="","",IFERROR(GL_RAW!E314,0))</f>
        <v/>
      </c>
      <c r="I314" s="12">
        <f>IF(GL_RAW!A314="","",ABS(H314))</f>
        <v/>
      </c>
      <c r="J314" s="11">
        <f>IF(GL_RAW!A314="","",IF(OR(ISNUMBER(SEARCH("Out",F314)),ISNUMBER(SEARCH("11025002",F314)),H314&lt;0),"OUT","IN"))</f>
        <v/>
      </c>
      <c r="K314" s="11" t="inlineStr"/>
    </row>
    <row r="315">
      <c r="A315" s="13">
        <f>IF(GL_RAW!A315="","",ROW()-1)</f>
        <v/>
      </c>
      <c r="B315" s="10">
        <f>IF(GL_RAW!A315="","",IF(ISNUMBER(GL_RAW!A315),GL_RAW!A315,DATEVALUE(TEXT(GL_RAW!A315,"YYYY-MM-DD"))))</f>
        <v/>
      </c>
      <c r="C315" s="11">
        <f>IF(GL_RAW!A315="","",TRIM(GL_RAW!B315))</f>
        <v/>
      </c>
      <c r="D315" s="11">
        <f>IF(GL_RAW!A315="","",TRIM(GL_RAW!C315))</f>
        <v/>
      </c>
      <c r="E315" s="11">
        <f>IF(GL_RAW!A315="","",TRIM(GL_RAW!D315))</f>
        <v/>
      </c>
      <c r="F315" s="11">
        <f>IF(GL_RAW!A315="","",TRIM(GL_RAW!F315))</f>
        <v/>
      </c>
      <c r="G315" s="11">
        <f>IF(GL_RAW!A315="","",TRIM(GL_RAW!G315))</f>
        <v/>
      </c>
      <c r="H315" s="12">
        <f>IF(GL_RAW!A315="","",IFERROR(GL_RAW!E315,0))</f>
        <v/>
      </c>
      <c r="I315" s="12">
        <f>IF(GL_RAW!A315="","",ABS(H315))</f>
        <v/>
      </c>
      <c r="J315" s="11">
        <f>IF(GL_RAW!A315="","",IF(OR(ISNUMBER(SEARCH("Out",F315)),ISNUMBER(SEARCH("11025002",F315)),H315&lt;0),"OUT","IN"))</f>
        <v/>
      </c>
      <c r="K315" s="11" t="inlineStr"/>
    </row>
    <row r="316">
      <c r="A316" s="13">
        <f>IF(GL_RAW!A316="","",ROW()-1)</f>
        <v/>
      </c>
      <c r="B316" s="10">
        <f>IF(GL_RAW!A316="","",IF(ISNUMBER(GL_RAW!A316),GL_RAW!A316,DATEVALUE(TEXT(GL_RAW!A316,"YYYY-MM-DD"))))</f>
        <v/>
      </c>
      <c r="C316" s="11">
        <f>IF(GL_RAW!A316="","",TRIM(GL_RAW!B316))</f>
        <v/>
      </c>
      <c r="D316" s="11">
        <f>IF(GL_RAW!A316="","",TRIM(GL_RAW!C316))</f>
        <v/>
      </c>
      <c r="E316" s="11">
        <f>IF(GL_RAW!A316="","",TRIM(GL_RAW!D316))</f>
        <v/>
      </c>
      <c r="F316" s="11">
        <f>IF(GL_RAW!A316="","",TRIM(GL_RAW!F316))</f>
        <v/>
      </c>
      <c r="G316" s="11">
        <f>IF(GL_RAW!A316="","",TRIM(GL_RAW!G316))</f>
        <v/>
      </c>
      <c r="H316" s="12">
        <f>IF(GL_RAW!A316="","",IFERROR(GL_RAW!E316,0))</f>
        <v/>
      </c>
      <c r="I316" s="12">
        <f>IF(GL_RAW!A316="","",ABS(H316))</f>
        <v/>
      </c>
      <c r="J316" s="11">
        <f>IF(GL_RAW!A316="","",IF(OR(ISNUMBER(SEARCH("Out",F316)),ISNUMBER(SEARCH("11025002",F316)),H316&lt;0),"OUT","IN"))</f>
        <v/>
      </c>
      <c r="K316" s="11" t="inlineStr"/>
    </row>
    <row r="317">
      <c r="A317" s="13">
        <f>IF(GL_RAW!A317="","",ROW()-1)</f>
        <v/>
      </c>
      <c r="B317" s="10">
        <f>IF(GL_RAW!A317="","",IF(ISNUMBER(GL_RAW!A317),GL_RAW!A317,DATEVALUE(TEXT(GL_RAW!A317,"YYYY-MM-DD"))))</f>
        <v/>
      </c>
      <c r="C317" s="11">
        <f>IF(GL_RAW!A317="","",TRIM(GL_RAW!B317))</f>
        <v/>
      </c>
      <c r="D317" s="11">
        <f>IF(GL_RAW!A317="","",TRIM(GL_RAW!C317))</f>
        <v/>
      </c>
      <c r="E317" s="11">
        <f>IF(GL_RAW!A317="","",TRIM(GL_RAW!D317))</f>
        <v/>
      </c>
      <c r="F317" s="11">
        <f>IF(GL_RAW!A317="","",TRIM(GL_RAW!F317))</f>
        <v/>
      </c>
      <c r="G317" s="11">
        <f>IF(GL_RAW!A317="","",TRIM(GL_RAW!G317))</f>
        <v/>
      </c>
      <c r="H317" s="12">
        <f>IF(GL_RAW!A317="","",IFERROR(GL_RAW!E317,0))</f>
        <v/>
      </c>
      <c r="I317" s="12">
        <f>IF(GL_RAW!A317="","",ABS(H317))</f>
        <v/>
      </c>
      <c r="J317" s="11">
        <f>IF(GL_RAW!A317="","",IF(OR(ISNUMBER(SEARCH("Out",F317)),ISNUMBER(SEARCH("11025002",F317)),H317&lt;0),"OUT","IN"))</f>
        <v/>
      </c>
      <c r="K317" s="11" t="inlineStr"/>
    </row>
    <row r="318">
      <c r="A318" s="13">
        <f>IF(GL_RAW!A318="","",ROW()-1)</f>
        <v/>
      </c>
      <c r="B318" s="10">
        <f>IF(GL_RAW!A318="","",IF(ISNUMBER(GL_RAW!A318),GL_RAW!A318,DATEVALUE(TEXT(GL_RAW!A318,"YYYY-MM-DD"))))</f>
        <v/>
      </c>
      <c r="C318" s="11">
        <f>IF(GL_RAW!A318="","",TRIM(GL_RAW!B318))</f>
        <v/>
      </c>
      <c r="D318" s="11">
        <f>IF(GL_RAW!A318="","",TRIM(GL_RAW!C318))</f>
        <v/>
      </c>
      <c r="E318" s="11">
        <f>IF(GL_RAW!A318="","",TRIM(GL_RAW!D318))</f>
        <v/>
      </c>
      <c r="F318" s="11">
        <f>IF(GL_RAW!A318="","",TRIM(GL_RAW!F318))</f>
        <v/>
      </c>
      <c r="G318" s="11">
        <f>IF(GL_RAW!A318="","",TRIM(GL_RAW!G318))</f>
        <v/>
      </c>
      <c r="H318" s="12">
        <f>IF(GL_RAW!A318="","",IFERROR(GL_RAW!E318,0))</f>
        <v/>
      </c>
      <c r="I318" s="12">
        <f>IF(GL_RAW!A318="","",ABS(H318))</f>
        <v/>
      </c>
      <c r="J318" s="11">
        <f>IF(GL_RAW!A318="","",IF(OR(ISNUMBER(SEARCH("Out",F318)),ISNUMBER(SEARCH("11025002",F318)),H318&lt;0),"OUT","IN"))</f>
        <v/>
      </c>
      <c r="K318" s="11" t="inlineStr"/>
    </row>
    <row r="319">
      <c r="A319" s="13">
        <f>IF(GL_RAW!A319="","",ROW()-1)</f>
        <v/>
      </c>
      <c r="B319" s="10">
        <f>IF(GL_RAW!A319="","",IF(ISNUMBER(GL_RAW!A319),GL_RAW!A319,DATEVALUE(TEXT(GL_RAW!A319,"YYYY-MM-DD"))))</f>
        <v/>
      </c>
      <c r="C319" s="11">
        <f>IF(GL_RAW!A319="","",TRIM(GL_RAW!B319))</f>
        <v/>
      </c>
      <c r="D319" s="11">
        <f>IF(GL_RAW!A319="","",TRIM(GL_RAW!C319))</f>
        <v/>
      </c>
      <c r="E319" s="11">
        <f>IF(GL_RAW!A319="","",TRIM(GL_RAW!D319))</f>
        <v/>
      </c>
      <c r="F319" s="11">
        <f>IF(GL_RAW!A319="","",TRIM(GL_RAW!F319))</f>
        <v/>
      </c>
      <c r="G319" s="11">
        <f>IF(GL_RAW!A319="","",TRIM(GL_RAW!G319))</f>
        <v/>
      </c>
      <c r="H319" s="12">
        <f>IF(GL_RAW!A319="","",IFERROR(GL_RAW!E319,0))</f>
        <v/>
      </c>
      <c r="I319" s="12">
        <f>IF(GL_RAW!A319="","",ABS(H319))</f>
        <v/>
      </c>
      <c r="J319" s="11">
        <f>IF(GL_RAW!A319="","",IF(OR(ISNUMBER(SEARCH("Out",F319)),ISNUMBER(SEARCH("11025002",F319)),H319&lt;0),"OUT","IN"))</f>
        <v/>
      </c>
      <c r="K319" s="11" t="inlineStr"/>
    </row>
    <row r="320">
      <c r="A320" s="13">
        <f>IF(GL_RAW!A320="","",ROW()-1)</f>
        <v/>
      </c>
      <c r="B320" s="10">
        <f>IF(GL_RAW!A320="","",IF(ISNUMBER(GL_RAW!A320),GL_RAW!A320,DATEVALUE(TEXT(GL_RAW!A320,"YYYY-MM-DD"))))</f>
        <v/>
      </c>
      <c r="C320" s="11">
        <f>IF(GL_RAW!A320="","",TRIM(GL_RAW!B320))</f>
        <v/>
      </c>
      <c r="D320" s="11">
        <f>IF(GL_RAW!A320="","",TRIM(GL_RAW!C320))</f>
        <v/>
      </c>
      <c r="E320" s="11">
        <f>IF(GL_RAW!A320="","",TRIM(GL_RAW!D320))</f>
        <v/>
      </c>
      <c r="F320" s="11">
        <f>IF(GL_RAW!A320="","",TRIM(GL_RAW!F320))</f>
        <v/>
      </c>
      <c r="G320" s="11">
        <f>IF(GL_RAW!A320="","",TRIM(GL_RAW!G320))</f>
        <v/>
      </c>
      <c r="H320" s="12">
        <f>IF(GL_RAW!A320="","",IFERROR(GL_RAW!E320,0))</f>
        <v/>
      </c>
      <c r="I320" s="12">
        <f>IF(GL_RAW!A320="","",ABS(H320))</f>
        <v/>
      </c>
      <c r="J320" s="11">
        <f>IF(GL_RAW!A320="","",IF(OR(ISNUMBER(SEARCH("Out",F320)),ISNUMBER(SEARCH("11025002",F320)),H320&lt;0),"OUT","IN"))</f>
        <v/>
      </c>
      <c r="K320" s="11" t="inlineStr"/>
    </row>
    <row r="321">
      <c r="A321" s="13">
        <f>IF(GL_RAW!A321="","",ROW()-1)</f>
        <v/>
      </c>
      <c r="B321" s="10">
        <f>IF(GL_RAW!A321="","",IF(ISNUMBER(GL_RAW!A321),GL_RAW!A321,DATEVALUE(TEXT(GL_RAW!A321,"YYYY-MM-DD"))))</f>
        <v/>
      </c>
      <c r="C321" s="11">
        <f>IF(GL_RAW!A321="","",TRIM(GL_RAW!B321))</f>
        <v/>
      </c>
      <c r="D321" s="11">
        <f>IF(GL_RAW!A321="","",TRIM(GL_RAW!C321))</f>
        <v/>
      </c>
      <c r="E321" s="11">
        <f>IF(GL_RAW!A321="","",TRIM(GL_RAW!D321))</f>
        <v/>
      </c>
      <c r="F321" s="11">
        <f>IF(GL_RAW!A321="","",TRIM(GL_RAW!F321))</f>
        <v/>
      </c>
      <c r="G321" s="11">
        <f>IF(GL_RAW!A321="","",TRIM(GL_RAW!G321))</f>
        <v/>
      </c>
      <c r="H321" s="12">
        <f>IF(GL_RAW!A321="","",IFERROR(GL_RAW!E321,0))</f>
        <v/>
      </c>
      <c r="I321" s="12">
        <f>IF(GL_RAW!A321="","",ABS(H321))</f>
        <v/>
      </c>
      <c r="J321" s="11">
        <f>IF(GL_RAW!A321="","",IF(OR(ISNUMBER(SEARCH("Out",F321)),ISNUMBER(SEARCH("11025002",F321)),H321&lt;0),"OUT","IN"))</f>
        <v/>
      </c>
      <c r="K321" s="11" t="inlineStr"/>
    </row>
    <row r="322">
      <c r="A322" s="13">
        <f>IF(GL_RAW!A322="","",ROW()-1)</f>
        <v/>
      </c>
      <c r="B322" s="10">
        <f>IF(GL_RAW!A322="","",IF(ISNUMBER(GL_RAW!A322),GL_RAW!A322,DATEVALUE(TEXT(GL_RAW!A322,"YYYY-MM-DD"))))</f>
        <v/>
      </c>
      <c r="C322" s="11">
        <f>IF(GL_RAW!A322="","",TRIM(GL_RAW!B322))</f>
        <v/>
      </c>
      <c r="D322" s="11">
        <f>IF(GL_RAW!A322="","",TRIM(GL_RAW!C322))</f>
        <v/>
      </c>
      <c r="E322" s="11">
        <f>IF(GL_RAW!A322="","",TRIM(GL_RAW!D322))</f>
        <v/>
      </c>
      <c r="F322" s="11">
        <f>IF(GL_RAW!A322="","",TRIM(GL_RAW!F322))</f>
        <v/>
      </c>
      <c r="G322" s="11">
        <f>IF(GL_RAW!A322="","",TRIM(GL_RAW!G322))</f>
        <v/>
      </c>
      <c r="H322" s="12">
        <f>IF(GL_RAW!A322="","",IFERROR(GL_RAW!E322,0))</f>
        <v/>
      </c>
      <c r="I322" s="12">
        <f>IF(GL_RAW!A322="","",ABS(H322))</f>
        <v/>
      </c>
      <c r="J322" s="11">
        <f>IF(GL_RAW!A322="","",IF(OR(ISNUMBER(SEARCH("Out",F322)),ISNUMBER(SEARCH("11025002",F322)),H322&lt;0),"OUT","IN"))</f>
        <v/>
      </c>
      <c r="K322" s="11" t="inlineStr"/>
    </row>
    <row r="323">
      <c r="A323" s="13">
        <f>IF(GL_RAW!A323="","",ROW()-1)</f>
        <v/>
      </c>
      <c r="B323" s="10">
        <f>IF(GL_RAW!A323="","",IF(ISNUMBER(GL_RAW!A323),GL_RAW!A323,DATEVALUE(TEXT(GL_RAW!A323,"YYYY-MM-DD"))))</f>
        <v/>
      </c>
      <c r="C323" s="11">
        <f>IF(GL_RAW!A323="","",TRIM(GL_RAW!B323))</f>
        <v/>
      </c>
      <c r="D323" s="11">
        <f>IF(GL_RAW!A323="","",TRIM(GL_RAW!C323))</f>
        <v/>
      </c>
      <c r="E323" s="11">
        <f>IF(GL_RAW!A323="","",TRIM(GL_RAW!D323))</f>
        <v/>
      </c>
      <c r="F323" s="11">
        <f>IF(GL_RAW!A323="","",TRIM(GL_RAW!F323))</f>
        <v/>
      </c>
      <c r="G323" s="11">
        <f>IF(GL_RAW!A323="","",TRIM(GL_RAW!G323))</f>
        <v/>
      </c>
      <c r="H323" s="12">
        <f>IF(GL_RAW!A323="","",IFERROR(GL_RAW!E323,0))</f>
        <v/>
      </c>
      <c r="I323" s="12">
        <f>IF(GL_RAW!A323="","",ABS(H323))</f>
        <v/>
      </c>
      <c r="J323" s="11">
        <f>IF(GL_RAW!A323="","",IF(OR(ISNUMBER(SEARCH("Out",F323)),ISNUMBER(SEARCH("11025002",F323)),H323&lt;0),"OUT","IN"))</f>
        <v/>
      </c>
      <c r="K323" s="11" t="inlineStr"/>
    </row>
    <row r="324">
      <c r="A324" s="13">
        <f>IF(GL_RAW!A324="","",ROW()-1)</f>
        <v/>
      </c>
      <c r="B324" s="10">
        <f>IF(GL_RAW!A324="","",IF(ISNUMBER(GL_RAW!A324),GL_RAW!A324,DATEVALUE(TEXT(GL_RAW!A324,"YYYY-MM-DD"))))</f>
        <v/>
      </c>
      <c r="C324" s="11">
        <f>IF(GL_RAW!A324="","",TRIM(GL_RAW!B324))</f>
        <v/>
      </c>
      <c r="D324" s="11">
        <f>IF(GL_RAW!A324="","",TRIM(GL_RAW!C324))</f>
        <v/>
      </c>
      <c r="E324" s="11">
        <f>IF(GL_RAW!A324="","",TRIM(GL_RAW!D324))</f>
        <v/>
      </c>
      <c r="F324" s="11">
        <f>IF(GL_RAW!A324="","",TRIM(GL_RAW!F324))</f>
        <v/>
      </c>
      <c r="G324" s="11">
        <f>IF(GL_RAW!A324="","",TRIM(GL_RAW!G324))</f>
        <v/>
      </c>
      <c r="H324" s="12">
        <f>IF(GL_RAW!A324="","",IFERROR(GL_RAW!E324,0))</f>
        <v/>
      </c>
      <c r="I324" s="12">
        <f>IF(GL_RAW!A324="","",ABS(H324))</f>
        <v/>
      </c>
      <c r="J324" s="11">
        <f>IF(GL_RAW!A324="","",IF(OR(ISNUMBER(SEARCH("Out",F324)),ISNUMBER(SEARCH("11025002",F324)),H324&lt;0),"OUT","IN"))</f>
        <v/>
      </c>
      <c r="K324" s="11" t="inlineStr"/>
    </row>
    <row r="325">
      <c r="A325" s="13">
        <f>IF(GL_RAW!A325="","",ROW()-1)</f>
        <v/>
      </c>
      <c r="B325" s="10">
        <f>IF(GL_RAW!A325="","",IF(ISNUMBER(GL_RAW!A325),GL_RAW!A325,DATEVALUE(TEXT(GL_RAW!A325,"YYYY-MM-DD"))))</f>
        <v/>
      </c>
      <c r="C325" s="11">
        <f>IF(GL_RAW!A325="","",TRIM(GL_RAW!B325))</f>
        <v/>
      </c>
      <c r="D325" s="11">
        <f>IF(GL_RAW!A325="","",TRIM(GL_RAW!C325))</f>
        <v/>
      </c>
      <c r="E325" s="11">
        <f>IF(GL_RAW!A325="","",TRIM(GL_RAW!D325))</f>
        <v/>
      </c>
      <c r="F325" s="11">
        <f>IF(GL_RAW!A325="","",TRIM(GL_RAW!F325))</f>
        <v/>
      </c>
      <c r="G325" s="11">
        <f>IF(GL_RAW!A325="","",TRIM(GL_RAW!G325))</f>
        <v/>
      </c>
      <c r="H325" s="12">
        <f>IF(GL_RAW!A325="","",IFERROR(GL_RAW!E325,0))</f>
        <v/>
      </c>
      <c r="I325" s="12">
        <f>IF(GL_RAW!A325="","",ABS(H325))</f>
        <v/>
      </c>
      <c r="J325" s="11">
        <f>IF(GL_RAW!A325="","",IF(OR(ISNUMBER(SEARCH("Out",F325)),ISNUMBER(SEARCH("11025002",F325)),H325&lt;0),"OUT","IN"))</f>
        <v/>
      </c>
      <c r="K325" s="11" t="inlineStr"/>
    </row>
    <row r="326">
      <c r="A326" s="13">
        <f>IF(GL_RAW!A326="","",ROW()-1)</f>
        <v/>
      </c>
      <c r="B326" s="10">
        <f>IF(GL_RAW!A326="","",IF(ISNUMBER(GL_RAW!A326),GL_RAW!A326,DATEVALUE(TEXT(GL_RAW!A326,"YYYY-MM-DD"))))</f>
        <v/>
      </c>
      <c r="C326" s="11">
        <f>IF(GL_RAW!A326="","",TRIM(GL_RAW!B326))</f>
        <v/>
      </c>
      <c r="D326" s="11">
        <f>IF(GL_RAW!A326="","",TRIM(GL_RAW!C326))</f>
        <v/>
      </c>
      <c r="E326" s="11">
        <f>IF(GL_RAW!A326="","",TRIM(GL_RAW!D326))</f>
        <v/>
      </c>
      <c r="F326" s="11">
        <f>IF(GL_RAW!A326="","",TRIM(GL_RAW!F326))</f>
        <v/>
      </c>
      <c r="G326" s="11">
        <f>IF(GL_RAW!A326="","",TRIM(GL_RAW!G326))</f>
        <v/>
      </c>
      <c r="H326" s="12">
        <f>IF(GL_RAW!A326="","",IFERROR(GL_RAW!E326,0))</f>
        <v/>
      </c>
      <c r="I326" s="12">
        <f>IF(GL_RAW!A326="","",ABS(H326))</f>
        <v/>
      </c>
      <c r="J326" s="11">
        <f>IF(GL_RAW!A326="","",IF(OR(ISNUMBER(SEARCH("Out",F326)),ISNUMBER(SEARCH("11025002",F326)),H326&lt;0),"OUT","IN"))</f>
        <v/>
      </c>
      <c r="K326" s="11" t="inlineStr"/>
    </row>
    <row r="327">
      <c r="A327" s="13">
        <f>IF(GL_RAW!A327="","",ROW()-1)</f>
        <v/>
      </c>
      <c r="B327" s="10">
        <f>IF(GL_RAW!A327="","",IF(ISNUMBER(GL_RAW!A327),GL_RAW!A327,DATEVALUE(TEXT(GL_RAW!A327,"YYYY-MM-DD"))))</f>
        <v/>
      </c>
      <c r="C327" s="11">
        <f>IF(GL_RAW!A327="","",TRIM(GL_RAW!B327))</f>
        <v/>
      </c>
      <c r="D327" s="11">
        <f>IF(GL_RAW!A327="","",TRIM(GL_RAW!C327))</f>
        <v/>
      </c>
      <c r="E327" s="11">
        <f>IF(GL_RAW!A327="","",TRIM(GL_RAW!D327))</f>
        <v/>
      </c>
      <c r="F327" s="11">
        <f>IF(GL_RAW!A327="","",TRIM(GL_RAW!F327))</f>
        <v/>
      </c>
      <c r="G327" s="11">
        <f>IF(GL_RAW!A327="","",TRIM(GL_RAW!G327))</f>
        <v/>
      </c>
      <c r="H327" s="12">
        <f>IF(GL_RAW!A327="","",IFERROR(GL_RAW!E327,0))</f>
        <v/>
      </c>
      <c r="I327" s="12">
        <f>IF(GL_RAW!A327="","",ABS(H327))</f>
        <v/>
      </c>
      <c r="J327" s="11">
        <f>IF(GL_RAW!A327="","",IF(OR(ISNUMBER(SEARCH("Out",F327)),ISNUMBER(SEARCH("11025002",F327)),H327&lt;0),"OUT","IN"))</f>
        <v/>
      </c>
      <c r="K327" s="11" t="inlineStr"/>
    </row>
    <row r="328">
      <c r="A328" s="13">
        <f>IF(GL_RAW!A328="","",ROW()-1)</f>
        <v/>
      </c>
      <c r="B328" s="10">
        <f>IF(GL_RAW!A328="","",IF(ISNUMBER(GL_RAW!A328),GL_RAW!A328,DATEVALUE(TEXT(GL_RAW!A328,"YYYY-MM-DD"))))</f>
        <v/>
      </c>
      <c r="C328" s="11">
        <f>IF(GL_RAW!A328="","",TRIM(GL_RAW!B328))</f>
        <v/>
      </c>
      <c r="D328" s="11">
        <f>IF(GL_RAW!A328="","",TRIM(GL_RAW!C328))</f>
        <v/>
      </c>
      <c r="E328" s="11">
        <f>IF(GL_RAW!A328="","",TRIM(GL_RAW!D328))</f>
        <v/>
      </c>
      <c r="F328" s="11">
        <f>IF(GL_RAW!A328="","",TRIM(GL_RAW!F328))</f>
        <v/>
      </c>
      <c r="G328" s="11">
        <f>IF(GL_RAW!A328="","",TRIM(GL_RAW!G328))</f>
        <v/>
      </c>
      <c r="H328" s="12">
        <f>IF(GL_RAW!A328="","",IFERROR(GL_RAW!E328,0))</f>
        <v/>
      </c>
      <c r="I328" s="12">
        <f>IF(GL_RAW!A328="","",ABS(H328))</f>
        <v/>
      </c>
      <c r="J328" s="11">
        <f>IF(GL_RAW!A328="","",IF(OR(ISNUMBER(SEARCH("Out",F328)),ISNUMBER(SEARCH("11025002",F328)),H328&lt;0),"OUT","IN"))</f>
        <v/>
      </c>
      <c r="K328" s="11" t="inlineStr"/>
    </row>
    <row r="329">
      <c r="A329" s="13">
        <f>IF(GL_RAW!A329="","",ROW()-1)</f>
        <v/>
      </c>
      <c r="B329" s="10">
        <f>IF(GL_RAW!A329="","",IF(ISNUMBER(GL_RAW!A329),GL_RAW!A329,DATEVALUE(TEXT(GL_RAW!A329,"YYYY-MM-DD"))))</f>
        <v/>
      </c>
      <c r="C329" s="11">
        <f>IF(GL_RAW!A329="","",TRIM(GL_RAW!B329))</f>
        <v/>
      </c>
      <c r="D329" s="11">
        <f>IF(GL_RAW!A329="","",TRIM(GL_RAW!C329))</f>
        <v/>
      </c>
      <c r="E329" s="11">
        <f>IF(GL_RAW!A329="","",TRIM(GL_RAW!D329))</f>
        <v/>
      </c>
      <c r="F329" s="11">
        <f>IF(GL_RAW!A329="","",TRIM(GL_RAW!F329))</f>
        <v/>
      </c>
      <c r="G329" s="11">
        <f>IF(GL_RAW!A329="","",TRIM(GL_RAW!G329))</f>
        <v/>
      </c>
      <c r="H329" s="12">
        <f>IF(GL_RAW!A329="","",IFERROR(GL_RAW!E329,0))</f>
        <v/>
      </c>
      <c r="I329" s="12">
        <f>IF(GL_RAW!A329="","",ABS(H329))</f>
        <v/>
      </c>
      <c r="J329" s="11">
        <f>IF(GL_RAW!A329="","",IF(OR(ISNUMBER(SEARCH("Out",F329)),ISNUMBER(SEARCH("11025002",F329)),H329&lt;0),"OUT","IN"))</f>
        <v/>
      </c>
      <c r="K329" s="11" t="inlineStr"/>
    </row>
    <row r="330">
      <c r="A330" s="13">
        <f>IF(GL_RAW!A330="","",ROW()-1)</f>
        <v/>
      </c>
      <c r="B330" s="10">
        <f>IF(GL_RAW!A330="","",IF(ISNUMBER(GL_RAW!A330),GL_RAW!A330,DATEVALUE(TEXT(GL_RAW!A330,"YYYY-MM-DD"))))</f>
        <v/>
      </c>
      <c r="C330" s="11">
        <f>IF(GL_RAW!A330="","",TRIM(GL_RAW!B330))</f>
        <v/>
      </c>
      <c r="D330" s="11">
        <f>IF(GL_RAW!A330="","",TRIM(GL_RAW!C330))</f>
        <v/>
      </c>
      <c r="E330" s="11">
        <f>IF(GL_RAW!A330="","",TRIM(GL_RAW!D330))</f>
        <v/>
      </c>
      <c r="F330" s="11">
        <f>IF(GL_RAW!A330="","",TRIM(GL_RAW!F330))</f>
        <v/>
      </c>
      <c r="G330" s="11">
        <f>IF(GL_RAW!A330="","",TRIM(GL_RAW!G330))</f>
        <v/>
      </c>
      <c r="H330" s="12">
        <f>IF(GL_RAW!A330="","",IFERROR(GL_RAW!E330,0))</f>
        <v/>
      </c>
      <c r="I330" s="12">
        <f>IF(GL_RAW!A330="","",ABS(H330))</f>
        <v/>
      </c>
      <c r="J330" s="11">
        <f>IF(GL_RAW!A330="","",IF(OR(ISNUMBER(SEARCH("Out",F330)),ISNUMBER(SEARCH("11025002",F330)),H330&lt;0),"OUT","IN"))</f>
        <v/>
      </c>
      <c r="K330" s="11" t="inlineStr"/>
    </row>
    <row r="331">
      <c r="A331" s="13">
        <f>IF(GL_RAW!A331="","",ROW()-1)</f>
        <v/>
      </c>
      <c r="B331" s="10">
        <f>IF(GL_RAW!A331="","",IF(ISNUMBER(GL_RAW!A331),GL_RAW!A331,DATEVALUE(TEXT(GL_RAW!A331,"YYYY-MM-DD"))))</f>
        <v/>
      </c>
      <c r="C331" s="11">
        <f>IF(GL_RAW!A331="","",TRIM(GL_RAW!B331))</f>
        <v/>
      </c>
      <c r="D331" s="11">
        <f>IF(GL_RAW!A331="","",TRIM(GL_RAW!C331))</f>
        <v/>
      </c>
      <c r="E331" s="11">
        <f>IF(GL_RAW!A331="","",TRIM(GL_RAW!D331))</f>
        <v/>
      </c>
      <c r="F331" s="11">
        <f>IF(GL_RAW!A331="","",TRIM(GL_RAW!F331))</f>
        <v/>
      </c>
      <c r="G331" s="11">
        <f>IF(GL_RAW!A331="","",TRIM(GL_RAW!G331))</f>
        <v/>
      </c>
      <c r="H331" s="12">
        <f>IF(GL_RAW!A331="","",IFERROR(GL_RAW!E331,0))</f>
        <v/>
      </c>
      <c r="I331" s="12">
        <f>IF(GL_RAW!A331="","",ABS(H331))</f>
        <v/>
      </c>
      <c r="J331" s="11">
        <f>IF(GL_RAW!A331="","",IF(OR(ISNUMBER(SEARCH("Out",F331)),ISNUMBER(SEARCH("11025002",F331)),H331&lt;0),"OUT","IN"))</f>
        <v/>
      </c>
      <c r="K331" s="11" t="inlineStr"/>
    </row>
    <row r="332">
      <c r="A332" s="13">
        <f>IF(GL_RAW!A332="","",ROW()-1)</f>
        <v/>
      </c>
      <c r="B332" s="10">
        <f>IF(GL_RAW!A332="","",IF(ISNUMBER(GL_RAW!A332),GL_RAW!A332,DATEVALUE(TEXT(GL_RAW!A332,"YYYY-MM-DD"))))</f>
        <v/>
      </c>
      <c r="C332" s="11">
        <f>IF(GL_RAW!A332="","",TRIM(GL_RAW!B332))</f>
        <v/>
      </c>
      <c r="D332" s="11">
        <f>IF(GL_RAW!A332="","",TRIM(GL_RAW!C332))</f>
        <v/>
      </c>
      <c r="E332" s="11">
        <f>IF(GL_RAW!A332="","",TRIM(GL_RAW!D332))</f>
        <v/>
      </c>
      <c r="F332" s="11">
        <f>IF(GL_RAW!A332="","",TRIM(GL_RAW!F332))</f>
        <v/>
      </c>
      <c r="G332" s="11">
        <f>IF(GL_RAW!A332="","",TRIM(GL_RAW!G332))</f>
        <v/>
      </c>
      <c r="H332" s="12">
        <f>IF(GL_RAW!A332="","",IFERROR(GL_RAW!E332,0))</f>
        <v/>
      </c>
      <c r="I332" s="12">
        <f>IF(GL_RAW!A332="","",ABS(H332))</f>
        <v/>
      </c>
      <c r="J332" s="11">
        <f>IF(GL_RAW!A332="","",IF(OR(ISNUMBER(SEARCH("Out",F332)),ISNUMBER(SEARCH("11025002",F332)),H332&lt;0),"OUT","IN"))</f>
        <v/>
      </c>
      <c r="K332" s="11" t="inlineStr"/>
    </row>
    <row r="333">
      <c r="A333" s="13">
        <f>IF(GL_RAW!A333="","",ROW()-1)</f>
        <v/>
      </c>
      <c r="B333" s="10">
        <f>IF(GL_RAW!A333="","",IF(ISNUMBER(GL_RAW!A333),GL_RAW!A333,DATEVALUE(TEXT(GL_RAW!A333,"YYYY-MM-DD"))))</f>
        <v/>
      </c>
      <c r="C333" s="11">
        <f>IF(GL_RAW!A333="","",TRIM(GL_RAW!B333))</f>
        <v/>
      </c>
      <c r="D333" s="11">
        <f>IF(GL_RAW!A333="","",TRIM(GL_RAW!C333))</f>
        <v/>
      </c>
      <c r="E333" s="11">
        <f>IF(GL_RAW!A333="","",TRIM(GL_RAW!D333))</f>
        <v/>
      </c>
      <c r="F333" s="11">
        <f>IF(GL_RAW!A333="","",TRIM(GL_RAW!F333))</f>
        <v/>
      </c>
      <c r="G333" s="11">
        <f>IF(GL_RAW!A333="","",TRIM(GL_RAW!G333))</f>
        <v/>
      </c>
      <c r="H333" s="12">
        <f>IF(GL_RAW!A333="","",IFERROR(GL_RAW!E333,0))</f>
        <v/>
      </c>
      <c r="I333" s="12">
        <f>IF(GL_RAW!A333="","",ABS(H333))</f>
        <v/>
      </c>
      <c r="J333" s="11">
        <f>IF(GL_RAW!A333="","",IF(OR(ISNUMBER(SEARCH("Out",F333)),ISNUMBER(SEARCH("11025002",F333)),H333&lt;0),"OUT","IN"))</f>
        <v/>
      </c>
      <c r="K333" s="11" t="inlineStr"/>
    </row>
    <row r="334">
      <c r="A334" s="13">
        <f>IF(GL_RAW!A334="","",ROW()-1)</f>
        <v/>
      </c>
      <c r="B334" s="10">
        <f>IF(GL_RAW!A334="","",IF(ISNUMBER(GL_RAW!A334),GL_RAW!A334,DATEVALUE(TEXT(GL_RAW!A334,"YYYY-MM-DD"))))</f>
        <v/>
      </c>
      <c r="C334" s="11">
        <f>IF(GL_RAW!A334="","",TRIM(GL_RAW!B334))</f>
        <v/>
      </c>
      <c r="D334" s="11">
        <f>IF(GL_RAW!A334="","",TRIM(GL_RAW!C334))</f>
        <v/>
      </c>
      <c r="E334" s="11">
        <f>IF(GL_RAW!A334="","",TRIM(GL_RAW!D334))</f>
        <v/>
      </c>
      <c r="F334" s="11">
        <f>IF(GL_RAW!A334="","",TRIM(GL_RAW!F334))</f>
        <v/>
      </c>
      <c r="G334" s="11">
        <f>IF(GL_RAW!A334="","",TRIM(GL_RAW!G334))</f>
        <v/>
      </c>
      <c r="H334" s="12">
        <f>IF(GL_RAW!A334="","",IFERROR(GL_RAW!E334,0))</f>
        <v/>
      </c>
      <c r="I334" s="12">
        <f>IF(GL_RAW!A334="","",ABS(H334))</f>
        <v/>
      </c>
      <c r="J334" s="11">
        <f>IF(GL_RAW!A334="","",IF(OR(ISNUMBER(SEARCH("Out",F334)),ISNUMBER(SEARCH("11025002",F334)),H334&lt;0),"OUT","IN"))</f>
        <v/>
      </c>
      <c r="K334" s="11" t="inlineStr"/>
    </row>
    <row r="335">
      <c r="A335" s="13">
        <f>IF(GL_RAW!A335="","",ROW()-1)</f>
        <v/>
      </c>
      <c r="B335" s="10">
        <f>IF(GL_RAW!A335="","",IF(ISNUMBER(GL_RAW!A335),GL_RAW!A335,DATEVALUE(TEXT(GL_RAW!A335,"YYYY-MM-DD"))))</f>
        <v/>
      </c>
      <c r="C335" s="11">
        <f>IF(GL_RAW!A335="","",TRIM(GL_RAW!B335))</f>
        <v/>
      </c>
      <c r="D335" s="11">
        <f>IF(GL_RAW!A335="","",TRIM(GL_RAW!C335))</f>
        <v/>
      </c>
      <c r="E335" s="11">
        <f>IF(GL_RAW!A335="","",TRIM(GL_RAW!D335))</f>
        <v/>
      </c>
      <c r="F335" s="11">
        <f>IF(GL_RAW!A335="","",TRIM(GL_RAW!F335))</f>
        <v/>
      </c>
      <c r="G335" s="11">
        <f>IF(GL_RAW!A335="","",TRIM(GL_RAW!G335))</f>
        <v/>
      </c>
      <c r="H335" s="12">
        <f>IF(GL_RAW!A335="","",IFERROR(GL_RAW!E335,0))</f>
        <v/>
      </c>
      <c r="I335" s="12">
        <f>IF(GL_RAW!A335="","",ABS(H335))</f>
        <v/>
      </c>
      <c r="J335" s="11">
        <f>IF(GL_RAW!A335="","",IF(OR(ISNUMBER(SEARCH("Out",F335)),ISNUMBER(SEARCH("11025002",F335)),H335&lt;0),"OUT","IN"))</f>
        <v/>
      </c>
      <c r="K335" s="11" t="inlineStr"/>
    </row>
    <row r="336">
      <c r="A336" s="13">
        <f>IF(GL_RAW!A336="","",ROW()-1)</f>
        <v/>
      </c>
      <c r="B336" s="10">
        <f>IF(GL_RAW!A336="","",IF(ISNUMBER(GL_RAW!A336),GL_RAW!A336,DATEVALUE(TEXT(GL_RAW!A336,"YYYY-MM-DD"))))</f>
        <v/>
      </c>
      <c r="C336" s="11">
        <f>IF(GL_RAW!A336="","",TRIM(GL_RAW!B336))</f>
        <v/>
      </c>
      <c r="D336" s="11">
        <f>IF(GL_RAW!A336="","",TRIM(GL_RAW!C336))</f>
        <v/>
      </c>
      <c r="E336" s="11">
        <f>IF(GL_RAW!A336="","",TRIM(GL_RAW!D336))</f>
        <v/>
      </c>
      <c r="F336" s="11">
        <f>IF(GL_RAW!A336="","",TRIM(GL_RAW!F336))</f>
        <v/>
      </c>
      <c r="G336" s="11">
        <f>IF(GL_RAW!A336="","",TRIM(GL_RAW!G336))</f>
        <v/>
      </c>
      <c r="H336" s="12">
        <f>IF(GL_RAW!A336="","",IFERROR(GL_RAW!E336,0))</f>
        <v/>
      </c>
      <c r="I336" s="12">
        <f>IF(GL_RAW!A336="","",ABS(H336))</f>
        <v/>
      </c>
      <c r="J336" s="11">
        <f>IF(GL_RAW!A336="","",IF(OR(ISNUMBER(SEARCH("Out",F336)),ISNUMBER(SEARCH("11025002",F336)),H336&lt;0),"OUT","IN"))</f>
        <v/>
      </c>
      <c r="K336" s="11" t="inlineStr"/>
    </row>
    <row r="337">
      <c r="A337" s="13">
        <f>IF(GL_RAW!A337="","",ROW()-1)</f>
        <v/>
      </c>
      <c r="B337" s="10">
        <f>IF(GL_RAW!A337="","",IF(ISNUMBER(GL_RAW!A337),GL_RAW!A337,DATEVALUE(TEXT(GL_RAW!A337,"YYYY-MM-DD"))))</f>
        <v/>
      </c>
      <c r="C337" s="11">
        <f>IF(GL_RAW!A337="","",TRIM(GL_RAW!B337))</f>
        <v/>
      </c>
      <c r="D337" s="11">
        <f>IF(GL_RAW!A337="","",TRIM(GL_RAW!C337))</f>
        <v/>
      </c>
      <c r="E337" s="11">
        <f>IF(GL_RAW!A337="","",TRIM(GL_RAW!D337))</f>
        <v/>
      </c>
      <c r="F337" s="11">
        <f>IF(GL_RAW!A337="","",TRIM(GL_RAW!F337))</f>
        <v/>
      </c>
      <c r="G337" s="11">
        <f>IF(GL_RAW!A337="","",TRIM(GL_RAW!G337))</f>
        <v/>
      </c>
      <c r="H337" s="12">
        <f>IF(GL_RAW!A337="","",IFERROR(GL_RAW!E337,0))</f>
        <v/>
      </c>
      <c r="I337" s="12">
        <f>IF(GL_RAW!A337="","",ABS(H337))</f>
        <v/>
      </c>
      <c r="J337" s="11">
        <f>IF(GL_RAW!A337="","",IF(OR(ISNUMBER(SEARCH("Out",F337)),ISNUMBER(SEARCH("11025002",F337)),H337&lt;0),"OUT","IN"))</f>
        <v/>
      </c>
      <c r="K337" s="11" t="inlineStr"/>
    </row>
    <row r="338">
      <c r="A338" s="13">
        <f>IF(GL_RAW!A338="","",ROW()-1)</f>
        <v/>
      </c>
      <c r="B338" s="10">
        <f>IF(GL_RAW!A338="","",IF(ISNUMBER(GL_RAW!A338),GL_RAW!A338,DATEVALUE(TEXT(GL_RAW!A338,"YYYY-MM-DD"))))</f>
        <v/>
      </c>
      <c r="C338" s="11">
        <f>IF(GL_RAW!A338="","",TRIM(GL_RAW!B338))</f>
        <v/>
      </c>
      <c r="D338" s="11">
        <f>IF(GL_RAW!A338="","",TRIM(GL_RAW!C338))</f>
        <v/>
      </c>
      <c r="E338" s="11">
        <f>IF(GL_RAW!A338="","",TRIM(GL_RAW!D338))</f>
        <v/>
      </c>
      <c r="F338" s="11">
        <f>IF(GL_RAW!A338="","",TRIM(GL_RAW!F338))</f>
        <v/>
      </c>
      <c r="G338" s="11">
        <f>IF(GL_RAW!A338="","",TRIM(GL_RAW!G338))</f>
        <v/>
      </c>
      <c r="H338" s="12">
        <f>IF(GL_RAW!A338="","",IFERROR(GL_RAW!E338,0))</f>
        <v/>
      </c>
      <c r="I338" s="12">
        <f>IF(GL_RAW!A338="","",ABS(H338))</f>
        <v/>
      </c>
      <c r="J338" s="11">
        <f>IF(GL_RAW!A338="","",IF(OR(ISNUMBER(SEARCH("Out",F338)),ISNUMBER(SEARCH("11025002",F338)),H338&lt;0),"OUT","IN"))</f>
        <v/>
      </c>
      <c r="K338" s="11" t="inlineStr"/>
    </row>
    <row r="339">
      <c r="A339" s="13">
        <f>IF(GL_RAW!A339="","",ROW()-1)</f>
        <v/>
      </c>
      <c r="B339" s="10">
        <f>IF(GL_RAW!A339="","",IF(ISNUMBER(GL_RAW!A339),GL_RAW!A339,DATEVALUE(TEXT(GL_RAW!A339,"YYYY-MM-DD"))))</f>
        <v/>
      </c>
      <c r="C339" s="11">
        <f>IF(GL_RAW!A339="","",TRIM(GL_RAW!B339))</f>
        <v/>
      </c>
      <c r="D339" s="11">
        <f>IF(GL_RAW!A339="","",TRIM(GL_RAW!C339))</f>
        <v/>
      </c>
      <c r="E339" s="11">
        <f>IF(GL_RAW!A339="","",TRIM(GL_RAW!D339))</f>
        <v/>
      </c>
      <c r="F339" s="11">
        <f>IF(GL_RAW!A339="","",TRIM(GL_RAW!F339))</f>
        <v/>
      </c>
      <c r="G339" s="11">
        <f>IF(GL_RAW!A339="","",TRIM(GL_RAW!G339))</f>
        <v/>
      </c>
      <c r="H339" s="12">
        <f>IF(GL_RAW!A339="","",IFERROR(GL_RAW!E339,0))</f>
        <v/>
      </c>
      <c r="I339" s="12">
        <f>IF(GL_RAW!A339="","",ABS(H339))</f>
        <v/>
      </c>
      <c r="J339" s="11">
        <f>IF(GL_RAW!A339="","",IF(OR(ISNUMBER(SEARCH("Out",F339)),ISNUMBER(SEARCH("11025002",F339)),H339&lt;0),"OUT","IN"))</f>
        <v/>
      </c>
      <c r="K339" s="11" t="inlineStr"/>
    </row>
    <row r="340">
      <c r="A340" s="13">
        <f>IF(GL_RAW!A340="","",ROW()-1)</f>
        <v/>
      </c>
      <c r="B340" s="10">
        <f>IF(GL_RAW!A340="","",IF(ISNUMBER(GL_RAW!A340),GL_RAW!A340,DATEVALUE(TEXT(GL_RAW!A340,"YYYY-MM-DD"))))</f>
        <v/>
      </c>
      <c r="C340" s="11">
        <f>IF(GL_RAW!A340="","",TRIM(GL_RAW!B340))</f>
        <v/>
      </c>
      <c r="D340" s="11">
        <f>IF(GL_RAW!A340="","",TRIM(GL_RAW!C340))</f>
        <v/>
      </c>
      <c r="E340" s="11">
        <f>IF(GL_RAW!A340="","",TRIM(GL_RAW!D340))</f>
        <v/>
      </c>
      <c r="F340" s="11">
        <f>IF(GL_RAW!A340="","",TRIM(GL_RAW!F340))</f>
        <v/>
      </c>
      <c r="G340" s="11">
        <f>IF(GL_RAW!A340="","",TRIM(GL_RAW!G340))</f>
        <v/>
      </c>
      <c r="H340" s="12">
        <f>IF(GL_RAW!A340="","",IFERROR(GL_RAW!E340,0))</f>
        <v/>
      </c>
      <c r="I340" s="12">
        <f>IF(GL_RAW!A340="","",ABS(H340))</f>
        <v/>
      </c>
      <c r="J340" s="11">
        <f>IF(GL_RAW!A340="","",IF(OR(ISNUMBER(SEARCH("Out",F340)),ISNUMBER(SEARCH("11025002",F340)),H340&lt;0),"OUT","IN"))</f>
        <v/>
      </c>
      <c r="K340" s="11" t="inlineStr"/>
    </row>
    <row r="341">
      <c r="A341" s="13">
        <f>IF(GL_RAW!A341="","",ROW()-1)</f>
        <v/>
      </c>
      <c r="B341" s="10">
        <f>IF(GL_RAW!A341="","",IF(ISNUMBER(GL_RAW!A341),GL_RAW!A341,DATEVALUE(TEXT(GL_RAW!A341,"YYYY-MM-DD"))))</f>
        <v/>
      </c>
      <c r="C341" s="11">
        <f>IF(GL_RAW!A341="","",TRIM(GL_RAW!B341))</f>
        <v/>
      </c>
      <c r="D341" s="11">
        <f>IF(GL_RAW!A341="","",TRIM(GL_RAW!C341))</f>
        <v/>
      </c>
      <c r="E341" s="11">
        <f>IF(GL_RAW!A341="","",TRIM(GL_RAW!D341))</f>
        <v/>
      </c>
      <c r="F341" s="11">
        <f>IF(GL_RAW!A341="","",TRIM(GL_RAW!F341))</f>
        <v/>
      </c>
      <c r="G341" s="11">
        <f>IF(GL_RAW!A341="","",TRIM(GL_RAW!G341))</f>
        <v/>
      </c>
      <c r="H341" s="12">
        <f>IF(GL_RAW!A341="","",IFERROR(GL_RAW!E341,0))</f>
        <v/>
      </c>
      <c r="I341" s="12">
        <f>IF(GL_RAW!A341="","",ABS(H341))</f>
        <v/>
      </c>
      <c r="J341" s="11">
        <f>IF(GL_RAW!A341="","",IF(OR(ISNUMBER(SEARCH("Out",F341)),ISNUMBER(SEARCH("11025002",F341)),H341&lt;0),"OUT","IN"))</f>
        <v/>
      </c>
      <c r="K341" s="11" t="inlineStr"/>
    </row>
    <row r="342">
      <c r="A342" s="13">
        <f>IF(GL_RAW!A342="","",ROW()-1)</f>
        <v/>
      </c>
      <c r="B342" s="10">
        <f>IF(GL_RAW!A342="","",IF(ISNUMBER(GL_RAW!A342),GL_RAW!A342,DATEVALUE(TEXT(GL_RAW!A342,"YYYY-MM-DD"))))</f>
        <v/>
      </c>
      <c r="C342" s="11">
        <f>IF(GL_RAW!A342="","",TRIM(GL_RAW!B342))</f>
        <v/>
      </c>
      <c r="D342" s="11">
        <f>IF(GL_RAW!A342="","",TRIM(GL_RAW!C342))</f>
        <v/>
      </c>
      <c r="E342" s="11">
        <f>IF(GL_RAW!A342="","",TRIM(GL_RAW!D342))</f>
        <v/>
      </c>
      <c r="F342" s="11">
        <f>IF(GL_RAW!A342="","",TRIM(GL_RAW!F342))</f>
        <v/>
      </c>
      <c r="G342" s="11">
        <f>IF(GL_RAW!A342="","",TRIM(GL_RAW!G342))</f>
        <v/>
      </c>
      <c r="H342" s="12">
        <f>IF(GL_RAW!A342="","",IFERROR(GL_RAW!E342,0))</f>
        <v/>
      </c>
      <c r="I342" s="12">
        <f>IF(GL_RAW!A342="","",ABS(H342))</f>
        <v/>
      </c>
      <c r="J342" s="11">
        <f>IF(GL_RAW!A342="","",IF(OR(ISNUMBER(SEARCH("Out",F342)),ISNUMBER(SEARCH("11025002",F342)),H342&lt;0),"OUT","IN"))</f>
        <v/>
      </c>
      <c r="K342" s="11" t="inlineStr"/>
    </row>
    <row r="343">
      <c r="A343" s="13">
        <f>IF(GL_RAW!A343="","",ROW()-1)</f>
        <v/>
      </c>
      <c r="B343" s="10">
        <f>IF(GL_RAW!A343="","",IF(ISNUMBER(GL_RAW!A343),GL_RAW!A343,DATEVALUE(TEXT(GL_RAW!A343,"YYYY-MM-DD"))))</f>
        <v/>
      </c>
      <c r="C343" s="11">
        <f>IF(GL_RAW!A343="","",TRIM(GL_RAW!B343))</f>
        <v/>
      </c>
      <c r="D343" s="11">
        <f>IF(GL_RAW!A343="","",TRIM(GL_RAW!C343))</f>
        <v/>
      </c>
      <c r="E343" s="11">
        <f>IF(GL_RAW!A343="","",TRIM(GL_RAW!D343))</f>
        <v/>
      </c>
      <c r="F343" s="11">
        <f>IF(GL_RAW!A343="","",TRIM(GL_RAW!F343))</f>
        <v/>
      </c>
      <c r="G343" s="11">
        <f>IF(GL_RAW!A343="","",TRIM(GL_RAW!G343))</f>
        <v/>
      </c>
      <c r="H343" s="12">
        <f>IF(GL_RAW!A343="","",IFERROR(GL_RAW!E343,0))</f>
        <v/>
      </c>
      <c r="I343" s="12">
        <f>IF(GL_RAW!A343="","",ABS(H343))</f>
        <v/>
      </c>
      <c r="J343" s="11">
        <f>IF(GL_RAW!A343="","",IF(OR(ISNUMBER(SEARCH("Out",F343)),ISNUMBER(SEARCH("11025002",F343)),H343&lt;0),"OUT","IN"))</f>
        <v/>
      </c>
      <c r="K343" s="11" t="inlineStr"/>
    </row>
    <row r="344">
      <c r="A344" s="13">
        <f>IF(GL_RAW!A344="","",ROW()-1)</f>
        <v/>
      </c>
      <c r="B344" s="10">
        <f>IF(GL_RAW!A344="","",IF(ISNUMBER(GL_RAW!A344),GL_RAW!A344,DATEVALUE(TEXT(GL_RAW!A344,"YYYY-MM-DD"))))</f>
        <v/>
      </c>
      <c r="C344" s="11">
        <f>IF(GL_RAW!A344="","",TRIM(GL_RAW!B344))</f>
        <v/>
      </c>
      <c r="D344" s="11">
        <f>IF(GL_RAW!A344="","",TRIM(GL_RAW!C344))</f>
        <v/>
      </c>
      <c r="E344" s="11">
        <f>IF(GL_RAW!A344="","",TRIM(GL_RAW!D344))</f>
        <v/>
      </c>
      <c r="F344" s="11">
        <f>IF(GL_RAW!A344="","",TRIM(GL_RAW!F344))</f>
        <v/>
      </c>
      <c r="G344" s="11">
        <f>IF(GL_RAW!A344="","",TRIM(GL_RAW!G344))</f>
        <v/>
      </c>
      <c r="H344" s="12">
        <f>IF(GL_RAW!A344="","",IFERROR(GL_RAW!E344,0))</f>
        <v/>
      </c>
      <c r="I344" s="12">
        <f>IF(GL_RAW!A344="","",ABS(H344))</f>
        <v/>
      </c>
      <c r="J344" s="11">
        <f>IF(GL_RAW!A344="","",IF(OR(ISNUMBER(SEARCH("Out",F344)),ISNUMBER(SEARCH("11025002",F344)),H344&lt;0),"OUT","IN"))</f>
        <v/>
      </c>
      <c r="K344" s="11" t="inlineStr"/>
    </row>
    <row r="345">
      <c r="A345" s="13">
        <f>IF(GL_RAW!A345="","",ROW()-1)</f>
        <v/>
      </c>
      <c r="B345" s="10">
        <f>IF(GL_RAW!A345="","",IF(ISNUMBER(GL_RAW!A345),GL_RAW!A345,DATEVALUE(TEXT(GL_RAW!A345,"YYYY-MM-DD"))))</f>
        <v/>
      </c>
      <c r="C345" s="11">
        <f>IF(GL_RAW!A345="","",TRIM(GL_RAW!B345))</f>
        <v/>
      </c>
      <c r="D345" s="11">
        <f>IF(GL_RAW!A345="","",TRIM(GL_RAW!C345))</f>
        <v/>
      </c>
      <c r="E345" s="11">
        <f>IF(GL_RAW!A345="","",TRIM(GL_RAW!D345))</f>
        <v/>
      </c>
      <c r="F345" s="11">
        <f>IF(GL_RAW!A345="","",TRIM(GL_RAW!F345))</f>
        <v/>
      </c>
      <c r="G345" s="11">
        <f>IF(GL_RAW!A345="","",TRIM(GL_RAW!G345))</f>
        <v/>
      </c>
      <c r="H345" s="12">
        <f>IF(GL_RAW!A345="","",IFERROR(GL_RAW!E345,0))</f>
        <v/>
      </c>
      <c r="I345" s="12">
        <f>IF(GL_RAW!A345="","",ABS(H345))</f>
        <v/>
      </c>
      <c r="J345" s="11">
        <f>IF(GL_RAW!A345="","",IF(OR(ISNUMBER(SEARCH("Out",F345)),ISNUMBER(SEARCH("11025002",F345)),H345&lt;0),"OUT","IN"))</f>
        <v/>
      </c>
      <c r="K345" s="11" t="inlineStr"/>
    </row>
    <row r="346">
      <c r="A346" s="13">
        <f>IF(GL_RAW!A346="","",ROW()-1)</f>
        <v/>
      </c>
      <c r="B346" s="10">
        <f>IF(GL_RAW!A346="","",IF(ISNUMBER(GL_RAW!A346),GL_RAW!A346,DATEVALUE(TEXT(GL_RAW!A346,"YYYY-MM-DD"))))</f>
        <v/>
      </c>
      <c r="C346" s="11">
        <f>IF(GL_RAW!A346="","",TRIM(GL_RAW!B346))</f>
        <v/>
      </c>
      <c r="D346" s="11">
        <f>IF(GL_RAW!A346="","",TRIM(GL_RAW!C346))</f>
        <v/>
      </c>
      <c r="E346" s="11">
        <f>IF(GL_RAW!A346="","",TRIM(GL_RAW!D346))</f>
        <v/>
      </c>
      <c r="F346" s="11">
        <f>IF(GL_RAW!A346="","",TRIM(GL_RAW!F346))</f>
        <v/>
      </c>
      <c r="G346" s="11">
        <f>IF(GL_RAW!A346="","",TRIM(GL_RAW!G346))</f>
        <v/>
      </c>
      <c r="H346" s="12">
        <f>IF(GL_RAW!A346="","",IFERROR(GL_RAW!E346,0))</f>
        <v/>
      </c>
      <c r="I346" s="12">
        <f>IF(GL_RAW!A346="","",ABS(H346))</f>
        <v/>
      </c>
      <c r="J346" s="11">
        <f>IF(GL_RAW!A346="","",IF(OR(ISNUMBER(SEARCH("Out",F346)),ISNUMBER(SEARCH("11025002",F346)),H346&lt;0),"OUT","IN"))</f>
        <v/>
      </c>
      <c r="K346" s="11" t="inlineStr"/>
    </row>
    <row r="347">
      <c r="A347" s="13">
        <f>IF(GL_RAW!A347="","",ROW()-1)</f>
        <v/>
      </c>
      <c r="B347" s="10">
        <f>IF(GL_RAW!A347="","",IF(ISNUMBER(GL_RAW!A347),GL_RAW!A347,DATEVALUE(TEXT(GL_RAW!A347,"YYYY-MM-DD"))))</f>
        <v/>
      </c>
      <c r="C347" s="11">
        <f>IF(GL_RAW!A347="","",TRIM(GL_RAW!B347))</f>
        <v/>
      </c>
      <c r="D347" s="11">
        <f>IF(GL_RAW!A347="","",TRIM(GL_RAW!C347))</f>
        <v/>
      </c>
      <c r="E347" s="11">
        <f>IF(GL_RAW!A347="","",TRIM(GL_RAW!D347))</f>
        <v/>
      </c>
      <c r="F347" s="11">
        <f>IF(GL_RAW!A347="","",TRIM(GL_RAW!F347))</f>
        <v/>
      </c>
      <c r="G347" s="11">
        <f>IF(GL_RAW!A347="","",TRIM(GL_RAW!G347))</f>
        <v/>
      </c>
      <c r="H347" s="12">
        <f>IF(GL_RAW!A347="","",IFERROR(GL_RAW!E347,0))</f>
        <v/>
      </c>
      <c r="I347" s="12">
        <f>IF(GL_RAW!A347="","",ABS(H347))</f>
        <v/>
      </c>
      <c r="J347" s="11">
        <f>IF(GL_RAW!A347="","",IF(OR(ISNUMBER(SEARCH("Out",F347)),ISNUMBER(SEARCH("11025002",F347)),H347&lt;0),"OUT","IN"))</f>
        <v/>
      </c>
      <c r="K347" s="11" t="inlineStr"/>
    </row>
    <row r="348">
      <c r="A348" s="13">
        <f>IF(GL_RAW!A348="","",ROW()-1)</f>
        <v/>
      </c>
      <c r="B348" s="10">
        <f>IF(GL_RAW!A348="","",IF(ISNUMBER(GL_RAW!A348),GL_RAW!A348,DATEVALUE(TEXT(GL_RAW!A348,"YYYY-MM-DD"))))</f>
        <v/>
      </c>
      <c r="C348" s="11">
        <f>IF(GL_RAW!A348="","",TRIM(GL_RAW!B348))</f>
        <v/>
      </c>
      <c r="D348" s="11">
        <f>IF(GL_RAW!A348="","",TRIM(GL_RAW!C348))</f>
        <v/>
      </c>
      <c r="E348" s="11">
        <f>IF(GL_RAW!A348="","",TRIM(GL_RAW!D348))</f>
        <v/>
      </c>
      <c r="F348" s="11">
        <f>IF(GL_RAW!A348="","",TRIM(GL_RAW!F348))</f>
        <v/>
      </c>
      <c r="G348" s="11">
        <f>IF(GL_RAW!A348="","",TRIM(GL_RAW!G348))</f>
        <v/>
      </c>
      <c r="H348" s="12">
        <f>IF(GL_RAW!A348="","",IFERROR(GL_RAW!E348,0))</f>
        <v/>
      </c>
      <c r="I348" s="12">
        <f>IF(GL_RAW!A348="","",ABS(H348))</f>
        <v/>
      </c>
      <c r="J348" s="11">
        <f>IF(GL_RAW!A348="","",IF(OR(ISNUMBER(SEARCH("Out",F348)),ISNUMBER(SEARCH("11025002",F348)),H348&lt;0),"OUT","IN"))</f>
        <v/>
      </c>
      <c r="K348" s="11" t="inlineStr"/>
    </row>
    <row r="349">
      <c r="A349" s="13">
        <f>IF(GL_RAW!A349="","",ROW()-1)</f>
        <v/>
      </c>
      <c r="B349" s="10">
        <f>IF(GL_RAW!A349="","",IF(ISNUMBER(GL_RAW!A349),GL_RAW!A349,DATEVALUE(TEXT(GL_RAW!A349,"YYYY-MM-DD"))))</f>
        <v/>
      </c>
      <c r="C349" s="11">
        <f>IF(GL_RAW!A349="","",TRIM(GL_RAW!B349))</f>
        <v/>
      </c>
      <c r="D349" s="11">
        <f>IF(GL_RAW!A349="","",TRIM(GL_RAW!C349))</f>
        <v/>
      </c>
      <c r="E349" s="11">
        <f>IF(GL_RAW!A349="","",TRIM(GL_RAW!D349))</f>
        <v/>
      </c>
      <c r="F349" s="11">
        <f>IF(GL_RAW!A349="","",TRIM(GL_RAW!F349))</f>
        <v/>
      </c>
      <c r="G349" s="11">
        <f>IF(GL_RAW!A349="","",TRIM(GL_RAW!G349))</f>
        <v/>
      </c>
      <c r="H349" s="12">
        <f>IF(GL_RAW!A349="","",IFERROR(GL_RAW!E349,0))</f>
        <v/>
      </c>
      <c r="I349" s="12">
        <f>IF(GL_RAW!A349="","",ABS(H349))</f>
        <v/>
      </c>
      <c r="J349" s="11">
        <f>IF(GL_RAW!A349="","",IF(OR(ISNUMBER(SEARCH("Out",F349)),ISNUMBER(SEARCH("11025002",F349)),H349&lt;0),"OUT","IN"))</f>
        <v/>
      </c>
      <c r="K349" s="11" t="inlineStr"/>
    </row>
    <row r="350">
      <c r="A350" s="13">
        <f>IF(GL_RAW!A350="","",ROW()-1)</f>
        <v/>
      </c>
      <c r="B350" s="10">
        <f>IF(GL_RAW!A350="","",IF(ISNUMBER(GL_RAW!A350),GL_RAW!A350,DATEVALUE(TEXT(GL_RAW!A350,"YYYY-MM-DD"))))</f>
        <v/>
      </c>
      <c r="C350" s="11">
        <f>IF(GL_RAW!A350="","",TRIM(GL_RAW!B350))</f>
        <v/>
      </c>
      <c r="D350" s="11">
        <f>IF(GL_RAW!A350="","",TRIM(GL_RAW!C350))</f>
        <v/>
      </c>
      <c r="E350" s="11">
        <f>IF(GL_RAW!A350="","",TRIM(GL_RAW!D350))</f>
        <v/>
      </c>
      <c r="F350" s="11">
        <f>IF(GL_RAW!A350="","",TRIM(GL_RAW!F350))</f>
        <v/>
      </c>
      <c r="G350" s="11">
        <f>IF(GL_RAW!A350="","",TRIM(GL_RAW!G350))</f>
        <v/>
      </c>
      <c r="H350" s="12">
        <f>IF(GL_RAW!A350="","",IFERROR(GL_RAW!E350,0))</f>
        <v/>
      </c>
      <c r="I350" s="12">
        <f>IF(GL_RAW!A350="","",ABS(H350))</f>
        <v/>
      </c>
      <c r="J350" s="11">
        <f>IF(GL_RAW!A350="","",IF(OR(ISNUMBER(SEARCH("Out",F350)),ISNUMBER(SEARCH("11025002",F350)),H350&lt;0),"OUT","IN"))</f>
        <v/>
      </c>
      <c r="K350" s="11" t="inlineStr"/>
    </row>
    <row r="351">
      <c r="A351" s="13">
        <f>IF(GL_RAW!A351="","",ROW()-1)</f>
        <v/>
      </c>
      <c r="B351" s="10">
        <f>IF(GL_RAW!A351="","",IF(ISNUMBER(GL_RAW!A351),GL_RAW!A351,DATEVALUE(TEXT(GL_RAW!A351,"YYYY-MM-DD"))))</f>
        <v/>
      </c>
      <c r="C351" s="11">
        <f>IF(GL_RAW!A351="","",TRIM(GL_RAW!B351))</f>
        <v/>
      </c>
      <c r="D351" s="11">
        <f>IF(GL_RAW!A351="","",TRIM(GL_RAW!C351))</f>
        <v/>
      </c>
      <c r="E351" s="11">
        <f>IF(GL_RAW!A351="","",TRIM(GL_RAW!D351))</f>
        <v/>
      </c>
      <c r="F351" s="11">
        <f>IF(GL_RAW!A351="","",TRIM(GL_RAW!F351))</f>
        <v/>
      </c>
      <c r="G351" s="11">
        <f>IF(GL_RAW!A351="","",TRIM(GL_RAW!G351))</f>
        <v/>
      </c>
      <c r="H351" s="12">
        <f>IF(GL_RAW!A351="","",IFERROR(GL_RAW!E351,0))</f>
        <v/>
      </c>
      <c r="I351" s="12">
        <f>IF(GL_RAW!A351="","",ABS(H351))</f>
        <v/>
      </c>
      <c r="J351" s="11">
        <f>IF(GL_RAW!A351="","",IF(OR(ISNUMBER(SEARCH("Out",F351)),ISNUMBER(SEARCH("11025002",F351)),H351&lt;0),"OUT","IN"))</f>
        <v/>
      </c>
      <c r="K351" s="11" t="inlineStr"/>
    </row>
    <row r="352">
      <c r="A352" s="13">
        <f>IF(GL_RAW!A352="","",ROW()-1)</f>
        <v/>
      </c>
      <c r="B352" s="10">
        <f>IF(GL_RAW!A352="","",IF(ISNUMBER(GL_RAW!A352),GL_RAW!A352,DATEVALUE(TEXT(GL_RAW!A352,"YYYY-MM-DD"))))</f>
        <v/>
      </c>
      <c r="C352" s="11">
        <f>IF(GL_RAW!A352="","",TRIM(GL_RAW!B352))</f>
        <v/>
      </c>
      <c r="D352" s="11">
        <f>IF(GL_RAW!A352="","",TRIM(GL_RAW!C352))</f>
        <v/>
      </c>
      <c r="E352" s="11">
        <f>IF(GL_RAW!A352="","",TRIM(GL_RAW!D352))</f>
        <v/>
      </c>
      <c r="F352" s="11">
        <f>IF(GL_RAW!A352="","",TRIM(GL_RAW!F352))</f>
        <v/>
      </c>
      <c r="G352" s="11">
        <f>IF(GL_RAW!A352="","",TRIM(GL_RAW!G352))</f>
        <v/>
      </c>
      <c r="H352" s="12">
        <f>IF(GL_RAW!A352="","",IFERROR(GL_RAW!E352,0))</f>
        <v/>
      </c>
      <c r="I352" s="12">
        <f>IF(GL_RAW!A352="","",ABS(H352))</f>
        <v/>
      </c>
      <c r="J352" s="11">
        <f>IF(GL_RAW!A352="","",IF(OR(ISNUMBER(SEARCH("Out",F352)),ISNUMBER(SEARCH("11025002",F352)),H352&lt;0),"OUT","IN"))</f>
        <v/>
      </c>
      <c r="K352" s="11" t="inlineStr"/>
    </row>
    <row r="353">
      <c r="A353" s="13">
        <f>IF(GL_RAW!A353="","",ROW()-1)</f>
        <v/>
      </c>
      <c r="B353" s="10">
        <f>IF(GL_RAW!A353="","",IF(ISNUMBER(GL_RAW!A353),GL_RAW!A353,DATEVALUE(TEXT(GL_RAW!A353,"YYYY-MM-DD"))))</f>
        <v/>
      </c>
      <c r="C353" s="11">
        <f>IF(GL_RAW!A353="","",TRIM(GL_RAW!B353))</f>
        <v/>
      </c>
      <c r="D353" s="11">
        <f>IF(GL_RAW!A353="","",TRIM(GL_RAW!C353))</f>
        <v/>
      </c>
      <c r="E353" s="11">
        <f>IF(GL_RAW!A353="","",TRIM(GL_RAW!D353))</f>
        <v/>
      </c>
      <c r="F353" s="11">
        <f>IF(GL_RAW!A353="","",TRIM(GL_RAW!F353))</f>
        <v/>
      </c>
      <c r="G353" s="11">
        <f>IF(GL_RAW!A353="","",TRIM(GL_RAW!G353))</f>
        <v/>
      </c>
      <c r="H353" s="12">
        <f>IF(GL_RAW!A353="","",IFERROR(GL_RAW!E353,0))</f>
        <v/>
      </c>
      <c r="I353" s="12">
        <f>IF(GL_RAW!A353="","",ABS(H353))</f>
        <v/>
      </c>
      <c r="J353" s="11">
        <f>IF(GL_RAW!A353="","",IF(OR(ISNUMBER(SEARCH("Out",F353)),ISNUMBER(SEARCH("11025002",F353)),H353&lt;0),"OUT","IN"))</f>
        <v/>
      </c>
      <c r="K353" s="11" t="inlineStr"/>
    </row>
    <row r="354">
      <c r="A354" s="13">
        <f>IF(GL_RAW!A354="","",ROW()-1)</f>
        <v/>
      </c>
      <c r="B354" s="10">
        <f>IF(GL_RAW!A354="","",IF(ISNUMBER(GL_RAW!A354),GL_RAW!A354,DATEVALUE(TEXT(GL_RAW!A354,"YYYY-MM-DD"))))</f>
        <v/>
      </c>
      <c r="C354" s="11">
        <f>IF(GL_RAW!A354="","",TRIM(GL_RAW!B354))</f>
        <v/>
      </c>
      <c r="D354" s="11">
        <f>IF(GL_RAW!A354="","",TRIM(GL_RAW!C354))</f>
        <v/>
      </c>
      <c r="E354" s="11">
        <f>IF(GL_RAW!A354="","",TRIM(GL_RAW!D354))</f>
        <v/>
      </c>
      <c r="F354" s="11">
        <f>IF(GL_RAW!A354="","",TRIM(GL_RAW!F354))</f>
        <v/>
      </c>
      <c r="G354" s="11">
        <f>IF(GL_RAW!A354="","",TRIM(GL_RAW!G354))</f>
        <v/>
      </c>
      <c r="H354" s="12">
        <f>IF(GL_RAW!A354="","",IFERROR(GL_RAW!E354,0))</f>
        <v/>
      </c>
      <c r="I354" s="12">
        <f>IF(GL_RAW!A354="","",ABS(H354))</f>
        <v/>
      </c>
      <c r="J354" s="11">
        <f>IF(GL_RAW!A354="","",IF(OR(ISNUMBER(SEARCH("Out",F354)),ISNUMBER(SEARCH("11025002",F354)),H354&lt;0),"OUT","IN"))</f>
        <v/>
      </c>
      <c r="K354" s="11" t="inlineStr"/>
    </row>
    <row r="355">
      <c r="A355" s="13">
        <f>IF(GL_RAW!A355="","",ROW()-1)</f>
        <v/>
      </c>
      <c r="B355" s="10">
        <f>IF(GL_RAW!A355="","",IF(ISNUMBER(GL_RAW!A355),GL_RAW!A355,DATEVALUE(TEXT(GL_RAW!A355,"YYYY-MM-DD"))))</f>
        <v/>
      </c>
      <c r="C355" s="11">
        <f>IF(GL_RAW!A355="","",TRIM(GL_RAW!B355))</f>
        <v/>
      </c>
      <c r="D355" s="11">
        <f>IF(GL_RAW!A355="","",TRIM(GL_RAW!C355))</f>
        <v/>
      </c>
      <c r="E355" s="11">
        <f>IF(GL_RAW!A355="","",TRIM(GL_RAW!D355))</f>
        <v/>
      </c>
      <c r="F355" s="11">
        <f>IF(GL_RAW!A355="","",TRIM(GL_RAW!F355))</f>
        <v/>
      </c>
      <c r="G355" s="11">
        <f>IF(GL_RAW!A355="","",TRIM(GL_RAW!G355))</f>
        <v/>
      </c>
      <c r="H355" s="12">
        <f>IF(GL_RAW!A355="","",IFERROR(GL_RAW!E355,0))</f>
        <v/>
      </c>
      <c r="I355" s="12">
        <f>IF(GL_RAW!A355="","",ABS(H355))</f>
        <v/>
      </c>
      <c r="J355" s="11">
        <f>IF(GL_RAW!A355="","",IF(OR(ISNUMBER(SEARCH("Out",F355)),ISNUMBER(SEARCH("11025002",F355)),H355&lt;0),"OUT","IN"))</f>
        <v/>
      </c>
      <c r="K355" s="11" t="inlineStr"/>
    </row>
    <row r="356">
      <c r="A356" s="13">
        <f>IF(GL_RAW!A356="","",ROW()-1)</f>
        <v/>
      </c>
      <c r="B356" s="10">
        <f>IF(GL_RAW!A356="","",IF(ISNUMBER(GL_RAW!A356),GL_RAW!A356,DATEVALUE(TEXT(GL_RAW!A356,"YYYY-MM-DD"))))</f>
        <v/>
      </c>
      <c r="C356" s="11">
        <f>IF(GL_RAW!A356="","",TRIM(GL_RAW!B356))</f>
        <v/>
      </c>
      <c r="D356" s="11">
        <f>IF(GL_RAW!A356="","",TRIM(GL_RAW!C356))</f>
        <v/>
      </c>
      <c r="E356" s="11">
        <f>IF(GL_RAW!A356="","",TRIM(GL_RAW!D356))</f>
        <v/>
      </c>
      <c r="F356" s="11">
        <f>IF(GL_RAW!A356="","",TRIM(GL_RAW!F356))</f>
        <v/>
      </c>
      <c r="G356" s="11">
        <f>IF(GL_RAW!A356="","",TRIM(GL_RAW!G356))</f>
        <v/>
      </c>
      <c r="H356" s="12">
        <f>IF(GL_RAW!A356="","",IFERROR(GL_RAW!E356,0))</f>
        <v/>
      </c>
      <c r="I356" s="12">
        <f>IF(GL_RAW!A356="","",ABS(H356))</f>
        <v/>
      </c>
      <c r="J356" s="11">
        <f>IF(GL_RAW!A356="","",IF(OR(ISNUMBER(SEARCH("Out",F356)),ISNUMBER(SEARCH("11025002",F356)),H356&lt;0),"OUT","IN"))</f>
        <v/>
      </c>
      <c r="K356" s="11" t="inlineStr"/>
    </row>
    <row r="357">
      <c r="A357" s="13">
        <f>IF(GL_RAW!A357="","",ROW()-1)</f>
        <v/>
      </c>
      <c r="B357" s="10">
        <f>IF(GL_RAW!A357="","",IF(ISNUMBER(GL_RAW!A357),GL_RAW!A357,DATEVALUE(TEXT(GL_RAW!A357,"YYYY-MM-DD"))))</f>
        <v/>
      </c>
      <c r="C357" s="11">
        <f>IF(GL_RAW!A357="","",TRIM(GL_RAW!B357))</f>
        <v/>
      </c>
      <c r="D357" s="11">
        <f>IF(GL_RAW!A357="","",TRIM(GL_RAW!C357))</f>
        <v/>
      </c>
      <c r="E357" s="11">
        <f>IF(GL_RAW!A357="","",TRIM(GL_RAW!D357))</f>
        <v/>
      </c>
      <c r="F357" s="11">
        <f>IF(GL_RAW!A357="","",TRIM(GL_RAW!F357))</f>
        <v/>
      </c>
      <c r="G357" s="11">
        <f>IF(GL_RAW!A357="","",TRIM(GL_RAW!G357))</f>
        <v/>
      </c>
      <c r="H357" s="12">
        <f>IF(GL_RAW!A357="","",IFERROR(GL_RAW!E357,0))</f>
        <v/>
      </c>
      <c r="I357" s="12">
        <f>IF(GL_RAW!A357="","",ABS(H357))</f>
        <v/>
      </c>
      <c r="J357" s="11">
        <f>IF(GL_RAW!A357="","",IF(OR(ISNUMBER(SEARCH("Out",F357)),ISNUMBER(SEARCH("11025002",F357)),H357&lt;0),"OUT","IN"))</f>
        <v/>
      </c>
      <c r="K357" s="11" t="inlineStr"/>
    </row>
    <row r="358">
      <c r="A358" s="13">
        <f>IF(GL_RAW!A358="","",ROW()-1)</f>
        <v/>
      </c>
      <c r="B358" s="10">
        <f>IF(GL_RAW!A358="","",IF(ISNUMBER(GL_RAW!A358),GL_RAW!A358,DATEVALUE(TEXT(GL_RAW!A358,"YYYY-MM-DD"))))</f>
        <v/>
      </c>
      <c r="C358" s="11">
        <f>IF(GL_RAW!A358="","",TRIM(GL_RAW!B358))</f>
        <v/>
      </c>
      <c r="D358" s="11">
        <f>IF(GL_RAW!A358="","",TRIM(GL_RAW!C358))</f>
        <v/>
      </c>
      <c r="E358" s="11">
        <f>IF(GL_RAW!A358="","",TRIM(GL_RAW!D358))</f>
        <v/>
      </c>
      <c r="F358" s="11">
        <f>IF(GL_RAW!A358="","",TRIM(GL_RAW!F358))</f>
        <v/>
      </c>
      <c r="G358" s="11">
        <f>IF(GL_RAW!A358="","",TRIM(GL_RAW!G358))</f>
        <v/>
      </c>
      <c r="H358" s="12">
        <f>IF(GL_RAW!A358="","",IFERROR(GL_RAW!E358,0))</f>
        <v/>
      </c>
      <c r="I358" s="12">
        <f>IF(GL_RAW!A358="","",ABS(H358))</f>
        <v/>
      </c>
      <c r="J358" s="11">
        <f>IF(GL_RAW!A358="","",IF(OR(ISNUMBER(SEARCH("Out",F358)),ISNUMBER(SEARCH("11025002",F358)),H358&lt;0),"OUT","IN"))</f>
        <v/>
      </c>
      <c r="K358" s="11" t="inlineStr"/>
    </row>
    <row r="359">
      <c r="A359" s="13">
        <f>IF(GL_RAW!A359="","",ROW()-1)</f>
        <v/>
      </c>
      <c r="B359" s="10">
        <f>IF(GL_RAW!A359="","",IF(ISNUMBER(GL_RAW!A359),GL_RAW!A359,DATEVALUE(TEXT(GL_RAW!A359,"YYYY-MM-DD"))))</f>
        <v/>
      </c>
      <c r="C359" s="11">
        <f>IF(GL_RAW!A359="","",TRIM(GL_RAW!B359))</f>
        <v/>
      </c>
      <c r="D359" s="11">
        <f>IF(GL_RAW!A359="","",TRIM(GL_RAW!C359))</f>
        <v/>
      </c>
      <c r="E359" s="11">
        <f>IF(GL_RAW!A359="","",TRIM(GL_RAW!D359))</f>
        <v/>
      </c>
      <c r="F359" s="11">
        <f>IF(GL_RAW!A359="","",TRIM(GL_RAW!F359))</f>
        <v/>
      </c>
      <c r="G359" s="11">
        <f>IF(GL_RAW!A359="","",TRIM(GL_RAW!G359))</f>
        <v/>
      </c>
      <c r="H359" s="12">
        <f>IF(GL_RAW!A359="","",IFERROR(GL_RAW!E359,0))</f>
        <v/>
      </c>
      <c r="I359" s="12">
        <f>IF(GL_RAW!A359="","",ABS(H359))</f>
        <v/>
      </c>
      <c r="J359" s="11">
        <f>IF(GL_RAW!A359="","",IF(OR(ISNUMBER(SEARCH("Out",F359)),ISNUMBER(SEARCH("11025002",F359)),H359&lt;0),"OUT","IN"))</f>
        <v/>
      </c>
      <c r="K359" s="11" t="inlineStr"/>
    </row>
    <row r="360">
      <c r="A360" s="13">
        <f>IF(GL_RAW!A360="","",ROW()-1)</f>
        <v/>
      </c>
      <c r="B360" s="10">
        <f>IF(GL_RAW!A360="","",IF(ISNUMBER(GL_RAW!A360),GL_RAW!A360,DATEVALUE(TEXT(GL_RAW!A360,"YYYY-MM-DD"))))</f>
        <v/>
      </c>
      <c r="C360" s="11">
        <f>IF(GL_RAW!A360="","",TRIM(GL_RAW!B360))</f>
        <v/>
      </c>
      <c r="D360" s="11">
        <f>IF(GL_RAW!A360="","",TRIM(GL_RAW!C360))</f>
        <v/>
      </c>
      <c r="E360" s="11">
        <f>IF(GL_RAW!A360="","",TRIM(GL_RAW!D360))</f>
        <v/>
      </c>
      <c r="F360" s="11">
        <f>IF(GL_RAW!A360="","",TRIM(GL_RAW!F360))</f>
        <v/>
      </c>
      <c r="G360" s="11">
        <f>IF(GL_RAW!A360="","",TRIM(GL_RAW!G360))</f>
        <v/>
      </c>
      <c r="H360" s="12">
        <f>IF(GL_RAW!A360="","",IFERROR(GL_RAW!E360,0))</f>
        <v/>
      </c>
      <c r="I360" s="12">
        <f>IF(GL_RAW!A360="","",ABS(H360))</f>
        <v/>
      </c>
      <c r="J360" s="11">
        <f>IF(GL_RAW!A360="","",IF(OR(ISNUMBER(SEARCH("Out",F360)),ISNUMBER(SEARCH("11025002",F360)),H360&lt;0),"OUT","IN"))</f>
        <v/>
      </c>
      <c r="K360" s="11" t="inlineStr"/>
    </row>
    <row r="361">
      <c r="A361" s="13">
        <f>IF(GL_RAW!A361="","",ROW()-1)</f>
        <v/>
      </c>
      <c r="B361" s="10">
        <f>IF(GL_RAW!A361="","",IF(ISNUMBER(GL_RAW!A361),GL_RAW!A361,DATEVALUE(TEXT(GL_RAW!A361,"YYYY-MM-DD"))))</f>
        <v/>
      </c>
      <c r="C361" s="11">
        <f>IF(GL_RAW!A361="","",TRIM(GL_RAW!B361))</f>
        <v/>
      </c>
      <c r="D361" s="11">
        <f>IF(GL_RAW!A361="","",TRIM(GL_RAW!C361))</f>
        <v/>
      </c>
      <c r="E361" s="11">
        <f>IF(GL_RAW!A361="","",TRIM(GL_RAW!D361))</f>
        <v/>
      </c>
      <c r="F361" s="11">
        <f>IF(GL_RAW!A361="","",TRIM(GL_RAW!F361))</f>
        <v/>
      </c>
      <c r="G361" s="11">
        <f>IF(GL_RAW!A361="","",TRIM(GL_RAW!G361))</f>
        <v/>
      </c>
      <c r="H361" s="12">
        <f>IF(GL_RAW!A361="","",IFERROR(GL_RAW!E361,0))</f>
        <v/>
      </c>
      <c r="I361" s="12">
        <f>IF(GL_RAW!A361="","",ABS(H361))</f>
        <v/>
      </c>
      <c r="J361" s="11">
        <f>IF(GL_RAW!A361="","",IF(OR(ISNUMBER(SEARCH("Out",F361)),ISNUMBER(SEARCH("11025002",F361)),H361&lt;0),"OUT","IN"))</f>
        <v/>
      </c>
      <c r="K361" s="11" t="inlineStr"/>
    </row>
    <row r="362">
      <c r="A362" s="13">
        <f>IF(GL_RAW!A362="","",ROW()-1)</f>
        <v/>
      </c>
      <c r="B362" s="10">
        <f>IF(GL_RAW!A362="","",IF(ISNUMBER(GL_RAW!A362),GL_RAW!A362,DATEVALUE(TEXT(GL_RAW!A362,"YYYY-MM-DD"))))</f>
        <v/>
      </c>
      <c r="C362" s="11">
        <f>IF(GL_RAW!A362="","",TRIM(GL_RAW!B362))</f>
        <v/>
      </c>
      <c r="D362" s="11">
        <f>IF(GL_RAW!A362="","",TRIM(GL_RAW!C362))</f>
        <v/>
      </c>
      <c r="E362" s="11">
        <f>IF(GL_RAW!A362="","",TRIM(GL_RAW!D362))</f>
        <v/>
      </c>
      <c r="F362" s="11">
        <f>IF(GL_RAW!A362="","",TRIM(GL_RAW!F362))</f>
        <v/>
      </c>
      <c r="G362" s="11">
        <f>IF(GL_RAW!A362="","",TRIM(GL_RAW!G362))</f>
        <v/>
      </c>
      <c r="H362" s="12">
        <f>IF(GL_RAW!A362="","",IFERROR(GL_RAW!E362,0))</f>
        <v/>
      </c>
      <c r="I362" s="12">
        <f>IF(GL_RAW!A362="","",ABS(H362))</f>
        <v/>
      </c>
      <c r="J362" s="11">
        <f>IF(GL_RAW!A362="","",IF(OR(ISNUMBER(SEARCH("Out",F362)),ISNUMBER(SEARCH("11025002",F362)),H362&lt;0),"OUT","IN"))</f>
        <v/>
      </c>
      <c r="K362" s="11" t="inlineStr"/>
    </row>
    <row r="363">
      <c r="A363" s="13">
        <f>IF(GL_RAW!A363="","",ROW()-1)</f>
        <v/>
      </c>
      <c r="B363" s="10">
        <f>IF(GL_RAW!A363="","",IF(ISNUMBER(GL_RAW!A363),GL_RAW!A363,DATEVALUE(TEXT(GL_RAW!A363,"YYYY-MM-DD"))))</f>
        <v/>
      </c>
      <c r="C363" s="11">
        <f>IF(GL_RAW!A363="","",TRIM(GL_RAW!B363))</f>
        <v/>
      </c>
      <c r="D363" s="11">
        <f>IF(GL_RAW!A363="","",TRIM(GL_RAW!C363))</f>
        <v/>
      </c>
      <c r="E363" s="11">
        <f>IF(GL_RAW!A363="","",TRIM(GL_RAW!D363))</f>
        <v/>
      </c>
      <c r="F363" s="11">
        <f>IF(GL_RAW!A363="","",TRIM(GL_RAW!F363))</f>
        <v/>
      </c>
      <c r="G363" s="11">
        <f>IF(GL_RAW!A363="","",TRIM(GL_RAW!G363))</f>
        <v/>
      </c>
      <c r="H363" s="12">
        <f>IF(GL_RAW!A363="","",IFERROR(GL_RAW!E363,0))</f>
        <v/>
      </c>
      <c r="I363" s="12">
        <f>IF(GL_RAW!A363="","",ABS(H363))</f>
        <v/>
      </c>
      <c r="J363" s="11">
        <f>IF(GL_RAW!A363="","",IF(OR(ISNUMBER(SEARCH("Out",F363)),ISNUMBER(SEARCH("11025002",F363)),H363&lt;0),"OUT","IN"))</f>
        <v/>
      </c>
      <c r="K363" s="11" t="inlineStr"/>
    </row>
    <row r="364">
      <c r="A364" s="13">
        <f>IF(GL_RAW!A364="","",ROW()-1)</f>
        <v/>
      </c>
      <c r="B364" s="10">
        <f>IF(GL_RAW!A364="","",IF(ISNUMBER(GL_RAW!A364),GL_RAW!A364,DATEVALUE(TEXT(GL_RAW!A364,"YYYY-MM-DD"))))</f>
        <v/>
      </c>
      <c r="C364" s="11">
        <f>IF(GL_RAW!A364="","",TRIM(GL_RAW!B364))</f>
        <v/>
      </c>
      <c r="D364" s="11">
        <f>IF(GL_RAW!A364="","",TRIM(GL_RAW!C364))</f>
        <v/>
      </c>
      <c r="E364" s="11">
        <f>IF(GL_RAW!A364="","",TRIM(GL_RAW!D364))</f>
        <v/>
      </c>
      <c r="F364" s="11">
        <f>IF(GL_RAW!A364="","",TRIM(GL_RAW!F364))</f>
        <v/>
      </c>
      <c r="G364" s="11">
        <f>IF(GL_RAW!A364="","",TRIM(GL_RAW!G364))</f>
        <v/>
      </c>
      <c r="H364" s="12">
        <f>IF(GL_RAW!A364="","",IFERROR(GL_RAW!E364,0))</f>
        <v/>
      </c>
      <c r="I364" s="12">
        <f>IF(GL_RAW!A364="","",ABS(H364))</f>
        <v/>
      </c>
      <c r="J364" s="11">
        <f>IF(GL_RAW!A364="","",IF(OR(ISNUMBER(SEARCH("Out",F364)),ISNUMBER(SEARCH("11025002",F364)),H364&lt;0),"OUT","IN"))</f>
        <v/>
      </c>
      <c r="K364" s="11" t="inlineStr"/>
    </row>
    <row r="365">
      <c r="A365" s="13">
        <f>IF(GL_RAW!A365="","",ROW()-1)</f>
        <v/>
      </c>
      <c r="B365" s="10">
        <f>IF(GL_RAW!A365="","",IF(ISNUMBER(GL_RAW!A365),GL_RAW!A365,DATEVALUE(TEXT(GL_RAW!A365,"YYYY-MM-DD"))))</f>
        <v/>
      </c>
      <c r="C365" s="11">
        <f>IF(GL_RAW!A365="","",TRIM(GL_RAW!B365))</f>
        <v/>
      </c>
      <c r="D365" s="11">
        <f>IF(GL_RAW!A365="","",TRIM(GL_RAW!C365))</f>
        <v/>
      </c>
      <c r="E365" s="11">
        <f>IF(GL_RAW!A365="","",TRIM(GL_RAW!D365))</f>
        <v/>
      </c>
      <c r="F365" s="11">
        <f>IF(GL_RAW!A365="","",TRIM(GL_RAW!F365))</f>
        <v/>
      </c>
      <c r="G365" s="11">
        <f>IF(GL_RAW!A365="","",TRIM(GL_RAW!G365))</f>
        <v/>
      </c>
      <c r="H365" s="12">
        <f>IF(GL_RAW!A365="","",IFERROR(GL_RAW!E365,0))</f>
        <v/>
      </c>
      <c r="I365" s="12">
        <f>IF(GL_RAW!A365="","",ABS(H365))</f>
        <v/>
      </c>
      <c r="J365" s="11">
        <f>IF(GL_RAW!A365="","",IF(OR(ISNUMBER(SEARCH("Out",F365)),ISNUMBER(SEARCH("11025002",F365)),H365&lt;0),"OUT","IN"))</f>
        <v/>
      </c>
      <c r="K365" s="11" t="inlineStr"/>
    </row>
    <row r="366">
      <c r="A366" s="13">
        <f>IF(GL_RAW!A366="","",ROW()-1)</f>
        <v/>
      </c>
      <c r="B366" s="10">
        <f>IF(GL_RAW!A366="","",IF(ISNUMBER(GL_RAW!A366),GL_RAW!A366,DATEVALUE(TEXT(GL_RAW!A366,"YYYY-MM-DD"))))</f>
        <v/>
      </c>
      <c r="C366" s="11">
        <f>IF(GL_RAW!A366="","",TRIM(GL_RAW!B366))</f>
        <v/>
      </c>
      <c r="D366" s="11">
        <f>IF(GL_RAW!A366="","",TRIM(GL_RAW!C366))</f>
        <v/>
      </c>
      <c r="E366" s="11">
        <f>IF(GL_RAW!A366="","",TRIM(GL_RAW!D366))</f>
        <v/>
      </c>
      <c r="F366" s="11">
        <f>IF(GL_RAW!A366="","",TRIM(GL_RAW!F366))</f>
        <v/>
      </c>
      <c r="G366" s="11">
        <f>IF(GL_RAW!A366="","",TRIM(GL_RAW!G366))</f>
        <v/>
      </c>
      <c r="H366" s="12">
        <f>IF(GL_RAW!A366="","",IFERROR(GL_RAW!E366,0))</f>
        <v/>
      </c>
      <c r="I366" s="12">
        <f>IF(GL_RAW!A366="","",ABS(H366))</f>
        <v/>
      </c>
      <c r="J366" s="11">
        <f>IF(GL_RAW!A366="","",IF(OR(ISNUMBER(SEARCH("Out",F366)),ISNUMBER(SEARCH("11025002",F366)),H366&lt;0),"OUT","IN"))</f>
        <v/>
      </c>
      <c r="K366" s="11" t="inlineStr"/>
    </row>
    <row r="367">
      <c r="A367" s="13">
        <f>IF(GL_RAW!A367="","",ROW()-1)</f>
        <v/>
      </c>
      <c r="B367" s="10">
        <f>IF(GL_RAW!A367="","",IF(ISNUMBER(GL_RAW!A367),GL_RAW!A367,DATEVALUE(TEXT(GL_RAW!A367,"YYYY-MM-DD"))))</f>
        <v/>
      </c>
      <c r="C367" s="11">
        <f>IF(GL_RAW!A367="","",TRIM(GL_RAW!B367))</f>
        <v/>
      </c>
      <c r="D367" s="11">
        <f>IF(GL_RAW!A367="","",TRIM(GL_RAW!C367))</f>
        <v/>
      </c>
      <c r="E367" s="11">
        <f>IF(GL_RAW!A367="","",TRIM(GL_RAW!D367))</f>
        <v/>
      </c>
      <c r="F367" s="11">
        <f>IF(GL_RAW!A367="","",TRIM(GL_RAW!F367))</f>
        <v/>
      </c>
      <c r="G367" s="11">
        <f>IF(GL_RAW!A367="","",TRIM(GL_RAW!G367))</f>
        <v/>
      </c>
      <c r="H367" s="12">
        <f>IF(GL_RAW!A367="","",IFERROR(GL_RAW!E367,0))</f>
        <v/>
      </c>
      <c r="I367" s="12">
        <f>IF(GL_RAW!A367="","",ABS(H367))</f>
        <v/>
      </c>
      <c r="J367" s="11">
        <f>IF(GL_RAW!A367="","",IF(OR(ISNUMBER(SEARCH("Out",F367)),ISNUMBER(SEARCH("11025002",F367)),H367&lt;0),"OUT","IN"))</f>
        <v/>
      </c>
      <c r="K367" s="11" t="inlineStr"/>
    </row>
    <row r="368">
      <c r="A368" s="13">
        <f>IF(GL_RAW!A368="","",ROW()-1)</f>
        <v/>
      </c>
      <c r="B368" s="10">
        <f>IF(GL_RAW!A368="","",IF(ISNUMBER(GL_RAW!A368),GL_RAW!A368,DATEVALUE(TEXT(GL_RAW!A368,"YYYY-MM-DD"))))</f>
        <v/>
      </c>
      <c r="C368" s="11">
        <f>IF(GL_RAW!A368="","",TRIM(GL_RAW!B368))</f>
        <v/>
      </c>
      <c r="D368" s="11">
        <f>IF(GL_RAW!A368="","",TRIM(GL_RAW!C368))</f>
        <v/>
      </c>
      <c r="E368" s="11">
        <f>IF(GL_RAW!A368="","",TRIM(GL_RAW!D368))</f>
        <v/>
      </c>
      <c r="F368" s="11">
        <f>IF(GL_RAW!A368="","",TRIM(GL_RAW!F368))</f>
        <v/>
      </c>
      <c r="G368" s="11">
        <f>IF(GL_RAW!A368="","",TRIM(GL_RAW!G368))</f>
        <v/>
      </c>
      <c r="H368" s="12">
        <f>IF(GL_RAW!A368="","",IFERROR(GL_RAW!E368,0))</f>
        <v/>
      </c>
      <c r="I368" s="12">
        <f>IF(GL_RAW!A368="","",ABS(H368))</f>
        <v/>
      </c>
      <c r="J368" s="11">
        <f>IF(GL_RAW!A368="","",IF(OR(ISNUMBER(SEARCH("Out",F368)),ISNUMBER(SEARCH("11025002",F368)),H368&lt;0),"OUT","IN"))</f>
        <v/>
      </c>
      <c r="K368" s="11" t="inlineStr"/>
    </row>
    <row r="369">
      <c r="A369" s="13">
        <f>IF(GL_RAW!A369="","",ROW()-1)</f>
        <v/>
      </c>
      <c r="B369" s="10">
        <f>IF(GL_RAW!A369="","",IF(ISNUMBER(GL_RAW!A369),GL_RAW!A369,DATEVALUE(TEXT(GL_RAW!A369,"YYYY-MM-DD"))))</f>
        <v/>
      </c>
      <c r="C369" s="11">
        <f>IF(GL_RAW!A369="","",TRIM(GL_RAW!B369))</f>
        <v/>
      </c>
      <c r="D369" s="11">
        <f>IF(GL_RAW!A369="","",TRIM(GL_RAW!C369))</f>
        <v/>
      </c>
      <c r="E369" s="11">
        <f>IF(GL_RAW!A369="","",TRIM(GL_RAW!D369))</f>
        <v/>
      </c>
      <c r="F369" s="11">
        <f>IF(GL_RAW!A369="","",TRIM(GL_RAW!F369))</f>
        <v/>
      </c>
      <c r="G369" s="11">
        <f>IF(GL_RAW!A369="","",TRIM(GL_RAW!G369))</f>
        <v/>
      </c>
      <c r="H369" s="12">
        <f>IF(GL_RAW!A369="","",IFERROR(GL_RAW!E369,0))</f>
        <v/>
      </c>
      <c r="I369" s="12">
        <f>IF(GL_RAW!A369="","",ABS(H369))</f>
        <v/>
      </c>
      <c r="J369" s="11">
        <f>IF(GL_RAW!A369="","",IF(OR(ISNUMBER(SEARCH("Out",F369)),ISNUMBER(SEARCH("11025002",F369)),H369&lt;0),"OUT","IN"))</f>
        <v/>
      </c>
      <c r="K369" s="11" t="inlineStr"/>
    </row>
    <row r="370">
      <c r="A370" s="13">
        <f>IF(GL_RAW!A370="","",ROW()-1)</f>
        <v/>
      </c>
      <c r="B370" s="10">
        <f>IF(GL_RAW!A370="","",IF(ISNUMBER(GL_RAW!A370),GL_RAW!A370,DATEVALUE(TEXT(GL_RAW!A370,"YYYY-MM-DD"))))</f>
        <v/>
      </c>
      <c r="C370" s="11">
        <f>IF(GL_RAW!A370="","",TRIM(GL_RAW!B370))</f>
        <v/>
      </c>
      <c r="D370" s="11">
        <f>IF(GL_RAW!A370="","",TRIM(GL_RAW!C370))</f>
        <v/>
      </c>
      <c r="E370" s="11">
        <f>IF(GL_RAW!A370="","",TRIM(GL_RAW!D370))</f>
        <v/>
      </c>
      <c r="F370" s="11">
        <f>IF(GL_RAW!A370="","",TRIM(GL_RAW!F370))</f>
        <v/>
      </c>
      <c r="G370" s="11">
        <f>IF(GL_RAW!A370="","",TRIM(GL_RAW!G370))</f>
        <v/>
      </c>
      <c r="H370" s="12">
        <f>IF(GL_RAW!A370="","",IFERROR(GL_RAW!E370,0))</f>
        <v/>
      </c>
      <c r="I370" s="12">
        <f>IF(GL_RAW!A370="","",ABS(H370))</f>
        <v/>
      </c>
      <c r="J370" s="11">
        <f>IF(GL_RAW!A370="","",IF(OR(ISNUMBER(SEARCH("Out",F370)),ISNUMBER(SEARCH("11025002",F370)),H370&lt;0),"OUT","IN"))</f>
        <v/>
      </c>
      <c r="K370" s="11" t="inlineStr"/>
    </row>
    <row r="371">
      <c r="A371" s="13">
        <f>IF(GL_RAW!A371="","",ROW()-1)</f>
        <v/>
      </c>
      <c r="B371" s="10">
        <f>IF(GL_RAW!A371="","",IF(ISNUMBER(GL_RAW!A371),GL_RAW!A371,DATEVALUE(TEXT(GL_RAW!A371,"YYYY-MM-DD"))))</f>
        <v/>
      </c>
      <c r="C371" s="11">
        <f>IF(GL_RAW!A371="","",TRIM(GL_RAW!B371))</f>
        <v/>
      </c>
      <c r="D371" s="11">
        <f>IF(GL_RAW!A371="","",TRIM(GL_RAW!C371))</f>
        <v/>
      </c>
      <c r="E371" s="11">
        <f>IF(GL_RAW!A371="","",TRIM(GL_RAW!D371))</f>
        <v/>
      </c>
      <c r="F371" s="11">
        <f>IF(GL_RAW!A371="","",TRIM(GL_RAW!F371))</f>
        <v/>
      </c>
      <c r="G371" s="11">
        <f>IF(GL_RAW!A371="","",TRIM(GL_RAW!G371))</f>
        <v/>
      </c>
      <c r="H371" s="12">
        <f>IF(GL_RAW!A371="","",IFERROR(GL_RAW!E371,0))</f>
        <v/>
      </c>
      <c r="I371" s="12">
        <f>IF(GL_RAW!A371="","",ABS(H371))</f>
        <v/>
      </c>
      <c r="J371" s="11">
        <f>IF(GL_RAW!A371="","",IF(OR(ISNUMBER(SEARCH("Out",F371)),ISNUMBER(SEARCH("11025002",F371)),H371&lt;0),"OUT","IN"))</f>
        <v/>
      </c>
      <c r="K371" s="11" t="inlineStr"/>
    </row>
    <row r="372">
      <c r="A372" s="13">
        <f>IF(GL_RAW!A372="","",ROW()-1)</f>
        <v/>
      </c>
      <c r="B372" s="10">
        <f>IF(GL_RAW!A372="","",IF(ISNUMBER(GL_RAW!A372),GL_RAW!A372,DATEVALUE(TEXT(GL_RAW!A372,"YYYY-MM-DD"))))</f>
        <v/>
      </c>
      <c r="C372" s="11">
        <f>IF(GL_RAW!A372="","",TRIM(GL_RAW!B372))</f>
        <v/>
      </c>
      <c r="D372" s="11">
        <f>IF(GL_RAW!A372="","",TRIM(GL_RAW!C372))</f>
        <v/>
      </c>
      <c r="E372" s="11">
        <f>IF(GL_RAW!A372="","",TRIM(GL_RAW!D372))</f>
        <v/>
      </c>
      <c r="F372" s="11">
        <f>IF(GL_RAW!A372="","",TRIM(GL_RAW!F372))</f>
        <v/>
      </c>
      <c r="G372" s="11">
        <f>IF(GL_RAW!A372="","",TRIM(GL_RAW!G372))</f>
        <v/>
      </c>
      <c r="H372" s="12">
        <f>IF(GL_RAW!A372="","",IFERROR(GL_RAW!E372,0))</f>
        <v/>
      </c>
      <c r="I372" s="12">
        <f>IF(GL_RAW!A372="","",ABS(H372))</f>
        <v/>
      </c>
      <c r="J372" s="11">
        <f>IF(GL_RAW!A372="","",IF(OR(ISNUMBER(SEARCH("Out",F372)),ISNUMBER(SEARCH("11025002",F372)),H372&lt;0),"OUT","IN"))</f>
        <v/>
      </c>
      <c r="K372" s="11" t="inlineStr"/>
    </row>
    <row r="373">
      <c r="A373" s="13">
        <f>IF(GL_RAW!A373="","",ROW()-1)</f>
        <v/>
      </c>
      <c r="B373" s="10">
        <f>IF(GL_RAW!A373="","",IF(ISNUMBER(GL_RAW!A373),GL_RAW!A373,DATEVALUE(TEXT(GL_RAW!A373,"YYYY-MM-DD"))))</f>
        <v/>
      </c>
      <c r="C373" s="11">
        <f>IF(GL_RAW!A373="","",TRIM(GL_RAW!B373))</f>
        <v/>
      </c>
      <c r="D373" s="11">
        <f>IF(GL_RAW!A373="","",TRIM(GL_RAW!C373))</f>
        <v/>
      </c>
      <c r="E373" s="11">
        <f>IF(GL_RAW!A373="","",TRIM(GL_RAW!D373))</f>
        <v/>
      </c>
      <c r="F373" s="11">
        <f>IF(GL_RAW!A373="","",TRIM(GL_RAW!F373))</f>
        <v/>
      </c>
      <c r="G373" s="11">
        <f>IF(GL_RAW!A373="","",TRIM(GL_RAW!G373))</f>
        <v/>
      </c>
      <c r="H373" s="12">
        <f>IF(GL_RAW!A373="","",IFERROR(GL_RAW!E373,0))</f>
        <v/>
      </c>
      <c r="I373" s="12">
        <f>IF(GL_RAW!A373="","",ABS(H373))</f>
        <v/>
      </c>
      <c r="J373" s="11">
        <f>IF(GL_RAW!A373="","",IF(OR(ISNUMBER(SEARCH("Out",F373)),ISNUMBER(SEARCH("11025002",F373)),H373&lt;0),"OUT","IN"))</f>
        <v/>
      </c>
      <c r="K373" s="11" t="inlineStr"/>
    </row>
    <row r="374">
      <c r="A374" s="13">
        <f>IF(GL_RAW!A374="","",ROW()-1)</f>
        <v/>
      </c>
      <c r="B374" s="10">
        <f>IF(GL_RAW!A374="","",IF(ISNUMBER(GL_RAW!A374),GL_RAW!A374,DATEVALUE(TEXT(GL_RAW!A374,"YYYY-MM-DD"))))</f>
        <v/>
      </c>
      <c r="C374" s="11">
        <f>IF(GL_RAW!A374="","",TRIM(GL_RAW!B374))</f>
        <v/>
      </c>
      <c r="D374" s="11">
        <f>IF(GL_RAW!A374="","",TRIM(GL_RAW!C374))</f>
        <v/>
      </c>
      <c r="E374" s="11">
        <f>IF(GL_RAW!A374="","",TRIM(GL_RAW!D374))</f>
        <v/>
      </c>
      <c r="F374" s="11">
        <f>IF(GL_RAW!A374="","",TRIM(GL_RAW!F374))</f>
        <v/>
      </c>
      <c r="G374" s="11">
        <f>IF(GL_RAW!A374="","",TRIM(GL_RAW!G374))</f>
        <v/>
      </c>
      <c r="H374" s="12">
        <f>IF(GL_RAW!A374="","",IFERROR(GL_RAW!E374,0))</f>
        <v/>
      </c>
      <c r="I374" s="12">
        <f>IF(GL_RAW!A374="","",ABS(H374))</f>
        <v/>
      </c>
      <c r="J374" s="11">
        <f>IF(GL_RAW!A374="","",IF(OR(ISNUMBER(SEARCH("Out",F374)),ISNUMBER(SEARCH("11025002",F374)),H374&lt;0),"OUT","IN"))</f>
        <v/>
      </c>
      <c r="K374" s="11" t="inlineStr"/>
    </row>
    <row r="375">
      <c r="A375" s="13">
        <f>IF(GL_RAW!A375="","",ROW()-1)</f>
        <v/>
      </c>
      <c r="B375" s="10">
        <f>IF(GL_RAW!A375="","",IF(ISNUMBER(GL_RAW!A375),GL_RAW!A375,DATEVALUE(TEXT(GL_RAW!A375,"YYYY-MM-DD"))))</f>
        <v/>
      </c>
      <c r="C375" s="11">
        <f>IF(GL_RAW!A375="","",TRIM(GL_RAW!B375))</f>
        <v/>
      </c>
      <c r="D375" s="11">
        <f>IF(GL_RAW!A375="","",TRIM(GL_RAW!C375))</f>
        <v/>
      </c>
      <c r="E375" s="11">
        <f>IF(GL_RAW!A375="","",TRIM(GL_RAW!D375))</f>
        <v/>
      </c>
      <c r="F375" s="11">
        <f>IF(GL_RAW!A375="","",TRIM(GL_RAW!F375))</f>
        <v/>
      </c>
      <c r="G375" s="11">
        <f>IF(GL_RAW!A375="","",TRIM(GL_RAW!G375))</f>
        <v/>
      </c>
      <c r="H375" s="12">
        <f>IF(GL_RAW!A375="","",IFERROR(GL_RAW!E375,0))</f>
        <v/>
      </c>
      <c r="I375" s="12">
        <f>IF(GL_RAW!A375="","",ABS(H375))</f>
        <v/>
      </c>
      <c r="J375" s="11">
        <f>IF(GL_RAW!A375="","",IF(OR(ISNUMBER(SEARCH("Out",F375)),ISNUMBER(SEARCH("11025002",F375)),H375&lt;0),"OUT","IN"))</f>
        <v/>
      </c>
      <c r="K375" s="11" t="inlineStr"/>
    </row>
    <row r="376">
      <c r="A376" s="13">
        <f>IF(GL_RAW!A376="","",ROW()-1)</f>
        <v/>
      </c>
      <c r="B376" s="10">
        <f>IF(GL_RAW!A376="","",IF(ISNUMBER(GL_RAW!A376),GL_RAW!A376,DATEVALUE(TEXT(GL_RAW!A376,"YYYY-MM-DD"))))</f>
        <v/>
      </c>
      <c r="C376" s="11">
        <f>IF(GL_RAW!A376="","",TRIM(GL_RAW!B376))</f>
        <v/>
      </c>
      <c r="D376" s="11">
        <f>IF(GL_RAW!A376="","",TRIM(GL_RAW!C376))</f>
        <v/>
      </c>
      <c r="E376" s="11">
        <f>IF(GL_RAW!A376="","",TRIM(GL_RAW!D376))</f>
        <v/>
      </c>
      <c r="F376" s="11">
        <f>IF(GL_RAW!A376="","",TRIM(GL_RAW!F376))</f>
        <v/>
      </c>
      <c r="G376" s="11">
        <f>IF(GL_RAW!A376="","",TRIM(GL_RAW!G376))</f>
        <v/>
      </c>
      <c r="H376" s="12">
        <f>IF(GL_RAW!A376="","",IFERROR(GL_RAW!E376,0))</f>
        <v/>
      </c>
      <c r="I376" s="12">
        <f>IF(GL_RAW!A376="","",ABS(H376))</f>
        <v/>
      </c>
      <c r="J376" s="11">
        <f>IF(GL_RAW!A376="","",IF(OR(ISNUMBER(SEARCH("Out",F376)),ISNUMBER(SEARCH("11025002",F376)),H376&lt;0),"OUT","IN"))</f>
        <v/>
      </c>
      <c r="K376" s="11" t="inlineStr"/>
    </row>
    <row r="377">
      <c r="A377" s="13">
        <f>IF(GL_RAW!A377="","",ROW()-1)</f>
        <v/>
      </c>
      <c r="B377" s="10">
        <f>IF(GL_RAW!A377="","",IF(ISNUMBER(GL_RAW!A377),GL_RAW!A377,DATEVALUE(TEXT(GL_RAW!A377,"YYYY-MM-DD"))))</f>
        <v/>
      </c>
      <c r="C377" s="11">
        <f>IF(GL_RAW!A377="","",TRIM(GL_RAW!B377))</f>
        <v/>
      </c>
      <c r="D377" s="11">
        <f>IF(GL_RAW!A377="","",TRIM(GL_RAW!C377))</f>
        <v/>
      </c>
      <c r="E377" s="11">
        <f>IF(GL_RAW!A377="","",TRIM(GL_RAW!D377))</f>
        <v/>
      </c>
      <c r="F377" s="11">
        <f>IF(GL_RAW!A377="","",TRIM(GL_RAW!F377))</f>
        <v/>
      </c>
      <c r="G377" s="11">
        <f>IF(GL_RAW!A377="","",TRIM(GL_RAW!G377))</f>
        <v/>
      </c>
      <c r="H377" s="12">
        <f>IF(GL_RAW!A377="","",IFERROR(GL_RAW!E377,0))</f>
        <v/>
      </c>
      <c r="I377" s="12">
        <f>IF(GL_RAW!A377="","",ABS(H377))</f>
        <v/>
      </c>
      <c r="J377" s="11">
        <f>IF(GL_RAW!A377="","",IF(OR(ISNUMBER(SEARCH("Out",F377)),ISNUMBER(SEARCH("11025002",F377)),H377&lt;0),"OUT","IN"))</f>
        <v/>
      </c>
      <c r="K377" s="11" t="inlineStr"/>
    </row>
    <row r="378">
      <c r="A378" s="13">
        <f>IF(GL_RAW!A378="","",ROW()-1)</f>
        <v/>
      </c>
      <c r="B378" s="10">
        <f>IF(GL_RAW!A378="","",IF(ISNUMBER(GL_RAW!A378),GL_RAW!A378,DATEVALUE(TEXT(GL_RAW!A378,"YYYY-MM-DD"))))</f>
        <v/>
      </c>
      <c r="C378" s="11">
        <f>IF(GL_RAW!A378="","",TRIM(GL_RAW!B378))</f>
        <v/>
      </c>
      <c r="D378" s="11">
        <f>IF(GL_RAW!A378="","",TRIM(GL_RAW!C378))</f>
        <v/>
      </c>
      <c r="E378" s="11">
        <f>IF(GL_RAW!A378="","",TRIM(GL_RAW!D378))</f>
        <v/>
      </c>
      <c r="F378" s="11">
        <f>IF(GL_RAW!A378="","",TRIM(GL_RAW!F378))</f>
        <v/>
      </c>
      <c r="G378" s="11">
        <f>IF(GL_RAW!A378="","",TRIM(GL_RAW!G378))</f>
        <v/>
      </c>
      <c r="H378" s="12">
        <f>IF(GL_RAW!A378="","",IFERROR(GL_RAW!E378,0))</f>
        <v/>
      </c>
      <c r="I378" s="12">
        <f>IF(GL_RAW!A378="","",ABS(H378))</f>
        <v/>
      </c>
      <c r="J378" s="11">
        <f>IF(GL_RAW!A378="","",IF(OR(ISNUMBER(SEARCH("Out",F378)),ISNUMBER(SEARCH("11025002",F378)),H378&lt;0),"OUT","IN"))</f>
        <v/>
      </c>
      <c r="K378" s="11" t="inlineStr"/>
    </row>
    <row r="379">
      <c r="A379" s="13">
        <f>IF(GL_RAW!A379="","",ROW()-1)</f>
        <v/>
      </c>
      <c r="B379" s="10">
        <f>IF(GL_RAW!A379="","",IF(ISNUMBER(GL_RAW!A379),GL_RAW!A379,DATEVALUE(TEXT(GL_RAW!A379,"YYYY-MM-DD"))))</f>
        <v/>
      </c>
      <c r="C379" s="11">
        <f>IF(GL_RAW!A379="","",TRIM(GL_RAW!B379))</f>
        <v/>
      </c>
      <c r="D379" s="11">
        <f>IF(GL_RAW!A379="","",TRIM(GL_RAW!C379))</f>
        <v/>
      </c>
      <c r="E379" s="11">
        <f>IF(GL_RAW!A379="","",TRIM(GL_RAW!D379))</f>
        <v/>
      </c>
      <c r="F379" s="11">
        <f>IF(GL_RAW!A379="","",TRIM(GL_RAW!F379))</f>
        <v/>
      </c>
      <c r="G379" s="11">
        <f>IF(GL_RAW!A379="","",TRIM(GL_RAW!G379))</f>
        <v/>
      </c>
      <c r="H379" s="12">
        <f>IF(GL_RAW!A379="","",IFERROR(GL_RAW!E379,0))</f>
        <v/>
      </c>
      <c r="I379" s="12">
        <f>IF(GL_RAW!A379="","",ABS(H379))</f>
        <v/>
      </c>
      <c r="J379" s="11">
        <f>IF(GL_RAW!A379="","",IF(OR(ISNUMBER(SEARCH("Out",F379)),ISNUMBER(SEARCH("11025002",F379)),H379&lt;0),"OUT","IN"))</f>
        <v/>
      </c>
      <c r="K379" s="11" t="inlineStr"/>
    </row>
    <row r="380">
      <c r="A380" s="13">
        <f>IF(GL_RAW!A380="","",ROW()-1)</f>
        <v/>
      </c>
      <c r="B380" s="10">
        <f>IF(GL_RAW!A380="","",IF(ISNUMBER(GL_RAW!A380),GL_RAW!A380,DATEVALUE(TEXT(GL_RAW!A380,"YYYY-MM-DD"))))</f>
        <v/>
      </c>
      <c r="C380" s="11">
        <f>IF(GL_RAW!A380="","",TRIM(GL_RAW!B380))</f>
        <v/>
      </c>
      <c r="D380" s="11">
        <f>IF(GL_RAW!A380="","",TRIM(GL_RAW!C380))</f>
        <v/>
      </c>
      <c r="E380" s="11">
        <f>IF(GL_RAW!A380="","",TRIM(GL_RAW!D380))</f>
        <v/>
      </c>
      <c r="F380" s="11">
        <f>IF(GL_RAW!A380="","",TRIM(GL_RAW!F380))</f>
        <v/>
      </c>
      <c r="G380" s="11">
        <f>IF(GL_RAW!A380="","",TRIM(GL_RAW!G380))</f>
        <v/>
      </c>
      <c r="H380" s="12">
        <f>IF(GL_RAW!A380="","",IFERROR(GL_RAW!E380,0))</f>
        <v/>
      </c>
      <c r="I380" s="12">
        <f>IF(GL_RAW!A380="","",ABS(H380))</f>
        <v/>
      </c>
      <c r="J380" s="11">
        <f>IF(GL_RAW!A380="","",IF(OR(ISNUMBER(SEARCH("Out",F380)),ISNUMBER(SEARCH("11025002",F380)),H380&lt;0),"OUT","IN"))</f>
        <v/>
      </c>
      <c r="K380" s="11" t="inlineStr"/>
    </row>
    <row r="381">
      <c r="A381" s="13">
        <f>IF(GL_RAW!A381="","",ROW()-1)</f>
        <v/>
      </c>
      <c r="B381" s="10">
        <f>IF(GL_RAW!A381="","",IF(ISNUMBER(GL_RAW!A381),GL_RAW!A381,DATEVALUE(TEXT(GL_RAW!A381,"YYYY-MM-DD"))))</f>
        <v/>
      </c>
      <c r="C381" s="11">
        <f>IF(GL_RAW!A381="","",TRIM(GL_RAW!B381))</f>
        <v/>
      </c>
      <c r="D381" s="11">
        <f>IF(GL_RAW!A381="","",TRIM(GL_RAW!C381))</f>
        <v/>
      </c>
      <c r="E381" s="11">
        <f>IF(GL_RAW!A381="","",TRIM(GL_RAW!D381))</f>
        <v/>
      </c>
      <c r="F381" s="11">
        <f>IF(GL_RAW!A381="","",TRIM(GL_RAW!F381))</f>
        <v/>
      </c>
      <c r="G381" s="11">
        <f>IF(GL_RAW!A381="","",TRIM(GL_RAW!G381))</f>
        <v/>
      </c>
      <c r="H381" s="12">
        <f>IF(GL_RAW!A381="","",IFERROR(GL_RAW!E381,0))</f>
        <v/>
      </c>
      <c r="I381" s="12">
        <f>IF(GL_RAW!A381="","",ABS(H381))</f>
        <v/>
      </c>
      <c r="J381" s="11">
        <f>IF(GL_RAW!A381="","",IF(OR(ISNUMBER(SEARCH("Out",F381)),ISNUMBER(SEARCH("11025002",F381)),H381&lt;0),"OUT","IN"))</f>
        <v/>
      </c>
      <c r="K381" s="11" t="inlineStr"/>
    </row>
    <row r="382">
      <c r="A382" s="13">
        <f>IF(GL_RAW!A382="","",ROW()-1)</f>
        <v/>
      </c>
      <c r="B382" s="10">
        <f>IF(GL_RAW!A382="","",IF(ISNUMBER(GL_RAW!A382),GL_RAW!A382,DATEVALUE(TEXT(GL_RAW!A382,"YYYY-MM-DD"))))</f>
        <v/>
      </c>
      <c r="C382" s="11">
        <f>IF(GL_RAW!A382="","",TRIM(GL_RAW!B382))</f>
        <v/>
      </c>
      <c r="D382" s="11">
        <f>IF(GL_RAW!A382="","",TRIM(GL_RAW!C382))</f>
        <v/>
      </c>
      <c r="E382" s="11">
        <f>IF(GL_RAW!A382="","",TRIM(GL_RAW!D382))</f>
        <v/>
      </c>
      <c r="F382" s="11">
        <f>IF(GL_RAW!A382="","",TRIM(GL_RAW!F382))</f>
        <v/>
      </c>
      <c r="G382" s="11">
        <f>IF(GL_RAW!A382="","",TRIM(GL_RAW!G382))</f>
        <v/>
      </c>
      <c r="H382" s="12">
        <f>IF(GL_RAW!A382="","",IFERROR(GL_RAW!E382,0))</f>
        <v/>
      </c>
      <c r="I382" s="12">
        <f>IF(GL_RAW!A382="","",ABS(H382))</f>
        <v/>
      </c>
      <c r="J382" s="11">
        <f>IF(GL_RAW!A382="","",IF(OR(ISNUMBER(SEARCH("Out",F382)),ISNUMBER(SEARCH("11025002",F382)),H382&lt;0),"OUT","IN"))</f>
        <v/>
      </c>
      <c r="K382" s="11" t="inlineStr"/>
    </row>
    <row r="383">
      <c r="A383" s="13">
        <f>IF(GL_RAW!A383="","",ROW()-1)</f>
        <v/>
      </c>
      <c r="B383" s="10">
        <f>IF(GL_RAW!A383="","",IF(ISNUMBER(GL_RAW!A383),GL_RAW!A383,DATEVALUE(TEXT(GL_RAW!A383,"YYYY-MM-DD"))))</f>
        <v/>
      </c>
      <c r="C383" s="11">
        <f>IF(GL_RAW!A383="","",TRIM(GL_RAW!B383))</f>
        <v/>
      </c>
      <c r="D383" s="11">
        <f>IF(GL_RAW!A383="","",TRIM(GL_RAW!C383))</f>
        <v/>
      </c>
      <c r="E383" s="11">
        <f>IF(GL_RAW!A383="","",TRIM(GL_RAW!D383))</f>
        <v/>
      </c>
      <c r="F383" s="11">
        <f>IF(GL_RAW!A383="","",TRIM(GL_RAW!F383))</f>
        <v/>
      </c>
      <c r="G383" s="11">
        <f>IF(GL_RAW!A383="","",TRIM(GL_RAW!G383))</f>
        <v/>
      </c>
      <c r="H383" s="12">
        <f>IF(GL_RAW!A383="","",IFERROR(GL_RAW!E383,0))</f>
        <v/>
      </c>
      <c r="I383" s="12">
        <f>IF(GL_RAW!A383="","",ABS(H383))</f>
        <v/>
      </c>
      <c r="J383" s="11">
        <f>IF(GL_RAW!A383="","",IF(OR(ISNUMBER(SEARCH("Out",F383)),ISNUMBER(SEARCH("11025002",F383)),H383&lt;0),"OUT","IN"))</f>
        <v/>
      </c>
      <c r="K383" s="11" t="inlineStr"/>
    </row>
    <row r="384">
      <c r="A384" s="13">
        <f>IF(GL_RAW!A384="","",ROW()-1)</f>
        <v/>
      </c>
      <c r="B384" s="10">
        <f>IF(GL_RAW!A384="","",IF(ISNUMBER(GL_RAW!A384),GL_RAW!A384,DATEVALUE(TEXT(GL_RAW!A384,"YYYY-MM-DD"))))</f>
        <v/>
      </c>
      <c r="C384" s="11">
        <f>IF(GL_RAW!A384="","",TRIM(GL_RAW!B384))</f>
        <v/>
      </c>
      <c r="D384" s="11">
        <f>IF(GL_RAW!A384="","",TRIM(GL_RAW!C384))</f>
        <v/>
      </c>
      <c r="E384" s="11">
        <f>IF(GL_RAW!A384="","",TRIM(GL_RAW!D384))</f>
        <v/>
      </c>
      <c r="F384" s="11">
        <f>IF(GL_RAW!A384="","",TRIM(GL_RAW!F384))</f>
        <v/>
      </c>
      <c r="G384" s="11">
        <f>IF(GL_RAW!A384="","",TRIM(GL_RAW!G384))</f>
        <v/>
      </c>
      <c r="H384" s="12">
        <f>IF(GL_RAW!A384="","",IFERROR(GL_RAW!E384,0))</f>
        <v/>
      </c>
      <c r="I384" s="12">
        <f>IF(GL_RAW!A384="","",ABS(H384))</f>
        <v/>
      </c>
      <c r="J384" s="11">
        <f>IF(GL_RAW!A384="","",IF(OR(ISNUMBER(SEARCH("Out",F384)),ISNUMBER(SEARCH("11025002",F384)),H384&lt;0),"OUT","IN"))</f>
        <v/>
      </c>
      <c r="K384" s="11" t="inlineStr"/>
    </row>
    <row r="385">
      <c r="A385" s="13">
        <f>IF(GL_RAW!A385="","",ROW()-1)</f>
        <v/>
      </c>
      <c r="B385" s="10">
        <f>IF(GL_RAW!A385="","",IF(ISNUMBER(GL_RAW!A385),GL_RAW!A385,DATEVALUE(TEXT(GL_RAW!A385,"YYYY-MM-DD"))))</f>
        <v/>
      </c>
      <c r="C385" s="11">
        <f>IF(GL_RAW!A385="","",TRIM(GL_RAW!B385))</f>
        <v/>
      </c>
      <c r="D385" s="11">
        <f>IF(GL_RAW!A385="","",TRIM(GL_RAW!C385))</f>
        <v/>
      </c>
      <c r="E385" s="11">
        <f>IF(GL_RAW!A385="","",TRIM(GL_RAW!D385))</f>
        <v/>
      </c>
      <c r="F385" s="11">
        <f>IF(GL_RAW!A385="","",TRIM(GL_RAW!F385))</f>
        <v/>
      </c>
      <c r="G385" s="11">
        <f>IF(GL_RAW!A385="","",TRIM(GL_RAW!G385))</f>
        <v/>
      </c>
      <c r="H385" s="12">
        <f>IF(GL_RAW!A385="","",IFERROR(GL_RAW!E385,0))</f>
        <v/>
      </c>
      <c r="I385" s="12">
        <f>IF(GL_RAW!A385="","",ABS(H385))</f>
        <v/>
      </c>
      <c r="J385" s="11">
        <f>IF(GL_RAW!A385="","",IF(OR(ISNUMBER(SEARCH("Out",F385)),ISNUMBER(SEARCH("11025002",F385)),H385&lt;0),"OUT","IN"))</f>
        <v/>
      </c>
      <c r="K385" s="11" t="inlineStr"/>
    </row>
    <row r="386">
      <c r="A386" s="13">
        <f>IF(GL_RAW!A386="","",ROW()-1)</f>
        <v/>
      </c>
      <c r="B386" s="10">
        <f>IF(GL_RAW!A386="","",IF(ISNUMBER(GL_RAW!A386),GL_RAW!A386,DATEVALUE(TEXT(GL_RAW!A386,"YYYY-MM-DD"))))</f>
        <v/>
      </c>
      <c r="C386" s="11">
        <f>IF(GL_RAW!A386="","",TRIM(GL_RAW!B386))</f>
        <v/>
      </c>
      <c r="D386" s="11">
        <f>IF(GL_RAW!A386="","",TRIM(GL_RAW!C386))</f>
        <v/>
      </c>
      <c r="E386" s="11">
        <f>IF(GL_RAW!A386="","",TRIM(GL_RAW!D386))</f>
        <v/>
      </c>
      <c r="F386" s="11">
        <f>IF(GL_RAW!A386="","",TRIM(GL_RAW!F386))</f>
        <v/>
      </c>
      <c r="G386" s="11">
        <f>IF(GL_RAW!A386="","",TRIM(GL_RAW!G386))</f>
        <v/>
      </c>
      <c r="H386" s="12">
        <f>IF(GL_RAW!A386="","",IFERROR(GL_RAW!E386,0))</f>
        <v/>
      </c>
      <c r="I386" s="12">
        <f>IF(GL_RAW!A386="","",ABS(H386))</f>
        <v/>
      </c>
      <c r="J386" s="11">
        <f>IF(GL_RAW!A386="","",IF(OR(ISNUMBER(SEARCH("Out",F386)),ISNUMBER(SEARCH("11025002",F386)),H386&lt;0),"OUT","IN"))</f>
        <v/>
      </c>
      <c r="K386" s="11" t="inlineStr"/>
    </row>
    <row r="387">
      <c r="A387" s="13">
        <f>IF(GL_RAW!A387="","",ROW()-1)</f>
        <v/>
      </c>
      <c r="B387" s="10">
        <f>IF(GL_RAW!A387="","",IF(ISNUMBER(GL_RAW!A387),GL_RAW!A387,DATEVALUE(TEXT(GL_RAW!A387,"YYYY-MM-DD"))))</f>
        <v/>
      </c>
      <c r="C387" s="11">
        <f>IF(GL_RAW!A387="","",TRIM(GL_RAW!B387))</f>
        <v/>
      </c>
      <c r="D387" s="11">
        <f>IF(GL_RAW!A387="","",TRIM(GL_RAW!C387))</f>
        <v/>
      </c>
      <c r="E387" s="11">
        <f>IF(GL_RAW!A387="","",TRIM(GL_RAW!D387))</f>
        <v/>
      </c>
      <c r="F387" s="11">
        <f>IF(GL_RAW!A387="","",TRIM(GL_RAW!F387))</f>
        <v/>
      </c>
      <c r="G387" s="11">
        <f>IF(GL_RAW!A387="","",TRIM(GL_RAW!G387))</f>
        <v/>
      </c>
      <c r="H387" s="12">
        <f>IF(GL_RAW!A387="","",IFERROR(GL_RAW!E387,0))</f>
        <v/>
      </c>
      <c r="I387" s="12">
        <f>IF(GL_RAW!A387="","",ABS(H387))</f>
        <v/>
      </c>
      <c r="J387" s="11">
        <f>IF(GL_RAW!A387="","",IF(OR(ISNUMBER(SEARCH("Out",F387)),ISNUMBER(SEARCH("11025002",F387)),H387&lt;0),"OUT","IN"))</f>
        <v/>
      </c>
      <c r="K387" s="11" t="inlineStr"/>
    </row>
    <row r="388">
      <c r="A388" s="13">
        <f>IF(GL_RAW!A388="","",ROW()-1)</f>
        <v/>
      </c>
      <c r="B388" s="10">
        <f>IF(GL_RAW!A388="","",IF(ISNUMBER(GL_RAW!A388),GL_RAW!A388,DATEVALUE(TEXT(GL_RAW!A388,"YYYY-MM-DD"))))</f>
        <v/>
      </c>
      <c r="C388" s="11">
        <f>IF(GL_RAW!A388="","",TRIM(GL_RAW!B388))</f>
        <v/>
      </c>
      <c r="D388" s="11">
        <f>IF(GL_RAW!A388="","",TRIM(GL_RAW!C388))</f>
        <v/>
      </c>
      <c r="E388" s="11">
        <f>IF(GL_RAW!A388="","",TRIM(GL_RAW!D388))</f>
        <v/>
      </c>
      <c r="F388" s="11">
        <f>IF(GL_RAW!A388="","",TRIM(GL_RAW!F388))</f>
        <v/>
      </c>
      <c r="G388" s="11">
        <f>IF(GL_RAW!A388="","",TRIM(GL_RAW!G388))</f>
        <v/>
      </c>
      <c r="H388" s="12">
        <f>IF(GL_RAW!A388="","",IFERROR(GL_RAW!E388,0))</f>
        <v/>
      </c>
      <c r="I388" s="12">
        <f>IF(GL_RAW!A388="","",ABS(H388))</f>
        <v/>
      </c>
      <c r="J388" s="11">
        <f>IF(GL_RAW!A388="","",IF(OR(ISNUMBER(SEARCH("Out",F388)),ISNUMBER(SEARCH("11025002",F388)),H388&lt;0),"OUT","IN"))</f>
        <v/>
      </c>
      <c r="K388" s="11" t="inlineStr"/>
    </row>
    <row r="389">
      <c r="A389" s="13">
        <f>IF(GL_RAW!A389="","",ROW()-1)</f>
        <v/>
      </c>
      <c r="B389" s="10">
        <f>IF(GL_RAW!A389="","",IF(ISNUMBER(GL_RAW!A389),GL_RAW!A389,DATEVALUE(TEXT(GL_RAW!A389,"YYYY-MM-DD"))))</f>
        <v/>
      </c>
      <c r="C389" s="11">
        <f>IF(GL_RAW!A389="","",TRIM(GL_RAW!B389))</f>
        <v/>
      </c>
      <c r="D389" s="11">
        <f>IF(GL_RAW!A389="","",TRIM(GL_RAW!C389))</f>
        <v/>
      </c>
      <c r="E389" s="11">
        <f>IF(GL_RAW!A389="","",TRIM(GL_RAW!D389))</f>
        <v/>
      </c>
      <c r="F389" s="11">
        <f>IF(GL_RAW!A389="","",TRIM(GL_RAW!F389))</f>
        <v/>
      </c>
      <c r="G389" s="11">
        <f>IF(GL_RAW!A389="","",TRIM(GL_RAW!G389))</f>
        <v/>
      </c>
      <c r="H389" s="12">
        <f>IF(GL_RAW!A389="","",IFERROR(GL_RAW!E389,0))</f>
        <v/>
      </c>
      <c r="I389" s="12">
        <f>IF(GL_RAW!A389="","",ABS(H389))</f>
        <v/>
      </c>
      <c r="J389" s="11">
        <f>IF(GL_RAW!A389="","",IF(OR(ISNUMBER(SEARCH("Out",F389)),ISNUMBER(SEARCH("11025002",F389)),H389&lt;0),"OUT","IN"))</f>
        <v/>
      </c>
      <c r="K389" s="11" t="inlineStr"/>
    </row>
    <row r="390">
      <c r="A390" s="13">
        <f>IF(GL_RAW!A390="","",ROW()-1)</f>
        <v/>
      </c>
      <c r="B390" s="10">
        <f>IF(GL_RAW!A390="","",IF(ISNUMBER(GL_RAW!A390),GL_RAW!A390,DATEVALUE(TEXT(GL_RAW!A390,"YYYY-MM-DD"))))</f>
        <v/>
      </c>
      <c r="C390" s="11">
        <f>IF(GL_RAW!A390="","",TRIM(GL_RAW!B390))</f>
        <v/>
      </c>
      <c r="D390" s="11">
        <f>IF(GL_RAW!A390="","",TRIM(GL_RAW!C390))</f>
        <v/>
      </c>
      <c r="E390" s="11">
        <f>IF(GL_RAW!A390="","",TRIM(GL_RAW!D390))</f>
        <v/>
      </c>
      <c r="F390" s="11">
        <f>IF(GL_RAW!A390="","",TRIM(GL_RAW!F390))</f>
        <v/>
      </c>
      <c r="G390" s="11">
        <f>IF(GL_RAW!A390="","",TRIM(GL_RAW!G390))</f>
        <v/>
      </c>
      <c r="H390" s="12">
        <f>IF(GL_RAW!A390="","",IFERROR(GL_RAW!E390,0))</f>
        <v/>
      </c>
      <c r="I390" s="12">
        <f>IF(GL_RAW!A390="","",ABS(H390))</f>
        <v/>
      </c>
      <c r="J390" s="11">
        <f>IF(GL_RAW!A390="","",IF(OR(ISNUMBER(SEARCH("Out",F390)),ISNUMBER(SEARCH("11025002",F390)),H390&lt;0),"OUT","IN"))</f>
        <v/>
      </c>
      <c r="K390" s="11" t="inlineStr"/>
    </row>
    <row r="391">
      <c r="A391" s="13">
        <f>IF(GL_RAW!A391="","",ROW()-1)</f>
        <v/>
      </c>
      <c r="B391" s="10">
        <f>IF(GL_RAW!A391="","",IF(ISNUMBER(GL_RAW!A391),GL_RAW!A391,DATEVALUE(TEXT(GL_RAW!A391,"YYYY-MM-DD"))))</f>
        <v/>
      </c>
      <c r="C391" s="11">
        <f>IF(GL_RAW!A391="","",TRIM(GL_RAW!B391))</f>
        <v/>
      </c>
      <c r="D391" s="11">
        <f>IF(GL_RAW!A391="","",TRIM(GL_RAW!C391))</f>
        <v/>
      </c>
      <c r="E391" s="11">
        <f>IF(GL_RAW!A391="","",TRIM(GL_RAW!D391))</f>
        <v/>
      </c>
      <c r="F391" s="11">
        <f>IF(GL_RAW!A391="","",TRIM(GL_RAW!F391))</f>
        <v/>
      </c>
      <c r="G391" s="11">
        <f>IF(GL_RAW!A391="","",TRIM(GL_RAW!G391))</f>
        <v/>
      </c>
      <c r="H391" s="12">
        <f>IF(GL_RAW!A391="","",IFERROR(GL_RAW!E391,0))</f>
        <v/>
      </c>
      <c r="I391" s="12">
        <f>IF(GL_RAW!A391="","",ABS(H391))</f>
        <v/>
      </c>
      <c r="J391" s="11">
        <f>IF(GL_RAW!A391="","",IF(OR(ISNUMBER(SEARCH("Out",F391)),ISNUMBER(SEARCH("11025002",F391)),H391&lt;0),"OUT","IN"))</f>
        <v/>
      </c>
      <c r="K391" s="11" t="inlineStr"/>
    </row>
    <row r="392">
      <c r="A392" s="13">
        <f>IF(GL_RAW!A392="","",ROW()-1)</f>
        <v/>
      </c>
      <c r="B392" s="10">
        <f>IF(GL_RAW!A392="","",IF(ISNUMBER(GL_RAW!A392),GL_RAW!A392,DATEVALUE(TEXT(GL_RAW!A392,"YYYY-MM-DD"))))</f>
        <v/>
      </c>
      <c r="C392" s="11">
        <f>IF(GL_RAW!A392="","",TRIM(GL_RAW!B392))</f>
        <v/>
      </c>
      <c r="D392" s="11">
        <f>IF(GL_RAW!A392="","",TRIM(GL_RAW!C392))</f>
        <v/>
      </c>
      <c r="E392" s="11">
        <f>IF(GL_RAW!A392="","",TRIM(GL_RAW!D392))</f>
        <v/>
      </c>
      <c r="F392" s="11">
        <f>IF(GL_RAW!A392="","",TRIM(GL_RAW!F392))</f>
        <v/>
      </c>
      <c r="G392" s="11">
        <f>IF(GL_RAW!A392="","",TRIM(GL_RAW!G392))</f>
        <v/>
      </c>
      <c r="H392" s="12">
        <f>IF(GL_RAW!A392="","",IFERROR(GL_RAW!E392,0))</f>
        <v/>
      </c>
      <c r="I392" s="12">
        <f>IF(GL_RAW!A392="","",ABS(H392))</f>
        <v/>
      </c>
      <c r="J392" s="11">
        <f>IF(GL_RAW!A392="","",IF(OR(ISNUMBER(SEARCH("Out",F392)),ISNUMBER(SEARCH("11025002",F392)),H392&lt;0),"OUT","IN"))</f>
        <v/>
      </c>
      <c r="K392" s="11" t="inlineStr"/>
    </row>
    <row r="393">
      <c r="A393" s="13">
        <f>IF(GL_RAW!A393="","",ROW()-1)</f>
        <v/>
      </c>
      <c r="B393" s="10">
        <f>IF(GL_RAW!A393="","",IF(ISNUMBER(GL_RAW!A393),GL_RAW!A393,DATEVALUE(TEXT(GL_RAW!A393,"YYYY-MM-DD"))))</f>
        <v/>
      </c>
      <c r="C393" s="11">
        <f>IF(GL_RAW!A393="","",TRIM(GL_RAW!B393))</f>
        <v/>
      </c>
      <c r="D393" s="11">
        <f>IF(GL_RAW!A393="","",TRIM(GL_RAW!C393))</f>
        <v/>
      </c>
      <c r="E393" s="11">
        <f>IF(GL_RAW!A393="","",TRIM(GL_RAW!D393))</f>
        <v/>
      </c>
      <c r="F393" s="11">
        <f>IF(GL_RAW!A393="","",TRIM(GL_RAW!F393))</f>
        <v/>
      </c>
      <c r="G393" s="11">
        <f>IF(GL_RAW!A393="","",TRIM(GL_RAW!G393))</f>
        <v/>
      </c>
      <c r="H393" s="12">
        <f>IF(GL_RAW!A393="","",IFERROR(GL_RAW!E393,0))</f>
        <v/>
      </c>
      <c r="I393" s="12">
        <f>IF(GL_RAW!A393="","",ABS(H393))</f>
        <v/>
      </c>
      <c r="J393" s="11">
        <f>IF(GL_RAW!A393="","",IF(OR(ISNUMBER(SEARCH("Out",F393)),ISNUMBER(SEARCH("11025002",F393)),H393&lt;0),"OUT","IN"))</f>
        <v/>
      </c>
      <c r="K393" s="11" t="inlineStr"/>
    </row>
    <row r="394">
      <c r="A394" s="13">
        <f>IF(GL_RAW!A394="","",ROW()-1)</f>
        <v/>
      </c>
      <c r="B394" s="10">
        <f>IF(GL_RAW!A394="","",IF(ISNUMBER(GL_RAW!A394),GL_RAW!A394,DATEVALUE(TEXT(GL_RAW!A394,"YYYY-MM-DD"))))</f>
        <v/>
      </c>
      <c r="C394" s="11">
        <f>IF(GL_RAW!A394="","",TRIM(GL_RAW!B394))</f>
        <v/>
      </c>
      <c r="D394" s="11">
        <f>IF(GL_RAW!A394="","",TRIM(GL_RAW!C394))</f>
        <v/>
      </c>
      <c r="E394" s="11">
        <f>IF(GL_RAW!A394="","",TRIM(GL_RAW!D394))</f>
        <v/>
      </c>
      <c r="F394" s="11">
        <f>IF(GL_RAW!A394="","",TRIM(GL_RAW!F394))</f>
        <v/>
      </c>
      <c r="G394" s="11">
        <f>IF(GL_RAW!A394="","",TRIM(GL_RAW!G394))</f>
        <v/>
      </c>
      <c r="H394" s="12">
        <f>IF(GL_RAW!A394="","",IFERROR(GL_RAW!E394,0))</f>
        <v/>
      </c>
      <c r="I394" s="12">
        <f>IF(GL_RAW!A394="","",ABS(H394))</f>
        <v/>
      </c>
      <c r="J394" s="11">
        <f>IF(GL_RAW!A394="","",IF(OR(ISNUMBER(SEARCH("Out",F394)),ISNUMBER(SEARCH("11025002",F394)),H394&lt;0),"OUT","IN"))</f>
        <v/>
      </c>
      <c r="K394" s="11" t="inlineStr"/>
    </row>
    <row r="395">
      <c r="A395" s="13">
        <f>IF(GL_RAW!A395="","",ROW()-1)</f>
        <v/>
      </c>
      <c r="B395" s="10">
        <f>IF(GL_RAW!A395="","",IF(ISNUMBER(GL_RAW!A395),GL_RAW!A395,DATEVALUE(TEXT(GL_RAW!A395,"YYYY-MM-DD"))))</f>
        <v/>
      </c>
      <c r="C395" s="11">
        <f>IF(GL_RAW!A395="","",TRIM(GL_RAW!B395))</f>
        <v/>
      </c>
      <c r="D395" s="11">
        <f>IF(GL_RAW!A395="","",TRIM(GL_RAW!C395))</f>
        <v/>
      </c>
      <c r="E395" s="11">
        <f>IF(GL_RAW!A395="","",TRIM(GL_RAW!D395))</f>
        <v/>
      </c>
      <c r="F395" s="11">
        <f>IF(GL_RAW!A395="","",TRIM(GL_RAW!F395))</f>
        <v/>
      </c>
      <c r="G395" s="11">
        <f>IF(GL_RAW!A395="","",TRIM(GL_RAW!G395))</f>
        <v/>
      </c>
      <c r="H395" s="12">
        <f>IF(GL_RAW!A395="","",IFERROR(GL_RAW!E395,0))</f>
        <v/>
      </c>
      <c r="I395" s="12">
        <f>IF(GL_RAW!A395="","",ABS(H395))</f>
        <v/>
      </c>
      <c r="J395" s="11">
        <f>IF(GL_RAW!A395="","",IF(OR(ISNUMBER(SEARCH("Out",F395)),ISNUMBER(SEARCH("11025002",F395)),H395&lt;0),"OUT","IN"))</f>
        <v/>
      </c>
      <c r="K395" s="11" t="inlineStr"/>
    </row>
    <row r="396">
      <c r="A396" s="13">
        <f>IF(GL_RAW!A396="","",ROW()-1)</f>
        <v/>
      </c>
      <c r="B396" s="10">
        <f>IF(GL_RAW!A396="","",IF(ISNUMBER(GL_RAW!A396),GL_RAW!A396,DATEVALUE(TEXT(GL_RAW!A396,"YYYY-MM-DD"))))</f>
        <v/>
      </c>
      <c r="C396" s="11">
        <f>IF(GL_RAW!A396="","",TRIM(GL_RAW!B396))</f>
        <v/>
      </c>
      <c r="D396" s="11">
        <f>IF(GL_RAW!A396="","",TRIM(GL_RAW!C396))</f>
        <v/>
      </c>
      <c r="E396" s="11">
        <f>IF(GL_RAW!A396="","",TRIM(GL_RAW!D396))</f>
        <v/>
      </c>
      <c r="F396" s="11">
        <f>IF(GL_RAW!A396="","",TRIM(GL_RAW!F396))</f>
        <v/>
      </c>
      <c r="G396" s="11">
        <f>IF(GL_RAW!A396="","",TRIM(GL_RAW!G396))</f>
        <v/>
      </c>
      <c r="H396" s="12">
        <f>IF(GL_RAW!A396="","",IFERROR(GL_RAW!E396,0))</f>
        <v/>
      </c>
      <c r="I396" s="12">
        <f>IF(GL_RAW!A396="","",ABS(H396))</f>
        <v/>
      </c>
      <c r="J396" s="11">
        <f>IF(GL_RAW!A396="","",IF(OR(ISNUMBER(SEARCH("Out",F396)),ISNUMBER(SEARCH("11025002",F396)),H396&lt;0),"OUT","IN"))</f>
        <v/>
      </c>
      <c r="K396" s="11" t="inlineStr"/>
    </row>
    <row r="397">
      <c r="A397" s="13">
        <f>IF(GL_RAW!A397="","",ROW()-1)</f>
        <v/>
      </c>
      <c r="B397" s="10">
        <f>IF(GL_RAW!A397="","",IF(ISNUMBER(GL_RAW!A397),GL_RAW!A397,DATEVALUE(TEXT(GL_RAW!A397,"YYYY-MM-DD"))))</f>
        <v/>
      </c>
      <c r="C397" s="11">
        <f>IF(GL_RAW!A397="","",TRIM(GL_RAW!B397))</f>
        <v/>
      </c>
      <c r="D397" s="11">
        <f>IF(GL_RAW!A397="","",TRIM(GL_RAW!C397))</f>
        <v/>
      </c>
      <c r="E397" s="11">
        <f>IF(GL_RAW!A397="","",TRIM(GL_RAW!D397))</f>
        <v/>
      </c>
      <c r="F397" s="11">
        <f>IF(GL_RAW!A397="","",TRIM(GL_RAW!F397))</f>
        <v/>
      </c>
      <c r="G397" s="11">
        <f>IF(GL_RAW!A397="","",TRIM(GL_RAW!G397))</f>
        <v/>
      </c>
      <c r="H397" s="12">
        <f>IF(GL_RAW!A397="","",IFERROR(GL_RAW!E397,0))</f>
        <v/>
      </c>
      <c r="I397" s="12">
        <f>IF(GL_RAW!A397="","",ABS(H397))</f>
        <v/>
      </c>
      <c r="J397" s="11">
        <f>IF(GL_RAW!A397="","",IF(OR(ISNUMBER(SEARCH("Out",F397)),ISNUMBER(SEARCH("11025002",F397)),H397&lt;0),"OUT","IN"))</f>
        <v/>
      </c>
      <c r="K397" s="11" t="inlineStr"/>
    </row>
    <row r="398">
      <c r="A398" s="13">
        <f>IF(GL_RAW!A398="","",ROW()-1)</f>
        <v/>
      </c>
      <c r="B398" s="10">
        <f>IF(GL_RAW!A398="","",IF(ISNUMBER(GL_RAW!A398),GL_RAW!A398,DATEVALUE(TEXT(GL_RAW!A398,"YYYY-MM-DD"))))</f>
        <v/>
      </c>
      <c r="C398" s="11">
        <f>IF(GL_RAW!A398="","",TRIM(GL_RAW!B398))</f>
        <v/>
      </c>
      <c r="D398" s="11">
        <f>IF(GL_RAW!A398="","",TRIM(GL_RAW!C398))</f>
        <v/>
      </c>
      <c r="E398" s="11">
        <f>IF(GL_RAW!A398="","",TRIM(GL_RAW!D398))</f>
        <v/>
      </c>
      <c r="F398" s="11">
        <f>IF(GL_RAW!A398="","",TRIM(GL_RAW!F398))</f>
        <v/>
      </c>
      <c r="G398" s="11">
        <f>IF(GL_RAW!A398="","",TRIM(GL_RAW!G398))</f>
        <v/>
      </c>
      <c r="H398" s="12">
        <f>IF(GL_RAW!A398="","",IFERROR(GL_RAW!E398,0))</f>
        <v/>
      </c>
      <c r="I398" s="12">
        <f>IF(GL_RAW!A398="","",ABS(H398))</f>
        <v/>
      </c>
      <c r="J398" s="11">
        <f>IF(GL_RAW!A398="","",IF(OR(ISNUMBER(SEARCH("Out",F398)),ISNUMBER(SEARCH("11025002",F398)),H398&lt;0),"OUT","IN"))</f>
        <v/>
      </c>
      <c r="K398" s="11" t="inlineStr"/>
    </row>
    <row r="399">
      <c r="A399" s="13">
        <f>IF(GL_RAW!A399="","",ROW()-1)</f>
        <v/>
      </c>
      <c r="B399" s="10">
        <f>IF(GL_RAW!A399="","",IF(ISNUMBER(GL_RAW!A399),GL_RAW!A399,DATEVALUE(TEXT(GL_RAW!A399,"YYYY-MM-DD"))))</f>
        <v/>
      </c>
      <c r="C399" s="11">
        <f>IF(GL_RAW!A399="","",TRIM(GL_RAW!B399))</f>
        <v/>
      </c>
      <c r="D399" s="11">
        <f>IF(GL_RAW!A399="","",TRIM(GL_RAW!C399))</f>
        <v/>
      </c>
      <c r="E399" s="11">
        <f>IF(GL_RAW!A399="","",TRIM(GL_RAW!D399))</f>
        <v/>
      </c>
      <c r="F399" s="11">
        <f>IF(GL_RAW!A399="","",TRIM(GL_RAW!F399))</f>
        <v/>
      </c>
      <c r="G399" s="11">
        <f>IF(GL_RAW!A399="","",TRIM(GL_RAW!G399))</f>
        <v/>
      </c>
      <c r="H399" s="12">
        <f>IF(GL_RAW!A399="","",IFERROR(GL_RAW!E399,0))</f>
        <v/>
      </c>
      <c r="I399" s="12">
        <f>IF(GL_RAW!A399="","",ABS(H399))</f>
        <v/>
      </c>
      <c r="J399" s="11">
        <f>IF(GL_RAW!A399="","",IF(OR(ISNUMBER(SEARCH("Out",F399)),ISNUMBER(SEARCH("11025002",F399)),H399&lt;0),"OUT","IN"))</f>
        <v/>
      </c>
      <c r="K399" s="11" t="inlineStr"/>
    </row>
    <row r="400">
      <c r="A400" s="13">
        <f>IF(GL_RAW!A400="","",ROW()-1)</f>
        <v/>
      </c>
      <c r="B400" s="10">
        <f>IF(GL_RAW!A400="","",IF(ISNUMBER(GL_RAW!A400),GL_RAW!A400,DATEVALUE(TEXT(GL_RAW!A400,"YYYY-MM-DD"))))</f>
        <v/>
      </c>
      <c r="C400" s="11">
        <f>IF(GL_RAW!A400="","",TRIM(GL_RAW!B400))</f>
        <v/>
      </c>
      <c r="D400" s="11">
        <f>IF(GL_RAW!A400="","",TRIM(GL_RAW!C400))</f>
        <v/>
      </c>
      <c r="E400" s="11">
        <f>IF(GL_RAW!A400="","",TRIM(GL_RAW!D400))</f>
        <v/>
      </c>
      <c r="F400" s="11">
        <f>IF(GL_RAW!A400="","",TRIM(GL_RAW!F400))</f>
        <v/>
      </c>
      <c r="G400" s="11">
        <f>IF(GL_RAW!A400="","",TRIM(GL_RAW!G400))</f>
        <v/>
      </c>
      <c r="H400" s="12">
        <f>IF(GL_RAW!A400="","",IFERROR(GL_RAW!E400,0))</f>
        <v/>
      </c>
      <c r="I400" s="12">
        <f>IF(GL_RAW!A400="","",ABS(H400))</f>
        <v/>
      </c>
      <c r="J400" s="11">
        <f>IF(GL_RAW!A400="","",IF(OR(ISNUMBER(SEARCH("Out",F400)),ISNUMBER(SEARCH("11025002",F400)),H400&lt;0),"OUT","IN"))</f>
        <v/>
      </c>
      <c r="K400" s="11" t="inlineStr"/>
    </row>
    <row r="401">
      <c r="A401" s="13">
        <f>IF(GL_RAW!A401="","",ROW()-1)</f>
        <v/>
      </c>
      <c r="B401" s="10">
        <f>IF(GL_RAW!A401="","",IF(ISNUMBER(GL_RAW!A401),GL_RAW!A401,DATEVALUE(TEXT(GL_RAW!A401,"YYYY-MM-DD"))))</f>
        <v/>
      </c>
      <c r="C401" s="11">
        <f>IF(GL_RAW!A401="","",TRIM(GL_RAW!B401))</f>
        <v/>
      </c>
      <c r="D401" s="11">
        <f>IF(GL_RAW!A401="","",TRIM(GL_RAW!C401))</f>
        <v/>
      </c>
      <c r="E401" s="11">
        <f>IF(GL_RAW!A401="","",TRIM(GL_RAW!D401))</f>
        <v/>
      </c>
      <c r="F401" s="11">
        <f>IF(GL_RAW!A401="","",TRIM(GL_RAW!F401))</f>
        <v/>
      </c>
      <c r="G401" s="11">
        <f>IF(GL_RAW!A401="","",TRIM(GL_RAW!G401))</f>
        <v/>
      </c>
      <c r="H401" s="12">
        <f>IF(GL_RAW!A401="","",IFERROR(GL_RAW!E401,0))</f>
        <v/>
      </c>
      <c r="I401" s="12">
        <f>IF(GL_RAW!A401="","",ABS(H401))</f>
        <v/>
      </c>
      <c r="J401" s="11">
        <f>IF(GL_RAW!A401="","",IF(OR(ISNUMBER(SEARCH("Out",F401)),ISNUMBER(SEARCH("11025002",F401)),H401&lt;0),"OUT","IN"))</f>
        <v/>
      </c>
      <c r="K401" s="11" t="inlineStr"/>
    </row>
    <row r="402">
      <c r="A402" s="13">
        <f>IF(GL_RAW!A402="","",ROW()-1)</f>
        <v/>
      </c>
      <c r="B402" s="10">
        <f>IF(GL_RAW!A402="","",IF(ISNUMBER(GL_RAW!A402),GL_RAW!A402,DATEVALUE(TEXT(GL_RAW!A402,"YYYY-MM-DD"))))</f>
        <v/>
      </c>
      <c r="C402" s="11">
        <f>IF(GL_RAW!A402="","",TRIM(GL_RAW!B402))</f>
        <v/>
      </c>
      <c r="D402" s="11">
        <f>IF(GL_RAW!A402="","",TRIM(GL_RAW!C402))</f>
        <v/>
      </c>
      <c r="E402" s="11">
        <f>IF(GL_RAW!A402="","",TRIM(GL_RAW!D402))</f>
        <v/>
      </c>
      <c r="F402" s="11">
        <f>IF(GL_RAW!A402="","",TRIM(GL_RAW!F402))</f>
        <v/>
      </c>
      <c r="G402" s="11">
        <f>IF(GL_RAW!A402="","",TRIM(GL_RAW!G402))</f>
        <v/>
      </c>
      <c r="H402" s="12">
        <f>IF(GL_RAW!A402="","",IFERROR(GL_RAW!E402,0))</f>
        <v/>
      </c>
      <c r="I402" s="12">
        <f>IF(GL_RAW!A402="","",ABS(H402))</f>
        <v/>
      </c>
      <c r="J402" s="11">
        <f>IF(GL_RAW!A402="","",IF(OR(ISNUMBER(SEARCH("Out",F402)),ISNUMBER(SEARCH("11025002",F402)),H402&lt;0),"OUT","IN"))</f>
        <v/>
      </c>
      <c r="K402" s="11" t="inlineStr"/>
    </row>
    <row r="403">
      <c r="A403" s="13">
        <f>IF(GL_RAW!A403="","",ROW()-1)</f>
        <v/>
      </c>
      <c r="B403" s="10">
        <f>IF(GL_RAW!A403="","",IF(ISNUMBER(GL_RAW!A403),GL_RAW!A403,DATEVALUE(TEXT(GL_RAW!A403,"YYYY-MM-DD"))))</f>
        <v/>
      </c>
      <c r="C403" s="11">
        <f>IF(GL_RAW!A403="","",TRIM(GL_RAW!B403))</f>
        <v/>
      </c>
      <c r="D403" s="11">
        <f>IF(GL_RAW!A403="","",TRIM(GL_RAW!C403))</f>
        <v/>
      </c>
      <c r="E403" s="11">
        <f>IF(GL_RAW!A403="","",TRIM(GL_RAW!D403))</f>
        <v/>
      </c>
      <c r="F403" s="11">
        <f>IF(GL_RAW!A403="","",TRIM(GL_RAW!F403))</f>
        <v/>
      </c>
      <c r="G403" s="11">
        <f>IF(GL_RAW!A403="","",TRIM(GL_RAW!G403))</f>
        <v/>
      </c>
      <c r="H403" s="12">
        <f>IF(GL_RAW!A403="","",IFERROR(GL_RAW!E403,0))</f>
        <v/>
      </c>
      <c r="I403" s="12">
        <f>IF(GL_RAW!A403="","",ABS(H403))</f>
        <v/>
      </c>
      <c r="J403" s="11">
        <f>IF(GL_RAW!A403="","",IF(OR(ISNUMBER(SEARCH("Out",F403)),ISNUMBER(SEARCH("11025002",F403)),H403&lt;0),"OUT","IN"))</f>
        <v/>
      </c>
      <c r="K403" s="11" t="inlineStr"/>
    </row>
    <row r="404">
      <c r="A404" s="13">
        <f>IF(GL_RAW!A404="","",ROW()-1)</f>
        <v/>
      </c>
      <c r="B404" s="10">
        <f>IF(GL_RAW!A404="","",IF(ISNUMBER(GL_RAW!A404),GL_RAW!A404,DATEVALUE(TEXT(GL_RAW!A404,"YYYY-MM-DD"))))</f>
        <v/>
      </c>
      <c r="C404" s="11">
        <f>IF(GL_RAW!A404="","",TRIM(GL_RAW!B404))</f>
        <v/>
      </c>
      <c r="D404" s="11">
        <f>IF(GL_RAW!A404="","",TRIM(GL_RAW!C404))</f>
        <v/>
      </c>
      <c r="E404" s="11">
        <f>IF(GL_RAW!A404="","",TRIM(GL_RAW!D404))</f>
        <v/>
      </c>
      <c r="F404" s="11">
        <f>IF(GL_RAW!A404="","",TRIM(GL_RAW!F404))</f>
        <v/>
      </c>
      <c r="G404" s="11">
        <f>IF(GL_RAW!A404="","",TRIM(GL_RAW!G404))</f>
        <v/>
      </c>
      <c r="H404" s="12">
        <f>IF(GL_RAW!A404="","",IFERROR(GL_RAW!E404,0))</f>
        <v/>
      </c>
      <c r="I404" s="12">
        <f>IF(GL_RAW!A404="","",ABS(H404))</f>
        <v/>
      </c>
      <c r="J404" s="11">
        <f>IF(GL_RAW!A404="","",IF(OR(ISNUMBER(SEARCH("Out",F404)),ISNUMBER(SEARCH("11025002",F404)),H404&lt;0),"OUT","IN"))</f>
        <v/>
      </c>
      <c r="K404" s="11" t="inlineStr"/>
    </row>
    <row r="405">
      <c r="A405" s="13">
        <f>IF(GL_RAW!A405="","",ROW()-1)</f>
        <v/>
      </c>
      <c r="B405" s="10">
        <f>IF(GL_RAW!A405="","",IF(ISNUMBER(GL_RAW!A405),GL_RAW!A405,DATEVALUE(TEXT(GL_RAW!A405,"YYYY-MM-DD"))))</f>
        <v/>
      </c>
      <c r="C405" s="11">
        <f>IF(GL_RAW!A405="","",TRIM(GL_RAW!B405))</f>
        <v/>
      </c>
      <c r="D405" s="11">
        <f>IF(GL_RAW!A405="","",TRIM(GL_RAW!C405))</f>
        <v/>
      </c>
      <c r="E405" s="11">
        <f>IF(GL_RAW!A405="","",TRIM(GL_RAW!D405))</f>
        <v/>
      </c>
      <c r="F405" s="11">
        <f>IF(GL_RAW!A405="","",TRIM(GL_RAW!F405))</f>
        <v/>
      </c>
      <c r="G405" s="11">
        <f>IF(GL_RAW!A405="","",TRIM(GL_RAW!G405))</f>
        <v/>
      </c>
      <c r="H405" s="12">
        <f>IF(GL_RAW!A405="","",IFERROR(GL_RAW!E405,0))</f>
        <v/>
      </c>
      <c r="I405" s="12">
        <f>IF(GL_RAW!A405="","",ABS(H405))</f>
        <v/>
      </c>
      <c r="J405" s="11">
        <f>IF(GL_RAW!A405="","",IF(OR(ISNUMBER(SEARCH("Out",F405)),ISNUMBER(SEARCH("11025002",F405)),H405&lt;0),"OUT","IN"))</f>
        <v/>
      </c>
      <c r="K405" s="11" t="inlineStr"/>
    </row>
    <row r="406">
      <c r="A406" s="13">
        <f>IF(GL_RAW!A406="","",ROW()-1)</f>
        <v/>
      </c>
      <c r="B406" s="10">
        <f>IF(GL_RAW!A406="","",IF(ISNUMBER(GL_RAW!A406),GL_RAW!A406,DATEVALUE(TEXT(GL_RAW!A406,"YYYY-MM-DD"))))</f>
        <v/>
      </c>
      <c r="C406" s="11">
        <f>IF(GL_RAW!A406="","",TRIM(GL_RAW!B406))</f>
        <v/>
      </c>
      <c r="D406" s="11">
        <f>IF(GL_RAW!A406="","",TRIM(GL_RAW!C406))</f>
        <v/>
      </c>
      <c r="E406" s="11">
        <f>IF(GL_RAW!A406="","",TRIM(GL_RAW!D406))</f>
        <v/>
      </c>
      <c r="F406" s="11">
        <f>IF(GL_RAW!A406="","",TRIM(GL_RAW!F406))</f>
        <v/>
      </c>
      <c r="G406" s="11">
        <f>IF(GL_RAW!A406="","",TRIM(GL_RAW!G406))</f>
        <v/>
      </c>
      <c r="H406" s="12">
        <f>IF(GL_RAW!A406="","",IFERROR(GL_RAW!E406,0))</f>
        <v/>
      </c>
      <c r="I406" s="12">
        <f>IF(GL_RAW!A406="","",ABS(H406))</f>
        <v/>
      </c>
      <c r="J406" s="11">
        <f>IF(GL_RAW!A406="","",IF(OR(ISNUMBER(SEARCH("Out",F406)),ISNUMBER(SEARCH("11025002",F406)),H406&lt;0),"OUT","IN"))</f>
        <v/>
      </c>
      <c r="K406" s="11" t="inlineStr"/>
    </row>
    <row r="407">
      <c r="A407" s="13">
        <f>IF(GL_RAW!A407="","",ROW()-1)</f>
        <v/>
      </c>
      <c r="B407" s="10">
        <f>IF(GL_RAW!A407="","",IF(ISNUMBER(GL_RAW!A407),GL_RAW!A407,DATEVALUE(TEXT(GL_RAW!A407,"YYYY-MM-DD"))))</f>
        <v/>
      </c>
      <c r="C407" s="11">
        <f>IF(GL_RAW!A407="","",TRIM(GL_RAW!B407))</f>
        <v/>
      </c>
      <c r="D407" s="11">
        <f>IF(GL_RAW!A407="","",TRIM(GL_RAW!C407))</f>
        <v/>
      </c>
      <c r="E407" s="11">
        <f>IF(GL_RAW!A407="","",TRIM(GL_RAW!D407))</f>
        <v/>
      </c>
      <c r="F407" s="11">
        <f>IF(GL_RAW!A407="","",TRIM(GL_RAW!F407))</f>
        <v/>
      </c>
      <c r="G407" s="11">
        <f>IF(GL_RAW!A407="","",TRIM(GL_RAW!G407))</f>
        <v/>
      </c>
      <c r="H407" s="12">
        <f>IF(GL_RAW!A407="","",IFERROR(GL_RAW!E407,0))</f>
        <v/>
      </c>
      <c r="I407" s="12">
        <f>IF(GL_RAW!A407="","",ABS(H407))</f>
        <v/>
      </c>
      <c r="J407" s="11">
        <f>IF(GL_RAW!A407="","",IF(OR(ISNUMBER(SEARCH("Out",F407)),ISNUMBER(SEARCH("11025002",F407)),H407&lt;0),"OUT","IN"))</f>
        <v/>
      </c>
      <c r="K407" s="11" t="inlineStr"/>
    </row>
    <row r="408">
      <c r="A408" s="13">
        <f>IF(GL_RAW!A408="","",ROW()-1)</f>
        <v/>
      </c>
      <c r="B408" s="10">
        <f>IF(GL_RAW!A408="","",IF(ISNUMBER(GL_RAW!A408),GL_RAW!A408,DATEVALUE(TEXT(GL_RAW!A408,"YYYY-MM-DD"))))</f>
        <v/>
      </c>
      <c r="C408" s="11">
        <f>IF(GL_RAW!A408="","",TRIM(GL_RAW!B408))</f>
        <v/>
      </c>
      <c r="D408" s="11">
        <f>IF(GL_RAW!A408="","",TRIM(GL_RAW!C408))</f>
        <v/>
      </c>
      <c r="E408" s="11">
        <f>IF(GL_RAW!A408="","",TRIM(GL_RAW!D408))</f>
        <v/>
      </c>
      <c r="F408" s="11">
        <f>IF(GL_RAW!A408="","",TRIM(GL_RAW!F408))</f>
        <v/>
      </c>
      <c r="G408" s="11">
        <f>IF(GL_RAW!A408="","",TRIM(GL_RAW!G408))</f>
        <v/>
      </c>
      <c r="H408" s="12">
        <f>IF(GL_RAW!A408="","",IFERROR(GL_RAW!E408,0))</f>
        <v/>
      </c>
      <c r="I408" s="12">
        <f>IF(GL_RAW!A408="","",ABS(H408))</f>
        <v/>
      </c>
      <c r="J408" s="11">
        <f>IF(GL_RAW!A408="","",IF(OR(ISNUMBER(SEARCH("Out",F408)),ISNUMBER(SEARCH("11025002",F408)),H408&lt;0),"OUT","IN"))</f>
        <v/>
      </c>
      <c r="K408" s="11" t="inlineStr"/>
    </row>
    <row r="409">
      <c r="A409" s="13">
        <f>IF(GL_RAW!A409="","",ROW()-1)</f>
        <v/>
      </c>
      <c r="B409" s="10">
        <f>IF(GL_RAW!A409="","",IF(ISNUMBER(GL_RAW!A409),GL_RAW!A409,DATEVALUE(TEXT(GL_RAW!A409,"YYYY-MM-DD"))))</f>
        <v/>
      </c>
      <c r="C409" s="11">
        <f>IF(GL_RAW!A409="","",TRIM(GL_RAW!B409))</f>
        <v/>
      </c>
      <c r="D409" s="11">
        <f>IF(GL_RAW!A409="","",TRIM(GL_RAW!C409))</f>
        <v/>
      </c>
      <c r="E409" s="11">
        <f>IF(GL_RAW!A409="","",TRIM(GL_RAW!D409))</f>
        <v/>
      </c>
      <c r="F409" s="11">
        <f>IF(GL_RAW!A409="","",TRIM(GL_RAW!F409))</f>
        <v/>
      </c>
      <c r="G409" s="11">
        <f>IF(GL_RAW!A409="","",TRIM(GL_RAW!G409))</f>
        <v/>
      </c>
      <c r="H409" s="12">
        <f>IF(GL_RAW!A409="","",IFERROR(GL_RAW!E409,0))</f>
        <v/>
      </c>
      <c r="I409" s="12">
        <f>IF(GL_RAW!A409="","",ABS(H409))</f>
        <v/>
      </c>
      <c r="J409" s="11">
        <f>IF(GL_RAW!A409="","",IF(OR(ISNUMBER(SEARCH("Out",F409)),ISNUMBER(SEARCH("11025002",F409)),H409&lt;0),"OUT","IN"))</f>
        <v/>
      </c>
      <c r="K409" s="11" t="inlineStr"/>
    </row>
    <row r="410">
      <c r="A410" s="13">
        <f>IF(GL_RAW!A410="","",ROW()-1)</f>
        <v/>
      </c>
      <c r="B410" s="10">
        <f>IF(GL_RAW!A410="","",IF(ISNUMBER(GL_RAW!A410),GL_RAW!A410,DATEVALUE(TEXT(GL_RAW!A410,"YYYY-MM-DD"))))</f>
        <v/>
      </c>
      <c r="C410" s="11">
        <f>IF(GL_RAW!A410="","",TRIM(GL_RAW!B410))</f>
        <v/>
      </c>
      <c r="D410" s="11">
        <f>IF(GL_RAW!A410="","",TRIM(GL_RAW!C410))</f>
        <v/>
      </c>
      <c r="E410" s="11">
        <f>IF(GL_RAW!A410="","",TRIM(GL_RAW!D410))</f>
        <v/>
      </c>
      <c r="F410" s="11">
        <f>IF(GL_RAW!A410="","",TRIM(GL_RAW!F410))</f>
        <v/>
      </c>
      <c r="G410" s="11">
        <f>IF(GL_RAW!A410="","",TRIM(GL_RAW!G410))</f>
        <v/>
      </c>
      <c r="H410" s="12">
        <f>IF(GL_RAW!A410="","",IFERROR(GL_RAW!E410,0))</f>
        <v/>
      </c>
      <c r="I410" s="12">
        <f>IF(GL_RAW!A410="","",ABS(H410))</f>
        <v/>
      </c>
      <c r="J410" s="11">
        <f>IF(GL_RAW!A410="","",IF(OR(ISNUMBER(SEARCH("Out",F410)),ISNUMBER(SEARCH("11025002",F410)),H410&lt;0),"OUT","IN"))</f>
        <v/>
      </c>
      <c r="K410" s="11" t="inlineStr"/>
    </row>
    <row r="411">
      <c r="A411" s="13">
        <f>IF(GL_RAW!A411="","",ROW()-1)</f>
        <v/>
      </c>
      <c r="B411" s="10">
        <f>IF(GL_RAW!A411="","",IF(ISNUMBER(GL_RAW!A411),GL_RAW!A411,DATEVALUE(TEXT(GL_RAW!A411,"YYYY-MM-DD"))))</f>
        <v/>
      </c>
      <c r="C411" s="11">
        <f>IF(GL_RAW!A411="","",TRIM(GL_RAW!B411))</f>
        <v/>
      </c>
      <c r="D411" s="11">
        <f>IF(GL_RAW!A411="","",TRIM(GL_RAW!C411))</f>
        <v/>
      </c>
      <c r="E411" s="11">
        <f>IF(GL_RAW!A411="","",TRIM(GL_RAW!D411))</f>
        <v/>
      </c>
      <c r="F411" s="11">
        <f>IF(GL_RAW!A411="","",TRIM(GL_RAW!F411))</f>
        <v/>
      </c>
      <c r="G411" s="11">
        <f>IF(GL_RAW!A411="","",TRIM(GL_RAW!G411))</f>
        <v/>
      </c>
      <c r="H411" s="12">
        <f>IF(GL_RAW!A411="","",IFERROR(GL_RAW!E411,0))</f>
        <v/>
      </c>
      <c r="I411" s="12">
        <f>IF(GL_RAW!A411="","",ABS(H411))</f>
        <v/>
      </c>
      <c r="J411" s="11">
        <f>IF(GL_RAW!A411="","",IF(OR(ISNUMBER(SEARCH("Out",F411)),ISNUMBER(SEARCH("11025002",F411)),H411&lt;0),"OUT","IN"))</f>
        <v/>
      </c>
      <c r="K411" s="11" t="inlineStr"/>
    </row>
    <row r="412">
      <c r="A412" s="13">
        <f>IF(GL_RAW!A412="","",ROW()-1)</f>
        <v/>
      </c>
      <c r="B412" s="10">
        <f>IF(GL_RAW!A412="","",IF(ISNUMBER(GL_RAW!A412),GL_RAW!A412,DATEVALUE(TEXT(GL_RAW!A412,"YYYY-MM-DD"))))</f>
        <v/>
      </c>
      <c r="C412" s="11">
        <f>IF(GL_RAW!A412="","",TRIM(GL_RAW!B412))</f>
        <v/>
      </c>
      <c r="D412" s="11">
        <f>IF(GL_RAW!A412="","",TRIM(GL_RAW!C412))</f>
        <v/>
      </c>
      <c r="E412" s="11">
        <f>IF(GL_RAW!A412="","",TRIM(GL_RAW!D412))</f>
        <v/>
      </c>
      <c r="F412" s="11">
        <f>IF(GL_RAW!A412="","",TRIM(GL_RAW!F412))</f>
        <v/>
      </c>
      <c r="G412" s="11">
        <f>IF(GL_RAW!A412="","",TRIM(GL_RAW!G412))</f>
        <v/>
      </c>
      <c r="H412" s="12">
        <f>IF(GL_RAW!A412="","",IFERROR(GL_RAW!E412,0))</f>
        <v/>
      </c>
      <c r="I412" s="12">
        <f>IF(GL_RAW!A412="","",ABS(H412))</f>
        <v/>
      </c>
      <c r="J412" s="11">
        <f>IF(GL_RAW!A412="","",IF(OR(ISNUMBER(SEARCH("Out",F412)),ISNUMBER(SEARCH("11025002",F412)),H412&lt;0),"OUT","IN"))</f>
        <v/>
      </c>
      <c r="K412" s="11" t="inlineStr"/>
    </row>
    <row r="413">
      <c r="A413" s="13">
        <f>IF(GL_RAW!A413="","",ROW()-1)</f>
        <v/>
      </c>
      <c r="B413" s="10">
        <f>IF(GL_RAW!A413="","",IF(ISNUMBER(GL_RAW!A413),GL_RAW!A413,DATEVALUE(TEXT(GL_RAW!A413,"YYYY-MM-DD"))))</f>
        <v/>
      </c>
      <c r="C413" s="11">
        <f>IF(GL_RAW!A413="","",TRIM(GL_RAW!B413))</f>
        <v/>
      </c>
      <c r="D413" s="11">
        <f>IF(GL_RAW!A413="","",TRIM(GL_RAW!C413))</f>
        <v/>
      </c>
      <c r="E413" s="11">
        <f>IF(GL_RAW!A413="","",TRIM(GL_RAW!D413))</f>
        <v/>
      </c>
      <c r="F413" s="11">
        <f>IF(GL_RAW!A413="","",TRIM(GL_RAW!F413))</f>
        <v/>
      </c>
      <c r="G413" s="11">
        <f>IF(GL_RAW!A413="","",TRIM(GL_RAW!G413))</f>
        <v/>
      </c>
      <c r="H413" s="12">
        <f>IF(GL_RAW!A413="","",IFERROR(GL_RAW!E413,0))</f>
        <v/>
      </c>
      <c r="I413" s="12">
        <f>IF(GL_RAW!A413="","",ABS(H413))</f>
        <v/>
      </c>
      <c r="J413" s="11">
        <f>IF(GL_RAW!A413="","",IF(OR(ISNUMBER(SEARCH("Out",F413)),ISNUMBER(SEARCH("11025002",F413)),H413&lt;0),"OUT","IN"))</f>
        <v/>
      </c>
      <c r="K413" s="11" t="inlineStr"/>
    </row>
    <row r="414">
      <c r="A414" s="13">
        <f>IF(GL_RAW!A414="","",ROW()-1)</f>
        <v/>
      </c>
      <c r="B414" s="10">
        <f>IF(GL_RAW!A414="","",IF(ISNUMBER(GL_RAW!A414),GL_RAW!A414,DATEVALUE(TEXT(GL_RAW!A414,"YYYY-MM-DD"))))</f>
        <v/>
      </c>
      <c r="C414" s="11">
        <f>IF(GL_RAW!A414="","",TRIM(GL_RAW!B414))</f>
        <v/>
      </c>
      <c r="D414" s="11">
        <f>IF(GL_RAW!A414="","",TRIM(GL_RAW!C414))</f>
        <v/>
      </c>
      <c r="E414" s="11">
        <f>IF(GL_RAW!A414="","",TRIM(GL_RAW!D414))</f>
        <v/>
      </c>
      <c r="F414" s="11">
        <f>IF(GL_RAW!A414="","",TRIM(GL_RAW!F414))</f>
        <v/>
      </c>
      <c r="G414" s="11">
        <f>IF(GL_RAW!A414="","",TRIM(GL_RAW!G414))</f>
        <v/>
      </c>
      <c r="H414" s="12">
        <f>IF(GL_RAW!A414="","",IFERROR(GL_RAW!E414,0))</f>
        <v/>
      </c>
      <c r="I414" s="12">
        <f>IF(GL_RAW!A414="","",ABS(H414))</f>
        <v/>
      </c>
      <c r="J414" s="11">
        <f>IF(GL_RAW!A414="","",IF(OR(ISNUMBER(SEARCH("Out",F414)),ISNUMBER(SEARCH("11025002",F414)),H414&lt;0),"OUT","IN"))</f>
        <v/>
      </c>
      <c r="K414" s="11" t="inlineStr"/>
    </row>
    <row r="415">
      <c r="A415" s="13">
        <f>IF(GL_RAW!A415="","",ROW()-1)</f>
        <v/>
      </c>
      <c r="B415" s="10">
        <f>IF(GL_RAW!A415="","",IF(ISNUMBER(GL_RAW!A415),GL_RAW!A415,DATEVALUE(TEXT(GL_RAW!A415,"YYYY-MM-DD"))))</f>
        <v/>
      </c>
      <c r="C415" s="11">
        <f>IF(GL_RAW!A415="","",TRIM(GL_RAW!B415))</f>
        <v/>
      </c>
      <c r="D415" s="11">
        <f>IF(GL_RAW!A415="","",TRIM(GL_RAW!C415))</f>
        <v/>
      </c>
      <c r="E415" s="11">
        <f>IF(GL_RAW!A415="","",TRIM(GL_RAW!D415))</f>
        <v/>
      </c>
      <c r="F415" s="11">
        <f>IF(GL_RAW!A415="","",TRIM(GL_RAW!F415))</f>
        <v/>
      </c>
      <c r="G415" s="11">
        <f>IF(GL_RAW!A415="","",TRIM(GL_RAW!G415))</f>
        <v/>
      </c>
      <c r="H415" s="12">
        <f>IF(GL_RAW!A415="","",IFERROR(GL_RAW!E415,0))</f>
        <v/>
      </c>
      <c r="I415" s="12">
        <f>IF(GL_RAW!A415="","",ABS(H415))</f>
        <v/>
      </c>
      <c r="J415" s="11">
        <f>IF(GL_RAW!A415="","",IF(OR(ISNUMBER(SEARCH("Out",F415)),ISNUMBER(SEARCH("11025002",F415)),H415&lt;0),"OUT","IN"))</f>
        <v/>
      </c>
      <c r="K415" s="11" t="inlineStr"/>
    </row>
    <row r="416">
      <c r="A416" s="13">
        <f>IF(GL_RAW!A416="","",ROW()-1)</f>
        <v/>
      </c>
      <c r="B416" s="10">
        <f>IF(GL_RAW!A416="","",IF(ISNUMBER(GL_RAW!A416),GL_RAW!A416,DATEVALUE(TEXT(GL_RAW!A416,"YYYY-MM-DD"))))</f>
        <v/>
      </c>
      <c r="C416" s="11">
        <f>IF(GL_RAW!A416="","",TRIM(GL_RAW!B416))</f>
        <v/>
      </c>
      <c r="D416" s="11">
        <f>IF(GL_RAW!A416="","",TRIM(GL_RAW!C416))</f>
        <v/>
      </c>
      <c r="E416" s="11">
        <f>IF(GL_RAW!A416="","",TRIM(GL_RAW!D416))</f>
        <v/>
      </c>
      <c r="F416" s="11">
        <f>IF(GL_RAW!A416="","",TRIM(GL_RAW!F416))</f>
        <v/>
      </c>
      <c r="G416" s="11">
        <f>IF(GL_RAW!A416="","",TRIM(GL_RAW!G416))</f>
        <v/>
      </c>
      <c r="H416" s="12">
        <f>IF(GL_RAW!A416="","",IFERROR(GL_RAW!E416,0))</f>
        <v/>
      </c>
      <c r="I416" s="12">
        <f>IF(GL_RAW!A416="","",ABS(H416))</f>
        <v/>
      </c>
      <c r="J416" s="11">
        <f>IF(GL_RAW!A416="","",IF(OR(ISNUMBER(SEARCH("Out",F416)),ISNUMBER(SEARCH("11025002",F416)),H416&lt;0),"OUT","IN"))</f>
        <v/>
      </c>
      <c r="K416" s="11" t="inlineStr"/>
    </row>
    <row r="417">
      <c r="A417" s="13">
        <f>IF(GL_RAW!A417="","",ROW()-1)</f>
        <v/>
      </c>
      <c r="B417" s="10">
        <f>IF(GL_RAW!A417="","",IF(ISNUMBER(GL_RAW!A417),GL_RAW!A417,DATEVALUE(TEXT(GL_RAW!A417,"YYYY-MM-DD"))))</f>
        <v/>
      </c>
      <c r="C417" s="11">
        <f>IF(GL_RAW!A417="","",TRIM(GL_RAW!B417))</f>
        <v/>
      </c>
      <c r="D417" s="11">
        <f>IF(GL_RAW!A417="","",TRIM(GL_RAW!C417))</f>
        <v/>
      </c>
      <c r="E417" s="11">
        <f>IF(GL_RAW!A417="","",TRIM(GL_RAW!D417))</f>
        <v/>
      </c>
      <c r="F417" s="11">
        <f>IF(GL_RAW!A417="","",TRIM(GL_RAW!F417))</f>
        <v/>
      </c>
      <c r="G417" s="11">
        <f>IF(GL_RAW!A417="","",TRIM(GL_RAW!G417))</f>
        <v/>
      </c>
      <c r="H417" s="12">
        <f>IF(GL_RAW!A417="","",IFERROR(GL_RAW!E417,0))</f>
        <v/>
      </c>
      <c r="I417" s="12">
        <f>IF(GL_RAW!A417="","",ABS(H417))</f>
        <v/>
      </c>
      <c r="J417" s="11">
        <f>IF(GL_RAW!A417="","",IF(OR(ISNUMBER(SEARCH("Out",F417)),ISNUMBER(SEARCH("11025002",F417)),H417&lt;0),"OUT","IN"))</f>
        <v/>
      </c>
      <c r="K417" s="11" t="inlineStr"/>
    </row>
    <row r="418">
      <c r="A418" s="13">
        <f>IF(GL_RAW!A418="","",ROW()-1)</f>
        <v/>
      </c>
      <c r="B418" s="10">
        <f>IF(GL_RAW!A418="","",IF(ISNUMBER(GL_RAW!A418),GL_RAW!A418,DATEVALUE(TEXT(GL_RAW!A418,"YYYY-MM-DD"))))</f>
        <v/>
      </c>
      <c r="C418" s="11">
        <f>IF(GL_RAW!A418="","",TRIM(GL_RAW!B418))</f>
        <v/>
      </c>
      <c r="D418" s="11">
        <f>IF(GL_RAW!A418="","",TRIM(GL_RAW!C418))</f>
        <v/>
      </c>
      <c r="E418" s="11">
        <f>IF(GL_RAW!A418="","",TRIM(GL_RAW!D418))</f>
        <v/>
      </c>
      <c r="F418" s="11">
        <f>IF(GL_RAW!A418="","",TRIM(GL_RAW!F418))</f>
        <v/>
      </c>
      <c r="G418" s="11">
        <f>IF(GL_RAW!A418="","",TRIM(GL_RAW!G418))</f>
        <v/>
      </c>
      <c r="H418" s="12">
        <f>IF(GL_RAW!A418="","",IFERROR(GL_RAW!E418,0))</f>
        <v/>
      </c>
      <c r="I418" s="12">
        <f>IF(GL_RAW!A418="","",ABS(H418))</f>
        <v/>
      </c>
      <c r="J418" s="11">
        <f>IF(GL_RAW!A418="","",IF(OR(ISNUMBER(SEARCH("Out",F418)),ISNUMBER(SEARCH("11025002",F418)),H418&lt;0),"OUT","IN"))</f>
        <v/>
      </c>
      <c r="K418" s="11" t="inlineStr"/>
    </row>
    <row r="419">
      <c r="A419" s="13">
        <f>IF(GL_RAW!A419="","",ROW()-1)</f>
        <v/>
      </c>
      <c r="B419" s="10">
        <f>IF(GL_RAW!A419="","",IF(ISNUMBER(GL_RAW!A419),GL_RAW!A419,DATEVALUE(TEXT(GL_RAW!A419,"YYYY-MM-DD"))))</f>
        <v/>
      </c>
      <c r="C419" s="11">
        <f>IF(GL_RAW!A419="","",TRIM(GL_RAW!B419))</f>
        <v/>
      </c>
      <c r="D419" s="11">
        <f>IF(GL_RAW!A419="","",TRIM(GL_RAW!C419))</f>
        <v/>
      </c>
      <c r="E419" s="11">
        <f>IF(GL_RAW!A419="","",TRIM(GL_RAW!D419))</f>
        <v/>
      </c>
      <c r="F419" s="11">
        <f>IF(GL_RAW!A419="","",TRIM(GL_RAW!F419))</f>
        <v/>
      </c>
      <c r="G419" s="11">
        <f>IF(GL_RAW!A419="","",TRIM(GL_RAW!G419))</f>
        <v/>
      </c>
      <c r="H419" s="12">
        <f>IF(GL_RAW!A419="","",IFERROR(GL_RAW!E419,0))</f>
        <v/>
      </c>
      <c r="I419" s="12">
        <f>IF(GL_RAW!A419="","",ABS(H419))</f>
        <v/>
      </c>
      <c r="J419" s="11">
        <f>IF(GL_RAW!A419="","",IF(OR(ISNUMBER(SEARCH("Out",F419)),ISNUMBER(SEARCH("11025002",F419)),H419&lt;0),"OUT","IN"))</f>
        <v/>
      </c>
      <c r="K419" s="11" t="inlineStr"/>
    </row>
    <row r="420">
      <c r="A420" s="13">
        <f>IF(GL_RAW!A420="","",ROW()-1)</f>
        <v/>
      </c>
      <c r="B420" s="10">
        <f>IF(GL_RAW!A420="","",IF(ISNUMBER(GL_RAW!A420),GL_RAW!A420,DATEVALUE(TEXT(GL_RAW!A420,"YYYY-MM-DD"))))</f>
        <v/>
      </c>
      <c r="C420" s="11">
        <f>IF(GL_RAW!A420="","",TRIM(GL_RAW!B420))</f>
        <v/>
      </c>
      <c r="D420" s="11">
        <f>IF(GL_RAW!A420="","",TRIM(GL_RAW!C420))</f>
        <v/>
      </c>
      <c r="E420" s="11">
        <f>IF(GL_RAW!A420="","",TRIM(GL_RAW!D420))</f>
        <v/>
      </c>
      <c r="F420" s="11">
        <f>IF(GL_RAW!A420="","",TRIM(GL_RAW!F420))</f>
        <v/>
      </c>
      <c r="G420" s="11">
        <f>IF(GL_RAW!A420="","",TRIM(GL_RAW!G420))</f>
        <v/>
      </c>
      <c r="H420" s="12">
        <f>IF(GL_RAW!A420="","",IFERROR(GL_RAW!E420,0))</f>
        <v/>
      </c>
      <c r="I420" s="12">
        <f>IF(GL_RAW!A420="","",ABS(H420))</f>
        <v/>
      </c>
      <c r="J420" s="11">
        <f>IF(GL_RAW!A420="","",IF(OR(ISNUMBER(SEARCH("Out",F420)),ISNUMBER(SEARCH("11025002",F420)),H420&lt;0),"OUT","IN"))</f>
        <v/>
      </c>
      <c r="K420" s="11" t="inlineStr"/>
    </row>
    <row r="421">
      <c r="A421" s="13">
        <f>IF(GL_RAW!A421="","",ROW()-1)</f>
        <v/>
      </c>
      <c r="B421" s="10">
        <f>IF(GL_RAW!A421="","",IF(ISNUMBER(GL_RAW!A421),GL_RAW!A421,DATEVALUE(TEXT(GL_RAW!A421,"YYYY-MM-DD"))))</f>
        <v/>
      </c>
      <c r="C421" s="11">
        <f>IF(GL_RAW!A421="","",TRIM(GL_RAW!B421))</f>
        <v/>
      </c>
      <c r="D421" s="11">
        <f>IF(GL_RAW!A421="","",TRIM(GL_RAW!C421))</f>
        <v/>
      </c>
      <c r="E421" s="11">
        <f>IF(GL_RAW!A421="","",TRIM(GL_RAW!D421))</f>
        <v/>
      </c>
      <c r="F421" s="11">
        <f>IF(GL_RAW!A421="","",TRIM(GL_RAW!F421))</f>
        <v/>
      </c>
      <c r="G421" s="11">
        <f>IF(GL_RAW!A421="","",TRIM(GL_RAW!G421))</f>
        <v/>
      </c>
      <c r="H421" s="12">
        <f>IF(GL_RAW!A421="","",IFERROR(GL_RAW!E421,0))</f>
        <v/>
      </c>
      <c r="I421" s="12">
        <f>IF(GL_RAW!A421="","",ABS(H421))</f>
        <v/>
      </c>
      <c r="J421" s="11">
        <f>IF(GL_RAW!A421="","",IF(OR(ISNUMBER(SEARCH("Out",F421)),ISNUMBER(SEARCH("11025002",F421)),H421&lt;0),"OUT","IN"))</f>
        <v/>
      </c>
      <c r="K421" s="11" t="inlineStr"/>
    </row>
    <row r="422">
      <c r="A422" s="13">
        <f>IF(GL_RAW!A422="","",ROW()-1)</f>
        <v/>
      </c>
      <c r="B422" s="10">
        <f>IF(GL_RAW!A422="","",IF(ISNUMBER(GL_RAW!A422),GL_RAW!A422,DATEVALUE(TEXT(GL_RAW!A422,"YYYY-MM-DD"))))</f>
        <v/>
      </c>
      <c r="C422" s="11">
        <f>IF(GL_RAW!A422="","",TRIM(GL_RAW!B422))</f>
        <v/>
      </c>
      <c r="D422" s="11">
        <f>IF(GL_RAW!A422="","",TRIM(GL_RAW!C422))</f>
        <v/>
      </c>
      <c r="E422" s="11">
        <f>IF(GL_RAW!A422="","",TRIM(GL_RAW!D422))</f>
        <v/>
      </c>
      <c r="F422" s="11">
        <f>IF(GL_RAW!A422="","",TRIM(GL_RAW!F422))</f>
        <v/>
      </c>
      <c r="G422" s="11">
        <f>IF(GL_RAW!A422="","",TRIM(GL_RAW!G422))</f>
        <v/>
      </c>
      <c r="H422" s="12">
        <f>IF(GL_RAW!A422="","",IFERROR(GL_RAW!E422,0))</f>
        <v/>
      </c>
      <c r="I422" s="12">
        <f>IF(GL_RAW!A422="","",ABS(H422))</f>
        <v/>
      </c>
      <c r="J422" s="11">
        <f>IF(GL_RAW!A422="","",IF(OR(ISNUMBER(SEARCH("Out",F422)),ISNUMBER(SEARCH("11025002",F422)),H422&lt;0),"OUT","IN"))</f>
        <v/>
      </c>
      <c r="K422" s="11" t="inlineStr"/>
    </row>
    <row r="423">
      <c r="A423" s="13">
        <f>IF(GL_RAW!A423="","",ROW()-1)</f>
        <v/>
      </c>
      <c r="B423" s="10">
        <f>IF(GL_RAW!A423="","",IF(ISNUMBER(GL_RAW!A423),GL_RAW!A423,DATEVALUE(TEXT(GL_RAW!A423,"YYYY-MM-DD"))))</f>
        <v/>
      </c>
      <c r="C423" s="11">
        <f>IF(GL_RAW!A423="","",TRIM(GL_RAW!B423))</f>
        <v/>
      </c>
      <c r="D423" s="11">
        <f>IF(GL_RAW!A423="","",TRIM(GL_RAW!C423))</f>
        <v/>
      </c>
      <c r="E423" s="11">
        <f>IF(GL_RAW!A423="","",TRIM(GL_RAW!D423))</f>
        <v/>
      </c>
      <c r="F423" s="11">
        <f>IF(GL_RAW!A423="","",TRIM(GL_RAW!F423))</f>
        <v/>
      </c>
      <c r="G423" s="11">
        <f>IF(GL_RAW!A423="","",TRIM(GL_RAW!G423))</f>
        <v/>
      </c>
      <c r="H423" s="12">
        <f>IF(GL_RAW!A423="","",IFERROR(GL_RAW!E423,0))</f>
        <v/>
      </c>
      <c r="I423" s="12">
        <f>IF(GL_RAW!A423="","",ABS(H423))</f>
        <v/>
      </c>
      <c r="J423" s="11">
        <f>IF(GL_RAW!A423="","",IF(OR(ISNUMBER(SEARCH("Out",F423)),ISNUMBER(SEARCH("11025002",F423)),H423&lt;0),"OUT","IN"))</f>
        <v/>
      </c>
      <c r="K423" s="11" t="inlineStr"/>
    </row>
    <row r="424">
      <c r="A424" s="13">
        <f>IF(GL_RAW!A424="","",ROW()-1)</f>
        <v/>
      </c>
      <c r="B424" s="10">
        <f>IF(GL_RAW!A424="","",IF(ISNUMBER(GL_RAW!A424),GL_RAW!A424,DATEVALUE(TEXT(GL_RAW!A424,"YYYY-MM-DD"))))</f>
        <v/>
      </c>
      <c r="C424" s="11">
        <f>IF(GL_RAW!A424="","",TRIM(GL_RAW!B424))</f>
        <v/>
      </c>
      <c r="D424" s="11">
        <f>IF(GL_RAW!A424="","",TRIM(GL_RAW!C424))</f>
        <v/>
      </c>
      <c r="E424" s="11">
        <f>IF(GL_RAW!A424="","",TRIM(GL_RAW!D424))</f>
        <v/>
      </c>
      <c r="F424" s="11">
        <f>IF(GL_RAW!A424="","",TRIM(GL_RAW!F424))</f>
        <v/>
      </c>
      <c r="G424" s="11">
        <f>IF(GL_RAW!A424="","",TRIM(GL_RAW!G424))</f>
        <v/>
      </c>
      <c r="H424" s="12">
        <f>IF(GL_RAW!A424="","",IFERROR(GL_RAW!E424,0))</f>
        <v/>
      </c>
      <c r="I424" s="12">
        <f>IF(GL_RAW!A424="","",ABS(H424))</f>
        <v/>
      </c>
      <c r="J424" s="11">
        <f>IF(GL_RAW!A424="","",IF(OR(ISNUMBER(SEARCH("Out",F424)),ISNUMBER(SEARCH("11025002",F424)),H424&lt;0),"OUT","IN"))</f>
        <v/>
      </c>
      <c r="K424" s="11" t="inlineStr"/>
    </row>
    <row r="425">
      <c r="A425" s="13">
        <f>IF(GL_RAW!A425="","",ROW()-1)</f>
        <v/>
      </c>
      <c r="B425" s="10">
        <f>IF(GL_RAW!A425="","",IF(ISNUMBER(GL_RAW!A425),GL_RAW!A425,DATEVALUE(TEXT(GL_RAW!A425,"YYYY-MM-DD"))))</f>
        <v/>
      </c>
      <c r="C425" s="11">
        <f>IF(GL_RAW!A425="","",TRIM(GL_RAW!B425))</f>
        <v/>
      </c>
      <c r="D425" s="11">
        <f>IF(GL_RAW!A425="","",TRIM(GL_RAW!C425))</f>
        <v/>
      </c>
      <c r="E425" s="11">
        <f>IF(GL_RAW!A425="","",TRIM(GL_RAW!D425))</f>
        <v/>
      </c>
      <c r="F425" s="11">
        <f>IF(GL_RAW!A425="","",TRIM(GL_RAW!F425))</f>
        <v/>
      </c>
      <c r="G425" s="11">
        <f>IF(GL_RAW!A425="","",TRIM(GL_RAW!G425))</f>
        <v/>
      </c>
      <c r="H425" s="12">
        <f>IF(GL_RAW!A425="","",IFERROR(GL_RAW!E425,0))</f>
        <v/>
      </c>
      <c r="I425" s="12">
        <f>IF(GL_RAW!A425="","",ABS(H425))</f>
        <v/>
      </c>
      <c r="J425" s="11">
        <f>IF(GL_RAW!A425="","",IF(OR(ISNUMBER(SEARCH("Out",F425)),ISNUMBER(SEARCH("11025002",F425)),H425&lt;0),"OUT","IN"))</f>
        <v/>
      </c>
      <c r="K425" s="11" t="inlineStr"/>
    </row>
    <row r="426">
      <c r="A426" s="13">
        <f>IF(GL_RAW!A426="","",ROW()-1)</f>
        <v/>
      </c>
      <c r="B426" s="10">
        <f>IF(GL_RAW!A426="","",IF(ISNUMBER(GL_RAW!A426),GL_RAW!A426,DATEVALUE(TEXT(GL_RAW!A426,"YYYY-MM-DD"))))</f>
        <v/>
      </c>
      <c r="C426" s="11">
        <f>IF(GL_RAW!A426="","",TRIM(GL_RAW!B426))</f>
        <v/>
      </c>
      <c r="D426" s="11">
        <f>IF(GL_RAW!A426="","",TRIM(GL_RAW!C426))</f>
        <v/>
      </c>
      <c r="E426" s="11">
        <f>IF(GL_RAW!A426="","",TRIM(GL_RAW!D426))</f>
        <v/>
      </c>
      <c r="F426" s="11">
        <f>IF(GL_RAW!A426="","",TRIM(GL_RAW!F426))</f>
        <v/>
      </c>
      <c r="G426" s="11">
        <f>IF(GL_RAW!A426="","",TRIM(GL_RAW!G426))</f>
        <v/>
      </c>
      <c r="H426" s="12">
        <f>IF(GL_RAW!A426="","",IFERROR(GL_RAW!E426,0))</f>
        <v/>
      </c>
      <c r="I426" s="12">
        <f>IF(GL_RAW!A426="","",ABS(H426))</f>
        <v/>
      </c>
      <c r="J426" s="11">
        <f>IF(GL_RAW!A426="","",IF(OR(ISNUMBER(SEARCH("Out",F426)),ISNUMBER(SEARCH("11025002",F426)),H426&lt;0),"OUT","IN"))</f>
        <v/>
      </c>
      <c r="K426" s="11" t="inlineStr"/>
    </row>
    <row r="427">
      <c r="A427" s="13">
        <f>IF(GL_RAW!A427="","",ROW()-1)</f>
        <v/>
      </c>
      <c r="B427" s="10">
        <f>IF(GL_RAW!A427="","",IF(ISNUMBER(GL_RAW!A427),GL_RAW!A427,DATEVALUE(TEXT(GL_RAW!A427,"YYYY-MM-DD"))))</f>
        <v/>
      </c>
      <c r="C427" s="11">
        <f>IF(GL_RAW!A427="","",TRIM(GL_RAW!B427))</f>
        <v/>
      </c>
      <c r="D427" s="11">
        <f>IF(GL_RAW!A427="","",TRIM(GL_RAW!C427))</f>
        <v/>
      </c>
      <c r="E427" s="11">
        <f>IF(GL_RAW!A427="","",TRIM(GL_RAW!D427))</f>
        <v/>
      </c>
      <c r="F427" s="11">
        <f>IF(GL_RAW!A427="","",TRIM(GL_RAW!F427))</f>
        <v/>
      </c>
      <c r="G427" s="11">
        <f>IF(GL_RAW!A427="","",TRIM(GL_RAW!G427))</f>
        <v/>
      </c>
      <c r="H427" s="12">
        <f>IF(GL_RAW!A427="","",IFERROR(GL_RAW!E427,0))</f>
        <v/>
      </c>
      <c r="I427" s="12">
        <f>IF(GL_RAW!A427="","",ABS(H427))</f>
        <v/>
      </c>
      <c r="J427" s="11">
        <f>IF(GL_RAW!A427="","",IF(OR(ISNUMBER(SEARCH("Out",F427)),ISNUMBER(SEARCH("11025002",F427)),H427&lt;0),"OUT","IN"))</f>
        <v/>
      </c>
      <c r="K427" s="11" t="inlineStr"/>
    </row>
    <row r="428">
      <c r="A428" s="13">
        <f>IF(GL_RAW!A428="","",ROW()-1)</f>
        <v/>
      </c>
      <c r="B428" s="10">
        <f>IF(GL_RAW!A428="","",IF(ISNUMBER(GL_RAW!A428),GL_RAW!A428,DATEVALUE(TEXT(GL_RAW!A428,"YYYY-MM-DD"))))</f>
        <v/>
      </c>
      <c r="C428" s="11">
        <f>IF(GL_RAW!A428="","",TRIM(GL_RAW!B428))</f>
        <v/>
      </c>
      <c r="D428" s="11">
        <f>IF(GL_RAW!A428="","",TRIM(GL_RAW!C428))</f>
        <v/>
      </c>
      <c r="E428" s="11">
        <f>IF(GL_RAW!A428="","",TRIM(GL_RAW!D428))</f>
        <v/>
      </c>
      <c r="F428" s="11">
        <f>IF(GL_RAW!A428="","",TRIM(GL_RAW!F428))</f>
        <v/>
      </c>
      <c r="G428" s="11">
        <f>IF(GL_RAW!A428="","",TRIM(GL_RAW!G428))</f>
        <v/>
      </c>
      <c r="H428" s="12">
        <f>IF(GL_RAW!A428="","",IFERROR(GL_RAW!E428,0))</f>
        <v/>
      </c>
      <c r="I428" s="12">
        <f>IF(GL_RAW!A428="","",ABS(H428))</f>
        <v/>
      </c>
      <c r="J428" s="11">
        <f>IF(GL_RAW!A428="","",IF(OR(ISNUMBER(SEARCH("Out",F428)),ISNUMBER(SEARCH("11025002",F428)),H428&lt;0),"OUT","IN"))</f>
        <v/>
      </c>
      <c r="K428" s="11" t="inlineStr"/>
    </row>
    <row r="429">
      <c r="A429" s="13">
        <f>IF(GL_RAW!A429="","",ROW()-1)</f>
        <v/>
      </c>
      <c r="B429" s="10">
        <f>IF(GL_RAW!A429="","",IF(ISNUMBER(GL_RAW!A429),GL_RAW!A429,DATEVALUE(TEXT(GL_RAW!A429,"YYYY-MM-DD"))))</f>
        <v/>
      </c>
      <c r="C429" s="11">
        <f>IF(GL_RAW!A429="","",TRIM(GL_RAW!B429))</f>
        <v/>
      </c>
      <c r="D429" s="11">
        <f>IF(GL_RAW!A429="","",TRIM(GL_RAW!C429))</f>
        <v/>
      </c>
      <c r="E429" s="11">
        <f>IF(GL_RAW!A429="","",TRIM(GL_RAW!D429))</f>
        <v/>
      </c>
      <c r="F429" s="11">
        <f>IF(GL_RAW!A429="","",TRIM(GL_RAW!F429))</f>
        <v/>
      </c>
      <c r="G429" s="11">
        <f>IF(GL_RAW!A429="","",TRIM(GL_RAW!G429))</f>
        <v/>
      </c>
      <c r="H429" s="12">
        <f>IF(GL_RAW!A429="","",IFERROR(GL_RAW!E429,0))</f>
        <v/>
      </c>
      <c r="I429" s="12">
        <f>IF(GL_RAW!A429="","",ABS(H429))</f>
        <v/>
      </c>
      <c r="J429" s="11">
        <f>IF(GL_RAW!A429="","",IF(OR(ISNUMBER(SEARCH("Out",F429)),ISNUMBER(SEARCH("11025002",F429)),H429&lt;0),"OUT","IN"))</f>
        <v/>
      </c>
      <c r="K429" s="11" t="inlineStr"/>
    </row>
    <row r="430">
      <c r="A430" s="13">
        <f>IF(GL_RAW!A430="","",ROW()-1)</f>
        <v/>
      </c>
      <c r="B430" s="10">
        <f>IF(GL_RAW!A430="","",IF(ISNUMBER(GL_RAW!A430),GL_RAW!A430,DATEVALUE(TEXT(GL_RAW!A430,"YYYY-MM-DD"))))</f>
        <v/>
      </c>
      <c r="C430" s="11">
        <f>IF(GL_RAW!A430="","",TRIM(GL_RAW!B430))</f>
        <v/>
      </c>
      <c r="D430" s="11">
        <f>IF(GL_RAW!A430="","",TRIM(GL_RAW!C430))</f>
        <v/>
      </c>
      <c r="E430" s="11">
        <f>IF(GL_RAW!A430="","",TRIM(GL_RAW!D430))</f>
        <v/>
      </c>
      <c r="F430" s="11">
        <f>IF(GL_RAW!A430="","",TRIM(GL_RAW!F430))</f>
        <v/>
      </c>
      <c r="G430" s="11">
        <f>IF(GL_RAW!A430="","",TRIM(GL_RAW!G430))</f>
        <v/>
      </c>
      <c r="H430" s="12">
        <f>IF(GL_RAW!A430="","",IFERROR(GL_RAW!E430,0))</f>
        <v/>
      </c>
      <c r="I430" s="12">
        <f>IF(GL_RAW!A430="","",ABS(H430))</f>
        <v/>
      </c>
      <c r="J430" s="11">
        <f>IF(GL_RAW!A430="","",IF(OR(ISNUMBER(SEARCH("Out",F430)),ISNUMBER(SEARCH("11025002",F430)),H430&lt;0),"OUT","IN"))</f>
        <v/>
      </c>
      <c r="K430" s="11" t="inlineStr"/>
    </row>
    <row r="431">
      <c r="A431" s="13">
        <f>IF(GL_RAW!A431="","",ROW()-1)</f>
        <v/>
      </c>
      <c r="B431" s="10">
        <f>IF(GL_RAW!A431="","",IF(ISNUMBER(GL_RAW!A431),GL_RAW!A431,DATEVALUE(TEXT(GL_RAW!A431,"YYYY-MM-DD"))))</f>
        <v/>
      </c>
      <c r="C431" s="11">
        <f>IF(GL_RAW!A431="","",TRIM(GL_RAW!B431))</f>
        <v/>
      </c>
      <c r="D431" s="11">
        <f>IF(GL_RAW!A431="","",TRIM(GL_RAW!C431))</f>
        <v/>
      </c>
      <c r="E431" s="11">
        <f>IF(GL_RAW!A431="","",TRIM(GL_RAW!D431))</f>
        <v/>
      </c>
      <c r="F431" s="11">
        <f>IF(GL_RAW!A431="","",TRIM(GL_RAW!F431))</f>
        <v/>
      </c>
      <c r="G431" s="11">
        <f>IF(GL_RAW!A431="","",TRIM(GL_RAW!G431))</f>
        <v/>
      </c>
      <c r="H431" s="12">
        <f>IF(GL_RAW!A431="","",IFERROR(GL_RAW!E431,0))</f>
        <v/>
      </c>
      <c r="I431" s="12">
        <f>IF(GL_RAW!A431="","",ABS(H431))</f>
        <v/>
      </c>
      <c r="J431" s="11">
        <f>IF(GL_RAW!A431="","",IF(OR(ISNUMBER(SEARCH("Out",F431)),ISNUMBER(SEARCH("11025002",F431)),H431&lt;0),"OUT","IN"))</f>
        <v/>
      </c>
      <c r="K431" s="11" t="inlineStr"/>
    </row>
    <row r="432">
      <c r="A432" s="13">
        <f>IF(GL_RAW!A432="","",ROW()-1)</f>
        <v/>
      </c>
      <c r="B432" s="10">
        <f>IF(GL_RAW!A432="","",IF(ISNUMBER(GL_RAW!A432),GL_RAW!A432,DATEVALUE(TEXT(GL_RAW!A432,"YYYY-MM-DD"))))</f>
        <v/>
      </c>
      <c r="C432" s="11">
        <f>IF(GL_RAW!A432="","",TRIM(GL_RAW!B432))</f>
        <v/>
      </c>
      <c r="D432" s="11">
        <f>IF(GL_RAW!A432="","",TRIM(GL_RAW!C432))</f>
        <v/>
      </c>
      <c r="E432" s="11">
        <f>IF(GL_RAW!A432="","",TRIM(GL_RAW!D432))</f>
        <v/>
      </c>
      <c r="F432" s="11">
        <f>IF(GL_RAW!A432="","",TRIM(GL_RAW!F432))</f>
        <v/>
      </c>
      <c r="G432" s="11">
        <f>IF(GL_RAW!A432="","",TRIM(GL_RAW!G432))</f>
        <v/>
      </c>
      <c r="H432" s="12">
        <f>IF(GL_RAW!A432="","",IFERROR(GL_RAW!E432,0))</f>
        <v/>
      </c>
      <c r="I432" s="12">
        <f>IF(GL_RAW!A432="","",ABS(H432))</f>
        <v/>
      </c>
      <c r="J432" s="11">
        <f>IF(GL_RAW!A432="","",IF(OR(ISNUMBER(SEARCH("Out",F432)),ISNUMBER(SEARCH("11025002",F432)),H432&lt;0),"OUT","IN"))</f>
        <v/>
      </c>
      <c r="K432" s="11" t="inlineStr"/>
    </row>
    <row r="433">
      <c r="A433" s="13">
        <f>IF(GL_RAW!A433="","",ROW()-1)</f>
        <v/>
      </c>
      <c r="B433" s="10">
        <f>IF(GL_RAW!A433="","",IF(ISNUMBER(GL_RAW!A433),GL_RAW!A433,DATEVALUE(TEXT(GL_RAW!A433,"YYYY-MM-DD"))))</f>
        <v/>
      </c>
      <c r="C433" s="11">
        <f>IF(GL_RAW!A433="","",TRIM(GL_RAW!B433))</f>
        <v/>
      </c>
      <c r="D433" s="11">
        <f>IF(GL_RAW!A433="","",TRIM(GL_RAW!C433))</f>
        <v/>
      </c>
      <c r="E433" s="11">
        <f>IF(GL_RAW!A433="","",TRIM(GL_RAW!D433))</f>
        <v/>
      </c>
      <c r="F433" s="11">
        <f>IF(GL_RAW!A433="","",TRIM(GL_RAW!F433))</f>
        <v/>
      </c>
      <c r="G433" s="11">
        <f>IF(GL_RAW!A433="","",TRIM(GL_RAW!G433))</f>
        <v/>
      </c>
      <c r="H433" s="12">
        <f>IF(GL_RAW!A433="","",IFERROR(GL_RAW!E433,0))</f>
        <v/>
      </c>
      <c r="I433" s="12">
        <f>IF(GL_RAW!A433="","",ABS(H433))</f>
        <v/>
      </c>
      <c r="J433" s="11">
        <f>IF(GL_RAW!A433="","",IF(OR(ISNUMBER(SEARCH("Out",F433)),ISNUMBER(SEARCH("11025002",F433)),H433&lt;0),"OUT","IN"))</f>
        <v/>
      </c>
      <c r="K433" s="11" t="inlineStr"/>
    </row>
    <row r="434">
      <c r="A434" s="13">
        <f>IF(GL_RAW!A434="","",ROW()-1)</f>
        <v/>
      </c>
      <c r="B434" s="10">
        <f>IF(GL_RAW!A434="","",IF(ISNUMBER(GL_RAW!A434),GL_RAW!A434,DATEVALUE(TEXT(GL_RAW!A434,"YYYY-MM-DD"))))</f>
        <v/>
      </c>
      <c r="C434" s="11">
        <f>IF(GL_RAW!A434="","",TRIM(GL_RAW!B434))</f>
        <v/>
      </c>
      <c r="D434" s="11">
        <f>IF(GL_RAW!A434="","",TRIM(GL_RAW!C434))</f>
        <v/>
      </c>
      <c r="E434" s="11">
        <f>IF(GL_RAW!A434="","",TRIM(GL_RAW!D434))</f>
        <v/>
      </c>
      <c r="F434" s="11">
        <f>IF(GL_RAW!A434="","",TRIM(GL_RAW!F434))</f>
        <v/>
      </c>
      <c r="G434" s="11">
        <f>IF(GL_RAW!A434="","",TRIM(GL_RAW!G434))</f>
        <v/>
      </c>
      <c r="H434" s="12">
        <f>IF(GL_RAW!A434="","",IFERROR(GL_RAW!E434,0))</f>
        <v/>
      </c>
      <c r="I434" s="12">
        <f>IF(GL_RAW!A434="","",ABS(H434))</f>
        <v/>
      </c>
      <c r="J434" s="11">
        <f>IF(GL_RAW!A434="","",IF(OR(ISNUMBER(SEARCH("Out",F434)),ISNUMBER(SEARCH("11025002",F434)),H434&lt;0),"OUT","IN"))</f>
        <v/>
      </c>
      <c r="K434" s="11" t="inlineStr"/>
    </row>
    <row r="435">
      <c r="A435" s="13">
        <f>IF(GL_RAW!A435="","",ROW()-1)</f>
        <v/>
      </c>
      <c r="B435" s="10">
        <f>IF(GL_RAW!A435="","",IF(ISNUMBER(GL_RAW!A435),GL_RAW!A435,DATEVALUE(TEXT(GL_RAW!A435,"YYYY-MM-DD"))))</f>
        <v/>
      </c>
      <c r="C435" s="11">
        <f>IF(GL_RAW!A435="","",TRIM(GL_RAW!B435))</f>
        <v/>
      </c>
      <c r="D435" s="11">
        <f>IF(GL_RAW!A435="","",TRIM(GL_RAW!C435))</f>
        <v/>
      </c>
      <c r="E435" s="11">
        <f>IF(GL_RAW!A435="","",TRIM(GL_RAW!D435))</f>
        <v/>
      </c>
      <c r="F435" s="11">
        <f>IF(GL_RAW!A435="","",TRIM(GL_RAW!F435))</f>
        <v/>
      </c>
      <c r="G435" s="11">
        <f>IF(GL_RAW!A435="","",TRIM(GL_RAW!G435))</f>
        <v/>
      </c>
      <c r="H435" s="12">
        <f>IF(GL_RAW!A435="","",IFERROR(GL_RAW!E435,0))</f>
        <v/>
      </c>
      <c r="I435" s="12">
        <f>IF(GL_RAW!A435="","",ABS(H435))</f>
        <v/>
      </c>
      <c r="J435" s="11">
        <f>IF(GL_RAW!A435="","",IF(OR(ISNUMBER(SEARCH("Out",F435)),ISNUMBER(SEARCH("11025002",F435)),H435&lt;0),"OUT","IN"))</f>
        <v/>
      </c>
      <c r="K435" s="11" t="inlineStr"/>
    </row>
    <row r="436">
      <c r="A436" s="13">
        <f>IF(GL_RAW!A436="","",ROW()-1)</f>
        <v/>
      </c>
      <c r="B436" s="10">
        <f>IF(GL_RAW!A436="","",IF(ISNUMBER(GL_RAW!A436),GL_RAW!A436,DATEVALUE(TEXT(GL_RAW!A436,"YYYY-MM-DD"))))</f>
        <v/>
      </c>
      <c r="C436" s="11">
        <f>IF(GL_RAW!A436="","",TRIM(GL_RAW!B436))</f>
        <v/>
      </c>
      <c r="D436" s="11">
        <f>IF(GL_RAW!A436="","",TRIM(GL_RAW!C436))</f>
        <v/>
      </c>
      <c r="E436" s="11">
        <f>IF(GL_RAW!A436="","",TRIM(GL_RAW!D436))</f>
        <v/>
      </c>
      <c r="F436" s="11">
        <f>IF(GL_RAW!A436="","",TRIM(GL_RAW!F436))</f>
        <v/>
      </c>
      <c r="G436" s="11">
        <f>IF(GL_RAW!A436="","",TRIM(GL_RAW!G436))</f>
        <v/>
      </c>
      <c r="H436" s="12">
        <f>IF(GL_RAW!A436="","",IFERROR(GL_RAW!E436,0))</f>
        <v/>
      </c>
      <c r="I436" s="12">
        <f>IF(GL_RAW!A436="","",ABS(H436))</f>
        <v/>
      </c>
      <c r="J436" s="11">
        <f>IF(GL_RAW!A436="","",IF(OR(ISNUMBER(SEARCH("Out",F436)),ISNUMBER(SEARCH("11025002",F436)),H436&lt;0),"OUT","IN"))</f>
        <v/>
      </c>
      <c r="K436" s="11" t="inlineStr"/>
    </row>
    <row r="437">
      <c r="A437" s="13">
        <f>IF(GL_RAW!A437="","",ROW()-1)</f>
        <v/>
      </c>
      <c r="B437" s="10">
        <f>IF(GL_RAW!A437="","",IF(ISNUMBER(GL_RAW!A437),GL_RAW!A437,DATEVALUE(TEXT(GL_RAW!A437,"YYYY-MM-DD"))))</f>
        <v/>
      </c>
      <c r="C437" s="11">
        <f>IF(GL_RAW!A437="","",TRIM(GL_RAW!B437))</f>
        <v/>
      </c>
      <c r="D437" s="11">
        <f>IF(GL_RAW!A437="","",TRIM(GL_RAW!C437))</f>
        <v/>
      </c>
      <c r="E437" s="11">
        <f>IF(GL_RAW!A437="","",TRIM(GL_RAW!D437))</f>
        <v/>
      </c>
      <c r="F437" s="11">
        <f>IF(GL_RAW!A437="","",TRIM(GL_RAW!F437))</f>
        <v/>
      </c>
      <c r="G437" s="11">
        <f>IF(GL_RAW!A437="","",TRIM(GL_RAW!G437))</f>
        <v/>
      </c>
      <c r="H437" s="12">
        <f>IF(GL_RAW!A437="","",IFERROR(GL_RAW!E437,0))</f>
        <v/>
      </c>
      <c r="I437" s="12">
        <f>IF(GL_RAW!A437="","",ABS(H437))</f>
        <v/>
      </c>
      <c r="J437" s="11">
        <f>IF(GL_RAW!A437="","",IF(OR(ISNUMBER(SEARCH("Out",F437)),ISNUMBER(SEARCH("11025002",F437)),H437&lt;0),"OUT","IN"))</f>
        <v/>
      </c>
      <c r="K437" s="11" t="inlineStr"/>
    </row>
    <row r="438">
      <c r="A438" s="13">
        <f>IF(GL_RAW!A438="","",ROW()-1)</f>
        <v/>
      </c>
      <c r="B438" s="10">
        <f>IF(GL_RAW!A438="","",IF(ISNUMBER(GL_RAW!A438),GL_RAW!A438,DATEVALUE(TEXT(GL_RAW!A438,"YYYY-MM-DD"))))</f>
        <v/>
      </c>
      <c r="C438" s="11">
        <f>IF(GL_RAW!A438="","",TRIM(GL_RAW!B438))</f>
        <v/>
      </c>
      <c r="D438" s="11">
        <f>IF(GL_RAW!A438="","",TRIM(GL_RAW!C438))</f>
        <v/>
      </c>
      <c r="E438" s="11">
        <f>IF(GL_RAW!A438="","",TRIM(GL_RAW!D438))</f>
        <v/>
      </c>
      <c r="F438" s="11">
        <f>IF(GL_RAW!A438="","",TRIM(GL_RAW!F438))</f>
        <v/>
      </c>
      <c r="G438" s="11">
        <f>IF(GL_RAW!A438="","",TRIM(GL_RAW!G438))</f>
        <v/>
      </c>
      <c r="H438" s="12">
        <f>IF(GL_RAW!A438="","",IFERROR(GL_RAW!E438,0))</f>
        <v/>
      </c>
      <c r="I438" s="12">
        <f>IF(GL_RAW!A438="","",ABS(H438))</f>
        <v/>
      </c>
      <c r="J438" s="11">
        <f>IF(GL_RAW!A438="","",IF(OR(ISNUMBER(SEARCH("Out",F438)),ISNUMBER(SEARCH("11025002",F438)),H438&lt;0),"OUT","IN"))</f>
        <v/>
      </c>
      <c r="K438" s="11" t="inlineStr"/>
    </row>
    <row r="439">
      <c r="A439" s="13">
        <f>IF(GL_RAW!A439="","",ROW()-1)</f>
        <v/>
      </c>
      <c r="B439" s="10">
        <f>IF(GL_RAW!A439="","",IF(ISNUMBER(GL_RAW!A439),GL_RAW!A439,DATEVALUE(TEXT(GL_RAW!A439,"YYYY-MM-DD"))))</f>
        <v/>
      </c>
      <c r="C439" s="11">
        <f>IF(GL_RAW!A439="","",TRIM(GL_RAW!B439))</f>
        <v/>
      </c>
      <c r="D439" s="11">
        <f>IF(GL_RAW!A439="","",TRIM(GL_RAW!C439))</f>
        <v/>
      </c>
      <c r="E439" s="11">
        <f>IF(GL_RAW!A439="","",TRIM(GL_RAW!D439))</f>
        <v/>
      </c>
      <c r="F439" s="11">
        <f>IF(GL_RAW!A439="","",TRIM(GL_RAW!F439))</f>
        <v/>
      </c>
      <c r="G439" s="11">
        <f>IF(GL_RAW!A439="","",TRIM(GL_RAW!G439))</f>
        <v/>
      </c>
      <c r="H439" s="12">
        <f>IF(GL_RAW!A439="","",IFERROR(GL_RAW!E439,0))</f>
        <v/>
      </c>
      <c r="I439" s="12">
        <f>IF(GL_RAW!A439="","",ABS(H439))</f>
        <v/>
      </c>
      <c r="J439" s="11">
        <f>IF(GL_RAW!A439="","",IF(OR(ISNUMBER(SEARCH("Out",F439)),ISNUMBER(SEARCH("11025002",F439)),H439&lt;0),"OUT","IN"))</f>
        <v/>
      </c>
      <c r="K439" s="11" t="inlineStr"/>
    </row>
    <row r="440">
      <c r="A440" s="13">
        <f>IF(GL_RAW!A440="","",ROW()-1)</f>
        <v/>
      </c>
      <c r="B440" s="10">
        <f>IF(GL_RAW!A440="","",IF(ISNUMBER(GL_RAW!A440),GL_RAW!A440,DATEVALUE(TEXT(GL_RAW!A440,"YYYY-MM-DD"))))</f>
        <v/>
      </c>
      <c r="C440" s="11">
        <f>IF(GL_RAW!A440="","",TRIM(GL_RAW!B440))</f>
        <v/>
      </c>
      <c r="D440" s="11">
        <f>IF(GL_RAW!A440="","",TRIM(GL_RAW!C440))</f>
        <v/>
      </c>
      <c r="E440" s="11">
        <f>IF(GL_RAW!A440="","",TRIM(GL_RAW!D440))</f>
        <v/>
      </c>
      <c r="F440" s="11">
        <f>IF(GL_RAW!A440="","",TRIM(GL_RAW!F440))</f>
        <v/>
      </c>
      <c r="G440" s="11">
        <f>IF(GL_RAW!A440="","",TRIM(GL_RAW!G440))</f>
        <v/>
      </c>
      <c r="H440" s="12">
        <f>IF(GL_RAW!A440="","",IFERROR(GL_RAW!E440,0))</f>
        <v/>
      </c>
      <c r="I440" s="12">
        <f>IF(GL_RAW!A440="","",ABS(H440))</f>
        <v/>
      </c>
      <c r="J440" s="11">
        <f>IF(GL_RAW!A440="","",IF(OR(ISNUMBER(SEARCH("Out",F440)),ISNUMBER(SEARCH("11025002",F440)),H440&lt;0),"OUT","IN"))</f>
        <v/>
      </c>
      <c r="K440" s="11" t="inlineStr"/>
    </row>
    <row r="441">
      <c r="A441" s="13">
        <f>IF(GL_RAW!A441="","",ROW()-1)</f>
        <v/>
      </c>
      <c r="B441" s="10">
        <f>IF(GL_RAW!A441="","",IF(ISNUMBER(GL_RAW!A441),GL_RAW!A441,DATEVALUE(TEXT(GL_RAW!A441,"YYYY-MM-DD"))))</f>
        <v/>
      </c>
      <c r="C441" s="11">
        <f>IF(GL_RAW!A441="","",TRIM(GL_RAW!B441))</f>
        <v/>
      </c>
      <c r="D441" s="11">
        <f>IF(GL_RAW!A441="","",TRIM(GL_RAW!C441))</f>
        <v/>
      </c>
      <c r="E441" s="11">
        <f>IF(GL_RAW!A441="","",TRIM(GL_RAW!D441))</f>
        <v/>
      </c>
      <c r="F441" s="11">
        <f>IF(GL_RAW!A441="","",TRIM(GL_RAW!F441))</f>
        <v/>
      </c>
      <c r="G441" s="11">
        <f>IF(GL_RAW!A441="","",TRIM(GL_RAW!G441))</f>
        <v/>
      </c>
      <c r="H441" s="12">
        <f>IF(GL_RAW!A441="","",IFERROR(GL_RAW!E441,0))</f>
        <v/>
      </c>
      <c r="I441" s="12">
        <f>IF(GL_RAW!A441="","",ABS(H441))</f>
        <v/>
      </c>
      <c r="J441" s="11">
        <f>IF(GL_RAW!A441="","",IF(OR(ISNUMBER(SEARCH("Out",F441)),ISNUMBER(SEARCH("11025002",F441)),H441&lt;0),"OUT","IN"))</f>
        <v/>
      </c>
      <c r="K441" s="11" t="inlineStr"/>
    </row>
    <row r="442">
      <c r="A442" s="13">
        <f>IF(GL_RAW!A442="","",ROW()-1)</f>
        <v/>
      </c>
      <c r="B442" s="10">
        <f>IF(GL_RAW!A442="","",IF(ISNUMBER(GL_RAW!A442),GL_RAW!A442,DATEVALUE(TEXT(GL_RAW!A442,"YYYY-MM-DD"))))</f>
        <v/>
      </c>
      <c r="C442" s="11">
        <f>IF(GL_RAW!A442="","",TRIM(GL_RAW!B442))</f>
        <v/>
      </c>
      <c r="D442" s="11">
        <f>IF(GL_RAW!A442="","",TRIM(GL_RAW!C442))</f>
        <v/>
      </c>
      <c r="E442" s="11">
        <f>IF(GL_RAW!A442="","",TRIM(GL_RAW!D442))</f>
        <v/>
      </c>
      <c r="F442" s="11">
        <f>IF(GL_RAW!A442="","",TRIM(GL_RAW!F442))</f>
        <v/>
      </c>
      <c r="G442" s="11">
        <f>IF(GL_RAW!A442="","",TRIM(GL_RAW!G442))</f>
        <v/>
      </c>
      <c r="H442" s="12">
        <f>IF(GL_RAW!A442="","",IFERROR(GL_RAW!E442,0))</f>
        <v/>
      </c>
      <c r="I442" s="12">
        <f>IF(GL_RAW!A442="","",ABS(H442))</f>
        <v/>
      </c>
      <c r="J442" s="11">
        <f>IF(GL_RAW!A442="","",IF(OR(ISNUMBER(SEARCH("Out",F442)),ISNUMBER(SEARCH("11025002",F442)),H442&lt;0),"OUT","IN"))</f>
        <v/>
      </c>
      <c r="K442" s="11" t="inlineStr"/>
    </row>
    <row r="443">
      <c r="A443" s="13">
        <f>IF(GL_RAW!A443="","",ROW()-1)</f>
        <v/>
      </c>
      <c r="B443" s="10">
        <f>IF(GL_RAW!A443="","",IF(ISNUMBER(GL_RAW!A443),GL_RAW!A443,DATEVALUE(TEXT(GL_RAW!A443,"YYYY-MM-DD"))))</f>
        <v/>
      </c>
      <c r="C443" s="11">
        <f>IF(GL_RAW!A443="","",TRIM(GL_RAW!B443))</f>
        <v/>
      </c>
      <c r="D443" s="11">
        <f>IF(GL_RAW!A443="","",TRIM(GL_RAW!C443))</f>
        <v/>
      </c>
      <c r="E443" s="11">
        <f>IF(GL_RAW!A443="","",TRIM(GL_RAW!D443))</f>
        <v/>
      </c>
      <c r="F443" s="11">
        <f>IF(GL_RAW!A443="","",TRIM(GL_RAW!F443))</f>
        <v/>
      </c>
      <c r="G443" s="11">
        <f>IF(GL_RAW!A443="","",TRIM(GL_RAW!G443))</f>
        <v/>
      </c>
      <c r="H443" s="12">
        <f>IF(GL_RAW!A443="","",IFERROR(GL_RAW!E443,0))</f>
        <v/>
      </c>
      <c r="I443" s="12">
        <f>IF(GL_RAW!A443="","",ABS(H443))</f>
        <v/>
      </c>
      <c r="J443" s="11">
        <f>IF(GL_RAW!A443="","",IF(OR(ISNUMBER(SEARCH("Out",F443)),ISNUMBER(SEARCH("11025002",F443)),H443&lt;0),"OUT","IN"))</f>
        <v/>
      </c>
      <c r="K443" s="11" t="inlineStr"/>
    </row>
    <row r="444">
      <c r="A444" s="13">
        <f>IF(GL_RAW!A444="","",ROW()-1)</f>
        <v/>
      </c>
      <c r="B444" s="10">
        <f>IF(GL_RAW!A444="","",IF(ISNUMBER(GL_RAW!A444),GL_RAW!A444,DATEVALUE(TEXT(GL_RAW!A444,"YYYY-MM-DD"))))</f>
        <v/>
      </c>
      <c r="C444" s="11">
        <f>IF(GL_RAW!A444="","",TRIM(GL_RAW!B444))</f>
        <v/>
      </c>
      <c r="D444" s="11">
        <f>IF(GL_RAW!A444="","",TRIM(GL_RAW!C444))</f>
        <v/>
      </c>
      <c r="E444" s="11">
        <f>IF(GL_RAW!A444="","",TRIM(GL_RAW!D444))</f>
        <v/>
      </c>
      <c r="F444" s="11">
        <f>IF(GL_RAW!A444="","",TRIM(GL_RAW!F444))</f>
        <v/>
      </c>
      <c r="G444" s="11">
        <f>IF(GL_RAW!A444="","",TRIM(GL_RAW!G444))</f>
        <v/>
      </c>
      <c r="H444" s="12">
        <f>IF(GL_RAW!A444="","",IFERROR(GL_RAW!E444,0))</f>
        <v/>
      </c>
      <c r="I444" s="12">
        <f>IF(GL_RAW!A444="","",ABS(H444))</f>
        <v/>
      </c>
      <c r="J444" s="11">
        <f>IF(GL_RAW!A444="","",IF(OR(ISNUMBER(SEARCH("Out",F444)),ISNUMBER(SEARCH("11025002",F444)),H444&lt;0),"OUT","IN"))</f>
        <v/>
      </c>
      <c r="K444" s="11" t="inlineStr"/>
    </row>
    <row r="445">
      <c r="A445" s="13">
        <f>IF(GL_RAW!A445="","",ROW()-1)</f>
        <v/>
      </c>
      <c r="B445" s="10">
        <f>IF(GL_RAW!A445="","",IF(ISNUMBER(GL_RAW!A445),GL_RAW!A445,DATEVALUE(TEXT(GL_RAW!A445,"YYYY-MM-DD"))))</f>
        <v/>
      </c>
      <c r="C445" s="11">
        <f>IF(GL_RAW!A445="","",TRIM(GL_RAW!B445))</f>
        <v/>
      </c>
      <c r="D445" s="11">
        <f>IF(GL_RAW!A445="","",TRIM(GL_RAW!C445))</f>
        <v/>
      </c>
      <c r="E445" s="11">
        <f>IF(GL_RAW!A445="","",TRIM(GL_RAW!D445))</f>
        <v/>
      </c>
      <c r="F445" s="11">
        <f>IF(GL_RAW!A445="","",TRIM(GL_RAW!F445))</f>
        <v/>
      </c>
      <c r="G445" s="11">
        <f>IF(GL_RAW!A445="","",TRIM(GL_RAW!G445))</f>
        <v/>
      </c>
      <c r="H445" s="12">
        <f>IF(GL_RAW!A445="","",IFERROR(GL_RAW!E445,0))</f>
        <v/>
      </c>
      <c r="I445" s="12">
        <f>IF(GL_RAW!A445="","",ABS(H445))</f>
        <v/>
      </c>
      <c r="J445" s="11">
        <f>IF(GL_RAW!A445="","",IF(OR(ISNUMBER(SEARCH("Out",F445)),ISNUMBER(SEARCH("11025002",F445)),H445&lt;0),"OUT","IN"))</f>
        <v/>
      </c>
      <c r="K445" s="11" t="inlineStr"/>
    </row>
    <row r="446">
      <c r="A446" s="13">
        <f>IF(GL_RAW!A446="","",ROW()-1)</f>
        <v/>
      </c>
      <c r="B446" s="10">
        <f>IF(GL_RAW!A446="","",IF(ISNUMBER(GL_RAW!A446),GL_RAW!A446,DATEVALUE(TEXT(GL_RAW!A446,"YYYY-MM-DD"))))</f>
        <v/>
      </c>
      <c r="C446" s="11">
        <f>IF(GL_RAW!A446="","",TRIM(GL_RAW!B446))</f>
        <v/>
      </c>
      <c r="D446" s="11">
        <f>IF(GL_RAW!A446="","",TRIM(GL_RAW!C446))</f>
        <v/>
      </c>
      <c r="E446" s="11">
        <f>IF(GL_RAW!A446="","",TRIM(GL_RAW!D446))</f>
        <v/>
      </c>
      <c r="F446" s="11">
        <f>IF(GL_RAW!A446="","",TRIM(GL_RAW!F446))</f>
        <v/>
      </c>
      <c r="G446" s="11">
        <f>IF(GL_RAW!A446="","",TRIM(GL_RAW!G446))</f>
        <v/>
      </c>
      <c r="H446" s="12">
        <f>IF(GL_RAW!A446="","",IFERROR(GL_RAW!E446,0))</f>
        <v/>
      </c>
      <c r="I446" s="12">
        <f>IF(GL_RAW!A446="","",ABS(H446))</f>
        <v/>
      </c>
      <c r="J446" s="11">
        <f>IF(GL_RAW!A446="","",IF(OR(ISNUMBER(SEARCH("Out",F446)),ISNUMBER(SEARCH("11025002",F446)),H446&lt;0),"OUT","IN"))</f>
        <v/>
      </c>
      <c r="K446" s="11" t="inlineStr"/>
    </row>
    <row r="447">
      <c r="A447" s="13">
        <f>IF(GL_RAW!A447="","",ROW()-1)</f>
        <v/>
      </c>
      <c r="B447" s="10">
        <f>IF(GL_RAW!A447="","",IF(ISNUMBER(GL_RAW!A447),GL_RAW!A447,DATEVALUE(TEXT(GL_RAW!A447,"YYYY-MM-DD"))))</f>
        <v/>
      </c>
      <c r="C447" s="11">
        <f>IF(GL_RAW!A447="","",TRIM(GL_RAW!B447))</f>
        <v/>
      </c>
      <c r="D447" s="11">
        <f>IF(GL_RAW!A447="","",TRIM(GL_RAW!C447))</f>
        <v/>
      </c>
      <c r="E447" s="11">
        <f>IF(GL_RAW!A447="","",TRIM(GL_RAW!D447))</f>
        <v/>
      </c>
      <c r="F447" s="11">
        <f>IF(GL_RAW!A447="","",TRIM(GL_RAW!F447))</f>
        <v/>
      </c>
      <c r="G447" s="11">
        <f>IF(GL_RAW!A447="","",TRIM(GL_RAW!G447))</f>
        <v/>
      </c>
      <c r="H447" s="12">
        <f>IF(GL_RAW!A447="","",IFERROR(GL_RAW!E447,0))</f>
        <v/>
      </c>
      <c r="I447" s="12">
        <f>IF(GL_RAW!A447="","",ABS(H447))</f>
        <v/>
      </c>
      <c r="J447" s="11">
        <f>IF(GL_RAW!A447="","",IF(OR(ISNUMBER(SEARCH("Out",F447)),ISNUMBER(SEARCH("11025002",F447)),H447&lt;0),"OUT","IN"))</f>
        <v/>
      </c>
      <c r="K447" s="11" t="inlineStr"/>
    </row>
    <row r="448">
      <c r="A448" s="13">
        <f>IF(GL_RAW!A448="","",ROW()-1)</f>
        <v/>
      </c>
      <c r="B448" s="10">
        <f>IF(GL_RAW!A448="","",IF(ISNUMBER(GL_RAW!A448),GL_RAW!A448,DATEVALUE(TEXT(GL_RAW!A448,"YYYY-MM-DD"))))</f>
        <v/>
      </c>
      <c r="C448" s="11">
        <f>IF(GL_RAW!A448="","",TRIM(GL_RAW!B448))</f>
        <v/>
      </c>
      <c r="D448" s="11">
        <f>IF(GL_RAW!A448="","",TRIM(GL_RAW!C448))</f>
        <v/>
      </c>
      <c r="E448" s="11">
        <f>IF(GL_RAW!A448="","",TRIM(GL_RAW!D448))</f>
        <v/>
      </c>
      <c r="F448" s="11">
        <f>IF(GL_RAW!A448="","",TRIM(GL_RAW!F448))</f>
        <v/>
      </c>
      <c r="G448" s="11">
        <f>IF(GL_RAW!A448="","",TRIM(GL_RAW!G448))</f>
        <v/>
      </c>
      <c r="H448" s="12">
        <f>IF(GL_RAW!A448="","",IFERROR(GL_RAW!E448,0))</f>
        <v/>
      </c>
      <c r="I448" s="12">
        <f>IF(GL_RAW!A448="","",ABS(H448))</f>
        <v/>
      </c>
      <c r="J448" s="11">
        <f>IF(GL_RAW!A448="","",IF(OR(ISNUMBER(SEARCH("Out",F448)),ISNUMBER(SEARCH("11025002",F448)),H448&lt;0),"OUT","IN"))</f>
        <v/>
      </c>
      <c r="K448" s="11" t="inlineStr"/>
    </row>
    <row r="449">
      <c r="A449" s="13">
        <f>IF(GL_RAW!A449="","",ROW()-1)</f>
        <v/>
      </c>
      <c r="B449" s="10">
        <f>IF(GL_RAW!A449="","",IF(ISNUMBER(GL_RAW!A449),GL_RAW!A449,DATEVALUE(TEXT(GL_RAW!A449,"YYYY-MM-DD"))))</f>
        <v/>
      </c>
      <c r="C449" s="11">
        <f>IF(GL_RAW!A449="","",TRIM(GL_RAW!B449))</f>
        <v/>
      </c>
      <c r="D449" s="11">
        <f>IF(GL_RAW!A449="","",TRIM(GL_RAW!C449))</f>
        <v/>
      </c>
      <c r="E449" s="11">
        <f>IF(GL_RAW!A449="","",TRIM(GL_RAW!D449))</f>
        <v/>
      </c>
      <c r="F449" s="11">
        <f>IF(GL_RAW!A449="","",TRIM(GL_RAW!F449))</f>
        <v/>
      </c>
      <c r="G449" s="11">
        <f>IF(GL_RAW!A449="","",TRIM(GL_RAW!G449))</f>
        <v/>
      </c>
      <c r="H449" s="12">
        <f>IF(GL_RAW!A449="","",IFERROR(GL_RAW!E449,0))</f>
        <v/>
      </c>
      <c r="I449" s="12">
        <f>IF(GL_RAW!A449="","",ABS(H449))</f>
        <v/>
      </c>
      <c r="J449" s="11">
        <f>IF(GL_RAW!A449="","",IF(OR(ISNUMBER(SEARCH("Out",F449)),ISNUMBER(SEARCH("11025002",F449)),H449&lt;0),"OUT","IN"))</f>
        <v/>
      </c>
      <c r="K449" s="11" t="inlineStr"/>
    </row>
    <row r="450">
      <c r="A450" s="13">
        <f>IF(GL_RAW!A450="","",ROW()-1)</f>
        <v/>
      </c>
      <c r="B450" s="10">
        <f>IF(GL_RAW!A450="","",IF(ISNUMBER(GL_RAW!A450),GL_RAW!A450,DATEVALUE(TEXT(GL_RAW!A450,"YYYY-MM-DD"))))</f>
        <v/>
      </c>
      <c r="C450" s="11">
        <f>IF(GL_RAW!A450="","",TRIM(GL_RAW!B450))</f>
        <v/>
      </c>
      <c r="D450" s="11">
        <f>IF(GL_RAW!A450="","",TRIM(GL_RAW!C450))</f>
        <v/>
      </c>
      <c r="E450" s="11">
        <f>IF(GL_RAW!A450="","",TRIM(GL_RAW!D450))</f>
        <v/>
      </c>
      <c r="F450" s="11">
        <f>IF(GL_RAW!A450="","",TRIM(GL_RAW!F450))</f>
        <v/>
      </c>
      <c r="G450" s="11">
        <f>IF(GL_RAW!A450="","",TRIM(GL_RAW!G450))</f>
        <v/>
      </c>
      <c r="H450" s="12">
        <f>IF(GL_RAW!A450="","",IFERROR(GL_RAW!E450,0))</f>
        <v/>
      </c>
      <c r="I450" s="12">
        <f>IF(GL_RAW!A450="","",ABS(H450))</f>
        <v/>
      </c>
      <c r="J450" s="11">
        <f>IF(GL_RAW!A450="","",IF(OR(ISNUMBER(SEARCH("Out",F450)),ISNUMBER(SEARCH("11025002",F450)),H450&lt;0),"OUT","IN"))</f>
        <v/>
      </c>
      <c r="K450" s="11" t="inlineStr"/>
    </row>
    <row r="451">
      <c r="A451" s="13">
        <f>IF(GL_RAW!A451="","",ROW()-1)</f>
        <v/>
      </c>
      <c r="B451" s="10">
        <f>IF(GL_RAW!A451="","",IF(ISNUMBER(GL_RAW!A451),GL_RAW!A451,DATEVALUE(TEXT(GL_RAW!A451,"YYYY-MM-DD"))))</f>
        <v/>
      </c>
      <c r="C451" s="11">
        <f>IF(GL_RAW!A451="","",TRIM(GL_RAW!B451))</f>
        <v/>
      </c>
      <c r="D451" s="11">
        <f>IF(GL_RAW!A451="","",TRIM(GL_RAW!C451))</f>
        <v/>
      </c>
      <c r="E451" s="11">
        <f>IF(GL_RAW!A451="","",TRIM(GL_RAW!D451))</f>
        <v/>
      </c>
      <c r="F451" s="11">
        <f>IF(GL_RAW!A451="","",TRIM(GL_RAW!F451))</f>
        <v/>
      </c>
      <c r="G451" s="11">
        <f>IF(GL_RAW!A451="","",TRIM(GL_RAW!G451))</f>
        <v/>
      </c>
      <c r="H451" s="12">
        <f>IF(GL_RAW!A451="","",IFERROR(GL_RAW!E451,0))</f>
        <v/>
      </c>
      <c r="I451" s="12">
        <f>IF(GL_RAW!A451="","",ABS(H451))</f>
        <v/>
      </c>
      <c r="J451" s="11">
        <f>IF(GL_RAW!A451="","",IF(OR(ISNUMBER(SEARCH("Out",F451)),ISNUMBER(SEARCH("11025002",F451)),H451&lt;0),"OUT","IN"))</f>
        <v/>
      </c>
      <c r="K451" s="11" t="inlineStr"/>
    </row>
    <row r="452">
      <c r="A452" s="13">
        <f>IF(GL_RAW!A452="","",ROW()-1)</f>
        <v/>
      </c>
      <c r="B452" s="10">
        <f>IF(GL_RAW!A452="","",IF(ISNUMBER(GL_RAW!A452),GL_RAW!A452,DATEVALUE(TEXT(GL_RAW!A452,"YYYY-MM-DD"))))</f>
        <v/>
      </c>
      <c r="C452" s="11">
        <f>IF(GL_RAW!A452="","",TRIM(GL_RAW!B452))</f>
        <v/>
      </c>
      <c r="D452" s="11">
        <f>IF(GL_RAW!A452="","",TRIM(GL_RAW!C452))</f>
        <v/>
      </c>
      <c r="E452" s="11">
        <f>IF(GL_RAW!A452="","",TRIM(GL_RAW!D452))</f>
        <v/>
      </c>
      <c r="F452" s="11">
        <f>IF(GL_RAW!A452="","",TRIM(GL_RAW!F452))</f>
        <v/>
      </c>
      <c r="G452" s="11">
        <f>IF(GL_RAW!A452="","",TRIM(GL_RAW!G452))</f>
        <v/>
      </c>
      <c r="H452" s="12">
        <f>IF(GL_RAW!A452="","",IFERROR(GL_RAW!E452,0))</f>
        <v/>
      </c>
      <c r="I452" s="12">
        <f>IF(GL_RAW!A452="","",ABS(H452))</f>
        <v/>
      </c>
      <c r="J452" s="11">
        <f>IF(GL_RAW!A452="","",IF(OR(ISNUMBER(SEARCH("Out",F452)),ISNUMBER(SEARCH("11025002",F452)),H452&lt;0),"OUT","IN"))</f>
        <v/>
      </c>
      <c r="K452" s="11" t="inlineStr"/>
    </row>
    <row r="453">
      <c r="A453" s="13">
        <f>IF(GL_RAW!A453="","",ROW()-1)</f>
        <v/>
      </c>
      <c r="B453" s="10">
        <f>IF(GL_RAW!A453="","",IF(ISNUMBER(GL_RAW!A453),GL_RAW!A453,DATEVALUE(TEXT(GL_RAW!A453,"YYYY-MM-DD"))))</f>
        <v/>
      </c>
      <c r="C453" s="11">
        <f>IF(GL_RAW!A453="","",TRIM(GL_RAW!B453))</f>
        <v/>
      </c>
      <c r="D453" s="11">
        <f>IF(GL_RAW!A453="","",TRIM(GL_RAW!C453))</f>
        <v/>
      </c>
      <c r="E453" s="11">
        <f>IF(GL_RAW!A453="","",TRIM(GL_RAW!D453))</f>
        <v/>
      </c>
      <c r="F453" s="11">
        <f>IF(GL_RAW!A453="","",TRIM(GL_RAW!F453))</f>
        <v/>
      </c>
      <c r="G453" s="11">
        <f>IF(GL_RAW!A453="","",TRIM(GL_RAW!G453))</f>
        <v/>
      </c>
      <c r="H453" s="12">
        <f>IF(GL_RAW!A453="","",IFERROR(GL_RAW!E453,0))</f>
        <v/>
      </c>
      <c r="I453" s="12">
        <f>IF(GL_RAW!A453="","",ABS(H453))</f>
        <v/>
      </c>
      <c r="J453" s="11">
        <f>IF(GL_RAW!A453="","",IF(OR(ISNUMBER(SEARCH("Out",F453)),ISNUMBER(SEARCH("11025002",F453)),H453&lt;0),"OUT","IN"))</f>
        <v/>
      </c>
      <c r="K453" s="11" t="inlineStr"/>
    </row>
    <row r="454">
      <c r="A454" s="13">
        <f>IF(GL_RAW!A454="","",ROW()-1)</f>
        <v/>
      </c>
      <c r="B454" s="10">
        <f>IF(GL_RAW!A454="","",IF(ISNUMBER(GL_RAW!A454),GL_RAW!A454,DATEVALUE(TEXT(GL_RAW!A454,"YYYY-MM-DD"))))</f>
        <v/>
      </c>
      <c r="C454" s="11">
        <f>IF(GL_RAW!A454="","",TRIM(GL_RAW!B454))</f>
        <v/>
      </c>
      <c r="D454" s="11">
        <f>IF(GL_RAW!A454="","",TRIM(GL_RAW!C454))</f>
        <v/>
      </c>
      <c r="E454" s="11">
        <f>IF(GL_RAW!A454="","",TRIM(GL_RAW!D454))</f>
        <v/>
      </c>
      <c r="F454" s="11">
        <f>IF(GL_RAW!A454="","",TRIM(GL_RAW!F454))</f>
        <v/>
      </c>
      <c r="G454" s="11">
        <f>IF(GL_RAW!A454="","",TRIM(GL_RAW!G454))</f>
        <v/>
      </c>
      <c r="H454" s="12">
        <f>IF(GL_RAW!A454="","",IFERROR(GL_RAW!E454,0))</f>
        <v/>
      </c>
      <c r="I454" s="12">
        <f>IF(GL_RAW!A454="","",ABS(H454))</f>
        <v/>
      </c>
      <c r="J454" s="11">
        <f>IF(GL_RAW!A454="","",IF(OR(ISNUMBER(SEARCH("Out",F454)),ISNUMBER(SEARCH("11025002",F454)),H454&lt;0),"OUT","IN"))</f>
        <v/>
      </c>
      <c r="K454" s="11" t="inlineStr"/>
    </row>
    <row r="455">
      <c r="A455" s="13">
        <f>IF(GL_RAW!A455="","",ROW()-1)</f>
        <v/>
      </c>
      <c r="B455" s="10">
        <f>IF(GL_RAW!A455="","",IF(ISNUMBER(GL_RAW!A455),GL_RAW!A455,DATEVALUE(TEXT(GL_RAW!A455,"YYYY-MM-DD"))))</f>
        <v/>
      </c>
      <c r="C455" s="11">
        <f>IF(GL_RAW!A455="","",TRIM(GL_RAW!B455))</f>
        <v/>
      </c>
      <c r="D455" s="11">
        <f>IF(GL_RAW!A455="","",TRIM(GL_RAW!C455))</f>
        <v/>
      </c>
      <c r="E455" s="11">
        <f>IF(GL_RAW!A455="","",TRIM(GL_RAW!D455))</f>
        <v/>
      </c>
      <c r="F455" s="11">
        <f>IF(GL_RAW!A455="","",TRIM(GL_RAW!F455))</f>
        <v/>
      </c>
      <c r="G455" s="11">
        <f>IF(GL_RAW!A455="","",TRIM(GL_RAW!G455))</f>
        <v/>
      </c>
      <c r="H455" s="12">
        <f>IF(GL_RAW!A455="","",IFERROR(GL_RAW!E455,0))</f>
        <v/>
      </c>
      <c r="I455" s="12">
        <f>IF(GL_RAW!A455="","",ABS(H455))</f>
        <v/>
      </c>
      <c r="J455" s="11">
        <f>IF(GL_RAW!A455="","",IF(OR(ISNUMBER(SEARCH("Out",F455)),ISNUMBER(SEARCH("11025002",F455)),H455&lt;0),"OUT","IN"))</f>
        <v/>
      </c>
      <c r="K455" s="11" t="inlineStr"/>
    </row>
    <row r="456">
      <c r="A456" s="13">
        <f>IF(GL_RAW!A456="","",ROW()-1)</f>
        <v/>
      </c>
      <c r="B456" s="10">
        <f>IF(GL_RAW!A456="","",IF(ISNUMBER(GL_RAW!A456),GL_RAW!A456,DATEVALUE(TEXT(GL_RAW!A456,"YYYY-MM-DD"))))</f>
        <v/>
      </c>
      <c r="C456" s="11">
        <f>IF(GL_RAW!A456="","",TRIM(GL_RAW!B456))</f>
        <v/>
      </c>
      <c r="D456" s="11">
        <f>IF(GL_RAW!A456="","",TRIM(GL_RAW!C456))</f>
        <v/>
      </c>
      <c r="E456" s="11">
        <f>IF(GL_RAW!A456="","",TRIM(GL_RAW!D456))</f>
        <v/>
      </c>
      <c r="F456" s="11">
        <f>IF(GL_RAW!A456="","",TRIM(GL_RAW!F456))</f>
        <v/>
      </c>
      <c r="G456" s="11">
        <f>IF(GL_RAW!A456="","",TRIM(GL_RAW!G456))</f>
        <v/>
      </c>
      <c r="H456" s="12">
        <f>IF(GL_RAW!A456="","",IFERROR(GL_RAW!E456,0))</f>
        <v/>
      </c>
      <c r="I456" s="12">
        <f>IF(GL_RAW!A456="","",ABS(H456))</f>
        <v/>
      </c>
      <c r="J456" s="11">
        <f>IF(GL_RAW!A456="","",IF(OR(ISNUMBER(SEARCH("Out",F456)),ISNUMBER(SEARCH("11025002",F456)),H456&lt;0),"OUT","IN"))</f>
        <v/>
      </c>
      <c r="K456" s="11" t="inlineStr"/>
    </row>
    <row r="457">
      <c r="A457" s="13">
        <f>IF(GL_RAW!A457="","",ROW()-1)</f>
        <v/>
      </c>
      <c r="B457" s="10">
        <f>IF(GL_RAW!A457="","",IF(ISNUMBER(GL_RAW!A457),GL_RAW!A457,DATEVALUE(TEXT(GL_RAW!A457,"YYYY-MM-DD"))))</f>
        <v/>
      </c>
      <c r="C457" s="11">
        <f>IF(GL_RAW!A457="","",TRIM(GL_RAW!B457))</f>
        <v/>
      </c>
      <c r="D457" s="11">
        <f>IF(GL_RAW!A457="","",TRIM(GL_RAW!C457))</f>
        <v/>
      </c>
      <c r="E457" s="11">
        <f>IF(GL_RAW!A457="","",TRIM(GL_RAW!D457))</f>
        <v/>
      </c>
      <c r="F457" s="11">
        <f>IF(GL_RAW!A457="","",TRIM(GL_RAW!F457))</f>
        <v/>
      </c>
      <c r="G457" s="11">
        <f>IF(GL_RAW!A457="","",TRIM(GL_RAW!G457))</f>
        <v/>
      </c>
      <c r="H457" s="12">
        <f>IF(GL_RAW!A457="","",IFERROR(GL_RAW!E457,0))</f>
        <v/>
      </c>
      <c r="I457" s="12">
        <f>IF(GL_RAW!A457="","",ABS(H457))</f>
        <v/>
      </c>
      <c r="J457" s="11">
        <f>IF(GL_RAW!A457="","",IF(OR(ISNUMBER(SEARCH("Out",F457)),ISNUMBER(SEARCH("11025002",F457)),H457&lt;0),"OUT","IN"))</f>
        <v/>
      </c>
      <c r="K457" s="11" t="inlineStr"/>
    </row>
    <row r="458">
      <c r="A458" s="13">
        <f>IF(GL_RAW!A458="","",ROW()-1)</f>
        <v/>
      </c>
      <c r="B458" s="10">
        <f>IF(GL_RAW!A458="","",IF(ISNUMBER(GL_RAW!A458),GL_RAW!A458,DATEVALUE(TEXT(GL_RAW!A458,"YYYY-MM-DD"))))</f>
        <v/>
      </c>
      <c r="C458" s="11">
        <f>IF(GL_RAW!A458="","",TRIM(GL_RAW!B458))</f>
        <v/>
      </c>
      <c r="D458" s="11">
        <f>IF(GL_RAW!A458="","",TRIM(GL_RAW!C458))</f>
        <v/>
      </c>
      <c r="E458" s="11">
        <f>IF(GL_RAW!A458="","",TRIM(GL_RAW!D458))</f>
        <v/>
      </c>
      <c r="F458" s="11">
        <f>IF(GL_RAW!A458="","",TRIM(GL_RAW!F458))</f>
        <v/>
      </c>
      <c r="G458" s="11">
        <f>IF(GL_RAW!A458="","",TRIM(GL_RAW!G458))</f>
        <v/>
      </c>
      <c r="H458" s="12">
        <f>IF(GL_RAW!A458="","",IFERROR(GL_RAW!E458,0))</f>
        <v/>
      </c>
      <c r="I458" s="12">
        <f>IF(GL_RAW!A458="","",ABS(H458))</f>
        <v/>
      </c>
      <c r="J458" s="11">
        <f>IF(GL_RAW!A458="","",IF(OR(ISNUMBER(SEARCH("Out",F458)),ISNUMBER(SEARCH("11025002",F458)),H458&lt;0),"OUT","IN"))</f>
        <v/>
      </c>
      <c r="K458" s="11" t="inlineStr"/>
    </row>
    <row r="459">
      <c r="A459" s="13">
        <f>IF(GL_RAW!A459="","",ROW()-1)</f>
        <v/>
      </c>
      <c r="B459" s="10">
        <f>IF(GL_RAW!A459="","",IF(ISNUMBER(GL_RAW!A459),GL_RAW!A459,DATEVALUE(TEXT(GL_RAW!A459,"YYYY-MM-DD"))))</f>
        <v/>
      </c>
      <c r="C459" s="11">
        <f>IF(GL_RAW!A459="","",TRIM(GL_RAW!B459))</f>
        <v/>
      </c>
      <c r="D459" s="11">
        <f>IF(GL_RAW!A459="","",TRIM(GL_RAW!C459))</f>
        <v/>
      </c>
      <c r="E459" s="11">
        <f>IF(GL_RAW!A459="","",TRIM(GL_RAW!D459))</f>
        <v/>
      </c>
      <c r="F459" s="11">
        <f>IF(GL_RAW!A459="","",TRIM(GL_RAW!F459))</f>
        <v/>
      </c>
      <c r="G459" s="11">
        <f>IF(GL_RAW!A459="","",TRIM(GL_RAW!G459))</f>
        <v/>
      </c>
      <c r="H459" s="12">
        <f>IF(GL_RAW!A459="","",IFERROR(GL_RAW!E459,0))</f>
        <v/>
      </c>
      <c r="I459" s="12">
        <f>IF(GL_RAW!A459="","",ABS(H459))</f>
        <v/>
      </c>
      <c r="J459" s="11">
        <f>IF(GL_RAW!A459="","",IF(OR(ISNUMBER(SEARCH("Out",F459)),ISNUMBER(SEARCH("11025002",F459)),H459&lt;0),"OUT","IN"))</f>
        <v/>
      </c>
      <c r="K459" s="11" t="inlineStr"/>
    </row>
    <row r="460">
      <c r="A460" s="13">
        <f>IF(GL_RAW!A460="","",ROW()-1)</f>
        <v/>
      </c>
      <c r="B460" s="10">
        <f>IF(GL_RAW!A460="","",IF(ISNUMBER(GL_RAW!A460),GL_RAW!A460,DATEVALUE(TEXT(GL_RAW!A460,"YYYY-MM-DD"))))</f>
        <v/>
      </c>
      <c r="C460" s="11">
        <f>IF(GL_RAW!A460="","",TRIM(GL_RAW!B460))</f>
        <v/>
      </c>
      <c r="D460" s="11">
        <f>IF(GL_RAW!A460="","",TRIM(GL_RAW!C460))</f>
        <v/>
      </c>
      <c r="E460" s="11">
        <f>IF(GL_RAW!A460="","",TRIM(GL_RAW!D460))</f>
        <v/>
      </c>
      <c r="F460" s="11">
        <f>IF(GL_RAW!A460="","",TRIM(GL_RAW!F460))</f>
        <v/>
      </c>
      <c r="G460" s="11">
        <f>IF(GL_RAW!A460="","",TRIM(GL_RAW!G460))</f>
        <v/>
      </c>
      <c r="H460" s="12">
        <f>IF(GL_RAW!A460="","",IFERROR(GL_RAW!E460,0))</f>
        <v/>
      </c>
      <c r="I460" s="12">
        <f>IF(GL_RAW!A460="","",ABS(H460))</f>
        <v/>
      </c>
      <c r="J460" s="11">
        <f>IF(GL_RAW!A460="","",IF(OR(ISNUMBER(SEARCH("Out",F460)),ISNUMBER(SEARCH("11025002",F460)),H460&lt;0),"OUT","IN"))</f>
        <v/>
      </c>
      <c r="K460" s="11" t="inlineStr"/>
    </row>
    <row r="461">
      <c r="A461" s="13">
        <f>IF(GL_RAW!A461="","",ROW()-1)</f>
        <v/>
      </c>
      <c r="B461" s="10">
        <f>IF(GL_RAW!A461="","",IF(ISNUMBER(GL_RAW!A461),GL_RAW!A461,DATEVALUE(TEXT(GL_RAW!A461,"YYYY-MM-DD"))))</f>
        <v/>
      </c>
      <c r="C461" s="11">
        <f>IF(GL_RAW!A461="","",TRIM(GL_RAW!B461))</f>
        <v/>
      </c>
      <c r="D461" s="11">
        <f>IF(GL_RAW!A461="","",TRIM(GL_RAW!C461))</f>
        <v/>
      </c>
      <c r="E461" s="11">
        <f>IF(GL_RAW!A461="","",TRIM(GL_RAW!D461))</f>
        <v/>
      </c>
      <c r="F461" s="11">
        <f>IF(GL_RAW!A461="","",TRIM(GL_RAW!F461))</f>
        <v/>
      </c>
      <c r="G461" s="11">
        <f>IF(GL_RAW!A461="","",TRIM(GL_RAW!G461))</f>
        <v/>
      </c>
      <c r="H461" s="12">
        <f>IF(GL_RAW!A461="","",IFERROR(GL_RAW!E461,0))</f>
        <v/>
      </c>
      <c r="I461" s="12">
        <f>IF(GL_RAW!A461="","",ABS(H461))</f>
        <v/>
      </c>
      <c r="J461" s="11">
        <f>IF(GL_RAW!A461="","",IF(OR(ISNUMBER(SEARCH("Out",F461)),ISNUMBER(SEARCH("11025002",F461)),H461&lt;0),"OUT","IN"))</f>
        <v/>
      </c>
      <c r="K461" s="11" t="inlineStr"/>
    </row>
    <row r="462">
      <c r="A462" s="13">
        <f>IF(GL_RAW!A462="","",ROW()-1)</f>
        <v/>
      </c>
      <c r="B462" s="10">
        <f>IF(GL_RAW!A462="","",IF(ISNUMBER(GL_RAW!A462),GL_RAW!A462,DATEVALUE(TEXT(GL_RAW!A462,"YYYY-MM-DD"))))</f>
        <v/>
      </c>
      <c r="C462" s="11">
        <f>IF(GL_RAW!A462="","",TRIM(GL_RAW!B462))</f>
        <v/>
      </c>
      <c r="D462" s="11">
        <f>IF(GL_RAW!A462="","",TRIM(GL_RAW!C462))</f>
        <v/>
      </c>
      <c r="E462" s="11">
        <f>IF(GL_RAW!A462="","",TRIM(GL_RAW!D462))</f>
        <v/>
      </c>
      <c r="F462" s="11">
        <f>IF(GL_RAW!A462="","",TRIM(GL_RAW!F462))</f>
        <v/>
      </c>
      <c r="G462" s="11">
        <f>IF(GL_RAW!A462="","",TRIM(GL_RAW!G462))</f>
        <v/>
      </c>
      <c r="H462" s="12">
        <f>IF(GL_RAW!A462="","",IFERROR(GL_RAW!E462,0))</f>
        <v/>
      </c>
      <c r="I462" s="12">
        <f>IF(GL_RAW!A462="","",ABS(H462))</f>
        <v/>
      </c>
      <c r="J462" s="11">
        <f>IF(GL_RAW!A462="","",IF(OR(ISNUMBER(SEARCH("Out",F462)),ISNUMBER(SEARCH("11025002",F462)),H462&lt;0),"OUT","IN"))</f>
        <v/>
      </c>
      <c r="K462" s="11" t="inlineStr"/>
    </row>
    <row r="463">
      <c r="A463" s="13">
        <f>IF(GL_RAW!A463="","",ROW()-1)</f>
        <v/>
      </c>
      <c r="B463" s="10">
        <f>IF(GL_RAW!A463="","",IF(ISNUMBER(GL_RAW!A463),GL_RAW!A463,DATEVALUE(TEXT(GL_RAW!A463,"YYYY-MM-DD"))))</f>
        <v/>
      </c>
      <c r="C463" s="11">
        <f>IF(GL_RAW!A463="","",TRIM(GL_RAW!B463))</f>
        <v/>
      </c>
      <c r="D463" s="11">
        <f>IF(GL_RAW!A463="","",TRIM(GL_RAW!C463))</f>
        <v/>
      </c>
      <c r="E463" s="11">
        <f>IF(GL_RAW!A463="","",TRIM(GL_RAW!D463))</f>
        <v/>
      </c>
      <c r="F463" s="11">
        <f>IF(GL_RAW!A463="","",TRIM(GL_RAW!F463))</f>
        <v/>
      </c>
      <c r="G463" s="11">
        <f>IF(GL_RAW!A463="","",TRIM(GL_RAW!G463))</f>
        <v/>
      </c>
      <c r="H463" s="12">
        <f>IF(GL_RAW!A463="","",IFERROR(GL_RAW!E463,0))</f>
        <v/>
      </c>
      <c r="I463" s="12">
        <f>IF(GL_RAW!A463="","",ABS(H463))</f>
        <v/>
      </c>
      <c r="J463" s="11">
        <f>IF(GL_RAW!A463="","",IF(OR(ISNUMBER(SEARCH("Out",F463)),ISNUMBER(SEARCH("11025002",F463)),H463&lt;0),"OUT","IN"))</f>
        <v/>
      </c>
      <c r="K463" s="11" t="inlineStr"/>
    </row>
    <row r="464">
      <c r="A464" s="13">
        <f>IF(GL_RAW!A464="","",ROW()-1)</f>
        <v/>
      </c>
      <c r="B464" s="10">
        <f>IF(GL_RAW!A464="","",IF(ISNUMBER(GL_RAW!A464),GL_RAW!A464,DATEVALUE(TEXT(GL_RAW!A464,"YYYY-MM-DD"))))</f>
        <v/>
      </c>
      <c r="C464" s="11">
        <f>IF(GL_RAW!A464="","",TRIM(GL_RAW!B464))</f>
        <v/>
      </c>
      <c r="D464" s="11">
        <f>IF(GL_RAW!A464="","",TRIM(GL_RAW!C464))</f>
        <v/>
      </c>
      <c r="E464" s="11">
        <f>IF(GL_RAW!A464="","",TRIM(GL_RAW!D464))</f>
        <v/>
      </c>
      <c r="F464" s="11">
        <f>IF(GL_RAW!A464="","",TRIM(GL_RAW!F464))</f>
        <v/>
      </c>
      <c r="G464" s="11">
        <f>IF(GL_RAW!A464="","",TRIM(GL_RAW!G464))</f>
        <v/>
      </c>
      <c r="H464" s="12">
        <f>IF(GL_RAW!A464="","",IFERROR(GL_RAW!E464,0))</f>
        <v/>
      </c>
      <c r="I464" s="12">
        <f>IF(GL_RAW!A464="","",ABS(H464))</f>
        <v/>
      </c>
      <c r="J464" s="11">
        <f>IF(GL_RAW!A464="","",IF(OR(ISNUMBER(SEARCH("Out",F464)),ISNUMBER(SEARCH("11025002",F464)),H464&lt;0),"OUT","IN"))</f>
        <v/>
      </c>
      <c r="K464" s="11" t="inlineStr"/>
    </row>
    <row r="465">
      <c r="A465" s="13">
        <f>IF(GL_RAW!A465="","",ROW()-1)</f>
        <v/>
      </c>
      <c r="B465" s="10">
        <f>IF(GL_RAW!A465="","",IF(ISNUMBER(GL_RAW!A465),GL_RAW!A465,DATEVALUE(TEXT(GL_RAW!A465,"YYYY-MM-DD"))))</f>
        <v/>
      </c>
      <c r="C465" s="11">
        <f>IF(GL_RAW!A465="","",TRIM(GL_RAW!B465))</f>
        <v/>
      </c>
      <c r="D465" s="11">
        <f>IF(GL_RAW!A465="","",TRIM(GL_RAW!C465))</f>
        <v/>
      </c>
      <c r="E465" s="11">
        <f>IF(GL_RAW!A465="","",TRIM(GL_RAW!D465))</f>
        <v/>
      </c>
      <c r="F465" s="11">
        <f>IF(GL_RAW!A465="","",TRIM(GL_RAW!F465))</f>
        <v/>
      </c>
      <c r="G465" s="11">
        <f>IF(GL_RAW!A465="","",TRIM(GL_RAW!G465))</f>
        <v/>
      </c>
      <c r="H465" s="12">
        <f>IF(GL_RAW!A465="","",IFERROR(GL_RAW!E465,0))</f>
        <v/>
      </c>
      <c r="I465" s="12">
        <f>IF(GL_RAW!A465="","",ABS(H465))</f>
        <v/>
      </c>
      <c r="J465" s="11">
        <f>IF(GL_RAW!A465="","",IF(OR(ISNUMBER(SEARCH("Out",F465)),ISNUMBER(SEARCH("11025002",F465)),H465&lt;0),"OUT","IN"))</f>
        <v/>
      </c>
      <c r="K465" s="11" t="inlineStr"/>
    </row>
    <row r="466">
      <c r="A466" s="13">
        <f>IF(GL_RAW!A466="","",ROW()-1)</f>
        <v/>
      </c>
      <c r="B466" s="10">
        <f>IF(GL_RAW!A466="","",IF(ISNUMBER(GL_RAW!A466),GL_RAW!A466,DATEVALUE(TEXT(GL_RAW!A466,"YYYY-MM-DD"))))</f>
        <v/>
      </c>
      <c r="C466" s="11">
        <f>IF(GL_RAW!A466="","",TRIM(GL_RAW!B466))</f>
        <v/>
      </c>
      <c r="D466" s="11">
        <f>IF(GL_RAW!A466="","",TRIM(GL_RAW!C466))</f>
        <v/>
      </c>
      <c r="E466" s="11">
        <f>IF(GL_RAW!A466="","",TRIM(GL_RAW!D466))</f>
        <v/>
      </c>
      <c r="F466" s="11">
        <f>IF(GL_RAW!A466="","",TRIM(GL_RAW!F466))</f>
        <v/>
      </c>
      <c r="G466" s="11">
        <f>IF(GL_RAW!A466="","",TRIM(GL_RAW!G466))</f>
        <v/>
      </c>
      <c r="H466" s="12">
        <f>IF(GL_RAW!A466="","",IFERROR(GL_RAW!E466,0))</f>
        <v/>
      </c>
      <c r="I466" s="12">
        <f>IF(GL_RAW!A466="","",ABS(H466))</f>
        <v/>
      </c>
      <c r="J466" s="11">
        <f>IF(GL_RAW!A466="","",IF(OR(ISNUMBER(SEARCH("Out",F466)),ISNUMBER(SEARCH("11025002",F466)),H466&lt;0),"OUT","IN"))</f>
        <v/>
      </c>
      <c r="K466" s="11" t="inlineStr"/>
    </row>
    <row r="467">
      <c r="A467" s="13">
        <f>IF(GL_RAW!A467="","",ROW()-1)</f>
        <v/>
      </c>
      <c r="B467" s="10">
        <f>IF(GL_RAW!A467="","",IF(ISNUMBER(GL_RAW!A467),GL_RAW!A467,DATEVALUE(TEXT(GL_RAW!A467,"YYYY-MM-DD"))))</f>
        <v/>
      </c>
      <c r="C467" s="11">
        <f>IF(GL_RAW!A467="","",TRIM(GL_RAW!B467))</f>
        <v/>
      </c>
      <c r="D467" s="11">
        <f>IF(GL_RAW!A467="","",TRIM(GL_RAW!C467))</f>
        <v/>
      </c>
      <c r="E467" s="11">
        <f>IF(GL_RAW!A467="","",TRIM(GL_RAW!D467))</f>
        <v/>
      </c>
      <c r="F467" s="11">
        <f>IF(GL_RAW!A467="","",TRIM(GL_RAW!F467))</f>
        <v/>
      </c>
      <c r="G467" s="11">
        <f>IF(GL_RAW!A467="","",TRIM(GL_RAW!G467))</f>
        <v/>
      </c>
      <c r="H467" s="12">
        <f>IF(GL_RAW!A467="","",IFERROR(GL_RAW!E467,0))</f>
        <v/>
      </c>
      <c r="I467" s="12">
        <f>IF(GL_RAW!A467="","",ABS(H467))</f>
        <v/>
      </c>
      <c r="J467" s="11">
        <f>IF(GL_RAW!A467="","",IF(OR(ISNUMBER(SEARCH("Out",F467)),ISNUMBER(SEARCH("11025002",F467)),H467&lt;0),"OUT","IN"))</f>
        <v/>
      </c>
      <c r="K467" s="11" t="inlineStr"/>
    </row>
    <row r="468">
      <c r="A468" s="13">
        <f>IF(GL_RAW!A468="","",ROW()-1)</f>
        <v/>
      </c>
      <c r="B468" s="10">
        <f>IF(GL_RAW!A468="","",IF(ISNUMBER(GL_RAW!A468),GL_RAW!A468,DATEVALUE(TEXT(GL_RAW!A468,"YYYY-MM-DD"))))</f>
        <v/>
      </c>
      <c r="C468" s="11">
        <f>IF(GL_RAW!A468="","",TRIM(GL_RAW!B468))</f>
        <v/>
      </c>
      <c r="D468" s="11">
        <f>IF(GL_RAW!A468="","",TRIM(GL_RAW!C468))</f>
        <v/>
      </c>
      <c r="E468" s="11">
        <f>IF(GL_RAW!A468="","",TRIM(GL_RAW!D468))</f>
        <v/>
      </c>
      <c r="F468" s="11">
        <f>IF(GL_RAW!A468="","",TRIM(GL_RAW!F468))</f>
        <v/>
      </c>
      <c r="G468" s="11">
        <f>IF(GL_RAW!A468="","",TRIM(GL_RAW!G468))</f>
        <v/>
      </c>
      <c r="H468" s="12">
        <f>IF(GL_RAW!A468="","",IFERROR(GL_RAW!E468,0))</f>
        <v/>
      </c>
      <c r="I468" s="12">
        <f>IF(GL_RAW!A468="","",ABS(H468))</f>
        <v/>
      </c>
      <c r="J468" s="11">
        <f>IF(GL_RAW!A468="","",IF(OR(ISNUMBER(SEARCH("Out",F468)),ISNUMBER(SEARCH("11025002",F468)),H468&lt;0),"OUT","IN"))</f>
        <v/>
      </c>
      <c r="K468" s="11" t="inlineStr"/>
    </row>
    <row r="469">
      <c r="A469" s="13">
        <f>IF(GL_RAW!A469="","",ROW()-1)</f>
        <v/>
      </c>
      <c r="B469" s="10">
        <f>IF(GL_RAW!A469="","",IF(ISNUMBER(GL_RAW!A469),GL_RAW!A469,DATEVALUE(TEXT(GL_RAW!A469,"YYYY-MM-DD"))))</f>
        <v/>
      </c>
      <c r="C469" s="11">
        <f>IF(GL_RAW!A469="","",TRIM(GL_RAW!B469))</f>
        <v/>
      </c>
      <c r="D469" s="11">
        <f>IF(GL_RAW!A469="","",TRIM(GL_RAW!C469))</f>
        <v/>
      </c>
      <c r="E469" s="11">
        <f>IF(GL_RAW!A469="","",TRIM(GL_RAW!D469))</f>
        <v/>
      </c>
      <c r="F469" s="11">
        <f>IF(GL_RAW!A469="","",TRIM(GL_RAW!F469))</f>
        <v/>
      </c>
      <c r="G469" s="11">
        <f>IF(GL_RAW!A469="","",TRIM(GL_RAW!G469))</f>
        <v/>
      </c>
      <c r="H469" s="12">
        <f>IF(GL_RAW!A469="","",IFERROR(GL_RAW!E469,0))</f>
        <v/>
      </c>
      <c r="I469" s="12">
        <f>IF(GL_RAW!A469="","",ABS(H469))</f>
        <v/>
      </c>
      <c r="J469" s="11">
        <f>IF(GL_RAW!A469="","",IF(OR(ISNUMBER(SEARCH("Out",F469)),ISNUMBER(SEARCH("11025002",F469)),H469&lt;0),"OUT","IN"))</f>
        <v/>
      </c>
      <c r="K469" s="11" t="inlineStr"/>
    </row>
    <row r="470">
      <c r="A470" s="13">
        <f>IF(GL_RAW!A470="","",ROW()-1)</f>
        <v/>
      </c>
      <c r="B470" s="10">
        <f>IF(GL_RAW!A470="","",IF(ISNUMBER(GL_RAW!A470),GL_RAW!A470,DATEVALUE(TEXT(GL_RAW!A470,"YYYY-MM-DD"))))</f>
        <v/>
      </c>
      <c r="C470" s="11">
        <f>IF(GL_RAW!A470="","",TRIM(GL_RAW!B470))</f>
        <v/>
      </c>
      <c r="D470" s="11">
        <f>IF(GL_RAW!A470="","",TRIM(GL_RAW!C470))</f>
        <v/>
      </c>
      <c r="E470" s="11">
        <f>IF(GL_RAW!A470="","",TRIM(GL_RAW!D470))</f>
        <v/>
      </c>
      <c r="F470" s="11">
        <f>IF(GL_RAW!A470="","",TRIM(GL_RAW!F470))</f>
        <v/>
      </c>
      <c r="G470" s="11">
        <f>IF(GL_RAW!A470="","",TRIM(GL_RAW!G470))</f>
        <v/>
      </c>
      <c r="H470" s="12">
        <f>IF(GL_RAW!A470="","",IFERROR(GL_RAW!E470,0))</f>
        <v/>
      </c>
      <c r="I470" s="12">
        <f>IF(GL_RAW!A470="","",ABS(H470))</f>
        <v/>
      </c>
      <c r="J470" s="11">
        <f>IF(GL_RAW!A470="","",IF(OR(ISNUMBER(SEARCH("Out",F470)),ISNUMBER(SEARCH("11025002",F470)),H470&lt;0),"OUT","IN"))</f>
        <v/>
      </c>
      <c r="K470" s="11" t="inlineStr"/>
    </row>
    <row r="471">
      <c r="A471" s="13">
        <f>IF(GL_RAW!A471="","",ROW()-1)</f>
        <v/>
      </c>
      <c r="B471" s="10">
        <f>IF(GL_RAW!A471="","",IF(ISNUMBER(GL_RAW!A471),GL_RAW!A471,DATEVALUE(TEXT(GL_RAW!A471,"YYYY-MM-DD"))))</f>
        <v/>
      </c>
      <c r="C471" s="11">
        <f>IF(GL_RAW!A471="","",TRIM(GL_RAW!B471))</f>
        <v/>
      </c>
      <c r="D471" s="11">
        <f>IF(GL_RAW!A471="","",TRIM(GL_RAW!C471))</f>
        <v/>
      </c>
      <c r="E471" s="11">
        <f>IF(GL_RAW!A471="","",TRIM(GL_RAW!D471))</f>
        <v/>
      </c>
      <c r="F471" s="11">
        <f>IF(GL_RAW!A471="","",TRIM(GL_RAW!F471))</f>
        <v/>
      </c>
      <c r="G471" s="11">
        <f>IF(GL_RAW!A471="","",TRIM(GL_RAW!G471))</f>
        <v/>
      </c>
      <c r="H471" s="12">
        <f>IF(GL_RAW!A471="","",IFERROR(GL_RAW!E471,0))</f>
        <v/>
      </c>
      <c r="I471" s="12">
        <f>IF(GL_RAW!A471="","",ABS(H471))</f>
        <v/>
      </c>
      <c r="J471" s="11">
        <f>IF(GL_RAW!A471="","",IF(OR(ISNUMBER(SEARCH("Out",F471)),ISNUMBER(SEARCH("11025002",F471)),H471&lt;0),"OUT","IN"))</f>
        <v/>
      </c>
      <c r="K471" s="11" t="inlineStr"/>
    </row>
    <row r="472">
      <c r="A472" s="13">
        <f>IF(GL_RAW!A472="","",ROW()-1)</f>
        <v/>
      </c>
      <c r="B472" s="10">
        <f>IF(GL_RAW!A472="","",IF(ISNUMBER(GL_RAW!A472),GL_RAW!A472,DATEVALUE(TEXT(GL_RAW!A472,"YYYY-MM-DD"))))</f>
        <v/>
      </c>
      <c r="C472" s="11">
        <f>IF(GL_RAW!A472="","",TRIM(GL_RAW!B472))</f>
        <v/>
      </c>
      <c r="D472" s="11">
        <f>IF(GL_RAW!A472="","",TRIM(GL_RAW!C472))</f>
        <v/>
      </c>
      <c r="E472" s="11">
        <f>IF(GL_RAW!A472="","",TRIM(GL_RAW!D472))</f>
        <v/>
      </c>
      <c r="F472" s="11">
        <f>IF(GL_RAW!A472="","",TRIM(GL_RAW!F472))</f>
        <v/>
      </c>
      <c r="G472" s="11">
        <f>IF(GL_RAW!A472="","",TRIM(GL_RAW!G472))</f>
        <v/>
      </c>
      <c r="H472" s="12">
        <f>IF(GL_RAW!A472="","",IFERROR(GL_RAW!E472,0))</f>
        <v/>
      </c>
      <c r="I472" s="12">
        <f>IF(GL_RAW!A472="","",ABS(H472))</f>
        <v/>
      </c>
      <c r="J472" s="11">
        <f>IF(GL_RAW!A472="","",IF(OR(ISNUMBER(SEARCH("Out",F472)),ISNUMBER(SEARCH("11025002",F472)),H472&lt;0),"OUT","IN"))</f>
        <v/>
      </c>
      <c r="K472" s="11" t="inlineStr"/>
    </row>
    <row r="473">
      <c r="A473" s="13">
        <f>IF(GL_RAW!A473="","",ROW()-1)</f>
        <v/>
      </c>
      <c r="B473" s="10">
        <f>IF(GL_RAW!A473="","",IF(ISNUMBER(GL_RAW!A473),GL_RAW!A473,DATEVALUE(TEXT(GL_RAW!A473,"YYYY-MM-DD"))))</f>
        <v/>
      </c>
      <c r="C473" s="11">
        <f>IF(GL_RAW!A473="","",TRIM(GL_RAW!B473))</f>
        <v/>
      </c>
      <c r="D473" s="11">
        <f>IF(GL_RAW!A473="","",TRIM(GL_RAW!C473))</f>
        <v/>
      </c>
      <c r="E473" s="11">
        <f>IF(GL_RAW!A473="","",TRIM(GL_RAW!D473))</f>
        <v/>
      </c>
      <c r="F473" s="11">
        <f>IF(GL_RAW!A473="","",TRIM(GL_RAW!F473))</f>
        <v/>
      </c>
      <c r="G473" s="11">
        <f>IF(GL_RAW!A473="","",TRIM(GL_RAW!G473))</f>
        <v/>
      </c>
      <c r="H473" s="12">
        <f>IF(GL_RAW!A473="","",IFERROR(GL_RAW!E473,0))</f>
        <v/>
      </c>
      <c r="I473" s="12">
        <f>IF(GL_RAW!A473="","",ABS(H473))</f>
        <v/>
      </c>
      <c r="J473" s="11">
        <f>IF(GL_RAW!A473="","",IF(OR(ISNUMBER(SEARCH("Out",F473)),ISNUMBER(SEARCH("11025002",F473)),H473&lt;0),"OUT","IN"))</f>
        <v/>
      </c>
      <c r="K473" s="11" t="inlineStr"/>
    </row>
    <row r="474">
      <c r="A474" s="13">
        <f>IF(GL_RAW!A474="","",ROW()-1)</f>
        <v/>
      </c>
      <c r="B474" s="10">
        <f>IF(GL_RAW!A474="","",IF(ISNUMBER(GL_RAW!A474),GL_RAW!A474,DATEVALUE(TEXT(GL_RAW!A474,"YYYY-MM-DD"))))</f>
        <v/>
      </c>
      <c r="C474" s="11">
        <f>IF(GL_RAW!A474="","",TRIM(GL_RAW!B474))</f>
        <v/>
      </c>
      <c r="D474" s="11">
        <f>IF(GL_RAW!A474="","",TRIM(GL_RAW!C474))</f>
        <v/>
      </c>
      <c r="E474" s="11">
        <f>IF(GL_RAW!A474="","",TRIM(GL_RAW!D474))</f>
        <v/>
      </c>
      <c r="F474" s="11">
        <f>IF(GL_RAW!A474="","",TRIM(GL_RAW!F474))</f>
        <v/>
      </c>
      <c r="G474" s="11">
        <f>IF(GL_RAW!A474="","",TRIM(GL_RAW!G474))</f>
        <v/>
      </c>
      <c r="H474" s="12">
        <f>IF(GL_RAW!A474="","",IFERROR(GL_RAW!E474,0))</f>
        <v/>
      </c>
      <c r="I474" s="12">
        <f>IF(GL_RAW!A474="","",ABS(H474))</f>
        <v/>
      </c>
      <c r="J474" s="11">
        <f>IF(GL_RAW!A474="","",IF(OR(ISNUMBER(SEARCH("Out",F474)),ISNUMBER(SEARCH("11025002",F474)),H474&lt;0),"OUT","IN"))</f>
        <v/>
      </c>
      <c r="K474" s="11" t="inlineStr"/>
    </row>
    <row r="475">
      <c r="A475" s="13">
        <f>IF(GL_RAW!A475="","",ROW()-1)</f>
        <v/>
      </c>
      <c r="B475" s="10">
        <f>IF(GL_RAW!A475="","",IF(ISNUMBER(GL_RAW!A475),GL_RAW!A475,DATEVALUE(TEXT(GL_RAW!A475,"YYYY-MM-DD"))))</f>
        <v/>
      </c>
      <c r="C475" s="11">
        <f>IF(GL_RAW!A475="","",TRIM(GL_RAW!B475))</f>
        <v/>
      </c>
      <c r="D475" s="11">
        <f>IF(GL_RAW!A475="","",TRIM(GL_RAW!C475))</f>
        <v/>
      </c>
      <c r="E475" s="11">
        <f>IF(GL_RAW!A475="","",TRIM(GL_RAW!D475))</f>
        <v/>
      </c>
      <c r="F475" s="11">
        <f>IF(GL_RAW!A475="","",TRIM(GL_RAW!F475))</f>
        <v/>
      </c>
      <c r="G475" s="11">
        <f>IF(GL_RAW!A475="","",TRIM(GL_RAW!G475))</f>
        <v/>
      </c>
      <c r="H475" s="12">
        <f>IF(GL_RAW!A475="","",IFERROR(GL_RAW!E475,0))</f>
        <v/>
      </c>
      <c r="I475" s="12">
        <f>IF(GL_RAW!A475="","",ABS(H475))</f>
        <v/>
      </c>
      <c r="J475" s="11">
        <f>IF(GL_RAW!A475="","",IF(OR(ISNUMBER(SEARCH("Out",F475)),ISNUMBER(SEARCH("11025002",F475)),H475&lt;0),"OUT","IN"))</f>
        <v/>
      </c>
      <c r="K475" s="11" t="inlineStr"/>
    </row>
    <row r="476">
      <c r="A476" s="13">
        <f>IF(GL_RAW!A476="","",ROW()-1)</f>
        <v/>
      </c>
      <c r="B476" s="10">
        <f>IF(GL_RAW!A476="","",IF(ISNUMBER(GL_RAW!A476),GL_RAW!A476,DATEVALUE(TEXT(GL_RAW!A476,"YYYY-MM-DD"))))</f>
        <v/>
      </c>
      <c r="C476" s="11">
        <f>IF(GL_RAW!A476="","",TRIM(GL_RAW!B476))</f>
        <v/>
      </c>
      <c r="D476" s="11">
        <f>IF(GL_RAW!A476="","",TRIM(GL_RAW!C476))</f>
        <v/>
      </c>
      <c r="E476" s="11">
        <f>IF(GL_RAW!A476="","",TRIM(GL_RAW!D476))</f>
        <v/>
      </c>
      <c r="F476" s="11">
        <f>IF(GL_RAW!A476="","",TRIM(GL_RAW!F476))</f>
        <v/>
      </c>
      <c r="G476" s="11">
        <f>IF(GL_RAW!A476="","",TRIM(GL_RAW!G476))</f>
        <v/>
      </c>
      <c r="H476" s="12">
        <f>IF(GL_RAW!A476="","",IFERROR(GL_RAW!E476,0))</f>
        <v/>
      </c>
      <c r="I476" s="12">
        <f>IF(GL_RAW!A476="","",ABS(H476))</f>
        <v/>
      </c>
      <c r="J476" s="11">
        <f>IF(GL_RAW!A476="","",IF(OR(ISNUMBER(SEARCH("Out",F476)),ISNUMBER(SEARCH("11025002",F476)),H476&lt;0),"OUT","IN"))</f>
        <v/>
      </c>
      <c r="K476" s="11" t="inlineStr"/>
    </row>
    <row r="477">
      <c r="A477" s="13">
        <f>IF(GL_RAW!A477="","",ROW()-1)</f>
        <v/>
      </c>
      <c r="B477" s="10">
        <f>IF(GL_RAW!A477="","",IF(ISNUMBER(GL_RAW!A477),GL_RAW!A477,DATEVALUE(TEXT(GL_RAW!A477,"YYYY-MM-DD"))))</f>
        <v/>
      </c>
      <c r="C477" s="11">
        <f>IF(GL_RAW!A477="","",TRIM(GL_RAW!B477))</f>
        <v/>
      </c>
      <c r="D477" s="11">
        <f>IF(GL_RAW!A477="","",TRIM(GL_RAW!C477))</f>
        <v/>
      </c>
      <c r="E477" s="11">
        <f>IF(GL_RAW!A477="","",TRIM(GL_RAW!D477))</f>
        <v/>
      </c>
      <c r="F477" s="11">
        <f>IF(GL_RAW!A477="","",TRIM(GL_RAW!F477))</f>
        <v/>
      </c>
      <c r="G477" s="11">
        <f>IF(GL_RAW!A477="","",TRIM(GL_RAW!G477))</f>
        <v/>
      </c>
      <c r="H477" s="12">
        <f>IF(GL_RAW!A477="","",IFERROR(GL_RAW!E477,0))</f>
        <v/>
      </c>
      <c r="I477" s="12">
        <f>IF(GL_RAW!A477="","",ABS(H477))</f>
        <v/>
      </c>
      <c r="J477" s="11">
        <f>IF(GL_RAW!A477="","",IF(OR(ISNUMBER(SEARCH("Out",F477)),ISNUMBER(SEARCH("11025002",F477)),H477&lt;0),"OUT","IN"))</f>
        <v/>
      </c>
      <c r="K477" s="11" t="inlineStr"/>
    </row>
    <row r="478">
      <c r="A478" s="13">
        <f>IF(GL_RAW!A478="","",ROW()-1)</f>
        <v/>
      </c>
      <c r="B478" s="10">
        <f>IF(GL_RAW!A478="","",IF(ISNUMBER(GL_RAW!A478),GL_RAW!A478,DATEVALUE(TEXT(GL_RAW!A478,"YYYY-MM-DD"))))</f>
        <v/>
      </c>
      <c r="C478" s="11">
        <f>IF(GL_RAW!A478="","",TRIM(GL_RAW!B478))</f>
        <v/>
      </c>
      <c r="D478" s="11">
        <f>IF(GL_RAW!A478="","",TRIM(GL_RAW!C478))</f>
        <v/>
      </c>
      <c r="E478" s="11">
        <f>IF(GL_RAW!A478="","",TRIM(GL_RAW!D478))</f>
        <v/>
      </c>
      <c r="F478" s="11">
        <f>IF(GL_RAW!A478="","",TRIM(GL_RAW!F478))</f>
        <v/>
      </c>
      <c r="G478" s="11">
        <f>IF(GL_RAW!A478="","",TRIM(GL_RAW!G478))</f>
        <v/>
      </c>
      <c r="H478" s="12">
        <f>IF(GL_RAW!A478="","",IFERROR(GL_RAW!E478,0))</f>
        <v/>
      </c>
      <c r="I478" s="12">
        <f>IF(GL_RAW!A478="","",ABS(H478))</f>
        <v/>
      </c>
      <c r="J478" s="11">
        <f>IF(GL_RAW!A478="","",IF(OR(ISNUMBER(SEARCH("Out",F478)),ISNUMBER(SEARCH("11025002",F478)),H478&lt;0),"OUT","IN"))</f>
        <v/>
      </c>
      <c r="K478" s="11" t="inlineStr"/>
    </row>
    <row r="479">
      <c r="A479" s="13">
        <f>IF(GL_RAW!A479="","",ROW()-1)</f>
        <v/>
      </c>
      <c r="B479" s="10">
        <f>IF(GL_RAW!A479="","",IF(ISNUMBER(GL_RAW!A479),GL_RAW!A479,DATEVALUE(TEXT(GL_RAW!A479,"YYYY-MM-DD"))))</f>
        <v/>
      </c>
      <c r="C479" s="11">
        <f>IF(GL_RAW!A479="","",TRIM(GL_RAW!B479))</f>
        <v/>
      </c>
      <c r="D479" s="11">
        <f>IF(GL_RAW!A479="","",TRIM(GL_RAW!C479))</f>
        <v/>
      </c>
      <c r="E479" s="11">
        <f>IF(GL_RAW!A479="","",TRIM(GL_RAW!D479))</f>
        <v/>
      </c>
      <c r="F479" s="11">
        <f>IF(GL_RAW!A479="","",TRIM(GL_RAW!F479))</f>
        <v/>
      </c>
      <c r="G479" s="11">
        <f>IF(GL_RAW!A479="","",TRIM(GL_RAW!G479))</f>
        <v/>
      </c>
      <c r="H479" s="12">
        <f>IF(GL_RAW!A479="","",IFERROR(GL_RAW!E479,0))</f>
        <v/>
      </c>
      <c r="I479" s="12">
        <f>IF(GL_RAW!A479="","",ABS(H479))</f>
        <v/>
      </c>
      <c r="J479" s="11">
        <f>IF(GL_RAW!A479="","",IF(OR(ISNUMBER(SEARCH("Out",F479)),ISNUMBER(SEARCH("11025002",F479)),H479&lt;0),"OUT","IN"))</f>
        <v/>
      </c>
      <c r="K479" s="11" t="inlineStr"/>
    </row>
    <row r="480">
      <c r="A480" s="13">
        <f>IF(GL_RAW!A480="","",ROW()-1)</f>
        <v/>
      </c>
      <c r="B480" s="10">
        <f>IF(GL_RAW!A480="","",IF(ISNUMBER(GL_RAW!A480),GL_RAW!A480,DATEVALUE(TEXT(GL_RAW!A480,"YYYY-MM-DD"))))</f>
        <v/>
      </c>
      <c r="C480" s="11">
        <f>IF(GL_RAW!A480="","",TRIM(GL_RAW!B480))</f>
        <v/>
      </c>
      <c r="D480" s="11">
        <f>IF(GL_RAW!A480="","",TRIM(GL_RAW!C480))</f>
        <v/>
      </c>
      <c r="E480" s="11">
        <f>IF(GL_RAW!A480="","",TRIM(GL_RAW!D480))</f>
        <v/>
      </c>
      <c r="F480" s="11">
        <f>IF(GL_RAW!A480="","",TRIM(GL_RAW!F480))</f>
        <v/>
      </c>
      <c r="G480" s="11">
        <f>IF(GL_RAW!A480="","",TRIM(GL_RAW!G480))</f>
        <v/>
      </c>
      <c r="H480" s="12">
        <f>IF(GL_RAW!A480="","",IFERROR(GL_RAW!E480,0))</f>
        <v/>
      </c>
      <c r="I480" s="12">
        <f>IF(GL_RAW!A480="","",ABS(H480))</f>
        <v/>
      </c>
      <c r="J480" s="11">
        <f>IF(GL_RAW!A480="","",IF(OR(ISNUMBER(SEARCH("Out",F480)),ISNUMBER(SEARCH("11025002",F480)),H480&lt;0),"OUT","IN"))</f>
        <v/>
      </c>
      <c r="K480" s="11" t="inlineStr"/>
    </row>
    <row r="481">
      <c r="A481" s="13">
        <f>IF(GL_RAW!A481="","",ROW()-1)</f>
        <v/>
      </c>
      <c r="B481" s="10">
        <f>IF(GL_RAW!A481="","",IF(ISNUMBER(GL_RAW!A481),GL_RAW!A481,DATEVALUE(TEXT(GL_RAW!A481,"YYYY-MM-DD"))))</f>
        <v/>
      </c>
      <c r="C481" s="11">
        <f>IF(GL_RAW!A481="","",TRIM(GL_RAW!B481))</f>
        <v/>
      </c>
      <c r="D481" s="11">
        <f>IF(GL_RAW!A481="","",TRIM(GL_RAW!C481))</f>
        <v/>
      </c>
      <c r="E481" s="11">
        <f>IF(GL_RAW!A481="","",TRIM(GL_RAW!D481))</f>
        <v/>
      </c>
      <c r="F481" s="11">
        <f>IF(GL_RAW!A481="","",TRIM(GL_RAW!F481))</f>
        <v/>
      </c>
      <c r="G481" s="11">
        <f>IF(GL_RAW!A481="","",TRIM(GL_RAW!G481))</f>
        <v/>
      </c>
      <c r="H481" s="12">
        <f>IF(GL_RAW!A481="","",IFERROR(GL_RAW!E481,0))</f>
        <v/>
      </c>
      <c r="I481" s="12">
        <f>IF(GL_RAW!A481="","",ABS(H481))</f>
        <v/>
      </c>
      <c r="J481" s="11">
        <f>IF(GL_RAW!A481="","",IF(OR(ISNUMBER(SEARCH("Out",F481)),ISNUMBER(SEARCH("11025002",F481)),H481&lt;0),"OUT","IN"))</f>
        <v/>
      </c>
      <c r="K481" s="11" t="inlineStr"/>
    </row>
    <row r="482">
      <c r="A482" s="13">
        <f>IF(GL_RAW!A482="","",ROW()-1)</f>
        <v/>
      </c>
      <c r="B482" s="10">
        <f>IF(GL_RAW!A482="","",IF(ISNUMBER(GL_RAW!A482),GL_RAW!A482,DATEVALUE(TEXT(GL_RAW!A482,"YYYY-MM-DD"))))</f>
        <v/>
      </c>
      <c r="C482" s="11">
        <f>IF(GL_RAW!A482="","",TRIM(GL_RAW!B482))</f>
        <v/>
      </c>
      <c r="D482" s="11">
        <f>IF(GL_RAW!A482="","",TRIM(GL_RAW!C482))</f>
        <v/>
      </c>
      <c r="E482" s="11">
        <f>IF(GL_RAW!A482="","",TRIM(GL_RAW!D482))</f>
        <v/>
      </c>
      <c r="F482" s="11">
        <f>IF(GL_RAW!A482="","",TRIM(GL_RAW!F482))</f>
        <v/>
      </c>
      <c r="G482" s="11">
        <f>IF(GL_RAW!A482="","",TRIM(GL_RAW!G482))</f>
        <v/>
      </c>
      <c r="H482" s="12">
        <f>IF(GL_RAW!A482="","",IFERROR(GL_RAW!E482,0))</f>
        <v/>
      </c>
      <c r="I482" s="12">
        <f>IF(GL_RAW!A482="","",ABS(H482))</f>
        <v/>
      </c>
      <c r="J482" s="11">
        <f>IF(GL_RAW!A482="","",IF(OR(ISNUMBER(SEARCH("Out",F482)),ISNUMBER(SEARCH("11025002",F482)),H482&lt;0),"OUT","IN"))</f>
        <v/>
      </c>
      <c r="K482" s="11" t="inlineStr"/>
    </row>
    <row r="483">
      <c r="A483" s="13">
        <f>IF(GL_RAW!A483="","",ROW()-1)</f>
        <v/>
      </c>
      <c r="B483" s="10">
        <f>IF(GL_RAW!A483="","",IF(ISNUMBER(GL_RAW!A483),GL_RAW!A483,DATEVALUE(TEXT(GL_RAW!A483,"YYYY-MM-DD"))))</f>
        <v/>
      </c>
      <c r="C483" s="11">
        <f>IF(GL_RAW!A483="","",TRIM(GL_RAW!B483))</f>
        <v/>
      </c>
      <c r="D483" s="11">
        <f>IF(GL_RAW!A483="","",TRIM(GL_RAW!C483))</f>
        <v/>
      </c>
      <c r="E483" s="11">
        <f>IF(GL_RAW!A483="","",TRIM(GL_RAW!D483))</f>
        <v/>
      </c>
      <c r="F483" s="11">
        <f>IF(GL_RAW!A483="","",TRIM(GL_RAW!F483))</f>
        <v/>
      </c>
      <c r="G483" s="11">
        <f>IF(GL_RAW!A483="","",TRIM(GL_RAW!G483))</f>
        <v/>
      </c>
      <c r="H483" s="12">
        <f>IF(GL_RAW!A483="","",IFERROR(GL_RAW!E483,0))</f>
        <v/>
      </c>
      <c r="I483" s="12">
        <f>IF(GL_RAW!A483="","",ABS(H483))</f>
        <v/>
      </c>
      <c r="J483" s="11">
        <f>IF(GL_RAW!A483="","",IF(OR(ISNUMBER(SEARCH("Out",F483)),ISNUMBER(SEARCH("11025002",F483)),H483&lt;0),"OUT","IN"))</f>
        <v/>
      </c>
      <c r="K483" s="11" t="inlineStr"/>
    </row>
    <row r="484">
      <c r="A484" s="13">
        <f>IF(GL_RAW!A484="","",ROW()-1)</f>
        <v/>
      </c>
      <c r="B484" s="10">
        <f>IF(GL_RAW!A484="","",IF(ISNUMBER(GL_RAW!A484),GL_RAW!A484,DATEVALUE(TEXT(GL_RAW!A484,"YYYY-MM-DD"))))</f>
        <v/>
      </c>
      <c r="C484" s="11">
        <f>IF(GL_RAW!A484="","",TRIM(GL_RAW!B484))</f>
        <v/>
      </c>
      <c r="D484" s="11">
        <f>IF(GL_RAW!A484="","",TRIM(GL_RAW!C484))</f>
        <v/>
      </c>
      <c r="E484" s="11">
        <f>IF(GL_RAW!A484="","",TRIM(GL_RAW!D484))</f>
        <v/>
      </c>
      <c r="F484" s="11">
        <f>IF(GL_RAW!A484="","",TRIM(GL_RAW!F484))</f>
        <v/>
      </c>
      <c r="G484" s="11">
        <f>IF(GL_RAW!A484="","",TRIM(GL_RAW!G484))</f>
        <v/>
      </c>
      <c r="H484" s="12">
        <f>IF(GL_RAW!A484="","",IFERROR(GL_RAW!E484,0))</f>
        <v/>
      </c>
      <c r="I484" s="12">
        <f>IF(GL_RAW!A484="","",ABS(H484))</f>
        <v/>
      </c>
      <c r="J484" s="11">
        <f>IF(GL_RAW!A484="","",IF(OR(ISNUMBER(SEARCH("Out",F484)),ISNUMBER(SEARCH("11025002",F484)),H484&lt;0),"OUT","IN"))</f>
        <v/>
      </c>
      <c r="K484" s="11" t="inlineStr"/>
    </row>
    <row r="485">
      <c r="A485" s="13">
        <f>IF(GL_RAW!A485="","",ROW()-1)</f>
        <v/>
      </c>
      <c r="B485" s="10">
        <f>IF(GL_RAW!A485="","",IF(ISNUMBER(GL_RAW!A485),GL_RAW!A485,DATEVALUE(TEXT(GL_RAW!A485,"YYYY-MM-DD"))))</f>
        <v/>
      </c>
      <c r="C485" s="11">
        <f>IF(GL_RAW!A485="","",TRIM(GL_RAW!B485))</f>
        <v/>
      </c>
      <c r="D485" s="11">
        <f>IF(GL_RAW!A485="","",TRIM(GL_RAW!C485))</f>
        <v/>
      </c>
      <c r="E485" s="11">
        <f>IF(GL_RAW!A485="","",TRIM(GL_RAW!D485))</f>
        <v/>
      </c>
      <c r="F485" s="11">
        <f>IF(GL_RAW!A485="","",TRIM(GL_RAW!F485))</f>
        <v/>
      </c>
      <c r="G485" s="11">
        <f>IF(GL_RAW!A485="","",TRIM(GL_RAW!G485))</f>
        <v/>
      </c>
      <c r="H485" s="12">
        <f>IF(GL_RAW!A485="","",IFERROR(GL_RAW!E485,0))</f>
        <v/>
      </c>
      <c r="I485" s="12">
        <f>IF(GL_RAW!A485="","",ABS(H485))</f>
        <v/>
      </c>
      <c r="J485" s="11">
        <f>IF(GL_RAW!A485="","",IF(OR(ISNUMBER(SEARCH("Out",F485)),ISNUMBER(SEARCH("11025002",F485)),H485&lt;0),"OUT","IN"))</f>
        <v/>
      </c>
      <c r="K485" s="11" t="inlineStr"/>
    </row>
    <row r="486">
      <c r="A486" s="13">
        <f>IF(GL_RAW!A486="","",ROW()-1)</f>
        <v/>
      </c>
      <c r="B486" s="10">
        <f>IF(GL_RAW!A486="","",IF(ISNUMBER(GL_RAW!A486),GL_RAW!A486,DATEVALUE(TEXT(GL_RAW!A486,"YYYY-MM-DD"))))</f>
        <v/>
      </c>
      <c r="C486" s="11">
        <f>IF(GL_RAW!A486="","",TRIM(GL_RAW!B486))</f>
        <v/>
      </c>
      <c r="D486" s="11">
        <f>IF(GL_RAW!A486="","",TRIM(GL_RAW!C486))</f>
        <v/>
      </c>
      <c r="E486" s="11">
        <f>IF(GL_RAW!A486="","",TRIM(GL_RAW!D486))</f>
        <v/>
      </c>
      <c r="F486" s="11">
        <f>IF(GL_RAW!A486="","",TRIM(GL_RAW!F486))</f>
        <v/>
      </c>
      <c r="G486" s="11">
        <f>IF(GL_RAW!A486="","",TRIM(GL_RAW!G486))</f>
        <v/>
      </c>
      <c r="H486" s="12">
        <f>IF(GL_RAW!A486="","",IFERROR(GL_RAW!E486,0))</f>
        <v/>
      </c>
      <c r="I486" s="12">
        <f>IF(GL_RAW!A486="","",ABS(H486))</f>
        <v/>
      </c>
      <c r="J486" s="11">
        <f>IF(GL_RAW!A486="","",IF(OR(ISNUMBER(SEARCH("Out",F486)),ISNUMBER(SEARCH("11025002",F486)),H486&lt;0),"OUT","IN"))</f>
        <v/>
      </c>
      <c r="K486" s="11" t="inlineStr"/>
    </row>
    <row r="487">
      <c r="A487" s="13">
        <f>IF(GL_RAW!A487="","",ROW()-1)</f>
        <v/>
      </c>
      <c r="B487" s="10">
        <f>IF(GL_RAW!A487="","",IF(ISNUMBER(GL_RAW!A487),GL_RAW!A487,DATEVALUE(TEXT(GL_RAW!A487,"YYYY-MM-DD"))))</f>
        <v/>
      </c>
      <c r="C487" s="11">
        <f>IF(GL_RAW!A487="","",TRIM(GL_RAW!B487))</f>
        <v/>
      </c>
      <c r="D487" s="11">
        <f>IF(GL_RAW!A487="","",TRIM(GL_RAW!C487))</f>
        <v/>
      </c>
      <c r="E487" s="11">
        <f>IF(GL_RAW!A487="","",TRIM(GL_RAW!D487))</f>
        <v/>
      </c>
      <c r="F487" s="11">
        <f>IF(GL_RAW!A487="","",TRIM(GL_RAW!F487))</f>
        <v/>
      </c>
      <c r="G487" s="11">
        <f>IF(GL_RAW!A487="","",TRIM(GL_RAW!G487))</f>
        <v/>
      </c>
      <c r="H487" s="12">
        <f>IF(GL_RAW!A487="","",IFERROR(GL_RAW!E487,0))</f>
        <v/>
      </c>
      <c r="I487" s="12">
        <f>IF(GL_RAW!A487="","",ABS(H487))</f>
        <v/>
      </c>
      <c r="J487" s="11">
        <f>IF(GL_RAW!A487="","",IF(OR(ISNUMBER(SEARCH("Out",F487)),ISNUMBER(SEARCH("11025002",F487)),H487&lt;0),"OUT","IN"))</f>
        <v/>
      </c>
      <c r="K487" s="11" t="inlineStr"/>
    </row>
    <row r="488">
      <c r="A488" s="13">
        <f>IF(GL_RAW!A488="","",ROW()-1)</f>
        <v/>
      </c>
      <c r="B488" s="10">
        <f>IF(GL_RAW!A488="","",IF(ISNUMBER(GL_RAW!A488),GL_RAW!A488,DATEVALUE(TEXT(GL_RAW!A488,"YYYY-MM-DD"))))</f>
        <v/>
      </c>
      <c r="C488" s="11">
        <f>IF(GL_RAW!A488="","",TRIM(GL_RAW!B488))</f>
        <v/>
      </c>
      <c r="D488" s="11">
        <f>IF(GL_RAW!A488="","",TRIM(GL_RAW!C488))</f>
        <v/>
      </c>
      <c r="E488" s="11">
        <f>IF(GL_RAW!A488="","",TRIM(GL_RAW!D488))</f>
        <v/>
      </c>
      <c r="F488" s="11">
        <f>IF(GL_RAW!A488="","",TRIM(GL_RAW!F488))</f>
        <v/>
      </c>
      <c r="G488" s="11">
        <f>IF(GL_RAW!A488="","",TRIM(GL_RAW!G488))</f>
        <v/>
      </c>
      <c r="H488" s="12">
        <f>IF(GL_RAW!A488="","",IFERROR(GL_RAW!E488,0))</f>
        <v/>
      </c>
      <c r="I488" s="12">
        <f>IF(GL_RAW!A488="","",ABS(H488))</f>
        <v/>
      </c>
      <c r="J488" s="11">
        <f>IF(GL_RAW!A488="","",IF(OR(ISNUMBER(SEARCH("Out",F488)),ISNUMBER(SEARCH("11025002",F488)),H488&lt;0),"OUT","IN"))</f>
        <v/>
      </c>
      <c r="K488" s="11" t="inlineStr"/>
    </row>
    <row r="489">
      <c r="A489" s="13">
        <f>IF(GL_RAW!A489="","",ROW()-1)</f>
        <v/>
      </c>
      <c r="B489" s="10">
        <f>IF(GL_RAW!A489="","",IF(ISNUMBER(GL_RAW!A489),GL_RAW!A489,DATEVALUE(TEXT(GL_RAW!A489,"YYYY-MM-DD"))))</f>
        <v/>
      </c>
      <c r="C489" s="11">
        <f>IF(GL_RAW!A489="","",TRIM(GL_RAW!B489))</f>
        <v/>
      </c>
      <c r="D489" s="11">
        <f>IF(GL_RAW!A489="","",TRIM(GL_RAW!C489))</f>
        <v/>
      </c>
      <c r="E489" s="11">
        <f>IF(GL_RAW!A489="","",TRIM(GL_RAW!D489))</f>
        <v/>
      </c>
      <c r="F489" s="11">
        <f>IF(GL_RAW!A489="","",TRIM(GL_RAW!F489))</f>
        <v/>
      </c>
      <c r="G489" s="11">
        <f>IF(GL_RAW!A489="","",TRIM(GL_RAW!G489))</f>
        <v/>
      </c>
      <c r="H489" s="12">
        <f>IF(GL_RAW!A489="","",IFERROR(GL_RAW!E489,0))</f>
        <v/>
      </c>
      <c r="I489" s="12">
        <f>IF(GL_RAW!A489="","",ABS(H489))</f>
        <v/>
      </c>
      <c r="J489" s="11">
        <f>IF(GL_RAW!A489="","",IF(OR(ISNUMBER(SEARCH("Out",F489)),ISNUMBER(SEARCH("11025002",F489)),H489&lt;0),"OUT","IN"))</f>
        <v/>
      </c>
      <c r="K489" s="11" t="inlineStr"/>
    </row>
    <row r="490">
      <c r="A490" s="13">
        <f>IF(GL_RAW!A490="","",ROW()-1)</f>
        <v/>
      </c>
      <c r="B490" s="10">
        <f>IF(GL_RAW!A490="","",IF(ISNUMBER(GL_RAW!A490),GL_RAW!A490,DATEVALUE(TEXT(GL_RAW!A490,"YYYY-MM-DD"))))</f>
        <v/>
      </c>
      <c r="C490" s="11">
        <f>IF(GL_RAW!A490="","",TRIM(GL_RAW!B490))</f>
        <v/>
      </c>
      <c r="D490" s="11">
        <f>IF(GL_RAW!A490="","",TRIM(GL_RAW!C490))</f>
        <v/>
      </c>
      <c r="E490" s="11">
        <f>IF(GL_RAW!A490="","",TRIM(GL_RAW!D490))</f>
        <v/>
      </c>
      <c r="F490" s="11">
        <f>IF(GL_RAW!A490="","",TRIM(GL_RAW!F490))</f>
        <v/>
      </c>
      <c r="G490" s="11">
        <f>IF(GL_RAW!A490="","",TRIM(GL_RAW!G490))</f>
        <v/>
      </c>
      <c r="H490" s="12">
        <f>IF(GL_RAW!A490="","",IFERROR(GL_RAW!E490,0))</f>
        <v/>
      </c>
      <c r="I490" s="12">
        <f>IF(GL_RAW!A490="","",ABS(H490))</f>
        <v/>
      </c>
      <c r="J490" s="11">
        <f>IF(GL_RAW!A490="","",IF(OR(ISNUMBER(SEARCH("Out",F490)),ISNUMBER(SEARCH("11025002",F490)),H490&lt;0),"OUT","IN"))</f>
        <v/>
      </c>
      <c r="K490" s="11" t="inlineStr"/>
    </row>
    <row r="491">
      <c r="A491" s="13">
        <f>IF(GL_RAW!A491="","",ROW()-1)</f>
        <v/>
      </c>
      <c r="B491" s="10">
        <f>IF(GL_RAW!A491="","",IF(ISNUMBER(GL_RAW!A491),GL_RAW!A491,DATEVALUE(TEXT(GL_RAW!A491,"YYYY-MM-DD"))))</f>
        <v/>
      </c>
      <c r="C491" s="11">
        <f>IF(GL_RAW!A491="","",TRIM(GL_RAW!B491))</f>
        <v/>
      </c>
      <c r="D491" s="11">
        <f>IF(GL_RAW!A491="","",TRIM(GL_RAW!C491))</f>
        <v/>
      </c>
      <c r="E491" s="11">
        <f>IF(GL_RAW!A491="","",TRIM(GL_RAW!D491))</f>
        <v/>
      </c>
      <c r="F491" s="11">
        <f>IF(GL_RAW!A491="","",TRIM(GL_RAW!F491))</f>
        <v/>
      </c>
      <c r="G491" s="11">
        <f>IF(GL_RAW!A491="","",TRIM(GL_RAW!G491))</f>
        <v/>
      </c>
      <c r="H491" s="12">
        <f>IF(GL_RAW!A491="","",IFERROR(GL_RAW!E491,0))</f>
        <v/>
      </c>
      <c r="I491" s="12">
        <f>IF(GL_RAW!A491="","",ABS(H491))</f>
        <v/>
      </c>
      <c r="J491" s="11">
        <f>IF(GL_RAW!A491="","",IF(OR(ISNUMBER(SEARCH("Out",F491)),ISNUMBER(SEARCH("11025002",F491)),H491&lt;0),"OUT","IN"))</f>
        <v/>
      </c>
      <c r="K491" s="11" t="inlineStr"/>
    </row>
    <row r="492">
      <c r="A492" s="13">
        <f>IF(GL_RAW!A492="","",ROW()-1)</f>
        <v/>
      </c>
      <c r="B492" s="10">
        <f>IF(GL_RAW!A492="","",IF(ISNUMBER(GL_RAW!A492),GL_RAW!A492,DATEVALUE(TEXT(GL_RAW!A492,"YYYY-MM-DD"))))</f>
        <v/>
      </c>
      <c r="C492" s="11">
        <f>IF(GL_RAW!A492="","",TRIM(GL_RAW!B492))</f>
        <v/>
      </c>
      <c r="D492" s="11">
        <f>IF(GL_RAW!A492="","",TRIM(GL_RAW!C492))</f>
        <v/>
      </c>
      <c r="E492" s="11">
        <f>IF(GL_RAW!A492="","",TRIM(GL_RAW!D492))</f>
        <v/>
      </c>
      <c r="F492" s="11">
        <f>IF(GL_RAW!A492="","",TRIM(GL_RAW!F492))</f>
        <v/>
      </c>
      <c r="G492" s="11">
        <f>IF(GL_RAW!A492="","",TRIM(GL_RAW!G492))</f>
        <v/>
      </c>
      <c r="H492" s="12">
        <f>IF(GL_RAW!A492="","",IFERROR(GL_RAW!E492,0))</f>
        <v/>
      </c>
      <c r="I492" s="12">
        <f>IF(GL_RAW!A492="","",ABS(H492))</f>
        <v/>
      </c>
      <c r="J492" s="11">
        <f>IF(GL_RAW!A492="","",IF(OR(ISNUMBER(SEARCH("Out",F492)),ISNUMBER(SEARCH("11025002",F492)),H492&lt;0),"OUT","IN"))</f>
        <v/>
      </c>
      <c r="K492" s="11" t="inlineStr"/>
    </row>
    <row r="493">
      <c r="A493" s="13">
        <f>IF(GL_RAW!A493="","",ROW()-1)</f>
        <v/>
      </c>
      <c r="B493" s="10">
        <f>IF(GL_RAW!A493="","",IF(ISNUMBER(GL_RAW!A493),GL_RAW!A493,DATEVALUE(TEXT(GL_RAW!A493,"YYYY-MM-DD"))))</f>
        <v/>
      </c>
      <c r="C493" s="11">
        <f>IF(GL_RAW!A493="","",TRIM(GL_RAW!B493))</f>
        <v/>
      </c>
      <c r="D493" s="11">
        <f>IF(GL_RAW!A493="","",TRIM(GL_RAW!C493))</f>
        <v/>
      </c>
      <c r="E493" s="11">
        <f>IF(GL_RAW!A493="","",TRIM(GL_RAW!D493))</f>
        <v/>
      </c>
      <c r="F493" s="11">
        <f>IF(GL_RAW!A493="","",TRIM(GL_RAW!F493))</f>
        <v/>
      </c>
      <c r="G493" s="11">
        <f>IF(GL_RAW!A493="","",TRIM(GL_RAW!G493))</f>
        <v/>
      </c>
      <c r="H493" s="12">
        <f>IF(GL_RAW!A493="","",IFERROR(GL_RAW!E493,0))</f>
        <v/>
      </c>
      <c r="I493" s="12">
        <f>IF(GL_RAW!A493="","",ABS(H493))</f>
        <v/>
      </c>
      <c r="J493" s="11">
        <f>IF(GL_RAW!A493="","",IF(OR(ISNUMBER(SEARCH("Out",F493)),ISNUMBER(SEARCH("11025002",F493)),H493&lt;0),"OUT","IN"))</f>
        <v/>
      </c>
      <c r="K493" s="11" t="inlineStr"/>
    </row>
    <row r="494">
      <c r="A494" s="13">
        <f>IF(GL_RAW!A494="","",ROW()-1)</f>
        <v/>
      </c>
      <c r="B494" s="10">
        <f>IF(GL_RAW!A494="","",IF(ISNUMBER(GL_RAW!A494),GL_RAW!A494,DATEVALUE(TEXT(GL_RAW!A494,"YYYY-MM-DD"))))</f>
        <v/>
      </c>
      <c r="C494" s="11">
        <f>IF(GL_RAW!A494="","",TRIM(GL_RAW!B494))</f>
        <v/>
      </c>
      <c r="D494" s="11">
        <f>IF(GL_RAW!A494="","",TRIM(GL_RAW!C494))</f>
        <v/>
      </c>
      <c r="E494" s="11">
        <f>IF(GL_RAW!A494="","",TRIM(GL_RAW!D494))</f>
        <v/>
      </c>
      <c r="F494" s="11">
        <f>IF(GL_RAW!A494="","",TRIM(GL_RAW!F494))</f>
        <v/>
      </c>
      <c r="G494" s="11">
        <f>IF(GL_RAW!A494="","",TRIM(GL_RAW!G494))</f>
        <v/>
      </c>
      <c r="H494" s="12">
        <f>IF(GL_RAW!A494="","",IFERROR(GL_RAW!E494,0))</f>
        <v/>
      </c>
      <c r="I494" s="12">
        <f>IF(GL_RAW!A494="","",ABS(H494))</f>
        <v/>
      </c>
      <c r="J494" s="11">
        <f>IF(GL_RAW!A494="","",IF(OR(ISNUMBER(SEARCH("Out",F494)),ISNUMBER(SEARCH("11025002",F494)),H494&lt;0),"OUT","IN"))</f>
        <v/>
      </c>
      <c r="K494" s="11" t="inlineStr"/>
    </row>
    <row r="495">
      <c r="A495" s="13">
        <f>IF(GL_RAW!A495="","",ROW()-1)</f>
        <v/>
      </c>
      <c r="B495" s="10">
        <f>IF(GL_RAW!A495="","",IF(ISNUMBER(GL_RAW!A495),GL_RAW!A495,DATEVALUE(TEXT(GL_RAW!A495,"YYYY-MM-DD"))))</f>
        <v/>
      </c>
      <c r="C495" s="11">
        <f>IF(GL_RAW!A495="","",TRIM(GL_RAW!B495))</f>
        <v/>
      </c>
      <c r="D495" s="11">
        <f>IF(GL_RAW!A495="","",TRIM(GL_RAW!C495))</f>
        <v/>
      </c>
      <c r="E495" s="11">
        <f>IF(GL_RAW!A495="","",TRIM(GL_RAW!D495))</f>
        <v/>
      </c>
      <c r="F495" s="11">
        <f>IF(GL_RAW!A495="","",TRIM(GL_RAW!F495))</f>
        <v/>
      </c>
      <c r="G495" s="11">
        <f>IF(GL_RAW!A495="","",TRIM(GL_RAW!G495))</f>
        <v/>
      </c>
      <c r="H495" s="12">
        <f>IF(GL_RAW!A495="","",IFERROR(GL_RAW!E495,0))</f>
        <v/>
      </c>
      <c r="I495" s="12">
        <f>IF(GL_RAW!A495="","",ABS(H495))</f>
        <v/>
      </c>
      <c r="J495" s="11">
        <f>IF(GL_RAW!A495="","",IF(OR(ISNUMBER(SEARCH("Out",F495)),ISNUMBER(SEARCH("11025002",F495)),H495&lt;0),"OUT","IN"))</f>
        <v/>
      </c>
      <c r="K495" s="11" t="inlineStr"/>
    </row>
    <row r="496">
      <c r="A496" s="13">
        <f>IF(GL_RAW!A496="","",ROW()-1)</f>
        <v/>
      </c>
      <c r="B496" s="10">
        <f>IF(GL_RAW!A496="","",IF(ISNUMBER(GL_RAW!A496),GL_RAW!A496,DATEVALUE(TEXT(GL_RAW!A496,"YYYY-MM-DD"))))</f>
        <v/>
      </c>
      <c r="C496" s="11">
        <f>IF(GL_RAW!A496="","",TRIM(GL_RAW!B496))</f>
        <v/>
      </c>
      <c r="D496" s="11">
        <f>IF(GL_RAW!A496="","",TRIM(GL_RAW!C496))</f>
        <v/>
      </c>
      <c r="E496" s="11">
        <f>IF(GL_RAW!A496="","",TRIM(GL_RAW!D496))</f>
        <v/>
      </c>
      <c r="F496" s="11">
        <f>IF(GL_RAW!A496="","",TRIM(GL_RAW!F496))</f>
        <v/>
      </c>
      <c r="G496" s="11">
        <f>IF(GL_RAW!A496="","",TRIM(GL_RAW!G496))</f>
        <v/>
      </c>
      <c r="H496" s="12">
        <f>IF(GL_RAW!A496="","",IFERROR(GL_RAW!E496,0))</f>
        <v/>
      </c>
      <c r="I496" s="12">
        <f>IF(GL_RAW!A496="","",ABS(H496))</f>
        <v/>
      </c>
      <c r="J496" s="11">
        <f>IF(GL_RAW!A496="","",IF(OR(ISNUMBER(SEARCH("Out",F496)),ISNUMBER(SEARCH("11025002",F496)),H496&lt;0),"OUT","IN"))</f>
        <v/>
      </c>
      <c r="K496" s="11" t="inlineStr"/>
    </row>
    <row r="497">
      <c r="A497" s="13">
        <f>IF(GL_RAW!A497="","",ROW()-1)</f>
        <v/>
      </c>
      <c r="B497" s="10">
        <f>IF(GL_RAW!A497="","",IF(ISNUMBER(GL_RAW!A497),GL_RAW!A497,DATEVALUE(TEXT(GL_RAW!A497,"YYYY-MM-DD"))))</f>
        <v/>
      </c>
      <c r="C497" s="11">
        <f>IF(GL_RAW!A497="","",TRIM(GL_RAW!B497))</f>
        <v/>
      </c>
      <c r="D497" s="11">
        <f>IF(GL_RAW!A497="","",TRIM(GL_RAW!C497))</f>
        <v/>
      </c>
      <c r="E497" s="11">
        <f>IF(GL_RAW!A497="","",TRIM(GL_RAW!D497))</f>
        <v/>
      </c>
      <c r="F497" s="11">
        <f>IF(GL_RAW!A497="","",TRIM(GL_RAW!F497))</f>
        <v/>
      </c>
      <c r="G497" s="11">
        <f>IF(GL_RAW!A497="","",TRIM(GL_RAW!G497))</f>
        <v/>
      </c>
      <c r="H497" s="12">
        <f>IF(GL_RAW!A497="","",IFERROR(GL_RAW!E497,0))</f>
        <v/>
      </c>
      <c r="I497" s="12">
        <f>IF(GL_RAW!A497="","",ABS(H497))</f>
        <v/>
      </c>
      <c r="J497" s="11">
        <f>IF(GL_RAW!A497="","",IF(OR(ISNUMBER(SEARCH("Out",F497)),ISNUMBER(SEARCH("11025002",F497)),H497&lt;0),"OUT","IN"))</f>
        <v/>
      </c>
      <c r="K497" s="11" t="inlineStr"/>
    </row>
    <row r="498">
      <c r="A498" s="13">
        <f>IF(GL_RAW!A498="","",ROW()-1)</f>
        <v/>
      </c>
      <c r="B498" s="10">
        <f>IF(GL_RAW!A498="","",IF(ISNUMBER(GL_RAW!A498),GL_RAW!A498,DATEVALUE(TEXT(GL_RAW!A498,"YYYY-MM-DD"))))</f>
        <v/>
      </c>
      <c r="C498" s="11">
        <f>IF(GL_RAW!A498="","",TRIM(GL_RAW!B498))</f>
        <v/>
      </c>
      <c r="D498" s="11">
        <f>IF(GL_RAW!A498="","",TRIM(GL_RAW!C498))</f>
        <v/>
      </c>
      <c r="E498" s="11">
        <f>IF(GL_RAW!A498="","",TRIM(GL_RAW!D498))</f>
        <v/>
      </c>
      <c r="F498" s="11">
        <f>IF(GL_RAW!A498="","",TRIM(GL_RAW!F498))</f>
        <v/>
      </c>
      <c r="G498" s="11">
        <f>IF(GL_RAW!A498="","",TRIM(GL_RAW!G498))</f>
        <v/>
      </c>
      <c r="H498" s="12">
        <f>IF(GL_RAW!A498="","",IFERROR(GL_RAW!E498,0))</f>
        <v/>
      </c>
      <c r="I498" s="12">
        <f>IF(GL_RAW!A498="","",ABS(H498))</f>
        <v/>
      </c>
      <c r="J498" s="11">
        <f>IF(GL_RAW!A498="","",IF(OR(ISNUMBER(SEARCH("Out",F498)),ISNUMBER(SEARCH("11025002",F498)),H498&lt;0),"OUT","IN"))</f>
        <v/>
      </c>
      <c r="K498" s="11" t="inlineStr"/>
    </row>
    <row r="499">
      <c r="A499" s="13">
        <f>IF(GL_RAW!A499="","",ROW()-1)</f>
        <v/>
      </c>
      <c r="B499" s="10">
        <f>IF(GL_RAW!A499="","",IF(ISNUMBER(GL_RAW!A499),GL_RAW!A499,DATEVALUE(TEXT(GL_RAW!A499,"YYYY-MM-DD"))))</f>
        <v/>
      </c>
      <c r="C499" s="11">
        <f>IF(GL_RAW!A499="","",TRIM(GL_RAW!B499))</f>
        <v/>
      </c>
      <c r="D499" s="11">
        <f>IF(GL_RAW!A499="","",TRIM(GL_RAW!C499))</f>
        <v/>
      </c>
      <c r="E499" s="11">
        <f>IF(GL_RAW!A499="","",TRIM(GL_RAW!D499))</f>
        <v/>
      </c>
      <c r="F499" s="11">
        <f>IF(GL_RAW!A499="","",TRIM(GL_RAW!F499))</f>
        <v/>
      </c>
      <c r="G499" s="11">
        <f>IF(GL_RAW!A499="","",TRIM(GL_RAW!G499))</f>
        <v/>
      </c>
      <c r="H499" s="12">
        <f>IF(GL_RAW!A499="","",IFERROR(GL_RAW!E499,0))</f>
        <v/>
      </c>
      <c r="I499" s="12">
        <f>IF(GL_RAW!A499="","",ABS(H499))</f>
        <v/>
      </c>
      <c r="J499" s="11">
        <f>IF(GL_RAW!A499="","",IF(OR(ISNUMBER(SEARCH("Out",F499)),ISNUMBER(SEARCH("11025002",F499)),H499&lt;0),"OUT","IN"))</f>
        <v/>
      </c>
      <c r="K499" s="11" t="inlineStr"/>
    </row>
    <row r="500">
      <c r="A500" s="13">
        <f>IF(GL_RAW!A500="","",ROW()-1)</f>
        <v/>
      </c>
      <c r="B500" s="10">
        <f>IF(GL_RAW!A500="","",IF(ISNUMBER(GL_RAW!A500),GL_RAW!A500,DATEVALUE(TEXT(GL_RAW!A500,"YYYY-MM-DD"))))</f>
        <v/>
      </c>
      <c r="C500" s="11">
        <f>IF(GL_RAW!A500="","",TRIM(GL_RAW!B500))</f>
        <v/>
      </c>
      <c r="D500" s="11">
        <f>IF(GL_RAW!A500="","",TRIM(GL_RAW!C500))</f>
        <v/>
      </c>
      <c r="E500" s="11">
        <f>IF(GL_RAW!A500="","",TRIM(GL_RAW!D500))</f>
        <v/>
      </c>
      <c r="F500" s="11">
        <f>IF(GL_RAW!A500="","",TRIM(GL_RAW!F500))</f>
        <v/>
      </c>
      <c r="G500" s="11">
        <f>IF(GL_RAW!A500="","",TRIM(GL_RAW!G500))</f>
        <v/>
      </c>
      <c r="H500" s="12">
        <f>IF(GL_RAW!A500="","",IFERROR(GL_RAW!E500,0))</f>
        <v/>
      </c>
      <c r="I500" s="12">
        <f>IF(GL_RAW!A500="","",ABS(H500))</f>
        <v/>
      </c>
      <c r="J500" s="11">
        <f>IF(GL_RAW!A500="","",IF(OR(ISNUMBER(SEARCH("Out",F500)),ISNUMBER(SEARCH("11025002",F500)),H500&lt;0),"OUT","IN"))</f>
        <v/>
      </c>
      <c r="K500" s="11" t="inlineStr"/>
    </row>
    <row r="501">
      <c r="A501" s="13">
        <f>IF(GL_RAW!A501="","",ROW()-1)</f>
        <v/>
      </c>
      <c r="B501" s="10">
        <f>IF(GL_RAW!A501="","",IF(ISNUMBER(GL_RAW!A501),GL_RAW!A501,DATEVALUE(TEXT(GL_RAW!A501,"YYYY-MM-DD"))))</f>
        <v/>
      </c>
      <c r="C501" s="11">
        <f>IF(GL_RAW!A501="","",TRIM(GL_RAW!B501))</f>
        <v/>
      </c>
      <c r="D501" s="11">
        <f>IF(GL_RAW!A501="","",TRIM(GL_RAW!C501))</f>
        <v/>
      </c>
      <c r="E501" s="11">
        <f>IF(GL_RAW!A501="","",TRIM(GL_RAW!D501))</f>
        <v/>
      </c>
      <c r="F501" s="11">
        <f>IF(GL_RAW!A501="","",TRIM(GL_RAW!F501))</f>
        <v/>
      </c>
      <c r="G501" s="11">
        <f>IF(GL_RAW!A501="","",TRIM(GL_RAW!G501))</f>
        <v/>
      </c>
      <c r="H501" s="12">
        <f>IF(GL_RAW!A501="","",IFERROR(GL_RAW!E501,0))</f>
        <v/>
      </c>
      <c r="I501" s="12">
        <f>IF(GL_RAW!A501="","",ABS(H501))</f>
        <v/>
      </c>
      <c r="J501" s="11">
        <f>IF(GL_RAW!A501="","",IF(OR(ISNUMBER(SEARCH("Out",F501)),ISNUMBER(SEARCH("11025002",F501)),H501&lt;0),"OUT","IN"))</f>
        <v/>
      </c>
      <c r="K501" s="11" t="inlineStr"/>
    </row>
    <row r="502">
      <c r="A502" s="13">
        <f>IF(GL_RAW!A502="","",ROW()-1)</f>
        <v/>
      </c>
      <c r="B502" s="10">
        <f>IF(GL_RAW!A502="","",IF(ISNUMBER(GL_RAW!A502),GL_RAW!A502,DATEVALUE(TEXT(GL_RAW!A502,"YYYY-MM-DD"))))</f>
        <v/>
      </c>
      <c r="C502" s="11">
        <f>IF(GL_RAW!A502="","",TRIM(GL_RAW!B502))</f>
        <v/>
      </c>
      <c r="D502" s="11">
        <f>IF(GL_RAW!A502="","",TRIM(GL_RAW!C502))</f>
        <v/>
      </c>
      <c r="E502" s="11">
        <f>IF(GL_RAW!A502="","",TRIM(GL_RAW!D502))</f>
        <v/>
      </c>
      <c r="F502" s="11">
        <f>IF(GL_RAW!A502="","",TRIM(GL_RAW!F502))</f>
        <v/>
      </c>
      <c r="G502" s="11">
        <f>IF(GL_RAW!A502="","",TRIM(GL_RAW!G502))</f>
        <v/>
      </c>
      <c r="H502" s="12">
        <f>IF(GL_RAW!A502="","",IFERROR(GL_RAW!E502,0))</f>
        <v/>
      </c>
      <c r="I502" s="12">
        <f>IF(GL_RAW!A502="","",ABS(H502))</f>
        <v/>
      </c>
      <c r="J502" s="11">
        <f>IF(GL_RAW!A502="","",IF(OR(ISNUMBER(SEARCH("Out",F502)),ISNUMBER(SEARCH("11025002",F502)),H502&lt;0),"OUT","IN"))</f>
        <v/>
      </c>
      <c r="K502" s="11" t="inlineStr"/>
    </row>
    <row r="503">
      <c r="A503" s="13">
        <f>IF(GL_RAW!A503="","",ROW()-1)</f>
        <v/>
      </c>
      <c r="B503" s="10">
        <f>IF(GL_RAW!A503="","",IF(ISNUMBER(GL_RAW!A503),GL_RAW!A503,DATEVALUE(TEXT(GL_RAW!A503,"YYYY-MM-DD"))))</f>
        <v/>
      </c>
      <c r="C503" s="11">
        <f>IF(GL_RAW!A503="","",TRIM(GL_RAW!B503))</f>
        <v/>
      </c>
      <c r="D503" s="11">
        <f>IF(GL_RAW!A503="","",TRIM(GL_RAW!C503))</f>
        <v/>
      </c>
      <c r="E503" s="11">
        <f>IF(GL_RAW!A503="","",TRIM(GL_RAW!D503))</f>
        <v/>
      </c>
      <c r="F503" s="11">
        <f>IF(GL_RAW!A503="","",TRIM(GL_RAW!F503))</f>
        <v/>
      </c>
      <c r="G503" s="11">
        <f>IF(GL_RAW!A503="","",TRIM(GL_RAW!G503))</f>
        <v/>
      </c>
      <c r="H503" s="12">
        <f>IF(GL_RAW!A503="","",IFERROR(GL_RAW!E503,0))</f>
        <v/>
      </c>
      <c r="I503" s="12">
        <f>IF(GL_RAW!A503="","",ABS(H503))</f>
        <v/>
      </c>
      <c r="J503" s="11">
        <f>IF(GL_RAW!A503="","",IF(OR(ISNUMBER(SEARCH("Out",F503)),ISNUMBER(SEARCH("11025002",F503)),H503&lt;0),"OUT","IN"))</f>
        <v/>
      </c>
      <c r="K503" s="11" t="inlineStr"/>
    </row>
    <row r="504">
      <c r="A504" s="13">
        <f>IF(GL_RAW!A504="","",ROW()-1)</f>
        <v/>
      </c>
      <c r="B504" s="10">
        <f>IF(GL_RAW!A504="","",IF(ISNUMBER(GL_RAW!A504),GL_RAW!A504,DATEVALUE(TEXT(GL_RAW!A504,"YYYY-MM-DD"))))</f>
        <v/>
      </c>
      <c r="C504" s="11">
        <f>IF(GL_RAW!A504="","",TRIM(GL_RAW!B504))</f>
        <v/>
      </c>
      <c r="D504" s="11">
        <f>IF(GL_RAW!A504="","",TRIM(GL_RAW!C504))</f>
        <v/>
      </c>
      <c r="E504" s="11">
        <f>IF(GL_RAW!A504="","",TRIM(GL_RAW!D504))</f>
        <v/>
      </c>
      <c r="F504" s="11">
        <f>IF(GL_RAW!A504="","",TRIM(GL_RAW!F504))</f>
        <v/>
      </c>
      <c r="G504" s="11">
        <f>IF(GL_RAW!A504="","",TRIM(GL_RAW!G504))</f>
        <v/>
      </c>
      <c r="H504" s="12">
        <f>IF(GL_RAW!A504="","",IFERROR(GL_RAW!E504,0))</f>
        <v/>
      </c>
      <c r="I504" s="12">
        <f>IF(GL_RAW!A504="","",ABS(H504))</f>
        <v/>
      </c>
      <c r="J504" s="11">
        <f>IF(GL_RAW!A504="","",IF(OR(ISNUMBER(SEARCH("Out",F504)),ISNUMBER(SEARCH("11025002",F504)),H504&lt;0),"OUT","IN"))</f>
        <v/>
      </c>
      <c r="K504" s="11" t="inlineStr"/>
    </row>
    <row r="505">
      <c r="A505" s="13">
        <f>IF(GL_RAW!A505="","",ROW()-1)</f>
        <v/>
      </c>
      <c r="B505" s="10">
        <f>IF(GL_RAW!A505="","",IF(ISNUMBER(GL_RAW!A505),GL_RAW!A505,DATEVALUE(TEXT(GL_RAW!A505,"YYYY-MM-DD"))))</f>
        <v/>
      </c>
      <c r="C505" s="11">
        <f>IF(GL_RAW!A505="","",TRIM(GL_RAW!B505))</f>
        <v/>
      </c>
      <c r="D505" s="11">
        <f>IF(GL_RAW!A505="","",TRIM(GL_RAW!C505))</f>
        <v/>
      </c>
      <c r="E505" s="11">
        <f>IF(GL_RAW!A505="","",TRIM(GL_RAW!D505))</f>
        <v/>
      </c>
      <c r="F505" s="11">
        <f>IF(GL_RAW!A505="","",TRIM(GL_RAW!F505))</f>
        <v/>
      </c>
      <c r="G505" s="11">
        <f>IF(GL_RAW!A505="","",TRIM(GL_RAW!G505))</f>
        <v/>
      </c>
      <c r="H505" s="12">
        <f>IF(GL_RAW!A505="","",IFERROR(GL_RAW!E505,0))</f>
        <v/>
      </c>
      <c r="I505" s="12">
        <f>IF(GL_RAW!A505="","",ABS(H505))</f>
        <v/>
      </c>
      <c r="J505" s="11">
        <f>IF(GL_RAW!A505="","",IF(OR(ISNUMBER(SEARCH("Out",F505)),ISNUMBER(SEARCH("11025002",F505)),H505&lt;0),"OUT","IN"))</f>
        <v/>
      </c>
      <c r="K505" s="11" t="inlineStr"/>
    </row>
    <row r="506">
      <c r="A506" s="13">
        <f>IF(GL_RAW!A506="","",ROW()-1)</f>
        <v/>
      </c>
      <c r="B506" s="10">
        <f>IF(GL_RAW!A506="","",IF(ISNUMBER(GL_RAW!A506),GL_RAW!A506,DATEVALUE(TEXT(GL_RAW!A506,"YYYY-MM-DD"))))</f>
        <v/>
      </c>
      <c r="C506" s="11">
        <f>IF(GL_RAW!A506="","",TRIM(GL_RAW!B506))</f>
        <v/>
      </c>
      <c r="D506" s="11">
        <f>IF(GL_RAW!A506="","",TRIM(GL_RAW!C506))</f>
        <v/>
      </c>
      <c r="E506" s="11">
        <f>IF(GL_RAW!A506="","",TRIM(GL_RAW!D506))</f>
        <v/>
      </c>
      <c r="F506" s="11">
        <f>IF(GL_RAW!A506="","",TRIM(GL_RAW!F506))</f>
        <v/>
      </c>
      <c r="G506" s="11">
        <f>IF(GL_RAW!A506="","",TRIM(GL_RAW!G506))</f>
        <v/>
      </c>
      <c r="H506" s="12">
        <f>IF(GL_RAW!A506="","",IFERROR(GL_RAW!E506,0))</f>
        <v/>
      </c>
      <c r="I506" s="12">
        <f>IF(GL_RAW!A506="","",ABS(H506))</f>
        <v/>
      </c>
      <c r="J506" s="11">
        <f>IF(GL_RAW!A506="","",IF(OR(ISNUMBER(SEARCH("Out",F506)),ISNUMBER(SEARCH("11025002",F506)),H506&lt;0),"OUT","IN"))</f>
        <v/>
      </c>
      <c r="K506" s="11" t="inlineStr"/>
    </row>
    <row r="507">
      <c r="A507" s="13">
        <f>IF(GL_RAW!A507="","",ROW()-1)</f>
        <v/>
      </c>
      <c r="B507" s="10">
        <f>IF(GL_RAW!A507="","",IF(ISNUMBER(GL_RAW!A507),GL_RAW!A507,DATEVALUE(TEXT(GL_RAW!A507,"YYYY-MM-DD"))))</f>
        <v/>
      </c>
      <c r="C507" s="11">
        <f>IF(GL_RAW!A507="","",TRIM(GL_RAW!B507))</f>
        <v/>
      </c>
      <c r="D507" s="11">
        <f>IF(GL_RAW!A507="","",TRIM(GL_RAW!C507))</f>
        <v/>
      </c>
      <c r="E507" s="11">
        <f>IF(GL_RAW!A507="","",TRIM(GL_RAW!D507))</f>
        <v/>
      </c>
      <c r="F507" s="11">
        <f>IF(GL_RAW!A507="","",TRIM(GL_RAW!F507))</f>
        <v/>
      </c>
      <c r="G507" s="11">
        <f>IF(GL_RAW!A507="","",TRIM(GL_RAW!G507))</f>
        <v/>
      </c>
      <c r="H507" s="12">
        <f>IF(GL_RAW!A507="","",IFERROR(GL_RAW!E507,0))</f>
        <v/>
      </c>
      <c r="I507" s="12">
        <f>IF(GL_RAW!A507="","",ABS(H507))</f>
        <v/>
      </c>
      <c r="J507" s="11">
        <f>IF(GL_RAW!A507="","",IF(OR(ISNUMBER(SEARCH("Out",F507)),ISNUMBER(SEARCH("11025002",F507)),H507&lt;0),"OUT","IN"))</f>
        <v/>
      </c>
      <c r="K507" s="11" t="inlineStr"/>
    </row>
    <row r="508">
      <c r="A508" s="13">
        <f>IF(GL_RAW!A508="","",ROW()-1)</f>
        <v/>
      </c>
      <c r="B508" s="10">
        <f>IF(GL_RAW!A508="","",IF(ISNUMBER(GL_RAW!A508),GL_RAW!A508,DATEVALUE(TEXT(GL_RAW!A508,"YYYY-MM-DD"))))</f>
        <v/>
      </c>
      <c r="C508" s="11">
        <f>IF(GL_RAW!A508="","",TRIM(GL_RAW!B508))</f>
        <v/>
      </c>
      <c r="D508" s="11">
        <f>IF(GL_RAW!A508="","",TRIM(GL_RAW!C508))</f>
        <v/>
      </c>
      <c r="E508" s="11">
        <f>IF(GL_RAW!A508="","",TRIM(GL_RAW!D508))</f>
        <v/>
      </c>
      <c r="F508" s="11">
        <f>IF(GL_RAW!A508="","",TRIM(GL_RAW!F508))</f>
        <v/>
      </c>
      <c r="G508" s="11">
        <f>IF(GL_RAW!A508="","",TRIM(GL_RAW!G508))</f>
        <v/>
      </c>
      <c r="H508" s="12">
        <f>IF(GL_RAW!A508="","",IFERROR(GL_RAW!E508,0))</f>
        <v/>
      </c>
      <c r="I508" s="12">
        <f>IF(GL_RAW!A508="","",ABS(H508))</f>
        <v/>
      </c>
      <c r="J508" s="11">
        <f>IF(GL_RAW!A508="","",IF(OR(ISNUMBER(SEARCH("Out",F508)),ISNUMBER(SEARCH("11025002",F508)),H508&lt;0),"OUT","IN"))</f>
        <v/>
      </c>
      <c r="K508" s="11" t="inlineStr"/>
    </row>
    <row r="509">
      <c r="A509" s="13">
        <f>IF(GL_RAW!A509="","",ROW()-1)</f>
        <v/>
      </c>
      <c r="B509" s="10">
        <f>IF(GL_RAW!A509="","",IF(ISNUMBER(GL_RAW!A509),GL_RAW!A509,DATEVALUE(TEXT(GL_RAW!A509,"YYYY-MM-DD"))))</f>
        <v/>
      </c>
      <c r="C509" s="11">
        <f>IF(GL_RAW!A509="","",TRIM(GL_RAW!B509))</f>
        <v/>
      </c>
      <c r="D509" s="11">
        <f>IF(GL_RAW!A509="","",TRIM(GL_RAW!C509))</f>
        <v/>
      </c>
      <c r="E509" s="11">
        <f>IF(GL_RAW!A509="","",TRIM(GL_RAW!D509))</f>
        <v/>
      </c>
      <c r="F509" s="11">
        <f>IF(GL_RAW!A509="","",TRIM(GL_RAW!F509))</f>
        <v/>
      </c>
      <c r="G509" s="11">
        <f>IF(GL_RAW!A509="","",TRIM(GL_RAW!G509))</f>
        <v/>
      </c>
      <c r="H509" s="12">
        <f>IF(GL_RAW!A509="","",IFERROR(GL_RAW!E509,0))</f>
        <v/>
      </c>
      <c r="I509" s="12">
        <f>IF(GL_RAW!A509="","",ABS(H509))</f>
        <v/>
      </c>
      <c r="J509" s="11">
        <f>IF(GL_RAW!A509="","",IF(OR(ISNUMBER(SEARCH("Out",F509)),ISNUMBER(SEARCH("11025002",F509)),H509&lt;0),"OUT","IN"))</f>
        <v/>
      </c>
      <c r="K509" s="11" t="inlineStr"/>
    </row>
    <row r="510">
      <c r="A510" s="13">
        <f>IF(GL_RAW!A510="","",ROW()-1)</f>
        <v/>
      </c>
      <c r="B510" s="10">
        <f>IF(GL_RAW!A510="","",IF(ISNUMBER(GL_RAW!A510),GL_RAW!A510,DATEVALUE(TEXT(GL_RAW!A510,"YYYY-MM-DD"))))</f>
        <v/>
      </c>
      <c r="C510" s="11">
        <f>IF(GL_RAW!A510="","",TRIM(GL_RAW!B510))</f>
        <v/>
      </c>
      <c r="D510" s="11">
        <f>IF(GL_RAW!A510="","",TRIM(GL_RAW!C510))</f>
        <v/>
      </c>
      <c r="E510" s="11">
        <f>IF(GL_RAW!A510="","",TRIM(GL_RAW!D510))</f>
        <v/>
      </c>
      <c r="F510" s="11">
        <f>IF(GL_RAW!A510="","",TRIM(GL_RAW!F510))</f>
        <v/>
      </c>
      <c r="G510" s="11">
        <f>IF(GL_RAW!A510="","",TRIM(GL_RAW!G510))</f>
        <v/>
      </c>
      <c r="H510" s="12">
        <f>IF(GL_RAW!A510="","",IFERROR(GL_RAW!E510,0))</f>
        <v/>
      </c>
      <c r="I510" s="12">
        <f>IF(GL_RAW!A510="","",ABS(H510))</f>
        <v/>
      </c>
      <c r="J510" s="11">
        <f>IF(GL_RAW!A510="","",IF(OR(ISNUMBER(SEARCH("Out",F510)),ISNUMBER(SEARCH("11025002",F510)),H510&lt;0),"OUT","IN"))</f>
        <v/>
      </c>
      <c r="K510" s="11" t="inlineStr"/>
    </row>
    <row r="511">
      <c r="A511" s="13">
        <f>IF(GL_RAW!A511="","",ROW()-1)</f>
        <v/>
      </c>
      <c r="B511" s="10">
        <f>IF(GL_RAW!A511="","",IF(ISNUMBER(GL_RAW!A511),GL_RAW!A511,DATEVALUE(TEXT(GL_RAW!A511,"YYYY-MM-DD"))))</f>
        <v/>
      </c>
      <c r="C511" s="11">
        <f>IF(GL_RAW!A511="","",TRIM(GL_RAW!B511))</f>
        <v/>
      </c>
      <c r="D511" s="11">
        <f>IF(GL_RAW!A511="","",TRIM(GL_RAW!C511))</f>
        <v/>
      </c>
      <c r="E511" s="11">
        <f>IF(GL_RAW!A511="","",TRIM(GL_RAW!D511))</f>
        <v/>
      </c>
      <c r="F511" s="11">
        <f>IF(GL_RAW!A511="","",TRIM(GL_RAW!F511))</f>
        <v/>
      </c>
      <c r="G511" s="11">
        <f>IF(GL_RAW!A511="","",TRIM(GL_RAW!G511))</f>
        <v/>
      </c>
      <c r="H511" s="12">
        <f>IF(GL_RAW!A511="","",IFERROR(GL_RAW!E511,0))</f>
        <v/>
      </c>
      <c r="I511" s="12">
        <f>IF(GL_RAW!A511="","",ABS(H511))</f>
        <v/>
      </c>
      <c r="J511" s="11">
        <f>IF(GL_RAW!A511="","",IF(OR(ISNUMBER(SEARCH("Out",F511)),ISNUMBER(SEARCH("11025002",F511)),H511&lt;0),"OUT","IN"))</f>
        <v/>
      </c>
      <c r="K511" s="11" t="inlineStr"/>
    </row>
    <row r="512">
      <c r="A512" s="13">
        <f>IF(GL_RAW!A512="","",ROW()-1)</f>
        <v/>
      </c>
      <c r="B512" s="10">
        <f>IF(GL_RAW!A512="","",IF(ISNUMBER(GL_RAW!A512),GL_RAW!A512,DATEVALUE(TEXT(GL_RAW!A512,"YYYY-MM-DD"))))</f>
        <v/>
      </c>
      <c r="C512" s="11">
        <f>IF(GL_RAW!A512="","",TRIM(GL_RAW!B512))</f>
        <v/>
      </c>
      <c r="D512" s="11">
        <f>IF(GL_RAW!A512="","",TRIM(GL_RAW!C512))</f>
        <v/>
      </c>
      <c r="E512" s="11">
        <f>IF(GL_RAW!A512="","",TRIM(GL_RAW!D512))</f>
        <v/>
      </c>
      <c r="F512" s="11">
        <f>IF(GL_RAW!A512="","",TRIM(GL_RAW!F512))</f>
        <v/>
      </c>
      <c r="G512" s="11">
        <f>IF(GL_RAW!A512="","",TRIM(GL_RAW!G512))</f>
        <v/>
      </c>
      <c r="H512" s="12">
        <f>IF(GL_RAW!A512="","",IFERROR(GL_RAW!E512,0))</f>
        <v/>
      </c>
      <c r="I512" s="12">
        <f>IF(GL_RAW!A512="","",ABS(H512))</f>
        <v/>
      </c>
      <c r="J512" s="11">
        <f>IF(GL_RAW!A512="","",IF(OR(ISNUMBER(SEARCH("Out",F512)),ISNUMBER(SEARCH("11025002",F512)),H512&lt;0),"OUT","IN"))</f>
        <v/>
      </c>
      <c r="K512" s="11" t="inlineStr"/>
    </row>
    <row r="513">
      <c r="A513" s="13">
        <f>IF(GL_RAW!A513="","",ROW()-1)</f>
        <v/>
      </c>
      <c r="B513" s="10">
        <f>IF(GL_RAW!A513="","",IF(ISNUMBER(GL_RAW!A513),GL_RAW!A513,DATEVALUE(TEXT(GL_RAW!A513,"YYYY-MM-DD"))))</f>
        <v/>
      </c>
      <c r="C513" s="11">
        <f>IF(GL_RAW!A513="","",TRIM(GL_RAW!B513))</f>
        <v/>
      </c>
      <c r="D513" s="11">
        <f>IF(GL_RAW!A513="","",TRIM(GL_RAW!C513))</f>
        <v/>
      </c>
      <c r="E513" s="11">
        <f>IF(GL_RAW!A513="","",TRIM(GL_RAW!D513))</f>
        <v/>
      </c>
      <c r="F513" s="11">
        <f>IF(GL_RAW!A513="","",TRIM(GL_RAW!F513))</f>
        <v/>
      </c>
      <c r="G513" s="11">
        <f>IF(GL_RAW!A513="","",TRIM(GL_RAW!G513))</f>
        <v/>
      </c>
      <c r="H513" s="12">
        <f>IF(GL_RAW!A513="","",IFERROR(GL_RAW!E513,0))</f>
        <v/>
      </c>
      <c r="I513" s="12">
        <f>IF(GL_RAW!A513="","",ABS(H513))</f>
        <v/>
      </c>
      <c r="J513" s="11">
        <f>IF(GL_RAW!A513="","",IF(OR(ISNUMBER(SEARCH("Out",F513)),ISNUMBER(SEARCH("11025002",F513)),H513&lt;0),"OUT","IN"))</f>
        <v/>
      </c>
      <c r="K513" s="11" t="inlineStr"/>
    </row>
    <row r="514">
      <c r="A514" s="13">
        <f>IF(GL_RAW!A514="","",ROW()-1)</f>
        <v/>
      </c>
      <c r="B514" s="10">
        <f>IF(GL_RAW!A514="","",IF(ISNUMBER(GL_RAW!A514),GL_RAW!A514,DATEVALUE(TEXT(GL_RAW!A514,"YYYY-MM-DD"))))</f>
        <v/>
      </c>
      <c r="C514" s="11">
        <f>IF(GL_RAW!A514="","",TRIM(GL_RAW!B514))</f>
        <v/>
      </c>
      <c r="D514" s="11">
        <f>IF(GL_RAW!A514="","",TRIM(GL_RAW!C514))</f>
        <v/>
      </c>
      <c r="E514" s="11">
        <f>IF(GL_RAW!A514="","",TRIM(GL_RAW!D514))</f>
        <v/>
      </c>
      <c r="F514" s="11">
        <f>IF(GL_RAW!A514="","",TRIM(GL_RAW!F514))</f>
        <v/>
      </c>
      <c r="G514" s="11">
        <f>IF(GL_RAW!A514="","",TRIM(GL_RAW!G514))</f>
        <v/>
      </c>
      <c r="H514" s="12">
        <f>IF(GL_RAW!A514="","",IFERROR(GL_RAW!E514,0))</f>
        <v/>
      </c>
      <c r="I514" s="12">
        <f>IF(GL_RAW!A514="","",ABS(H514))</f>
        <v/>
      </c>
      <c r="J514" s="11">
        <f>IF(GL_RAW!A514="","",IF(OR(ISNUMBER(SEARCH("Out",F514)),ISNUMBER(SEARCH("11025002",F514)),H514&lt;0),"OUT","IN"))</f>
        <v/>
      </c>
      <c r="K514" s="11" t="inlineStr"/>
    </row>
    <row r="515">
      <c r="A515" s="13">
        <f>IF(GL_RAW!A515="","",ROW()-1)</f>
        <v/>
      </c>
      <c r="B515" s="10">
        <f>IF(GL_RAW!A515="","",IF(ISNUMBER(GL_RAW!A515),GL_RAW!A515,DATEVALUE(TEXT(GL_RAW!A515,"YYYY-MM-DD"))))</f>
        <v/>
      </c>
      <c r="C515" s="11">
        <f>IF(GL_RAW!A515="","",TRIM(GL_RAW!B515))</f>
        <v/>
      </c>
      <c r="D515" s="11">
        <f>IF(GL_RAW!A515="","",TRIM(GL_RAW!C515))</f>
        <v/>
      </c>
      <c r="E515" s="11">
        <f>IF(GL_RAW!A515="","",TRIM(GL_RAW!D515))</f>
        <v/>
      </c>
      <c r="F515" s="11">
        <f>IF(GL_RAW!A515="","",TRIM(GL_RAW!F515))</f>
        <v/>
      </c>
      <c r="G515" s="11">
        <f>IF(GL_RAW!A515="","",TRIM(GL_RAW!G515))</f>
        <v/>
      </c>
      <c r="H515" s="12">
        <f>IF(GL_RAW!A515="","",IFERROR(GL_RAW!E515,0))</f>
        <v/>
      </c>
      <c r="I515" s="12">
        <f>IF(GL_RAW!A515="","",ABS(H515))</f>
        <v/>
      </c>
      <c r="J515" s="11">
        <f>IF(GL_RAW!A515="","",IF(OR(ISNUMBER(SEARCH("Out",F515)),ISNUMBER(SEARCH("11025002",F515)),H515&lt;0),"OUT","IN"))</f>
        <v/>
      </c>
      <c r="K515" s="11" t="inlineStr"/>
    </row>
    <row r="516">
      <c r="A516" s="13">
        <f>IF(GL_RAW!A516="","",ROW()-1)</f>
        <v/>
      </c>
      <c r="B516" s="10">
        <f>IF(GL_RAW!A516="","",IF(ISNUMBER(GL_RAW!A516),GL_RAW!A516,DATEVALUE(TEXT(GL_RAW!A516,"YYYY-MM-DD"))))</f>
        <v/>
      </c>
      <c r="C516" s="11">
        <f>IF(GL_RAW!A516="","",TRIM(GL_RAW!B516))</f>
        <v/>
      </c>
      <c r="D516" s="11">
        <f>IF(GL_RAW!A516="","",TRIM(GL_RAW!C516))</f>
        <v/>
      </c>
      <c r="E516" s="11">
        <f>IF(GL_RAW!A516="","",TRIM(GL_RAW!D516))</f>
        <v/>
      </c>
      <c r="F516" s="11">
        <f>IF(GL_RAW!A516="","",TRIM(GL_RAW!F516))</f>
        <v/>
      </c>
      <c r="G516" s="11">
        <f>IF(GL_RAW!A516="","",TRIM(GL_RAW!G516))</f>
        <v/>
      </c>
      <c r="H516" s="12">
        <f>IF(GL_RAW!A516="","",IFERROR(GL_RAW!E516,0))</f>
        <v/>
      </c>
      <c r="I516" s="12">
        <f>IF(GL_RAW!A516="","",ABS(H516))</f>
        <v/>
      </c>
      <c r="J516" s="11">
        <f>IF(GL_RAW!A516="","",IF(OR(ISNUMBER(SEARCH("Out",F516)),ISNUMBER(SEARCH("11025002",F516)),H516&lt;0),"OUT","IN"))</f>
        <v/>
      </c>
      <c r="K516" s="11" t="inlineStr"/>
    </row>
    <row r="517">
      <c r="A517" s="13">
        <f>IF(GL_RAW!A517="","",ROW()-1)</f>
        <v/>
      </c>
      <c r="B517" s="10">
        <f>IF(GL_RAW!A517="","",IF(ISNUMBER(GL_RAW!A517),GL_RAW!A517,DATEVALUE(TEXT(GL_RAW!A517,"YYYY-MM-DD"))))</f>
        <v/>
      </c>
      <c r="C517" s="11">
        <f>IF(GL_RAW!A517="","",TRIM(GL_RAW!B517))</f>
        <v/>
      </c>
      <c r="D517" s="11">
        <f>IF(GL_RAW!A517="","",TRIM(GL_RAW!C517))</f>
        <v/>
      </c>
      <c r="E517" s="11">
        <f>IF(GL_RAW!A517="","",TRIM(GL_RAW!D517))</f>
        <v/>
      </c>
      <c r="F517" s="11">
        <f>IF(GL_RAW!A517="","",TRIM(GL_RAW!F517))</f>
        <v/>
      </c>
      <c r="G517" s="11">
        <f>IF(GL_RAW!A517="","",TRIM(GL_RAW!G517))</f>
        <v/>
      </c>
      <c r="H517" s="12">
        <f>IF(GL_RAW!A517="","",IFERROR(GL_RAW!E517,0))</f>
        <v/>
      </c>
      <c r="I517" s="12">
        <f>IF(GL_RAW!A517="","",ABS(H517))</f>
        <v/>
      </c>
      <c r="J517" s="11">
        <f>IF(GL_RAW!A517="","",IF(OR(ISNUMBER(SEARCH("Out",F517)),ISNUMBER(SEARCH("11025002",F517)),H517&lt;0),"OUT","IN"))</f>
        <v/>
      </c>
      <c r="K517" s="11" t="inlineStr"/>
    </row>
    <row r="518">
      <c r="A518" s="13">
        <f>IF(GL_RAW!A518="","",ROW()-1)</f>
        <v/>
      </c>
      <c r="B518" s="10">
        <f>IF(GL_RAW!A518="","",IF(ISNUMBER(GL_RAW!A518),GL_RAW!A518,DATEVALUE(TEXT(GL_RAW!A518,"YYYY-MM-DD"))))</f>
        <v/>
      </c>
      <c r="C518" s="11">
        <f>IF(GL_RAW!A518="","",TRIM(GL_RAW!B518))</f>
        <v/>
      </c>
      <c r="D518" s="11">
        <f>IF(GL_RAW!A518="","",TRIM(GL_RAW!C518))</f>
        <v/>
      </c>
      <c r="E518" s="11">
        <f>IF(GL_RAW!A518="","",TRIM(GL_RAW!D518))</f>
        <v/>
      </c>
      <c r="F518" s="11">
        <f>IF(GL_RAW!A518="","",TRIM(GL_RAW!F518))</f>
        <v/>
      </c>
      <c r="G518" s="11">
        <f>IF(GL_RAW!A518="","",TRIM(GL_RAW!G518))</f>
        <v/>
      </c>
      <c r="H518" s="12">
        <f>IF(GL_RAW!A518="","",IFERROR(GL_RAW!E518,0))</f>
        <v/>
      </c>
      <c r="I518" s="12">
        <f>IF(GL_RAW!A518="","",ABS(H518))</f>
        <v/>
      </c>
      <c r="J518" s="11">
        <f>IF(GL_RAW!A518="","",IF(OR(ISNUMBER(SEARCH("Out",F518)),ISNUMBER(SEARCH("11025002",F518)),H518&lt;0),"OUT","IN"))</f>
        <v/>
      </c>
      <c r="K518" s="11" t="inlineStr"/>
    </row>
    <row r="519">
      <c r="A519" s="13">
        <f>IF(GL_RAW!A519="","",ROW()-1)</f>
        <v/>
      </c>
      <c r="B519" s="10">
        <f>IF(GL_RAW!A519="","",IF(ISNUMBER(GL_RAW!A519),GL_RAW!A519,DATEVALUE(TEXT(GL_RAW!A519,"YYYY-MM-DD"))))</f>
        <v/>
      </c>
      <c r="C519" s="11">
        <f>IF(GL_RAW!A519="","",TRIM(GL_RAW!B519))</f>
        <v/>
      </c>
      <c r="D519" s="11">
        <f>IF(GL_RAW!A519="","",TRIM(GL_RAW!C519))</f>
        <v/>
      </c>
      <c r="E519" s="11">
        <f>IF(GL_RAW!A519="","",TRIM(GL_RAW!D519))</f>
        <v/>
      </c>
      <c r="F519" s="11">
        <f>IF(GL_RAW!A519="","",TRIM(GL_RAW!F519))</f>
        <v/>
      </c>
      <c r="G519" s="11">
        <f>IF(GL_RAW!A519="","",TRIM(GL_RAW!G519))</f>
        <v/>
      </c>
      <c r="H519" s="12">
        <f>IF(GL_RAW!A519="","",IFERROR(GL_RAW!E519,0))</f>
        <v/>
      </c>
      <c r="I519" s="12">
        <f>IF(GL_RAW!A519="","",ABS(H519))</f>
        <v/>
      </c>
      <c r="J519" s="11">
        <f>IF(GL_RAW!A519="","",IF(OR(ISNUMBER(SEARCH("Out",F519)),ISNUMBER(SEARCH("11025002",F519)),H519&lt;0),"OUT","IN"))</f>
        <v/>
      </c>
      <c r="K519" s="11" t="inlineStr"/>
    </row>
    <row r="520">
      <c r="A520" s="13">
        <f>IF(GL_RAW!A520="","",ROW()-1)</f>
        <v/>
      </c>
      <c r="B520" s="10">
        <f>IF(GL_RAW!A520="","",IF(ISNUMBER(GL_RAW!A520),GL_RAW!A520,DATEVALUE(TEXT(GL_RAW!A520,"YYYY-MM-DD"))))</f>
        <v/>
      </c>
      <c r="C520" s="11">
        <f>IF(GL_RAW!A520="","",TRIM(GL_RAW!B520))</f>
        <v/>
      </c>
      <c r="D520" s="11">
        <f>IF(GL_RAW!A520="","",TRIM(GL_RAW!C520))</f>
        <v/>
      </c>
      <c r="E520" s="11">
        <f>IF(GL_RAW!A520="","",TRIM(GL_RAW!D520))</f>
        <v/>
      </c>
      <c r="F520" s="11">
        <f>IF(GL_RAW!A520="","",TRIM(GL_RAW!F520))</f>
        <v/>
      </c>
      <c r="G520" s="11">
        <f>IF(GL_RAW!A520="","",TRIM(GL_RAW!G520))</f>
        <v/>
      </c>
      <c r="H520" s="12">
        <f>IF(GL_RAW!A520="","",IFERROR(GL_RAW!E520,0))</f>
        <v/>
      </c>
      <c r="I520" s="12">
        <f>IF(GL_RAW!A520="","",ABS(H520))</f>
        <v/>
      </c>
      <c r="J520" s="11">
        <f>IF(GL_RAW!A520="","",IF(OR(ISNUMBER(SEARCH("Out",F520)),ISNUMBER(SEARCH("11025002",F520)),H520&lt;0),"OUT","IN"))</f>
        <v/>
      </c>
      <c r="K520" s="11" t="inlineStr"/>
    </row>
    <row r="521">
      <c r="A521" s="13">
        <f>IF(GL_RAW!A521="","",ROW()-1)</f>
        <v/>
      </c>
      <c r="B521" s="10">
        <f>IF(GL_RAW!A521="","",IF(ISNUMBER(GL_RAW!A521),GL_RAW!A521,DATEVALUE(TEXT(GL_RAW!A521,"YYYY-MM-DD"))))</f>
        <v/>
      </c>
      <c r="C521" s="11">
        <f>IF(GL_RAW!A521="","",TRIM(GL_RAW!B521))</f>
        <v/>
      </c>
      <c r="D521" s="11">
        <f>IF(GL_RAW!A521="","",TRIM(GL_RAW!C521))</f>
        <v/>
      </c>
      <c r="E521" s="11">
        <f>IF(GL_RAW!A521="","",TRIM(GL_RAW!D521))</f>
        <v/>
      </c>
      <c r="F521" s="11">
        <f>IF(GL_RAW!A521="","",TRIM(GL_RAW!F521))</f>
        <v/>
      </c>
      <c r="G521" s="11">
        <f>IF(GL_RAW!A521="","",TRIM(GL_RAW!G521))</f>
        <v/>
      </c>
      <c r="H521" s="12">
        <f>IF(GL_RAW!A521="","",IFERROR(GL_RAW!E521,0))</f>
        <v/>
      </c>
      <c r="I521" s="12">
        <f>IF(GL_RAW!A521="","",ABS(H521))</f>
        <v/>
      </c>
      <c r="J521" s="11">
        <f>IF(GL_RAW!A521="","",IF(OR(ISNUMBER(SEARCH("Out",F521)),ISNUMBER(SEARCH("11025002",F521)),H521&lt;0),"OUT","IN"))</f>
        <v/>
      </c>
      <c r="K521" s="11" t="inlineStr"/>
    </row>
    <row r="522">
      <c r="A522" s="13">
        <f>IF(GL_RAW!A522="","",ROW()-1)</f>
        <v/>
      </c>
      <c r="B522" s="10">
        <f>IF(GL_RAW!A522="","",IF(ISNUMBER(GL_RAW!A522),GL_RAW!A522,DATEVALUE(TEXT(GL_RAW!A522,"YYYY-MM-DD"))))</f>
        <v/>
      </c>
      <c r="C522" s="11">
        <f>IF(GL_RAW!A522="","",TRIM(GL_RAW!B522))</f>
        <v/>
      </c>
      <c r="D522" s="11">
        <f>IF(GL_RAW!A522="","",TRIM(GL_RAW!C522))</f>
        <v/>
      </c>
      <c r="E522" s="11">
        <f>IF(GL_RAW!A522="","",TRIM(GL_RAW!D522))</f>
        <v/>
      </c>
      <c r="F522" s="11">
        <f>IF(GL_RAW!A522="","",TRIM(GL_RAW!F522))</f>
        <v/>
      </c>
      <c r="G522" s="11">
        <f>IF(GL_RAW!A522="","",TRIM(GL_RAW!G522))</f>
        <v/>
      </c>
      <c r="H522" s="12">
        <f>IF(GL_RAW!A522="","",IFERROR(GL_RAW!E522,0))</f>
        <v/>
      </c>
      <c r="I522" s="12">
        <f>IF(GL_RAW!A522="","",ABS(H522))</f>
        <v/>
      </c>
      <c r="J522" s="11">
        <f>IF(GL_RAW!A522="","",IF(OR(ISNUMBER(SEARCH("Out",F522)),ISNUMBER(SEARCH("11025002",F522)),H522&lt;0),"OUT","IN"))</f>
        <v/>
      </c>
      <c r="K522" s="11" t="inlineStr"/>
    </row>
    <row r="523">
      <c r="A523" s="13">
        <f>IF(GL_RAW!A523="","",ROW()-1)</f>
        <v/>
      </c>
      <c r="B523" s="10">
        <f>IF(GL_RAW!A523="","",IF(ISNUMBER(GL_RAW!A523),GL_RAW!A523,DATEVALUE(TEXT(GL_RAW!A523,"YYYY-MM-DD"))))</f>
        <v/>
      </c>
      <c r="C523" s="11">
        <f>IF(GL_RAW!A523="","",TRIM(GL_RAW!B523))</f>
        <v/>
      </c>
      <c r="D523" s="11">
        <f>IF(GL_RAW!A523="","",TRIM(GL_RAW!C523))</f>
        <v/>
      </c>
      <c r="E523" s="11">
        <f>IF(GL_RAW!A523="","",TRIM(GL_RAW!D523))</f>
        <v/>
      </c>
      <c r="F523" s="11">
        <f>IF(GL_RAW!A523="","",TRIM(GL_RAW!F523))</f>
        <v/>
      </c>
      <c r="G523" s="11">
        <f>IF(GL_RAW!A523="","",TRIM(GL_RAW!G523))</f>
        <v/>
      </c>
      <c r="H523" s="12">
        <f>IF(GL_RAW!A523="","",IFERROR(GL_RAW!E523,0))</f>
        <v/>
      </c>
      <c r="I523" s="12">
        <f>IF(GL_RAW!A523="","",ABS(H523))</f>
        <v/>
      </c>
      <c r="J523" s="11">
        <f>IF(GL_RAW!A523="","",IF(OR(ISNUMBER(SEARCH("Out",F523)),ISNUMBER(SEARCH("11025002",F523)),H523&lt;0),"OUT","IN"))</f>
        <v/>
      </c>
      <c r="K523" s="11" t="inlineStr"/>
    </row>
    <row r="524">
      <c r="A524" s="13">
        <f>IF(GL_RAW!A524="","",ROW()-1)</f>
        <v/>
      </c>
      <c r="B524" s="10">
        <f>IF(GL_RAW!A524="","",IF(ISNUMBER(GL_RAW!A524),GL_RAW!A524,DATEVALUE(TEXT(GL_RAW!A524,"YYYY-MM-DD"))))</f>
        <v/>
      </c>
      <c r="C524" s="11">
        <f>IF(GL_RAW!A524="","",TRIM(GL_RAW!B524))</f>
        <v/>
      </c>
      <c r="D524" s="11">
        <f>IF(GL_RAW!A524="","",TRIM(GL_RAW!C524))</f>
        <v/>
      </c>
      <c r="E524" s="11">
        <f>IF(GL_RAW!A524="","",TRIM(GL_RAW!D524))</f>
        <v/>
      </c>
      <c r="F524" s="11">
        <f>IF(GL_RAW!A524="","",TRIM(GL_RAW!F524))</f>
        <v/>
      </c>
      <c r="G524" s="11">
        <f>IF(GL_RAW!A524="","",TRIM(GL_RAW!G524))</f>
        <v/>
      </c>
      <c r="H524" s="12">
        <f>IF(GL_RAW!A524="","",IFERROR(GL_RAW!E524,0))</f>
        <v/>
      </c>
      <c r="I524" s="12">
        <f>IF(GL_RAW!A524="","",ABS(H524))</f>
        <v/>
      </c>
      <c r="J524" s="11">
        <f>IF(GL_RAW!A524="","",IF(OR(ISNUMBER(SEARCH("Out",F524)),ISNUMBER(SEARCH("11025002",F524)),H524&lt;0),"OUT","IN"))</f>
        <v/>
      </c>
      <c r="K524" s="11" t="inlineStr"/>
    </row>
    <row r="525">
      <c r="A525" s="13">
        <f>IF(GL_RAW!A525="","",ROW()-1)</f>
        <v/>
      </c>
      <c r="B525" s="10">
        <f>IF(GL_RAW!A525="","",IF(ISNUMBER(GL_RAW!A525),GL_RAW!A525,DATEVALUE(TEXT(GL_RAW!A525,"YYYY-MM-DD"))))</f>
        <v/>
      </c>
      <c r="C525" s="11">
        <f>IF(GL_RAW!A525="","",TRIM(GL_RAW!B525))</f>
        <v/>
      </c>
      <c r="D525" s="11">
        <f>IF(GL_RAW!A525="","",TRIM(GL_RAW!C525))</f>
        <v/>
      </c>
      <c r="E525" s="11">
        <f>IF(GL_RAW!A525="","",TRIM(GL_RAW!D525))</f>
        <v/>
      </c>
      <c r="F525" s="11">
        <f>IF(GL_RAW!A525="","",TRIM(GL_RAW!F525))</f>
        <v/>
      </c>
      <c r="G525" s="11">
        <f>IF(GL_RAW!A525="","",TRIM(GL_RAW!G525))</f>
        <v/>
      </c>
      <c r="H525" s="12">
        <f>IF(GL_RAW!A525="","",IFERROR(GL_RAW!E525,0))</f>
        <v/>
      </c>
      <c r="I525" s="12">
        <f>IF(GL_RAW!A525="","",ABS(H525))</f>
        <v/>
      </c>
      <c r="J525" s="11">
        <f>IF(GL_RAW!A525="","",IF(OR(ISNUMBER(SEARCH("Out",F525)),ISNUMBER(SEARCH("11025002",F525)),H525&lt;0),"OUT","IN"))</f>
        <v/>
      </c>
      <c r="K525" s="11" t="inlineStr"/>
    </row>
    <row r="526">
      <c r="A526" s="13">
        <f>IF(GL_RAW!A526="","",ROW()-1)</f>
        <v/>
      </c>
      <c r="B526" s="10">
        <f>IF(GL_RAW!A526="","",IF(ISNUMBER(GL_RAW!A526),GL_RAW!A526,DATEVALUE(TEXT(GL_RAW!A526,"YYYY-MM-DD"))))</f>
        <v/>
      </c>
      <c r="C526" s="11">
        <f>IF(GL_RAW!A526="","",TRIM(GL_RAW!B526))</f>
        <v/>
      </c>
      <c r="D526" s="11">
        <f>IF(GL_RAW!A526="","",TRIM(GL_RAW!C526))</f>
        <v/>
      </c>
      <c r="E526" s="11">
        <f>IF(GL_RAW!A526="","",TRIM(GL_RAW!D526))</f>
        <v/>
      </c>
      <c r="F526" s="11">
        <f>IF(GL_RAW!A526="","",TRIM(GL_RAW!F526))</f>
        <v/>
      </c>
      <c r="G526" s="11">
        <f>IF(GL_RAW!A526="","",TRIM(GL_RAW!G526))</f>
        <v/>
      </c>
      <c r="H526" s="12">
        <f>IF(GL_RAW!A526="","",IFERROR(GL_RAW!E526,0))</f>
        <v/>
      </c>
      <c r="I526" s="12">
        <f>IF(GL_RAW!A526="","",ABS(H526))</f>
        <v/>
      </c>
      <c r="J526" s="11">
        <f>IF(GL_RAW!A526="","",IF(OR(ISNUMBER(SEARCH("Out",F526)),ISNUMBER(SEARCH("11025002",F526)),H526&lt;0),"OUT","IN"))</f>
        <v/>
      </c>
      <c r="K526" s="11" t="inlineStr"/>
    </row>
    <row r="527">
      <c r="A527" s="13">
        <f>IF(GL_RAW!A527="","",ROW()-1)</f>
        <v/>
      </c>
      <c r="B527" s="10">
        <f>IF(GL_RAW!A527="","",IF(ISNUMBER(GL_RAW!A527),GL_RAW!A527,DATEVALUE(TEXT(GL_RAW!A527,"YYYY-MM-DD"))))</f>
        <v/>
      </c>
      <c r="C527" s="11">
        <f>IF(GL_RAW!A527="","",TRIM(GL_RAW!B527))</f>
        <v/>
      </c>
      <c r="D527" s="11">
        <f>IF(GL_RAW!A527="","",TRIM(GL_RAW!C527))</f>
        <v/>
      </c>
      <c r="E527" s="11">
        <f>IF(GL_RAW!A527="","",TRIM(GL_RAW!D527))</f>
        <v/>
      </c>
      <c r="F527" s="11">
        <f>IF(GL_RAW!A527="","",TRIM(GL_RAW!F527))</f>
        <v/>
      </c>
      <c r="G527" s="11">
        <f>IF(GL_RAW!A527="","",TRIM(GL_RAW!G527))</f>
        <v/>
      </c>
      <c r="H527" s="12">
        <f>IF(GL_RAW!A527="","",IFERROR(GL_RAW!E527,0))</f>
        <v/>
      </c>
      <c r="I527" s="12">
        <f>IF(GL_RAW!A527="","",ABS(H527))</f>
        <v/>
      </c>
      <c r="J527" s="11">
        <f>IF(GL_RAW!A527="","",IF(OR(ISNUMBER(SEARCH("Out",F527)),ISNUMBER(SEARCH("11025002",F527)),H527&lt;0),"OUT","IN"))</f>
        <v/>
      </c>
      <c r="K527" s="11" t="inlineStr"/>
    </row>
    <row r="528">
      <c r="A528" s="13">
        <f>IF(GL_RAW!A528="","",ROW()-1)</f>
        <v/>
      </c>
      <c r="B528" s="10">
        <f>IF(GL_RAW!A528="","",IF(ISNUMBER(GL_RAW!A528),GL_RAW!A528,DATEVALUE(TEXT(GL_RAW!A528,"YYYY-MM-DD"))))</f>
        <v/>
      </c>
      <c r="C528" s="11">
        <f>IF(GL_RAW!A528="","",TRIM(GL_RAW!B528))</f>
        <v/>
      </c>
      <c r="D528" s="11">
        <f>IF(GL_RAW!A528="","",TRIM(GL_RAW!C528))</f>
        <v/>
      </c>
      <c r="E528" s="11">
        <f>IF(GL_RAW!A528="","",TRIM(GL_RAW!D528))</f>
        <v/>
      </c>
      <c r="F528" s="11">
        <f>IF(GL_RAW!A528="","",TRIM(GL_RAW!F528))</f>
        <v/>
      </c>
      <c r="G528" s="11">
        <f>IF(GL_RAW!A528="","",TRIM(GL_RAW!G528))</f>
        <v/>
      </c>
      <c r="H528" s="12">
        <f>IF(GL_RAW!A528="","",IFERROR(GL_RAW!E528,0))</f>
        <v/>
      </c>
      <c r="I528" s="12">
        <f>IF(GL_RAW!A528="","",ABS(H528))</f>
        <v/>
      </c>
      <c r="J528" s="11">
        <f>IF(GL_RAW!A528="","",IF(OR(ISNUMBER(SEARCH("Out",F528)),ISNUMBER(SEARCH("11025002",F528)),H528&lt;0),"OUT","IN"))</f>
        <v/>
      </c>
      <c r="K528" s="11" t="inlineStr"/>
    </row>
    <row r="529">
      <c r="A529" s="13">
        <f>IF(GL_RAW!A529="","",ROW()-1)</f>
        <v/>
      </c>
      <c r="B529" s="10">
        <f>IF(GL_RAW!A529="","",IF(ISNUMBER(GL_RAW!A529),GL_RAW!A529,DATEVALUE(TEXT(GL_RAW!A529,"YYYY-MM-DD"))))</f>
        <v/>
      </c>
      <c r="C529" s="11">
        <f>IF(GL_RAW!A529="","",TRIM(GL_RAW!B529))</f>
        <v/>
      </c>
      <c r="D529" s="11">
        <f>IF(GL_RAW!A529="","",TRIM(GL_RAW!C529))</f>
        <v/>
      </c>
      <c r="E529" s="11">
        <f>IF(GL_RAW!A529="","",TRIM(GL_RAW!D529))</f>
        <v/>
      </c>
      <c r="F529" s="11">
        <f>IF(GL_RAW!A529="","",TRIM(GL_RAW!F529))</f>
        <v/>
      </c>
      <c r="G529" s="11">
        <f>IF(GL_RAW!A529="","",TRIM(GL_RAW!G529))</f>
        <v/>
      </c>
      <c r="H529" s="12">
        <f>IF(GL_RAW!A529="","",IFERROR(GL_RAW!E529,0))</f>
        <v/>
      </c>
      <c r="I529" s="12">
        <f>IF(GL_RAW!A529="","",ABS(H529))</f>
        <v/>
      </c>
      <c r="J529" s="11">
        <f>IF(GL_RAW!A529="","",IF(OR(ISNUMBER(SEARCH("Out",F529)),ISNUMBER(SEARCH("11025002",F529)),H529&lt;0),"OUT","IN"))</f>
        <v/>
      </c>
      <c r="K529" s="11" t="inlineStr"/>
    </row>
    <row r="530">
      <c r="A530" s="13">
        <f>IF(GL_RAW!A530="","",ROW()-1)</f>
        <v/>
      </c>
      <c r="B530" s="10">
        <f>IF(GL_RAW!A530="","",IF(ISNUMBER(GL_RAW!A530),GL_RAW!A530,DATEVALUE(TEXT(GL_RAW!A530,"YYYY-MM-DD"))))</f>
        <v/>
      </c>
      <c r="C530" s="11">
        <f>IF(GL_RAW!A530="","",TRIM(GL_RAW!B530))</f>
        <v/>
      </c>
      <c r="D530" s="11">
        <f>IF(GL_RAW!A530="","",TRIM(GL_RAW!C530))</f>
        <v/>
      </c>
      <c r="E530" s="11">
        <f>IF(GL_RAW!A530="","",TRIM(GL_RAW!D530))</f>
        <v/>
      </c>
      <c r="F530" s="11">
        <f>IF(GL_RAW!A530="","",TRIM(GL_RAW!F530))</f>
        <v/>
      </c>
      <c r="G530" s="11">
        <f>IF(GL_RAW!A530="","",TRIM(GL_RAW!G530))</f>
        <v/>
      </c>
      <c r="H530" s="12">
        <f>IF(GL_RAW!A530="","",IFERROR(GL_RAW!E530,0))</f>
        <v/>
      </c>
      <c r="I530" s="12">
        <f>IF(GL_RAW!A530="","",ABS(H530))</f>
        <v/>
      </c>
      <c r="J530" s="11">
        <f>IF(GL_RAW!A530="","",IF(OR(ISNUMBER(SEARCH("Out",F530)),ISNUMBER(SEARCH("11025002",F530)),H530&lt;0),"OUT","IN"))</f>
        <v/>
      </c>
      <c r="K530" s="11" t="inlineStr"/>
    </row>
    <row r="531">
      <c r="A531" s="13">
        <f>IF(GL_RAW!A531="","",ROW()-1)</f>
        <v/>
      </c>
      <c r="B531" s="10">
        <f>IF(GL_RAW!A531="","",IF(ISNUMBER(GL_RAW!A531),GL_RAW!A531,DATEVALUE(TEXT(GL_RAW!A531,"YYYY-MM-DD"))))</f>
        <v/>
      </c>
      <c r="C531" s="11">
        <f>IF(GL_RAW!A531="","",TRIM(GL_RAW!B531))</f>
        <v/>
      </c>
      <c r="D531" s="11">
        <f>IF(GL_RAW!A531="","",TRIM(GL_RAW!C531))</f>
        <v/>
      </c>
      <c r="E531" s="11">
        <f>IF(GL_RAW!A531="","",TRIM(GL_RAW!D531))</f>
        <v/>
      </c>
      <c r="F531" s="11">
        <f>IF(GL_RAW!A531="","",TRIM(GL_RAW!F531))</f>
        <v/>
      </c>
      <c r="G531" s="11">
        <f>IF(GL_RAW!A531="","",TRIM(GL_RAW!G531))</f>
        <v/>
      </c>
      <c r="H531" s="12">
        <f>IF(GL_RAW!A531="","",IFERROR(GL_RAW!E531,0))</f>
        <v/>
      </c>
      <c r="I531" s="12">
        <f>IF(GL_RAW!A531="","",ABS(H531))</f>
        <v/>
      </c>
      <c r="J531" s="11">
        <f>IF(GL_RAW!A531="","",IF(OR(ISNUMBER(SEARCH("Out",F531)),ISNUMBER(SEARCH("11025002",F531)),H531&lt;0),"OUT","IN"))</f>
        <v/>
      </c>
      <c r="K531" s="11" t="inlineStr"/>
    </row>
    <row r="532">
      <c r="A532" s="13">
        <f>IF(GL_RAW!A532="","",ROW()-1)</f>
        <v/>
      </c>
      <c r="B532" s="10">
        <f>IF(GL_RAW!A532="","",IF(ISNUMBER(GL_RAW!A532),GL_RAW!A532,DATEVALUE(TEXT(GL_RAW!A532,"YYYY-MM-DD"))))</f>
        <v/>
      </c>
      <c r="C532" s="11">
        <f>IF(GL_RAW!A532="","",TRIM(GL_RAW!B532))</f>
        <v/>
      </c>
      <c r="D532" s="11">
        <f>IF(GL_RAW!A532="","",TRIM(GL_RAW!C532))</f>
        <v/>
      </c>
      <c r="E532" s="11">
        <f>IF(GL_RAW!A532="","",TRIM(GL_RAW!D532))</f>
        <v/>
      </c>
      <c r="F532" s="11">
        <f>IF(GL_RAW!A532="","",TRIM(GL_RAW!F532))</f>
        <v/>
      </c>
      <c r="G532" s="11">
        <f>IF(GL_RAW!A532="","",TRIM(GL_RAW!G532))</f>
        <v/>
      </c>
      <c r="H532" s="12">
        <f>IF(GL_RAW!A532="","",IFERROR(GL_RAW!E532,0))</f>
        <v/>
      </c>
      <c r="I532" s="12">
        <f>IF(GL_RAW!A532="","",ABS(H532))</f>
        <v/>
      </c>
      <c r="J532" s="11">
        <f>IF(GL_RAW!A532="","",IF(OR(ISNUMBER(SEARCH("Out",F532)),ISNUMBER(SEARCH("11025002",F532)),H532&lt;0),"OUT","IN"))</f>
        <v/>
      </c>
      <c r="K532" s="11" t="inlineStr"/>
    </row>
    <row r="533">
      <c r="A533" s="13">
        <f>IF(GL_RAW!A533="","",ROW()-1)</f>
        <v/>
      </c>
      <c r="B533" s="10">
        <f>IF(GL_RAW!A533="","",IF(ISNUMBER(GL_RAW!A533),GL_RAW!A533,DATEVALUE(TEXT(GL_RAW!A533,"YYYY-MM-DD"))))</f>
        <v/>
      </c>
      <c r="C533" s="11">
        <f>IF(GL_RAW!A533="","",TRIM(GL_RAW!B533))</f>
        <v/>
      </c>
      <c r="D533" s="11">
        <f>IF(GL_RAW!A533="","",TRIM(GL_RAW!C533))</f>
        <v/>
      </c>
      <c r="E533" s="11">
        <f>IF(GL_RAW!A533="","",TRIM(GL_RAW!D533))</f>
        <v/>
      </c>
      <c r="F533" s="11">
        <f>IF(GL_RAW!A533="","",TRIM(GL_RAW!F533))</f>
        <v/>
      </c>
      <c r="G533" s="11">
        <f>IF(GL_RAW!A533="","",TRIM(GL_RAW!G533))</f>
        <v/>
      </c>
      <c r="H533" s="12">
        <f>IF(GL_RAW!A533="","",IFERROR(GL_RAW!E533,0))</f>
        <v/>
      </c>
      <c r="I533" s="12">
        <f>IF(GL_RAW!A533="","",ABS(H533))</f>
        <v/>
      </c>
      <c r="J533" s="11">
        <f>IF(GL_RAW!A533="","",IF(OR(ISNUMBER(SEARCH("Out",F533)),ISNUMBER(SEARCH("11025002",F533)),H533&lt;0),"OUT","IN"))</f>
        <v/>
      </c>
      <c r="K533" s="11" t="inlineStr"/>
    </row>
    <row r="534">
      <c r="A534" s="13">
        <f>IF(GL_RAW!A534="","",ROW()-1)</f>
        <v/>
      </c>
      <c r="B534" s="10">
        <f>IF(GL_RAW!A534="","",IF(ISNUMBER(GL_RAW!A534),GL_RAW!A534,DATEVALUE(TEXT(GL_RAW!A534,"YYYY-MM-DD"))))</f>
        <v/>
      </c>
      <c r="C534" s="11">
        <f>IF(GL_RAW!A534="","",TRIM(GL_RAW!B534))</f>
        <v/>
      </c>
      <c r="D534" s="11">
        <f>IF(GL_RAW!A534="","",TRIM(GL_RAW!C534))</f>
        <v/>
      </c>
      <c r="E534" s="11">
        <f>IF(GL_RAW!A534="","",TRIM(GL_RAW!D534))</f>
        <v/>
      </c>
      <c r="F534" s="11">
        <f>IF(GL_RAW!A534="","",TRIM(GL_RAW!F534))</f>
        <v/>
      </c>
      <c r="G534" s="11">
        <f>IF(GL_RAW!A534="","",TRIM(GL_RAW!G534))</f>
        <v/>
      </c>
      <c r="H534" s="12">
        <f>IF(GL_RAW!A534="","",IFERROR(GL_RAW!E534,0))</f>
        <v/>
      </c>
      <c r="I534" s="12">
        <f>IF(GL_RAW!A534="","",ABS(H534))</f>
        <v/>
      </c>
      <c r="J534" s="11">
        <f>IF(GL_RAW!A534="","",IF(OR(ISNUMBER(SEARCH("Out",F534)),ISNUMBER(SEARCH("11025002",F534)),H534&lt;0),"OUT","IN"))</f>
        <v/>
      </c>
      <c r="K534" s="11" t="inlineStr"/>
    </row>
    <row r="535">
      <c r="A535" s="13">
        <f>IF(GL_RAW!A535="","",ROW()-1)</f>
        <v/>
      </c>
      <c r="B535" s="10">
        <f>IF(GL_RAW!A535="","",IF(ISNUMBER(GL_RAW!A535),GL_RAW!A535,DATEVALUE(TEXT(GL_RAW!A535,"YYYY-MM-DD"))))</f>
        <v/>
      </c>
      <c r="C535" s="11">
        <f>IF(GL_RAW!A535="","",TRIM(GL_RAW!B535))</f>
        <v/>
      </c>
      <c r="D535" s="11">
        <f>IF(GL_RAW!A535="","",TRIM(GL_RAW!C535))</f>
        <v/>
      </c>
      <c r="E535" s="11">
        <f>IF(GL_RAW!A535="","",TRIM(GL_RAW!D535))</f>
        <v/>
      </c>
      <c r="F535" s="11">
        <f>IF(GL_RAW!A535="","",TRIM(GL_RAW!F535))</f>
        <v/>
      </c>
      <c r="G535" s="11">
        <f>IF(GL_RAW!A535="","",TRIM(GL_RAW!G535))</f>
        <v/>
      </c>
      <c r="H535" s="12">
        <f>IF(GL_RAW!A535="","",IFERROR(GL_RAW!E535,0))</f>
        <v/>
      </c>
      <c r="I535" s="12">
        <f>IF(GL_RAW!A535="","",ABS(H535))</f>
        <v/>
      </c>
      <c r="J535" s="11">
        <f>IF(GL_RAW!A535="","",IF(OR(ISNUMBER(SEARCH("Out",F535)),ISNUMBER(SEARCH("11025002",F535)),H535&lt;0),"OUT","IN"))</f>
        <v/>
      </c>
      <c r="K535" s="11" t="inlineStr"/>
    </row>
    <row r="536">
      <c r="A536" s="13">
        <f>IF(GL_RAW!A536="","",ROW()-1)</f>
        <v/>
      </c>
      <c r="B536" s="10">
        <f>IF(GL_RAW!A536="","",IF(ISNUMBER(GL_RAW!A536),GL_RAW!A536,DATEVALUE(TEXT(GL_RAW!A536,"YYYY-MM-DD"))))</f>
        <v/>
      </c>
      <c r="C536" s="11">
        <f>IF(GL_RAW!A536="","",TRIM(GL_RAW!B536))</f>
        <v/>
      </c>
      <c r="D536" s="11">
        <f>IF(GL_RAW!A536="","",TRIM(GL_RAW!C536))</f>
        <v/>
      </c>
      <c r="E536" s="11">
        <f>IF(GL_RAW!A536="","",TRIM(GL_RAW!D536))</f>
        <v/>
      </c>
      <c r="F536" s="11">
        <f>IF(GL_RAW!A536="","",TRIM(GL_RAW!F536))</f>
        <v/>
      </c>
      <c r="G536" s="11">
        <f>IF(GL_RAW!A536="","",TRIM(GL_RAW!G536))</f>
        <v/>
      </c>
      <c r="H536" s="12">
        <f>IF(GL_RAW!A536="","",IFERROR(GL_RAW!E536,0))</f>
        <v/>
      </c>
      <c r="I536" s="12">
        <f>IF(GL_RAW!A536="","",ABS(H536))</f>
        <v/>
      </c>
      <c r="J536" s="11">
        <f>IF(GL_RAW!A536="","",IF(OR(ISNUMBER(SEARCH("Out",F536)),ISNUMBER(SEARCH("11025002",F536)),H536&lt;0),"OUT","IN"))</f>
        <v/>
      </c>
      <c r="K536" s="11" t="inlineStr"/>
    </row>
    <row r="537">
      <c r="A537" s="13">
        <f>IF(GL_RAW!A537="","",ROW()-1)</f>
        <v/>
      </c>
      <c r="B537" s="10">
        <f>IF(GL_RAW!A537="","",IF(ISNUMBER(GL_RAW!A537),GL_RAW!A537,DATEVALUE(TEXT(GL_RAW!A537,"YYYY-MM-DD"))))</f>
        <v/>
      </c>
      <c r="C537" s="11">
        <f>IF(GL_RAW!A537="","",TRIM(GL_RAW!B537))</f>
        <v/>
      </c>
      <c r="D537" s="11">
        <f>IF(GL_RAW!A537="","",TRIM(GL_RAW!C537))</f>
        <v/>
      </c>
      <c r="E537" s="11">
        <f>IF(GL_RAW!A537="","",TRIM(GL_RAW!D537))</f>
        <v/>
      </c>
      <c r="F537" s="11">
        <f>IF(GL_RAW!A537="","",TRIM(GL_RAW!F537))</f>
        <v/>
      </c>
      <c r="G537" s="11">
        <f>IF(GL_RAW!A537="","",TRIM(GL_RAW!G537))</f>
        <v/>
      </c>
      <c r="H537" s="12">
        <f>IF(GL_RAW!A537="","",IFERROR(GL_RAW!E537,0))</f>
        <v/>
      </c>
      <c r="I537" s="12">
        <f>IF(GL_RAW!A537="","",ABS(H537))</f>
        <v/>
      </c>
      <c r="J537" s="11">
        <f>IF(GL_RAW!A537="","",IF(OR(ISNUMBER(SEARCH("Out",F537)),ISNUMBER(SEARCH("11025002",F537)),H537&lt;0),"OUT","IN"))</f>
        <v/>
      </c>
      <c r="K537" s="11" t="inlineStr"/>
    </row>
    <row r="538">
      <c r="A538" s="13">
        <f>IF(GL_RAW!A538="","",ROW()-1)</f>
        <v/>
      </c>
      <c r="B538" s="10">
        <f>IF(GL_RAW!A538="","",IF(ISNUMBER(GL_RAW!A538),GL_RAW!A538,DATEVALUE(TEXT(GL_RAW!A538,"YYYY-MM-DD"))))</f>
        <v/>
      </c>
      <c r="C538" s="11">
        <f>IF(GL_RAW!A538="","",TRIM(GL_RAW!B538))</f>
        <v/>
      </c>
      <c r="D538" s="11">
        <f>IF(GL_RAW!A538="","",TRIM(GL_RAW!C538))</f>
        <v/>
      </c>
      <c r="E538" s="11">
        <f>IF(GL_RAW!A538="","",TRIM(GL_RAW!D538))</f>
        <v/>
      </c>
      <c r="F538" s="11">
        <f>IF(GL_RAW!A538="","",TRIM(GL_RAW!F538))</f>
        <v/>
      </c>
      <c r="G538" s="11">
        <f>IF(GL_RAW!A538="","",TRIM(GL_RAW!G538))</f>
        <v/>
      </c>
      <c r="H538" s="12">
        <f>IF(GL_RAW!A538="","",IFERROR(GL_RAW!E538,0))</f>
        <v/>
      </c>
      <c r="I538" s="12">
        <f>IF(GL_RAW!A538="","",ABS(H538))</f>
        <v/>
      </c>
      <c r="J538" s="11">
        <f>IF(GL_RAW!A538="","",IF(OR(ISNUMBER(SEARCH("Out",F538)),ISNUMBER(SEARCH("11025002",F538)),H538&lt;0),"OUT","IN"))</f>
        <v/>
      </c>
      <c r="K538" s="11" t="inlineStr"/>
    </row>
    <row r="539">
      <c r="A539" s="13">
        <f>IF(GL_RAW!A539="","",ROW()-1)</f>
        <v/>
      </c>
      <c r="B539" s="10">
        <f>IF(GL_RAW!A539="","",IF(ISNUMBER(GL_RAW!A539),GL_RAW!A539,DATEVALUE(TEXT(GL_RAW!A539,"YYYY-MM-DD"))))</f>
        <v/>
      </c>
      <c r="C539" s="11">
        <f>IF(GL_RAW!A539="","",TRIM(GL_RAW!B539))</f>
        <v/>
      </c>
      <c r="D539" s="11">
        <f>IF(GL_RAW!A539="","",TRIM(GL_RAW!C539))</f>
        <v/>
      </c>
      <c r="E539" s="11">
        <f>IF(GL_RAW!A539="","",TRIM(GL_RAW!D539))</f>
        <v/>
      </c>
      <c r="F539" s="11">
        <f>IF(GL_RAW!A539="","",TRIM(GL_RAW!F539))</f>
        <v/>
      </c>
      <c r="G539" s="11">
        <f>IF(GL_RAW!A539="","",TRIM(GL_RAW!G539))</f>
        <v/>
      </c>
      <c r="H539" s="12">
        <f>IF(GL_RAW!A539="","",IFERROR(GL_RAW!E539,0))</f>
        <v/>
      </c>
      <c r="I539" s="12">
        <f>IF(GL_RAW!A539="","",ABS(H539))</f>
        <v/>
      </c>
      <c r="J539" s="11">
        <f>IF(GL_RAW!A539="","",IF(OR(ISNUMBER(SEARCH("Out",F539)),ISNUMBER(SEARCH("11025002",F539)),H539&lt;0),"OUT","IN"))</f>
        <v/>
      </c>
      <c r="K539" s="11" t="inlineStr"/>
    </row>
    <row r="540">
      <c r="A540" s="13">
        <f>IF(GL_RAW!A540="","",ROW()-1)</f>
        <v/>
      </c>
      <c r="B540" s="10">
        <f>IF(GL_RAW!A540="","",IF(ISNUMBER(GL_RAW!A540),GL_RAW!A540,DATEVALUE(TEXT(GL_RAW!A540,"YYYY-MM-DD"))))</f>
        <v/>
      </c>
      <c r="C540" s="11">
        <f>IF(GL_RAW!A540="","",TRIM(GL_RAW!B540))</f>
        <v/>
      </c>
      <c r="D540" s="11">
        <f>IF(GL_RAW!A540="","",TRIM(GL_RAW!C540))</f>
        <v/>
      </c>
      <c r="E540" s="11">
        <f>IF(GL_RAW!A540="","",TRIM(GL_RAW!D540))</f>
        <v/>
      </c>
      <c r="F540" s="11">
        <f>IF(GL_RAW!A540="","",TRIM(GL_RAW!F540))</f>
        <v/>
      </c>
      <c r="G540" s="11">
        <f>IF(GL_RAW!A540="","",TRIM(GL_RAW!G540))</f>
        <v/>
      </c>
      <c r="H540" s="12">
        <f>IF(GL_RAW!A540="","",IFERROR(GL_RAW!E540,0))</f>
        <v/>
      </c>
      <c r="I540" s="12">
        <f>IF(GL_RAW!A540="","",ABS(H540))</f>
        <v/>
      </c>
      <c r="J540" s="11">
        <f>IF(GL_RAW!A540="","",IF(OR(ISNUMBER(SEARCH("Out",F540)),ISNUMBER(SEARCH("11025002",F540)),H540&lt;0),"OUT","IN"))</f>
        <v/>
      </c>
      <c r="K540" s="11" t="inlineStr"/>
    </row>
    <row r="541">
      <c r="A541" s="13">
        <f>IF(GL_RAW!A541="","",ROW()-1)</f>
        <v/>
      </c>
      <c r="B541" s="10">
        <f>IF(GL_RAW!A541="","",IF(ISNUMBER(GL_RAW!A541),GL_RAW!A541,DATEVALUE(TEXT(GL_RAW!A541,"YYYY-MM-DD"))))</f>
        <v/>
      </c>
      <c r="C541" s="11">
        <f>IF(GL_RAW!A541="","",TRIM(GL_RAW!B541))</f>
        <v/>
      </c>
      <c r="D541" s="11">
        <f>IF(GL_RAW!A541="","",TRIM(GL_RAW!C541))</f>
        <v/>
      </c>
      <c r="E541" s="11">
        <f>IF(GL_RAW!A541="","",TRIM(GL_RAW!D541))</f>
        <v/>
      </c>
      <c r="F541" s="11">
        <f>IF(GL_RAW!A541="","",TRIM(GL_RAW!F541))</f>
        <v/>
      </c>
      <c r="G541" s="11">
        <f>IF(GL_RAW!A541="","",TRIM(GL_RAW!G541))</f>
        <v/>
      </c>
      <c r="H541" s="12">
        <f>IF(GL_RAW!A541="","",IFERROR(GL_RAW!E541,0))</f>
        <v/>
      </c>
      <c r="I541" s="12">
        <f>IF(GL_RAW!A541="","",ABS(H541))</f>
        <v/>
      </c>
      <c r="J541" s="11">
        <f>IF(GL_RAW!A541="","",IF(OR(ISNUMBER(SEARCH("Out",F541)),ISNUMBER(SEARCH("11025002",F541)),H541&lt;0),"OUT","IN"))</f>
        <v/>
      </c>
      <c r="K541" s="11" t="inlineStr"/>
    </row>
    <row r="542">
      <c r="A542" s="13">
        <f>IF(GL_RAW!A542="","",ROW()-1)</f>
        <v/>
      </c>
      <c r="B542" s="10">
        <f>IF(GL_RAW!A542="","",IF(ISNUMBER(GL_RAW!A542),GL_RAW!A542,DATEVALUE(TEXT(GL_RAW!A542,"YYYY-MM-DD"))))</f>
        <v/>
      </c>
      <c r="C542" s="11">
        <f>IF(GL_RAW!A542="","",TRIM(GL_RAW!B542))</f>
        <v/>
      </c>
      <c r="D542" s="11">
        <f>IF(GL_RAW!A542="","",TRIM(GL_RAW!C542))</f>
        <v/>
      </c>
      <c r="E542" s="11">
        <f>IF(GL_RAW!A542="","",TRIM(GL_RAW!D542))</f>
        <v/>
      </c>
      <c r="F542" s="11">
        <f>IF(GL_RAW!A542="","",TRIM(GL_RAW!F542))</f>
        <v/>
      </c>
      <c r="G542" s="11">
        <f>IF(GL_RAW!A542="","",TRIM(GL_RAW!G542))</f>
        <v/>
      </c>
      <c r="H542" s="12">
        <f>IF(GL_RAW!A542="","",IFERROR(GL_RAW!E542,0))</f>
        <v/>
      </c>
      <c r="I542" s="12">
        <f>IF(GL_RAW!A542="","",ABS(H542))</f>
        <v/>
      </c>
      <c r="J542" s="11">
        <f>IF(GL_RAW!A542="","",IF(OR(ISNUMBER(SEARCH("Out",F542)),ISNUMBER(SEARCH("11025002",F542)),H542&lt;0),"OUT","IN"))</f>
        <v/>
      </c>
      <c r="K542" s="11" t="inlineStr"/>
    </row>
    <row r="543">
      <c r="A543" s="13">
        <f>IF(GL_RAW!A543="","",ROW()-1)</f>
        <v/>
      </c>
      <c r="B543" s="10">
        <f>IF(GL_RAW!A543="","",IF(ISNUMBER(GL_RAW!A543),GL_RAW!A543,DATEVALUE(TEXT(GL_RAW!A543,"YYYY-MM-DD"))))</f>
        <v/>
      </c>
      <c r="C543" s="11">
        <f>IF(GL_RAW!A543="","",TRIM(GL_RAW!B543))</f>
        <v/>
      </c>
      <c r="D543" s="11">
        <f>IF(GL_RAW!A543="","",TRIM(GL_RAW!C543))</f>
        <v/>
      </c>
      <c r="E543" s="11">
        <f>IF(GL_RAW!A543="","",TRIM(GL_RAW!D543))</f>
        <v/>
      </c>
      <c r="F543" s="11">
        <f>IF(GL_RAW!A543="","",TRIM(GL_RAW!F543))</f>
        <v/>
      </c>
      <c r="G543" s="11">
        <f>IF(GL_RAW!A543="","",TRIM(GL_RAW!G543))</f>
        <v/>
      </c>
      <c r="H543" s="12">
        <f>IF(GL_RAW!A543="","",IFERROR(GL_RAW!E543,0))</f>
        <v/>
      </c>
      <c r="I543" s="12">
        <f>IF(GL_RAW!A543="","",ABS(H543))</f>
        <v/>
      </c>
      <c r="J543" s="11">
        <f>IF(GL_RAW!A543="","",IF(OR(ISNUMBER(SEARCH("Out",F543)),ISNUMBER(SEARCH("11025002",F543)),H543&lt;0),"OUT","IN"))</f>
        <v/>
      </c>
      <c r="K543" s="11" t="inlineStr"/>
    </row>
    <row r="544">
      <c r="A544" s="13">
        <f>IF(GL_RAW!A544="","",ROW()-1)</f>
        <v/>
      </c>
      <c r="B544" s="10">
        <f>IF(GL_RAW!A544="","",IF(ISNUMBER(GL_RAW!A544),GL_RAW!A544,DATEVALUE(TEXT(GL_RAW!A544,"YYYY-MM-DD"))))</f>
        <v/>
      </c>
      <c r="C544" s="11">
        <f>IF(GL_RAW!A544="","",TRIM(GL_RAW!B544))</f>
        <v/>
      </c>
      <c r="D544" s="11">
        <f>IF(GL_RAW!A544="","",TRIM(GL_RAW!C544))</f>
        <v/>
      </c>
      <c r="E544" s="11">
        <f>IF(GL_RAW!A544="","",TRIM(GL_RAW!D544))</f>
        <v/>
      </c>
      <c r="F544" s="11">
        <f>IF(GL_RAW!A544="","",TRIM(GL_RAW!F544))</f>
        <v/>
      </c>
      <c r="G544" s="11">
        <f>IF(GL_RAW!A544="","",TRIM(GL_RAW!G544))</f>
        <v/>
      </c>
      <c r="H544" s="12">
        <f>IF(GL_RAW!A544="","",IFERROR(GL_RAW!E544,0))</f>
        <v/>
      </c>
      <c r="I544" s="12">
        <f>IF(GL_RAW!A544="","",ABS(H544))</f>
        <v/>
      </c>
      <c r="J544" s="11">
        <f>IF(GL_RAW!A544="","",IF(OR(ISNUMBER(SEARCH("Out",F544)),ISNUMBER(SEARCH("11025002",F544)),H544&lt;0),"OUT","IN"))</f>
        <v/>
      </c>
      <c r="K544" s="11" t="inlineStr"/>
    </row>
    <row r="545">
      <c r="A545" s="13">
        <f>IF(GL_RAW!A545="","",ROW()-1)</f>
        <v/>
      </c>
      <c r="B545" s="10">
        <f>IF(GL_RAW!A545="","",IF(ISNUMBER(GL_RAW!A545),GL_RAW!A545,DATEVALUE(TEXT(GL_RAW!A545,"YYYY-MM-DD"))))</f>
        <v/>
      </c>
      <c r="C545" s="11">
        <f>IF(GL_RAW!A545="","",TRIM(GL_RAW!B545))</f>
        <v/>
      </c>
      <c r="D545" s="11">
        <f>IF(GL_RAW!A545="","",TRIM(GL_RAW!C545))</f>
        <v/>
      </c>
      <c r="E545" s="11">
        <f>IF(GL_RAW!A545="","",TRIM(GL_RAW!D545))</f>
        <v/>
      </c>
      <c r="F545" s="11">
        <f>IF(GL_RAW!A545="","",TRIM(GL_RAW!F545))</f>
        <v/>
      </c>
      <c r="G545" s="11">
        <f>IF(GL_RAW!A545="","",TRIM(GL_RAW!G545))</f>
        <v/>
      </c>
      <c r="H545" s="12">
        <f>IF(GL_RAW!A545="","",IFERROR(GL_RAW!E545,0))</f>
        <v/>
      </c>
      <c r="I545" s="12">
        <f>IF(GL_RAW!A545="","",ABS(H545))</f>
        <v/>
      </c>
      <c r="J545" s="11">
        <f>IF(GL_RAW!A545="","",IF(OR(ISNUMBER(SEARCH("Out",F545)),ISNUMBER(SEARCH("11025002",F545)),H545&lt;0),"OUT","IN"))</f>
        <v/>
      </c>
      <c r="K545" s="11" t="inlineStr"/>
    </row>
    <row r="546">
      <c r="A546" s="13">
        <f>IF(GL_RAW!A546="","",ROW()-1)</f>
        <v/>
      </c>
      <c r="B546" s="10">
        <f>IF(GL_RAW!A546="","",IF(ISNUMBER(GL_RAW!A546),GL_RAW!A546,DATEVALUE(TEXT(GL_RAW!A546,"YYYY-MM-DD"))))</f>
        <v/>
      </c>
      <c r="C546" s="11">
        <f>IF(GL_RAW!A546="","",TRIM(GL_RAW!B546))</f>
        <v/>
      </c>
      <c r="D546" s="11">
        <f>IF(GL_RAW!A546="","",TRIM(GL_RAW!C546))</f>
        <v/>
      </c>
      <c r="E546" s="11">
        <f>IF(GL_RAW!A546="","",TRIM(GL_RAW!D546))</f>
        <v/>
      </c>
      <c r="F546" s="11">
        <f>IF(GL_RAW!A546="","",TRIM(GL_RAW!F546))</f>
        <v/>
      </c>
      <c r="G546" s="11">
        <f>IF(GL_RAW!A546="","",TRIM(GL_RAW!G546))</f>
        <v/>
      </c>
      <c r="H546" s="12">
        <f>IF(GL_RAW!A546="","",IFERROR(GL_RAW!E546,0))</f>
        <v/>
      </c>
      <c r="I546" s="12">
        <f>IF(GL_RAW!A546="","",ABS(H546))</f>
        <v/>
      </c>
      <c r="J546" s="11">
        <f>IF(GL_RAW!A546="","",IF(OR(ISNUMBER(SEARCH("Out",F546)),ISNUMBER(SEARCH("11025002",F546)),H546&lt;0),"OUT","IN"))</f>
        <v/>
      </c>
      <c r="K546" s="11" t="inlineStr"/>
    </row>
    <row r="547">
      <c r="A547" s="13">
        <f>IF(GL_RAW!A547="","",ROW()-1)</f>
        <v/>
      </c>
      <c r="B547" s="10">
        <f>IF(GL_RAW!A547="","",IF(ISNUMBER(GL_RAW!A547),GL_RAW!A547,DATEVALUE(TEXT(GL_RAW!A547,"YYYY-MM-DD"))))</f>
        <v/>
      </c>
      <c r="C547" s="11">
        <f>IF(GL_RAW!A547="","",TRIM(GL_RAW!B547))</f>
        <v/>
      </c>
      <c r="D547" s="11">
        <f>IF(GL_RAW!A547="","",TRIM(GL_RAW!C547))</f>
        <v/>
      </c>
      <c r="E547" s="11">
        <f>IF(GL_RAW!A547="","",TRIM(GL_RAW!D547))</f>
        <v/>
      </c>
      <c r="F547" s="11">
        <f>IF(GL_RAW!A547="","",TRIM(GL_RAW!F547))</f>
        <v/>
      </c>
      <c r="G547" s="11">
        <f>IF(GL_RAW!A547="","",TRIM(GL_RAW!G547))</f>
        <v/>
      </c>
      <c r="H547" s="12">
        <f>IF(GL_RAW!A547="","",IFERROR(GL_RAW!E547,0))</f>
        <v/>
      </c>
      <c r="I547" s="12">
        <f>IF(GL_RAW!A547="","",ABS(H547))</f>
        <v/>
      </c>
      <c r="J547" s="11">
        <f>IF(GL_RAW!A547="","",IF(OR(ISNUMBER(SEARCH("Out",F547)),ISNUMBER(SEARCH("11025002",F547)),H547&lt;0),"OUT","IN"))</f>
        <v/>
      </c>
      <c r="K547" s="11" t="inlineStr"/>
    </row>
    <row r="548">
      <c r="A548" s="13">
        <f>IF(GL_RAW!A548="","",ROW()-1)</f>
        <v/>
      </c>
      <c r="B548" s="10">
        <f>IF(GL_RAW!A548="","",IF(ISNUMBER(GL_RAW!A548),GL_RAW!A548,DATEVALUE(TEXT(GL_RAW!A548,"YYYY-MM-DD"))))</f>
        <v/>
      </c>
      <c r="C548" s="11">
        <f>IF(GL_RAW!A548="","",TRIM(GL_RAW!B548))</f>
        <v/>
      </c>
      <c r="D548" s="11">
        <f>IF(GL_RAW!A548="","",TRIM(GL_RAW!C548))</f>
        <v/>
      </c>
      <c r="E548" s="11">
        <f>IF(GL_RAW!A548="","",TRIM(GL_RAW!D548))</f>
        <v/>
      </c>
      <c r="F548" s="11">
        <f>IF(GL_RAW!A548="","",TRIM(GL_RAW!F548))</f>
        <v/>
      </c>
      <c r="G548" s="11">
        <f>IF(GL_RAW!A548="","",TRIM(GL_RAW!G548))</f>
        <v/>
      </c>
      <c r="H548" s="12">
        <f>IF(GL_RAW!A548="","",IFERROR(GL_RAW!E548,0))</f>
        <v/>
      </c>
      <c r="I548" s="12">
        <f>IF(GL_RAW!A548="","",ABS(H548))</f>
        <v/>
      </c>
      <c r="J548" s="11">
        <f>IF(GL_RAW!A548="","",IF(OR(ISNUMBER(SEARCH("Out",F548)),ISNUMBER(SEARCH("11025002",F548)),H548&lt;0),"OUT","IN"))</f>
        <v/>
      </c>
      <c r="K548" s="11" t="inlineStr"/>
    </row>
    <row r="549">
      <c r="A549" s="13">
        <f>IF(GL_RAW!A549="","",ROW()-1)</f>
        <v/>
      </c>
      <c r="B549" s="10">
        <f>IF(GL_RAW!A549="","",IF(ISNUMBER(GL_RAW!A549),GL_RAW!A549,DATEVALUE(TEXT(GL_RAW!A549,"YYYY-MM-DD"))))</f>
        <v/>
      </c>
      <c r="C549" s="11">
        <f>IF(GL_RAW!A549="","",TRIM(GL_RAW!B549))</f>
        <v/>
      </c>
      <c r="D549" s="11">
        <f>IF(GL_RAW!A549="","",TRIM(GL_RAW!C549))</f>
        <v/>
      </c>
      <c r="E549" s="11">
        <f>IF(GL_RAW!A549="","",TRIM(GL_RAW!D549))</f>
        <v/>
      </c>
      <c r="F549" s="11">
        <f>IF(GL_RAW!A549="","",TRIM(GL_RAW!F549))</f>
        <v/>
      </c>
      <c r="G549" s="11">
        <f>IF(GL_RAW!A549="","",TRIM(GL_RAW!G549))</f>
        <v/>
      </c>
      <c r="H549" s="12">
        <f>IF(GL_RAW!A549="","",IFERROR(GL_RAW!E549,0))</f>
        <v/>
      </c>
      <c r="I549" s="12">
        <f>IF(GL_RAW!A549="","",ABS(H549))</f>
        <v/>
      </c>
      <c r="J549" s="11">
        <f>IF(GL_RAW!A549="","",IF(OR(ISNUMBER(SEARCH("Out",F549)),ISNUMBER(SEARCH("11025002",F549)),H549&lt;0),"OUT","IN"))</f>
        <v/>
      </c>
      <c r="K549" s="11" t="inlineStr"/>
    </row>
    <row r="550">
      <c r="A550" s="13">
        <f>IF(GL_RAW!A550="","",ROW()-1)</f>
        <v/>
      </c>
      <c r="B550" s="10">
        <f>IF(GL_RAW!A550="","",IF(ISNUMBER(GL_RAW!A550),GL_RAW!A550,DATEVALUE(TEXT(GL_RAW!A550,"YYYY-MM-DD"))))</f>
        <v/>
      </c>
      <c r="C550" s="11">
        <f>IF(GL_RAW!A550="","",TRIM(GL_RAW!B550))</f>
        <v/>
      </c>
      <c r="D550" s="11">
        <f>IF(GL_RAW!A550="","",TRIM(GL_RAW!C550))</f>
        <v/>
      </c>
      <c r="E550" s="11">
        <f>IF(GL_RAW!A550="","",TRIM(GL_RAW!D550))</f>
        <v/>
      </c>
      <c r="F550" s="11">
        <f>IF(GL_RAW!A550="","",TRIM(GL_RAW!F550))</f>
        <v/>
      </c>
      <c r="G550" s="11">
        <f>IF(GL_RAW!A550="","",TRIM(GL_RAW!G550))</f>
        <v/>
      </c>
      <c r="H550" s="12">
        <f>IF(GL_RAW!A550="","",IFERROR(GL_RAW!E550,0))</f>
        <v/>
      </c>
      <c r="I550" s="12">
        <f>IF(GL_RAW!A550="","",ABS(H550))</f>
        <v/>
      </c>
      <c r="J550" s="11">
        <f>IF(GL_RAW!A550="","",IF(OR(ISNUMBER(SEARCH("Out",F550)),ISNUMBER(SEARCH("11025002",F550)),H550&lt;0),"OUT","IN"))</f>
        <v/>
      </c>
      <c r="K550" s="11" t="inlineStr"/>
    </row>
    <row r="551">
      <c r="A551" s="13">
        <f>IF(GL_RAW!A551="","",ROW()-1)</f>
        <v/>
      </c>
      <c r="B551" s="10">
        <f>IF(GL_RAW!A551="","",IF(ISNUMBER(GL_RAW!A551),GL_RAW!A551,DATEVALUE(TEXT(GL_RAW!A551,"YYYY-MM-DD"))))</f>
        <v/>
      </c>
      <c r="C551" s="11">
        <f>IF(GL_RAW!A551="","",TRIM(GL_RAW!B551))</f>
        <v/>
      </c>
      <c r="D551" s="11">
        <f>IF(GL_RAW!A551="","",TRIM(GL_RAW!C551))</f>
        <v/>
      </c>
      <c r="E551" s="11">
        <f>IF(GL_RAW!A551="","",TRIM(GL_RAW!D551))</f>
        <v/>
      </c>
      <c r="F551" s="11">
        <f>IF(GL_RAW!A551="","",TRIM(GL_RAW!F551))</f>
        <v/>
      </c>
      <c r="G551" s="11">
        <f>IF(GL_RAW!A551="","",TRIM(GL_RAW!G551))</f>
        <v/>
      </c>
      <c r="H551" s="12">
        <f>IF(GL_RAW!A551="","",IFERROR(GL_RAW!E551,0))</f>
        <v/>
      </c>
      <c r="I551" s="12">
        <f>IF(GL_RAW!A551="","",ABS(H551))</f>
        <v/>
      </c>
      <c r="J551" s="11">
        <f>IF(GL_RAW!A551="","",IF(OR(ISNUMBER(SEARCH("Out",F551)),ISNUMBER(SEARCH("11025002",F551)),H551&lt;0),"OUT","IN"))</f>
        <v/>
      </c>
      <c r="K551" s="11" t="inlineStr"/>
    </row>
    <row r="552">
      <c r="A552" s="13">
        <f>IF(GL_RAW!A552="","",ROW()-1)</f>
        <v/>
      </c>
      <c r="B552" s="10">
        <f>IF(GL_RAW!A552="","",IF(ISNUMBER(GL_RAW!A552),GL_RAW!A552,DATEVALUE(TEXT(GL_RAW!A552,"YYYY-MM-DD"))))</f>
        <v/>
      </c>
      <c r="C552" s="11">
        <f>IF(GL_RAW!A552="","",TRIM(GL_RAW!B552))</f>
        <v/>
      </c>
      <c r="D552" s="11">
        <f>IF(GL_RAW!A552="","",TRIM(GL_RAW!C552))</f>
        <v/>
      </c>
      <c r="E552" s="11">
        <f>IF(GL_RAW!A552="","",TRIM(GL_RAW!D552))</f>
        <v/>
      </c>
      <c r="F552" s="11">
        <f>IF(GL_RAW!A552="","",TRIM(GL_RAW!F552))</f>
        <v/>
      </c>
      <c r="G552" s="11">
        <f>IF(GL_RAW!A552="","",TRIM(GL_RAW!G552))</f>
        <v/>
      </c>
      <c r="H552" s="12">
        <f>IF(GL_RAW!A552="","",IFERROR(GL_RAW!E552,0))</f>
        <v/>
      </c>
      <c r="I552" s="12">
        <f>IF(GL_RAW!A552="","",ABS(H552))</f>
        <v/>
      </c>
      <c r="J552" s="11">
        <f>IF(GL_RAW!A552="","",IF(OR(ISNUMBER(SEARCH("Out",F552)),ISNUMBER(SEARCH("11025002",F552)),H552&lt;0),"OUT","IN"))</f>
        <v/>
      </c>
      <c r="K552" s="11" t="inlineStr"/>
    </row>
    <row r="553">
      <c r="A553" s="13">
        <f>IF(GL_RAW!A553="","",ROW()-1)</f>
        <v/>
      </c>
      <c r="B553" s="10">
        <f>IF(GL_RAW!A553="","",IF(ISNUMBER(GL_RAW!A553),GL_RAW!A553,DATEVALUE(TEXT(GL_RAW!A553,"YYYY-MM-DD"))))</f>
        <v/>
      </c>
      <c r="C553" s="11">
        <f>IF(GL_RAW!A553="","",TRIM(GL_RAW!B553))</f>
        <v/>
      </c>
      <c r="D553" s="11">
        <f>IF(GL_RAW!A553="","",TRIM(GL_RAW!C553))</f>
        <v/>
      </c>
      <c r="E553" s="11">
        <f>IF(GL_RAW!A553="","",TRIM(GL_RAW!D553))</f>
        <v/>
      </c>
      <c r="F553" s="11">
        <f>IF(GL_RAW!A553="","",TRIM(GL_RAW!F553))</f>
        <v/>
      </c>
      <c r="G553" s="11">
        <f>IF(GL_RAW!A553="","",TRIM(GL_RAW!G553))</f>
        <v/>
      </c>
      <c r="H553" s="12">
        <f>IF(GL_RAW!A553="","",IFERROR(GL_RAW!E553,0))</f>
        <v/>
      </c>
      <c r="I553" s="12">
        <f>IF(GL_RAW!A553="","",ABS(H553))</f>
        <v/>
      </c>
      <c r="J553" s="11">
        <f>IF(GL_RAW!A553="","",IF(OR(ISNUMBER(SEARCH("Out",F553)),ISNUMBER(SEARCH("11025002",F553)),H553&lt;0),"OUT","IN"))</f>
        <v/>
      </c>
      <c r="K553" s="11" t="inlineStr"/>
    </row>
    <row r="554">
      <c r="A554" s="13">
        <f>IF(GL_RAW!A554="","",ROW()-1)</f>
        <v/>
      </c>
      <c r="B554" s="10">
        <f>IF(GL_RAW!A554="","",IF(ISNUMBER(GL_RAW!A554),GL_RAW!A554,DATEVALUE(TEXT(GL_RAW!A554,"YYYY-MM-DD"))))</f>
        <v/>
      </c>
      <c r="C554" s="11">
        <f>IF(GL_RAW!A554="","",TRIM(GL_RAW!B554))</f>
        <v/>
      </c>
      <c r="D554" s="11">
        <f>IF(GL_RAW!A554="","",TRIM(GL_RAW!C554))</f>
        <v/>
      </c>
      <c r="E554" s="11">
        <f>IF(GL_RAW!A554="","",TRIM(GL_RAW!D554))</f>
        <v/>
      </c>
      <c r="F554" s="11">
        <f>IF(GL_RAW!A554="","",TRIM(GL_RAW!F554))</f>
        <v/>
      </c>
      <c r="G554" s="11">
        <f>IF(GL_RAW!A554="","",TRIM(GL_RAW!G554))</f>
        <v/>
      </c>
      <c r="H554" s="12">
        <f>IF(GL_RAW!A554="","",IFERROR(GL_RAW!E554,0))</f>
        <v/>
      </c>
      <c r="I554" s="12">
        <f>IF(GL_RAW!A554="","",ABS(H554))</f>
        <v/>
      </c>
      <c r="J554" s="11">
        <f>IF(GL_RAW!A554="","",IF(OR(ISNUMBER(SEARCH("Out",F554)),ISNUMBER(SEARCH("11025002",F554)),H554&lt;0),"OUT","IN"))</f>
        <v/>
      </c>
      <c r="K554" s="11" t="inlineStr"/>
    </row>
    <row r="555">
      <c r="A555" s="13">
        <f>IF(GL_RAW!A555="","",ROW()-1)</f>
        <v/>
      </c>
      <c r="B555" s="10">
        <f>IF(GL_RAW!A555="","",IF(ISNUMBER(GL_RAW!A555),GL_RAW!A555,DATEVALUE(TEXT(GL_RAW!A555,"YYYY-MM-DD"))))</f>
        <v/>
      </c>
      <c r="C555" s="11">
        <f>IF(GL_RAW!A555="","",TRIM(GL_RAW!B555))</f>
        <v/>
      </c>
      <c r="D555" s="11">
        <f>IF(GL_RAW!A555="","",TRIM(GL_RAW!C555))</f>
        <v/>
      </c>
      <c r="E555" s="11">
        <f>IF(GL_RAW!A555="","",TRIM(GL_RAW!D555))</f>
        <v/>
      </c>
      <c r="F555" s="11">
        <f>IF(GL_RAW!A555="","",TRIM(GL_RAW!F555))</f>
        <v/>
      </c>
      <c r="G555" s="11">
        <f>IF(GL_RAW!A555="","",TRIM(GL_RAW!G555))</f>
        <v/>
      </c>
      <c r="H555" s="12">
        <f>IF(GL_RAW!A555="","",IFERROR(GL_RAW!E555,0))</f>
        <v/>
      </c>
      <c r="I555" s="12">
        <f>IF(GL_RAW!A555="","",ABS(H555))</f>
        <v/>
      </c>
      <c r="J555" s="11">
        <f>IF(GL_RAW!A555="","",IF(OR(ISNUMBER(SEARCH("Out",F555)),ISNUMBER(SEARCH("11025002",F555)),H555&lt;0),"OUT","IN"))</f>
        <v/>
      </c>
      <c r="K555" s="11" t="inlineStr"/>
    </row>
    <row r="556">
      <c r="A556" s="13">
        <f>IF(GL_RAW!A556="","",ROW()-1)</f>
        <v/>
      </c>
      <c r="B556" s="10">
        <f>IF(GL_RAW!A556="","",IF(ISNUMBER(GL_RAW!A556),GL_RAW!A556,DATEVALUE(TEXT(GL_RAW!A556,"YYYY-MM-DD"))))</f>
        <v/>
      </c>
      <c r="C556" s="11">
        <f>IF(GL_RAW!A556="","",TRIM(GL_RAW!B556))</f>
        <v/>
      </c>
      <c r="D556" s="11">
        <f>IF(GL_RAW!A556="","",TRIM(GL_RAW!C556))</f>
        <v/>
      </c>
      <c r="E556" s="11">
        <f>IF(GL_RAW!A556="","",TRIM(GL_RAW!D556))</f>
        <v/>
      </c>
      <c r="F556" s="11">
        <f>IF(GL_RAW!A556="","",TRIM(GL_RAW!F556))</f>
        <v/>
      </c>
      <c r="G556" s="11">
        <f>IF(GL_RAW!A556="","",TRIM(GL_RAW!G556))</f>
        <v/>
      </c>
      <c r="H556" s="12">
        <f>IF(GL_RAW!A556="","",IFERROR(GL_RAW!E556,0))</f>
        <v/>
      </c>
      <c r="I556" s="12">
        <f>IF(GL_RAW!A556="","",ABS(H556))</f>
        <v/>
      </c>
      <c r="J556" s="11">
        <f>IF(GL_RAW!A556="","",IF(OR(ISNUMBER(SEARCH("Out",F556)),ISNUMBER(SEARCH("11025002",F556)),H556&lt;0),"OUT","IN"))</f>
        <v/>
      </c>
      <c r="K556" s="11" t="inlineStr"/>
    </row>
    <row r="557">
      <c r="A557" s="13">
        <f>IF(GL_RAW!A557="","",ROW()-1)</f>
        <v/>
      </c>
      <c r="B557" s="10">
        <f>IF(GL_RAW!A557="","",IF(ISNUMBER(GL_RAW!A557),GL_RAW!A557,DATEVALUE(TEXT(GL_RAW!A557,"YYYY-MM-DD"))))</f>
        <v/>
      </c>
      <c r="C557" s="11">
        <f>IF(GL_RAW!A557="","",TRIM(GL_RAW!B557))</f>
        <v/>
      </c>
      <c r="D557" s="11">
        <f>IF(GL_RAW!A557="","",TRIM(GL_RAW!C557))</f>
        <v/>
      </c>
      <c r="E557" s="11">
        <f>IF(GL_RAW!A557="","",TRIM(GL_RAW!D557))</f>
        <v/>
      </c>
      <c r="F557" s="11">
        <f>IF(GL_RAW!A557="","",TRIM(GL_RAW!F557))</f>
        <v/>
      </c>
      <c r="G557" s="11">
        <f>IF(GL_RAW!A557="","",TRIM(GL_RAW!G557))</f>
        <v/>
      </c>
      <c r="H557" s="12">
        <f>IF(GL_RAW!A557="","",IFERROR(GL_RAW!E557,0))</f>
        <v/>
      </c>
      <c r="I557" s="12">
        <f>IF(GL_RAW!A557="","",ABS(H557))</f>
        <v/>
      </c>
      <c r="J557" s="11">
        <f>IF(GL_RAW!A557="","",IF(OR(ISNUMBER(SEARCH("Out",F557)),ISNUMBER(SEARCH("11025002",F557)),H557&lt;0),"OUT","IN"))</f>
        <v/>
      </c>
      <c r="K557" s="11" t="inlineStr"/>
    </row>
    <row r="558">
      <c r="A558" s="13">
        <f>IF(GL_RAW!A558="","",ROW()-1)</f>
        <v/>
      </c>
      <c r="B558" s="10">
        <f>IF(GL_RAW!A558="","",IF(ISNUMBER(GL_RAW!A558),GL_RAW!A558,DATEVALUE(TEXT(GL_RAW!A558,"YYYY-MM-DD"))))</f>
        <v/>
      </c>
      <c r="C558" s="11">
        <f>IF(GL_RAW!A558="","",TRIM(GL_RAW!B558))</f>
        <v/>
      </c>
      <c r="D558" s="11">
        <f>IF(GL_RAW!A558="","",TRIM(GL_RAW!C558))</f>
        <v/>
      </c>
      <c r="E558" s="11">
        <f>IF(GL_RAW!A558="","",TRIM(GL_RAW!D558))</f>
        <v/>
      </c>
      <c r="F558" s="11">
        <f>IF(GL_RAW!A558="","",TRIM(GL_RAW!F558))</f>
        <v/>
      </c>
      <c r="G558" s="11">
        <f>IF(GL_RAW!A558="","",TRIM(GL_RAW!G558))</f>
        <v/>
      </c>
      <c r="H558" s="12">
        <f>IF(GL_RAW!A558="","",IFERROR(GL_RAW!E558,0))</f>
        <v/>
      </c>
      <c r="I558" s="12">
        <f>IF(GL_RAW!A558="","",ABS(H558))</f>
        <v/>
      </c>
      <c r="J558" s="11">
        <f>IF(GL_RAW!A558="","",IF(OR(ISNUMBER(SEARCH("Out",F558)),ISNUMBER(SEARCH("11025002",F558)),H558&lt;0),"OUT","IN"))</f>
        <v/>
      </c>
      <c r="K558" s="11" t="inlineStr"/>
    </row>
    <row r="559">
      <c r="A559" s="13">
        <f>IF(GL_RAW!A559="","",ROW()-1)</f>
        <v/>
      </c>
      <c r="B559" s="10">
        <f>IF(GL_RAW!A559="","",IF(ISNUMBER(GL_RAW!A559),GL_RAW!A559,DATEVALUE(TEXT(GL_RAW!A559,"YYYY-MM-DD"))))</f>
        <v/>
      </c>
      <c r="C559" s="11">
        <f>IF(GL_RAW!A559="","",TRIM(GL_RAW!B559))</f>
        <v/>
      </c>
      <c r="D559" s="11">
        <f>IF(GL_RAW!A559="","",TRIM(GL_RAW!C559))</f>
        <v/>
      </c>
      <c r="E559" s="11">
        <f>IF(GL_RAW!A559="","",TRIM(GL_RAW!D559))</f>
        <v/>
      </c>
      <c r="F559" s="11">
        <f>IF(GL_RAW!A559="","",TRIM(GL_RAW!F559))</f>
        <v/>
      </c>
      <c r="G559" s="11">
        <f>IF(GL_RAW!A559="","",TRIM(GL_RAW!G559))</f>
        <v/>
      </c>
      <c r="H559" s="12">
        <f>IF(GL_RAW!A559="","",IFERROR(GL_RAW!E559,0))</f>
        <v/>
      </c>
      <c r="I559" s="12">
        <f>IF(GL_RAW!A559="","",ABS(H559))</f>
        <v/>
      </c>
      <c r="J559" s="11">
        <f>IF(GL_RAW!A559="","",IF(OR(ISNUMBER(SEARCH("Out",F559)),ISNUMBER(SEARCH("11025002",F559)),H559&lt;0),"OUT","IN"))</f>
        <v/>
      </c>
      <c r="K559" s="11" t="inlineStr"/>
    </row>
    <row r="560">
      <c r="A560" s="13">
        <f>IF(GL_RAW!A560="","",ROW()-1)</f>
        <v/>
      </c>
      <c r="B560" s="10">
        <f>IF(GL_RAW!A560="","",IF(ISNUMBER(GL_RAW!A560),GL_RAW!A560,DATEVALUE(TEXT(GL_RAW!A560,"YYYY-MM-DD"))))</f>
        <v/>
      </c>
      <c r="C560" s="11">
        <f>IF(GL_RAW!A560="","",TRIM(GL_RAW!B560))</f>
        <v/>
      </c>
      <c r="D560" s="11">
        <f>IF(GL_RAW!A560="","",TRIM(GL_RAW!C560))</f>
        <v/>
      </c>
      <c r="E560" s="11">
        <f>IF(GL_RAW!A560="","",TRIM(GL_RAW!D560))</f>
        <v/>
      </c>
      <c r="F560" s="11">
        <f>IF(GL_RAW!A560="","",TRIM(GL_RAW!F560))</f>
        <v/>
      </c>
      <c r="G560" s="11">
        <f>IF(GL_RAW!A560="","",TRIM(GL_RAW!G560))</f>
        <v/>
      </c>
      <c r="H560" s="12">
        <f>IF(GL_RAW!A560="","",IFERROR(GL_RAW!E560,0))</f>
        <v/>
      </c>
      <c r="I560" s="12">
        <f>IF(GL_RAW!A560="","",ABS(H560))</f>
        <v/>
      </c>
      <c r="J560" s="11">
        <f>IF(GL_RAW!A560="","",IF(OR(ISNUMBER(SEARCH("Out",F560)),ISNUMBER(SEARCH("11025002",F560)),H560&lt;0),"OUT","IN"))</f>
        <v/>
      </c>
      <c r="K560" s="11" t="inlineStr"/>
    </row>
    <row r="561">
      <c r="A561" s="13">
        <f>IF(GL_RAW!A561="","",ROW()-1)</f>
        <v/>
      </c>
      <c r="B561" s="10">
        <f>IF(GL_RAW!A561="","",IF(ISNUMBER(GL_RAW!A561),GL_RAW!A561,DATEVALUE(TEXT(GL_RAW!A561,"YYYY-MM-DD"))))</f>
        <v/>
      </c>
      <c r="C561" s="11">
        <f>IF(GL_RAW!A561="","",TRIM(GL_RAW!B561))</f>
        <v/>
      </c>
      <c r="D561" s="11">
        <f>IF(GL_RAW!A561="","",TRIM(GL_RAW!C561))</f>
        <v/>
      </c>
      <c r="E561" s="11">
        <f>IF(GL_RAW!A561="","",TRIM(GL_RAW!D561))</f>
        <v/>
      </c>
      <c r="F561" s="11">
        <f>IF(GL_RAW!A561="","",TRIM(GL_RAW!F561))</f>
        <v/>
      </c>
      <c r="G561" s="11">
        <f>IF(GL_RAW!A561="","",TRIM(GL_RAW!G561))</f>
        <v/>
      </c>
      <c r="H561" s="12">
        <f>IF(GL_RAW!A561="","",IFERROR(GL_RAW!E561,0))</f>
        <v/>
      </c>
      <c r="I561" s="12">
        <f>IF(GL_RAW!A561="","",ABS(H561))</f>
        <v/>
      </c>
      <c r="J561" s="11">
        <f>IF(GL_RAW!A561="","",IF(OR(ISNUMBER(SEARCH("Out",F561)),ISNUMBER(SEARCH("11025002",F561)),H561&lt;0),"OUT","IN"))</f>
        <v/>
      </c>
      <c r="K561" s="11" t="inlineStr"/>
    </row>
    <row r="562">
      <c r="A562" s="13">
        <f>IF(GL_RAW!A562="","",ROW()-1)</f>
        <v/>
      </c>
      <c r="B562" s="10">
        <f>IF(GL_RAW!A562="","",IF(ISNUMBER(GL_RAW!A562),GL_RAW!A562,DATEVALUE(TEXT(GL_RAW!A562,"YYYY-MM-DD"))))</f>
        <v/>
      </c>
      <c r="C562" s="11">
        <f>IF(GL_RAW!A562="","",TRIM(GL_RAW!B562))</f>
        <v/>
      </c>
      <c r="D562" s="11">
        <f>IF(GL_RAW!A562="","",TRIM(GL_RAW!C562))</f>
        <v/>
      </c>
      <c r="E562" s="11">
        <f>IF(GL_RAW!A562="","",TRIM(GL_RAW!D562))</f>
        <v/>
      </c>
      <c r="F562" s="11">
        <f>IF(GL_RAW!A562="","",TRIM(GL_RAW!F562))</f>
        <v/>
      </c>
      <c r="G562" s="11">
        <f>IF(GL_RAW!A562="","",TRIM(GL_RAW!G562))</f>
        <v/>
      </c>
      <c r="H562" s="12">
        <f>IF(GL_RAW!A562="","",IFERROR(GL_RAW!E562,0))</f>
        <v/>
      </c>
      <c r="I562" s="12">
        <f>IF(GL_RAW!A562="","",ABS(H562))</f>
        <v/>
      </c>
      <c r="J562" s="11">
        <f>IF(GL_RAW!A562="","",IF(OR(ISNUMBER(SEARCH("Out",F562)),ISNUMBER(SEARCH("11025002",F562)),H562&lt;0),"OUT","IN"))</f>
        <v/>
      </c>
      <c r="K562" s="11" t="inlineStr"/>
    </row>
    <row r="563">
      <c r="A563" s="13">
        <f>IF(GL_RAW!A563="","",ROW()-1)</f>
        <v/>
      </c>
      <c r="B563" s="10">
        <f>IF(GL_RAW!A563="","",IF(ISNUMBER(GL_RAW!A563),GL_RAW!A563,DATEVALUE(TEXT(GL_RAW!A563,"YYYY-MM-DD"))))</f>
        <v/>
      </c>
      <c r="C563" s="11">
        <f>IF(GL_RAW!A563="","",TRIM(GL_RAW!B563))</f>
        <v/>
      </c>
      <c r="D563" s="11">
        <f>IF(GL_RAW!A563="","",TRIM(GL_RAW!C563))</f>
        <v/>
      </c>
      <c r="E563" s="11">
        <f>IF(GL_RAW!A563="","",TRIM(GL_RAW!D563))</f>
        <v/>
      </c>
      <c r="F563" s="11">
        <f>IF(GL_RAW!A563="","",TRIM(GL_RAW!F563))</f>
        <v/>
      </c>
      <c r="G563" s="11">
        <f>IF(GL_RAW!A563="","",TRIM(GL_RAW!G563))</f>
        <v/>
      </c>
      <c r="H563" s="12">
        <f>IF(GL_RAW!A563="","",IFERROR(GL_RAW!E563,0))</f>
        <v/>
      </c>
      <c r="I563" s="12">
        <f>IF(GL_RAW!A563="","",ABS(H563))</f>
        <v/>
      </c>
      <c r="J563" s="11">
        <f>IF(GL_RAW!A563="","",IF(OR(ISNUMBER(SEARCH("Out",F563)),ISNUMBER(SEARCH("11025002",F563)),H563&lt;0),"OUT","IN"))</f>
        <v/>
      </c>
      <c r="K563" s="11" t="inlineStr"/>
    </row>
    <row r="564">
      <c r="A564" s="13">
        <f>IF(GL_RAW!A564="","",ROW()-1)</f>
        <v/>
      </c>
      <c r="B564" s="10">
        <f>IF(GL_RAW!A564="","",IF(ISNUMBER(GL_RAW!A564),GL_RAW!A564,DATEVALUE(TEXT(GL_RAW!A564,"YYYY-MM-DD"))))</f>
        <v/>
      </c>
      <c r="C564" s="11">
        <f>IF(GL_RAW!A564="","",TRIM(GL_RAW!B564))</f>
        <v/>
      </c>
      <c r="D564" s="11">
        <f>IF(GL_RAW!A564="","",TRIM(GL_RAW!C564))</f>
        <v/>
      </c>
      <c r="E564" s="11">
        <f>IF(GL_RAW!A564="","",TRIM(GL_RAW!D564))</f>
        <v/>
      </c>
      <c r="F564" s="11">
        <f>IF(GL_RAW!A564="","",TRIM(GL_RAW!F564))</f>
        <v/>
      </c>
      <c r="G564" s="11">
        <f>IF(GL_RAW!A564="","",TRIM(GL_RAW!G564))</f>
        <v/>
      </c>
      <c r="H564" s="12">
        <f>IF(GL_RAW!A564="","",IFERROR(GL_RAW!E564,0))</f>
        <v/>
      </c>
      <c r="I564" s="12">
        <f>IF(GL_RAW!A564="","",ABS(H564))</f>
        <v/>
      </c>
      <c r="J564" s="11">
        <f>IF(GL_RAW!A564="","",IF(OR(ISNUMBER(SEARCH("Out",F564)),ISNUMBER(SEARCH("11025002",F564)),H564&lt;0),"OUT","IN"))</f>
        <v/>
      </c>
      <c r="K564" s="11" t="inlineStr"/>
    </row>
    <row r="565">
      <c r="A565" s="13">
        <f>IF(GL_RAW!A565="","",ROW()-1)</f>
        <v/>
      </c>
      <c r="B565" s="10">
        <f>IF(GL_RAW!A565="","",IF(ISNUMBER(GL_RAW!A565),GL_RAW!A565,DATEVALUE(TEXT(GL_RAW!A565,"YYYY-MM-DD"))))</f>
        <v/>
      </c>
      <c r="C565" s="11">
        <f>IF(GL_RAW!A565="","",TRIM(GL_RAW!B565))</f>
        <v/>
      </c>
      <c r="D565" s="11">
        <f>IF(GL_RAW!A565="","",TRIM(GL_RAW!C565))</f>
        <v/>
      </c>
      <c r="E565" s="11">
        <f>IF(GL_RAW!A565="","",TRIM(GL_RAW!D565))</f>
        <v/>
      </c>
      <c r="F565" s="11">
        <f>IF(GL_RAW!A565="","",TRIM(GL_RAW!F565))</f>
        <v/>
      </c>
      <c r="G565" s="11">
        <f>IF(GL_RAW!A565="","",TRIM(GL_RAW!G565))</f>
        <v/>
      </c>
      <c r="H565" s="12">
        <f>IF(GL_RAW!A565="","",IFERROR(GL_RAW!E565,0))</f>
        <v/>
      </c>
      <c r="I565" s="12">
        <f>IF(GL_RAW!A565="","",ABS(H565))</f>
        <v/>
      </c>
      <c r="J565" s="11">
        <f>IF(GL_RAW!A565="","",IF(OR(ISNUMBER(SEARCH("Out",F565)),ISNUMBER(SEARCH("11025002",F565)),H565&lt;0),"OUT","IN"))</f>
        <v/>
      </c>
      <c r="K565" s="11" t="inlineStr"/>
    </row>
    <row r="566">
      <c r="A566" s="13">
        <f>IF(GL_RAW!A566="","",ROW()-1)</f>
        <v/>
      </c>
      <c r="B566" s="10">
        <f>IF(GL_RAW!A566="","",IF(ISNUMBER(GL_RAW!A566),GL_RAW!A566,DATEVALUE(TEXT(GL_RAW!A566,"YYYY-MM-DD"))))</f>
        <v/>
      </c>
      <c r="C566" s="11">
        <f>IF(GL_RAW!A566="","",TRIM(GL_RAW!B566))</f>
        <v/>
      </c>
      <c r="D566" s="11">
        <f>IF(GL_RAW!A566="","",TRIM(GL_RAW!C566))</f>
        <v/>
      </c>
      <c r="E566" s="11">
        <f>IF(GL_RAW!A566="","",TRIM(GL_RAW!D566))</f>
        <v/>
      </c>
      <c r="F566" s="11">
        <f>IF(GL_RAW!A566="","",TRIM(GL_RAW!F566))</f>
        <v/>
      </c>
      <c r="G566" s="11">
        <f>IF(GL_RAW!A566="","",TRIM(GL_RAW!G566))</f>
        <v/>
      </c>
      <c r="H566" s="12">
        <f>IF(GL_RAW!A566="","",IFERROR(GL_RAW!E566,0))</f>
        <v/>
      </c>
      <c r="I566" s="12">
        <f>IF(GL_RAW!A566="","",ABS(H566))</f>
        <v/>
      </c>
      <c r="J566" s="11">
        <f>IF(GL_RAW!A566="","",IF(OR(ISNUMBER(SEARCH("Out",F566)),ISNUMBER(SEARCH("11025002",F566)),H566&lt;0),"OUT","IN"))</f>
        <v/>
      </c>
      <c r="K566" s="11" t="inlineStr"/>
    </row>
    <row r="567">
      <c r="A567" s="13">
        <f>IF(GL_RAW!A567="","",ROW()-1)</f>
        <v/>
      </c>
      <c r="B567" s="10">
        <f>IF(GL_RAW!A567="","",IF(ISNUMBER(GL_RAW!A567),GL_RAW!A567,DATEVALUE(TEXT(GL_RAW!A567,"YYYY-MM-DD"))))</f>
        <v/>
      </c>
      <c r="C567" s="11">
        <f>IF(GL_RAW!A567="","",TRIM(GL_RAW!B567))</f>
        <v/>
      </c>
      <c r="D567" s="11">
        <f>IF(GL_RAW!A567="","",TRIM(GL_RAW!C567))</f>
        <v/>
      </c>
      <c r="E567" s="11">
        <f>IF(GL_RAW!A567="","",TRIM(GL_RAW!D567))</f>
        <v/>
      </c>
      <c r="F567" s="11">
        <f>IF(GL_RAW!A567="","",TRIM(GL_RAW!F567))</f>
        <v/>
      </c>
      <c r="G567" s="11">
        <f>IF(GL_RAW!A567="","",TRIM(GL_RAW!G567))</f>
        <v/>
      </c>
      <c r="H567" s="12">
        <f>IF(GL_RAW!A567="","",IFERROR(GL_RAW!E567,0))</f>
        <v/>
      </c>
      <c r="I567" s="12">
        <f>IF(GL_RAW!A567="","",ABS(H567))</f>
        <v/>
      </c>
      <c r="J567" s="11">
        <f>IF(GL_RAW!A567="","",IF(OR(ISNUMBER(SEARCH("Out",F567)),ISNUMBER(SEARCH("11025002",F567)),H567&lt;0),"OUT","IN"))</f>
        <v/>
      </c>
      <c r="K567" s="11" t="inlineStr"/>
    </row>
    <row r="568">
      <c r="A568" s="13">
        <f>IF(GL_RAW!A568="","",ROW()-1)</f>
        <v/>
      </c>
      <c r="B568" s="10">
        <f>IF(GL_RAW!A568="","",IF(ISNUMBER(GL_RAW!A568),GL_RAW!A568,DATEVALUE(TEXT(GL_RAW!A568,"YYYY-MM-DD"))))</f>
        <v/>
      </c>
      <c r="C568" s="11">
        <f>IF(GL_RAW!A568="","",TRIM(GL_RAW!B568))</f>
        <v/>
      </c>
      <c r="D568" s="11">
        <f>IF(GL_RAW!A568="","",TRIM(GL_RAW!C568))</f>
        <v/>
      </c>
      <c r="E568" s="11">
        <f>IF(GL_RAW!A568="","",TRIM(GL_RAW!D568))</f>
        <v/>
      </c>
      <c r="F568" s="11">
        <f>IF(GL_RAW!A568="","",TRIM(GL_RAW!F568))</f>
        <v/>
      </c>
      <c r="G568" s="11">
        <f>IF(GL_RAW!A568="","",TRIM(GL_RAW!G568))</f>
        <v/>
      </c>
      <c r="H568" s="12">
        <f>IF(GL_RAW!A568="","",IFERROR(GL_RAW!E568,0))</f>
        <v/>
      </c>
      <c r="I568" s="12">
        <f>IF(GL_RAW!A568="","",ABS(H568))</f>
        <v/>
      </c>
      <c r="J568" s="11">
        <f>IF(GL_RAW!A568="","",IF(OR(ISNUMBER(SEARCH("Out",F568)),ISNUMBER(SEARCH("11025002",F568)),H568&lt;0),"OUT","IN"))</f>
        <v/>
      </c>
      <c r="K568" s="11" t="inlineStr"/>
    </row>
    <row r="569">
      <c r="A569" s="13">
        <f>IF(GL_RAW!A569="","",ROW()-1)</f>
        <v/>
      </c>
      <c r="B569" s="10">
        <f>IF(GL_RAW!A569="","",IF(ISNUMBER(GL_RAW!A569),GL_RAW!A569,DATEVALUE(TEXT(GL_RAW!A569,"YYYY-MM-DD"))))</f>
        <v/>
      </c>
      <c r="C569" s="11">
        <f>IF(GL_RAW!A569="","",TRIM(GL_RAW!B569))</f>
        <v/>
      </c>
      <c r="D569" s="11">
        <f>IF(GL_RAW!A569="","",TRIM(GL_RAW!C569))</f>
        <v/>
      </c>
      <c r="E569" s="11">
        <f>IF(GL_RAW!A569="","",TRIM(GL_RAW!D569))</f>
        <v/>
      </c>
      <c r="F569" s="11">
        <f>IF(GL_RAW!A569="","",TRIM(GL_RAW!F569))</f>
        <v/>
      </c>
      <c r="G569" s="11">
        <f>IF(GL_RAW!A569="","",TRIM(GL_RAW!G569))</f>
        <v/>
      </c>
      <c r="H569" s="12">
        <f>IF(GL_RAW!A569="","",IFERROR(GL_RAW!E569,0))</f>
        <v/>
      </c>
      <c r="I569" s="12">
        <f>IF(GL_RAW!A569="","",ABS(H569))</f>
        <v/>
      </c>
      <c r="J569" s="11">
        <f>IF(GL_RAW!A569="","",IF(OR(ISNUMBER(SEARCH("Out",F569)),ISNUMBER(SEARCH("11025002",F569)),H569&lt;0),"OUT","IN"))</f>
        <v/>
      </c>
      <c r="K569" s="11" t="inlineStr"/>
    </row>
    <row r="570">
      <c r="A570" s="13">
        <f>IF(GL_RAW!A570="","",ROW()-1)</f>
        <v/>
      </c>
      <c r="B570" s="10">
        <f>IF(GL_RAW!A570="","",IF(ISNUMBER(GL_RAW!A570),GL_RAW!A570,DATEVALUE(TEXT(GL_RAW!A570,"YYYY-MM-DD"))))</f>
        <v/>
      </c>
      <c r="C570" s="11">
        <f>IF(GL_RAW!A570="","",TRIM(GL_RAW!B570))</f>
        <v/>
      </c>
      <c r="D570" s="11">
        <f>IF(GL_RAW!A570="","",TRIM(GL_RAW!C570))</f>
        <v/>
      </c>
      <c r="E570" s="11">
        <f>IF(GL_RAW!A570="","",TRIM(GL_RAW!D570))</f>
        <v/>
      </c>
      <c r="F570" s="11">
        <f>IF(GL_RAW!A570="","",TRIM(GL_RAW!F570))</f>
        <v/>
      </c>
      <c r="G570" s="11">
        <f>IF(GL_RAW!A570="","",TRIM(GL_RAW!G570))</f>
        <v/>
      </c>
      <c r="H570" s="12">
        <f>IF(GL_RAW!A570="","",IFERROR(GL_RAW!E570,0))</f>
        <v/>
      </c>
      <c r="I570" s="12">
        <f>IF(GL_RAW!A570="","",ABS(H570))</f>
        <v/>
      </c>
      <c r="J570" s="11">
        <f>IF(GL_RAW!A570="","",IF(OR(ISNUMBER(SEARCH("Out",F570)),ISNUMBER(SEARCH("11025002",F570)),H570&lt;0),"OUT","IN"))</f>
        <v/>
      </c>
      <c r="K570" s="11" t="inlineStr"/>
    </row>
    <row r="571">
      <c r="A571" s="13">
        <f>IF(GL_RAW!A571="","",ROW()-1)</f>
        <v/>
      </c>
      <c r="B571" s="10">
        <f>IF(GL_RAW!A571="","",IF(ISNUMBER(GL_RAW!A571),GL_RAW!A571,DATEVALUE(TEXT(GL_RAW!A571,"YYYY-MM-DD"))))</f>
        <v/>
      </c>
      <c r="C571" s="11">
        <f>IF(GL_RAW!A571="","",TRIM(GL_RAW!B571))</f>
        <v/>
      </c>
      <c r="D571" s="11">
        <f>IF(GL_RAW!A571="","",TRIM(GL_RAW!C571))</f>
        <v/>
      </c>
      <c r="E571" s="11">
        <f>IF(GL_RAW!A571="","",TRIM(GL_RAW!D571))</f>
        <v/>
      </c>
      <c r="F571" s="11">
        <f>IF(GL_RAW!A571="","",TRIM(GL_RAW!F571))</f>
        <v/>
      </c>
      <c r="G571" s="11">
        <f>IF(GL_RAW!A571="","",TRIM(GL_RAW!G571))</f>
        <v/>
      </c>
      <c r="H571" s="12">
        <f>IF(GL_RAW!A571="","",IFERROR(GL_RAW!E571,0))</f>
        <v/>
      </c>
      <c r="I571" s="12">
        <f>IF(GL_RAW!A571="","",ABS(H571))</f>
        <v/>
      </c>
      <c r="J571" s="11">
        <f>IF(GL_RAW!A571="","",IF(OR(ISNUMBER(SEARCH("Out",F571)),ISNUMBER(SEARCH("11025002",F571)),H571&lt;0),"OUT","IN"))</f>
        <v/>
      </c>
      <c r="K571" s="11" t="inlineStr"/>
    </row>
    <row r="572">
      <c r="A572" s="13">
        <f>IF(GL_RAW!A572="","",ROW()-1)</f>
        <v/>
      </c>
      <c r="B572" s="10">
        <f>IF(GL_RAW!A572="","",IF(ISNUMBER(GL_RAW!A572),GL_RAW!A572,DATEVALUE(TEXT(GL_RAW!A572,"YYYY-MM-DD"))))</f>
        <v/>
      </c>
      <c r="C572" s="11">
        <f>IF(GL_RAW!A572="","",TRIM(GL_RAW!B572))</f>
        <v/>
      </c>
      <c r="D572" s="11">
        <f>IF(GL_RAW!A572="","",TRIM(GL_RAW!C572))</f>
        <v/>
      </c>
      <c r="E572" s="11">
        <f>IF(GL_RAW!A572="","",TRIM(GL_RAW!D572))</f>
        <v/>
      </c>
      <c r="F572" s="11">
        <f>IF(GL_RAW!A572="","",TRIM(GL_RAW!F572))</f>
        <v/>
      </c>
      <c r="G572" s="11">
        <f>IF(GL_RAW!A572="","",TRIM(GL_RAW!G572))</f>
        <v/>
      </c>
      <c r="H572" s="12">
        <f>IF(GL_RAW!A572="","",IFERROR(GL_RAW!E572,0))</f>
        <v/>
      </c>
      <c r="I572" s="12">
        <f>IF(GL_RAW!A572="","",ABS(H572))</f>
        <v/>
      </c>
      <c r="J572" s="11">
        <f>IF(GL_RAW!A572="","",IF(OR(ISNUMBER(SEARCH("Out",F572)),ISNUMBER(SEARCH("11025002",F572)),H572&lt;0),"OUT","IN"))</f>
        <v/>
      </c>
      <c r="K572" s="11" t="inlineStr"/>
    </row>
    <row r="573">
      <c r="A573" s="13">
        <f>IF(GL_RAW!A573="","",ROW()-1)</f>
        <v/>
      </c>
      <c r="B573" s="10">
        <f>IF(GL_RAW!A573="","",IF(ISNUMBER(GL_RAW!A573),GL_RAW!A573,DATEVALUE(TEXT(GL_RAW!A573,"YYYY-MM-DD"))))</f>
        <v/>
      </c>
      <c r="C573" s="11">
        <f>IF(GL_RAW!A573="","",TRIM(GL_RAW!B573))</f>
        <v/>
      </c>
      <c r="D573" s="11">
        <f>IF(GL_RAW!A573="","",TRIM(GL_RAW!C573))</f>
        <v/>
      </c>
      <c r="E573" s="11">
        <f>IF(GL_RAW!A573="","",TRIM(GL_RAW!D573))</f>
        <v/>
      </c>
      <c r="F573" s="11">
        <f>IF(GL_RAW!A573="","",TRIM(GL_RAW!F573))</f>
        <v/>
      </c>
      <c r="G573" s="11">
        <f>IF(GL_RAW!A573="","",TRIM(GL_RAW!G573))</f>
        <v/>
      </c>
      <c r="H573" s="12">
        <f>IF(GL_RAW!A573="","",IFERROR(GL_RAW!E573,0))</f>
        <v/>
      </c>
      <c r="I573" s="12">
        <f>IF(GL_RAW!A573="","",ABS(H573))</f>
        <v/>
      </c>
      <c r="J573" s="11">
        <f>IF(GL_RAW!A573="","",IF(OR(ISNUMBER(SEARCH("Out",F573)),ISNUMBER(SEARCH("11025002",F573)),H573&lt;0),"OUT","IN"))</f>
        <v/>
      </c>
      <c r="K573" s="11" t="inlineStr"/>
    </row>
    <row r="574">
      <c r="A574" s="13">
        <f>IF(GL_RAW!A574="","",ROW()-1)</f>
        <v/>
      </c>
      <c r="B574" s="10">
        <f>IF(GL_RAW!A574="","",IF(ISNUMBER(GL_RAW!A574),GL_RAW!A574,DATEVALUE(TEXT(GL_RAW!A574,"YYYY-MM-DD"))))</f>
        <v/>
      </c>
      <c r="C574" s="11">
        <f>IF(GL_RAW!A574="","",TRIM(GL_RAW!B574))</f>
        <v/>
      </c>
      <c r="D574" s="11">
        <f>IF(GL_RAW!A574="","",TRIM(GL_RAW!C574))</f>
        <v/>
      </c>
      <c r="E574" s="11">
        <f>IF(GL_RAW!A574="","",TRIM(GL_RAW!D574))</f>
        <v/>
      </c>
      <c r="F574" s="11">
        <f>IF(GL_RAW!A574="","",TRIM(GL_RAW!F574))</f>
        <v/>
      </c>
      <c r="G574" s="11">
        <f>IF(GL_RAW!A574="","",TRIM(GL_RAW!G574))</f>
        <v/>
      </c>
      <c r="H574" s="12">
        <f>IF(GL_RAW!A574="","",IFERROR(GL_RAW!E574,0))</f>
        <v/>
      </c>
      <c r="I574" s="12">
        <f>IF(GL_RAW!A574="","",ABS(H574))</f>
        <v/>
      </c>
      <c r="J574" s="11">
        <f>IF(GL_RAW!A574="","",IF(OR(ISNUMBER(SEARCH("Out",F574)),ISNUMBER(SEARCH("11025002",F574)),H574&lt;0),"OUT","IN"))</f>
        <v/>
      </c>
      <c r="K574" s="11" t="inlineStr"/>
    </row>
    <row r="575">
      <c r="A575" s="13">
        <f>IF(GL_RAW!A575="","",ROW()-1)</f>
        <v/>
      </c>
      <c r="B575" s="10">
        <f>IF(GL_RAW!A575="","",IF(ISNUMBER(GL_RAW!A575),GL_RAW!A575,DATEVALUE(TEXT(GL_RAW!A575,"YYYY-MM-DD"))))</f>
        <v/>
      </c>
      <c r="C575" s="11">
        <f>IF(GL_RAW!A575="","",TRIM(GL_RAW!B575))</f>
        <v/>
      </c>
      <c r="D575" s="11">
        <f>IF(GL_RAW!A575="","",TRIM(GL_RAW!C575))</f>
        <v/>
      </c>
      <c r="E575" s="11">
        <f>IF(GL_RAW!A575="","",TRIM(GL_RAW!D575))</f>
        <v/>
      </c>
      <c r="F575" s="11">
        <f>IF(GL_RAW!A575="","",TRIM(GL_RAW!F575))</f>
        <v/>
      </c>
      <c r="G575" s="11">
        <f>IF(GL_RAW!A575="","",TRIM(GL_RAW!G575))</f>
        <v/>
      </c>
      <c r="H575" s="12">
        <f>IF(GL_RAW!A575="","",IFERROR(GL_RAW!E575,0))</f>
        <v/>
      </c>
      <c r="I575" s="12">
        <f>IF(GL_RAW!A575="","",ABS(H575))</f>
        <v/>
      </c>
      <c r="J575" s="11">
        <f>IF(GL_RAW!A575="","",IF(OR(ISNUMBER(SEARCH("Out",F575)),ISNUMBER(SEARCH("11025002",F575)),H575&lt;0),"OUT","IN"))</f>
        <v/>
      </c>
      <c r="K575" s="11" t="inlineStr"/>
    </row>
    <row r="576">
      <c r="A576" s="13">
        <f>IF(GL_RAW!A576="","",ROW()-1)</f>
        <v/>
      </c>
      <c r="B576" s="10">
        <f>IF(GL_RAW!A576="","",IF(ISNUMBER(GL_RAW!A576),GL_RAW!A576,DATEVALUE(TEXT(GL_RAW!A576,"YYYY-MM-DD"))))</f>
        <v/>
      </c>
      <c r="C576" s="11">
        <f>IF(GL_RAW!A576="","",TRIM(GL_RAW!B576))</f>
        <v/>
      </c>
      <c r="D576" s="11">
        <f>IF(GL_RAW!A576="","",TRIM(GL_RAW!C576))</f>
        <v/>
      </c>
      <c r="E576" s="11">
        <f>IF(GL_RAW!A576="","",TRIM(GL_RAW!D576))</f>
        <v/>
      </c>
      <c r="F576" s="11">
        <f>IF(GL_RAW!A576="","",TRIM(GL_RAW!F576))</f>
        <v/>
      </c>
      <c r="G576" s="11">
        <f>IF(GL_RAW!A576="","",TRIM(GL_RAW!G576))</f>
        <v/>
      </c>
      <c r="H576" s="12">
        <f>IF(GL_RAW!A576="","",IFERROR(GL_RAW!E576,0))</f>
        <v/>
      </c>
      <c r="I576" s="12">
        <f>IF(GL_RAW!A576="","",ABS(H576))</f>
        <v/>
      </c>
      <c r="J576" s="11">
        <f>IF(GL_RAW!A576="","",IF(OR(ISNUMBER(SEARCH("Out",F576)),ISNUMBER(SEARCH("11025002",F576)),H576&lt;0),"OUT","IN"))</f>
        <v/>
      </c>
      <c r="K576" s="11" t="inlineStr"/>
    </row>
    <row r="577">
      <c r="A577" s="13">
        <f>IF(GL_RAW!A577="","",ROW()-1)</f>
        <v/>
      </c>
      <c r="B577" s="10">
        <f>IF(GL_RAW!A577="","",IF(ISNUMBER(GL_RAW!A577),GL_RAW!A577,DATEVALUE(TEXT(GL_RAW!A577,"YYYY-MM-DD"))))</f>
        <v/>
      </c>
      <c r="C577" s="11">
        <f>IF(GL_RAW!A577="","",TRIM(GL_RAW!B577))</f>
        <v/>
      </c>
      <c r="D577" s="11">
        <f>IF(GL_RAW!A577="","",TRIM(GL_RAW!C577))</f>
        <v/>
      </c>
      <c r="E577" s="11">
        <f>IF(GL_RAW!A577="","",TRIM(GL_RAW!D577))</f>
        <v/>
      </c>
      <c r="F577" s="11">
        <f>IF(GL_RAW!A577="","",TRIM(GL_RAW!F577))</f>
        <v/>
      </c>
      <c r="G577" s="11">
        <f>IF(GL_RAW!A577="","",TRIM(GL_RAW!G577))</f>
        <v/>
      </c>
      <c r="H577" s="12">
        <f>IF(GL_RAW!A577="","",IFERROR(GL_RAW!E577,0))</f>
        <v/>
      </c>
      <c r="I577" s="12">
        <f>IF(GL_RAW!A577="","",ABS(H577))</f>
        <v/>
      </c>
      <c r="J577" s="11">
        <f>IF(GL_RAW!A577="","",IF(OR(ISNUMBER(SEARCH("Out",F577)),ISNUMBER(SEARCH("11025002",F577)),H577&lt;0),"OUT","IN"))</f>
        <v/>
      </c>
      <c r="K577" s="11" t="inlineStr"/>
    </row>
    <row r="578">
      <c r="A578" s="13">
        <f>IF(GL_RAW!A578="","",ROW()-1)</f>
        <v/>
      </c>
      <c r="B578" s="10">
        <f>IF(GL_RAW!A578="","",IF(ISNUMBER(GL_RAW!A578),GL_RAW!A578,DATEVALUE(TEXT(GL_RAW!A578,"YYYY-MM-DD"))))</f>
        <v/>
      </c>
      <c r="C578" s="11">
        <f>IF(GL_RAW!A578="","",TRIM(GL_RAW!B578))</f>
        <v/>
      </c>
      <c r="D578" s="11">
        <f>IF(GL_RAW!A578="","",TRIM(GL_RAW!C578))</f>
        <v/>
      </c>
      <c r="E578" s="11">
        <f>IF(GL_RAW!A578="","",TRIM(GL_RAW!D578))</f>
        <v/>
      </c>
      <c r="F578" s="11">
        <f>IF(GL_RAW!A578="","",TRIM(GL_RAW!F578))</f>
        <v/>
      </c>
      <c r="G578" s="11">
        <f>IF(GL_RAW!A578="","",TRIM(GL_RAW!G578))</f>
        <v/>
      </c>
      <c r="H578" s="12">
        <f>IF(GL_RAW!A578="","",IFERROR(GL_RAW!E578,0))</f>
        <v/>
      </c>
      <c r="I578" s="12">
        <f>IF(GL_RAW!A578="","",ABS(H578))</f>
        <v/>
      </c>
      <c r="J578" s="11">
        <f>IF(GL_RAW!A578="","",IF(OR(ISNUMBER(SEARCH("Out",F578)),ISNUMBER(SEARCH("11025002",F578)),H578&lt;0),"OUT","IN"))</f>
        <v/>
      </c>
      <c r="K578" s="11" t="inlineStr"/>
    </row>
    <row r="579">
      <c r="A579" s="13">
        <f>IF(GL_RAW!A579="","",ROW()-1)</f>
        <v/>
      </c>
      <c r="B579" s="10">
        <f>IF(GL_RAW!A579="","",IF(ISNUMBER(GL_RAW!A579),GL_RAW!A579,DATEVALUE(TEXT(GL_RAW!A579,"YYYY-MM-DD"))))</f>
        <v/>
      </c>
      <c r="C579" s="11">
        <f>IF(GL_RAW!A579="","",TRIM(GL_RAW!B579))</f>
        <v/>
      </c>
      <c r="D579" s="11">
        <f>IF(GL_RAW!A579="","",TRIM(GL_RAW!C579))</f>
        <v/>
      </c>
      <c r="E579" s="11">
        <f>IF(GL_RAW!A579="","",TRIM(GL_RAW!D579))</f>
        <v/>
      </c>
      <c r="F579" s="11">
        <f>IF(GL_RAW!A579="","",TRIM(GL_RAW!F579))</f>
        <v/>
      </c>
      <c r="G579" s="11">
        <f>IF(GL_RAW!A579="","",TRIM(GL_RAW!G579))</f>
        <v/>
      </c>
      <c r="H579" s="12">
        <f>IF(GL_RAW!A579="","",IFERROR(GL_RAW!E579,0))</f>
        <v/>
      </c>
      <c r="I579" s="12">
        <f>IF(GL_RAW!A579="","",ABS(H579))</f>
        <v/>
      </c>
      <c r="J579" s="11">
        <f>IF(GL_RAW!A579="","",IF(OR(ISNUMBER(SEARCH("Out",F579)),ISNUMBER(SEARCH("11025002",F579)),H579&lt;0),"OUT","IN"))</f>
        <v/>
      </c>
      <c r="K579" s="11" t="inlineStr"/>
    </row>
    <row r="580">
      <c r="A580" s="13">
        <f>IF(GL_RAW!A580="","",ROW()-1)</f>
        <v/>
      </c>
      <c r="B580" s="10">
        <f>IF(GL_RAW!A580="","",IF(ISNUMBER(GL_RAW!A580),GL_RAW!A580,DATEVALUE(TEXT(GL_RAW!A580,"YYYY-MM-DD"))))</f>
        <v/>
      </c>
      <c r="C580" s="11">
        <f>IF(GL_RAW!A580="","",TRIM(GL_RAW!B580))</f>
        <v/>
      </c>
      <c r="D580" s="11">
        <f>IF(GL_RAW!A580="","",TRIM(GL_RAW!C580))</f>
        <v/>
      </c>
      <c r="E580" s="11">
        <f>IF(GL_RAW!A580="","",TRIM(GL_RAW!D580))</f>
        <v/>
      </c>
      <c r="F580" s="11">
        <f>IF(GL_RAW!A580="","",TRIM(GL_RAW!F580))</f>
        <v/>
      </c>
      <c r="G580" s="11">
        <f>IF(GL_RAW!A580="","",TRIM(GL_RAW!G580))</f>
        <v/>
      </c>
      <c r="H580" s="12">
        <f>IF(GL_RAW!A580="","",IFERROR(GL_RAW!E580,0))</f>
        <v/>
      </c>
      <c r="I580" s="12">
        <f>IF(GL_RAW!A580="","",ABS(H580))</f>
        <v/>
      </c>
      <c r="J580" s="11">
        <f>IF(GL_RAW!A580="","",IF(OR(ISNUMBER(SEARCH("Out",F580)),ISNUMBER(SEARCH("11025002",F580)),H580&lt;0),"OUT","IN"))</f>
        <v/>
      </c>
      <c r="K580" s="11" t="inlineStr"/>
    </row>
    <row r="581">
      <c r="A581" s="13">
        <f>IF(GL_RAW!A581="","",ROW()-1)</f>
        <v/>
      </c>
      <c r="B581" s="10">
        <f>IF(GL_RAW!A581="","",IF(ISNUMBER(GL_RAW!A581),GL_RAW!A581,DATEVALUE(TEXT(GL_RAW!A581,"YYYY-MM-DD"))))</f>
        <v/>
      </c>
      <c r="C581" s="11">
        <f>IF(GL_RAW!A581="","",TRIM(GL_RAW!B581))</f>
        <v/>
      </c>
      <c r="D581" s="11">
        <f>IF(GL_RAW!A581="","",TRIM(GL_RAW!C581))</f>
        <v/>
      </c>
      <c r="E581" s="11">
        <f>IF(GL_RAW!A581="","",TRIM(GL_RAW!D581))</f>
        <v/>
      </c>
      <c r="F581" s="11">
        <f>IF(GL_RAW!A581="","",TRIM(GL_RAW!F581))</f>
        <v/>
      </c>
      <c r="G581" s="11">
        <f>IF(GL_RAW!A581="","",TRIM(GL_RAW!G581))</f>
        <v/>
      </c>
      <c r="H581" s="12">
        <f>IF(GL_RAW!A581="","",IFERROR(GL_RAW!E581,0))</f>
        <v/>
      </c>
      <c r="I581" s="12">
        <f>IF(GL_RAW!A581="","",ABS(H581))</f>
        <v/>
      </c>
      <c r="J581" s="11">
        <f>IF(GL_RAW!A581="","",IF(OR(ISNUMBER(SEARCH("Out",F581)),ISNUMBER(SEARCH("11025002",F581)),H581&lt;0),"OUT","IN"))</f>
        <v/>
      </c>
      <c r="K581" s="11" t="inlineStr"/>
    </row>
    <row r="582">
      <c r="A582" s="13">
        <f>IF(GL_RAW!A582="","",ROW()-1)</f>
        <v/>
      </c>
      <c r="B582" s="10">
        <f>IF(GL_RAW!A582="","",IF(ISNUMBER(GL_RAW!A582),GL_RAW!A582,DATEVALUE(TEXT(GL_RAW!A582,"YYYY-MM-DD"))))</f>
        <v/>
      </c>
      <c r="C582" s="11">
        <f>IF(GL_RAW!A582="","",TRIM(GL_RAW!B582))</f>
        <v/>
      </c>
      <c r="D582" s="11">
        <f>IF(GL_RAW!A582="","",TRIM(GL_RAW!C582))</f>
        <v/>
      </c>
      <c r="E582" s="11">
        <f>IF(GL_RAW!A582="","",TRIM(GL_RAW!D582))</f>
        <v/>
      </c>
      <c r="F582" s="11">
        <f>IF(GL_RAW!A582="","",TRIM(GL_RAW!F582))</f>
        <v/>
      </c>
      <c r="G582" s="11">
        <f>IF(GL_RAW!A582="","",TRIM(GL_RAW!G582))</f>
        <v/>
      </c>
      <c r="H582" s="12">
        <f>IF(GL_RAW!A582="","",IFERROR(GL_RAW!E582,0))</f>
        <v/>
      </c>
      <c r="I582" s="12">
        <f>IF(GL_RAW!A582="","",ABS(H582))</f>
        <v/>
      </c>
      <c r="J582" s="11">
        <f>IF(GL_RAW!A582="","",IF(OR(ISNUMBER(SEARCH("Out",F582)),ISNUMBER(SEARCH("11025002",F582)),H582&lt;0),"OUT","IN"))</f>
        <v/>
      </c>
      <c r="K582" s="11" t="inlineStr"/>
    </row>
    <row r="583">
      <c r="A583" s="13">
        <f>IF(GL_RAW!A583="","",ROW()-1)</f>
        <v/>
      </c>
      <c r="B583" s="10">
        <f>IF(GL_RAW!A583="","",IF(ISNUMBER(GL_RAW!A583),GL_RAW!A583,DATEVALUE(TEXT(GL_RAW!A583,"YYYY-MM-DD"))))</f>
        <v/>
      </c>
      <c r="C583" s="11">
        <f>IF(GL_RAW!A583="","",TRIM(GL_RAW!B583))</f>
        <v/>
      </c>
      <c r="D583" s="11">
        <f>IF(GL_RAW!A583="","",TRIM(GL_RAW!C583))</f>
        <v/>
      </c>
      <c r="E583" s="11">
        <f>IF(GL_RAW!A583="","",TRIM(GL_RAW!D583))</f>
        <v/>
      </c>
      <c r="F583" s="11">
        <f>IF(GL_RAW!A583="","",TRIM(GL_RAW!F583))</f>
        <v/>
      </c>
      <c r="G583" s="11">
        <f>IF(GL_RAW!A583="","",TRIM(GL_RAW!G583))</f>
        <v/>
      </c>
      <c r="H583" s="12">
        <f>IF(GL_RAW!A583="","",IFERROR(GL_RAW!E583,0))</f>
        <v/>
      </c>
      <c r="I583" s="12">
        <f>IF(GL_RAW!A583="","",ABS(H583))</f>
        <v/>
      </c>
      <c r="J583" s="11">
        <f>IF(GL_RAW!A583="","",IF(OR(ISNUMBER(SEARCH("Out",F583)),ISNUMBER(SEARCH("11025002",F583)),H583&lt;0),"OUT","IN"))</f>
        <v/>
      </c>
      <c r="K583" s="11" t="inlineStr"/>
    </row>
    <row r="584">
      <c r="A584" s="13">
        <f>IF(GL_RAW!A584="","",ROW()-1)</f>
        <v/>
      </c>
      <c r="B584" s="10">
        <f>IF(GL_RAW!A584="","",IF(ISNUMBER(GL_RAW!A584),GL_RAW!A584,DATEVALUE(TEXT(GL_RAW!A584,"YYYY-MM-DD"))))</f>
        <v/>
      </c>
      <c r="C584" s="11">
        <f>IF(GL_RAW!A584="","",TRIM(GL_RAW!B584))</f>
        <v/>
      </c>
      <c r="D584" s="11">
        <f>IF(GL_RAW!A584="","",TRIM(GL_RAW!C584))</f>
        <v/>
      </c>
      <c r="E584" s="11">
        <f>IF(GL_RAW!A584="","",TRIM(GL_RAW!D584))</f>
        <v/>
      </c>
      <c r="F584" s="11">
        <f>IF(GL_RAW!A584="","",TRIM(GL_RAW!F584))</f>
        <v/>
      </c>
      <c r="G584" s="11">
        <f>IF(GL_RAW!A584="","",TRIM(GL_RAW!G584))</f>
        <v/>
      </c>
      <c r="H584" s="12">
        <f>IF(GL_RAW!A584="","",IFERROR(GL_RAW!E584,0))</f>
        <v/>
      </c>
      <c r="I584" s="12">
        <f>IF(GL_RAW!A584="","",ABS(H584))</f>
        <v/>
      </c>
      <c r="J584" s="11">
        <f>IF(GL_RAW!A584="","",IF(OR(ISNUMBER(SEARCH("Out",F584)),ISNUMBER(SEARCH("11025002",F584)),H584&lt;0),"OUT","IN"))</f>
        <v/>
      </c>
      <c r="K584" s="11" t="inlineStr"/>
    </row>
    <row r="585">
      <c r="A585" s="13">
        <f>IF(GL_RAW!A585="","",ROW()-1)</f>
        <v/>
      </c>
      <c r="B585" s="10">
        <f>IF(GL_RAW!A585="","",IF(ISNUMBER(GL_RAW!A585),GL_RAW!A585,DATEVALUE(TEXT(GL_RAW!A585,"YYYY-MM-DD"))))</f>
        <v/>
      </c>
      <c r="C585" s="11">
        <f>IF(GL_RAW!A585="","",TRIM(GL_RAW!B585))</f>
        <v/>
      </c>
      <c r="D585" s="11">
        <f>IF(GL_RAW!A585="","",TRIM(GL_RAW!C585))</f>
        <v/>
      </c>
      <c r="E585" s="11">
        <f>IF(GL_RAW!A585="","",TRIM(GL_RAW!D585))</f>
        <v/>
      </c>
      <c r="F585" s="11">
        <f>IF(GL_RAW!A585="","",TRIM(GL_RAW!F585))</f>
        <v/>
      </c>
      <c r="G585" s="11">
        <f>IF(GL_RAW!A585="","",TRIM(GL_RAW!G585))</f>
        <v/>
      </c>
      <c r="H585" s="12">
        <f>IF(GL_RAW!A585="","",IFERROR(GL_RAW!E585,0))</f>
        <v/>
      </c>
      <c r="I585" s="12">
        <f>IF(GL_RAW!A585="","",ABS(H585))</f>
        <v/>
      </c>
      <c r="J585" s="11">
        <f>IF(GL_RAW!A585="","",IF(OR(ISNUMBER(SEARCH("Out",F585)),ISNUMBER(SEARCH("11025002",F585)),H585&lt;0),"OUT","IN"))</f>
        <v/>
      </c>
      <c r="K585" s="11" t="inlineStr"/>
    </row>
    <row r="586">
      <c r="A586" s="13">
        <f>IF(GL_RAW!A586="","",ROW()-1)</f>
        <v/>
      </c>
      <c r="B586" s="10">
        <f>IF(GL_RAW!A586="","",IF(ISNUMBER(GL_RAW!A586),GL_RAW!A586,DATEVALUE(TEXT(GL_RAW!A586,"YYYY-MM-DD"))))</f>
        <v/>
      </c>
      <c r="C586" s="11">
        <f>IF(GL_RAW!A586="","",TRIM(GL_RAW!B586))</f>
        <v/>
      </c>
      <c r="D586" s="11">
        <f>IF(GL_RAW!A586="","",TRIM(GL_RAW!C586))</f>
        <v/>
      </c>
      <c r="E586" s="11">
        <f>IF(GL_RAW!A586="","",TRIM(GL_RAW!D586))</f>
        <v/>
      </c>
      <c r="F586" s="11">
        <f>IF(GL_RAW!A586="","",TRIM(GL_RAW!F586))</f>
        <v/>
      </c>
      <c r="G586" s="11">
        <f>IF(GL_RAW!A586="","",TRIM(GL_RAW!G586))</f>
        <v/>
      </c>
      <c r="H586" s="12">
        <f>IF(GL_RAW!A586="","",IFERROR(GL_RAW!E586,0))</f>
        <v/>
      </c>
      <c r="I586" s="12">
        <f>IF(GL_RAW!A586="","",ABS(H586))</f>
        <v/>
      </c>
      <c r="J586" s="11">
        <f>IF(GL_RAW!A586="","",IF(OR(ISNUMBER(SEARCH("Out",F586)),ISNUMBER(SEARCH("11025002",F586)),H586&lt;0),"OUT","IN"))</f>
        <v/>
      </c>
      <c r="K586" s="11" t="inlineStr"/>
    </row>
    <row r="587">
      <c r="A587" s="13">
        <f>IF(GL_RAW!A587="","",ROW()-1)</f>
        <v/>
      </c>
      <c r="B587" s="10">
        <f>IF(GL_RAW!A587="","",IF(ISNUMBER(GL_RAW!A587),GL_RAW!A587,DATEVALUE(TEXT(GL_RAW!A587,"YYYY-MM-DD"))))</f>
        <v/>
      </c>
      <c r="C587" s="11">
        <f>IF(GL_RAW!A587="","",TRIM(GL_RAW!B587))</f>
        <v/>
      </c>
      <c r="D587" s="11">
        <f>IF(GL_RAW!A587="","",TRIM(GL_RAW!C587))</f>
        <v/>
      </c>
      <c r="E587" s="11">
        <f>IF(GL_RAW!A587="","",TRIM(GL_RAW!D587))</f>
        <v/>
      </c>
      <c r="F587" s="11">
        <f>IF(GL_RAW!A587="","",TRIM(GL_RAW!F587))</f>
        <v/>
      </c>
      <c r="G587" s="11">
        <f>IF(GL_RAW!A587="","",TRIM(GL_RAW!G587))</f>
        <v/>
      </c>
      <c r="H587" s="12">
        <f>IF(GL_RAW!A587="","",IFERROR(GL_RAW!E587,0))</f>
        <v/>
      </c>
      <c r="I587" s="12">
        <f>IF(GL_RAW!A587="","",ABS(H587))</f>
        <v/>
      </c>
      <c r="J587" s="11">
        <f>IF(GL_RAW!A587="","",IF(OR(ISNUMBER(SEARCH("Out",F587)),ISNUMBER(SEARCH("11025002",F587)),H587&lt;0),"OUT","IN"))</f>
        <v/>
      </c>
      <c r="K587" s="11" t="inlineStr"/>
    </row>
    <row r="588">
      <c r="A588" s="13">
        <f>IF(GL_RAW!A588="","",ROW()-1)</f>
        <v/>
      </c>
      <c r="B588" s="10">
        <f>IF(GL_RAW!A588="","",IF(ISNUMBER(GL_RAW!A588),GL_RAW!A588,DATEVALUE(TEXT(GL_RAW!A588,"YYYY-MM-DD"))))</f>
        <v/>
      </c>
      <c r="C588" s="11">
        <f>IF(GL_RAW!A588="","",TRIM(GL_RAW!B588))</f>
        <v/>
      </c>
      <c r="D588" s="11">
        <f>IF(GL_RAW!A588="","",TRIM(GL_RAW!C588))</f>
        <v/>
      </c>
      <c r="E588" s="11">
        <f>IF(GL_RAW!A588="","",TRIM(GL_RAW!D588))</f>
        <v/>
      </c>
      <c r="F588" s="11">
        <f>IF(GL_RAW!A588="","",TRIM(GL_RAW!F588))</f>
        <v/>
      </c>
      <c r="G588" s="11">
        <f>IF(GL_RAW!A588="","",TRIM(GL_RAW!G588))</f>
        <v/>
      </c>
      <c r="H588" s="12">
        <f>IF(GL_RAW!A588="","",IFERROR(GL_RAW!E588,0))</f>
        <v/>
      </c>
      <c r="I588" s="12">
        <f>IF(GL_RAW!A588="","",ABS(H588))</f>
        <v/>
      </c>
      <c r="J588" s="11">
        <f>IF(GL_RAW!A588="","",IF(OR(ISNUMBER(SEARCH("Out",F588)),ISNUMBER(SEARCH("11025002",F588)),H588&lt;0),"OUT","IN"))</f>
        <v/>
      </c>
      <c r="K588" s="11" t="inlineStr"/>
    </row>
    <row r="589">
      <c r="A589" s="13">
        <f>IF(GL_RAW!A589="","",ROW()-1)</f>
        <v/>
      </c>
      <c r="B589" s="10">
        <f>IF(GL_RAW!A589="","",IF(ISNUMBER(GL_RAW!A589),GL_RAW!A589,DATEVALUE(TEXT(GL_RAW!A589,"YYYY-MM-DD"))))</f>
        <v/>
      </c>
      <c r="C589" s="11">
        <f>IF(GL_RAW!A589="","",TRIM(GL_RAW!B589))</f>
        <v/>
      </c>
      <c r="D589" s="11">
        <f>IF(GL_RAW!A589="","",TRIM(GL_RAW!C589))</f>
        <v/>
      </c>
      <c r="E589" s="11">
        <f>IF(GL_RAW!A589="","",TRIM(GL_RAW!D589))</f>
        <v/>
      </c>
      <c r="F589" s="11">
        <f>IF(GL_RAW!A589="","",TRIM(GL_RAW!F589))</f>
        <v/>
      </c>
      <c r="G589" s="11">
        <f>IF(GL_RAW!A589="","",TRIM(GL_RAW!G589))</f>
        <v/>
      </c>
      <c r="H589" s="12">
        <f>IF(GL_RAW!A589="","",IFERROR(GL_RAW!E589,0))</f>
        <v/>
      </c>
      <c r="I589" s="12">
        <f>IF(GL_RAW!A589="","",ABS(H589))</f>
        <v/>
      </c>
      <c r="J589" s="11">
        <f>IF(GL_RAW!A589="","",IF(OR(ISNUMBER(SEARCH("Out",F589)),ISNUMBER(SEARCH("11025002",F589)),H589&lt;0),"OUT","IN"))</f>
        <v/>
      </c>
      <c r="K589" s="11" t="inlineStr"/>
    </row>
    <row r="590">
      <c r="A590" s="13">
        <f>IF(GL_RAW!A590="","",ROW()-1)</f>
        <v/>
      </c>
      <c r="B590" s="10">
        <f>IF(GL_RAW!A590="","",IF(ISNUMBER(GL_RAW!A590),GL_RAW!A590,DATEVALUE(TEXT(GL_RAW!A590,"YYYY-MM-DD"))))</f>
        <v/>
      </c>
      <c r="C590" s="11">
        <f>IF(GL_RAW!A590="","",TRIM(GL_RAW!B590))</f>
        <v/>
      </c>
      <c r="D590" s="11">
        <f>IF(GL_RAW!A590="","",TRIM(GL_RAW!C590))</f>
        <v/>
      </c>
      <c r="E590" s="11">
        <f>IF(GL_RAW!A590="","",TRIM(GL_RAW!D590))</f>
        <v/>
      </c>
      <c r="F590" s="11">
        <f>IF(GL_RAW!A590="","",TRIM(GL_RAW!F590))</f>
        <v/>
      </c>
      <c r="G590" s="11">
        <f>IF(GL_RAW!A590="","",TRIM(GL_RAW!G590))</f>
        <v/>
      </c>
      <c r="H590" s="12">
        <f>IF(GL_RAW!A590="","",IFERROR(GL_RAW!E590,0))</f>
        <v/>
      </c>
      <c r="I590" s="12">
        <f>IF(GL_RAW!A590="","",ABS(H590))</f>
        <v/>
      </c>
      <c r="J590" s="11">
        <f>IF(GL_RAW!A590="","",IF(OR(ISNUMBER(SEARCH("Out",F590)),ISNUMBER(SEARCH("11025002",F590)),H590&lt;0),"OUT","IN"))</f>
        <v/>
      </c>
      <c r="K590" s="11" t="inlineStr"/>
    </row>
    <row r="591">
      <c r="A591" s="13">
        <f>IF(GL_RAW!A591="","",ROW()-1)</f>
        <v/>
      </c>
      <c r="B591" s="10">
        <f>IF(GL_RAW!A591="","",IF(ISNUMBER(GL_RAW!A591),GL_RAW!A591,DATEVALUE(TEXT(GL_RAW!A591,"YYYY-MM-DD"))))</f>
        <v/>
      </c>
      <c r="C591" s="11">
        <f>IF(GL_RAW!A591="","",TRIM(GL_RAW!B591))</f>
        <v/>
      </c>
      <c r="D591" s="11">
        <f>IF(GL_RAW!A591="","",TRIM(GL_RAW!C591))</f>
        <v/>
      </c>
      <c r="E591" s="11">
        <f>IF(GL_RAW!A591="","",TRIM(GL_RAW!D591))</f>
        <v/>
      </c>
      <c r="F591" s="11">
        <f>IF(GL_RAW!A591="","",TRIM(GL_RAW!F591))</f>
        <v/>
      </c>
      <c r="G591" s="11">
        <f>IF(GL_RAW!A591="","",TRIM(GL_RAW!G591))</f>
        <v/>
      </c>
      <c r="H591" s="12">
        <f>IF(GL_RAW!A591="","",IFERROR(GL_RAW!E591,0))</f>
        <v/>
      </c>
      <c r="I591" s="12">
        <f>IF(GL_RAW!A591="","",ABS(H591))</f>
        <v/>
      </c>
      <c r="J591" s="11">
        <f>IF(GL_RAW!A591="","",IF(OR(ISNUMBER(SEARCH("Out",F591)),ISNUMBER(SEARCH("11025002",F591)),H591&lt;0),"OUT","IN"))</f>
        <v/>
      </c>
      <c r="K591" s="11" t="inlineStr"/>
    </row>
    <row r="592">
      <c r="A592" s="13">
        <f>IF(GL_RAW!A592="","",ROW()-1)</f>
        <v/>
      </c>
      <c r="B592" s="10">
        <f>IF(GL_RAW!A592="","",IF(ISNUMBER(GL_RAW!A592),GL_RAW!A592,DATEVALUE(TEXT(GL_RAW!A592,"YYYY-MM-DD"))))</f>
        <v/>
      </c>
      <c r="C592" s="11">
        <f>IF(GL_RAW!A592="","",TRIM(GL_RAW!B592))</f>
        <v/>
      </c>
      <c r="D592" s="11">
        <f>IF(GL_RAW!A592="","",TRIM(GL_RAW!C592))</f>
        <v/>
      </c>
      <c r="E592" s="11">
        <f>IF(GL_RAW!A592="","",TRIM(GL_RAW!D592))</f>
        <v/>
      </c>
      <c r="F592" s="11">
        <f>IF(GL_RAW!A592="","",TRIM(GL_RAW!F592))</f>
        <v/>
      </c>
      <c r="G592" s="11">
        <f>IF(GL_RAW!A592="","",TRIM(GL_RAW!G592))</f>
        <v/>
      </c>
      <c r="H592" s="12">
        <f>IF(GL_RAW!A592="","",IFERROR(GL_RAW!E592,0))</f>
        <v/>
      </c>
      <c r="I592" s="12">
        <f>IF(GL_RAW!A592="","",ABS(H592))</f>
        <v/>
      </c>
      <c r="J592" s="11">
        <f>IF(GL_RAW!A592="","",IF(OR(ISNUMBER(SEARCH("Out",F592)),ISNUMBER(SEARCH("11025002",F592)),H592&lt;0),"OUT","IN"))</f>
        <v/>
      </c>
      <c r="K592" s="11" t="inlineStr"/>
    </row>
    <row r="593">
      <c r="A593" s="13">
        <f>IF(GL_RAW!A593="","",ROW()-1)</f>
        <v/>
      </c>
      <c r="B593" s="10">
        <f>IF(GL_RAW!A593="","",IF(ISNUMBER(GL_RAW!A593),GL_RAW!A593,DATEVALUE(TEXT(GL_RAW!A593,"YYYY-MM-DD"))))</f>
        <v/>
      </c>
      <c r="C593" s="11">
        <f>IF(GL_RAW!A593="","",TRIM(GL_RAW!B593))</f>
        <v/>
      </c>
      <c r="D593" s="11">
        <f>IF(GL_RAW!A593="","",TRIM(GL_RAW!C593))</f>
        <v/>
      </c>
      <c r="E593" s="11">
        <f>IF(GL_RAW!A593="","",TRIM(GL_RAW!D593))</f>
        <v/>
      </c>
      <c r="F593" s="11">
        <f>IF(GL_RAW!A593="","",TRIM(GL_RAW!F593))</f>
        <v/>
      </c>
      <c r="G593" s="11">
        <f>IF(GL_RAW!A593="","",TRIM(GL_RAW!G593))</f>
        <v/>
      </c>
      <c r="H593" s="12">
        <f>IF(GL_RAW!A593="","",IFERROR(GL_RAW!E593,0))</f>
        <v/>
      </c>
      <c r="I593" s="12">
        <f>IF(GL_RAW!A593="","",ABS(H593))</f>
        <v/>
      </c>
      <c r="J593" s="11">
        <f>IF(GL_RAW!A593="","",IF(OR(ISNUMBER(SEARCH("Out",F593)),ISNUMBER(SEARCH("11025002",F593)),H593&lt;0),"OUT","IN"))</f>
        <v/>
      </c>
      <c r="K593" s="11" t="inlineStr"/>
    </row>
    <row r="594">
      <c r="A594" s="13">
        <f>IF(GL_RAW!A594="","",ROW()-1)</f>
        <v/>
      </c>
      <c r="B594" s="10">
        <f>IF(GL_RAW!A594="","",IF(ISNUMBER(GL_RAW!A594),GL_RAW!A594,DATEVALUE(TEXT(GL_RAW!A594,"YYYY-MM-DD"))))</f>
        <v/>
      </c>
      <c r="C594" s="11">
        <f>IF(GL_RAW!A594="","",TRIM(GL_RAW!B594))</f>
        <v/>
      </c>
      <c r="D594" s="11">
        <f>IF(GL_RAW!A594="","",TRIM(GL_RAW!C594))</f>
        <v/>
      </c>
      <c r="E594" s="11">
        <f>IF(GL_RAW!A594="","",TRIM(GL_RAW!D594))</f>
        <v/>
      </c>
      <c r="F594" s="11">
        <f>IF(GL_RAW!A594="","",TRIM(GL_RAW!F594))</f>
        <v/>
      </c>
      <c r="G594" s="11">
        <f>IF(GL_RAW!A594="","",TRIM(GL_RAW!G594))</f>
        <v/>
      </c>
      <c r="H594" s="12">
        <f>IF(GL_RAW!A594="","",IFERROR(GL_RAW!E594,0))</f>
        <v/>
      </c>
      <c r="I594" s="12">
        <f>IF(GL_RAW!A594="","",ABS(H594))</f>
        <v/>
      </c>
      <c r="J594" s="11">
        <f>IF(GL_RAW!A594="","",IF(OR(ISNUMBER(SEARCH("Out",F594)),ISNUMBER(SEARCH("11025002",F594)),H594&lt;0),"OUT","IN"))</f>
        <v/>
      </c>
      <c r="K594" s="11" t="inlineStr"/>
    </row>
    <row r="595">
      <c r="A595" s="13">
        <f>IF(GL_RAW!A595="","",ROW()-1)</f>
        <v/>
      </c>
      <c r="B595" s="10">
        <f>IF(GL_RAW!A595="","",IF(ISNUMBER(GL_RAW!A595),GL_RAW!A595,DATEVALUE(TEXT(GL_RAW!A595,"YYYY-MM-DD"))))</f>
        <v/>
      </c>
      <c r="C595" s="11">
        <f>IF(GL_RAW!A595="","",TRIM(GL_RAW!B595))</f>
        <v/>
      </c>
      <c r="D595" s="11">
        <f>IF(GL_RAW!A595="","",TRIM(GL_RAW!C595))</f>
        <v/>
      </c>
      <c r="E595" s="11">
        <f>IF(GL_RAW!A595="","",TRIM(GL_RAW!D595))</f>
        <v/>
      </c>
      <c r="F595" s="11">
        <f>IF(GL_RAW!A595="","",TRIM(GL_RAW!F595))</f>
        <v/>
      </c>
      <c r="G595" s="11">
        <f>IF(GL_RAW!A595="","",TRIM(GL_RAW!G595))</f>
        <v/>
      </c>
      <c r="H595" s="12">
        <f>IF(GL_RAW!A595="","",IFERROR(GL_RAW!E595,0))</f>
        <v/>
      </c>
      <c r="I595" s="12">
        <f>IF(GL_RAW!A595="","",ABS(H595))</f>
        <v/>
      </c>
      <c r="J595" s="11">
        <f>IF(GL_RAW!A595="","",IF(OR(ISNUMBER(SEARCH("Out",F595)),ISNUMBER(SEARCH("11025002",F595)),H595&lt;0),"OUT","IN"))</f>
        <v/>
      </c>
      <c r="K595" s="11" t="inlineStr"/>
    </row>
    <row r="596">
      <c r="A596" s="13">
        <f>IF(GL_RAW!A596="","",ROW()-1)</f>
        <v/>
      </c>
      <c r="B596" s="10">
        <f>IF(GL_RAW!A596="","",IF(ISNUMBER(GL_RAW!A596),GL_RAW!A596,DATEVALUE(TEXT(GL_RAW!A596,"YYYY-MM-DD"))))</f>
        <v/>
      </c>
      <c r="C596" s="11">
        <f>IF(GL_RAW!A596="","",TRIM(GL_RAW!B596))</f>
        <v/>
      </c>
      <c r="D596" s="11">
        <f>IF(GL_RAW!A596="","",TRIM(GL_RAW!C596))</f>
        <v/>
      </c>
      <c r="E596" s="11">
        <f>IF(GL_RAW!A596="","",TRIM(GL_RAW!D596))</f>
        <v/>
      </c>
      <c r="F596" s="11">
        <f>IF(GL_RAW!A596="","",TRIM(GL_RAW!F596))</f>
        <v/>
      </c>
      <c r="G596" s="11">
        <f>IF(GL_RAW!A596="","",TRIM(GL_RAW!G596))</f>
        <v/>
      </c>
      <c r="H596" s="12">
        <f>IF(GL_RAW!A596="","",IFERROR(GL_RAW!E596,0))</f>
        <v/>
      </c>
      <c r="I596" s="12">
        <f>IF(GL_RAW!A596="","",ABS(H596))</f>
        <v/>
      </c>
      <c r="J596" s="11">
        <f>IF(GL_RAW!A596="","",IF(OR(ISNUMBER(SEARCH("Out",F596)),ISNUMBER(SEARCH("11025002",F596)),H596&lt;0),"OUT","IN"))</f>
        <v/>
      </c>
      <c r="K596" s="11" t="inlineStr"/>
    </row>
    <row r="597">
      <c r="A597" s="13">
        <f>IF(GL_RAW!A597="","",ROW()-1)</f>
        <v/>
      </c>
      <c r="B597" s="10">
        <f>IF(GL_RAW!A597="","",IF(ISNUMBER(GL_RAW!A597),GL_RAW!A597,DATEVALUE(TEXT(GL_RAW!A597,"YYYY-MM-DD"))))</f>
        <v/>
      </c>
      <c r="C597" s="11">
        <f>IF(GL_RAW!A597="","",TRIM(GL_RAW!B597))</f>
        <v/>
      </c>
      <c r="D597" s="11">
        <f>IF(GL_RAW!A597="","",TRIM(GL_RAW!C597))</f>
        <v/>
      </c>
      <c r="E597" s="11">
        <f>IF(GL_RAW!A597="","",TRIM(GL_RAW!D597))</f>
        <v/>
      </c>
      <c r="F597" s="11">
        <f>IF(GL_RAW!A597="","",TRIM(GL_RAW!F597))</f>
        <v/>
      </c>
      <c r="G597" s="11">
        <f>IF(GL_RAW!A597="","",TRIM(GL_RAW!G597))</f>
        <v/>
      </c>
      <c r="H597" s="12">
        <f>IF(GL_RAW!A597="","",IFERROR(GL_RAW!E597,0))</f>
        <v/>
      </c>
      <c r="I597" s="12">
        <f>IF(GL_RAW!A597="","",ABS(H597))</f>
        <v/>
      </c>
      <c r="J597" s="11">
        <f>IF(GL_RAW!A597="","",IF(OR(ISNUMBER(SEARCH("Out",F597)),ISNUMBER(SEARCH("11025002",F597)),H597&lt;0),"OUT","IN"))</f>
        <v/>
      </c>
      <c r="K597" s="11" t="inlineStr"/>
    </row>
    <row r="598">
      <c r="A598" s="13">
        <f>IF(GL_RAW!A598="","",ROW()-1)</f>
        <v/>
      </c>
      <c r="B598" s="10">
        <f>IF(GL_RAW!A598="","",IF(ISNUMBER(GL_RAW!A598),GL_RAW!A598,DATEVALUE(TEXT(GL_RAW!A598,"YYYY-MM-DD"))))</f>
        <v/>
      </c>
      <c r="C598" s="11">
        <f>IF(GL_RAW!A598="","",TRIM(GL_RAW!B598))</f>
        <v/>
      </c>
      <c r="D598" s="11">
        <f>IF(GL_RAW!A598="","",TRIM(GL_RAW!C598))</f>
        <v/>
      </c>
      <c r="E598" s="11">
        <f>IF(GL_RAW!A598="","",TRIM(GL_RAW!D598))</f>
        <v/>
      </c>
      <c r="F598" s="11">
        <f>IF(GL_RAW!A598="","",TRIM(GL_RAW!F598))</f>
        <v/>
      </c>
      <c r="G598" s="11">
        <f>IF(GL_RAW!A598="","",TRIM(GL_RAW!G598))</f>
        <v/>
      </c>
      <c r="H598" s="12">
        <f>IF(GL_RAW!A598="","",IFERROR(GL_RAW!E598,0))</f>
        <v/>
      </c>
      <c r="I598" s="12">
        <f>IF(GL_RAW!A598="","",ABS(H598))</f>
        <v/>
      </c>
      <c r="J598" s="11">
        <f>IF(GL_RAW!A598="","",IF(OR(ISNUMBER(SEARCH("Out",F598)),ISNUMBER(SEARCH("11025002",F598)),H598&lt;0),"OUT","IN"))</f>
        <v/>
      </c>
      <c r="K598" s="11" t="inlineStr"/>
    </row>
    <row r="599">
      <c r="A599" s="13">
        <f>IF(GL_RAW!A599="","",ROW()-1)</f>
        <v/>
      </c>
      <c r="B599" s="10">
        <f>IF(GL_RAW!A599="","",IF(ISNUMBER(GL_RAW!A599),GL_RAW!A599,DATEVALUE(TEXT(GL_RAW!A599,"YYYY-MM-DD"))))</f>
        <v/>
      </c>
      <c r="C599" s="11">
        <f>IF(GL_RAW!A599="","",TRIM(GL_RAW!B599))</f>
        <v/>
      </c>
      <c r="D599" s="11">
        <f>IF(GL_RAW!A599="","",TRIM(GL_RAW!C599))</f>
        <v/>
      </c>
      <c r="E599" s="11">
        <f>IF(GL_RAW!A599="","",TRIM(GL_RAW!D599))</f>
        <v/>
      </c>
      <c r="F599" s="11">
        <f>IF(GL_RAW!A599="","",TRIM(GL_RAW!F599))</f>
        <v/>
      </c>
      <c r="G599" s="11">
        <f>IF(GL_RAW!A599="","",TRIM(GL_RAW!G599))</f>
        <v/>
      </c>
      <c r="H599" s="12">
        <f>IF(GL_RAW!A599="","",IFERROR(GL_RAW!E599,0))</f>
        <v/>
      </c>
      <c r="I599" s="12">
        <f>IF(GL_RAW!A599="","",ABS(H599))</f>
        <v/>
      </c>
      <c r="J599" s="11">
        <f>IF(GL_RAW!A599="","",IF(OR(ISNUMBER(SEARCH("Out",F599)),ISNUMBER(SEARCH("11025002",F599)),H599&lt;0),"OUT","IN"))</f>
        <v/>
      </c>
      <c r="K599" s="11" t="inlineStr"/>
    </row>
    <row r="600">
      <c r="A600" s="13">
        <f>IF(GL_RAW!A600="","",ROW()-1)</f>
        <v/>
      </c>
      <c r="B600" s="10">
        <f>IF(GL_RAW!A600="","",IF(ISNUMBER(GL_RAW!A600),GL_RAW!A600,DATEVALUE(TEXT(GL_RAW!A600,"YYYY-MM-DD"))))</f>
        <v/>
      </c>
      <c r="C600" s="11">
        <f>IF(GL_RAW!A600="","",TRIM(GL_RAW!B600))</f>
        <v/>
      </c>
      <c r="D600" s="11">
        <f>IF(GL_RAW!A600="","",TRIM(GL_RAW!C600))</f>
        <v/>
      </c>
      <c r="E600" s="11">
        <f>IF(GL_RAW!A600="","",TRIM(GL_RAW!D600))</f>
        <v/>
      </c>
      <c r="F600" s="11">
        <f>IF(GL_RAW!A600="","",TRIM(GL_RAW!F600))</f>
        <v/>
      </c>
      <c r="G600" s="11">
        <f>IF(GL_RAW!A600="","",TRIM(GL_RAW!G600))</f>
        <v/>
      </c>
      <c r="H600" s="12">
        <f>IF(GL_RAW!A600="","",IFERROR(GL_RAW!E600,0))</f>
        <v/>
      </c>
      <c r="I600" s="12">
        <f>IF(GL_RAW!A600="","",ABS(H600))</f>
        <v/>
      </c>
      <c r="J600" s="11">
        <f>IF(GL_RAW!A600="","",IF(OR(ISNUMBER(SEARCH("Out",F600)),ISNUMBER(SEARCH("11025002",F600)),H600&lt;0),"OUT","IN"))</f>
        <v/>
      </c>
      <c r="K600" s="11" t="inlineStr"/>
    </row>
    <row r="601">
      <c r="A601" s="13">
        <f>IF(GL_RAW!A601="","",ROW()-1)</f>
        <v/>
      </c>
      <c r="B601" s="10">
        <f>IF(GL_RAW!A601="","",IF(ISNUMBER(GL_RAW!A601),GL_RAW!A601,DATEVALUE(TEXT(GL_RAW!A601,"YYYY-MM-DD"))))</f>
        <v/>
      </c>
      <c r="C601" s="11">
        <f>IF(GL_RAW!A601="","",TRIM(GL_RAW!B601))</f>
        <v/>
      </c>
      <c r="D601" s="11">
        <f>IF(GL_RAW!A601="","",TRIM(GL_RAW!C601))</f>
        <v/>
      </c>
      <c r="E601" s="11">
        <f>IF(GL_RAW!A601="","",TRIM(GL_RAW!D601))</f>
        <v/>
      </c>
      <c r="F601" s="11">
        <f>IF(GL_RAW!A601="","",TRIM(GL_RAW!F601))</f>
        <v/>
      </c>
      <c r="G601" s="11">
        <f>IF(GL_RAW!A601="","",TRIM(GL_RAW!G601))</f>
        <v/>
      </c>
      <c r="H601" s="12">
        <f>IF(GL_RAW!A601="","",IFERROR(GL_RAW!E601,0))</f>
        <v/>
      </c>
      <c r="I601" s="12">
        <f>IF(GL_RAW!A601="","",ABS(H601))</f>
        <v/>
      </c>
      <c r="J601" s="11">
        <f>IF(GL_RAW!A601="","",IF(OR(ISNUMBER(SEARCH("Out",F601)),ISNUMBER(SEARCH("11025002",F601)),H601&lt;0),"OUT","IN"))</f>
        <v/>
      </c>
      <c r="K601" s="11" t="inlineStr"/>
    </row>
    <row r="602">
      <c r="A602" s="13">
        <f>IF(GL_RAW!A602="","",ROW()-1)</f>
        <v/>
      </c>
      <c r="B602" s="10">
        <f>IF(GL_RAW!A602="","",IF(ISNUMBER(GL_RAW!A602),GL_RAW!A602,DATEVALUE(TEXT(GL_RAW!A602,"YYYY-MM-DD"))))</f>
        <v/>
      </c>
      <c r="C602" s="11">
        <f>IF(GL_RAW!A602="","",TRIM(GL_RAW!B602))</f>
        <v/>
      </c>
      <c r="D602" s="11">
        <f>IF(GL_RAW!A602="","",TRIM(GL_RAW!C602))</f>
        <v/>
      </c>
      <c r="E602" s="11">
        <f>IF(GL_RAW!A602="","",TRIM(GL_RAW!D602))</f>
        <v/>
      </c>
      <c r="F602" s="11">
        <f>IF(GL_RAW!A602="","",TRIM(GL_RAW!F602))</f>
        <v/>
      </c>
      <c r="G602" s="11">
        <f>IF(GL_RAW!A602="","",TRIM(GL_RAW!G602))</f>
        <v/>
      </c>
      <c r="H602" s="12">
        <f>IF(GL_RAW!A602="","",IFERROR(GL_RAW!E602,0))</f>
        <v/>
      </c>
      <c r="I602" s="12">
        <f>IF(GL_RAW!A602="","",ABS(H602))</f>
        <v/>
      </c>
      <c r="J602" s="11">
        <f>IF(GL_RAW!A602="","",IF(OR(ISNUMBER(SEARCH("Out",F602)),ISNUMBER(SEARCH("11025002",F602)),H602&lt;0),"OUT","IN"))</f>
        <v/>
      </c>
      <c r="K602" s="11" t="inlineStr"/>
    </row>
    <row r="603">
      <c r="A603" s="13">
        <f>IF(GL_RAW!A603="","",ROW()-1)</f>
        <v/>
      </c>
      <c r="B603" s="10">
        <f>IF(GL_RAW!A603="","",IF(ISNUMBER(GL_RAW!A603),GL_RAW!A603,DATEVALUE(TEXT(GL_RAW!A603,"YYYY-MM-DD"))))</f>
        <v/>
      </c>
      <c r="C603" s="11">
        <f>IF(GL_RAW!A603="","",TRIM(GL_RAW!B603))</f>
        <v/>
      </c>
      <c r="D603" s="11">
        <f>IF(GL_RAW!A603="","",TRIM(GL_RAW!C603))</f>
        <v/>
      </c>
      <c r="E603" s="11">
        <f>IF(GL_RAW!A603="","",TRIM(GL_RAW!D603))</f>
        <v/>
      </c>
      <c r="F603" s="11">
        <f>IF(GL_RAW!A603="","",TRIM(GL_RAW!F603))</f>
        <v/>
      </c>
      <c r="G603" s="11">
        <f>IF(GL_RAW!A603="","",TRIM(GL_RAW!G603))</f>
        <v/>
      </c>
      <c r="H603" s="12">
        <f>IF(GL_RAW!A603="","",IFERROR(GL_RAW!E603,0))</f>
        <v/>
      </c>
      <c r="I603" s="12">
        <f>IF(GL_RAW!A603="","",ABS(H603))</f>
        <v/>
      </c>
      <c r="J603" s="11">
        <f>IF(GL_RAW!A603="","",IF(OR(ISNUMBER(SEARCH("Out",F603)),ISNUMBER(SEARCH("11025002",F603)),H603&lt;0),"OUT","IN"))</f>
        <v/>
      </c>
      <c r="K603" s="11" t="inlineStr"/>
    </row>
    <row r="604">
      <c r="A604" s="13">
        <f>IF(GL_RAW!A604="","",ROW()-1)</f>
        <v/>
      </c>
      <c r="B604" s="10">
        <f>IF(GL_RAW!A604="","",IF(ISNUMBER(GL_RAW!A604),GL_RAW!A604,DATEVALUE(TEXT(GL_RAW!A604,"YYYY-MM-DD"))))</f>
        <v/>
      </c>
      <c r="C604" s="11">
        <f>IF(GL_RAW!A604="","",TRIM(GL_RAW!B604))</f>
        <v/>
      </c>
      <c r="D604" s="11">
        <f>IF(GL_RAW!A604="","",TRIM(GL_RAW!C604))</f>
        <v/>
      </c>
      <c r="E604" s="11">
        <f>IF(GL_RAW!A604="","",TRIM(GL_RAW!D604))</f>
        <v/>
      </c>
      <c r="F604" s="11">
        <f>IF(GL_RAW!A604="","",TRIM(GL_RAW!F604))</f>
        <v/>
      </c>
      <c r="G604" s="11">
        <f>IF(GL_RAW!A604="","",TRIM(GL_RAW!G604))</f>
        <v/>
      </c>
      <c r="H604" s="12">
        <f>IF(GL_RAW!A604="","",IFERROR(GL_RAW!E604,0))</f>
        <v/>
      </c>
      <c r="I604" s="12">
        <f>IF(GL_RAW!A604="","",ABS(H604))</f>
        <v/>
      </c>
      <c r="J604" s="11">
        <f>IF(GL_RAW!A604="","",IF(OR(ISNUMBER(SEARCH("Out",F604)),ISNUMBER(SEARCH("11025002",F604)),H604&lt;0),"OUT","IN"))</f>
        <v/>
      </c>
      <c r="K604" s="11" t="inlineStr"/>
    </row>
    <row r="605">
      <c r="A605" s="13">
        <f>IF(GL_RAW!A605="","",ROW()-1)</f>
        <v/>
      </c>
      <c r="B605" s="10">
        <f>IF(GL_RAW!A605="","",IF(ISNUMBER(GL_RAW!A605),GL_RAW!A605,DATEVALUE(TEXT(GL_RAW!A605,"YYYY-MM-DD"))))</f>
        <v/>
      </c>
      <c r="C605" s="11">
        <f>IF(GL_RAW!A605="","",TRIM(GL_RAW!B605))</f>
        <v/>
      </c>
      <c r="D605" s="11">
        <f>IF(GL_RAW!A605="","",TRIM(GL_RAW!C605))</f>
        <v/>
      </c>
      <c r="E605" s="11">
        <f>IF(GL_RAW!A605="","",TRIM(GL_RAW!D605))</f>
        <v/>
      </c>
      <c r="F605" s="11">
        <f>IF(GL_RAW!A605="","",TRIM(GL_RAW!F605))</f>
        <v/>
      </c>
      <c r="G605" s="11">
        <f>IF(GL_RAW!A605="","",TRIM(GL_RAW!G605))</f>
        <v/>
      </c>
      <c r="H605" s="12">
        <f>IF(GL_RAW!A605="","",IFERROR(GL_RAW!E605,0))</f>
        <v/>
      </c>
      <c r="I605" s="12">
        <f>IF(GL_RAW!A605="","",ABS(H605))</f>
        <v/>
      </c>
      <c r="J605" s="11">
        <f>IF(GL_RAW!A605="","",IF(OR(ISNUMBER(SEARCH("Out",F605)),ISNUMBER(SEARCH("11025002",F605)),H605&lt;0),"OUT","IN"))</f>
        <v/>
      </c>
      <c r="K605" s="11" t="inlineStr"/>
    </row>
    <row r="606">
      <c r="A606" s="13">
        <f>IF(GL_RAW!A606="","",ROW()-1)</f>
        <v/>
      </c>
      <c r="B606" s="10">
        <f>IF(GL_RAW!A606="","",IF(ISNUMBER(GL_RAW!A606),GL_RAW!A606,DATEVALUE(TEXT(GL_RAW!A606,"YYYY-MM-DD"))))</f>
        <v/>
      </c>
      <c r="C606" s="11">
        <f>IF(GL_RAW!A606="","",TRIM(GL_RAW!B606))</f>
        <v/>
      </c>
      <c r="D606" s="11">
        <f>IF(GL_RAW!A606="","",TRIM(GL_RAW!C606))</f>
        <v/>
      </c>
      <c r="E606" s="11">
        <f>IF(GL_RAW!A606="","",TRIM(GL_RAW!D606))</f>
        <v/>
      </c>
      <c r="F606" s="11">
        <f>IF(GL_RAW!A606="","",TRIM(GL_RAW!F606))</f>
        <v/>
      </c>
      <c r="G606" s="11">
        <f>IF(GL_RAW!A606="","",TRIM(GL_RAW!G606))</f>
        <v/>
      </c>
      <c r="H606" s="12">
        <f>IF(GL_RAW!A606="","",IFERROR(GL_RAW!E606,0))</f>
        <v/>
      </c>
      <c r="I606" s="12">
        <f>IF(GL_RAW!A606="","",ABS(H606))</f>
        <v/>
      </c>
      <c r="J606" s="11">
        <f>IF(GL_RAW!A606="","",IF(OR(ISNUMBER(SEARCH("Out",F606)),ISNUMBER(SEARCH("11025002",F606)),H606&lt;0),"OUT","IN"))</f>
        <v/>
      </c>
      <c r="K606" s="11" t="inlineStr"/>
    </row>
    <row r="607">
      <c r="A607" s="13">
        <f>IF(GL_RAW!A607="","",ROW()-1)</f>
        <v/>
      </c>
      <c r="B607" s="10">
        <f>IF(GL_RAW!A607="","",IF(ISNUMBER(GL_RAW!A607),GL_RAW!A607,DATEVALUE(TEXT(GL_RAW!A607,"YYYY-MM-DD"))))</f>
        <v/>
      </c>
      <c r="C607" s="11">
        <f>IF(GL_RAW!A607="","",TRIM(GL_RAW!B607))</f>
        <v/>
      </c>
      <c r="D607" s="11">
        <f>IF(GL_RAW!A607="","",TRIM(GL_RAW!C607))</f>
        <v/>
      </c>
      <c r="E607" s="11">
        <f>IF(GL_RAW!A607="","",TRIM(GL_RAW!D607))</f>
        <v/>
      </c>
      <c r="F607" s="11">
        <f>IF(GL_RAW!A607="","",TRIM(GL_RAW!F607))</f>
        <v/>
      </c>
      <c r="G607" s="11">
        <f>IF(GL_RAW!A607="","",TRIM(GL_RAW!G607))</f>
        <v/>
      </c>
      <c r="H607" s="12">
        <f>IF(GL_RAW!A607="","",IFERROR(GL_RAW!E607,0))</f>
        <v/>
      </c>
      <c r="I607" s="12">
        <f>IF(GL_RAW!A607="","",ABS(H607))</f>
        <v/>
      </c>
      <c r="J607" s="11">
        <f>IF(GL_RAW!A607="","",IF(OR(ISNUMBER(SEARCH("Out",F607)),ISNUMBER(SEARCH("11025002",F607)),H607&lt;0),"OUT","IN"))</f>
        <v/>
      </c>
      <c r="K607" s="11" t="inlineStr"/>
    </row>
    <row r="608">
      <c r="A608" s="13">
        <f>IF(GL_RAW!A608="","",ROW()-1)</f>
        <v/>
      </c>
      <c r="B608" s="10">
        <f>IF(GL_RAW!A608="","",IF(ISNUMBER(GL_RAW!A608),GL_RAW!A608,DATEVALUE(TEXT(GL_RAW!A608,"YYYY-MM-DD"))))</f>
        <v/>
      </c>
      <c r="C608" s="11">
        <f>IF(GL_RAW!A608="","",TRIM(GL_RAW!B608))</f>
        <v/>
      </c>
      <c r="D608" s="11">
        <f>IF(GL_RAW!A608="","",TRIM(GL_RAW!C608))</f>
        <v/>
      </c>
      <c r="E608" s="11">
        <f>IF(GL_RAW!A608="","",TRIM(GL_RAW!D608))</f>
        <v/>
      </c>
      <c r="F608" s="11">
        <f>IF(GL_RAW!A608="","",TRIM(GL_RAW!F608))</f>
        <v/>
      </c>
      <c r="G608" s="11">
        <f>IF(GL_RAW!A608="","",TRIM(GL_RAW!G608))</f>
        <v/>
      </c>
      <c r="H608" s="12">
        <f>IF(GL_RAW!A608="","",IFERROR(GL_RAW!E608,0))</f>
        <v/>
      </c>
      <c r="I608" s="12">
        <f>IF(GL_RAW!A608="","",ABS(H608))</f>
        <v/>
      </c>
      <c r="J608" s="11">
        <f>IF(GL_RAW!A608="","",IF(OR(ISNUMBER(SEARCH("Out",F608)),ISNUMBER(SEARCH("11025002",F608)),H608&lt;0),"OUT","IN"))</f>
        <v/>
      </c>
      <c r="K608" s="11" t="inlineStr"/>
    </row>
    <row r="609">
      <c r="A609" s="13">
        <f>IF(GL_RAW!A609="","",ROW()-1)</f>
        <v/>
      </c>
      <c r="B609" s="10">
        <f>IF(GL_RAW!A609="","",IF(ISNUMBER(GL_RAW!A609),GL_RAW!A609,DATEVALUE(TEXT(GL_RAW!A609,"YYYY-MM-DD"))))</f>
        <v/>
      </c>
      <c r="C609" s="11">
        <f>IF(GL_RAW!A609="","",TRIM(GL_RAW!B609))</f>
        <v/>
      </c>
      <c r="D609" s="11">
        <f>IF(GL_RAW!A609="","",TRIM(GL_RAW!C609))</f>
        <v/>
      </c>
      <c r="E609" s="11">
        <f>IF(GL_RAW!A609="","",TRIM(GL_RAW!D609))</f>
        <v/>
      </c>
      <c r="F609" s="11">
        <f>IF(GL_RAW!A609="","",TRIM(GL_RAW!F609))</f>
        <v/>
      </c>
      <c r="G609" s="11">
        <f>IF(GL_RAW!A609="","",TRIM(GL_RAW!G609))</f>
        <v/>
      </c>
      <c r="H609" s="12">
        <f>IF(GL_RAW!A609="","",IFERROR(GL_RAW!E609,0))</f>
        <v/>
      </c>
      <c r="I609" s="12">
        <f>IF(GL_RAW!A609="","",ABS(H609))</f>
        <v/>
      </c>
      <c r="J609" s="11">
        <f>IF(GL_RAW!A609="","",IF(OR(ISNUMBER(SEARCH("Out",F609)),ISNUMBER(SEARCH("11025002",F609)),H609&lt;0),"OUT","IN"))</f>
        <v/>
      </c>
      <c r="K609" s="11" t="inlineStr"/>
    </row>
    <row r="610">
      <c r="A610" s="13">
        <f>IF(GL_RAW!A610="","",ROW()-1)</f>
        <v/>
      </c>
      <c r="B610" s="10">
        <f>IF(GL_RAW!A610="","",IF(ISNUMBER(GL_RAW!A610),GL_RAW!A610,DATEVALUE(TEXT(GL_RAW!A610,"YYYY-MM-DD"))))</f>
        <v/>
      </c>
      <c r="C610" s="11">
        <f>IF(GL_RAW!A610="","",TRIM(GL_RAW!B610))</f>
        <v/>
      </c>
      <c r="D610" s="11">
        <f>IF(GL_RAW!A610="","",TRIM(GL_RAW!C610))</f>
        <v/>
      </c>
      <c r="E610" s="11">
        <f>IF(GL_RAW!A610="","",TRIM(GL_RAW!D610))</f>
        <v/>
      </c>
      <c r="F610" s="11">
        <f>IF(GL_RAW!A610="","",TRIM(GL_RAW!F610))</f>
        <v/>
      </c>
      <c r="G610" s="11">
        <f>IF(GL_RAW!A610="","",TRIM(GL_RAW!G610))</f>
        <v/>
      </c>
      <c r="H610" s="12">
        <f>IF(GL_RAW!A610="","",IFERROR(GL_RAW!E610,0))</f>
        <v/>
      </c>
      <c r="I610" s="12">
        <f>IF(GL_RAW!A610="","",ABS(H610))</f>
        <v/>
      </c>
      <c r="J610" s="11">
        <f>IF(GL_RAW!A610="","",IF(OR(ISNUMBER(SEARCH("Out",F610)),ISNUMBER(SEARCH("11025002",F610)),H610&lt;0),"OUT","IN"))</f>
        <v/>
      </c>
      <c r="K610" s="11" t="inlineStr"/>
    </row>
    <row r="611">
      <c r="A611" s="13">
        <f>IF(GL_RAW!A611="","",ROW()-1)</f>
        <v/>
      </c>
      <c r="B611" s="10">
        <f>IF(GL_RAW!A611="","",IF(ISNUMBER(GL_RAW!A611),GL_RAW!A611,DATEVALUE(TEXT(GL_RAW!A611,"YYYY-MM-DD"))))</f>
        <v/>
      </c>
      <c r="C611" s="11">
        <f>IF(GL_RAW!A611="","",TRIM(GL_RAW!B611))</f>
        <v/>
      </c>
      <c r="D611" s="11">
        <f>IF(GL_RAW!A611="","",TRIM(GL_RAW!C611))</f>
        <v/>
      </c>
      <c r="E611" s="11">
        <f>IF(GL_RAW!A611="","",TRIM(GL_RAW!D611))</f>
        <v/>
      </c>
      <c r="F611" s="11">
        <f>IF(GL_RAW!A611="","",TRIM(GL_RAW!F611))</f>
        <v/>
      </c>
      <c r="G611" s="11">
        <f>IF(GL_RAW!A611="","",TRIM(GL_RAW!G611))</f>
        <v/>
      </c>
      <c r="H611" s="12">
        <f>IF(GL_RAW!A611="","",IFERROR(GL_RAW!E611,0))</f>
        <v/>
      </c>
      <c r="I611" s="12">
        <f>IF(GL_RAW!A611="","",ABS(H611))</f>
        <v/>
      </c>
      <c r="J611" s="11">
        <f>IF(GL_RAW!A611="","",IF(OR(ISNUMBER(SEARCH("Out",F611)),ISNUMBER(SEARCH("11025002",F611)),H611&lt;0),"OUT","IN"))</f>
        <v/>
      </c>
      <c r="K611" s="11" t="inlineStr"/>
    </row>
    <row r="612">
      <c r="A612" s="13">
        <f>IF(GL_RAW!A612="","",ROW()-1)</f>
        <v/>
      </c>
      <c r="B612" s="10">
        <f>IF(GL_RAW!A612="","",IF(ISNUMBER(GL_RAW!A612),GL_RAW!A612,DATEVALUE(TEXT(GL_RAW!A612,"YYYY-MM-DD"))))</f>
        <v/>
      </c>
      <c r="C612" s="11">
        <f>IF(GL_RAW!A612="","",TRIM(GL_RAW!B612))</f>
        <v/>
      </c>
      <c r="D612" s="11">
        <f>IF(GL_RAW!A612="","",TRIM(GL_RAW!C612))</f>
        <v/>
      </c>
      <c r="E612" s="11">
        <f>IF(GL_RAW!A612="","",TRIM(GL_RAW!D612))</f>
        <v/>
      </c>
      <c r="F612" s="11">
        <f>IF(GL_RAW!A612="","",TRIM(GL_RAW!F612))</f>
        <v/>
      </c>
      <c r="G612" s="11">
        <f>IF(GL_RAW!A612="","",TRIM(GL_RAW!G612))</f>
        <v/>
      </c>
      <c r="H612" s="12">
        <f>IF(GL_RAW!A612="","",IFERROR(GL_RAW!E612,0))</f>
        <v/>
      </c>
      <c r="I612" s="12">
        <f>IF(GL_RAW!A612="","",ABS(H612))</f>
        <v/>
      </c>
      <c r="J612" s="11">
        <f>IF(GL_RAW!A612="","",IF(OR(ISNUMBER(SEARCH("Out",F612)),ISNUMBER(SEARCH("11025002",F612)),H612&lt;0),"OUT","IN"))</f>
        <v/>
      </c>
      <c r="K612" s="11" t="inlineStr"/>
    </row>
    <row r="613">
      <c r="A613" s="13">
        <f>IF(GL_RAW!A613="","",ROW()-1)</f>
        <v/>
      </c>
      <c r="B613" s="10">
        <f>IF(GL_RAW!A613="","",IF(ISNUMBER(GL_RAW!A613),GL_RAW!A613,DATEVALUE(TEXT(GL_RAW!A613,"YYYY-MM-DD"))))</f>
        <v/>
      </c>
      <c r="C613" s="11">
        <f>IF(GL_RAW!A613="","",TRIM(GL_RAW!B613))</f>
        <v/>
      </c>
      <c r="D613" s="11">
        <f>IF(GL_RAW!A613="","",TRIM(GL_RAW!C613))</f>
        <v/>
      </c>
      <c r="E613" s="11">
        <f>IF(GL_RAW!A613="","",TRIM(GL_RAW!D613))</f>
        <v/>
      </c>
      <c r="F613" s="11">
        <f>IF(GL_RAW!A613="","",TRIM(GL_RAW!F613))</f>
        <v/>
      </c>
      <c r="G613" s="11">
        <f>IF(GL_RAW!A613="","",TRIM(GL_RAW!G613))</f>
        <v/>
      </c>
      <c r="H613" s="12">
        <f>IF(GL_RAW!A613="","",IFERROR(GL_RAW!E613,0))</f>
        <v/>
      </c>
      <c r="I613" s="12">
        <f>IF(GL_RAW!A613="","",ABS(H613))</f>
        <v/>
      </c>
      <c r="J613" s="11">
        <f>IF(GL_RAW!A613="","",IF(OR(ISNUMBER(SEARCH("Out",F613)),ISNUMBER(SEARCH("11025002",F613)),H613&lt;0),"OUT","IN"))</f>
        <v/>
      </c>
      <c r="K613" s="11" t="inlineStr"/>
    </row>
    <row r="614">
      <c r="A614" s="13">
        <f>IF(GL_RAW!A614="","",ROW()-1)</f>
        <v/>
      </c>
      <c r="B614" s="10">
        <f>IF(GL_RAW!A614="","",IF(ISNUMBER(GL_RAW!A614),GL_RAW!A614,DATEVALUE(TEXT(GL_RAW!A614,"YYYY-MM-DD"))))</f>
        <v/>
      </c>
      <c r="C614" s="11">
        <f>IF(GL_RAW!A614="","",TRIM(GL_RAW!B614))</f>
        <v/>
      </c>
      <c r="D614" s="11">
        <f>IF(GL_RAW!A614="","",TRIM(GL_RAW!C614))</f>
        <v/>
      </c>
      <c r="E614" s="11">
        <f>IF(GL_RAW!A614="","",TRIM(GL_RAW!D614))</f>
        <v/>
      </c>
      <c r="F614" s="11">
        <f>IF(GL_RAW!A614="","",TRIM(GL_RAW!F614))</f>
        <v/>
      </c>
      <c r="G614" s="11">
        <f>IF(GL_RAW!A614="","",TRIM(GL_RAW!G614))</f>
        <v/>
      </c>
      <c r="H614" s="12">
        <f>IF(GL_RAW!A614="","",IFERROR(GL_RAW!E614,0))</f>
        <v/>
      </c>
      <c r="I614" s="12">
        <f>IF(GL_RAW!A614="","",ABS(H614))</f>
        <v/>
      </c>
      <c r="J614" s="11">
        <f>IF(GL_RAW!A614="","",IF(OR(ISNUMBER(SEARCH("Out",F614)),ISNUMBER(SEARCH("11025002",F614)),H614&lt;0),"OUT","IN"))</f>
        <v/>
      </c>
      <c r="K614" s="11" t="inlineStr"/>
    </row>
    <row r="615">
      <c r="A615" s="13">
        <f>IF(GL_RAW!A615="","",ROW()-1)</f>
        <v/>
      </c>
      <c r="B615" s="10">
        <f>IF(GL_RAW!A615="","",IF(ISNUMBER(GL_RAW!A615),GL_RAW!A615,DATEVALUE(TEXT(GL_RAW!A615,"YYYY-MM-DD"))))</f>
        <v/>
      </c>
      <c r="C615" s="11">
        <f>IF(GL_RAW!A615="","",TRIM(GL_RAW!B615))</f>
        <v/>
      </c>
      <c r="D615" s="11">
        <f>IF(GL_RAW!A615="","",TRIM(GL_RAW!C615))</f>
        <v/>
      </c>
      <c r="E615" s="11">
        <f>IF(GL_RAW!A615="","",TRIM(GL_RAW!D615))</f>
        <v/>
      </c>
      <c r="F615" s="11">
        <f>IF(GL_RAW!A615="","",TRIM(GL_RAW!F615))</f>
        <v/>
      </c>
      <c r="G615" s="11">
        <f>IF(GL_RAW!A615="","",TRIM(GL_RAW!G615))</f>
        <v/>
      </c>
      <c r="H615" s="12">
        <f>IF(GL_RAW!A615="","",IFERROR(GL_RAW!E615,0))</f>
        <v/>
      </c>
      <c r="I615" s="12">
        <f>IF(GL_RAW!A615="","",ABS(H615))</f>
        <v/>
      </c>
      <c r="J615" s="11">
        <f>IF(GL_RAW!A615="","",IF(OR(ISNUMBER(SEARCH("Out",F615)),ISNUMBER(SEARCH("11025002",F615)),H615&lt;0),"OUT","IN"))</f>
        <v/>
      </c>
      <c r="K615" s="11" t="inlineStr"/>
    </row>
    <row r="616">
      <c r="A616" s="13">
        <f>IF(GL_RAW!A616="","",ROW()-1)</f>
        <v/>
      </c>
      <c r="B616" s="10">
        <f>IF(GL_RAW!A616="","",IF(ISNUMBER(GL_RAW!A616),GL_RAW!A616,DATEVALUE(TEXT(GL_RAW!A616,"YYYY-MM-DD"))))</f>
        <v/>
      </c>
      <c r="C616" s="11">
        <f>IF(GL_RAW!A616="","",TRIM(GL_RAW!B616))</f>
        <v/>
      </c>
      <c r="D616" s="11">
        <f>IF(GL_RAW!A616="","",TRIM(GL_RAW!C616))</f>
        <v/>
      </c>
      <c r="E616" s="11">
        <f>IF(GL_RAW!A616="","",TRIM(GL_RAW!D616))</f>
        <v/>
      </c>
      <c r="F616" s="11">
        <f>IF(GL_RAW!A616="","",TRIM(GL_RAW!F616))</f>
        <v/>
      </c>
      <c r="G616" s="11">
        <f>IF(GL_RAW!A616="","",TRIM(GL_RAW!G616))</f>
        <v/>
      </c>
      <c r="H616" s="12">
        <f>IF(GL_RAW!A616="","",IFERROR(GL_RAW!E616,0))</f>
        <v/>
      </c>
      <c r="I616" s="12">
        <f>IF(GL_RAW!A616="","",ABS(H616))</f>
        <v/>
      </c>
      <c r="J616" s="11">
        <f>IF(GL_RAW!A616="","",IF(OR(ISNUMBER(SEARCH("Out",F616)),ISNUMBER(SEARCH("11025002",F616)),H616&lt;0),"OUT","IN"))</f>
        <v/>
      </c>
      <c r="K616" s="11" t="inlineStr"/>
    </row>
    <row r="617">
      <c r="A617" s="13">
        <f>IF(GL_RAW!A617="","",ROW()-1)</f>
        <v/>
      </c>
      <c r="B617" s="10">
        <f>IF(GL_RAW!A617="","",IF(ISNUMBER(GL_RAW!A617),GL_RAW!A617,DATEVALUE(TEXT(GL_RAW!A617,"YYYY-MM-DD"))))</f>
        <v/>
      </c>
      <c r="C617" s="11">
        <f>IF(GL_RAW!A617="","",TRIM(GL_RAW!B617))</f>
        <v/>
      </c>
      <c r="D617" s="11">
        <f>IF(GL_RAW!A617="","",TRIM(GL_RAW!C617))</f>
        <v/>
      </c>
      <c r="E617" s="11">
        <f>IF(GL_RAW!A617="","",TRIM(GL_RAW!D617))</f>
        <v/>
      </c>
      <c r="F617" s="11">
        <f>IF(GL_RAW!A617="","",TRIM(GL_RAW!F617))</f>
        <v/>
      </c>
      <c r="G617" s="11">
        <f>IF(GL_RAW!A617="","",TRIM(GL_RAW!G617))</f>
        <v/>
      </c>
      <c r="H617" s="12">
        <f>IF(GL_RAW!A617="","",IFERROR(GL_RAW!E617,0))</f>
        <v/>
      </c>
      <c r="I617" s="12">
        <f>IF(GL_RAW!A617="","",ABS(H617))</f>
        <v/>
      </c>
      <c r="J617" s="11">
        <f>IF(GL_RAW!A617="","",IF(OR(ISNUMBER(SEARCH("Out",F617)),ISNUMBER(SEARCH("11025002",F617)),H617&lt;0),"OUT","IN"))</f>
        <v/>
      </c>
      <c r="K617" s="11" t="inlineStr"/>
    </row>
    <row r="618">
      <c r="A618" s="13">
        <f>IF(GL_RAW!A618="","",ROW()-1)</f>
        <v/>
      </c>
      <c r="B618" s="10">
        <f>IF(GL_RAW!A618="","",IF(ISNUMBER(GL_RAW!A618),GL_RAW!A618,DATEVALUE(TEXT(GL_RAW!A618,"YYYY-MM-DD"))))</f>
        <v/>
      </c>
      <c r="C618" s="11">
        <f>IF(GL_RAW!A618="","",TRIM(GL_RAW!B618))</f>
        <v/>
      </c>
      <c r="D618" s="11">
        <f>IF(GL_RAW!A618="","",TRIM(GL_RAW!C618))</f>
        <v/>
      </c>
      <c r="E618" s="11">
        <f>IF(GL_RAW!A618="","",TRIM(GL_RAW!D618))</f>
        <v/>
      </c>
      <c r="F618" s="11">
        <f>IF(GL_RAW!A618="","",TRIM(GL_RAW!F618))</f>
        <v/>
      </c>
      <c r="G618" s="11">
        <f>IF(GL_RAW!A618="","",TRIM(GL_RAW!G618))</f>
        <v/>
      </c>
      <c r="H618" s="12">
        <f>IF(GL_RAW!A618="","",IFERROR(GL_RAW!E618,0))</f>
        <v/>
      </c>
      <c r="I618" s="12">
        <f>IF(GL_RAW!A618="","",ABS(H618))</f>
        <v/>
      </c>
      <c r="J618" s="11">
        <f>IF(GL_RAW!A618="","",IF(OR(ISNUMBER(SEARCH("Out",F618)),ISNUMBER(SEARCH("11025002",F618)),H618&lt;0),"OUT","IN"))</f>
        <v/>
      </c>
      <c r="K618" s="11" t="inlineStr"/>
    </row>
    <row r="619">
      <c r="A619" s="13">
        <f>IF(GL_RAW!A619="","",ROW()-1)</f>
        <v/>
      </c>
      <c r="B619" s="10">
        <f>IF(GL_RAW!A619="","",IF(ISNUMBER(GL_RAW!A619),GL_RAW!A619,DATEVALUE(TEXT(GL_RAW!A619,"YYYY-MM-DD"))))</f>
        <v/>
      </c>
      <c r="C619" s="11">
        <f>IF(GL_RAW!A619="","",TRIM(GL_RAW!B619))</f>
        <v/>
      </c>
      <c r="D619" s="11">
        <f>IF(GL_RAW!A619="","",TRIM(GL_RAW!C619))</f>
        <v/>
      </c>
      <c r="E619" s="11">
        <f>IF(GL_RAW!A619="","",TRIM(GL_RAW!D619))</f>
        <v/>
      </c>
      <c r="F619" s="11">
        <f>IF(GL_RAW!A619="","",TRIM(GL_RAW!F619))</f>
        <v/>
      </c>
      <c r="G619" s="11">
        <f>IF(GL_RAW!A619="","",TRIM(GL_RAW!G619))</f>
        <v/>
      </c>
      <c r="H619" s="12">
        <f>IF(GL_RAW!A619="","",IFERROR(GL_RAW!E619,0))</f>
        <v/>
      </c>
      <c r="I619" s="12">
        <f>IF(GL_RAW!A619="","",ABS(H619))</f>
        <v/>
      </c>
      <c r="J619" s="11">
        <f>IF(GL_RAW!A619="","",IF(OR(ISNUMBER(SEARCH("Out",F619)),ISNUMBER(SEARCH("11025002",F619)),H619&lt;0),"OUT","IN"))</f>
        <v/>
      </c>
      <c r="K619" s="11" t="inlineStr"/>
    </row>
    <row r="620">
      <c r="A620" s="13">
        <f>IF(GL_RAW!A620="","",ROW()-1)</f>
        <v/>
      </c>
      <c r="B620" s="10">
        <f>IF(GL_RAW!A620="","",IF(ISNUMBER(GL_RAW!A620),GL_RAW!A620,DATEVALUE(TEXT(GL_RAW!A620,"YYYY-MM-DD"))))</f>
        <v/>
      </c>
      <c r="C620" s="11">
        <f>IF(GL_RAW!A620="","",TRIM(GL_RAW!B620))</f>
        <v/>
      </c>
      <c r="D620" s="11">
        <f>IF(GL_RAW!A620="","",TRIM(GL_RAW!C620))</f>
        <v/>
      </c>
      <c r="E620" s="11">
        <f>IF(GL_RAW!A620="","",TRIM(GL_RAW!D620))</f>
        <v/>
      </c>
      <c r="F620" s="11">
        <f>IF(GL_RAW!A620="","",TRIM(GL_RAW!F620))</f>
        <v/>
      </c>
      <c r="G620" s="11">
        <f>IF(GL_RAW!A620="","",TRIM(GL_RAW!G620))</f>
        <v/>
      </c>
      <c r="H620" s="12">
        <f>IF(GL_RAW!A620="","",IFERROR(GL_RAW!E620,0))</f>
        <v/>
      </c>
      <c r="I620" s="12">
        <f>IF(GL_RAW!A620="","",ABS(H620))</f>
        <v/>
      </c>
      <c r="J620" s="11">
        <f>IF(GL_RAW!A620="","",IF(OR(ISNUMBER(SEARCH("Out",F620)),ISNUMBER(SEARCH("11025002",F620)),H620&lt;0),"OUT","IN"))</f>
        <v/>
      </c>
      <c r="K620" s="11" t="inlineStr"/>
    </row>
    <row r="621">
      <c r="A621" s="13">
        <f>IF(GL_RAW!A621="","",ROW()-1)</f>
        <v/>
      </c>
      <c r="B621" s="10">
        <f>IF(GL_RAW!A621="","",IF(ISNUMBER(GL_RAW!A621),GL_RAW!A621,DATEVALUE(TEXT(GL_RAW!A621,"YYYY-MM-DD"))))</f>
        <v/>
      </c>
      <c r="C621" s="11">
        <f>IF(GL_RAW!A621="","",TRIM(GL_RAW!B621))</f>
        <v/>
      </c>
      <c r="D621" s="11">
        <f>IF(GL_RAW!A621="","",TRIM(GL_RAW!C621))</f>
        <v/>
      </c>
      <c r="E621" s="11">
        <f>IF(GL_RAW!A621="","",TRIM(GL_RAW!D621))</f>
        <v/>
      </c>
      <c r="F621" s="11">
        <f>IF(GL_RAW!A621="","",TRIM(GL_RAW!F621))</f>
        <v/>
      </c>
      <c r="G621" s="11">
        <f>IF(GL_RAW!A621="","",TRIM(GL_RAW!G621))</f>
        <v/>
      </c>
      <c r="H621" s="12">
        <f>IF(GL_RAW!A621="","",IFERROR(GL_RAW!E621,0))</f>
        <v/>
      </c>
      <c r="I621" s="12">
        <f>IF(GL_RAW!A621="","",ABS(H621))</f>
        <v/>
      </c>
      <c r="J621" s="11">
        <f>IF(GL_RAW!A621="","",IF(OR(ISNUMBER(SEARCH("Out",F621)),ISNUMBER(SEARCH("11025002",F621)),H621&lt;0),"OUT","IN"))</f>
        <v/>
      </c>
      <c r="K621" s="11" t="inlineStr"/>
    </row>
    <row r="622">
      <c r="A622" s="13">
        <f>IF(GL_RAW!A622="","",ROW()-1)</f>
        <v/>
      </c>
      <c r="B622" s="10">
        <f>IF(GL_RAW!A622="","",IF(ISNUMBER(GL_RAW!A622),GL_RAW!A622,DATEVALUE(TEXT(GL_RAW!A622,"YYYY-MM-DD"))))</f>
        <v/>
      </c>
      <c r="C622" s="11">
        <f>IF(GL_RAW!A622="","",TRIM(GL_RAW!B622))</f>
        <v/>
      </c>
      <c r="D622" s="11">
        <f>IF(GL_RAW!A622="","",TRIM(GL_RAW!C622))</f>
        <v/>
      </c>
      <c r="E622" s="11">
        <f>IF(GL_RAW!A622="","",TRIM(GL_RAW!D622))</f>
        <v/>
      </c>
      <c r="F622" s="11">
        <f>IF(GL_RAW!A622="","",TRIM(GL_RAW!F622))</f>
        <v/>
      </c>
      <c r="G622" s="11">
        <f>IF(GL_RAW!A622="","",TRIM(GL_RAW!G622))</f>
        <v/>
      </c>
      <c r="H622" s="12">
        <f>IF(GL_RAW!A622="","",IFERROR(GL_RAW!E622,0))</f>
        <v/>
      </c>
      <c r="I622" s="12">
        <f>IF(GL_RAW!A622="","",ABS(H622))</f>
        <v/>
      </c>
      <c r="J622" s="11">
        <f>IF(GL_RAW!A622="","",IF(OR(ISNUMBER(SEARCH("Out",F622)),ISNUMBER(SEARCH("11025002",F622)),H622&lt;0),"OUT","IN"))</f>
        <v/>
      </c>
      <c r="K622" s="11" t="inlineStr"/>
    </row>
    <row r="623">
      <c r="A623" s="13">
        <f>IF(GL_RAW!A623="","",ROW()-1)</f>
        <v/>
      </c>
      <c r="B623" s="10">
        <f>IF(GL_RAW!A623="","",IF(ISNUMBER(GL_RAW!A623),GL_RAW!A623,DATEVALUE(TEXT(GL_RAW!A623,"YYYY-MM-DD"))))</f>
        <v/>
      </c>
      <c r="C623" s="11">
        <f>IF(GL_RAW!A623="","",TRIM(GL_RAW!B623))</f>
        <v/>
      </c>
      <c r="D623" s="11">
        <f>IF(GL_RAW!A623="","",TRIM(GL_RAW!C623))</f>
        <v/>
      </c>
      <c r="E623" s="11">
        <f>IF(GL_RAW!A623="","",TRIM(GL_RAW!D623))</f>
        <v/>
      </c>
      <c r="F623" s="11">
        <f>IF(GL_RAW!A623="","",TRIM(GL_RAW!F623))</f>
        <v/>
      </c>
      <c r="G623" s="11">
        <f>IF(GL_RAW!A623="","",TRIM(GL_RAW!G623))</f>
        <v/>
      </c>
      <c r="H623" s="12">
        <f>IF(GL_RAW!A623="","",IFERROR(GL_RAW!E623,0))</f>
        <v/>
      </c>
      <c r="I623" s="12">
        <f>IF(GL_RAW!A623="","",ABS(H623))</f>
        <v/>
      </c>
      <c r="J623" s="11">
        <f>IF(GL_RAW!A623="","",IF(OR(ISNUMBER(SEARCH("Out",F623)),ISNUMBER(SEARCH("11025002",F623)),H623&lt;0),"OUT","IN"))</f>
        <v/>
      </c>
      <c r="K623" s="11" t="inlineStr"/>
    </row>
    <row r="624">
      <c r="A624" s="13">
        <f>IF(GL_RAW!A624="","",ROW()-1)</f>
        <v/>
      </c>
      <c r="B624" s="10">
        <f>IF(GL_RAW!A624="","",IF(ISNUMBER(GL_RAW!A624),GL_RAW!A624,DATEVALUE(TEXT(GL_RAW!A624,"YYYY-MM-DD"))))</f>
        <v/>
      </c>
      <c r="C624" s="11">
        <f>IF(GL_RAW!A624="","",TRIM(GL_RAW!B624))</f>
        <v/>
      </c>
      <c r="D624" s="11">
        <f>IF(GL_RAW!A624="","",TRIM(GL_RAW!C624))</f>
        <v/>
      </c>
      <c r="E624" s="11">
        <f>IF(GL_RAW!A624="","",TRIM(GL_RAW!D624))</f>
        <v/>
      </c>
      <c r="F624" s="11">
        <f>IF(GL_RAW!A624="","",TRIM(GL_RAW!F624))</f>
        <v/>
      </c>
      <c r="G624" s="11">
        <f>IF(GL_RAW!A624="","",TRIM(GL_RAW!G624))</f>
        <v/>
      </c>
      <c r="H624" s="12">
        <f>IF(GL_RAW!A624="","",IFERROR(GL_RAW!E624,0))</f>
        <v/>
      </c>
      <c r="I624" s="12">
        <f>IF(GL_RAW!A624="","",ABS(H624))</f>
        <v/>
      </c>
      <c r="J624" s="11">
        <f>IF(GL_RAW!A624="","",IF(OR(ISNUMBER(SEARCH("Out",F624)),ISNUMBER(SEARCH("11025002",F624)),H624&lt;0),"OUT","IN"))</f>
        <v/>
      </c>
      <c r="K624" s="11" t="inlineStr"/>
    </row>
    <row r="625">
      <c r="A625" s="13">
        <f>IF(GL_RAW!A625="","",ROW()-1)</f>
        <v/>
      </c>
      <c r="B625" s="10">
        <f>IF(GL_RAW!A625="","",IF(ISNUMBER(GL_RAW!A625),GL_RAW!A625,DATEVALUE(TEXT(GL_RAW!A625,"YYYY-MM-DD"))))</f>
        <v/>
      </c>
      <c r="C625" s="11">
        <f>IF(GL_RAW!A625="","",TRIM(GL_RAW!B625))</f>
        <v/>
      </c>
      <c r="D625" s="11">
        <f>IF(GL_RAW!A625="","",TRIM(GL_RAW!C625))</f>
        <v/>
      </c>
      <c r="E625" s="11">
        <f>IF(GL_RAW!A625="","",TRIM(GL_RAW!D625))</f>
        <v/>
      </c>
      <c r="F625" s="11">
        <f>IF(GL_RAW!A625="","",TRIM(GL_RAW!F625))</f>
        <v/>
      </c>
      <c r="G625" s="11">
        <f>IF(GL_RAW!A625="","",TRIM(GL_RAW!G625))</f>
        <v/>
      </c>
      <c r="H625" s="12">
        <f>IF(GL_RAW!A625="","",IFERROR(GL_RAW!E625,0))</f>
        <v/>
      </c>
      <c r="I625" s="12">
        <f>IF(GL_RAW!A625="","",ABS(H625))</f>
        <v/>
      </c>
      <c r="J625" s="11">
        <f>IF(GL_RAW!A625="","",IF(OR(ISNUMBER(SEARCH("Out",F625)),ISNUMBER(SEARCH("11025002",F625)),H625&lt;0),"OUT","IN"))</f>
        <v/>
      </c>
      <c r="K625" s="11" t="inlineStr"/>
    </row>
    <row r="626">
      <c r="A626" s="13">
        <f>IF(GL_RAW!A626="","",ROW()-1)</f>
        <v/>
      </c>
      <c r="B626" s="10">
        <f>IF(GL_RAW!A626="","",IF(ISNUMBER(GL_RAW!A626),GL_RAW!A626,DATEVALUE(TEXT(GL_RAW!A626,"YYYY-MM-DD"))))</f>
        <v/>
      </c>
      <c r="C626" s="11">
        <f>IF(GL_RAW!A626="","",TRIM(GL_RAW!B626))</f>
        <v/>
      </c>
      <c r="D626" s="11">
        <f>IF(GL_RAW!A626="","",TRIM(GL_RAW!C626))</f>
        <v/>
      </c>
      <c r="E626" s="11">
        <f>IF(GL_RAW!A626="","",TRIM(GL_RAW!D626))</f>
        <v/>
      </c>
      <c r="F626" s="11">
        <f>IF(GL_RAW!A626="","",TRIM(GL_RAW!F626))</f>
        <v/>
      </c>
      <c r="G626" s="11">
        <f>IF(GL_RAW!A626="","",TRIM(GL_RAW!G626))</f>
        <v/>
      </c>
      <c r="H626" s="12">
        <f>IF(GL_RAW!A626="","",IFERROR(GL_RAW!E626,0))</f>
        <v/>
      </c>
      <c r="I626" s="12">
        <f>IF(GL_RAW!A626="","",ABS(H626))</f>
        <v/>
      </c>
      <c r="J626" s="11">
        <f>IF(GL_RAW!A626="","",IF(OR(ISNUMBER(SEARCH("Out",F626)),ISNUMBER(SEARCH("11025002",F626)),H626&lt;0),"OUT","IN"))</f>
        <v/>
      </c>
      <c r="K626" s="11" t="inlineStr"/>
    </row>
    <row r="627">
      <c r="A627" s="13">
        <f>IF(GL_RAW!A627="","",ROW()-1)</f>
        <v/>
      </c>
      <c r="B627" s="10">
        <f>IF(GL_RAW!A627="","",IF(ISNUMBER(GL_RAW!A627),GL_RAW!A627,DATEVALUE(TEXT(GL_RAW!A627,"YYYY-MM-DD"))))</f>
        <v/>
      </c>
      <c r="C627" s="11">
        <f>IF(GL_RAW!A627="","",TRIM(GL_RAW!B627))</f>
        <v/>
      </c>
      <c r="D627" s="11">
        <f>IF(GL_RAW!A627="","",TRIM(GL_RAW!C627))</f>
        <v/>
      </c>
      <c r="E627" s="11">
        <f>IF(GL_RAW!A627="","",TRIM(GL_RAW!D627))</f>
        <v/>
      </c>
      <c r="F627" s="11">
        <f>IF(GL_RAW!A627="","",TRIM(GL_RAW!F627))</f>
        <v/>
      </c>
      <c r="G627" s="11">
        <f>IF(GL_RAW!A627="","",TRIM(GL_RAW!G627))</f>
        <v/>
      </c>
      <c r="H627" s="12">
        <f>IF(GL_RAW!A627="","",IFERROR(GL_RAW!E627,0))</f>
        <v/>
      </c>
      <c r="I627" s="12">
        <f>IF(GL_RAW!A627="","",ABS(H627))</f>
        <v/>
      </c>
      <c r="J627" s="11">
        <f>IF(GL_RAW!A627="","",IF(OR(ISNUMBER(SEARCH("Out",F627)),ISNUMBER(SEARCH("11025002",F627)),H627&lt;0),"OUT","IN"))</f>
        <v/>
      </c>
      <c r="K627" s="11" t="inlineStr"/>
    </row>
    <row r="628">
      <c r="A628" s="13">
        <f>IF(GL_RAW!A628="","",ROW()-1)</f>
        <v/>
      </c>
      <c r="B628" s="10">
        <f>IF(GL_RAW!A628="","",IF(ISNUMBER(GL_RAW!A628),GL_RAW!A628,DATEVALUE(TEXT(GL_RAW!A628,"YYYY-MM-DD"))))</f>
        <v/>
      </c>
      <c r="C628" s="11">
        <f>IF(GL_RAW!A628="","",TRIM(GL_RAW!B628))</f>
        <v/>
      </c>
      <c r="D628" s="11">
        <f>IF(GL_RAW!A628="","",TRIM(GL_RAW!C628))</f>
        <v/>
      </c>
      <c r="E628" s="11">
        <f>IF(GL_RAW!A628="","",TRIM(GL_RAW!D628))</f>
        <v/>
      </c>
      <c r="F628" s="11">
        <f>IF(GL_RAW!A628="","",TRIM(GL_RAW!F628))</f>
        <v/>
      </c>
      <c r="G628" s="11">
        <f>IF(GL_RAW!A628="","",TRIM(GL_RAW!G628))</f>
        <v/>
      </c>
      <c r="H628" s="12">
        <f>IF(GL_RAW!A628="","",IFERROR(GL_RAW!E628,0))</f>
        <v/>
      </c>
      <c r="I628" s="12">
        <f>IF(GL_RAW!A628="","",ABS(H628))</f>
        <v/>
      </c>
      <c r="J628" s="11">
        <f>IF(GL_RAW!A628="","",IF(OR(ISNUMBER(SEARCH("Out",F628)),ISNUMBER(SEARCH("11025002",F628)),H628&lt;0),"OUT","IN"))</f>
        <v/>
      </c>
      <c r="K628" s="11" t="inlineStr"/>
    </row>
    <row r="629">
      <c r="A629" s="13">
        <f>IF(GL_RAW!A629="","",ROW()-1)</f>
        <v/>
      </c>
      <c r="B629" s="10">
        <f>IF(GL_RAW!A629="","",IF(ISNUMBER(GL_RAW!A629),GL_RAW!A629,DATEVALUE(TEXT(GL_RAW!A629,"YYYY-MM-DD"))))</f>
        <v/>
      </c>
      <c r="C629" s="11">
        <f>IF(GL_RAW!A629="","",TRIM(GL_RAW!B629))</f>
        <v/>
      </c>
      <c r="D629" s="11">
        <f>IF(GL_RAW!A629="","",TRIM(GL_RAW!C629))</f>
        <v/>
      </c>
      <c r="E629" s="11">
        <f>IF(GL_RAW!A629="","",TRIM(GL_RAW!D629))</f>
        <v/>
      </c>
      <c r="F629" s="11">
        <f>IF(GL_RAW!A629="","",TRIM(GL_RAW!F629))</f>
        <v/>
      </c>
      <c r="G629" s="11">
        <f>IF(GL_RAW!A629="","",TRIM(GL_RAW!G629))</f>
        <v/>
      </c>
      <c r="H629" s="12">
        <f>IF(GL_RAW!A629="","",IFERROR(GL_RAW!E629,0))</f>
        <v/>
      </c>
      <c r="I629" s="12">
        <f>IF(GL_RAW!A629="","",ABS(H629))</f>
        <v/>
      </c>
      <c r="J629" s="11">
        <f>IF(GL_RAW!A629="","",IF(OR(ISNUMBER(SEARCH("Out",F629)),ISNUMBER(SEARCH("11025002",F629)),H629&lt;0),"OUT","IN"))</f>
        <v/>
      </c>
      <c r="K629" s="11" t="inlineStr"/>
    </row>
    <row r="630">
      <c r="A630" s="13">
        <f>IF(GL_RAW!A630="","",ROW()-1)</f>
        <v/>
      </c>
      <c r="B630" s="10">
        <f>IF(GL_RAW!A630="","",IF(ISNUMBER(GL_RAW!A630),GL_RAW!A630,DATEVALUE(TEXT(GL_RAW!A630,"YYYY-MM-DD"))))</f>
        <v/>
      </c>
      <c r="C630" s="11">
        <f>IF(GL_RAW!A630="","",TRIM(GL_RAW!B630))</f>
        <v/>
      </c>
      <c r="D630" s="11">
        <f>IF(GL_RAW!A630="","",TRIM(GL_RAW!C630))</f>
        <v/>
      </c>
      <c r="E630" s="11">
        <f>IF(GL_RAW!A630="","",TRIM(GL_RAW!D630))</f>
        <v/>
      </c>
      <c r="F630" s="11">
        <f>IF(GL_RAW!A630="","",TRIM(GL_RAW!F630))</f>
        <v/>
      </c>
      <c r="G630" s="11">
        <f>IF(GL_RAW!A630="","",TRIM(GL_RAW!G630))</f>
        <v/>
      </c>
      <c r="H630" s="12">
        <f>IF(GL_RAW!A630="","",IFERROR(GL_RAW!E630,0))</f>
        <v/>
      </c>
      <c r="I630" s="12">
        <f>IF(GL_RAW!A630="","",ABS(H630))</f>
        <v/>
      </c>
      <c r="J630" s="11">
        <f>IF(GL_RAW!A630="","",IF(OR(ISNUMBER(SEARCH("Out",F630)),ISNUMBER(SEARCH("11025002",F630)),H630&lt;0),"OUT","IN"))</f>
        <v/>
      </c>
      <c r="K630" s="11" t="inlineStr"/>
    </row>
    <row r="631">
      <c r="A631" s="13">
        <f>IF(GL_RAW!A631="","",ROW()-1)</f>
        <v/>
      </c>
      <c r="B631" s="10">
        <f>IF(GL_RAW!A631="","",IF(ISNUMBER(GL_RAW!A631),GL_RAW!A631,DATEVALUE(TEXT(GL_RAW!A631,"YYYY-MM-DD"))))</f>
        <v/>
      </c>
      <c r="C631" s="11">
        <f>IF(GL_RAW!A631="","",TRIM(GL_RAW!B631))</f>
        <v/>
      </c>
      <c r="D631" s="11">
        <f>IF(GL_RAW!A631="","",TRIM(GL_RAW!C631))</f>
        <v/>
      </c>
      <c r="E631" s="11">
        <f>IF(GL_RAW!A631="","",TRIM(GL_RAW!D631))</f>
        <v/>
      </c>
      <c r="F631" s="11">
        <f>IF(GL_RAW!A631="","",TRIM(GL_RAW!F631))</f>
        <v/>
      </c>
      <c r="G631" s="11">
        <f>IF(GL_RAW!A631="","",TRIM(GL_RAW!G631))</f>
        <v/>
      </c>
      <c r="H631" s="12">
        <f>IF(GL_RAW!A631="","",IFERROR(GL_RAW!E631,0))</f>
        <v/>
      </c>
      <c r="I631" s="12">
        <f>IF(GL_RAW!A631="","",ABS(H631))</f>
        <v/>
      </c>
      <c r="J631" s="11">
        <f>IF(GL_RAW!A631="","",IF(OR(ISNUMBER(SEARCH("Out",F631)),ISNUMBER(SEARCH("11025002",F631)),H631&lt;0),"OUT","IN"))</f>
        <v/>
      </c>
      <c r="K631" s="11" t="inlineStr"/>
    </row>
    <row r="632">
      <c r="A632" s="13">
        <f>IF(GL_RAW!A632="","",ROW()-1)</f>
        <v/>
      </c>
      <c r="B632" s="10">
        <f>IF(GL_RAW!A632="","",IF(ISNUMBER(GL_RAW!A632),GL_RAW!A632,DATEVALUE(TEXT(GL_RAW!A632,"YYYY-MM-DD"))))</f>
        <v/>
      </c>
      <c r="C632" s="11">
        <f>IF(GL_RAW!A632="","",TRIM(GL_RAW!B632))</f>
        <v/>
      </c>
      <c r="D632" s="11">
        <f>IF(GL_RAW!A632="","",TRIM(GL_RAW!C632))</f>
        <v/>
      </c>
      <c r="E632" s="11">
        <f>IF(GL_RAW!A632="","",TRIM(GL_RAW!D632))</f>
        <v/>
      </c>
      <c r="F632" s="11">
        <f>IF(GL_RAW!A632="","",TRIM(GL_RAW!F632))</f>
        <v/>
      </c>
      <c r="G632" s="11">
        <f>IF(GL_RAW!A632="","",TRIM(GL_RAW!G632))</f>
        <v/>
      </c>
      <c r="H632" s="12">
        <f>IF(GL_RAW!A632="","",IFERROR(GL_RAW!E632,0))</f>
        <v/>
      </c>
      <c r="I632" s="12">
        <f>IF(GL_RAW!A632="","",ABS(H632))</f>
        <v/>
      </c>
      <c r="J632" s="11">
        <f>IF(GL_RAW!A632="","",IF(OR(ISNUMBER(SEARCH("Out",F632)),ISNUMBER(SEARCH("11025002",F632)),H632&lt;0),"OUT","IN"))</f>
        <v/>
      </c>
      <c r="K632" s="11" t="inlineStr"/>
    </row>
    <row r="633">
      <c r="A633" s="13">
        <f>IF(GL_RAW!A633="","",ROW()-1)</f>
        <v/>
      </c>
      <c r="B633" s="10">
        <f>IF(GL_RAW!A633="","",IF(ISNUMBER(GL_RAW!A633),GL_RAW!A633,DATEVALUE(TEXT(GL_RAW!A633,"YYYY-MM-DD"))))</f>
        <v/>
      </c>
      <c r="C633" s="11">
        <f>IF(GL_RAW!A633="","",TRIM(GL_RAW!B633))</f>
        <v/>
      </c>
      <c r="D633" s="11">
        <f>IF(GL_RAW!A633="","",TRIM(GL_RAW!C633))</f>
        <v/>
      </c>
      <c r="E633" s="11">
        <f>IF(GL_RAW!A633="","",TRIM(GL_RAW!D633))</f>
        <v/>
      </c>
      <c r="F633" s="11">
        <f>IF(GL_RAW!A633="","",TRIM(GL_RAW!F633))</f>
        <v/>
      </c>
      <c r="G633" s="11">
        <f>IF(GL_RAW!A633="","",TRIM(GL_RAW!G633))</f>
        <v/>
      </c>
      <c r="H633" s="12">
        <f>IF(GL_RAW!A633="","",IFERROR(GL_RAW!E633,0))</f>
        <v/>
      </c>
      <c r="I633" s="12">
        <f>IF(GL_RAW!A633="","",ABS(H633))</f>
        <v/>
      </c>
      <c r="J633" s="11">
        <f>IF(GL_RAW!A633="","",IF(OR(ISNUMBER(SEARCH("Out",F633)),ISNUMBER(SEARCH("11025002",F633)),H633&lt;0),"OUT","IN"))</f>
        <v/>
      </c>
      <c r="K633" s="11" t="inlineStr"/>
    </row>
    <row r="634">
      <c r="A634" s="13">
        <f>IF(GL_RAW!A634="","",ROW()-1)</f>
        <v/>
      </c>
      <c r="B634" s="10">
        <f>IF(GL_RAW!A634="","",IF(ISNUMBER(GL_RAW!A634),GL_RAW!A634,DATEVALUE(TEXT(GL_RAW!A634,"YYYY-MM-DD"))))</f>
        <v/>
      </c>
      <c r="C634" s="11">
        <f>IF(GL_RAW!A634="","",TRIM(GL_RAW!B634))</f>
        <v/>
      </c>
      <c r="D634" s="11">
        <f>IF(GL_RAW!A634="","",TRIM(GL_RAW!C634))</f>
        <v/>
      </c>
      <c r="E634" s="11">
        <f>IF(GL_RAW!A634="","",TRIM(GL_RAW!D634))</f>
        <v/>
      </c>
      <c r="F634" s="11">
        <f>IF(GL_RAW!A634="","",TRIM(GL_RAW!F634))</f>
        <v/>
      </c>
      <c r="G634" s="11">
        <f>IF(GL_RAW!A634="","",TRIM(GL_RAW!G634))</f>
        <v/>
      </c>
      <c r="H634" s="12">
        <f>IF(GL_RAW!A634="","",IFERROR(GL_RAW!E634,0))</f>
        <v/>
      </c>
      <c r="I634" s="12">
        <f>IF(GL_RAW!A634="","",ABS(H634))</f>
        <v/>
      </c>
      <c r="J634" s="11">
        <f>IF(GL_RAW!A634="","",IF(OR(ISNUMBER(SEARCH("Out",F634)),ISNUMBER(SEARCH("11025002",F634)),H634&lt;0),"OUT","IN"))</f>
        <v/>
      </c>
      <c r="K634" s="11" t="inlineStr"/>
    </row>
    <row r="635">
      <c r="A635" s="13">
        <f>IF(GL_RAW!A635="","",ROW()-1)</f>
        <v/>
      </c>
      <c r="B635" s="10">
        <f>IF(GL_RAW!A635="","",IF(ISNUMBER(GL_RAW!A635),GL_RAW!A635,DATEVALUE(TEXT(GL_RAW!A635,"YYYY-MM-DD"))))</f>
        <v/>
      </c>
      <c r="C635" s="11">
        <f>IF(GL_RAW!A635="","",TRIM(GL_RAW!B635))</f>
        <v/>
      </c>
      <c r="D635" s="11">
        <f>IF(GL_RAW!A635="","",TRIM(GL_RAW!C635))</f>
        <v/>
      </c>
      <c r="E635" s="11">
        <f>IF(GL_RAW!A635="","",TRIM(GL_RAW!D635))</f>
        <v/>
      </c>
      <c r="F635" s="11">
        <f>IF(GL_RAW!A635="","",TRIM(GL_RAW!F635))</f>
        <v/>
      </c>
      <c r="G635" s="11">
        <f>IF(GL_RAW!A635="","",TRIM(GL_RAW!G635))</f>
        <v/>
      </c>
      <c r="H635" s="12">
        <f>IF(GL_RAW!A635="","",IFERROR(GL_RAW!E635,0))</f>
        <v/>
      </c>
      <c r="I635" s="12">
        <f>IF(GL_RAW!A635="","",ABS(H635))</f>
        <v/>
      </c>
      <c r="J635" s="11">
        <f>IF(GL_RAW!A635="","",IF(OR(ISNUMBER(SEARCH("Out",F635)),ISNUMBER(SEARCH("11025002",F635)),H635&lt;0),"OUT","IN"))</f>
        <v/>
      </c>
      <c r="K635" s="11" t="inlineStr"/>
    </row>
    <row r="636">
      <c r="A636" s="13">
        <f>IF(GL_RAW!A636="","",ROW()-1)</f>
        <v/>
      </c>
      <c r="B636" s="10">
        <f>IF(GL_RAW!A636="","",IF(ISNUMBER(GL_RAW!A636),GL_RAW!A636,DATEVALUE(TEXT(GL_RAW!A636,"YYYY-MM-DD"))))</f>
        <v/>
      </c>
      <c r="C636" s="11">
        <f>IF(GL_RAW!A636="","",TRIM(GL_RAW!B636))</f>
        <v/>
      </c>
      <c r="D636" s="11">
        <f>IF(GL_RAW!A636="","",TRIM(GL_RAW!C636))</f>
        <v/>
      </c>
      <c r="E636" s="11">
        <f>IF(GL_RAW!A636="","",TRIM(GL_RAW!D636))</f>
        <v/>
      </c>
      <c r="F636" s="11">
        <f>IF(GL_RAW!A636="","",TRIM(GL_RAW!F636))</f>
        <v/>
      </c>
      <c r="G636" s="11">
        <f>IF(GL_RAW!A636="","",TRIM(GL_RAW!G636))</f>
        <v/>
      </c>
      <c r="H636" s="12">
        <f>IF(GL_RAW!A636="","",IFERROR(GL_RAW!E636,0))</f>
        <v/>
      </c>
      <c r="I636" s="12">
        <f>IF(GL_RAW!A636="","",ABS(H636))</f>
        <v/>
      </c>
      <c r="J636" s="11">
        <f>IF(GL_RAW!A636="","",IF(OR(ISNUMBER(SEARCH("Out",F636)),ISNUMBER(SEARCH("11025002",F636)),H636&lt;0),"OUT","IN"))</f>
        <v/>
      </c>
      <c r="K636" s="11" t="inlineStr"/>
    </row>
    <row r="637">
      <c r="A637" s="13">
        <f>IF(GL_RAW!A637="","",ROW()-1)</f>
        <v/>
      </c>
      <c r="B637" s="10">
        <f>IF(GL_RAW!A637="","",IF(ISNUMBER(GL_RAW!A637),GL_RAW!A637,DATEVALUE(TEXT(GL_RAW!A637,"YYYY-MM-DD"))))</f>
        <v/>
      </c>
      <c r="C637" s="11">
        <f>IF(GL_RAW!A637="","",TRIM(GL_RAW!B637))</f>
        <v/>
      </c>
      <c r="D637" s="11">
        <f>IF(GL_RAW!A637="","",TRIM(GL_RAW!C637))</f>
        <v/>
      </c>
      <c r="E637" s="11">
        <f>IF(GL_RAW!A637="","",TRIM(GL_RAW!D637))</f>
        <v/>
      </c>
      <c r="F637" s="11">
        <f>IF(GL_RAW!A637="","",TRIM(GL_RAW!F637))</f>
        <v/>
      </c>
      <c r="G637" s="11">
        <f>IF(GL_RAW!A637="","",TRIM(GL_RAW!G637))</f>
        <v/>
      </c>
      <c r="H637" s="12">
        <f>IF(GL_RAW!A637="","",IFERROR(GL_RAW!E637,0))</f>
        <v/>
      </c>
      <c r="I637" s="12">
        <f>IF(GL_RAW!A637="","",ABS(H637))</f>
        <v/>
      </c>
      <c r="J637" s="11">
        <f>IF(GL_RAW!A637="","",IF(OR(ISNUMBER(SEARCH("Out",F637)),ISNUMBER(SEARCH("11025002",F637)),H637&lt;0),"OUT","IN"))</f>
        <v/>
      </c>
      <c r="K637" s="11" t="inlineStr"/>
    </row>
    <row r="638">
      <c r="A638" s="13">
        <f>IF(GL_RAW!A638="","",ROW()-1)</f>
        <v/>
      </c>
      <c r="B638" s="10">
        <f>IF(GL_RAW!A638="","",IF(ISNUMBER(GL_RAW!A638),GL_RAW!A638,DATEVALUE(TEXT(GL_RAW!A638,"YYYY-MM-DD"))))</f>
        <v/>
      </c>
      <c r="C638" s="11">
        <f>IF(GL_RAW!A638="","",TRIM(GL_RAW!B638))</f>
        <v/>
      </c>
      <c r="D638" s="11">
        <f>IF(GL_RAW!A638="","",TRIM(GL_RAW!C638))</f>
        <v/>
      </c>
      <c r="E638" s="11">
        <f>IF(GL_RAW!A638="","",TRIM(GL_RAW!D638))</f>
        <v/>
      </c>
      <c r="F638" s="11">
        <f>IF(GL_RAW!A638="","",TRIM(GL_RAW!F638))</f>
        <v/>
      </c>
      <c r="G638" s="11">
        <f>IF(GL_RAW!A638="","",TRIM(GL_RAW!G638))</f>
        <v/>
      </c>
      <c r="H638" s="12">
        <f>IF(GL_RAW!A638="","",IFERROR(GL_RAW!E638,0))</f>
        <v/>
      </c>
      <c r="I638" s="12">
        <f>IF(GL_RAW!A638="","",ABS(H638))</f>
        <v/>
      </c>
      <c r="J638" s="11">
        <f>IF(GL_RAW!A638="","",IF(OR(ISNUMBER(SEARCH("Out",F638)),ISNUMBER(SEARCH("11025002",F638)),H638&lt;0),"OUT","IN"))</f>
        <v/>
      </c>
      <c r="K638" s="11" t="inlineStr"/>
    </row>
    <row r="639">
      <c r="A639" s="13">
        <f>IF(GL_RAW!A639="","",ROW()-1)</f>
        <v/>
      </c>
      <c r="B639" s="10">
        <f>IF(GL_RAW!A639="","",IF(ISNUMBER(GL_RAW!A639),GL_RAW!A639,DATEVALUE(TEXT(GL_RAW!A639,"YYYY-MM-DD"))))</f>
        <v/>
      </c>
      <c r="C639" s="11">
        <f>IF(GL_RAW!A639="","",TRIM(GL_RAW!B639))</f>
        <v/>
      </c>
      <c r="D639" s="11">
        <f>IF(GL_RAW!A639="","",TRIM(GL_RAW!C639))</f>
        <v/>
      </c>
      <c r="E639" s="11">
        <f>IF(GL_RAW!A639="","",TRIM(GL_RAW!D639))</f>
        <v/>
      </c>
      <c r="F639" s="11">
        <f>IF(GL_RAW!A639="","",TRIM(GL_RAW!F639))</f>
        <v/>
      </c>
      <c r="G639" s="11">
        <f>IF(GL_RAW!A639="","",TRIM(GL_RAW!G639))</f>
        <v/>
      </c>
      <c r="H639" s="12">
        <f>IF(GL_RAW!A639="","",IFERROR(GL_RAW!E639,0))</f>
        <v/>
      </c>
      <c r="I639" s="12">
        <f>IF(GL_RAW!A639="","",ABS(H639))</f>
        <v/>
      </c>
      <c r="J639" s="11">
        <f>IF(GL_RAW!A639="","",IF(OR(ISNUMBER(SEARCH("Out",F639)),ISNUMBER(SEARCH("11025002",F639)),H639&lt;0),"OUT","IN"))</f>
        <v/>
      </c>
      <c r="K639" s="11" t="inlineStr"/>
    </row>
    <row r="640">
      <c r="A640" s="13">
        <f>IF(GL_RAW!A640="","",ROW()-1)</f>
        <v/>
      </c>
      <c r="B640" s="10">
        <f>IF(GL_RAW!A640="","",IF(ISNUMBER(GL_RAW!A640),GL_RAW!A640,DATEVALUE(TEXT(GL_RAW!A640,"YYYY-MM-DD"))))</f>
        <v/>
      </c>
      <c r="C640" s="11">
        <f>IF(GL_RAW!A640="","",TRIM(GL_RAW!B640))</f>
        <v/>
      </c>
      <c r="D640" s="11">
        <f>IF(GL_RAW!A640="","",TRIM(GL_RAW!C640))</f>
        <v/>
      </c>
      <c r="E640" s="11">
        <f>IF(GL_RAW!A640="","",TRIM(GL_RAW!D640))</f>
        <v/>
      </c>
      <c r="F640" s="11">
        <f>IF(GL_RAW!A640="","",TRIM(GL_RAW!F640))</f>
        <v/>
      </c>
      <c r="G640" s="11">
        <f>IF(GL_RAW!A640="","",TRIM(GL_RAW!G640))</f>
        <v/>
      </c>
      <c r="H640" s="12">
        <f>IF(GL_RAW!A640="","",IFERROR(GL_RAW!E640,0))</f>
        <v/>
      </c>
      <c r="I640" s="12">
        <f>IF(GL_RAW!A640="","",ABS(H640))</f>
        <v/>
      </c>
      <c r="J640" s="11">
        <f>IF(GL_RAW!A640="","",IF(OR(ISNUMBER(SEARCH("Out",F640)),ISNUMBER(SEARCH("11025002",F640)),H640&lt;0),"OUT","IN"))</f>
        <v/>
      </c>
      <c r="K640" s="11" t="inlineStr"/>
    </row>
    <row r="641">
      <c r="A641" s="13">
        <f>IF(GL_RAW!A641="","",ROW()-1)</f>
        <v/>
      </c>
      <c r="B641" s="10">
        <f>IF(GL_RAW!A641="","",IF(ISNUMBER(GL_RAW!A641),GL_RAW!A641,DATEVALUE(TEXT(GL_RAW!A641,"YYYY-MM-DD"))))</f>
        <v/>
      </c>
      <c r="C641" s="11">
        <f>IF(GL_RAW!A641="","",TRIM(GL_RAW!B641))</f>
        <v/>
      </c>
      <c r="D641" s="11">
        <f>IF(GL_RAW!A641="","",TRIM(GL_RAW!C641))</f>
        <v/>
      </c>
      <c r="E641" s="11">
        <f>IF(GL_RAW!A641="","",TRIM(GL_RAW!D641))</f>
        <v/>
      </c>
      <c r="F641" s="11">
        <f>IF(GL_RAW!A641="","",TRIM(GL_RAW!F641))</f>
        <v/>
      </c>
      <c r="G641" s="11">
        <f>IF(GL_RAW!A641="","",TRIM(GL_RAW!G641))</f>
        <v/>
      </c>
      <c r="H641" s="12">
        <f>IF(GL_RAW!A641="","",IFERROR(GL_RAW!E641,0))</f>
        <v/>
      </c>
      <c r="I641" s="12">
        <f>IF(GL_RAW!A641="","",ABS(H641))</f>
        <v/>
      </c>
      <c r="J641" s="11">
        <f>IF(GL_RAW!A641="","",IF(OR(ISNUMBER(SEARCH("Out",F641)),ISNUMBER(SEARCH("11025002",F641)),H641&lt;0),"OUT","IN"))</f>
        <v/>
      </c>
      <c r="K641" s="11" t="inlineStr"/>
    </row>
    <row r="642">
      <c r="A642" s="13">
        <f>IF(GL_RAW!A642="","",ROW()-1)</f>
        <v/>
      </c>
      <c r="B642" s="10">
        <f>IF(GL_RAW!A642="","",IF(ISNUMBER(GL_RAW!A642),GL_RAW!A642,DATEVALUE(TEXT(GL_RAW!A642,"YYYY-MM-DD"))))</f>
        <v/>
      </c>
      <c r="C642" s="11">
        <f>IF(GL_RAW!A642="","",TRIM(GL_RAW!B642))</f>
        <v/>
      </c>
      <c r="D642" s="11">
        <f>IF(GL_RAW!A642="","",TRIM(GL_RAW!C642))</f>
        <v/>
      </c>
      <c r="E642" s="11">
        <f>IF(GL_RAW!A642="","",TRIM(GL_RAW!D642))</f>
        <v/>
      </c>
      <c r="F642" s="11">
        <f>IF(GL_RAW!A642="","",TRIM(GL_RAW!F642))</f>
        <v/>
      </c>
      <c r="G642" s="11">
        <f>IF(GL_RAW!A642="","",TRIM(GL_RAW!G642))</f>
        <v/>
      </c>
      <c r="H642" s="12">
        <f>IF(GL_RAW!A642="","",IFERROR(GL_RAW!E642,0))</f>
        <v/>
      </c>
      <c r="I642" s="12">
        <f>IF(GL_RAW!A642="","",ABS(H642))</f>
        <v/>
      </c>
      <c r="J642" s="11">
        <f>IF(GL_RAW!A642="","",IF(OR(ISNUMBER(SEARCH("Out",F642)),ISNUMBER(SEARCH("11025002",F642)),H642&lt;0),"OUT","IN"))</f>
        <v/>
      </c>
      <c r="K642" s="11" t="inlineStr"/>
    </row>
    <row r="643">
      <c r="A643" s="13">
        <f>IF(GL_RAW!A643="","",ROW()-1)</f>
        <v/>
      </c>
      <c r="B643" s="10">
        <f>IF(GL_RAW!A643="","",IF(ISNUMBER(GL_RAW!A643),GL_RAW!A643,DATEVALUE(TEXT(GL_RAW!A643,"YYYY-MM-DD"))))</f>
        <v/>
      </c>
      <c r="C643" s="11">
        <f>IF(GL_RAW!A643="","",TRIM(GL_RAW!B643))</f>
        <v/>
      </c>
      <c r="D643" s="11">
        <f>IF(GL_RAW!A643="","",TRIM(GL_RAW!C643))</f>
        <v/>
      </c>
      <c r="E643" s="11">
        <f>IF(GL_RAW!A643="","",TRIM(GL_RAW!D643))</f>
        <v/>
      </c>
      <c r="F643" s="11">
        <f>IF(GL_RAW!A643="","",TRIM(GL_RAW!F643))</f>
        <v/>
      </c>
      <c r="G643" s="11">
        <f>IF(GL_RAW!A643="","",TRIM(GL_RAW!G643))</f>
        <v/>
      </c>
      <c r="H643" s="12">
        <f>IF(GL_RAW!A643="","",IFERROR(GL_RAW!E643,0))</f>
        <v/>
      </c>
      <c r="I643" s="12">
        <f>IF(GL_RAW!A643="","",ABS(H643))</f>
        <v/>
      </c>
      <c r="J643" s="11">
        <f>IF(GL_RAW!A643="","",IF(OR(ISNUMBER(SEARCH("Out",F643)),ISNUMBER(SEARCH("11025002",F643)),H643&lt;0),"OUT","IN"))</f>
        <v/>
      </c>
      <c r="K643" s="11" t="inlineStr"/>
    </row>
    <row r="644">
      <c r="A644" s="13">
        <f>IF(GL_RAW!A644="","",ROW()-1)</f>
        <v/>
      </c>
      <c r="B644" s="10">
        <f>IF(GL_RAW!A644="","",IF(ISNUMBER(GL_RAW!A644),GL_RAW!A644,DATEVALUE(TEXT(GL_RAW!A644,"YYYY-MM-DD"))))</f>
        <v/>
      </c>
      <c r="C644" s="11">
        <f>IF(GL_RAW!A644="","",TRIM(GL_RAW!B644))</f>
        <v/>
      </c>
      <c r="D644" s="11">
        <f>IF(GL_RAW!A644="","",TRIM(GL_RAW!C644))</f>
        <v/>
      </c>
      <c r="E644" s="11">
        <f>IF(GL_RAW!A644="","",TRIM(GL_RAW!D644))</f>
        <v/>
      </c>
      <c r="F644" s="11">
        <f>IF(GL_RAW!A644="","",TRIM(GL_RAW!F644))</f>
        <v/>
      </c>
      <c r="G644" s="11">
        <f>IF(GL_RAW!A644="","",TRIM(GL_RAW!G644))</f>
        <v/>
      </c>
      <c r="H644" s="12">
        <f>IF(GL_RAW!A644="","",IFERROR(GL_RAW!E644,0))</f>
        <v/>
      </c>
      <c r="I644" s="12">
        <f>IF(GL_RAW!A644="","",ABS(H644))</f>
        <v/>
      </c>
      <c r="J644" s="11">
        <f>IF(GL_RAW!A644="","",IF(OR(ISNUMBER(SEARCH("Out",F644)),ISNUMBER(SEARCH("11025002",F644)),H644&lt;0),"OUT","IN"))</f>
        <v/>
      </c>
      <c r="K644" s="11" t="inlineStr"/>
    </row>
    <row r="645">
      <c r="A645" s="13">
        <f>IF(GL_RAW!A645="","",ROW()-1)</f>
        <v/>
      </c>
      <c r="B645" s="10">
        <f>IF(GL_RAW!A645="","",IF(ISNUMBER(GL_RAW!A645),GL_RAW!A645,DATEVALUE(TEXT(GL_RAW!A645,"YYYY-MM-DD"))))</f>
        <v/>
      </c>
      <c r="C645" s="11">
        <f>IF(GL_RAW!A645="","",TRIM(GL_RAW!B645))</f>
        <v/>
      </c>
      <c r="D645" s="11">
        <f>IF(GL_RAW!A645="","",TRIM(GL_RAW!C645))</f>
        <v/>
      </c>
      <c r="E645" s="11">
        <f>IF(GL_RAW!A645="","",TRIM(GL_RAW!D645))</f>
        <v/>
      </c>
      <c r="F645" s="11">
        <f>IF(GL_RAW!A645="","",TRIM(GL_RAW!F645))</f>
        <v/>
      </c>
      <c r="G645" s="11">
        <f>IF(GL_RAW!A645="","",TRIM(GL_RAW!G645))</f>
        <v/>
      </c>
      <c r="H645" s="12">
        <f>IF(GL_RAW!A645="","",IFERROR(GL_RAW!E645,0))</f>
        <v/>
      </c>
      <c r="I645" s="12">
        <f>IF(GL_RAW!A645="","",ABS(H645))</f>
        <v/>
      </c>
      <c r="J645" s="11">
        <f>IF(GL_RAW!A645="","",IF(OR(ISNUMBER(SEARCH("Out",F645)),ISNUMBER(SEARCH("11025002",F645)),H645&lt;0),"OUT","IN"))</f>
        <v/>
      </c>
      <c r="K645" s="11" t="inlineStr"/>
    </row>
    <row r="646">
      <c r="A646" s="13">
        <f>IF(GL_RAW!A646="","",ROW()-1)</f>
        <v/>
      </c>
      <c r="B646" s="10">
        <f>IF(GL_RAW!A646="","",IF(ISNUMBER(GL_RAW!A646),GL_RAW!A646,DATEVALUE(TEXT(GL_RAW!A646,"YYYY-MM-DD"))))</f>
        <v/>
      </c>
      <c r="C646" s="11">
        <f>IF(GL_RAW!A646="","",TRIM(GL_RAW!B646))</f>
        <v/>
      </c>
      <c r="D646" s="11">
        <f>IF(GL_RAW!A646="","",TRIM(GL_RAW!C646))</f>
        <v/>
      </c>
      <c r="E646" s="11">
        <f>IF(GL_RAW!A646="","",TRIM(GL_RAW!D646))</f>
        <v/>
      </c>
      <c r="F646" s="11">
        <f>IF(GL_RAW!A646="","",TRIM(GL_RAW!F646))</f>
        <v/>
      </c>
      <c r="G646" s="11">
        <f>IF(GL_RAW!A646="","",TRIM(GL_RAW!G646))</f>
        <v/>
      </c>
      <c r="H646" s="12">
        <f>IF(GL_RAW!A646="","",IFERROR(GL_RAW!E646,0))</f>
        <v/>
      </c>
      <c r="I646" s="12">
        <f>IF(GL_RAW!A646="","",ABS(H646))</f>
        <v/>
      </c>
      <c r="J646" s="11">
        <f>IF(GL_RAW!A646="","",IF(OR(ISNUMBER(SEARCH("Out",F646)),ISNUMBER(SEARCH("11025002",F646)),H646&lt;0),"OUT","IN"))</f>
        <v/>
      </c>
      <c r="K646" s="11" t="inlineStr"/>
    </row>
    <row r="647">
      <c r="A647" s="13">
        <f>IF(GL_RAW!A647="","",ROW()-1)</f>
        <v/>
      </c>
      <c r="B647" s="10">
        <f>IF(GL_RAW!A647="","",IF(ISNUMBER(GL_RAW!A647),GL_RAW!A647,DATEVALUE(TEXT(GL_RAW!A647,"YYYY-MM-DD"))))</f>
        <v/>
      </c>
      <c r="C647" s="11">
        <f>IF(GL_RAW!A647="","",TRIM(GL_RAW!B647))</f>
        <v/>
      </c>
      <c r="D647" s="11">
        <f>IF(GL_RAW!A647="","",TRIM(GL_RAW!C647))</f>
        <v/>
      </c>
      <c r="E647" s="11">
        <f>IF(GL_RAW!A647="","",TRIM(GL_RAW!D647))</f>
        <v/>
      </c>
      <c r="F647" s="11">
        <f>IF(GL_RAW!A647="","",TRIM(GL_RAW!F647))</f>
        <v/>
      </c>
      <c r="G647" s="11">
        <f>IF(GL_RAW!A647="","",TRIM(GL_RAW!G647))</f>
        <v/>
      </c>
      <c r="H647" s="12">
        <f>IF(GL_RAW!A647="","",IFERROR(GL_RAW!E647,0))</f>
        <v/>
      </c>
      <c r="I647" s="12">
        <f>IF(GL_RAW!A647="","",ABS(H647))</f>
        <v/>
      </c>
      <c r="J647" s="11">
        <f>IF(GL_RAW!A647="","",IF(OR(ISNUMBER(SEARCH("Out",F647)),ISNUMBER(SEARCH("11025002",F647)),H647&lt;0),"OUT","IN"))</f>
        <v/>
      </c>
      <c r="K647" s="11" t="inlineStr"/>
    </row>
    <row r="648">
      <c r="A648" s="13">
        <f>IF(GL_RAW!A648="","",ROW()-1)</f>
        <v/>
      </c>
      <c r="B648" s="10">
        <f>IF(GL_RAW!A648="","",IF(ISNUMBER(GL_RAW!A648),GL_RAW!A648,DATEVALUE(TEXT(GL_RAW!A648,"YYYY-MM-DD"))))</f>
        <v/>
      </c>
      <c r="C648" s="11">
        <f>IF(GL_RAW!A648="","",TRIM(GL_RAW!B648))</f>
        <v/>
      </c>
      <c r="D648" s="11">
        <f>IF(GL_RAW!A648="","",TRIM(GL_RAW!C648))</f>
        <v/>
      </c>
      <c r="E648" s="11">
        <f>IF(GL_RAW!A648="","",TRIM(GL_RAW!D648))</f>
        <v/>
      </c>
      <c r="F648" s="11">
        <f>IF(GL_RAW!A648="","",TRIM(GL_RAW!F648))</f>
        <v/>
      </c>
      <c r="G648" s="11">
        <f>IF(GL_RAW!A648="","",TRIM(GL_RAW!G648))</f>
        <v/>
      </c>
      <c r="H648" s="12">
        <f>IF(GL_RAW!A648="","",IFERROR(GL_RAW!E648,0))</f>
        <v/>
      </c>
      <c r="I648" s="12">
        <f>IF(GL_RAW!A648="","",ABS(H648))</f>
        <v/>
      </c>
      <c r="J648" s="11">
        <f>IF(GL_RAW!A648="","",IF(OR(ISNUMBER(SEARCH("Out",F648)),ISNUMBER(SEARCH("11025002",F648)),H648&lt;0),"OUT","IN"))</f>
        <v/>
      </c>
      <c r="K648" s="11" t="inlineStr"/>
    </row>
    <row r="649">
      <c r="A649" s="13">
        <f>IF(GL_RAW!A649="","",ROW()-1)</f>
        <v/>
      </c>
      <c r="B649" s="10">
        <f>IF(GL_RAW!A649="","",IF(ISNUMBER(GL_RAW!A649),GL_RAW!A649,DATEVALUE(TEXT(GL_RAW!A649,"YYYY-MM-DD"))))</f>
        <v/>
      </c>
      <c r="C649" s="11">
        <f>IF(GL_RAW!A649="","",TRIM(GL_RAW!B649))</f>
        <v/>
      </c>
      <c r="D649" s="11">
        <f>IF(GL_RAW!A649="","",TRIM(GL_RAW!C649))</f>
        <v/>
      </c>
      <c r="E649" s="11">
        <f>IF(GL_RAW!A649="","",TRIM(GL_RAW!D649))</f>
        <v/>
      </c>
      <c r="F649" s="11">
        <f>IF(GL_RAW!A649="","",TRIM(GL_RAW!F649))</f>
        <v/>
      </c>
      <c r="G649" s="11">
        <f>IF(GL_RAW!A649="","",TRIM(GL_RAW!G649))</f>
        <v/>
      </c>
      <c r="H649" s="12">
        <f>IF(GL_RAW!A649="","",IFERROR(GL_RAW!E649,0))</f>
        <v/>
      </c>
      <c r="I649" s="12">
        <f>IF(GL_RAW!A649="","",ABS(H649))</f>
        <v/>
      </c>
      <c r="J649" s="11">
        <f>IF(GL_RAW!A649="","",IF(OR(ISNUMBER(SEARCH("Out",F649)),ISNUMBER(SEARCH("11025002",F649)),H649&lt;0),"OUT","IN"))</f>
        <v/>
      </c>
      <c r="K649" s="11" t="inlineStr"/>
    </row>
    <row r="650">
      <c r="A650" s="13">
        <f>IF(GL_RAW!A650="","",ROW()-1)</f>
        <v/>
      </c>
      <c r="B650" s="10">
        <f>IF(GL_RAW!A650="","",IF(ISNUMBER(GL_RAW!A650),GL_RAW!A650,DATEVALUE(TEXT(GL_RAW!A650,"YYYY-MM-DD"))))</f>
        <v/>
      </c>
      <c r="C650" s="11">
        <f>IF(GL_RAW!A650="","",TRIM(GL_RAW!B650))</f>
        <v/>
      </c>
      <c r="D650" s="11">
        <f>IF(GL_RAW!A650="","",TRIM(GL_RAW!C650))</f>
        <v/>
      </c>
      <c r="E650" s="11">
        <f>IF(GL_RAW!A650="","",TRIM(GL_RAW!D650))</f>
        <v/>
      </c>
      <c r="F650" s="11">
        <f>IF(GL_RAW!A650="","",TRIM(GL_RAW!F650))</f>
        <v/>
      </c>
      <c r="G650" s="11">
        <f>IF(GL_RAW!A650="","",TRIM(GL_RAW!G650))</f>
        <v/>
      </c>
      <c r="H650" s="12">
        <f>IF(GL_RAW!A650="","",IFERROR(GL_RAW!E650,0))</f>
        <v/>
      </c>
      <c r="I650" s="12">
        <f>IF(GL_RAW!A650="","",ABS(H650))</f>
        <v/>
      </c>
      <c r="J650" s="11">
        <f>IF(GL_RAW!A650="","",IF(OR(ISNUMBER(SEARCH("Out",F650)),ISNUMBER(SEARCH("11025002",F650)),H650&lt;0),"OUT","IN"))</f>
        <v/>
      </c>
      <c r="K650" s="11" t="inlineStr"/>
    </row>
    <row r="651">
      <c r="A651" s="13">
        <f>IF(GL_RAW!A651="","",ROW()-1)</f>
        <v/>
      </c>
      <c r="B651" s="10">
        <f>IF(GL_RAW!A651="","",IF(ISNUMBER(GL_RAW!A651),GL_RAW!A651,DATEVALUE(TEXT(GL_RAW!A651,"YYYY-MM-DD"))))</f>
        <v/>
      </c>
      <c r="C651" s="11">
        <f>IF(GL_RAW!A651="","",TRIM(GL_RAW!B651))</f>
        <v/>
      </c>
      <c r="D651" s="11">
        <f>IF(GL_RAW!A651="","",TRIM(GL_RAW!C651))</f>
        <v/>
      </c>
      <c r="E651" s="11">
        <f>IF(GL_RAW!A651="","",TRIM(GL_RAW!D651))</f>
        <v/>
      </c>
      <c r="F651" s="11">
        <f>IF(GL_RAW!A651="","",TRIM(GL_RAW!F651))</f>
        <v/>
      </c>
      <c r="G651" s="11">
        <f>IF(GL_RAW!A651="","",TRIM(GL_RAW!G651))</f>
        <v/>
      </c>
      <c r="H651" s="12">
        <f>IF(GL_RAW!A651="","",IFERROR(GL_RAW!E651,0))</f>
        <v/>
      </c>
      <c r="I651" s="12">
        <f>IF(GL_RAW!A651="","",ABS(H651))</f>
        <v/>
      </c>
      <c r="J651" s="11">
        <f>IF(GL_RAW!A651="","",IF(OR(ISNUMBER(SEARCH("Out",F651)),ISNUMBER(SEARCH("11025002",F651)),H651&lt;0),"OUT","IN"))</f>
        <v/>
      </c>
      <c r="K651" s="11" t="inlineStr"/>
    </row>
    <row r="652">
      <c r="A652" s="13">
        <f>IF(GL_RAW!A652="","",ROW()-1)</f>
        <v/>
      </c>
      <c r="B652" s="10">
        <f>IF(GL_RAW!A652="","",IF(ISNUMBER(GL_RAW!A652),GL_RAW!A652,DATEVALUE(TEXT(GL_RAW!A652,"YYYY-MM-DD"))))</f>
        <v/>
      </c>
      <c r="C652" s="11">
        <f>IF(GL_RAW!A652="","",TRIM(GL_RAW!B652))</f>
        <v/>
      </c>
      <c r="D652" s="11">
        <f>IF(GL_RAW!A652="","",TRIM(GL_RAW!C652))</f>
        <v/>
      </c>
      <c r="E652" s="11">
        <f>IF(GL_RAW!A652="","",TRIM(GL_RAW!D652))</f>
        <v/>
      </c>
      <c r="F652" s="11">
        <f>IF(GL_RAW!A652="","",TRIM(GL_RAW!F652))</f>
        <v/>
      </c>
      <c r="G652" s="11">
        <f>IF(GL_RAW!A652="","",TRIM(GL_RAW!G652))</f>
        <v/>
      </c>
      <c r="H652" s="12">
        <f>IF(GL_RAW!A652="","",IFERROR(GL_RAW!E652,0))</f>
        <v/>
      </c>
      <c r="I652" s="12">
        <f>IF(GL_RAW!A652="","",ABS(H652))</f>
        <v/>
      </c>
      <c r="J652" s="11">
        <f>IF(GL_RAW!A652="","",IF(OR(ISNUMBER(SEARCH("Out",F652)),ISNUMBER(SEARCH("11025002",F652)),H652&lt;0),"OUT","IN"))</f>
        <v/>
      </c>
      <c r="K652" s="11" t="inlineStr"/>
    </row>
    <row r="653">
      <c r="A653" s="13">
        <f>IF(GL_RAW!A653="","",ROW()-1)</f>
        <v/>
      </c>
      <c r="B653" s="10">
        <f>IF(GL_RAW!A653="","",IF(ISNUMBER(GL_RAW!A653),GL_RAW!A653,DATEVALUE(TEXT(GL_RAW!A653,"YYYY-MM-DD"))))</f>
        <v/>
      </c>
      <c r="C653" s="11">
        <f>IF(GL_RAW!A653="","",TRIM(GL_RAW!B653))</f>
        <v/>
      </c>
      <c r="D653" s="11">
        <f>IF(GL_RAW!A653="","",TRIM(GL_RAW!C653))</f>
        <v/>
      </c>
      <c r="E653" s="11">
        <f>IF(GL_RAW!A653="","",TRIM(GL_RAW!D653))</f>
        <v/>
      </c>
      <c r="F653" s="11">
        <f>IF(GL_RAW!A653="","",TRIM(GL_RAW!F653))</f>
        <v/>
      </c>
      <c r="G653" s="11">
        <f>IF(GL_RAW!A653="","",TRIM(GL_RAW!G653))</f>
        <v/>
      </c>
      <c r="H653" s="12">
        <f>IF(GL_RAW!A653="","",IFERROR(GL_RAW!E653,0))</f>
        <v/>
      </c>
      <c r="I653" s="12">
        <f>IF(GL_RAW!A653="","",ABS(H653))</f>
        <v/>
      </c>
      <c r="J653" s="11">
        <f>IF(GL_RAW!A653="","",IF(OR(ISNUMBER(SEARCH("Out",F653)),ISNUMBER(SEARCH("11025002",F653)),H653&lt;0),"OUT","IN"))</f>
        <v/>
      </c>
      <c r="K653" s="11" t="inlineStr"/>
    </row>
    <row r="654">
      <c r="A654" s="13">
        <f>IF(GL_RAW!A654="","",ROW()-1)</f>
        <v/>
      </c>
      <c r="B654" s="10">
        <f>IF(GL_RAW!A654="","",IF(ISNUMBER(GL_RAW!A654),GL_RAW!A654,DATEVALUE(TEXT(GL_RAW!A654,"YYYY-MM-DD"))))</f>
        <v/>
      </c>
      <c r="C654" s="11">
        <f>IF(GL_RAW!A654="","",TRIM(GL_RAW!B654))</f>
        <v/>
      </c>
      <c r="D654" s="11">
        <f>IF(GL_RAW!A654="","",TRIM(GL_RAW!C654))</f>
        <v/>
      </c>
      <c r="E654" s="11">
        <f>IF(GL_RAW!A654="","",TRIM(GL_RAW!D654))</f>
        <v/>
      </c>
      <c r="F654" s="11">
        <f>IF(GL_RAW!A654="","",TRIM(GL_RAW!F654))</f>
        <v/>
      </c>
      <c r="G654" s="11">
        <f>IF(GL_RAW!A654="","",TRIM(GL_RAW!G654))</f>
        <v/>
      </c>
      <c r="H654" s="12">
        <f>IF(GL_RAW!A654="","",IFERROR(GL_RAW!E654,0))</f>
        <v/>
      </c>
      <c r="I654" s="12">
        <f>IF(GL_RAW!A654="","",ABS(H654))</f>
        <v/>
      </c>
      <c r="J654" s="11">
        <f>IF(GL_RAW!A654="","",IF(OR(ISNUMBER(SEARCH("Out",F654)),ISNUMBER(SEARCH("11025002",F654)),H654&lt;0),"OUT","IN"))</f>
        <v/>
      </c>
      <c r="K654" s="11" t="inlineStr"/>
    </row>
    <row r="655">
      <c r="A655" s="13">
        <f>IF(GL_RAW!A655="","",ROW()-1)</f>
        <v/>
      </c>
      <c r="B655" s="10">
        <f>IF(GL_RAW!A655="","",IF(ISNUMBER(GL_RAW!A655),GL_RAW!A655,DATEVALUE(TEXT(GL_RAW!A655,"YYYY-MM-DD"))))</f>
        <v/>
      </c>
      <c r="C655" s="11">
        <f>IF(GL_RAW!A655="","",TRIM(GL_RAW!B655))</f>
        <v/>
      </c>
      <c r="D655" s="11">
        <f>IF(GL_RAW!A655="","",TRIM(GL_RAW!C655))</f>
        <v/>
      </c>
      <c r="E655" s="11">
        <f>IF(GL_RAW!A655="","",TRIM(GL_RAW!D655))</f>
        <v/>
      </c>
      <c r="F655" s="11">
        <f>IF(GL_RAW!A655="","",TRIM(GL_RAW!F655))</f>
        <v/>
      </c>
      <c r="G655" s="11">
        <f>IF(GL_RAW!A655="","",TRIM(GL_RAW!G655))</f>
        <v/>
      </c>
      <c r="H655" s="12">
        <f>IF(GL_RAW!A655="","",IFERROR(GL_RAW!E655,0))</f>
        <v/>
      </c>
      <c r="I655" s="12">
        <f>IF(GL_RAW!A655="","",ABS(H655))</f>
        <v/>
      </c>
      <c r="J655" s="11">
        <f>IF(GL_RAW!A655="","",IF(OR(ISNUMBER(SEARCH("Out",F655)),ISNUMBER(SEARCH("11025002",F655)),H655&lt;0),"OUT","IN"))</f>
        <v/>
      </c>
      <c r="K655" s="11" t="inlineStr"/>
    </row>
    <row r="656">
      <c r="A656" s="13">
        <f>IF(GL_RAW!A656="","",ROW()-1)</f>
        <v/>
      </c>
      <c r="B656" s="10">
        <f>IF(GL_RAW!A656="","",IF(ISNUMBER(GL_RAW!A656),GL_RAW!A656,DATEVALUE(TEXT(GL_RAW!A656,"YYYY-MM-DD"))))</f>
        <v/>
      </c>
      <c r="C656" s="11">
        <f>IF(GL_RAW!A656="","",TRIM(GL_RAW!B656))</f>
        <v/>
      </c>
      <c r="D656" s="11">
        <f>IF(GL_RAW!A656="","",TRIM(GL_RAW!C656))</f>
        <v/>
      </c>
      <c r="E656" s="11">
        <f>IF(GL_RAW!A656="","",TRIM(GL_RAW!D656))</f>
        <v/>
      </c>
      <c r="F656" s="11">
        <f>IF(GL_RAW!A656="","",TRIM(GL_RAW!F656))</f>
        <v/>
      </c>
      <c r="G656" s="11">
        <f>IF(GL_RAW!A656="","",TRIM(GL_RAW!G656))</f>
        <v/>
      </c>
      <c r="H656" s="12">
        <f>IF(GL_RAW!A656="","",IFERROR(GL_RAW!E656,0))</f>
        <v/>
      </c>
      <c r="I656" s="12">
        <f>IF(GL_RAW!A656="","",ABS(H656))</f>
        <v/>
      </c>
      <c r="J656" s="11">
        <f>IF(GL_RAW!A656="","",IF(OR(ISNUMBER(SEARCH("Out",F656)),ISNUMBER(SEARCH("11025002",F656)),H656&lt;0),"OUT","IN"))</f>
        <v/>
      </c>
      <c r="K656" s="11" t="inlineStr"/>
    </row>
    <row r="657">
      <c r="A657" s="13">
        <f>IF(GL_RAW!A657="","",ROW()-1)</f>
        <v/>
      </c>
      <c r="B657" s="10">
        <f>IF(GL_RAW!A657="","",IF(ISNUMBER(GL_RAW!A657),GL_RAW!A657,DATEVALUE(TEXT(GL_RAW!A657,"YYYY-MM-DD"))))</f>
        <v/>
      </c>
      <c r="C657" s="11">
        <f>IF(GL_RAW!A657="","",TRIM(GL_RAW!B657))</f>
        <v/>
      </c>
      <c r="D657" s="11">
        <f>IF(GL_RAW!A657="","",TRIM(GL_RAW!C657))</f>
        <v/>
      </c>
      <c r="E657" s="11">
        <f>IF(GL_RAW!A657="","",TRIM(GL_RAW!D657))</f>
        <v/>
      </c>
      <c r="F657" s="11">
        <f>IF(GL_RAW!A657="","",TRIM(GL_RAW!F657))</f>
        <v/>
      </c>
      <c r="G657" s="11">
        <f>IF(GL_RAW!A657="","",TRIM(GL_RAW!G657))</f>
        <v/>
      </c>
      <c r="H657" s="12">
        <f>IF(GL_RAW!A657="","",IFERROR(GL_RAW!E657,0))</f>
        <v/>
      </c>
      <c r="I657" s="12">
        <f>IF(GL_RAW!A657="","",ABS(H657))</f>
        <v/>
      </c>
      <c r="J657" s="11">
        <f>IF(GL_RAW!A657="","",IF(OR(ISNUMBER(SEARCH("Out",F657)),ISNUMBER(SEARCH("11025002",F657)),H657&lt;0),"OUT","IN"))</f>
        <v/>
      </c>
      <c r="K657" s="11" t="inlineStr"/>
    </row>
    <row r="658">
      <c r="A658" s="13">
        <f>IF(GL_RAW!A658="","",ROW()-1)</f>
        <v/>
      </c>
      <c r="B658" s="10">
        <f>IF(GL_RAW!A658="","",IF(ISNUMBER(GL_RAW!A658),GL_RAW!A658,DATEVALUE(TEXT(GL_RAW!A658,"YYYY-MM-DD"))))</f>
        <v/>
      </c>
      <c r="C658" s="11">
        <f>IF(GL_RAW!A658="","",TRIM(GL_RAW!B658))</f>
        <v/>
      </c>
      <c r="D658" s="11">
        <f>IF(GL_RAW!A658="","",TRIM(GL_RAW!C658))</f>
        <v/>
      </c>
      <c r="E658" s="11">
        <f>IF(GL_RAW!A658="","",TRIM(GL_RAW!D658))</f>
        <v/>
      </c>
      <c r="F658" s="11">
        <f>IF(GL_RAW!A658="","",TRIM(GL_RAW!F658))</f>
        <v/>
      </c>
      <c r="G658" s="11">
        <f>IF(GL_RAW!A658="","",TRIM(GL_RAW!G658))</f>
        <v/>
      </c>
      <c r="H658" s="12">
        <f>IF(GL_RAW!A658="","",IFERROR(GL_RAW!E658,0))</f>
        <v/>
      </c>
      <c r="I658" s="12">
        <f>IF(GL_RAW!A658="","",ABS(H658))</f>
        <v/>
      </c>
      <c r="J658" s="11">
        <f>IF(GL_RAW!A658="","",IF(OR(ISNUMBER(SEARCH("Out",F658)),ISNUMBER(SEARCH("11025002",F658)),H658&lt;0),"OUT","IN"))</f>
        <v/>
      </c>
      <c r="K658" s="11" t="inlineStr"/>
    </row>
    <row r="659">
      <c r="A659" s="13">
        <f>IF(GL_RAW!A659="","",ROW()-1)</f>
        <v/>
      </c>
      <c r="B659" s="10">
        <f>IF(GL_RAW!A659="","",IF(ISNUMBER(GL_RAW!A659),GL_RAW!A659,DATEVALUE(TEXT(GL_RAW!A659,"YYYY-MM-DD"))))</f>
        <v/>
      </c>
      <c r="C659" s="11">
        <f>IF(GL_RAW!A659="","",TRIM(GL_RAW!B659))</f>
        <v/>
      </c>
      <c r="D659" s="11">
        <f>IF(GL_RAW!A659="","",TRIM(GL_RAW!C659))</f>
        <v/>
      </c>
      <c r="E659" s="11">
        <f>IF(GL_RAW!A659="","",TRIM(GL_RAW!D659))</f>
        <v/>
      </c>
      <c r="F659" s="11">
        <f>IF(GL_RAW!A659="","",TRIM(GL_RAW!F659))</f>
        <v/>
      </c>
      <c r="G659" s="11">
        <f>IF(GL_RAW!A659="","",TRIM(GL_RAW!G659))</f>
        <v/>
      </c>
      <c r="H659" s="12">
        <f>IF(GL_RAW!A659="","",IFERROR(GL_RAW!E659,0))</f>
        <v/>
      </c>
      <c r="I659" s="12">
        <f>IF(GL_RAW!A659="","",ABS(H659))</f>
        <v/>
      </c>
      <c r="J659" s="11">
        <f>IF(GL_RAW!A659="","",IF(OR(ISNUMBER(SEARCH("Out",F659)),ISNUMBER(SEARCH("11025002",F659)),H659&lt;0),"OUT","IN"))</f>
        <v/>
      </c>
      <c r="K659" s="11" t="inlineStr"/>
    </row>
    <row r="660">
      <c r="A660" s="13">
        <f>IF(GL_RAW!A660="","",ROW()-1)</f>
        <v/>
      </c>
      <c r="B660" s="10">
        <f>IF(GL_RAW!A660="","",IF(ISNUMBER(GL_RAW!A660),GL_RAW!A660,DATEVALUE(TEXT(GL_RAW!A660,"YYYY-MM-DD"))))</f>
        <v/>
      </c>
      <c r="C660" s="11">
        <f>IF(GL_RAW!A660="","",TRIM(GL_RAW!B660))</f>
        <v/>
      </c>
      <c r="D660" s="11">
        <f>IF(GL_RAW!A660="","",TRIM(GL_RAW!C660))</f>
        <v/>
      </c>
      <c r="E660" s="11">
        <f>IF(GL_RAW!A660="","",TRIM(GL_RAW!D660))</f>
        <v/>
      </c>
      <c r="F660" s="11">
        <f>IF(GL_RAW!A660="","",TRIM(GL_RAW!F660))</f>
        <v/>
      </c>
      <c r="G660" s="11">
        <f>IF(GL_RAW!A660="","",TRIM(GL_RAW!G660))</f>
        <v/>
      </c>
      <c r="H660" s="12">
        <f>IF(GL_RAW!A660="","",IFERROR(GL_RAW!E660,0))</f>
        <v/>
      </c>
      <c r="I660" s="12">
        <f>IF(GL_RAW!A660="","",ABS(H660))</f>
        <v/>
      </c>
      <c r="J660" s="11">
        <f>IF(GL_RAW!A660="","",IF(OR(ISNUMBER(SEARCH("Out",F660)),ISNUMBER(SEARCH("11025002",F660)),H660&lt;0),"OUT","IN"))</f>
        <v/>
      </c>
      <c r="K660" s="11" t="inlineStr"/>
    </row>
    <row r="661">
      <c r="A661" s="13">
        <f>IF(GL_RAW!A661="","",ROW()-1)</f>
        <v/>
      </c>
      <c r="B661" s="10">
        <f>IF(GL_RAW!A661="","",IF(ISNUMBER(GL_RAW!A661),GL_RAW!A661,DATEVALUE(TEXT(GL_RAW!A661,"YYYY-MM-DD"))))</f>
        <v/>
      </c>
      <c r="C661" s="11">
        <f>IF(GL_RAW!A661="","",TRIM(GL_RAW!B661))</f>
        <v/>
      </c>
      <c r="D661" s="11">
        <f>IF(GL_RAW!A661="","",TRIM(GL_RAW!C661))</f>
        <v/>
      </c>
      <c r="E661" s="11">
        <f>IF(GL_RAW!A661="","",TRIM(GL_RAW!D661))</f>
        <v/>
      </c>
      <c r="F661" s="11">
        <f>IF(GL_RAW!A661="","",TRIM(GL_RAW!F661))</f>
        <v/>
      </c>
      <c r="G661" s="11">
        <f>IF(GL_RAW!A661="","",TRIM(GL_RAW!G661))</f>
        <v/>
      </c>
      <c r="H661" s="12">
        <f>IF(GL_RAW!A661="","",IFERROR(GL_RAW!E661,0))</f>
        <v/>
      </c>
      <c r="I661" s="12">
        <f>IF(GL_RAW!A661="","",ABS(H661))</f>
        <v/>
      </c>
      <c r="J661" s="11">
        <f>IF(GL_RAW!A661="","",IF(OR(ISNUMBER(SEARCH("Out",F661)),ISNUMBER(SEARCH("11025002",F661)),H661&lt;0),"OUT","IN"))</f>
        <v/>
      </c>
      <c r="K661" s="11" t="inlineStr"/>
    </row>
    <row r="662">
      <c r="A662" s="13">
        <f>IF(GL_RAW!A662="","",ROW()-1)</f>
        <v/>
      </c>
      <c r="B662" s="10">
        <f>IF(GL_RAW!A662="","",IF(ISNUMBER(GL_RAW!A662),GL_RAW!A662,DATEVALUE(TEXT(GL_RAW!A662,"YYYY-MM-DD"))))</f>
        <v/>
      </c>
      <c r="C662" s="11">
        <f>IF(GL_RAW!A662="","",TRIM(GL_RAW!B662))</f>
        <v/>
      </c>
      <c r="D662" s="11">
        <f>IF(GL_RAW!A662="","",TRIM(GL_RAW!C662))</f>
        <v/>
      </c>
      <c r="E662" s="11">
        <f>IF(GL_RAW!A662="","",TRIM(GL_RAW!D662))</f>
        <v/>
      </c>
      <c r="F662" s="11">
        <f>IF(GL_RAW!A662="","",TRIM(GL_RAW!F662))</f>
        <v/>
      </c>
      <c r="G662" s="11">
        <f>IF(GL_RAW!A662="","",TRIM(GL_RAW!G662))</f>
        <v/>
      </c>
      <c r="H662" s="12">
        <f>IF(GL_RAW!A662="","",IFERROR(GL_RAW!E662,0))</f>
        <v/>
      </c>
      <c r="I662" s="12">
        <f>IF(GL_RAW!A662="","",ABS(H662))</f>
        <v/>
      </c>
      <c r="J662" s="11">
        <f>IF(GL_RAW!A662="","",IF(OR(ISNUMBER(SEARCH("Out",F662)),ISNUMBER(SEARCH("11025002",F662)),H662&lt;0),"OUT","IN"))</f>
        <v/>
      </c>
      <c r="K662" s="11" t="inlineStr"/>
    </row>
    <row r="663">
      <c r="A663" s="13">
        <f>IF(GL_RAW!A663="","",ROW()-1)</f>
        <v/>
      </c>
      <c r="B663" s="10">
        <f>IF(GL_RAW!A663="","",IF(ISNUMBER(GL_RAW!A663),GL_RAW!A663,DATEVALUE(TEXT(GL_RAW!A663,"YYYY-MM-DD"))))</f>
        <v/>
      </c>
      <c r="C663" s="11">
        <f>IF(GL_RAW!A663="","",TRIM(GL_RAW!B663))</f>
        <v/>
      </c>
      <c r="D663" s="11">
        <f>IF(GL_RAW!A663="","",TRIM(GL_RAW!C663))</f>
        <v/>
      </c>
      <c r="E663" s="11">
        <f>IF(GL_RAW!A663="","",TRIM(GL_RAW!D663))</f>
        <v/>
      </c>
      <c r="F663" s="11">
        <f>IF(GL_RAW!A663="","",TRIM(GL_RAW!F663))</f>
        <v/>
      </c>
      <c r="G663" s="11">
        <f>IF(GL_RAW!A663="","",TRIM(GL_RAW!G663))</f>
        <v/>
      </c>
      <c r="H663" s="12">
        <f>IF(GL_RAW!A663="","",IFERROR(GL_RAW!E663,0))</f>
        <v/>
      </c>
      <c r="I663" s="12">
        <f>IF(GL_RAW!A663="","",ABS(H663))</f>
        <v/>
      </c>
      <c r="J663" s="11">
        <f>IF(GL_RAW!A663="","",IF(OR(ISNUMBER(SEARCH("Out",F663)),ISNUMBER(SEARCH("11025002",F663)),H663&lt;0),"OUT","IN"))</f>
        <v/>
      </c>
      <c r="K663" s="11" t="inlineStr"/>
    </row>
    <row r="664">
      <c r="A664" s="13">
        <f>IF(GL_RAW!A664="","",ROW()-1)</f>
        <v/>
      </c>
      <c r="B664" s="10">
        <f>IF(GL_RAW!A664="","",IF(ISNUMBER(GL_RAW!A664),GL_RAW!A664,DATEVALUE(TEXT(GL_RAW!A664,"YYYY-MM-DD"))))</f>
        <v/>
      </c>
      <c r="C664" s="11">
        <f>IF(GL_RAW!A664="","",TRIM(GL_RAW!B664))</f>
        <v/>
      </c>
      <c r="D664" s="11">
        <f>IF(GL_RAW!A664="","",TRIM(GL_RAW!C664))</f>
        <v/>
      </c>
      <c r="E664" s="11">
        <f>IF(GL_RAW!A664="","",TRIM(GL_RAW!D664))</f>
        <v/>
      </c>
      <c r="F664" s="11">
        <f>IF(GL_RAW!A664="","",TRIM(GL_RAW!F664))</f>
        <v/>
      </c>
      <c r="G664" s="11">
        <f>IF(GL_RAW!A664="","",TRIM(GL_RAW!G664))</f>
        <v/>
      </c>
      <c r="H664" s="12">
        <f>IF(GL_RAW!A664="","",IFERROR(GL_RAW!E664,0))</f>
        <v/>
      </c>
      <c r="I664" s="12">
        <f>IF(GL_RAW!A664="","",ABS(H664))</f>
        <v/>
      </c>
      <c r="J664" s="11">
        <f>IF(GL_RAW!A664="","",IF(OR(ISNUMBER(SEARCH("Out",F664)),ISNUMBER(SEARCH("11025002",F664)),H664&lt;0),"OUT","IN"))</f>
        <v/>
      </c>
      <c r="K664" s="11" t="inlineStr"/>
    </row>
    <row r="665">
      <c r="A665" s="13">
        <f>IF(GL_RAW!A665="","",ROW()-1)</f>
        <v/>
      </c>
      <c r="B665" s="10">
        <f>IF(GL_RAW!A665="","",IF(ISNUMBER(GL_RAW!A665),GL_RAW!A665,DATEVALUE(TEXT(GL_RAW!A665,"YYYY-MM-DD"))))</f>
        <v/>
      </c>
      <c r="C665" s="11">
        <f>IF(GL_RAW!A665="","",TRIM(GL_RAW!B665))</f>
        <v/>
      </c>
      <c r="D665" s="11">
        <f>IF(GL_RAW!A665="","",TRIM(GL_RAW!C665))</f>
        <v/>
      </c>
      <c r="E665" s="11">
        <f>IF(GL_RAW!A665="","",TRIM(GL_RAW!D665))</f>
        <v/>
      </c>
      <c r="F665" s="11">
        <f>IF(GL_RAW!A665="","",TRIM(GL_RAW!F665))</f>
        <v/>
      </c>
      <c r="G665" s="11">
        <f>IF(GL_RAW!A665="","",TRIM(GL_RAW!G665))</f>
        <v/>
      </c>
      <c r="H665" s="12">
        <f>IF(GL_RAW!A665="","",IFERROR(GL_RAW!E665,0))</f>
        <v/>
      </c>
      <c r="I665" s="12">
        <f>IF(GL_RAW!A665="","",ABS(H665))</f>
        <v/>
      </c>
      <c r="J665" s="11">
        <f>IF(GL_RAW!A665="","",IF(OR(ISNUMBER(SEARCH("Out",F665)),ISNUMBER(SEARCH("11025002",F665)),H665&lt;0),"OUT","IN"))</f>
        <v/>
      </c>
      <c r="K665" s="11" t="inlineStr"/>
    </row>
    <row r="666">
      <c r="A666" s="13">
        <f>IF(GL_RAW!A666="","",ROW()-1)</f>
        <v/>
      </c>
      <c r="B666" s="10">
        <f>IF(GL_RAW!A666="","",IF(ISNUMBER(GL_RAW!A666),GL_RAW!A666,DATEVALUE(TEXT(GL_RAW!A666,"YYYY-MM-DD"))))</f>
        <v/>
      </c>
      <c r="C666" s="11">
        <f>IF(GL_RAW!A666="","",TRIM(GL_RAW!B666))</f>
        <v/>
      </c>
      <c r="D666" s="11">
        <f>IF(GL_RAW!A666="","",TRIM(GL_RAW!C666))</f>
        <v/>
      </c>
      <c r="E666" s="11">
        <f>IF(GL_RAW!A666="","",TRIM(GL_RAW!D666))</f>
        <v/>
      </c>
      <c r="F666" s="11">
        <f>IF(GL_RAW!A666="","",TRIM(GL_RAW!F666))</f>
        <v/>
      </c>
      <c r="G666" s="11">
        <f>IF(GL_RAW!A666="","",TRIM(GL_RAW!G666))</f>
        <v/>
      </c>
      <c r="H666" s="12">
        <f>IF(GL_RAW!A666="","",IFERROR(GL_RAW!E666,0))</f>
        <v/>
      </c>
      <c r="I666" s="12">
        <f>IF(GL_RAW!A666="","",ABS(H666))</f>
        <v/>
      </c>
      <c r="J666" s="11">
        <f>IF(GL_RAW!A666="","",IF(OR(ISNUMBER(SEARCH("Out",F666)),ISNUMBER(SEARCH("11025002",F666)),H666&lt;0),"OUT","IN"))</f>
        <v/>
      </c>
      <c r="K666" s="11" t="inlineStr"/>
    </row>
    <row r="667">
      <c r="A667" s="13">
        <f>IF(GL_RAW!A667="","",ROW()-1)</f>
        <v/>
      </c>
      <c r="B667" s="10">
        <f>IF(GL_RAW!A667="","",IF(ISNUMBER(GL_RAW!A667),GL_RAW!A667,DATEVALUE(TEXT(GL_RAW!A667,"YYYY-MM-DD"))))</f>
        <v/>
      </c>
      <c r="C667" s="11">
        <f>IF(GL_RAW!A667="","",TRIM(GL_RAW!B667))</f>
        <v/>
      </c>
      <c r="D667" s="11">
        <f>IF(GL_RAW!A667="","",TRIM(GL_RAW!C667))</f>
        <v/>
      </c>
      <c r="E667" s="11">
        <f>IF(GL_RAW!A667="","",TRIM(GL_RAW!D667))</f>
        <v/>
      </c>
      <c r="F667" s="11">
        <f>IF(GL_RAW!A667="","",TRIM(GL_RAW!F667))</f>
        <v/>
      </c>
      <c r="G667" s="11">
        <f>IF(GL_RAW!A667="","",TRIM(GL_RAW!G667))</f>
        <v/>
      </c>
      <c r="H667" s="12">
        <f>IF(GL_RAW!A667="","",IFERROR(GL_RAW!E667,0))</f>
        <v/>
      </c>
      <c r="I667" s="12">
        <f>IF(GL_RAW!A667="","",ABS(H667))</f>
        <v/>
      </c>
      <c r="J667" s="11">
        <f>IF(GL_RAW!A667="","",IF(OR(ISNUMBER(SEARCH("Out",F667)),ISNUMBER(SEARCH("11025002",F667)),H667&lt;0),"OUT","IN"))</f>
        <v/>
      </c>
      <c r="K667" s="11" t="inlineStr"/>
    </row>
    <row r="668">
      <c r="A668" s="13">
        <f>IF(GL_RAW!A668="","",ROW()-1)</f>
        <v/>
      </c>
      <c r="B668" s="10">
        <f>IF(GL_RAW!A668="","",IF(ISNUMBER(GL_RAW!A668),GL_RAW!A668,DATEVALUE(TEXT(GL_RAW!A668,"YYYY-MM-DD"))))</f>
        <v/>
      </c>
      <c r="C668" s="11">
        <f>IF(GL_RAW!A668="","",TRIM(GL_RAW!B668))</f>
        <v/>
      </c>
      <c r="D668" s="11">
        <f>IF(GL_RAW!A668="","",TRIM(GL_RAW!C668))</f>
        <v/>
      </c>
      <c r="E668" s="11">
        <f>IF(GL_RAW!A668="","",TRIM(GL_RAW!D668))</f>
        <v/>
      </c>
      <c r="F668" s="11">
        <f>IF(GL_RAW!A668="","",TRIM(GL_RAW!F668))</f>
        <v/>
      </c>
      <c r="G668" s="11">
        <f>IF(GL_RAW!A668="","",TRIM(GL_RAW!G668))</f>
        <v/>
      </c>
      <c r="H668" s="12">
        <f>IF(GL_RAW!A668="","",IFERROR(GL_RAW!E668,0))</f>
        <v/>
      </c>
      <c r="I668" s="12">
        <f>IF(GL_RAW!A668="","",ABS(H668))</f>
        <v/>
      </c>
      <c r="J668" s="11">
        <f>IF(GL_RAW!A668="","",IF(OR(ISNUMBER(SEARCH("Out",F668)),ISNUMBER(SEARCH("11025002",F668)),H668&lt;0),"OUT","IN"))</f>
        <v/>
      </c>
      <c r="K668" s="11" t="inlineStr"/>
    </row>
    <row r="669">
      <c r="A669" s="13">
        <f>IF(GL_RAW!A669="","",ROW()-1)</f>
        <v/>
      </c>
      <c r="B669" s="10">
        <f>IF(GL_RAW!A669="","",IF(ISNUMBER(GL_RAW!A669),GL_RAW!A669,DATEVALUE(TEXT(GL_RAW!A669,"YYYY-MM-DD"))))</f>
        <v/>
      </c>
      <c r="C669" s="11">
        <f>IF(GL_RAW!A669="","",TRIM(GL_RAW!B669))</f>
        <v/>
      </c>
      <c r="D669" s="11">
        <f>IF(GL_RAW!A669="","",TRIM(GL_RAW!C669))</f>
        <v/>
      </c>
      <c r="E669" s="11">
        <f>IF(GL_RAW!A669="","",TRIM(GL_RAW!D669))</f>
        <v/>
      </c>
      <c r="F669" s="11">
        <f>IF(GL_RAW!A669="","",TRIM(GL_RAW!F669))</f>
        <v/>
      </c>
      <c r="G669" s="11">
        <f>IF(GL_RAW!A669="","",TRIM(GL_RAW!G669))</f>
        <v/>
      </c>
      <c r="H669" s="12">
        <f>IF(GL_RAW!A669="","",IFERROR(GL_RAW!E669,0))</f>
        <v/>
      </c>
      <c r="I669" s="12">
        <f>IF(GL_RAW!A669="","",ABS(H669))</f>
        <v/>
      </c>
      <c r="J669" s="11">
        <f>IF(GL_RAW!A669="","",IF(OR(ISNUMBER(SEARCH("Out",F669)),ISNUMBER(SEARCH("11025002",F669)),H669&lt;0),"OUT","IN"))</f>
        <v/>
      </c>
      <c r="K669" s="11" t="inlineStr"/>
    </row>
    <row r="670">
      <c r="A670" s="13">
        <f>IF(GL_RAW!A670="","",ROW()-1)</f>
        <v/>
      </c>
      <c r="B670" s="10">
        <f>IF(GL_RAW!A670="","",IF(ISNUMBER(GL_RAW!A670),GL_RAW!A670,DATEVALUE(TEXT(GL_RAW!A670,"YYYY-MM-DD"))))</f>
        <v/>
      </c>
      <c r="C670" s="11">
        <f>IF(GL_RAW!A670="","",TRIM(GL_RAW!B670))</f>
        <v/>
      </c>
      <c r="D670" s="11">
        <f>IF(GL_RAW!A670="","",TRIM(GL_RAW!C670))</f>
        <v/>
      </c>
      <c r="E670" s="11">
        <f>IF(GL_RAW!A670="","",TRIM(GL_RAW!D670))</f>
        <v/>
      </c>
      <c r="F670" s="11">
        <f>IF(GL_RAW!A670="","",TRIM(GL_RAW!F670))</f>
        <v/>
      </c>
      <c r="G670" s="11">
        <f>IF(GL_RAW!A670="","",TRIM(GL_RAW!G670))</f>
        <v/>
      </c>
      <c r="H670" s="12">
        <f>IF(GL_RAW!A670="","",IFERROR(GL_RAW!E670,0))</f>
        <v/>
      </c>
      <c r="I670" s="12">
        <f>IF(GL_RAW!A670="","",ABS(H670))</f>
        <v/>
      </c>
      <c r="J670" s="11">
        <f>IF(GL_RAW!A670="","",IF(OR(ISNUMBER(SEARCH("Out",F670)),ISNUMBER(SEARCH("11025002",F670)),H670&lt;0),"OUT","IN"))</f>
        <v/>
      </c>
      <c r="K670" s="11" t="inlineStr"/>
    </row>
    <row r="671">
      <c r="A671" s="13">
        <f>IF(GL_RAW!A671="","",ROW()-1)</f>
        <v/>
      </c>
      <c r="B671" s="10">
        <f>IF(GL_RAW!A671="","",IF(ISNUMBER(GL_RAW!A671),GL_RAW!A671,DATEVALUE(TEXT(GL_RAW!A671,"YYYY-MM-DD"))))</f>
        <v/>
      </c>
      <c r="C671" s="11">
        <f>IF(GL_RAW!A671="","",TRIM(GL_RAW!B671))</f>
        <v/>
      </c>
      <c r="D671" s="11">
        <f>IF(GL_RAW!A671="","",TRIM(GL_RAW!C671))</f>
        <v/>
      </c>
      <c r="E671" s="11">
        <f>IF(GL_RAW!A671="","",TRIM(GL_RAW!D671))</f>
        <v/>
      </c>
      <c r="F671" s="11">
        <f>IF(GL_RAW!A671="","",TRIM(GL_RAW!F671))</f>
        <v/>
      </c>
      <c r="G671" s="11">
        <f>IF(GL_RAW!A671="","",TRIM(GL_RAW!G671))</f>
        <v/>
      </c>
      <c r="H671" s="12">
        <f>IF(GL_RAW!A671="","",IFERROR(GL_RAW!E671,0))</f>
        <v/>
      </c>
      <c r="I671" s="12">
        <f>IF(GL_RAW!A671="","",ABS(H671))</f>
        <v/>
      </c>
      <c r="J671" s="11">
        <f>IF(GL_RAW!A671="","",IF(OR(ISNUMBER(SEARCH("Out",F671)),ISNUMBER(SEARCH("11025002",F671)),H671&lt;0),"OUT","IN"))</f>
        <v/>
      </c>
      <c r="K671" s="11" t="inlineStr"/>
    </row>
    <row r="672">
      <c r="A672" s="13">
        <f>IF(GL_RAW!A672="","",ROW()-1)</f>
        <v/>
      </c>
      <c r="B672" s="10">
        <f>IF(GL_RAW!A672="","",IF(ISNUMBER(GL_RAW!A672),GL_RAW!A672,DATEVALUE(TEXT(GL_RAW!A672,"YYYY-MM-DD"))))</f>
        <v/>
      </c>
      <c r="C672" s="11">
        <f>IF(GL_RAW!A672="","",TRIM(GL_RAW!B672))</f>
        <v/>
      </c>
      <c r="D672" s="11">
        <f>IF(GL_RAW!A672="","",TRIM(GL_RAW!C672))</f>
        <v/>
      </c>
      <c r="E672" s="11">
        <f>IF(GL_RAW!A672="","",TRIM(GL_RAW!D672))</f>
        <v/>
      </c>
      <c r="F672" s="11">
        <f>IF(GL_RAW!A672="","",TRIM(GL_RAW!F672))</f>
        <v/>
      </c>
      <c r="G672" s="11">
        <f>IF(GL_RAW!A672="","",TRIM(GL_RAW!G672))</f>
        <v/>
      </c>
      <c r="H672" s="12">
        <f>IF(GL_RAW!A672="","",IFERROR(GL_RAW!E672,0))</f>
        <v/>
      </c>
      <c r="I672" s="12">
        <f>IF(GL_RAW!A672="","",ABS(H672))</f>
        <v/>
      </c>
      <c r="J672" s="11">
        <f>IF(GL_RAW!A672="","",IF(OR(ISNUMBER(SEARCH("Out",F672)),ISNUMBER(SEARCH("11025002",F672)),H672&lt;0),"OUT","IN"))</f>
        <v/>
      </c>
      <c r="K672" s="11" t="inlineStr"/>
    </row>
    <row r="673">
      <c r="A673" s="13">
        <f>IF(GL_RAW!A673="","",ROW()-1)</f>
        <v/>
      </c>
      <c r="B673" s="10">
        <f>IF(GL_RAW!A673="","",IF(ISNUMBER(GL_RAW!A673),GL_RAW!A673,DATEVALUE(TEXT(GL_RAW!A673,"YYYY-MM-DD"))))</f>
        <v/>
      </c>
      <c r="C673" s="11">
        <f>IF(GL_RAW!A673="","",TRIM(GL_RAW!B673))</f>
        <v/>
      </c>
      <c r="D673" s="11">
        <f>IF(GL_RAW!A673="","",TRIM(GL_RAW!C673))</f>
        <v/>
      </c>
      <c r="E673" s="11">
        <f>IF(GL_RAW!A673="","",TRIM(GL_RAW!D673))</f>
        <v/>
      </c>
      <c r="F673" s="11">
        <f>IF(GL_RAW!A673="","",TRIM(GL_RAW!F673))</f>
        <v/>
      </c>
      <c r="G673" s="11">
        <f>IF(GL_RAW!A673="","",TRIM(GL_RAW!G673))</f>
        <v/>
      </c>
      <c r="H673" s="12">
        <f>IF(GL_RAW!A673="","",IFERROR(GL_RAW!E673,0))</f>
        <v/>
      </c>
      <c r="I673" s="12">
        <f>IF(GL_RAW!A673="","",ABS(H673))</f>
        <v/>
      </c>
      <c r="J673" s="11">
        <f>IF(GL_RAW!A673="","",IF(OR(ISNUMBER(SEARCH("Out",F673)),ISNUMBER(SEARCH("11025002",F673)),H673&lt;0),"OUT","IN"))</f>
        <v/>
      </c>
      <c r="K673" s="11" t="inlineStr"/>
    </row>
    <row r="674">
      <c r="A674" s="13">
        <f>IF(GL_RAW!A674="","",ROW()-1)</f>
        <v/>
      </c>
      <c r="B674" s="10">
        <f>IF(GL_RAW!A674="","",IF(ISNUMBER(GL_RAW!A674),GL_RAW!A674,DATEVALUE(TEXT(GL_RAW!A674,"YYYY-MM-DD"))))</f>
        <v/>
      </c>
      <c r="C674" s="11">
        <f>IF(GL_RAW!A674="","",TRIM(GL_RAW!B674))</f>
        <v/>
      </c>
      <c r="D674" s="11">
        <f>IF(GL_RAW!A674="","",TRIM(GL_RAW!C674))</f>
        <v/>
      </c>
      <c r="E674" s="11">
        <f>IF(GL_RAW!A674="","",TRIM(GL_RAW!D674))</f>
        <v/>
      </c>
      <c r="F674" s="11">
        <f>IF(GL_RAW!A674="","",TRIM(GL_RAW!F674))</f>
        <v/>
      </c>
      <c r="G674" s="11">
        <f>IF(GL_RAW!A674="","",TRIM(GL_RAW!G674))</f>
        <v/>
      </c>
      <c r="H674" s="12">
        <f>IF(GL_RAW!A674="","",IFERROR(GL_RAW!E674,0))</f>
        <v/>
      </c>
      <c r="I674" s="12">
        <f>IF(GL_RAW!A674="","",ABS(H674))</f>
        <v/>
      </c>
      <c r="J674" s="11">
        <f>IF(GL_RAW!A674="","",IF(OR(ISNUMBER(SEARCH("Out",F674)),ISNUMBER(SEARCH("11025002",F674)),H674&lt;0),"OUT","IN"))</f>
        <v/>
      </c>
      <c r="K674" s="11" t="inlineStr"/>
    </row>
    <row r="675">
      <c r="A675" s="13">
        <f>IF(GL_RAW!A675="","",ROW()-1)</f>
        <v/>
      </c>
      <c r="B675" s="10">
        <f>IF(GL_RAW!A675="","",IF(ISNUMBER(GL_RAW!A675),GL_RAW!A675,DATEVALUE(TEXT(GL_RAW!A675,"YYYY-MM-DD"))))</f>
        <v/>
      </c>
      <c r="C675" s="11">
        <f>IF(GL_RAW!A675="","",TRIM(GL_RAW!B675))</f>
        <v/>
      </c>
      <c r="D675" s="11">
        <f>IF(GL_RAW!A675="","",TRIM(GL_RAW!C675))</f>
        <v/>
      </c>
      <c r="E675" s="11">
        <f>IF(GL_RAW!A675="","",TRIM(GL_RAW!D675))</f>
        <v/>
      </c>
      <c r="F675" s="11">
        <f>IF(GL_RAW!A675="","",TRIM(GL_RAW!F675))</f>
        <v/>
      </c>
      <c r="G675" s="11">
        <f>IF(GL_RAW!A675="","",TRIM(GL_RAW!G675))</f>
        <v/>
      </c>
      <c r="H675" s="12">
        <f>IF(GL_RAW!A675="","",IFERROR(GL_RAW!E675,0))</f>
        <v/>
      </c>
      <c r="I675" s="12">
        <f>IF(GL_RAW!A675="","",ABS(H675))</f>
        <v/>
      </c>
      <c r="J675" s="11">
        <f>IF(GL_RAW!A675="","",IF(OR(ISNUMBER(SEARCH("Out",F675)),ISNUMBER(SEARCH("11025002",F675)),H675&lt;0),"OUT","IN"))</f>
        <v/>
      </c>
      <c r="K675" s="11" t="inlineStr"/>
    </row>
    <row r="676">
      <c r="A676" s="13">
        <f>IF(GL_RAW!A676="","",ROW()-1)</f>
        <v/>
      </c>
      <c r="B676" s="10">
        <f>IF(GL_RAW!A676="","",IF(ISNUMBER(GL_RAW!A676),GL_RAW!A676,DATEVALUE(TEXT(GL_RAW!A676,"YYYY-MM-DD"))))</f>
        <v/>
      </c>
      <c r="C676" s="11">
        <f>IF(GL_RAW!A676="","",TRIM(GL_RAW!B676))</f>
        <v/>
      </c>
      <c r="D676" s="11">
        <f>IF(GL_RAW!A676="","",TRIM(GL_RAW!C676))</f>
        <v/>
      </c>
      <c r="E676" s="11">
        <f>IF(GL_RAW!A676="","",TRIM(GL_RAW!D676))</f>
        <v/>
      </c>
      <c r="F676" s="11">
        <f>IF(GL_RAW!A676="","",TRIM(GL_RAW!F676))</f>
        <v/>
      </c>
      <c r="G676" s="11">
        <f>IF(GL_RAW!A676="","",TRIM(GL_RAW!G676))</f>
        <v/>
      </c>
      <c r="H676" s="12">
        <f>IF(GL_RAW!A676="","",IFERROR(GL_RAW!E676,0))</f>
        <v/>
      </c>
      <c r="I676" s="12">
        <f>IF(GL_RAW!A676="","",ABS(H676))</f>
        <v/>
      </c>
      <c r="J676" s="11">
        <f>IF(GL_RAW!A676="","",IF(OR(ISNUMBER(SEARCH("Out",F676)),ISNUMBER(SEARCH("11025002",F676)),H676&lt;0),"OUT","IN"))</f>
        <v/>
      </c>
      <c r="K676" s="11" t="inlineStr"/>
    </row>
    <row r="677">
      <c r="A677" s="13">
        <f>IF(GL_RAW!A677="","",ROW()-1)</f>
        <v/>
      </c>
      <c r="B677" s="10">
        <f>IF(GL_RAW!A677="","",IF(ISNUMBER(GL_RAW!A677),GL_RAW!A677,DATEVALUE(TEXT(GL_RAW!A677,"YYYY-MM-DD"))))</f>
        <v/>
      </c>
      <c r="C677" s="11">
        <f>IF(GL_RAW!A677="","",TRIM(GL_RAW!B677))</f>
        <v/>
      </c>
      <c r="D677" s="11">
        <f>IF(GL_RAW!A677="","",TRIM(GL_RAW!C677))</f>
        <v/>
      </c>
      <c r="E677" s="11">
        <f>IF(GL_RAW!A677="","",TRIM(GL_RAW!D677))</f>
        <v/>
      </c>
      <c r="F677" s="11">
        <f>IF(GL_RAW!A677="","",TRIM(GL_RAW!F677))</f>
        <v/>
      </c>
      <c r="G677" s="11">
        <f>IF(GL_RAW!A677="","",TRIM(GL_RAW!G677))</f>
        <v/>
      </c>
      <c r="H677" s="12">
        <f>IF(GL_RAW!A677="","",IFERROR(GL_RAW!E677,0))</f>
        <v/>
      </c>
      <c r="I677" s="12">
        <f>IF(GL_RAW!A677="","",ABS(H677))</f>
        <v/>
      </c>
      <c r="J677" s="11">
        <f>IF(GL_RAW!A677="","",IF(OR(ISNUMBER(SEARCH("Out",F677)),ISNUMBER(SEARCH("11025002",F677)),H677&lt;0),"OUT","IN"))</f>
        <v/>
      </c>
      <c r="K677" s="11" t="inlineStr"/>
    </row>
    <row r="678">
      <c r="A678" s="13">
        <f>IF(GL_RAW!A678="","",ROW()-1)</f>
        <v/>
      </c>
      <c r="B678" s="10">
        <f>IF(GL_RAW!A678="","",IF(ISNUMBER(GL_RAW!A678),GL_RAW!A678,DATEVALUE(TEXT(GL_RAW!A678,"YYYY-MM-DD"))))</f>
        <v/>
      </c>
      <c r="C678" s="11">
        <f>IF(GL_RAW!A678="","",TRIM(GL_RAW!B678))</f>
        <v/>
      </c>
      <c r="D678" s="11">
        <f>IF(GL_RAW!A678="","",TRIM(GL_RAW!C678))</f>
        <v/>
      </c>
      <c r="E678" s="11">
        <f>IF(GL_RAW!A678="","",TRIM(GL_RAW!D678))</f>
        <v/>
      </c>
      <c r="F678" s="11">
        <f>IF(GL_RAW!A678="","",TRIM(GL_RAW!F678))</f>
        <v/>
      </c>
      <c r="G678" s="11">
        <f>IF(GL_RAW!A678="","",TRIM(GL_RAW!G678))</f>
        <v/>
      </c>
      <c r="H678" s="12">
        <f>IF(GL_RAW!A678="","",IFERROR(GL_RAW!E678,0))</f>
        <v/>
      </c>
      <c r="I678" s="12">
        <f>IF(GL_RAW!A678="","",ABS(H678))</f>
        <v/>
      </c>
      <c r="J678" s="11">
        <f>IF(GL_RAW!A678="","",IF(OR(ISNUMBER(SEARCH("Out",F678)),ISNUMBER(SEARCH("11025002",F678)),H678&lt;0),"OUT","IN"))</f>
        <v/>
      </c>
      <c r="K678" s="11" t="inlineStr"/>
    </row>
    <row r="679">
      <c r="A679" s="13">
        <f>IF(GL_RAW!A679="","",ROW()-1)</f>
        <v/>
      </c>
      <c r="B679" s="10">
        <f>IF(GL_RAW!A679="","",IF(ISNUMBER(GL_RAW!A679),GL_RAW!A679,DATEVALUE(TEXT(GL_RAW!A679,"YYYY-MM-DD"))))</f>
        <v/>
      </c>
      <c r="C679" s="11">
        <f>IF(GL_RAW!A679="","",TRIM(GL_RAW!B679))</f>
        <v/>
      </c>
      <c r="D679" s="11">
        <f>IF(GL_RAW!A679="","",TRIM(GL_RAW!C679))</f>
        <v/>
      </c>
      <c r="E679" s="11">
        <f>IF(GL_RAW!A679="","",TRIM(GL_RAW!D679))</f>
        <v/>
      </c>
      <c r="F679" s="11">
        <f>IF(GL_RAW!A679="","",TRIM(GL_RAW!F679))</f>
        <v/>
      </c>
      <c r="G679" s="11">
        <f>IF(GL_RAW!A679="","",TRIM(GL_RAW!G679))</f>
        <v/>
      </c>
      <c r="H679" s="12">
        <f>IF(GL_RAW!A679="","",IFERROR(GL_RAW!E679,0))</f>
        <v/>
      </c>
      <c r="I679" s="12">
        <f>IF(GL_RAW!A679="","",ABS(H679))</f>
        <v/>
      </c>
      <c r="J679" s="11">
        <f>IF(GL_RAW!A679="","",IF(OR(ISNUMBER(SEARCH("Out",F679)),ISNUMBER(SEARCH("11025002",F679)),H679&lt;0),"OUT","IN"))</f>
        <v/>
      </c>
      <c r="K679" s="11" t="inlineStr"/>
    </row>
    <row r="680">
      <c r="A680" s="13">
        <f>IF(GL_RAW!A680="","",ROW()-1)</f>
        <v/>
      </c>
      <c r="B680" s="10">
        <f>IF(GL_RAW!A680="","",IF(ISNUMBER(GL_RAW!A680),GL_RAW!A680,DATEVALUE(TEXT(GL_RAW!A680,"YYYY-MM-DD"))))</f>
        <v/>
      </c>
      <c r="C680" s="11">
        <f>IF(GL_RAW!A680="","",TRIM(GL_RAW!B680))</f>
        <v/>
      </c>
      <c r="D680" s="11">
        <f>IF(GL_RAW!A680="","",TRIM(GL_RAW!C680))</f>
        <v/>
      </c>
      <c r="E680" s="11">
        <f>IF(GL_RAW!A680="","",TRIM(GL_RAW!D680))</f>
        <v/>
      </c>
      <c r="F680" s="11">
        <f>IF(GL_RAW!A680="","",TRIM(GL_RAW!F680))</f>
        <v/>
      </c>
      <c r="G680" s="11">
        <f>IF(GL_RAW!A680="","",TRIM(GL_RAW!G680))</f>
        <v/>
      </c>
      <c r="H680" s="12">
        <f>IF(GL_RAW!A680="","",IFERROR(GL_RAW!E680,0))</f>
        <v/>
      </c>
      <c r="I680" s="12">
        <f>IF(GL_RAW!A680="","",ABS(H680))</f>
        <v/>
      </c>
      <c r="J680" s="11">
        <f>IF(GL_RAW!A680="","",IF(OR(ISNUMBER(SEARCH("Out",F680)),ISNUMBER(SEARCH("11025002",F680)),H680&lt;0),"OUT","IN"))</f>
        <v/>
      </c>
      <c r="K680" s="11" t="inlineStr"/>
    </row>
    <row r="681">
      <c r="A681" s="13">
        <f>IF(GL_RAW!A681="","",ROW()-1)</f>
        <v/>
      </c>
      <c r="B681" s="10">
        <f>IF(GL_RAW!A681="","",IF(ISNUMBER(GL_RAW!A681),GL_RAW!A681,DATEVALUE(TEXT(GL_RAW!A681,"YYYY-MM-DD"))))</f>
        <v/>
      </c>
      <c r="C681" s="11">
        <f>IF(GL_RAW!A681="","",TRIM(GL_RAW!B681))</f>
        <v/>
      </c>
      <c r="D681" s="11">
        <f>IF(GL_RAW!A681="","",TRIM(GL_RAW!C681))</f>
        <v/>
      </c>
      <c r="E681" s="11">
        <f>IF(GL_RAW!A681="","",TRIM(GL_RAW!D681))</f>
        <v/>
      </c>
      <c r="F681" s="11">
        <f>IF(GL_RAW!A681="","",TRIM(GL_RAW!F681))</f>
        <v/>
      </c>
      <c r="G681" s="11">
        <f>IF(GL_RAW!A681="","",TRIM(GL_RAW!G681))</f>
        <v/>
      </c>
      <c r="H681" s="12">
        <f>IF(GL_RAW!A681="","",IFERROR(GL_RAW!E681,0))</f>
        <v/>
      </c>
      <c r="I681" s="12">
        <f>IF(GL_RAW!A681="","",ABS(H681))</f>
        <v/>
      </c>
      <c r="J681" s="11">
        <f>IF(GL_RAW!A681="","",IF(OR(ISNUMBER(SEARCH("Out",F681)),ISNUMBER(SEARCH("11025002",F681)),H681&lt;0),"OUT","IN"))</f>
        <v/>
      </c>
      <c r="K681" s="11" t="inlineStr"/>
    </row>
    <row r="682">
      <c r="A682" s="13">
        <f>IF(GL_RAW!A682="","",ROW()-1)</f>
        <v/>
      </c>
      <c r="B682" s="10">
        <f>IF(GL_RAW!A682="","",IF(ISNUMBER(GL_RAW!A682),GL_RAW!A682,DATEVALUE(TEXT(GL_RAW!A682,"YYYY-MM-DD"))))</f>
        <v/>
      </c>
      <c r="C682" s="11">
        <f>IF(GL_RAW!A682="","",TRIM(GL_RAW!B682))</f>
        <v/>
      </c>
      <c r="D682" s="11">
        <f>IF(GL_RAW!A682="","",TRIM(GL_RAW!C682))</f>
        <v/>
      </c>
      <c r="E682" s="11">
        <f>IF(GL_RAW!A682="","",TRIM(GL_RAW!D682))</f>
        <v/>
      </c>
      <c r="F682" s="11">
        <f>IF(GL_RAW!A682="","",TRIM(GL_RAW!F682))</f>
        <v/>
      </c>
      <c r="G682" s="11">
        <f>IF(GL_RAW!A682="","",TRIM(GL_RAW!G682))</f>
        <v/>
      </c>
      <c r="H682" s="12">
        <f>IF(GL_RAW!A682="","",IFERROR(GL_RAW!E682,0))</f>
        <v/>
      </c>
      <c r="I682" s="12">
        <f>IF(GL_RAW!A682="","",ABS(H682))</f>
        <v/>
      </c>
      <c r="J682" s="11">
        <f>IF(GL_RAW!A682="","",IF(OR(ISNUMBER(SEARCH("Out",F682)),ISNUMBER(SEARCH("11025002",F682)),H682&lt;0),"OUT","IN"))</f>
        <v/>
      </c>
      <c r="K682" s="11" t="inlineStr"/>
    </row>
    <row r="683">
      <c r="A683" s="13">
        <f>IF(GL_RAW!A683="","",ROW()-1)</f>
        <v/>
      </c>
      <c r="B683" s="10">
        <f>IF(GL_RAW!A683="","",IF(ISNUMBER(GL_RAW!A683),GL_RAW!A683,DATEVALUE(TEXT(GL_RAW!A683,"YYYY-MM-DD"))))</f>
        <v/>
      </c>
      <c r="C683" s="11">
        <f>IF(GL_RAW!A683="","",TRIM(GL_RAW!B683))</f>
        <v/>
      </c>
      <c r="D683" s="11">
        <f>IF(GL_RAW!A683="","",TRIM(GL_RAW!C683))</f>
        <v/>
      </c>
      <c r="E683" s="11">
        <f>IF(GL_RAW!A683="","",TRIM(GL_RAW!D683))</f>
        <v/>
      </c>
      <c r="F683" s="11">
        <f>IF(GL_RAW!A683="","",TRIM(GL_RAW!F683))</f>
        <v/>
      </c>
      <c r="G683" s="11">
        <f>IF(GL_RAW!A683="","",TRIM(GL_RAW!G683))</f>
        <v/>
      </c>
      <c r="H683" s="12">
        <f>IF(GL_RAW!A683="","",IFERROR(GL_RAW!E683,0))</f>
        <v/>
      </c>
      <c r="I683" s="12">
        <f>IF(GL_RAW!A683="","",ABS(H683))</f>
        <v/>
      </c>
      <c r="J683" s="11">
        <f>IF(GL_RAW!A683="","",IF(OR(ISNUMBER(SEARCH("Out",F683)),ISNUMBER(SEARCH("11025002",F683)),H683&lt;0),"OUT","IN"))</f>
        <v/>
      </c>
      <c r="K683" s="11" t="inlineStr"/>
    </row>
    <row r="684">
      <c r="A684" s="13">
        <f>IF(GL_RAW!A684="","",ROW()-1)</f>
        <v/>
      </c>
      <c r="B684" s="10">
        <f>IF(GL_RAW!A684="","",IF(ISNUMBER(GL_RAW!A684),GL_RAW!A684,DATEVALUE(TEXT(GL_RAW!A684,"YYYY-MM-DD"))))</f>
        <v/>
      </c>
      <c r="C684" s="11">
        <f>IF(GL_RAW!A684="","",TRIM(GL_RAW!B684))</f>
        <v/>
      </c>
      <c r="D684" s="11">
        <f>IF(GL_RAW!A684="","",TRIM(GL_RAW!C684))</f>
        <v/>
      </c>
      <c r="E684" s="11">
        <f>IF(GL_RAW!A684="","",TRIM(GL_RAW!D684))</f>
        <v/>
      </c>
      <c r="F684" s="11">
        <f>IF(GL_RAW!A684="","",TRIM(GL_RAW!F684))</f>
        <v/>
      </c>
      <c r="G684" s="11">
        <f>IF(GL_RAW!A684="","",TRIM(GL_RAW!G684))</f>
        <v/>
      </c>
      <c r="H684" s="12">
        <f>IF(GL_RAW!A684="","",IFERROR(GL_RAW!E684,0))</f>
        <v/>
      </c>
      <c r="I684" s="12">
        <f>IF(GL_RAW!A684="","",ABS(H684))</f>
        <v/>
      </c>
      <c r="J684" s="11">
        <f>IF(GL_RAW!A684="","",IF(OR(ISNUMBER(SEARCH("Out",F684)),ISNUMBER(SEARCH("11025002",F684)),H684&lt;0),"OUT","IN"))</f>
        <v/>
      </c>
      <c r="K684" s="11" t="inlineStr"/>
    </row>
    <row r="685">
      <c r="A685" s="13">
        <f>IF(GL_RAW!A685="","",ROW()-1)</f>
        <v/>
      </c>
      <c r="B685" s="10">
        <f>IF(GL_RAW!A685="","",IF(ISNUMBER(GL_RAW!A685),GL_RAW!A685,DATEVALUE(TEXT(GL_RAW!A685,"YYYY-MM-DD"))))</f>
        <v/>
      </c>
      <c r="C685" s="11">
        <f>IF(GL_RAW!A685="","",TRIM(GL_RAW!B685))</f>
        <v/>
      </c>
      <c r="D685" s="11">
        <f>IF(GL_RAW!A685="","",TRIM(GL_RAW!C685))</f>
        <v/>
      </c>
      <c r="E685" s="11">
        <f>IF(GL_RAW!A685="","",TRIM(GL_RAW!D685))</f>
        <v/>
      </c>
      <c r="F685" s="11">
        <f>IF(GL_RAW!A685="","",TRIM(GL_RAW!F685))</f>
        <v/>
      </c>
      <c r="G685" s="11">
        <f>IF(GL_RAW!A685="","",TRIM(GL_RAW!G685))</f>
        <v/>
      </c>
      <c r="H685" s="12">
        <f>IF(GL_RAW!A685="","",IFERROR(GL_RAW!E685,0))</f>
        <v/>
      </c>
      <c r="I685" s="12">
        <f>IF(GL_RAW!A685="","",ABS(H685))</f>
        <v/>
      </c>
      <c r="J685" s="11">
        <f>IF(GL_RAW!A685="","",IF(OR(ISNUMBER(SEARCH("Out",F685)),ISNUMBER(SEARCH("11025002",F685)),H685&lt;0),"OUT","IN"))</f>
        <v/>
      </c>
      <c r="K685" s="11" t="inlineStr"/>
    </row>
    <row r="686">
      <c r="A686" s="13">
        <f>IF(GL_RAW!A686="","",ROW()-1)</f>
        <v/>
      </c>
      <c r="B686" s="10">
        <f>IF(GL_RAW!A686="","",IF(ISNUMBER(GL_RAW!A686),GL_RAW!A686,DATEVALUE(TEXT(GL_RAW!A686,"YYYY-MM-DD"))))</f>
        <v/>
      </c>
      <c r="C686" s="11">
        <f>IF(GL_RAW!A686="","",TRIM(GL_RAW!B686))</f>
        <v/>
      </c>
      <c r="D686" s="11">
        <f>IF(GL_RAW!A686="","",TRIM(GL_RAW!C686))</f>
        <v/>
      </c>
      <c r="E686" s="11">
        <f>IF(GL_RAW!A686="","",TRIM(GL_RAW!D686))</f>
        <v/>
      </c>
      <c r="F686" s="11">
        <f>IF(GL_RAW!A686="","",TRIM(GL_RAW!F686))</f>
        <v/>
      </c>
      <c r="G686" s="11">
        <f>IF(GL_RAW!A686="","",TRIM(GL_RAW!G686))</f>
        <v/>
      </c>
      <c r="H686" s="12">
        <f>IF(GL_RAW!A686="","",IFERROR(GL_RAW!E686,0))</f>
        <v/>
      </c>
      <c r="I686" s="12">
        <f>IF(GL_RAW!A686="","",ABS(H686))</f>
        <v/>
      </c>
      <c r="J686" s="11">
        <f>IF(GL_RAW!A686="","",IF(OR(ISNUMBER(SEARCH("Out",F686)),ISNUMBER(SEARCH("11025002",F686)),H686&lt;0),"OUT","IN"))</f>
        <v/>
      </c>
      <c r="K686" s="11" t="inlineStr"/>
    </row>
    <row r="687">
      <c r="A687" s="13">
        <f>IF(GL_RAW!A687="","",ROW()-1)</f>
        <v/>
      </c>
      <c r="B687" s="10">
        <f>IF(GL_RAW!A687="","",IF(ISNUMBER(GL_RAW!A687),GL_RAW!A687,DATEVALUE(TEXT(GL_RAW!A687,"YYYY-MM-DD"))))</f>
        <v/>
      </c>
      <c r="C687" s="11">
        <f>IF(GL_RAW!A687="","",TRIM(GL_RAW!B687))</f>
        <v/>
      </c>
      <c r="D687" s="11">
        <f>IF(GL_RAW!A687="","",TRIM(GL_RAW!C687))</f>
        <v/>
      </c>
      <c r="E687" s="11">
        <f>IF(GL_RAW!A687="","",TRIM(GL_RAW!D687))</f>
        <v/>
      </c>
      <c r="F687" s="11">
        <f>IF(GL_RAW!A687="","",TRIM(GL_RAW!F687))</f>
        <v/>
      </c>
      <c r="G687" s="11">
        <f>IF(GL_RAW!A687="","",TRIM(GL_RAW!G687))</f>
        <v/>
      </c>
      <c r="H687" s="12">
        <f>IF(GL_RAW!A687="","",IFERROR(GL_RAW!E687,0))</f>
        <v/>
      </c>
      <c r="I687" s="12">
        <f>IF(GL_RAW!A687="","",ABS(H687))</f>
        <v/>
      </c>
      <c r="J687" s="11">
        <f>IF(GL_RAW!A687="","",IF(OR(ISNUMBER(SEARCH("Out",F687)),ISNUMBER(SEARCH("11025002",F687)),H687&lt;0),"OUT","IN"))</f>
        <v/>
      </c>
      <c r="K687" s="11" t="inlineStr"/>
    </row>
    <row r="688">
      <c r="A688" s="13">
        <f>IF(GL_RAW!A688="","",ROW()-1)</f>
        <v/>
      </c>
      <c r="B688" s="10">
        <f>IF(GL_RAW!A688="","",IF(ISNUMBER(GL_RAW!A688),GL_RAW!A688,DATEVALUE(TEXT(GL_RAW!A688,"YYYY-MM-DD"))))</f>
        <v/>
      </c>
      <c r="C688" s="11">
        <f>IF(GL_RAW!A688="","",TRIM(GL_RAW!B688))</f>
        <v/>
      </c>
      <c r="D688" s="11">
        <f>IF(GL_RAW!A688="","",TRIM(GL_RAW!C688))</f>
        <v/>
      </c>
      <c r="E688" s="11">
        <f>IF(GL_RAW!A688="","",TRIM(GL_RAW!D688))</f>
        <v/>
      </c>
      <c r="F688" s="11">
        <f>IF(GL_RAW!A688="","",TRIM(GL_RAW!F688))</f>
        <v/>
      </c>
      <c r="G688" s="11">
        <f>IF(GL_RAW!A688="","",TRIM(GL_RAW!G688))</f>
        <v/>
      </c>
      <c r="H688" s="12">
        <f>IF(GL_RAW!A688="","",IFERROR(GL_RAW!E688,0))</f>
        <v/>
      </c>
      <c r="I688" s="12">
        <f>IF(GL_RAW!A688="","",ABS(H688))</f>
        <v/>
      </c>
      <c r="J688" s="11">
        <f>IF(GL_RAW!A688="","",IF(OR(ISNUMBER(SEARCH("Out",F688)),ISNUMBER(SEARCH("11025002",F688)),H688&lt;0),"OUT","IN"))</f>
        <v/>
      </c>
      <c r="K688" s="11" t="inlineStr"/>
    </row>
    <row r="689">
      <c r="A689" s="13">
        <f>IF(GL_RAW!A689="","",ROW()-1)</f>
        <v/>
      </c>
      <c r="B689" s="10">
        <f>IF(GL_RAW!A689="","",IF(ISNUMBER(GL_RAW!A689),GL_RAW!A689,DATEVALUE(TEXT(GL_RAW!A689,"YYYY-MM-DD"))))</f>
        <v/>
      </c>
      <c r="C689" s="11">
        <f>IF(GL_RAW!A689="","",TRIM(GL_RAW!B689))</f>
        <v/>
      </c>
      <c r="D689" s="11">
        <f>IF(GL_RAW!A689="","",TRIM(GL_RAW!C689))</f>
        <v/>
      </c>
      <c r="E689" s="11">
        <f>IF(GL_RAW!A689="","",TRIM(GL_RAW!D689))</f>
        <v/>
      </c>
      <c r="F689" s="11">
        <f>IF(GL_RAW!A689="","",TRIM(GL_RAW!F689))</f>
        <v/>
      </c>
      <c r="G689" s="11">
        <f>IF(GL_RAW!A689="","",TRIM(GL_RAW!G689))</f>
        <v/>
      </c>
      <c r="H689" s="12">
        <f>IF(GL_RAW!A689="","",IFERROR(GL_RAW!E689,0))</f>
        <v/>
      </c>
      <c r="I689" s="12">
        <f>IF(GL_RAW!A689="","",ABS(H689))</f>
        <v/>
      </c>
      <c r="J689" s="11">
        <f>IF(GL_RAW!A689="","",IF(OR(ISNUMBER(SEARCH("Out",F689)),ISNUMBER(SEARCH("11025002",F689)),H689&lt;0),"OUT","IN"))</f>
        <v/>
      </c>
      <c r="K689" s="11" t="inlineStr"/>
    </row>
    <row r="690">
      <c r="A690" s="13">
        <f>IF(GL_RAW!A690="","",ROW()-1)</f>
        <v/>
      </c>
      <c r="B690" s="10">
        <f>IF(GL_RAW!A690="","",IF(ISNUMBER(GL_RAW!A690),GL_RAW!A690,DATEVALUE(TEXT(GL_RAW!A690,"YYYY-MM-DD"))))</f>
        <v/>
      </c>
      <c r="C690" s="11">
        <f>IF(GL_RAW!A690="","",TRIM(GL_RAW!B690))</f>
        <v/>
      </c>
      <c r="D690" s="11">
        <f>IF(GL_RAW!A690="","",TRIM(GL_RAW!C690))</f>
        <v/>
      </c>
      <c r="E690" s="11">
        <f>IF(GL_RAW!A690="","",TRIM(GL_RAW!D690))</f>
        <v/>
      </c>
      <c r="F690" s="11">
        <f>IF(GL_RAW!A690="","",TRIM(GL_RAW!F690))</f>
        <v/>
      </c>
      <c r="G690" s="11">
        <f>IF(GL_RAW!A690="","",TRIM(GL_RAW!G690))</f>
        <v/>
      </c>
      <c r="H690" s="12">
        <f>IF(GL_RAW!A690="","",IFERROR(GL_RAW!E690,0))</f>
        <v/>
      </c>
      <c r="I690" s="12">
        <f>IF(GL_RAW!A690="","",ABS(H690))</f>
        <v/>
      </c>
      <c r="J690" s="11">
        <f>IF(GL_RAW!A690="","",IF(OR(ISNUMBER(SEARCH("Out",F690)),ISNUMBER(SEARCH("11025002",F690)),H690&lt;0),"OUT","IN"))</f>
        <v/>
      </c>
      <c r="K690" s="11" t="inlineStr"/>
    </row>
    <row r="691">
      <c r="A691" s="13">
        <f>IF(GL_RAW!A691="","",ROW()-1)</f>
        <v/>
      </c>
      <c r="B691" s="10">
        <f>IF(GL_RAW!A691="","",IF(ISNUMBER(GL_RAW!A691),GL_RAW!A691,DATEVALUE(TEXT(GL_RAW!A691,"YYYY-MM-DD"))))</f>
        <v/>
      </c>
      <c r="C691" s="11">
        <f>IF(GL_RAW!A691="","",TRIM(GL_RAW!B691))</f>
        <v/>
      </c>
      <c r="D691" s="11">
        <f>IF(GL_RAW!A691="","",TRIM(GL_RAW!C691))</f>
        <v/>
      </c>
      <c r="E691" s="11">
        <f>IF(GL_RAW!A691="","",TRIM(GL_RAW!D691))</f>
        <v/>
      </c>
      <c r="F691" s="11">
        <f>IF(GL_RAW!A691="","",TRIM(GL_RAW!F691))</f>
        <v/>
      </c>
      <c r="G691" s="11">
        <f>IF(GL_RAW!A691="","",TRIM(GL_RAW!G691))</f>
        <v/>
      </c>
      <c r="H691" s="12">
        <f>IF(GL_RAW!A691="","",IFERROR(GL_RAW!E691,0))</f>
        <v/>
      </c>
      <c r="I691" s="12">
        <f>IF(GL_RAW!A691="","",ABS(H691))</f>
        <v/>
      </c>
      <c r="J691" s="11">
        <f>IF(GL_RAW!A691="","",IF(OR(ISNUMBER(SEARCH("Out",F691)),ISNUMBER(SEARCH("11025002",F691)),H691&lt;0),"OUT","IN"))</f>
        <v/>
      </c>
      <c r="K691" s="11" t="inlineStr"/>
    </row>
    <row r="692">
      <c r="A692" s="13">
        <f>IF(GL_RAW!A692="","",ROW()-1)</f>
        <v/>
      </c>
      <c r="B692" s="10">
        <f>IF(GL_RAW!A692="","",IF(ISNUMBER(GL_RAW!A692),GL_RAW!A692,DATEVALUE(TEXT(GL_RAW!A692,"YYYY-MM-DD"))))</f>
        <v/>
      </c>
      <c r="C692" s="11">
        <f>IF(GL_RAW!A692="","",TRIM(GL_RAW!B692))</f>
        <v/>
      </c>
      <c r="D692" s="11">
        <f>IF(GL_RAW!A692="","",TRIM(GL_RAW!C692))</f>
        <v/>
      </c>
      <c r="E692" s="11">
        <f>IF(GL_RAW!A692="","",TRIM(GL_RAW!D692))</f>
        <v/>
      </c>
      <c r="F692" s="11">
        <f>IF(GL_RAW!A692="","",TRIM(GL_RAW!F692))</f>
        <v/>
      </c>
      <c r="G692" s="11">
        <f>IF(GL_RAW!A692="","",TRIM(GL_RAW!G692))</f>
        <v/>
      </c>
      <c r="H692" s="12">
        <f>IF(GL_RAW!A692="","",IFERROR(GL_RAW!E692,0))</f>
        <v/>
      </c>
      <c r="I692" s="12">
        <f>IF(GL_RAW!A692="","",ABS(H692))</f>
        <v/>
      </c>
      <c r="J692" s="11">
        <f>IF(GL_RAW!A692="","",IF(OR(ISNUMBER(SEARCH("Out",F692)),ISNUMBER(SEARCH("11025002",F692)),H692&lt;0),"OUT","IN"))</f>
        <v/>
      </c>
      <c r="K692" s="11" t="inlineStr"/>
    </row>
    <row r="693">
      <c r="A693" s="13">
        <f>IF(GL_RAW!A693="","",ROW()-1)</f>
        <v/>
      </c>
      <c r="B693" s="10">
        <f>IF(GL_RAW!A693="","",IF(ISNUMBER(GL_RAW!A693),GL_RAW!A693,DATEVALUE(TEXT(GL_RAW!A693,"YYYY-MM-DD"))))</f>
        <v/>
      </c>
      <c r="C693" s="11">
        <f>IF(GL_RAW!A693="","",TRIM(GL_RAW!B693))</f>
        <v/>
      </c>
      <c r="D693" s="11">
        <f>IF(GL_RAW!A693="","",TRIM(GL_RAW!C693))</f>
        <v/>
      </c>
      <c r="E693" s="11">
        <f>IF(GL_RAW!A693="","",TRIM(GL_RAW!D693))</f>
        <v/>
      </c>
      <c r="F693" s="11">
        <f>IF(GL_RAW!A693="","",TRIM(GL_RAW!F693))</f>
        <v/>
      </c>
      <c r="G693" s="11">
        <f>IF(GL_RAW!A693="","",TRIM(GL_RAW!G693))</f>
        <v/>
      </c>
      <c r="H693" s="12">
        <f>IF(GL_RAW!A693="","",IFERROR(GL_RAW!E693,0))</f>
        <v/>
      </c>
      <c r="I693" s="12">
        <f>IF(GL_RAW!A693="","",ABS(H693))</f>
        <v/>
      </c>
      <c r="J693" s="11">
        <f>IF(GL_RAW!A693="","",IF(OR(ISNUMBER(SEARCH("Out",F693)),ISNUMBER(SEARCH("11025002",F693)),H693&lt;0),"OUT","IN"))</f>
        <v/>
      </c>
      <c r="K693" s="11" t="inlineStr"/>
    </row>
    <row r="694">
      <c r="A694" s="13">
        <f>IF(GL_RAW!A694="","",ROW()-1)</f>
        <v/>
      </c>
      <c r="B694" s="10">
        <f>IF(GL_RAW!A694="","",IF(ISNUMBER(GL_RAW!A694),GL_RAW!A694,DATEVALUE(TEXT(GL_RAW!A694,"YYYY-MM-DD"))))</f>
        <v/>
      </c>
      <c r="C694" s="11">
        <f>IF(GL_RAW!A694="","",TRIM(GL_RAW!B694))</f>
        <v/>
      </c>
      <c r="D694" s="11">
        <f>IF(GL_RAW!A694="","",TRIM(GL_RAW!C694))</f>
        <v/>
      </c>
      <c r="E694" s="11">
        <f>IF(GL_RAW!A694="","",TRIM(GL_RAW!D694))</f>
        <v/>
      </c>
      <c r="F694" s="11">
        <f>IF(GL_RAW!A694="","",TRIM(GL_RAW!F694))</f>
        <v/>
      </c>
      <c r="G694" s="11">
        <f>IF(GL_RAW!A694="","",TRIM(GL_RAW!G694))</f>
        <v/>
      </c>
      <c r="H694" s="12">
        <f>IF(GL_RAW!A694="","",IFERROR(GL_RAW!E694,0))</f>
        <v/>
      </c>
      <c r="I694" s="12">
        <f>IF(GL_RAW!A694="","",ABS(H694))</f>
        <v/>
      </c>
      <c r="J694" s="11">
        <f>IF(GL_RAW!A694="","",IF(OR(ISNUMBER(SEARCH("Out",F694)),ISNUMBER(SEARCH("11025002",F694)),H694&lt;0),"OUT","IN"))</f>
        <v/>
      </c>
      <c r="K694" s="11" t="inlineStr"/>
    </row>
    <row r="695">
      <c r="A695" s="13">
        <f>IF(GL_RAW!A695="","",ROW()-1)</f>
        <v/>
      </c>
      <c r="B695" s="10">
        <f>IF(GL_RAW!A695="","",IF(ISNUMBER(GL_RAW!A695),GL_RAW!A695,DATEVALUE(TEXT(GL_RAW!A695,"YYYY-MM-DD"))))</f>
        <v/>
      </c>
      <c r="C695" s="11">
        <f>IF(GL_RAW!A695="","",TRIM(GL_RAW!B695))</f>
        <v/>
      </c>
      <c r="D695" s="11">
        <f>IF(GL_RAW!A695="","",TRIM(GL_RAW!C695))</f>
        <v/>
      </c>
      <c r="E695" s="11">
        <f>IF(GL_RAW!A695="","",TRIM(GL_RAW!D695))</f>
        <v/>
      </c>
      <c r="F695" s="11">
        <f>IF(GL_RAW!A695="","",TRIM(GL_RAW!F695))</f>
        <v/>
      </c>
      <c r="G695" s="11">
        <f>IF(GL_RAW!A695="","",TRIM(GL_RAW!G695))</f>
        <v/>
      </c>
      <c r="H695" s="12">
        <f>IF(GL_RAW!A695="","",IFERROR(GL_RAW!E695,0))</f>
        <v/>
      </c>
      <c r="I695" s="12">
        <f>IF(GL_RAW!A695="","",ABS(H695))</f>
        <v/>
      </c>
      <c r="J695" s="11">
        <f>IF(GL_RAW!A695="","",IF(OR(ISNUMBER(SEARCH("Out",F695)),ISNUMBER(SEARCH("11025002",F695)),H695&lt;0),"OUT","IN"))</f>
        <v/>
      </c>
      <c r="K695" s="11" t="inlineStr"/>
    </row>
    <row r="696">
      <c r="A696" s="13">
        <f>IF(GL_RAW!A696="","",ROW()-1)</f>
        <v/>
      </c>
      <c r="B696" s="10">
        <f>IF(GL_RAW!A696="","",IF(ISNUMBER(GL_RAW!A696),GL_RAW!A696,DATEVALUE(TEXT(GL_RAW!A696,"YYYY-MM-DD"))))</f>
        <v/>
      </c>
      <c r="C696" s="11">
        <f>IF(GL_RAW!A696="","",TRIM(GL_RAW!B696))</f>
        <v/>
      </c>
      <c r="D696" s="11">
        <f>IF(GL_RAW!A696="","",TRIM(GL_RAW!C696))</f>
        <v/>
      </c>
      <c r="E696" s="11">
        <f>IF(GL_RAW!A696="","",TRIM(GL_RAW!D696))</f>
        <v/>
      </c>
      <c r="F696" s="11">
        <f>IF(GL_RAW!A696="","",TRIM(GL_RAW!F696))</f>
        <v/>
      </c>
      <c r="G696" s="11">
        <f>IF(GL_RAW!A696="","",TRIM(GL_RAW!G696))</f>
        <v/>
      </c>
      <c r="H696" s="12">
        <f>IF(GL_RAW!A696="","",IFERROR(GL_RAW!E696,0))</f>
        <v/>
      </c>
      <c r="I696" s="12">
        <f>IF(GL_RAW!A696="","",ABS(H696))</f>
        <v/>
      </c>
      <c r="J696" s="11">
        <f>IF(GL_RAW!A696="","",IF(OR(ISNUMBER(SEARCH("Out",F696)),ISNUMBER(SEARCH("11025002",F696)),H696&lt;0),"OUT","IN"))</f>
        <v/>
      </c>
      <c r="K696" s="11" t="inlineStr"/>
    </row>
    <row r="697">
      <c r="A697" s="13">
        <f>IF(GL_RAW!A697="","",ROW()-1)</f>
        <v/>
      </c>
      <c r="B697" s="10">
        <f>IF(GL_RAW!A697="","",IF(ISNUMBER(GL_RAW!A697),GL_RAW!A697,DATEVALUE(TEXT(GL_RAW!A697,"YYYY-MM-DD"))))</f>
        <v/>
      </c>
      <c r="C697" s="11">
        <f>IF(GL_RAW!A697="","",TRIM(GL_RAW!B697))</f>
        <v/>
      </c>
      <c r="D697" s="11">
        <f>IF(GL_RAW!A697="","",TRIM(GL_RAW!C697))</f>
        <v/>
      </c>
      <c r="E697" s="11">
        <f>IF(GL_RAW!A697="","",TRIM(GL_RAW!D697))</f>
        <v/>
      </c>
      <c r="F697" s="11">
        <f>IF(GL_RAW!A697="","",TRIM(GL_RAW!F697))</f>
        <v/>
      </c>
      <c r="G697" s="11">
        <f>IF(GL_RAW!A697="","",TRIM(GL_RAW!G697))</f>
        <v/>
      </c>
      <c r="H697" s="12">
        <f>IF(GL_RAW!A697="","",IFERROR(GL_RAW!E697,0))</f>
        <v/>
      </c>
      <c r="I697" s="12">
        <f>IF(GL_RAW!A697="","",ABS(H697))</f>
        <v/>
      </c>
      <c r="J697" s="11">
        <f>IF(GL_RAW!A697="","",IF(OR(ISNUMBER(SEARCH("Out",F697)),ISNUMBER(SEARCH("11025002",F697)),H697&lt;0),"OUT","IN"))</f>
        <v/>
      </c>
      <c r="K697" s="11" t="inlineStr"/>
    </row>
    <row r="698">
      <c r="A698" s="13">
        <f>IF(GL_RAW!A698="","",ROW()-1)</f>
        <v/>
      </c>
      <c r="B698" s="10">
        <f>IF(GL_RAW!A698="","",IF(ISNUMBER(GL_RAW!A698),GL_RAW!A698,DATEVALUE(TEXT(GL_RAW!A698,"YYYY-MM-DD"))))</f>
        <v/>
      </c>
      <c r="C698" s="11">
        <f>IF(GL_RAW!A698="","",TRIM(GL_RAW!B698))</f>
        <v/>
      </c>
      <c r="D698" s="11">
        <f>IF(GL_RAW!A698="","",TRIM(GL_RAW!C698))</f>
        <v/>
      </c>
      <c r="E698" s="11">
        <f>IF(GL_RAW!A698="","",TRIM(GL_RAW!D698))</f>
        <v/>
      </c>
      <c r="F698" s="11">
        <f>IF(GL_RAW!A698="","",TRIM(GL_RAW!F698))</f>
        <v/>
      </c>
      <c r="G698" s="11">
        <f>IF(GL_RAW!A698="","",TRIM(GL_RAW!G698))</f>
        <v/>
      </c>
      <c r="H698" s="12">
        <f>IF(GL_RAW!A698="","",IFERROR(GL_RAW!E698,0))</f>
        <v/>
      </c>
      <c r="I698" s="12">
        <f>IF(GL_RAW!A698="","",ABS(H698))</f>
        <v/>
      </c>
      <c r="J698" s="11">
        <f>IF(GL_RAW!A698="","",IF(OR(ISNUMBER(SEARCH("Out",F698)),ISNUMBER(SEARCH("11025002",F698)),H698&lt;0),"OUT","IN"))</f>
        <v/>
      </c>
      <c r="K698" s="11" t="inlineStr"/>
    </row>
    <row r="699">
      <c r="A699" s="13">
        <f>IF(GL_RAW!A699="","",ROW()-1)</f>
        <v/>
      </c>
      <c r="B699" s="10">
        <f>IF(GL_RAW!A699="","",IF(ISNUMBER(GL_RAW!A699),GL_RAW!A699,DATEVALUE(TEXT(GL_RAW!A699,"YYYY-MM-DD"))))</f>
        <v/>
      </c>
      <c r="C699" s="11">
        <f>IF(GL_RAW!A699="","",TRIM(GL_RAW!B699))</f>
        <v/>
      </c>
      <c r="D699" s="11">
        <f>IF(GL_RAW!A699="","",TRIM(GL_RAW!C699))</f>
        <v/>
      </c>
      <c r="E699" s="11">
        <f>IF(GL_RAW!A699="","",TRIM(GL_RAW!D699))</f>
        <v/>
      </c>
      <c r="F699" s="11">
        <f>IF(GL_RAW!A699="","",TRIM(GL_RAW!F699))</f>
        <v/>
      </c>
      <c r="G699" s="11">
        <f>IF(GL_RAW!A699="","",TRIM(GL_RAW!G699))</f>
        <v/>
      </c>
      <c r="H699" s="12">
        <f>IF(GL_RAW!A699="","",IFERROR(GL_RAW!E699,0))</f>
        <v/>
      </c>
      <c r="I699" s="12">
        <f>IF(GL_RAW!A699="","",ABS(H699))</f>
        <v/>
      </c>
      <c r="J699" s="11">
        <f>IF(GL_RAW!A699="","",IF(OR(ISNUMBER(SEARCH("Out",F699)),ISNUMBER(SEARCH("11025002",F699)),H699&lt;0),"OUT","IN"))</f>
        <v/>
      </c>
      <c r="K699" s="11" t="inlineStr"/>
    </row>
    <row r="700">
      <c r="A700" s="13">
        <f>IF(GL_RAW!A700="","",ROW()-1)</f>
        <v/>
      </c>
      <c r="B700" s="10">
        <f>IF(GL_RAW!A700="","",IF(ISNUMBER(GL_RAW!A700),GL_RAW!A700,DATEVALUE(TEXT(GL_RAW!A700,"YYYY-MM-DD"))))</f>
        <v/>
      </c>
      <c r="C700" s="11">
        <f>IF(GL_RAW!A700="","",TRIM(GL_RAW!B700))</f>
        <v/>
      </c>
      <c r="D700" s="11">
        <f>IF(GL_RAW!A700="","",TRIM(GL_RAW!C700))</f>
        <v/>
      </c>
      <c r="E700" s="11">
        <f>IF(GL_RAW!A700="","",TRIM(GL_RAW!D700))</f>
        <v/>
      </c>
      <c r="F700" s="11">
        <f>IF(GL_RAW!A700="","",TRIM(GL_RAW!F700))</f>
        <v/>
      </c>
      <c r="G700" s="11">
        <f>IF(GL_RAW!A700="","",TRIM(GL_RAW!G700))</f>
        <v/>
      </c>
      <c r="H700" s="12">
        <f>IF(GL_RAW!A700="","",IFERROR(GL_RAW!E700,0))</f>
        <v/>
      </c>
      <c r="I700" s="12">
        <f>IF(GL_RAW!A700="","",ABS(H700))</f>
        <v/>
      </c>
      <c r="J700" s="11">
        <f>IF(GL_RAW!A700="","",IF(OR(ISNUMBER(SEARCH("Out",F700)),ISNUMBER(SEARCH("11025002",F700)),H700&lt;0),"OUT","IN"))</f>
        <v/>
      </c>
      <c r="K700" s="11" t="inlineStr"/>
    </row>
    <row r="701">
      <c r="A701" s="13">
        <f>IF(GL_RAW!A701="","",ROW()-1)</f>
        <v/>
      </c>
      <c r="B701" s="10">
        <f>IF(GL_RAW!A701="","",IF(ISNUMBER(GL_RAW!A701),GL_RAW!A701,DATEVALUE(TEXT(GL_RAW!A701,"YYYY-MM-DD"))))</f>
        <v/>
      </c>
      <c r="C701" s="11">
        <f>IF(GL_RAW!A701="","",TRIM(GL_RAW!B701))</f>
        <v/>
      </c>
      <c r="D701" s="11">
        <f>IF(GL_RAW!A701="","",TRIM(GL_RAW!C701))</f>
        <v/>
      </c>
      <c r="E701" s="11">
        <f>IF(GL_RAW!A701="","",TRIM(GL_RAW!D701))</f>
        <v/>
      </c>
      <c r="F701" s="11">
        <f>IF(GL_RAW!A701="","",TRIM(GL_RAW!F701))</f>
        <v/>
      </c>
      <c r="G701" s="11">
        <f>IF(GL_RAW!A701="","",TRIM(GL_RAW!G701))</f>
        <v/>
      </c>
      <c r="H701" s="12">
        <f>IF(GL_RAW!A701="","",IFERROR(GL_RAW!E701,0))</f>
        <v/>
      </c>
      <c r="I701" s="12">
        <f>IF(GL_RAW!A701="","",ABS(H701))</f>
        <v/>
      </c>
      <c r="J701" s="11">
        <f>IF(GL_RAW!A701="","",IF(OR(ISNUMBER(SEARCH("Out",F701)),ISNUMBER(SEARCH("11025002",F701)),H701&lt;0),"OUT","IN"))</f>
        <v/>
      </c>
      <c r="K701" s="11" t="inlineStr"/>
    </row>
    <row r="702">
      <c r="A702" s="13">
        <f>IF(GL_RAW!A702="","",ROW()-1)</f>
        <v/>
      </c>
      <c r="B702" s="10">
        <f>IF(GL_RAW!A702="","",IF(ISNUMBER(GL_RAW!A702),GL_RAW!A702,DATEVALUE(TEXT(GL_RAW!A702,"YYYY-MM-DD"))))</f>
        <v/>
      </c>
      <c r="C702" s="11">
        <f>IF(GL_RAW!A702="","",TRIM(GL_RAW!B702))</f>
        <v/>
      </c>
      <c r="D702" s="11">
        <f>IF(GL_RAW!A702="","",TRIM(GL_RAW!C702))</f>
        <v/>
      </c>
      <c r="E702" s="11">
        <f>IF(GL_RAW!A702="","",TRIM(GL_RAW!D702))</f>
        <v/>
      </c>
      <c r="F702" s="11">
        <f>IF(GL_RAW!A702="","",TRIM(GL_RAW!F702))</f>
        <v/>
      </c>
      <c r="G702" s="11">
        <f>IF(GL_RAW!A702="","",TRIM(GL_RAW!G702))</f>
        <v/>
      </c>
      <c r="H702" s="12">
        <f>IF(GL_RAW!A702="","",IFERROR(GL_RAW!E702,0))</f>
        <v/>
      </c>
      <c r="I702" s="12">
        <f>IF(GL_RAW!A702="","",ABS(H702))</f>
        <v/>
      </c>
      <c r="J702" s="11">
        <f>IF(GL_RAW!A702="","",IF(OR(ISNUMBER(SEARCH("Out",F702)),ISNUMBER(SEARCH("11025002",F702)),H702&lt;0),"OUT","IN"))</f>
        <v/>
      </c>
      <c r="K702" s="11" t="inlineStr"/>
    </row>
    <row r="703">
      <c r="A703" s="13">
        <f>IF(GL_RAW!A703="","",ROW()-1)</f>
        <v/>
      </c>
      <c r="B703" s="10">
        <f>IF(GL_RAW!A703="","",IF(ISNUMBER(GL_RAW!A703),GL_RAW!A703,DATEVALUE(TEXT(GL_RAW!A703,"YYYY-MM-DD"))))</f>
        <v/>
      </c>
      <c r="C703" s="11">
        <f>IF(GL_RAW!A703="","",TRIM(GL_RAW!B703))</f>
        <v/>
      </c>
      <c r="D703" s="11">
        <f>IF(GL_RAW!A703="","",TRIM(GL_RAW!C703))</f>
        <v/>
      </c>
      <c r="E703" s="11">
        <f>IF(GL_RAW!A703="","",TRIM(GL_RAW!D703))</f>
        <v/>
      </c>
      <c r="F703" s="11">
        <f>IF(GL_RAW!A703="","",TRIM(GL_RAW!F703))</f>
        <v/>
      </c>
      <c r="G703" s="11">
        <f>IF(GL_RAW!A703="","",TRIM(GL_RAW!G703))</f>
        <v/>
      </c>
      <c r="H703" s="12">
        <f>IF(GL_RAW!A703="","",IFERROR(GL_RAW!E703,0))</f>
        <v/>
      </c>
      <c r="I703" s="12">
        <f>IF(GL_RAW!A703="","",ABS(H703))</f>
        <v/>
      </c>
      <c r="J703" s="11">
        <f>IF(GL_RAW!A703="","",IF(OR(ISNUMBER(SEARCH("Out",F703)),ISNUMBER(SEARCH("11025002",F703)),H703&lt;0),"OUT","IN"))</f>
        <v/>
      </c>
      <c r="K703" s="11" t="inlineStr"/>
    </row>
    <row r="704">
      <c r="A704" s="13">
        <f>IF(GL_RAW!A704="","",ROW()-1)</f>
        <v/>
      </c>
      <c r="B704" s="10">
        <f>IF(GL_RAW!A704="","",IF(ISNUMBER(GL_RAW!A704),GL_RAW!A704,DATEVALUE(TEXT(GL_RAW!A704,"YYYY-MM-DD"))))</f>
        <v/>
      </c>
      <c r="C704" s="11">
        <f>IF(GL_RAW!A704="","",TRIM(GL_RAW!B704))</f>
        <v/>
      </c>
      <c r="D704" s="11">
        <f>IF(GL_RAW!A704="","",TRIM(GL_RAW!C704))</f>
        <v/>
      </c>
      <c r="E704" s="11">
        <f>IF(GL_RAW!A704="","",TRIM(GL_RAW!D704))</f>
        <v/>
      </c>
      <c r="F704" s="11">
        <f>IF(GL_RAW!A704="","",TRIM(GL_RAW!F704))</f>
        <v/>
      </c>
      <c r="G704" s="11">
        <f>IF(GL_RAW!A704="","",TRIM(GL_RAW!G704))</f>
        <v/>
      </c>
      <c r="H704" s="12">
        <f>IF(GL_RAW!A704="","",IFERROR(GL_RAW!E704,0))</f>
        <v/>
      </c>
      <c r="I704" s="12">
        <f>IF(GL_RAW!A704="","",ABS(H704))</f>
        <v/>
      </c>
      <c r="J704" s="11">
        <f>IF(GL_RAW!A704="","",IF(OR(ISNUMBER(SEARCH("Out",F704)),ISNUMBER(SEARCH("11025002",F704)),H704&lt;0),"OUT","IN"))</f>
        <v/>
      </c>
      <c r="K704" s="11" t="inlineStr"/>
    </row>
    <row r="705">
      <c r="A705" s="13">
        <f>IF(GL_RAW!A705="","",ROW()-1)</f>
        <v/>
      </c>
      <c r="B705" s="10">
        <f>IF(GL_RAW!A705="","",IF(ISNUMBER(GL_RAW!A705),GL_RAW!A705,DATEVALUE(TEXT(GL_RAW!A705,"YYYY-MM-DD"))))</f>
        <v/>
      </c>
      <c r="C705" s="11">
        <f>IF(GL_RAW!A705="","",TRIM(GL_RAW!B705))</f>
        <v/>
      </c>
      <c r="D705" s="11">
        <f>IF(GL_RAW!A705="","",TRIM(GL_RAW!C705))</f>
        <v/>
      </c>
      <c r="E705" s="11">
        <f>IF(GL_RAW!A705="","",TRIM(GL_RAW!D705))</f>
        <v/>
      </c>
      <c r="F705" s="11">
        <f>IF(GL_RAW!A705="","",TRIM(GL_RAW!F705))</f>
        <v/>
      </c>
      <c r="G705" s="11">
        <f>IF(GL_RAW!A705="","",TRIM(GL_RAW!G705))</f>
        <v/>
      </c>
      <c r="H705" s="12">
        <f>IF(GL_RAW!A705="","",IFERROR(GL_RAW!E705,0))</f>
        <v/>
      </c>
      <c r="I705" s="12">
        <f>IF(GL_RAW!A705="","",ABS(H705))</f>
        <v/>
      </c>
      <c r="J705" s="11">
        <f>IF(GL_RAW!A705="","",IF(OR(ISNUMBER(SEARCH("Out",F705)),ISNUMBER(SEARCH("11025002",F705)),H705&lt;0),"OUT","IN"))</f>
        <v/>
      </c>
      <c r="K705" s="11" t="inlineStr"/>
    </row>
    <row r="706">
      <c r="A706" s="13">
        <f>IF(GL_RAW!A706="","",ROW()-1)</f>
        <v/>
      </c>
      <c r="B706" s="10">
        <f>IF(GL_RAW!A706="","",IF(ISNUMBER(GL_RAW!A706),GL_RAW!A706,DATEVALUE(TEXT(GL_RAW!A706,"YYYY-MM-DD"))))</f>
        <v/>
      </c>
      <c r="C706" s="11">
        <f>IF(GL_RAW!A706="","",TRIM(GL_RAW!B706))</f>
        <v/>
      </c>
      <c r="D706" s="11">
        <f>IF(GL_RAW!A706="","",TRIM(GL_RAW!C706))</f>
        <v/>
      </c>
      <c r="E706" s="11">
        <f>IF(GL_RAW!A706="","",TRIM(GL_RAW!D706))</f>
        <v/>
      </c>
      <c r="F706" s="11">
        <f>IF(GL_RAW!A706="","",TRIM(GL_RAW!F706))</f>
        <v/>
      </c>
      <c r="G706" s="11">
        <f>IF(GL_RAW!A706="","",TRIM(GL_RAW!G706))</f>
        <v/>
      </c>
      <c r="H706" s="12">
        <f>IF(GL_RAW!A706="","",IFERROR(GL_RAW!E706,0))</f>
        <v/>
      </c>
      <c r="I706" s="12">
        <f>IF(GL_RAW!A706="","",ABS(H706))</f>
        <v/>
      </c>
      <c r="J706" s="11">
        <f>IF(GL_RAW!A706="","",IF(OR(ISNUMBER(SEARCH("Out",F706)),ISNUMBER(SEARCH("11025002",F706)),H706&lt;0),"OUT","IN"))</f>
        <v/>
      </c>
      <c r="K706" s="11" t="inlineStr"/>
    </row>
    <row r="707">
      <c r="A707" s="13">
        <f>IF(GL_RAW!A707="","",ROW()-1)</f>
        <v/>
      </c>
      <c r="B707" s="10">
        <f>IF(GL_RAW!A707="","",IF(ISNUMBER(GL_RAW!A707),GL_RAW!A707,DATEVALUE(TEXT(GL_RAW!A707,"YYYY-MM-DD"))))</f>
        <v/>
      </c>
      <c r="C707" s="11">
        <f>IF(GL_RAW!A707="","",TRIM(GL_RAW!B707))</f>
        <v/>
      </c>
      <c r="D707" s="11">
        <f>IF(GL_RAW!A707="","",TRIM(GL_RAW!C707))</f>
        <v/>
      </c>
      <c r="E707" s="11">
        <f>IF(GL_RAW!A707="","",TRIM(GL_RAW!D707))</f>
        <v/>
      </c>
      <c r="F707" s="11">
        <f>IF(GL_RAW!A707="","",TRIM(GL_RAW!F707))</f>
        <v/>
      </c>
      <c r="G707" s="11">
        <f>IF(GL_RAW!A707="","",TRIM(GL_RAW!G707))</f>
        <v/>
      </c>
      <c r="H707" s="12">
        <f>IF(GL_RAW!A707="","",IFERROR(GL_RAW!E707,0))</f>
        <v/>
      </c>
      <c r="I707" s="12">
        <f>IF(GL_RAW!A707="","",ABS(H707))</f>
        <v/>
      </c>
      <c r="J707" s="11">
        <f>IF(GL_RAW!A707="","",IF(OR(ISNUMBER(SEARCH("Out",F707)),ISNUMBER(SEARCH("11025002",F707)),H707&lt;0),"OUT","IN"))</f>
        <v/>
      </c>
      <c r="K707" s="11" t="inlineStr"/>
    </row>
    <row r="708">
      <c r="A708" s="13">
        <f>IF(GL_RAW!A708="","",ROW()-1)</f>
        <v/>
      </c>
      <c r="B708" s="10">
        <f>IF(GL_RAW!A708="","",IF(ISNUMBER(GL_RAW!A708),GL_RAW!A708,DATEVALUE(TEXT(GL_RAW!A708,"YYYY-MM-DD"))))</f>
        <v/>
      </c>
      <c r="C708" s="11">
        <f>IF(GL_RAW!A708="","",TRIM(GL_RAW!B708))</f>
        <v/>
      </c>
      <c r="D708" s="11">
        <f>IF(GL_RAW!A708="","",TRIM(GL_RAW!C708))</f>
        <v/>
      </c>
      <c r="E708" s="11">
        <f>IF(GL_RAW!A708="","",TRIM(GL_RAW!D708))</f>
        <v/>
      </c>
      <c r="F708" s="11">
        <f>IF(GL_RAW!A708="","",TRIM(GL_RAW!F708))</f>
        <v/>
      </c>
      <c r="G708" s="11">
        <f>IF(GL_RAW!A708="","",TRIM(GL_RAW!G708))</f>
        <v/>
      </c>
      <c r="H708" s="12">
        <f>IF(GL_RAW!A708="","",IFERROR(GL_RAW!E708,0))</f>
        <v/>
      </c>
      <c r="I708" s="12">
        <f>IF(GL_RAW!A708="","",ABS(H708))</f>
        <v/>
      </c>
      <c r="J708" s="11">
        <f>IF(GL_RAW!A708="","",IF(OR(ISNUMBER(SEARCH("Out",F708)),ISNUMBER(SEARCH("11025002",F708)),H708&lt;0),"OUT","IN"))</f>
        <v/>
      </c>
      <c r="K708" s="11" t="inlineStr"/>
    </row>
    <row r="709">
      <c r="A709" s="13">
        <f>IF(GL_RAW!A709="","",ROW()-1)</f>
        <v/>
      </c>
      <c r="B709" s="10">
        <f>IF(GL_RAW!A709="","",IF(ISNUMBER(GL_RAW!A709),GL_RAW!A709,DATEVALUE(TEXT(GL_RAW!A709,"YYYY-MM-DD"))))</f>
        <v/>
      </c>
      <c r="C709" s="11">
        <f>IF(GL_RAW!A709="","",TRIM(GL_RAW!B709))</f>
        <v/>
      </c>
      <c r="D709" s="11">
        <f>IF(GL_RAW!A709="","",TRIM(GL_RAW!C709))</f>
        <v/>
      </c>
      <c r="E709" s="11">
        <f>IF(GL_RAW!A709="","",TRIM(GL_RAW!D709))</f>
        <v/>
      </c>
      <c r="F709" s="11">
        <f>IF(GL_RAW!A709="","",TRIM(GL_RAW!F709))</f>
        <v/>
      </c>
      <c r="G709" s="11">
        <f>IF(GL_RAW!A709="","",TRIM(GL_RAW!G709))</f>
        <v/>
      </c>
      <c r="H709" s="12">
        <f>IF(GL_RAW!A709="","",IFERROR(GL_RAW!E709,0))</f>
        <v/>
      </c>
      <c r="I709" s="12">
        <f>IF(GL_RAW!A709="","",ABS(H709))</f>
        <v/>
      </c>
      <c r="J709" s="11">
        <f>IF(GL_RAW!A709="","",IF(OR(ISNUMBER(SEARCH("Out",F709)),ISNUMBER(SEARCH("11025002",F709)),H709&lt;0),"OUT","IN"))</f>
        <v/>
      </c>
      <c r="K709" s="11" t="inlineStr"/>
    </row>
    <row r="710">
      <c r="A710" s="13">
        <f>IF(GL_RAW!A710="","",ROW()-1)</f>
        <v/>
      </c>
      <c r="B710" s="10">
        <f>IF(GL_RAW!A710="","",IF(ISNUMBER(GL_RAW!A710),GL_RAW!A710,DATEVALUE(TEXT(GL_RAW!A710,"YYYY-MM-DD"))))</f>
        <v/>
      </c>
      <c r="C710" s="11">
        <f>IF(GL_RAW!A710="","",TRIM(GL_RAW!B710))</f>
        <v/>
      </c>
      <c r="D710" s="11">
        <f>IF(GL_RAW!A710="","",TRIM(GL_RAW!C710))</f>
        <v/>
      </c>
      <c r="E710" s="11">
        <f>IF(GL_RAW!A710="","",TRIM(GL_RAW!D710))</f>
        <v/>
      </c>
      <c r="F710" s="11">
        <f>IF(GL_RAW!A710="","",TRIM(GL_RAW!F710))</f>
        <v/>
      </c>
      <c r="G710" s="11">
        <f>IF(GL_RAW!A710="","",TRIM(GL_RAW!G710))</f>
        <v/>
      </c>
      <c r="H710" s="12">
        <f>IF(GL_RAW!A710="","",IFERROR(GL_RAW!E710,0))</f>
        <v/>
      </c>
      <c r="I710" s="12">
        <f>IF(GL_RAW!A710="","",ABS(H710))</f>
        <v/>
      </c>
      <c r="J710" s="11">
        <f>IF(GL_RAW!A710="","",IF(OR(ISNUMBER(SEARCH("Out",F710)),ISNUMBER(SEARCH("11025002",F710)),H710&lt;0),"OUT","IN"))</f>
        <v/>
      </c>
      <c r="K710" s="11" t="inlineStr"/>
    </row>
    <row r="711">
      <c r="A711" s="13">
        <f>IF(GL_RAW!A711="","",ROW()-1)</f>
        <v/>
      </c>
      <c r="B711" s="10">
        <f>IF(GL_RAW!A711="","",IF(ISNUMBER(GL_RAW!A711),GL_RAW!A711,DATEVALUE(TEXT(GL_RAW!A711,"YYYY-MM-DD"))))</f>
        <v/>
      </c>
      <c r="C711" s="11">
        <f>IF(GL_RAW!A711="","",TRIM(GL_RAW!B711))</f>
        <v/>
      </c>
      <c r="D711" s="11">
        <f>IF(GL_RAW!A711="","",TRIM(GL_RAW!C711))</f>
        <v/>
      </c>
      <c r="E711" s="11">
        <f>IF(GL_RAW!A711="","",TRIM(GL_RAW!D711))</f>
        <v/>
      </c>
      <c r="F711" s="11">
        <f>IF(GL_RAW!A711="","",TRIM(GL_RAW!F711))</f>
        <v/>
      </c>
      <c r="G711" s="11">
        <f>IF(GL_RAW!A711="","",TRIM(GL_RAW!G711))</f>
        <v/>
      </c>
      <c r="H711" s="12">
        <f>IF(GL_RAW!A711="","",IFERROR(GL_RAW!E711,0))</f>
        <v/>
      </c>
      <c r="I711" s="12">
        <f>IF(GL_RAW!A711="","",ABS(H711))</f>
        <v/>
      </c>
      <c r="J711" s="11">
        <f>IF(GL_RAW!A711="","",IF(OR(ISNUMBER(SEARCH("Out",F711)),ISNUMBER(SEARCH("11025002",F711)),H711&lt;0),"OUT","IN"))</f>
        <v/>
      </c>
      <c r="K711" s="11" t="inlineStr"/>
    </row>
    <row r="712">
      <c r="A712" s="13">
        <f>IF(GL_RAW!A712="","",ROW()-1)</f>
        <v/>
      </c>
      <c r="B712" s="10">
        <f>IF(GL_RAW!A712="","",IF(ISNUMBER(GL_RAW!A712),GL_RAW!A712,DATEVALUE(TEXT(GL_RAW!A712,"YYYY-MM-DD"))))</f>
        <v/>
      </c>
      <c r="C712" s="11">
        <f>IF(GL_RAW!A712="","",TRIM(GL_RAW!B712))</f>
        <v/>
      </c>
      <c r="D712" s="11">
        <f>IF(GL_RAW!A712="","",TRIM(GL_RAW!C712))</f>
        <v/>
      </c>
      <c r="E712" s="11">
        <f>IF(GL_RAW!A712="","",TRIM(GL_RAW!D712))</f>
        <v/>
      </c>
      <c r="F712" s="11">
        <f>IF(GL_RAW!A712="","",TRIM(GL_RAW!F712))</f>
        <v/>
      </c>
      <c r="G712" s="11">
        <f>IF(GL_RAW!A712="","",TRIM(GL_RAW!G712))</f>
        <v/>
      </c>
      <c r="H712" s="12">
        <f>IF(GL_RAW!A712="","",IFERROR(GL_RAW!E712,0))</f>
        <v/>
      </c>
      <c r="I712" s="12">
        <f>IF(GL_RAW!A712="","",ABS(H712))</f>
        <v/>
      </c>
      <c r="J712" s="11">
        <f>IF(GL_RAW!A712="","",IF(OR(ISNUMBER(SEARCH("Out",F712)),ISNUMBER(SEARCH("11025002",F712)),H712&lt;0),"OUT","IN"))</f>
        <v/>
      </c>
      <c r="K712" s="11" t="inlineStr"/>
    </row>
    <row r="713">
      <c r="A713" s="13">
        <f>IF(GL_RAW!A713="","",ROW()-1)</f>
        <v/>
      </c>
      <c r="B713" s="10">
        <f>IF(GL_RAW!A713="","",IF(ISNUMBER(GL_RAW!A713),GL_RAW!A713,DATEVALUE(TEXT(GL_RAW!A713,"YYYY-MM-DD"))))</f>
        <v/>
      </c>
      <c r="C713" s="11">
        <f>IF(GL_RAW!A713="","",TRIM(GL_RAW!B713))</f>
        <v/>
      </c>
      <c r="D713" s="11">
        <f>IF(GL_RAW!A713="","",TRIM(GL_RAW!C713))</f>
        <v/>
      </c>
      <c r="E713" s="11">
        <f>IF(GL_RAW!A713="","",TRIM(GL_RAW!D713))</f>
        <v/>
      </c>
      <c r="F713" s="11">
        <f>IF(GL_RAW!A713="","",TRIM(GL_RAW!F713))</f>
        <v/>
      </c>
      <c r="G713" s="11">
        <f>IF(GL_RAW!A713="","",TRIM(GL_RAW!G713))</f>
        <v/>
      </c>
      <c r="H713" s="12">
        <f>IF(GL_RAW!A713="","",IFERROR(GL_RAW!E713,0))</f>
        <v/>
      </c>
      <c r="I713" s="12">
        <f>IF(GL_RAW!A713="","",ABS(H713))</f>
        <v/>
      </c>
      <c r="J713" s="11">
        <f>IF(GL_RAW!A713="","",IF(OR(ISNUMBER(SEARCH("Out",F713)),ISNUMBER(SEARCH("11025002",F713)),H713&lt;0),"OUT","IN"))</f>
        <v/>
      </c>
      <c r="K713" s="11" t="inlineStr"/>
    </row>
    <row r="714">
      <c r="A714" s="13">
        <f>IF(GL_RAW!A714="","",ROW()-1)</f>
        <v/>
      </c>
      <c r="B714" s="10">
        <f>IF(GL_RAW!A714="","",IF(ISNUMBER(GL_RAW!A714),GL_RAW!A714,DATEVALUE(TEXT(GL_RAW!A714,"YYYY-MM-DD"))))</f>
        <v/>
      </c>
      <c r="C714" s="11">
        <f>IF(GL_RAW!A714="","",TRIM(GL_RAW!B714))</f>
        <v/>
      </c>
      <c r="D714" s="11">
        <f>IF(GL_RAW!A714="","",TRIM(GL_RAW!C714))</f>
        <v/>
      </c>
      <c r="E714" s="11">
        <f>IF(GL_RAW!A714="","",TRIM(GL_RAW!D714))</f>
        <v/>
      </c>
      <c r="F714" s="11">
        <f>IF(GL_RAW!A714="","",TRIM(GL_RAW!F714))</f>
        <v/>
      </c>
      <c r="G714" s="11">
        <f>IF(GL_RAW!A714="","",TRIM(GL_RAW!G714))</f>
        <v/>
      </c>
      <c r="H714" s="12">
        <f>IF(GL_RAW!A714="","",IFERROR(GL_RAW!E714,0))</f>
        <v/>
      </c>
      <c r="I714" s="12">
        <f>IF(GL_RAW!A714="","",ABS(H714))</f>
        <v/>
      </c>
      <c r="J714" s="11">
        <f>IF(GL_RAW!A714="","",IF(OR(ISNUMBER(SEARCH("Out",F714)),ISNUMBER(SEARCH("11025002",F714)),H714&lt;0),"OUT","IN"))</f>
        <v/>
      </c>
      <c r="K714" s="11" t="inlineStr"/>
    </row>
    <row r="715">
      <c r="A715" s="13">
        <f>IF(GL_RAW!A715="","",ROW()-1)</f>
        <v/>
      </c>
      <c r="B715" s="10">
        <f>IF(GL_RAW!A715="","",IF(ISNUMBER(GL_RAW!A715),GL_RAW!A715,DATEVALUE(TEXT(GL_RAW!A715,"YYYY-MM-DD"))))</f>
        <v/>
      </c>
      <c r="C715" s="11">
        <f>IF(GL_RAW!A715="","",TRIM(GL_RAW!B715))</f>
        <v/>
      </c>
      <c r="D715" s="11">
        <f>IF(GL_RAW!A715="","",TRIM(GL_RAW!C715))</f>
        <v/>
      </c>
      <c r="E715" s="11">
        <f>IF(GL_RAW!A715="","",TRIM(GL_RAW!D715))</f>
        <v/>
      </c>
      <c r="F715" s="11">
        <f>IF(GL_RAW!A715="","",TRIM(GL_RAW!F715))</f>
        <v/>
      </c>
      <c r="G715" s="11">
        <f>IF(GL_RAW!A715="","",TRIM(GL_RAW!G715))</f>
        <v/>
      </c>
      <c r="H715" s="12">
        <f>IF(GL_RAW!A715="","",IFERROR(GL_RAW!E715,0))</f>
        <v/>
      </c>
      <c r="I715" s="12">
        <f>IF(GL_RAW!A715="","",ABS(H715))</f>
        <v/>
      </c>
      <c r="J715" s="11">
        <f>IF(GL_RAW!A715="","",IF(OR(ISNUMBER(SEARCH("Out",F715)),ISNUMBER(SEARCH("11025002",F715)),H715&lt;0),"OUT","IN"))</f>
        <v/>
      </c>
      <c r="K715" s="11" t="inlineStr"/>
    </row>
    <row r="716">
      <c r="A716" s="13">
        <f>IF(GL_RAW!A716="","",ROW()-1)</f>
        <v/>
      </c>
      <c r="B716" s="10">
        <f>IF(GL_RAW!A716="","",IF(ISNUMBER(GL_RAW!A716),GL_RAW!A716,DATEVALUE(TEXT(GL_RAW!A716,"YYYY-MM-DD"))))</f>
        <v/>
      </c>
      <c r="C716" s="11">
        <f>IF(GL_RAW!A716="","",TRIM(GL_RAW!B716))</f>
        <v/>
      </c>
      <c r="D716" s="11">
        <f>IF(GL_RAW!A716="","",TRIM(GL_RAW!C716))</f>
        <v/>
      </c>
      <c r="E716" s="11">
        <f>IF(GL_RAW!A716="","",TRIM(GL_RAW!D716))</f>
        <v/>
      </c>
      <c r="F716" s="11">
        <f>IF(GL_RAW!A716="","",TRIM(GL_RAW!F716))</f>
        <v/>
      </c>
      <c r="G716" s="11">
        <f>IF(GL_RAW!A716="","",TRIM(GL_RAW!G716))</f>
        <v/>
      </c>
      <c r="H716" s="12">
        <f>IF(GL_RAW!A716="","",IFERROR(GL_RAW!E716,0))</f>
        <v/>
      </c>
      <c r="I716" s="12">
        <f>IF(GL_RAW!A716="","",ABS(H716))</f>
        <v/>
      </c>
      <c r="J716" s="11">
        <f>IF(GL_RAW!A716="","",IF(OR(ISNUMBER(SEARCH("Out",F716)),ISNUMBER(SEARCH("11025002",F716)),H716&lt;0),"OUT","IN"))</f>
        <v/>
      </c>
      <c r="K716" s="11" t="inlineStr"/>
    </row>
    <row r="717">
      <c r="A717" s="13">
        <f>IF(GL_RAW!A717="","",ROW()-1)</f>
        <v/>
      </c>
      <c r="B717" s="10">
        <f>IF(GL_RAW!A717="","",IF(ISNUMBER(GL_RAW!A717),GL_RAW!A717,DATEVALUE(TEXT(GL_RAW!A717,"YYYY-MM-DD"))))</f>
        <v/>
      </c>
      <c r="C717" s="11">
        <f>IF(GL_RAW!A717="","",TRIM(GL_RAW!B717))</f>
        <v/>
      </c>
      <c r="D717" s="11">
        <f>IF(GL_RAW!A717="","",TRIM(GL_RAW!C717))</f>
        <v/>
      </c>
      <c r="E717" s="11">
        <f>IF(GL_RAW!A717="","",TRIM(GL_RAW!D717))</f>
        <v/>
      </c>
      <c r="F717" s="11">
        <f>IF(GL_RAW!A717="","",TRIM(GL_RAW!F717))</f>
        <v/>
      </c>
      <c r="G717" s="11">
        <f>IF(GL_RAW!A717="","",TRIM(GL_RAW!G717))</f>
        <v/>
      </c>
      <c r="H717" s="12">
        <f>IF(GL_RAW!A717="","",IFERROR(GL_RAW!E717,0))</f>
        <v/>
      </c>
      <c r="I717" s="12">
        <f>IF(GL_RAW!A717="","",ABS(H717))</f>
        <v/>
      </c>
      <c r="J717" s="11">
        <f>IF(GL_RAW!A717="","",IF(OR(ISNUMBER(SEARCH("Out",F717)),ISNUMBER(SEARCH("11025002",F717)),H717&lt;0),"OUT","IN"))</f>
        <v/>
      </c>
      <c r="K717" s="11" t="inlineStr"/>
    </row>
    <row r="718">
      <c r="A718" s="13">
        <f>IF(GL_RAW!A718="","",ROW()-1)</f>
        <v/>
      </c>
      <c r="B718" s="10">
        <f>IF(GL_RAW!A718="","",IF(ISNUMBER(GL_RAW!A718),GL_RAW!A718,DATEVALUE(TEXT(GL_RAW!A718,"YYYY-MM-DD"))))</f>
        <v/>
      </c>
      <c r="C718" s="11">
        <f>IF(GL_RAW!A718="","",TRIM(GL_RAW!B718))</f>
        <v/>
      </c>
      <c r="D718" s="11">
        <f>IF(GL_RAW!A718="","",TRIM(GL_RAW!C718))</f>
        <v/>
      </c>
      <c r="E718" s="11">
        <f>IF(GL_RAW!A718="","",TRIM(GL_RAW!D718))</f>
        <v/>
      </c>
      <c r="F718" s="11">
        <f>IF(GL_RAW!A718="","",TRIM(GL_RAW!F718))</f>
        <v/>
      </c>
      <c r="G718" s="11">
        <f>IF(GL_RAW!A718="","",TRIM(GL_RAW!G718))</f>
        <v/>
      </c>
      <c r="H718" s="12">
        <f>IF(GL_RAW!A718="","",IFERROR(GL_RAW!E718,0))</f>
        <v/>
      </c>
      <c r="I718" s="12">
        <f>IF(GL_RAW!A718="","",ABS(H718))</f>
        <v/>
      </c>
      <c r="J718" s="11">
        <f>IF(GL_RAW!A718="","",IF(OR(ISNUMBER(SEARCH("Out",F718)),ISNUMBER(SEARCH("11025002",F718)),H718&lt;0),"OUT","IN"))</f>
        <v/>
      </c>
      <c r="K718" s="11" t="inlineStr"/>
    </row>
    <row r="719">
      <c r="A719" s="13">
        <f>IF(GL_RAW!A719="","",ROW()-1)</f>
        <v/>
      </c>
      <c r="B719" s="10">
        <f>IF(GL_RAW!A719="","",IF(ISNUMBER(GL_RAW!A719),GL_RAW!A719,DATEVALUE(TEXT(GL_RAW!A719,"YYYY-MM-DD"))))</f>
        <v/>
      </c>
      <c r="C719" s="11">
        <f>IF(GL_RAW!A719="","",TRIM(GL_RAW!B719))</f>
        <v/>
      </c>
      <c r="D719" s="11">
        <f>IF(GL_RAW!A719="","",TRIM(GL_RAW!C719))</f>
        <v/>
      </c>
      <c r="E719" s="11">
        <f>IF(GL_RAW!A719="","",TRIM(GL_RAW!D719))</f>
        <v/>
      </c>
      <c r="F719" s="11">
        <f>IF(GL_RAW!A719="","",TRIM(GL_RAW!F719))</f>
        <v/>
      </c>
      <c r="G719" s="11">
        <f>IF(GL_RAW!A719="","",TRIM(GL_RAW!G719))</f>
        <v/>
      </c>
      <c r="H719" s="12">
        <f>IF(GL_RAW!A719="","",IFERROR(GL_RAW!E719,0))</f>
        <v/>
      </c>
      <c r="I719" s="12">
        <f>IF(GL_RAW!A719="","",ABS(H719))</f>
        <v/>
      </c>
      <c r="J719" s="11">
        <f>IF(GL_RAW!A719="","",IF(OR(ISNUMBER(SEARCH("Out",F719)),ISNUMBER(SEARCH("11025002",F719)),H719&lt;0),"OUT","IN"))</f>
        <v/>
      </c>
      <c r="K719" s="11" t="inlineStr"/>
    </row>
    <row r="720">
      <c r="A720" s="13">
        <f>IF(GL_RAW!A720="","",ROW()-1)</f>
        <v/>
      </c>
      <c r="B720" s="10">
        <f>IF(GL_RAW!A720="","",IF(ISNUMBER(GL_RAW!A720),GL_RAW!A720,DATEVALUE(TEXT(GL_RAW!A720,"YYYY-MM-DD"))))</f>
        <v/>
      </c>
      <c r="C720" s="11">
        <f>IF(GL_RAW!A720="","",TRIM(GL_RAW!B720))</f>
        <v/>
      </c>
      <c r="D720" s="11">
        <f>IF(GL_RAW!A720="","",TRIM(GL_RAW!C720))</f>
        <v/>
      </c>
      <c r="E720" s="11">
        <f>IF(GL_RAW!A720="","",TRIM(GL_RAW!D720))</f>
        <v/>
      </c>
      <c r="F720" s="11">
        <f>IF(GL_RAW!A720="","",TRIM(GL_RAW!F720))</f>
        <v/>
      </c>
      <c r="G720" s="11">
        <f>IF(GL_RAW!A720="","",TRIM(GL_RAW!G720))</f>
        <v/>
      </c>
      <c r="H720" s="12">
        <f>IF(GL_RAW!A720="","",IFERROR(GL_RAW!E720,0))</f>
        <v/>
      </c>
      <c r="I720" s="12">
        <f>IF(GL_RAW!A720="","",ABS(H720))</f>
        <v/>
      </c>
      <c r="J720" s="11">
        <f>IF(GL_RAW!A720="","",IF(OR(ISNUMBER(SEARCH("Out",F720)),ISNUMBER(SEARCH("11025002",F720)),H720&lt;0),"OUT","IN"))</f>
        <v/>
      </c>
      <c r="K720" s="11" t="inlineStr"/>
    </row>
    <row r="721">
      <c r="A721" s="13">
        <f>IF(GL_RAW!A721="","",ROW()-1)</f>
        <v/>
      </c>
      <c r="B721" s="10">
        <f>IF(GL_RAW!A721="","",IF(ISNUMBER(GL_RAW!A721),GL_RAW!A721,DATEVALUE(TEXT(GL_RAW!A721,"YYYY-MM-DD"))))</f>
        <v/>
      </c>
      <c r="C721" s="11">
        <f>IF(GL_RAW!A721="","",TRIM(GL_RAW!B721))</f>
        <v/>
      </c>
      <c r="D721" s="11">
        <f>IF(GL_RAW!A721="","",TRIM(GL_RAW!C721))</f>
        <v/>
      </c>
      <c r="E721" s="11">
        <f>IF(GL_RAW!A721="","",TRIM(GL_RAW!D721))</f>
        <v/>
      </c>
      <c r="F721" s="11">
        <f>IF(GL_RAW!A721="","",TRIM(GL_RAW!F721))</f>
        <v/>
      </c>
      <c r="G721" s="11">
        <f>IF(GL_RAW!A721="","",TRIM(GL_RAW!G721))</f>
        <v/>
      </c>
      <c r="H721" s="12">
        <f>IF(GL_RAW!A721="","",IFERROR(GL_RAW!E721,0))</f>
        <v/>
      </c>
      <c r="I721" s="12">
        <f>IF(GL_RAW!A721="","",ABS(H721))</f>
        <v/>
      </c>
      <c r="J721" s="11">
        <f>IF(GL_RAW!A721="","",IF(OR(ISNUMBER(SEARCH("Out",F721)),ISNUMBER(SEARCH("11025002",F721)),H721&lt;0),"OUT","IN"))</f>
        <v/>
      </c>
      <c r="K721" s="11" t="inlineStr"/>
    </row>
    <row r="722">
      <c r="A722" s="13">
        <f>IF(GL_RAW!A722="","",ROW()-1)</f>
        <v/>
      </c>
      <c r="B722" s="10">
        <f>IF(GL_RAW!A722="","",IF(ISNUMBER(GL_RAW!A722),GL_RAW!A722,DATEVALUE(TEXT(GL_RAW!A722,"YYYY-MM-DD"))))</f>
        <v/>
      </c>
      <c r="C722" s="11">
        <f>IF(GL_RAW!A722="","",TRIM(GL_RAW!B722))</f>
        <v/>
      </c>
      <c r="D722" s="11">
        <f>IF(GL_RAW!A722="","",TRIM(GL_RAW!C722))</f>
        <v/>
      </c>
      <c r="E722" s="11">
        <f>IF(GL_RAW!A722="","",TRIM(GL_RAW!D722))</f>
        <v/>
      </c>
      <c r="F722" s="11">
        <f>IF(GL_RAW!A722="","",TRIM(GL_RAW!F722))</f>
        <v/>
      </c>
      <c r="G722" s="11">
        <f>IF(GL_RAW!A722="","",TRIM(GL_RAW!G722))</f>
        <v/>
      </c>
      <c r="H722" s="12">
        <f>IF(GL_RAW!A722="","",IFERROR(GL_RAW!E722,0))</f>
        <v/>
      </c>
      <c r="I722" s="12">
        <f>IF(GL_RAW!A722="","",ABS(H722))</f>
        <v/>
      </c>
      <c r="J722" s="11">
        <f>IF(GL_RAW!A722="","",IF(OR(ISNUMBER(SEARCH("Out",F722)),ISNUMBER(SEARCH("11025002",F722)),H722&lt;0),"OUT","IN"))</f>
        <v/>
      </c>
      <c r="K722" s="11" t="inlineStr"/>
    </row>
    <row r="723">
      <c r="A723" s="13">
        <f>IF(GL_RAW!A723="","",ROW()-1)</f>
        <v/>
      </c>
      <c r="B723" s="10">
        <f>IF(GL_RAW!A723="","",IF(ISNUMBER(GL_RAW!A723),GL_RAW!A723,DATEVALUE(TEXT(GL_RAW!A723,"YYYY-MM-DD"))))</f>
        <v/>
      </c>
      <c r="C723" s="11">
        <f>IF(GL_RAW!A723="","",TRIM(GL_RAW!B723))</f>
        <v/>
      </c>
      <c r="D723" s="11">
        <f>IF(GL_RAW!A723="","",TRIM(GL_RAW!C723))</f>
        <v/>
      </c>
      <c r="E723" s="11">
        <f>IF(GL_RAW!A723="","",TRIM(GL_RAW!D723))</f>
        <v/>
      </c>
      <c r="F723" s="11">
        <f>IF(GL_RAW!A723="","",TRIM(GL_RAW!F723))</f>
        <v/>
      </c>
      <c r="G723" s="11">
        <f>IF(GL_RAW!A723="","",TRIM(GL_RAW!G723))</f>
        <v/>
      </c>
      <c r="H723" s="12">
        <f>IF(GL_RAW!A723="","",IFERROR(GL_RAW!E723,0))</f>
        <v/>
      </c>
      <c r="I723" s="12">
        <f>IF(GL_RAW!A723="","",ABS(H723))</f>
        <v/>
      </c>
      <c r="J723" s="11">
        <f>IF(GL_RAW!A723="","",IF(OR(ISNUMBER(SEARCH("Out",F723)),ISNUMBER(SEARCH("11025002",F723)),H723&lt;0),"OUT","IN"))</f>
        <v/>
      </c>
      <c r="K723" s="11" t="inlineStr"/>
    </row>
    <row r="724">
      <c r="A724" s="13">
        <f>IF(GL_RAW!A724="","",ROW()-1)</f>
        <v/>
      </c>
      <c r="B724" s="10">
        <f>IF(GL_RAW!A724="","",IF(ISNUMBER(GL_RAW!A724),GL_RAW!A724,DATEVALUE(TEXT(GL_RAW!A724,"YYYY-MM-DD"))))</f>
        <v/>
      </c>
      <c r="C724" s="11">
        <f>IF(GL_RAW!A724="","",TRIM(GL_RAW!B724))</f>
        <v/>
      </c>
      <c r="D724" s="11">
        <f>IF(GL_RAW!A724="","",TRIM(GL_RAW!C724))</f>
        <v/>
      </c>
      <c r="E724" s="11">
        <f>IF(GL_RAW!A724="","",TRIM(GL_RAW!D724))</f>
        <v/>
      </c>
      <c r="F724" s="11">
        <f>IF(GL_RAW!A724="","",TRIM(GL_RAW!F724))</f>
        <v/>
      </c>
      <c r="G724" s="11">
        <f>IF(GL_RAW!A724="","",TRIM(GL_RAW!G724))</f>
        <v/>
      </c>
      <c r="H724" s="12">
        <f>IF(GL_RAW!A724="","",IFERROR(GL_RAW!E724,0))</f>
        <v/>
      </c>
      <c r="I724" s="12">
        <f>IF(GL_RAW!A724="","",ABS(H724))</f>
        <v/>
      </c>
      <c r="J724" s="11">
        <f>IF(GL_RAW!A724="","",IF(OR(ISNUMBER(SEARCH("Out",F724)),ISNUMBER(SEARCH("11025002",F724)),H724&lt;0),"OUT","IN"))</f>
        <v/>
      </c>
      <c r="K724" s="11" t="inlineStr"/>
    </row>
    <row r="725">
      <c r="A725" s="13">
        <f>IF(GL_RAW!A725="","",ROW()-1)</f>
        <v/>
      </c>
      <c r="B725" s="10">
        <f>IF(GL_RAW!A725="","",IF(ISNUMBER(GL_RAW!A725),GL_RAW!A725,DATEVALUE(TEXT(GL_RAW!A725,"YYYY-MM-DD"))))</f>
        <v/>
      </c>
      <c r="C725" s="11">
        <f>IF(GL_RAW!A725="","",TRIM(GL_RAW!B725))</f>
        <v/>
      </c>
      <c r="D725" s="11">
        <f>IF(GL_RAW!A725="","",TRIM(GL_RAW!C725))</f>
        <v/>
      </c>
      <c r="E725" s="11">
        <f>IF(GL_RAW!A725="","",TRIM(GL_RAW!D725))</f>
        <v/>
      </c>
      <c r="F725" s="11">
        <f>IF(GL_RAW!A725="","",TRIM(GL_RAW!F725))</f>
        <v/>
      </c>
      <c r="G725" s="11">
        <f>IF(GL_RAW!A725="","",TRIM(GL_RAW!G725))</f>
        <v/>
      </c>
      <c r="H725" s="12">
        <f>IF(GL_RAW!A725="","",IFERROR(GL_RAW!E725,0))</f>
        <v/>
      </c>
      <c r="I725" s="12">
        <f>IF(GL_RAW!A725="","",ABS(H725))</f>
        <v/>
      </c>
      <c r="J725" s="11">
        <f>IF(GL_RAW!A725="","",IF(OR(ISNUMBER(SEARCH("Out",F725)),ISNUMBER(SEARCH("11025002",F725)),H725&lt;0),"OUT","IN"))</f>
        <v/>
      </c>
      <c r="K725" s="11" t="inlineStr"/>
    </row>
    <row r="726">
      <c r="A726" s="13">
        <f>IF(GL_RAW!A726="","",ROW()-1)</f>
        <v/>
      </c>
      <c r="B726" s="10">
        <f>IF(GL_RAW!A726="","",IF(ISNUMBER(GL_RAW!A726),GL_RAW!A726,DATEVALUE(TEXT(GL_RAW!A726,"YYYY-MM-DD"))))</f>
        <v/>
      </c>
      <c r="C726" s="11">
        <f>IF(GL_RAW!A726="","",TRIM(GL_RAW!B726))</f>
        <v/>
      </c>
      <c r="D726" s="11">
        <f>IF(GL_RAW!A726="","",TRIM(GL_RAW!C726))</f>
        <v/>
      </c>
      <c r="E726" s="11">
        <f>IF(GL_RAW!A726="","",TRIM(GL_RAW!D726))</f>
        <v/>
      </c>
      <c r="F726" s="11">
        <f>IF(GL_RAW!A726="","",TRIM(GL_RAW!F726))</f>
        <v/>
      </c>
      <c r="G726" s="11">
        <f>IF(GL_RAW!A726="","",TRIM(GL_RAW!G726))</f>
        <v/>
      </c>
      <c r="H726" s="12">
        <f>IF(GL_RAW!A726="","",IFERROR(GL_RAW!E726,0))</f>
        <v/>
      </c>
      <c r="I726" s="12">
        <f>IF(GL_RAW!A726="","",ABS(H726))</f>
        <v/>
      </c>
      <c r="J726" s="11">
        <f>IF(GL_RAW!A726="","",IF(OR(ISNUMBER(SEARCH("Out",F726)),ISNUMBER(SEARCH("11025002",F726)),H726&lt;0),"OUT","IN"))</f>
        <v/>
      </c>
      <c r="K726" s="11" t="inlineStr"/>
    </row>
    <row r="727">
      <c r="A727" s="13">
        <f>IF(GL_RAW!A727="","",ROW()-1)</f>
        <v/>
      </c>
      <c r="B727" s="10">
        <f>IF(GL_RAW!A727="","",IF(ISNUMBER(GL_RAW!A727),GL_RAW!A727,DATEVALUE(TEXT(GL_RAW!A727,"YYYY-MM-DD"))))</f>
        <v/>
      </c>
      <c r="C727" s="11">
        <f>IF(GL_RAW!A727="","",TRIM(GL_RAW!B727))</f>
        <v/>
      </c>
      <c r="D727" s="11">
        <f>IF(GL_RAW!A727="","",TRIM(GL_RAW!C727))</f>
        <v/>
      </c>
      <c r="E727" s="11">
        <f>IF(GL_RAW!A727="","",TRIM(GL_RAW!D727))</f>
        <v/>
      </c>
      <c r="F727" s="11">
        <f>IF(GL_RAW!A727="","",TRIM(GL_RAW!F727))</f>
        <v/>
      </c>
      <c r="G727" s="11">
        <f>IF(GL_RAW!A727="","",TRIM(GL_RAW!G727))</f>
        <v/>
      </c>
      <c r="H727" s="12">
        <f>IF(GL_RAW!A727="","",IFERROR(GL_RAW!E727,0))</f>
        <v/>
      </c>
      <c r="I727" s="12">
        <f>IF(GL_RAW!A727="","",ABS(H727))</f>
        <v/>
      </c>
      <c r="J727" s="11">
        <f>IF(GL_RAW!A727="","",IF(OR(ISNUMBER(SEARCH("Out",F727)),ISNUMBER(SEARCH("11025002",F727)),H727&lt;0),"OUT","IN"))</f>
        <v/>
      </c>
      <c r="K727" s="11" t="inlineStr"/>
    </row>
    <row r="728">
      <c r="A728" s="13">
        <f>IF(GL_RAW!A728="","",ROW()-1)</f>
        <v/>
      </c>
      <c r="B728" s="10">
        <f>IF(GL_RAW!A728="","",IF(ISNUMBER(GL_RAW!A728),GL_RAW!A728,DATEVALUE(TEXT(GL_RAW!A728,"YYYY-MM-DD"))))</f>
        <v/>
      </c>
      <c r="C728" s="11">
        <f>IF(GL_RAW!A728="","",TRIM(GL_RAW!B728))</f>
        <v/>
      </c>
      <c r="D728" s="11">
        <f>IF(GL_RAW!A728="","",TRIM(GL_RAW!C728))</f>
        <v/>
      </c>
      <c r="E728" s="11">
        <f>IF(GL_RAW!A728="","",TRIM(GL_RAW!D728))</f>
        <v/>
      </c>
      <c r="F728" s="11">
        <f>IF(GL_RAW!A728="","",TRIM(GL_RAW!F728))</f>
        <v/>
      </c>
      <c r="G728" s="11">
        <f>IF(GL_RAW!A728="","",TRIM(GL_RAW!G728))</f>
        <v/>
      </c>
      <c r="H728" s="12">
        <f>IF(GL_RAW!A728="","",IFERROR(GL_RAW!E728,0))</f>
        <v/>
      </c>
      <c r="I728" s="12">
        <f>IF(GL_RAW!A728="","",ABS(H728))</f>
        <v/>
      </c>
      <c r="J728" s="11">
        <f>IF(GL_RAW!A728="","",IF(OR(ISNUMBER(SEARCH("Out",F728)),ISNUMBER(SEARCH("11025002",F728)),H728&lt;0),"OUT","IN"))</f>
        <v/>
      </c>
      <c r="K728" s="11" t="inlineStr"/>
    </row>
    <row r="729">
      <c r="A729" s="13">
        <f>IF(GL_RAW!A729="","",ROW()-1)</f>
        <v/>
      </c>
      <c r="B729" s="10">
        <f>IF(GL_RAW!A729="","",IF(ISNUMBER(GL_RAW!A729),GL_RAW!A729,DATEVALUE(TEXT(GL_RAW!A729,"YYYY-MM-DD"))))</f>
        <v/>
      </c>
      <c r="C729" s="11">
        <f>IF(GL_RAW!A729="","",TRIM(GL_RAW!B729))</f>
        <v/>
      </c>
      <c r="D729" s="11">
        <f>IF(GL_RAW!A729="","",TRIM(GL_RAW!C729))</f>
        <v/>
      </c>
      <c r="E729" s="11">
        <f>IF(GL_RAW!A729="","",TRIM(GL_RAW!D729))</f>
        <v/>
      </c>
      <c r="F729" s="11">
        <f>IF(GL_RAW!A729="","",TRIM(GL_RAW!F729))</f>
        <v/>
      </c>
      <c r="G729" s="11">
        <f>IF(GL_RAW!A729="","",TRIM(GL_RAW!G729))</f>
        <v/>
      </c>
      <c r="H729" s="12">
        <f>IF(GL_RAW!A729="","",IFERROR(GL_RAW!E729,0))</f>
        <v/>
      </c>
      <c r="I729" s="12">
        <f>IF(GL_RAW!A729="","",ABS(H729))</f>
        <v/>
      </c>
      <c r="J729" s="11">
        <f>IF(GL_RAW!A729="","",IF(OR(ISNUMBER(SEARCH("Out",F729)),ISNUMBER(SEARCH("11025002",F729)),H729&lt;0),"OUT","IN"))</f>
        <v/>
      </c>
      <c r="K729" s="11" t="inlineStr"/>
    </row>
    <row r="730">
      <c r="A730" s="13">
        <f>IF(GL_RAW!A730="","",ROW()-1)</f>
        <v/>
      </c>
      <c r="B730" s="10">
        <f>IF(GL_RAW!A730="","",IF(ISNUMBER(GL_RAW!A730),GL_RAW!A730,DATEVALUE(TEXT(GL_RAW!A730,"YYYY-MM-DD"))))</f>
        <v/>
      </c>
      <c r="C730" s="11">
        <f>IF(GL_RAW!A730="","",TRIM(GL_RAW!B730))</f>
        <v/>
      </c>
      <c r="D730" s="11">
        <f>IF(GL_RAW!A730="","",TRIM(GL_RAW!C730))</f>
        <v/>
      </c>
      <c r="E730" s="11">
        <f>IF(GL_RAW!A730="","",TRIM(GL_RAW!D730))</f>
        <v/>
      </c>
      <c r="F730" s="11">
        <f>IF(GL_RAW!A730="","",TRIM(GL_RAW!F730))</f>
        <v/>
      </c>
      <c r="G730" s="11">
        <f>IF(GL_RAW!A730="","",TRIM(GL_RAW!G730))</f>
        <v/>
      </c>
      <c r="H730" s="12">
        <f>IF(GL_RAW!A730="","",IFERROR(GL_RAW!E730,0))</f>
        <v/>
      </c>
      <c r="I730" s="12">
        <f>IF(GL_RAW!A730="","",ABS(H730))</f>
        <v/>
      </c>
      <c r="J730" s="11">
        <f>IF(GL_RAW!A730="","",IF(OR(ISNUMBER(SEARCH("Out",F730)),ISNUMBER(SEARCH("11025002",F730)),H730&lt;0),"OUT","IN"))</f>
        <v/>
      </c>
      <c r="K730" s="11" t="inlineStr"/>
    </row>
    <row r="731">
      <c r="A731" s="13">
        <f>IF(GL_RAW!A731="","",ROW()-1)</f>
        <v/>
      </c>
      <c r="B731" s="10">
        <f>IF(GL_RAW!A731="","",IF(ISNUMBER(GL_RAW!A731),GL_RAW!A731,DATEVALUE(TEXT(GL_RAW!A731,"YYYY-MM-DD"))))</f>
        <v/>
      </c>
      <c r="C731" s="11">
        <f>IF(GL_RAW!A731="","",TRIM(GL_RAW!B731))</f>
        <v/>
      </c>
      <c r="D731" s="11">
        <f>IF(GL_RAW!A731="","",TRIM(GL_RAW!C731))</f>
        <v/>
      </c>
      <c r="E731" s="11">
        <f>IF(GL_RAW!A731="","",TRIM(GL_RAW!D731))</f>
        <v/>
      </c>
      <c r="F731" s="11">
        <f>IF(GL_RAW!A731="","",TRIM(GL_RAW!F731))</f>
        <v/>
      </c>
      <c r="G731" s="11">
        <f>IF(GL_RAW!A731="","",TRIM(GL_RAW!G731))</f>
        <v/>
      </c>
      <c r="H731" s="12">
        <f>IF(GL_RAW!A731="","",IFERROR(GL_RAW!E731,0))</f>
        <v/>
      </c>
      <c r="I731" s="12">
        <f>IF(GL_RAW!A731="","",ABS(H731))</f>
        <v/>
      </c>
      <c r="J731" s="11">
        <f>IF(GL_RAW!A731="","",IF(OR(ISNUMBER(SEARCH("Out",F731)),ISNUMBER(SEARCH("11025002",F731)),H731&lt;0),"OUT","IN"))</f>
        <v/>
      </c>
      <c r="K731" s="11" t="inlineStr"/>
    </row>
    <row r="732">
      <c r="A732" s="13">
        <f>IF(GL_RAW!A732="","",ROW()-1)</f>
        <v/>
      </c>
      <c r="B732" s="10">
        <f>IF(GL_RAW!A732="","",IF(ISNUMBER(GL_RAW!A732),GL_RAW!A732,DATEVALUE(TEXT(GL_RAW!A732,"YYYY-MM-DD"))))</f>
        <v/>
      </c>
      <c r="C732" s="11">
        <f>IF(GL_RAW!A732="","",TRIM(GL_RAW!B732))</f>
        <v/>
      </c>
      <c r="D732" s="11">
        <f>IF(GL_RAW!A732="","",TRIM(GL_RAW!C732))</f>
        <v/>
      </c>
      <c r="E732" s="11">
        <f>IF(GL_RAW!A732="","",TRIM(GL_RAW!D732))</f>
        <v/>
      </c>
      <c r="F732" s="11">
        <f>IF(GL_RAW!A732="","",TRIM(GL_RAW!F732))</f>
        <v/>
      </c>
      <c r="G732" s="11">
        <f>IF(GL_RAW!A732="","",TRIM(GL_RAW!G732))</f>
        <v/>
      </c>
      <c r="H732" s="12">
        <f>IF(GL_RAW!A732="","",IFERROR(GL_RAW!E732,0))</f>
        <v/>
      </c>
      <c r="I732" s="12">
        <f>IF(GL_RAW!A732="","",ABS(H732))</f>
        <v/>
      </c>
      <c r="J732" s="11">
        <f>IF(GL_RAW!A732="","",IF(OR(ISNUMBER(SEARCH("Out",F732)),ISNUMBER(SEARCH("11025002",F732)),H732&lt;0),"OUT","IN"))</f>
        <v/>
      </c>
      <c r="K732" s="11" t="inlineStr"/>
    </row>
    <row r="733">
      <c r="A733" s="13">
        <f>IF(GL_RAW!A733="","",ROW()-1)</f>
        <v/>
      </c>
      <c r="B733" s="10">
        <f>IF(GL_RAW!A733="","",IF(ISNUMBER(GL_RAW!A733),GL_RAW!A733,DATEVALUE(TEXT(GL_RAW!A733,"YYYY-MM-DD"))))</f>
        <v/>
      </c>
      <c r="C733" s="11">
        <f>IF(GL_RAW!A733="","",TRIM(GL_RAW!B733))</f>
        <v/>
      </c>
      <c r="D733" s="11">
        <f>IF(GL_RAW!A733="","",TRIM(GL_RAW!C733))</f>
        <v/>
      </c>
      <c r="E733" s="11">
        <f>IF(GL_RAW!A733="","",TRIM(GL_RAW!D733))</f>
        <v/>
      </c>
      <c r="F733" s="11">
        <f>IF(GL_RAW!A733="","",TRIM(GL_RAW!F733))</f>
        <v/>
      </c>
      <c r="G733" s="11">
        <f>IF(GL_RAW!A733="","",TRIM(GL_RAW!G733))</f>
        <v/>
      </c>
      <c r="H733" s="12">
        <f>IF(GL_RAW!A733="","",IFERROR(GL_RAW!E733,0))</f>
        <v/>
      </c>
      <c r="I733" s="12">
        <f>IF(GL_RAW!A733="","",ABS(H733))</f>
        <v/>
      </c>
      <c r="J733" s="11">
        <f>IF(GL_RAW!A733="","",IF(OR(ISNUMBER(SEARCH("Out",F733)),ISNUMBER(SEARCH("11025002",F733)),H733&lt;0),"OUT","IN"))</f>
        <v/>
      </c>
      <c r="K733" s="11" t="inlineStr"/>
    </row>
    <row r="734">
      <c r="A734" s="13">
        <f>IF(GL_RAW!A734="","",ROW()-1)</f>
        <v/>
      </c>
      <c r="B734" s="10">
        <f>IF(GL_RAW!A734="","",IF(ISNUMBER(GL_RAW!A734),GL_RAW!A734,DATEVALUE(TEXT(GL_RAW!A734,"YYYY-MM-DD"))))</f>
        <v/>
      </c>
      <c r="C734" s="11">
        <f>IF(GL_RAW!A734="","",TRIM(GL_RAW!B734))</f>
        <v/>
      </c>
      <c r="D734" s="11">
        <f>IF(GL_RAW!A734="","",TRIM(GL_RAW!C734))</f>
        <v/>
      </c>
      <c r="E734" s="11">
        <f>IF(GL_RAW!A734="","",TRIM(GL_RAW!D734))</f>
        <v/>
      </c>
      <c r="F734" s="11">
        <f>IF(GL_RAW!A734="","",TRIM(GL_RAW!F734))</f>
        <v/>
      </c>
      <c r="G734" s="11">
        <f>IF(GL_RAW!A734="","",TRIM(GL_RAW!G734))</f>
        <v/>
      </c>
      <c r="H734" s="12">
        <f>IF(GL_RAW!A734="","",IFERROR(GL_RAW!E734,0))</f>
        <v/>
      </c>
      <c r="I734" s="12">
        <f>IF(GL_RAW!A734="","",ABS(H734))</f>
        <v/>
      </c>
      <c r="J734" s="11">
        <f>IF(GL_RAW!A734="","",IF(OR(ISNUMBER(SEARCH("Out",F734)),ISNUMBER(SEARCH("11025002",F734)),H734&lt;0),"OUT","IN"))</f>
        <v/>
      </c>
      <c r="K734" s="11" t="inlineStr"/>
    </row>
    <row r="735">
      <c r="A735" s="13">
        <f>IF(GL_RAW!A735="","",ROW()-1)</f>
        <v/>
      </c>
      <c r="B735" s="10">
        <f>IF(GL_RAW!A735="","",IF(ISNUMBER(GL_RAW!A735),GL_RAW!A735,DATEVALUE(TEXT(GL_RAW!A735,"YYYY-MM-DD"))))</f>
        <v/>
      </c>
      <c r="C735" s="11">
        <f>IF(GL_RAW!A735="","",TRIM(GL_RAW!B735))</f>
        <v/>
      </c>
      <c r="D735" s="11">
        <f>IF(GL_RAW!A735="","",TRIM(GL_RAW!C735))</f>
        <v/>
      </c>
      <c r="E735" s="11">
        <f>IF(GL_RAW!A735="","",TRIM(GL_RAW!D735))</f>
        <v/>
      </c>
      <c r="F735" s="11">
        <f>IF(GL_RAW!A735="","",TRIM(GL_RAW!F735))</f>
        <v/>
      </c>
      <c r="G735" s="11">
        <f>IF(GL_RAW!A735="","",TRIM(GL_RAW!G735))</f>
        <v/>
      </c>
      <c r="H735" s="12">
        <f>IF(GL_RAW!A735="","",IFERROR(GL_RAW!E735,0))</f>
        <v/>
      </c>
      <c r="I735" s="12">
        <f>IF(GL_RAW!A735="","",ABS(H735))</f>
        <v/>
      </c>
      <c r="J735" s="11">
        <f>IF(GL_RAW!A735="","",IF(OR(ISNUMBER(SEARCH("Out",F735)),ISNUMBER(SEARCH("11025002",F735)),H735&lt;0),"OUT","IN"))</f>
        <v/>
      </c>
      <c r="K735" s="11" t="inlineStr"/>
    </row>
    <row r="736">
      <c r="A736" s="13">
        <f>IF(GL_RAW!A736="","",ROW()-1)</f>
        <v/>
      </c>
      <c r="B736" s="10">
        <f>IF(GL_RAW!A736="","",IF(ISNUMBER(GL_RAW!A736),GL_RAW!A736,DATEVALUE(TEXT(GL_RAW!A736,"YYYY-MM-DD"))))</f>
        <v/>
      </c>
      <c r="C736" s="11">
        <f>IF(GL_RAW!A736="","",TRIM(GL_RAW!B736))</f>
        <v/>
      </c>
      <c r="D736" s="11">
        <f>IF(GL_RAW!A736="","",TRIM(GL_RAW!C736))</f>
        <v/>
      </c>
      <c r="E736" s="11">
        <f>IF(GL_RAW!A736="","",TRIM(GL_RAW!D736))</f>
        <v/>
      </c>
      <c r="F736" s="11">
        <f>IF(GL_RAW!A736="","",TRIM(GL_RAW!F736))</f>
        <v/>
      </c>
      <c r="G736" s="11">
        <f>IF(GL_RAW!A736="","",TRIM(GL_RAW!G736))</f>
        <v/>
      </c>
      <c r="H736" s="12">
        <f>IF(GL_RAW!A736="","",IFERROR(GL_RAW!E736,0))</f>
        <v/>
      </c>
      <c r="I736" s="12">
        <f>IF(GL_RAW!A736="","",ABS(H736))</f>
        <v/>
      </c>
      <c r="J736" s="11">
        <f>IF(GL_RAW!A736="","",IF(OR(ISNUMBER(SEARCH("Out",F736)),ISNUMBER(SEARCH("11025002",F736)),H736&lt;0),"OUT","IN"))</f>
        <v/>
      </c>
      <c r="K736" s="11" t="inlineStr"/>
    </row>
    <row r="737">
      <c r="A737" s="13">
        <f>IF(GL_RAW!A737="","",ROW()-1)</f>
        <v/>
      </c>
      <c r="B737" s="10">
        <f>IF(GL_RAW!A737="","",IF(ISNUMBER(GL_RAW!A737),GL_RAW!A737,DATEVALUE(TEXT(GL_RAW!A737,"YYYY-MM-DD"))))</f>
        <v/>
      </c>
      <c r="C737" s="11">
        <f>IF(GL_RAW!A737="","",TRIM(GL_RAW!B737))</f>
        <v/>
      </c>
      <c r="D737" s="11">
        <f>IF(GL_RAW!A737="","",TRIM(GL_RAW!C737))</f>
        <v/>
      </c>
      <c r="E737" s="11">
        <f>IF(GL_RAW!A737="","",TRIM(GL_RAW!D737))</f>
        <v/>
      </c>
      <c r="F737" s="11">
        <f>IF(GL_RAW!A737="","",TRIM(GL_RAW!F737))</f>
        <v/>
      </c>
      <c r="G737" s="11">
        <f>IF(GL_RAW!A737="","",TRIM(GL_RAW!G737))</f>
        <v/>
      </c>
      <c r="H737" s="12">
        <f>IF(GL_RAW!A737="","",IFERROR(GL_RAW!E737,0))</f>
        <v/>
      </c>
      <c r="I737" s="12">
        <f>IF(GL_RAW!A737="","",ABS(H737))</f>
        <v/>
      </c>
      <c r="J737" s="11">
        <f>IF(GL_RAW!A737="","",IF(OR(ISNUMBER(SEARCH("Out",F737)),ISNUMBER(SEARCH("11025002",F737)),H737&lt;0),"OUT","IN"))</f>
        <v/>
      </c>
      <c r="K737" s="11" t="inlineStr"/>
    </row>
    <row r="738">
      <c r="A738" s="13">
        <f>IF(GL_RAW!A738="","",ROW()-1)</f>
        <v/>
      </c>
      <c r="B738" s="10">
        <f>IF(GL_RAW!A738="","",IF(ISNUMBER(GL_RAW!A738),GL_RAW!A738,DATEVALUE(TEXT(GL_RAW!A738,"YYYY-MM-DD"))))</f>
        <v/>
      </c>
      <c r="C738" s="11">
        <f>IF(GL_RAW!A738="","",TRIM(GL_RAW!B738))</f>
        <v/>
      </c>
      <c r="D738" s="11">
        <f>IF(GL_RAW!A738="","",TRIM(GL_RAW!C738))</f>
        <v/>
      </c>
      <c r="E738" s="11">
        <f>IF(GL_RAW!A738="","",TRIM(GL_RAW!D738))</f>
        <v/>
      </c>
      <c r="F738" s="11">
        <f>IF(GL_RAW!A738="","",TRIM(GL_RAW!F738))</f>
        <v/>
      </c>
      <c r="G738" s="11">
        <f>IF(GL_RAW!A738="","",TRIM(GL_RAW!G738))</f>
        <v/>
      </c>
      <c r="H738" s="12">
        <f>IF(GL_RAW!A738="","",IFERROR(GL_RAW!E738,0))</f>
        <v/>
      </c>
      <c r="I738" s="12">
        <f>IF(GL_RAW!A738="","",ABS(H738))</f>
        <v/>
      </c>
      <c r="J738" s="11">
        <f>IF(GL_RAW!A738="","",IF(OR(ISNUMBER(SEARCH("Out",F738)),ISNUMBER(SEARCH("11025002",F738)),H738&lt;0),"OUT","IN"))</f>
        <v/>
      </c>
      <c r="K738" s="11" t="inlineStr"/>
    </row>
    <row r="739">
      <c r="A739" s="13">
        <f>IF(GL_RAW!A739="","",ROW()-1)</f>
        <v/>
      </c>
      <c r="B739" s="10">
        <f>IF(GL_RAW!A739="","",IF(ISNUMBER(GL_RAW!A739),GL_RAW!A739,DATEVALUE(TEXT(GL_RAW!A739,"YYYY-MM-DD"))))</f>
        <v/>
      </c>
      <c r="C739" s="11">
        <f>IF(GL_RAW!A739="","",TRIM(GL_RAW!B739))</f>
        <v/>
      </c>
      <c r="D739" s="11">
        <f>IF(GL_RAW!A739="","",TRIM(GL_RAW!C739))</f>
        <v/>
      </c>
      <c r="E739" s="11">
        <f>IF(GL_RAW!A739="","",TRIM(GL_RAW!D739))</f>
        <v/>
      </c>
      <c r="F739" s="11">
        <f>IF(GL_RAW!A739="","",TRIM(GL_RAW!F739))</f>
        <v/>
      </c>
      <c r="G739" s="11">
        <f>IF(GL_RAW!A739="","",TRIM(GL_RAW!G739))</f>
        <v/>
      </c>
      <c r="H739" s="12">
        <f>IF(GL_RAW!A739="","",IFERROR(GL_RAW!E739,0))</f>
        <v/>
      </c>
      <c r="I739" s="12">
        <f>IF(GL_RAW!A739="","",ABS(H739))</f>
        <v/>
      </c>
      <c r="J739" s="11">
        <f>IF(GL_RAW!A739="","",IF(OR(ISNUMBER(SEARCH("Out",F739)),ISNUMBER(SEARCH("11025002",F739)),H739&lt;0),"OUT","IN"))</f>
        <v/>
      </c>
      <c r="K739" s="11" t="inlineStr"/>
    </row>
    <row r="740">
      <c r="A740" s="13">
        <f>IF(GL_RAW!A740="","",ROW()-1)</f>
        <v/>
      </c>
      <c r="B740" s="10">
        <f>IF(GL_RAW!A740="","",IF(ISNUMBER(GL_RAW!A740),GL_RAW!A740,DATEVALUE(TEXT(GL_RAW!A740,"YYYY-MM-DD"))))</f>
        <v/>
      </c>
      <c r="C740" s="11">
        <f>IF(GL_RAW!A740="","",TRIM(GL_RAW!B740))</f>
        <v/>
      </c>
      <c r="D740" s="11">
        <f>IF(GL_RAW!A740="","",TRIM(GL_RAW!C740))</f>
        <v/>
      </c>
      <c r="E740" s="11">
        <f>IF(GL_RAW!A740="","",TRIM(GL_RAW!D740))</f>
        <v/>
      </c>
      <c r="F740" s="11">
        <f>IF(GL_RAW!A740="","",TRIM(GL_RAW!F740))</f>
        <v/>
      </c>
      <c r="G740" s="11">
        <f>IF(GL_RAW!A740="","",TRIM(GL_RAW!G740))</f>
        <v/>
      </c>
      <c r="H740" s="12">
        <f>IF(GL_RAW!A740="","",IFERROR(GL_RAW!E740,0))</f>
        <v/>
      </c>
      <c r="I740" s="12">
        <f>IF(GL_RAW!A740="","",ABS(H740))</f>
        <v/>
      </c>
      <c r="J740" s="11">
        <f>IF(GL_RAW!A740="","",IF(OR(ISNUMBER(SEARCH("Out",F740)),ISNUMBER(SEARCH("11025002",F740)),H740&lt;0),"OUT","IN"))</f>
        <v/>
      </c>
      <c r="K740" s="11" t="inlineStr"/>
    </row>
    <row r="741">
      <c r="A741" s="13">
        <f>IF(GL_RAW!A741="","",ROW()-1)</f>
        <v/>
      </c>
      <c r="B741" s="10">
        <f>IF(GL_RAW!A741="","",IF(ISNUMBER(GL_RAW!A741),GL_RAW!A741,DATEVALUE(TEXT(GL_RAW!A741,"YYYY-MM-DD"))))</f>
        <v/>
      </c>
      <c r="C741" s="11">
        <f>IF(GL_RAW!A741="","",TRIM(GL_RAW!B741))</f>
        <v/>
      </c>
      <c r="D741" s="11">
        <f>IF(GL_RAW!A741="","",TRIM(GL_RAW!C741))</f>
        <v/>
      </c>
      <c r="E741" s="11">
        <f>IF(GL_RAW!A741="","",TRIM(GL_RAW!D741))</f>
        <v/>
      </c>
      <c r="F741" s="11">
        <f>IF(GL_RAW!A741="","",TRIM(GL_RAW!F741))</f>
        <v/>
      </c>
      <c r="G741" s="11">
        <f>IF(GL_RAW!A741="","",TRIM(GL_RAW!G741))</f>
        <v/>
      </c>
      <c r="H741" s="12">
        <f>IF(GL_RAW!A741="","",IFERROR(GL_RAW!E741,0))</f>
        <v/>
      </c>
      <c r="I741" s="12">
        <f>IF(GL_RAW!A741="","",ABS(H741))</f>
        <v/>
      </c>
      <c r="J741" s="11">
        <f>IF(GL_RAW!A741="","",IF(OR(ISNUMBER(SEARCH("Out",F741)),ISNUMBER(SEARCH("11025002",F741)),H741&lt;0),"OUT","IN"))</f>
        <v/>
      </c>
      <c r="K741" s="11" t="inlineStr"/>
    </row>
    <row r="742">
      <c r="A742" s="13">
        <f>IF(GL_RAW!A742="","",ROW()-1)</f>
        <v/>
      </c>
      <c r="B742" s="10">
        <f>IF(GL_RAW!A742="","",IF(ISNUMBER(GL_RAW!A742),GL_RAW!A742,DATEVALUE(TEXT(GL_RAW!A742,"YYYY-MM-DD"))))</f>
        <v/>
      </c>
      <c r="C742" s="11">
        <f>IF(GL_RAW!A742="","",TRIM(GL_RAW!B742))</f>
        <v/>
      </c>
      <c r="D742" s="11">
        <f>IF(GL_RAW!A742="","",TRIM(GL_RAW!C742))</f>
        <v/>
      </c>
      <c r="E742" s="11">
        <f>IF(GL_RAW!A742="","",TRIM(GL_RAW!D742))</f>
        <v/>
      </c>
      <c r="F742" s="11">
        <f>IF(GL_RAW!A742="","",TRIM(GL_RAW!F742))</f>
        <v/>
      </c>
      <c r="G742" s="11">
        <f>IF(GL_RAW!A742="","",TRIM(GL_RAW!G742))</f>
        <v/>
      </c>
      <c r="H742" s="12">
        <f>IF(GL_RAW!A742="","",IFERROR(GL_RAW!E742,0))</f>
        <v/>
      </c>
      <c r="I742" s="12">
        <f>IF(GL_RAW!A742="","",ABS(H742))</f>
        <v/>
      </c>
      <c r="J742" s="11">
        <f>IF(GL_RAW!A742="","",IF(OR(ISNUMBER(SEARCH("Out",F742)),ISNUMBER(SEARCH("11025002",F742)),H742&lt;0),"OUT","IN"))</f>
        <v/>
      </c>
      <c r="K742" s="11" t="inlineStr"/>
    </row>
    <row r="743">
      <c r="A743" s="13">
        <f>IF(GL_RAW!A743="","",ROW()-1)</f>
        <v/>
      </c>
      <c r="B743" s="10">
        <f>IF(GL_RAW!A743="","",IF(ISNUMBER(GL_RAW!A743),GL_RAW!A743,DATEVALUE(TEXT(GL_RAW!A743,"YYYY-MM-DD"))))</f>
        <v/>
      </c>
      <c r="C743" s="11">
        <f>IF(GL_RAW!A743="","",TRIM(GL_RAW!B743))</f>
        <v/>
      </c>
      <c r="D743" s="11">
        <f>IF(GL_RAW!A743="","",TRIM(GL_RAW!C743))</f>
        <v/>
      </c>
      <c r="E743" s="11">
        <f>IF(GL_RAW!A743="","",TRIM(GL_RAW!D743))</f>
        <v/>
      </c>
      <c r="F743" s="11">
        <f>IF(GL_RAW!A743="","",TRIM(GL_RAW!F743))</f>
        <v/>
      </c>
      <c r="G743" s="11">
        <f>IF(GL_RAW!A743="","",TRIM(GL_RAW!G743))</f>
        <v/>
      </c>
      <c r="H743" s="12">
        <f>IF(GL_RAW!A743="","",IFERROR(GL_RAW!E743,0))</f>
        <v/>
      </c>
      <c r="I743" s="12">
        <f>IF(GL_RAW!A743="","",ABS(H743))</f>
        <v/>
      </c>
      <c r="J743" s="11">
        <f>IF(GL_RAW!A743="","",IF(OR(ISNUMBER(SEARCH("Out",F743)),ISNUMBER(SEARCH("11025002",F743)),H743&lt;0),"OUT","IN"))</f>
        <v/>
      </c>
      <c r="K743" s="11" t="inlineStr"/>
    </row>
    <row r="744">
      <c r="A744" s="13">
        <f>IF(GL_RAW!A744="","",ROW()-1)</f>
        <v/>
      </c>
      <c r="B744" s="10">
        <f>IF(GL_RAW!A744="","",IF(ISNUMBER(GL_RAW!A744),GL_RAW!A744,DATEVALUE(TEXT(GL_RAW!A744,"YYYY-MM-DD"))))</f>
        <v/>
      </c>
      <c r="C744" s="11">
        <f>IF(GL_RAW!A744="","",TRIM(GL_RAW!B744))</f>
        <v/>
      </c>
      <c r="D744" s="11">
        <f>IF(GL_RAW!A744="","",TRIM(GL_RAW!C744))</f>
        <v/>
      </c>
      <c r="E744" s="11">
        <f>IF(GL_RAW!A744="","",TRIM(GL_RAW!D744))</f>
        <v/>
      </c>
      <c r="F744" s="11">
        <f>IF(GL_RAW!A744="","",TRIM(GL_RAW!F744))</f>
        <v/>
      </c>
      <c r="G744" s="11">
        <f>IF(GL_RAW!A744="","",TRIM(GL_RAW!G744))</f>
        <v/>
      </c>
      <c r="H744" s="12">
        <f>IF(GL_RAW!A744="","",IFERROR(GL_RAW!E744,0))</f>
        <v/>
      </c>
      <c r="I744" s="12">
        <f>IF(GL_RAW!A744="","",ABS(H744))</f>
        <v/>
      </c>
      <c r="J744" s="11">
        <f>IF(GL_RAW!A744="","",IF(OR(ISNUMBER(SEARCH("Out",F744)),ISNUMBER(SEARCH("11025002",F744)),H744&lt;0),"OUT","IN"))</f>
        <v/>
      </c>
      <c r="K744" s="11" t="inlineStr"/>
    </row>
    <row r="745">
      <c r="A745" s="13">
        <f>IF(GL_RAW!A745="","",ROW()-1)</f>
        <v/>
      </c>
      <c r="B745" s="10">
        <f>IF(GL_RAW!A745="","",IF(ISNUMBER(GL_RAW!A745),GL_RAW!A745,DATEVALUE(TEXT(GL_RAW!A745,"YYYY-MM-DD"))))</f>
        <v/>
      </c>
      <c r="C745" s="11">
        <f>IF(GL_RAW!A745="","",TRIM(GL_RAW!B745))</f>
        <v/>
      </c>
      <c r="D745" s="11">
        <f>IF(GL_RAW!A745="","",TRIM(GL_RAW!C745))</f>
        <v/>
      </c>
      <c r="E745" s="11">
        <f>IF(GL_RAW!A745="","",TRIM(GL_RAW!D745))</f>
        <v/>
      </c>
      <c r="F745" s="11">
        <f>IF(GL_RAW!A745="","",TRIM(GL_RAW!F745))</f>
        <v/>
      </c>
      <c r="G745" s="11">
        <f>IF(GL_RAW!A745="","",TRIM(GL_RAW!G745))</f>
        <v/>
      </c>
      <c r="H745" s="12">
        <f>IF(GL_RAW!A745="","",IFERROR(GL_RAW!E745,0))</f>
        <v/>
      </c>
      <c r="I745" s="12">
        <f>IF(GL_RAW!A745="","",ABS(H745))</f>
        <v/>
      </c>
      <c r="J745" s="11">
        <f>IF(GL_RAW!A745="","",IF(OR(ISNUMBER(SEARCH("Out",F745)),ISNUMBER(SEARCH("11025002",F745)),H745&lt;0),"OUT","IN"))</f>
        <v/>
      </c>
      <c r="K745" s="11" t="inlineStr"/>
    </row>
    <row r="746">
      <c r="A746" s="13">
        <f>IF(GL_RAW!A746="","",ROW()-1)</f>
        <v/>
      </c>
      <c r="B746" s="10">
        <f>IF(GL_RAW!A746="","",IF(ISNUMBER(GL_RAW!A746),GL_RAW!A746,DATEVALUE(TEXT(GL_RAW!A746,"YYYY-MM-DD"))))</f>
        <v/>
      </c>
      <c r="C746" s="11">
        <f>IF(GL_RAW!A746="","",TRIM(GL_RAW!B746))</f>
        <v/>
      </c>
      <c r="D746" s="11">
        <f>IF(GL_RAW!A746="","",TRIM(GL_RAW!C746))</f>
        <v/>
      </c>
      <c r="E746" s="11">
        <f>IF(GL_RAW!A746="","",TRIM(GL_RAW!D746))</f>
        <v/>
      </c>
      <c r="F746" s="11">
        <f>IF(GL_RAW!A746="","",TRIM(GL_RAW!F746))</f>
        <v/>
      </c>
      <c r="G746" s="11">
        <f>IF(GL_RAW!A746="","",TRIM(GL_RAW!G746))</f>
        <v/>
      </c>
      <c r="H746" s="12">
        <f>IF(GL_RAW!A746="","",IFERROR(GL_RAW!E746,0))</f>
        <v/>
      </c>
      <c r="I746" s="12">
        <f>IF(GL_RAW!A746="","",ABS(H746))</f>
        <v/>
      </c>
      <c r="J746" s="11">
        <f>IF(GL_RAW!A746="","",IF(OR(ISNUMBER(SEARCH("Out",F746)),ISNUMBER(SEARCH("11025002",F746)),H746&lt;0),"OUT","IN"))</f>
        <v/>
      </c>
      <c r="K746" s="11" t="inlineStr"/>
    </row>
    <row r="747">
      <c r="A747" s="13">
        <f>IF(GL_RAW!A747="","",ROW()-1)</f>
        <v/>
      </c>
      <c r="B747" s="10">
        <f>IF(GL_RAW!A747="","",IF(ISNUMBER(GL_RAW!A747),GL_RAW!A747,DATEVALUE(TEXT(GL_RAW!A747,"YYYY-MM-DD"))))</f>
        <v/>
      </c>
      <c r="C747" s="11">
        <f>IF(GL_RAW!A747="","",TRIM(GL_RAW!B747))</f>
        <v/>
      </c>
      <c r="D747" s="11">
        <f>IF(GL_RAW!A747="","",TRIM(GL_RAW!C747))</f>
        <v/>
      </c>
      <c r="E747" s="11">
        <f>IF(GL_RAW!A747="","",TRIM(GL_RAW!D747))</f>
        <v/>
      </c>
      <c r="F747" s="11">
        <f>IF(GL_RAW!A747="","",TRIM(GL_RAW!F747))</f>
        <v/>
      </c>
      <c r="G747" s="11">
        <f>IF(GL_RAW!A747="","",TRIM(GL_RAW!G747))</f>
        <v/>
      </c>
      <c r="H747" s="12">
        <f>IF(GL_RAW!A747="","",IFERROR(GL_RAW!E747,0))</f>
        <v/>
      </c>
      <c r="I747" s="12">
        <f>IF(GL_RAW!A747="","",ABS(H747))</f>
        <v/>
      </c>
      <c r="J747" s="11">
        <f>IF(GL_RAW!A747="","",IF(OR(ISNUMBER(SEARCH("Out",F747)),ISNUMBER(SEARCH("11025002",F747)),H747&lt;0),"OUT","IN"))</f>
        <v/>
      </c>
      <c r="K747" s="11" t="inlineStr"/>
    </row>
    <row r="748">
      <c r="A748" s="13">
        <f>IF(GL_RAW!A748="","",ROW()-1)</f>
        <v/>
      </c>
      <c r="B748" s="10">
        <f>IF(GL_RAW!A748="","",IF(ISNUMBER(GL_RAW!A748),GL_RAW!A748,DATEVALUE(TEXT(GL_RAW!A748,"YYYY-MM-DD"))))</f>
        <v/>
      </c>
      <c r="C748" s="11">
        <f>IF(GL_RAW!A748="","",TRIM(GL_RAW!B748))</f>
        <v/>
      </c>
      <c r="D748" s="11">
        <f>IF(GL_RAW!A748="","",TRIM(GL_RAW!C748))</f>
        <v/>
      </c>
      <c r="E748" s="11">
        <f>IF(GL_RAW!A748="","",TRIM(GL_RAW!D748))</f>
        <v/>
      </c>
      <c r="F748" s="11">
        <f>IF(GL_RAW!A748="","",TRIM(GL_RAW!F748))</f>
        <v/>
      </c>
      <c r="G748" s="11">
        <f>IF(GL_RAW!A748="","",TRIM(GL_RAW!G748))</f>
        <v/>
      </c>
      <c r="H748" s="12">
        <f>IF(GL_RAW!A748="","",IFERROR(GL_RAW!E748,0))</f>
        <v/>
      </c>
      <c r="I748" s="12">
        <f>IF(GL_RAW!A748="","",ABS(H748))</f>
        <v/>
      </c>
      <c r="J748" s="11">
        <f>IF(GL_RAW!A748="","",IF(OR(ISNUMBER(SEARCH("Out",F748)),ISNUMBER(SEARCH("11025002",F748)),H748&lt;0),"OUT","IN"))</f>
        <v/>
      </c>
      <c r="K748" s="11" t="inlineStr"/>
    </row>
    <row r="749">
      <c r="A749" s="13">
        <f>IF(GL_RAW!A749="","",ROW()-1)</f>
        <v/>
      </c>
      <c r="B749" s="10">
        <f>IF(GL_RAW!A749="","",IF(ISNUMBER(GL_RAW!A749),GL_RAW!A749,DATEVALUE(TEXT(GL_RAW!A749,"YYYY-MM-DD"))))</f>
        <v/>
      </c>
      <c r="C749" s="11">
        <f>IF(GL_RAW!A749="","",TRIM(GL_RAW!B749))</f>
        <v/>
      </c>
      <c r="D749" s="11">
        <f>IF(GL_RAW!A749="","",TRIM(GL_RAW!C749))</f>
        <v/>
      </c>
      <c r="E749" s="11">
        <f>IF(GL_RAW!A749="","",TRIM(GL_RAW!D749))</f>
        <v/>
      </c>
      <c r="F749" s="11">
        <f>IF(GL_RAW!A749="","",TRIM(GL_RAW!F749))</f>
        <v/>
      </c>
      <c r="G749" s="11">
        <f>IF(GL_RAW!A749="","",TRIM(GL_RAW!G749))</f>
        <v/>
      </c>
      <c r="H749" s="12">
        <f>IF(GL_RAW!A749="","",IFERROR(GL_RAW!E749,0))</f>
        <v/>
      </c>
      <c r="I749" s="12">
        <f>IF(GL_RAW!A749="","",ABS(H749))</f>
        <v/>
      </c>
      <c r="J749" s="11">
        <f>IF(GL_RAW!A749="","",IF(OR(ISNUMBER(SEARCH("Out",F749)),ISNUMBER(SEARCH("11025002",F749)),H749&lt;0),"OUT","IN"))</f>
        <v/>
      </c>
      <c r="K749" s="11" t="inlineStr"/>
    </row>
    <row r="750">
      <c r="A750" s="13">
        <f>IF(GL_RAW!A750="","",ROW()-1)</f>
        <v/>
      </c>
      <c r="B750" s="10">
        <f>IF(GL_RAW!A750="","",IF(ISNUMBER(GL_RAW!A750),GL_RAW!A750,DATEVALUE(TEXT(GL_RAW!A750,"YYYY-MM-DD"))))</f>
        <v/>
      </c>
      <c r="C750" s="11">
        <f>IF(GL_RAW!A750="","",TRIM(GL_RAW!B750))</f>
        <v/>
      </c>
      <c r="D750" s="11">
        <f>IF(GL_RAW!A750="","",TRIM(GL_RAW!C750))</f>
        <v/>
      </c>
      <c r="E750" s="11">
        <f>IF(GL_RAW!A750="","",TRIM(GL_RAW!D750))</f>
        <v/>
      </c>
      <c r="F750" s="11">
        <f>IF(GL_RAW!A750="","",TRIM(GL_RAW!F750))</f>
        <v/>
      </c>
      <c r="G750" s="11">
        <f>IF(GL_RAW!A750="","",TRIM(GL_RAW!G750))</f>
        <v/>
      </c>
      <c r="H750" s="12">
        <f>IF(GL_RAW!A750="","",IFERROR(GL_RAW!E750,0))</f>
        <v/>
      </c>
      <c r="I750" s="12">
        <f>IF(GL_RAW!A750="","",ABS(H750))</f>
        <v/>
      </c>
      <c r="J750" s="11">
        <f>IF(GL_RAW!A750="","",IF(OR(ISNUMBER(SEARCH("Out",F750)),ISNUMBER(SEARCH("11025002",F750)),H750&lt;0),"OUT","IN"))</f>
        <v/>
      </c>
      <c r="K750" s="11" t="inlineStr"/>
    </row>
    <row r="751">
      <c r="A751" s="13">
        <f>IF(GL_RAW!A751="","",ROW()-1)</f>
        <v/>
      </c>
      <c r="B751" s="10">
        <f>IF(GL_RAW!A751="","",IF(ISNUMBER(GL_RAW!A751),GL_RAW!A751,DATEVALUE(TEXT(GL_RAW!A751,"YYYY-MM-DD"))))</f>
        <v/>
      </c>
      <c r="C751" s="11">
        <f>IF(GL_RAW!A751="","",TRIM(GL_RAW!B751))</f>
        <v/>
      </c>
      <c r="D751" s="11">
        <f>IF(GL_RAW!A751="","",TRIM(GL_RAW!C751))</f>
        <v/>
      </c>
      <c r="E751" s="11">
        <f>IF(GL_RAW!A751="","",TRIM(GL_RAW!D751))</f>
        <v/>
      </c>
      <c r="F751" s="11">
        <f>IF(GL_RAW!A751="","",TRIM(GL_RAW!F751))</f>
        <v/>
      </c>
      <c r="G751" s="11">
        <f>IF(GL_RAW!A751="","",TRIM(GL_RAW!G751))</f>
        <v/>
      </c>
      <c r="H751" s="12">
        <f>IF(GL_RAW!A751="","",IFERROR(GL_RAW!E751,0))</f>
        <v/>
      </c>
      <c r="I751" s="12">
        <f>IF(GL_RAW!A751="","",ABS(H751))</f>
        <v/>
      </c>
      <c r="J751" s="11">
        <f>IF(GL_RAW!A751="","",IF(OR(ISNUMBER(SEARCH("Out",F751)),ISNUMBER(SEARCH("11025002",F751)),H751&lt;0),"OUT","IN"))</f>
        <v/>
      </c>
      <c r="K751" s="11" t="inlineStr"/>
    </row>
    <row r="752">
      <c r="A752" s="13">
        <f>IF(GL_RAW!A752="","",ROW()-1)</f>
        <v/>
      </c>
      <c r="B752" s="10">
        <f>IF(GL_RAW!A752="","",IF(ISNUMBER(GL_RAW!A752),GL_RAW!A752,DATEVALUE(TEXT(GL_RAW!A752,"YYYY-MM-DD"))))</f>
        <v/>
      </c>
      <c r="C752" s="11">
        <f>IF(GL_RAW!A752="","",TRIM(GL_RAW!B752))</f>
        <v/>
      </c>
      <c r="D752" s="11">
        <f>IF(GL_RAW!A752="","",TRIM(GL_RAW!C752))</f>
        <v/>
      </c>
      <c r="E752" s="11">
        <f>IF(GL_RAW!A752="","",TRIM(GL_RAW!D752))</f>
        <v/>
      </c>
      <c r="F752" s="11">
        <f>IF(GL_RAW!A752="","",TRIM(GL_RAW!F752))</f>
        <v/>
      </c>
      <c r="G752" s="11">
        <f>IF(GL_RAW!A752="","",TRIM(GL_RAW!G752))</f>
        <v/>
      </c>
      <c r="H752" s="12">
        <f>IF(GL_RAW!A752="","",IFERROR(GL_RAW!E752,0))</f>
        <v/>
      </c>
      <c r="I752" s="12">
        <f>IF(GL_RAW!A752="","",ABS(H752))</f>
        <v/>
      </c>
      <c r="J752" s="11">
        <f>IF(GL_RAW!A752="","",IF(OR(ISNUMBER(SEARCH("Out",F752)),ISNUMBER(SEARCH("11025002",F752)),H752&lt;0),"OUT","IN"))</f>
        <v/>
      </c>
      <c r="K752" s="11" t="inlineStr"/>
    </row>
    <row r="753">
      <c r="A753" s="13">
        <f>IF(GL_RAW!A753="","",ROW()-1)</f>
        <v/>
      </c>
      <c r="B753" s="10">
        <f>IF(GL_RAW!A753="","",IF(ISNUMBER(GL_RAW!A753),GL_RAW!A753,DATEVALUE(TEXT(GL_RAW!A753,"YYYY-MM-DD"))))</f>
        <v/>
      </c>
      <c r="C753" s="11">
        <f>IF(GL_RAW!A753="","",TRIM(GL_RAW!B753))</f>
        <v/>
      </c>
      <c r="D753" s="11">
        <f>IF(GL_RAW!A753="","",TRIM(GL_RAW!C753))</f>
        <v/>
      </c>
      <c r="E753" s="11">
        <f>IF(GL_RAW!A753="","",TRIM(GL_RAW!D753))</f>
        <v/>
      </c>
      <c r="F753" s="11">
        <f>IF(GL_RAW!A753="","",TRIM(GL_RAW!F753))</f>
        <v/>
      </c>
      <c r="G753" s="11">
        <f>IF(GL_RAW!A753="","",TRIM(GL_RAW!G753))</f>
        <v/>
      </c>
      <c r="H753" s="12">
        <f>IF(GL_RAW!A753="","",IFERROR(GL_RAW!E753,0))</f>
        <v/>
      </c>
      <c r="I753" s="12">
        <f>IF(GL_RAW!A753="","",ABS(H753))</f>
        <v/>
      </c>
      <c r="J753" s="11">
        <f>IF(GL_RAW!A753="","",IF(OR(ISNUMBER(SEARCH("Out",F753)),ISNUMBER(SEARCH("11025002",F753)),H753&lt;0),"OUT","IN"))</f>
        <v/>
      </c>
      <c r="K753" s="11" t="inlineStr"/>
    </row>
    <row r="754">
      <c r="A754" s="13">
        <f>IF(GL_RAW!A754="","",ROW()-1)</f>
        <v/>
      </c>
      <c r="B754" s="10">
        <f>IF(GL_RAW!A754="","",IF(ISNUMBER(GL_RAW!A754),GL_RAW!A754,DATEVALUE(TEXT(GL_RAW!A754,"YYYY-MM-DD"))))</f>
        <v/>
      </c>
      <c r="C754" s="11">
        <f>IF(GL_RAW!A754="","",TRIM(GL_RAW!B754))</f>
        <v/>
      </c>
      <c r="D754" s="11">
        <f>IF(GL_RAW!A754="","",TRIM(GL_RAW!C754))</f>
        <v/>
      </c>
      <c r="E754" s="11">
        <f>IF(GL_RAW!A754="","",TRIM(GL_RAW!D754))</f>
        <v/>
      </c>
      <c r="F754" s="11">
        <f>IF(GL_RAW!A754="","",TRIM(GL_RAW!F754))</f>
        <v/>
      </c>
      <c r="G754" s="11">
        <f>IF(GL_RAW!A754="","",TRIM(GL_RAW!G754))</f>
        <v/>
      </c>
      <c r="H754" s="12">
        <f>IF(GL_RAW!A754="","",IFERROR(GL_RAW!E754,0))</f>
        <v/>
      </c>
      <c r="I754" s="12">
        <f>IF(GL_RAW!A754="","",ABS(H754))</f>
        <v/>
      </c>
      <c r="J754" s="11">
        <f>IF(GL_RAW!A754="","",IF(OR(ISNUMBER(SEARCH("Out",F754)),ISNUMBER(SEARCH("11025002",F754)),H754&lt;0),"OUT","IN"))</f>
        <v/>
      </c>
      <c r="K754" s="11" t="inlineStr"/>
    </row>
    <row r="755">
      <c r="A755" s="13">
        <f>IF(GL_RAW!A755="","",ROW()-1)</f>
        <v/>
      </c>
      <c r="B755" s="10">
        <f>IF(GL_RAW!A755="","",IF(ISNUMBER(GL_RAW!A755),GL_RAW!A755,DATEVALUE(TEXT(GL_RAW!A755,"YYYY-MM-DD"))))</f>
        <v/>
      </c>
      <c r="C755" s="11">
        <f>IF(GL_RAW!A755="","",TRIM(GL_RAW!B755))</f>
        <v/>
      </c>
      <c r="D755" s="11">
        <f>IF(GL_RAW!A755="","",TRIM(GL_RAW!C755))</f>
        <v/>
      </c>
      <c r="E755" s="11">
        <f>IF(GL_RAW!A755="","",TRIM(GL_RAW!D755))</f>
        <v/>
      </c>
      <c r="F755" s="11">
        <f>IF(GL_RAW!A755="","",TRIM(GL_RAW!F755))</f>
        <v/>
      </c>
      <c r="G755" s="11">
        <f>IF(GL_RAW!A755="","",TRIM(GL_RAW!G755))</f>
        <v/>
      </c>
      <c r="H755" s="12">
        <f>IF(GL_RAW!A755="","",IFERROR(GL_RAW!E755,0))</f>
        <v/>
      </c>
      <c r="I755" s="12">
        <f>IF(GL_RAW!A755="","",ABS(H755))</f>
        <v/>
      </c>
      <c r="J755" s="11">
        <f>IF(GL_RAW!A755="","",IF(OR(ISNUMBER(SEARCH("Out",F755)),ISNUMBER(SEARCH("11025002",F755)),H755&lt;0),"OUT","IN"))</f>
        <v/>
      </c>
      <c r="K755" s="11" t="inlineStr"/>
    </row>
    <row r="756">
      <c r="A756" s="13">
        <f>IF(GL_RAW!A756="","",ROW()-1)</f>
        <v/>
      </c>
      <c r="B756" s="10">
        <f>IF(GL_RAW!A756="","",IF(ISNUMBER(GL_RAW!A756),GL_RAW!A756,DATEVALUE(TEXT(GL_RAW!A756,"YYYY-MM-DD"))))</f>
        <v/>
      </c>
      <c r="C756" s="11">
        <f>IF(GL_RAW!A756="","",TRIM(GL_RAW!B756))</f>
        <v/>
      </c>
      <c r="D756" s="11">
        <f>IF(GL_RAW!A756="","",TRIM(GL_RAW!C756))</f>
        <v/>
      </c>
      <c r="E756" s="11">
        <f>IF(GL_RAW!A756="","",TRIM(GL_RAW!D756))</f>
        <v/>
      </c>
      <c r="F756" s="11">
        <f>IF(GL_RAW!A756="","",TRIM(GL_RAW!F756))</f>
        <v/>
      </c>
      <c r="G756" s="11">
        <f>IF(GL_RAW!A756="","",TRIM(GL_RAW!G756))</f>
        <v/>
      </c>
      <c r="H756" s="12">
        <f>IF(GL_RAW!A756="","",IFERROR(GL_RAW!E756,0))</f>
        <v/>
      </c>
      <c r="I756" s="12">
        <f>IF(GL_RAW!A756="","",ABS(H756))</f>
        <v/>
      </c>
      <c r="J756" s="11">
        <f>IF(GL_RAW!A756="","",IF(OR(ISNUMBER(SEARCH("Out",F756)),ISNUMBER(SEARCH("11025002",F756)),H756&lt;0),"OUT","IN"))</f>
        <v/>
      </c>
      <c r="K756" s="11" t="inlineStr"/>
    </row>
    <row r="757">
      <c r="A757" s="13">
        <f>IF(GL_RAW!A757="","",ROW()-1)</f>
        <v/>
      </c>
      <c r="B757" s="10">
        <f>IF(GL_RAW!A757="","",IF(ISNUMBER(GL_RAW!A757),GL_RAW!A757,DATEVALUE(TEXT(GL_RAW!A757,"YYYY-MM-DD"))))</f>
        <v/>
      </c>
      <c r="C757" s="11">
        <f>IF(GL_RAW!A757="","",TRIM(GL_RAW!B757))</f>
        <v/>
      </c>
      <c r="D757" s="11">
        <f>IF(GL_RAW!A757="","",TRIM(GL_RAW!C757))</f>
        <v/>
      </c>
      <c r="E757" s="11">
        <f>IF(GL_RAW!A757="","",TRIM(GL_RAW!D757))</f>
        <v/>
      </c>
      <c r="F757" s="11">
        <f>IF(GL_RAW!A757="","",TRIM(GL_RAW!F757))</f>
        <v/>
      </c>
      <c r="G757" s="11">
        <f>IF(GL_RAW!A757="","",TRIM(GL_RAW!G757))</f>
        <v/>
      </c>
      <c r="H757" s="12">
        <f>IF(GL_RAW!A757="","",IFERROR(GL_RAW!E757,0))</f>
        <v/>
      </c>
      <c r="I757" s="12">
        <f>IF(GL_RAW!A757="","",ABS(H757))</f>
        <v/>
      </c>
      <c r="J757" s="11">
        <f>IF(GL_RAW!A757="","",IF(OR(ISNUMBER(SEARCH("Out",F757)),ISNUMBER(SEARCH("11025002",F757)),H757&lt;0),"OUT","IN"))</f>
        <v/>
      </c>
      <c r="K757" s="11" t="inlineStr"/>
    </row>
    <row r="758">
      <c r="A758" s="13">
        <f>IF(GL_RAW!A758="","",ROW()-1)</f>
        <v/>
      </c>
      <c r="B758" s="10">
        <f>IF(GL_RAW!A758="","",IF(ISNUMBER(GL_RAW!A758),GL_RAW!A758,DATEVALUE(TEXT(GL_RAW!A758,"YYYY-MM-DD"))))</f>
        <v/>
      </c>
      <c r="C758" s="11">
        <f>IF(GL_RAW!A758="","",TRIM(GL_RAW!B758))</f>
        <v/>
      </c>
      <c r="D758" s="11">
        <f>IF(GL_RAW!A758="","",TRIM(GL_RAW!C758))</f>
        <v/>
      </c>
      <c r="E758" s="11">
        <f>IF(GL_RAW!A758="","",TRIM(GL_RAW!D758))</f>
        <v/>
      </c>
      <c r="F758" s="11">
        <f>IF(GL_RAW!A758="","",TRIM(GL_RAW!F758))</f>
        <v/>
      </c>
      <c r="G758" s="11">
        <f>IF(GL_RAW!A758="","",TRIM(GL_RAW!G758))</f>
        <v/>
      </c>
      <c r="H758" s="12">
        <f>IF(GL_RAW!A758="","",IFERROR(GL_RAW!E758,0))</f>
        <v/>
      </c>
      <c r="I758" s="12">
        <f>IF(GL_RAW!A758="","",ABS(H758))</f>
        <v/>
      </c>
      <c r="J758" s="11">
        <f>IF(GL_RAW!A758="","",IF(OR(ISNUMBER(SEARCH("Out",F758)),ISNUMBER(SEARCH("11025002",F758)),H758&lt;0),"OUT","IN"))</f>
        <v/>
      </c>
      <c r="K758" s="11" t="inlineStr"/>
    </row>
    <row r="759">
      <c r="A759" s="13">
        <f>IF(GL_RAW!A759="","",ROW()-1)</f>
        <v/>
      </c>
      <c r="B759" s="10">
        <f>IF(GL_RAW!A759="","",IF(ISNUMBER(GL_RAW!A759),GL_RAW!A759,DATEVALUE(TEXT(GL_RAW!A759,"YYYY-MM-DD"))))</f>
        <v/>
      </c>
      <c r="C759" s="11">
        <f>IF(GL_RAW!A759="","",TRIM(GL_RAW!B759))</f>
        <v/>
      </c>
      <c r="D759" s="11">
        <f>IF(GL_RAW!A759="","",TRIM(GL_RAW!C759))</f>
        <v/>
      </c>
      <c r="E759" s="11">
        <f>IF(GL_RAW!A759="","",TRIM(GL_RAW!D759))</f>
        <v/>
      </c>
      <c r="F759" s="11">
        <f>IF(GL_RAW!A759="","",TRIM(GL_RAW!F759))</f>
        <v/>
      </c>
      <c r="G759" s="11">
        <f>IF(GL_RAW!A759="","",TRIM(GL_RAW!G759))</f>
        <v/>
      </c>
      <c r="H759" s="12">
        <f>IF(GL_RAW!A759="","",IFERROR(GL_RAW!E759,0))</f>
        <v/>
      </c>
      <c r="I759" s="12">
        <f>IF(GL_RAW!A759="","",ABS(H759))</f>
        <v/>
      </c>
      <c r="J759" s="11">
        <f>IF(GL_RAW!A759="","",IF(OR(ISNUMBER(SEARCH("Out",F759)),ISNUMBER(SEARCH("11025002",F759)),H759&lt;0),"OUT","IN"))</f>
        <v/>
      </c>
      <c r="K759" s="11" t="inlineStr"/>
    </row>
    <row r="760">
      <c r="A760" s="13">
        <f>IF(GL_RAW!A760="","",ROW()-1)</f>
        <v/>
      </c>
      <c r="B760" s="10">
        <f>IF(GL_RAW!A760="","",IF(ISNUMBER(GL_RAW!A760),GL_RAW!A760,DATEVALUE(TEXT(GL_RAW!A760,"YYYY-MM-DD"))))</f>
        <v/>
      </c>
      <c r="C760" s="11">
        <f>IF(GL_RAW!A760="","",TRIM(GL_RAW!B760))</f>
        <v/>
      </c>
      <c r="D760" s="11">
        <f>IF(GL_RAW!A760="","",TRIM(GL_RAW!C760))</f>
        <v/>
      </c>
      <c r="E760" s="11">
        <f>IF(GL_RAW!A760="","",TRIM(GL_RAW!D760))</f>
        <v/>
      </c>
      <c r="F760" s="11">
        <f>IF(GL_RAW!A760="","",TRIM(GL_RAW!F760))</f>
        <v/>
      </c>
      <c r="G760" s="11">
        <f>IF(GL_RAW!A760="","",TRIM(GL_RAW!G760))</f>
        <v/>
      </c>
      <c r="H760" s="12">
        <f>IF(GL_RAW!A760="","",IFERROR(GL_RAW!E760,0))</f>
        <v/>
      </c>
      <c r="I760" s="12">
        <f>IF(GL_RAW!A760="","",ABS(H760))</f>
        <v/>
      </c>
      <c r="J760" s="11">
        <f>IF(GL_RAW!A760="","",IF(OR(ISNUMBER(SEARCH("Out",F760)),ISNUMBER(SEARCH("11025002",F760)),H760&lt;0),"OUT","IN"))</f>
        <v/>
      </c>
      <c r="K760" s="11" t="inlineStr"/>
    </row>
    <row r="761">
      <c r="A761" s="13">
        <f>IF(GL_RAW!A761="","",ROW()-1)</f>
        <v/>
      </c>
      <c r="B761" s="10">
        <f>IF(GL_RAW!A761="","",IF(ISNUMBER(GL_RAW!A761),GL_RAW!A761,DATEVALUE(TEXT(GL_RAW!A761,"YYYY-MM-DD"))))</f>
        <v/>
      </c>
      <c r="C761" s="11">
        <f>IF(GL_RAW!A761="","",TRIM(GL_RAW!B761))</f>
        <v/>
      </c>
      <c r="D761" s="11">
        <f>IF(GL_RAW!A761="","",TRIM(GL_RAW!C761))</f>
        <v/>
      </c>
      <c r="E761" s="11">
        <f>IF(GL_RAW!A761="","",TRIM(GL_RAW!D761))</f>
        <v/>
      </c>
      <c r="F761" s="11">
        <f>IF(GL_RAW!A761="","",TRIM(GL_RAW!F761))</f>
        <v/>
      </c>
      <c r="G761" s="11">
        <f>IF(GL_RAW!A761="","",TRIM(GL_RAW!G761))</f>
        <v/>
      </c>
      <c r="H761" s="12">
        <f>IF(GL_RAW!A761="","",IFERROR(GL_RAW!E761,0))</f>
        <v/>
      </c>
      <c r="I761" s="12">
        <f>IF(GL_RAW!A761="","",ABS(H761))</f>
        <v/>
      </c>
      <c r="J761" s="11">
        <f>IF(GL_RAW!A761="","",IF(OR(ISNUMBER(SEARCH("Out",F761)),ISNUMBER(SEARCH("11025002",F761)),H761&lt;0),"OUT","IN"))</f>
        <v/>
      </c>
      <c r="K761" s="11" t="inlineStr"/>
    </row>
    <row r="762">
      <c r="A762" s="13">
        <f>IF(GL_RAW!A762="","",ROW()-1)</f>
        <v/>
      </c>
      <c r="B762" s="10">
        <f>IF(GL_RAW!A762="","",IF(ISNUMBER(GL_RAW!A762),GL_RAW!A762,DATEVALUE(TEXT(GL_RAW!A762,"YYYY-MM-DD"))))</f>
        <v/>
      </c>
      <c r="C762" s="11">
        <f>IF(GL_RAW!A762="","",TRIM(GL_RAW!B762))</f>
        <v/>
      </c>
      <c r="D762" s="11">
        <f>IF(GL_RAW!A762="","",TRIM(GL_RAW!C762))</f>
        <v/>
      </c>
      <c r="E762" s="11">
        <f>IF(GL_RAW!A762="","",TRIM(GL_RAW!D762))</f>
        <v/>
      </c>
      <c r="F762" s="11">
        <f>IF(GL_RAW!A762="","",TRIM(GL_RAW!F762))</f>
        <v/>
      </c>
      <c r="G762" s="11">
        <f>IF(GL_RAW!A762="","",TRIM(GL_RAW!G762))</f>
        <v/>
      </c>
      <c r="H762" s="12">
        <f>IF(GL_RAW!A762="","",IFERROR(GL_RAW!E762,0))</f>
        <v/>
      </c>
      <c r="I762" s="12">
        <f>IF(GL_RAW!A762="","",ABS(H762))</f>
        <v/>
      </c>
      <c r="J762" s="11">
        <f>IF(GL_RAW!A762="","",IF(OR(ISNUMBER(SEARCH("Out",F762)),ISNUMBER(SEARCH("11025002",F762)),H762&lt;0),"OUT","IN"))</f>
        <v/>
      </c>
      <c r="K762" s="11" t="inlineStr"/>
    </row>
    <row r="763">
      <c r="A763" s="13">
        <f>IF(GL_RAW!A763="","",ROW()-1)</f>
        <v/>
      </c>
      <c r="B763" s="10">
        <f>IF(GL_RAW!A763="","",IF(ISNUMBER(GL_RAW!A763),GL_RAW!A763,DATEVALUE(TEXT(GL_RAW!A763,"YYYY-MM-DD"))))</f>
        <v/>
      </c>
      <c r="C763" s="11">
        <f>IF(GL_RAW!A763="","",TRIM(GL_RAW!B763))</f>
        <v/>
      </c>
      <c r="D763" s="11">
        <f>IF(GL_RAW!A763="","",TRIM(GL_RAW!C763))</f>
        <v/>
      </c>
      <c r="E763" s="11">
        <f>IF(GL_RAW!A763="","",TRIM(GL_RAW!D763))</f>
        <v/>
      </c>
      <c r="F763" s="11">
        <f>IF(GL_RAW!A763="","",TRIM(GL_RAW!F763))</f>
        <v/>
      </c>
      <c r="G763" s="11">
        <f>IF(GL_RAW!A763="","",TRIM(GL_RAW!G763))</f>
        <v/>
      </c>
      <c r="H763" s="12">
        <f>IF(GL_RAW!A763="","",IFERROR(GL_RAW!E763,0))</f>
        <v/>
      </c>
      <c r="I763" s="12">
        <f>IF(GL_RAW!A763="","",ABS(H763))</f>
        <v/>
      </c>
      <c r="J763" s="11">
        <f>IF(GL_RAW!A763="","",IF(OR(ISNUMBER(SEARCH("Out",F763)),ISNUMBER(SEARCH("11025002",F763)),H763&lt;0),"OUT","IN"))</f>
        <v/>
      </c>
      <c r="K763" s="11" t="inlineStr"/>
    </row>
    <row r="764">
      <c r="A764" s="13">
        <f>IF(GL_RAW!A764="","",ROW()-1)</f>
        <v/>
      </c>
      <c r="B764" s="10">
        <f>IF(GL_RAW!A764="","",IF(ISNUMBER(GL_RAW!A764),GL_RAW!A764,DATEVALUE(TEXT(GL_RAW!A764,"YYYY-MM-DD"))))</f>
        <v/>
      </c>
      <c r="C764" s="11">
        <f>IF(GL_RAW!A764="","",TRIM(GL_RAW!B764))</f>
        <v/>
      </c>
      <c r="D764" s="11">
        <f>IF(GL_RAW!A764="","",TRIM(GL_RAW!C764))</f>
        <v/>
      </c>
      <c r="E764" s="11">
        <f>IF(GL_RAW!A764="","",TRIM(GL_RAW!D764))</f>
        <v/>
      </c>
      <c r="F764" s="11">
        <f>IF(GL_RAW!A764="","",TRIM(GL_RAW!F764))</f>
        <v/>
      </c>
      <c r="G764" s="11">
        <f>IF(GL_RAW!A764="","",TRIM(GL_RAW!G764))</f>
        <v/>
      </c>
      <c r="H764" s="12">
        <f>IF(GL_RAW!A764="","",IFERROR(GL_RAW!E764,0))</f>
        <v/>
      </c>
      <c r="I764" s="12">
        <f>IF(GL_RAW!A764="","",ABS(H764))</f>
        <v/>
      </c>
      <c r="J764" s="11">
        <f>IF(GL_RAW!A764="","",IF(OR(ISNUMBER(SEARCH("Out",F764)),ISNUMBER(SEARCH("11025002",F764)),H764&lt;0),"OUT","IN"))</f>
        <v/>
      </c>
      <c r="K764" s="11" t="inlineStr"/>
    </row>
    <row r="765">
      <c r="A765" s="13">
        <f>IF(GL_RAW!A765="","",ROW()-1)</f>
        <v/>
      </c>
      <c r="B765" s="10">
        <f>IF(GL_RAW!A765="","",IF(ISNUMBER(GL_RAW!A765),GL_RAW!A765,DATEVALUE(TEXT(GL_RAW!A765,"YYYY-MM-DD"))))</f>
        <v/>
      </c>
      <c r="C765" s="11">
        <f>IF(GL_RAW!A765="","",TRIM(GL_RAW!B765))</f>
        <v/>
      </c>
      <c r="D765" s="11">
        <f>IF(GL_RAW!A765="","",TRIM(GL_RAW!C765))</f>
        <v/>
      </c>
      <c r="E765" s="11">
        <f>IF(GL_RAW!A765="","",TRIM(GL_RAW!D765))</f>
        <v/>
      </c>
      <c r="F765" s="11">
        <f>IF(GL_RAW!A765="","",TRIM(GL_RAW!F765))</f>
        <v/>
      </c>
      <c r="G765" s="11">
        <f>IF(GL_RAW!A765="","",TRIM(GL_RAW!G765))</f>
        <v/>
      </c>
      <c r="H765" s="12">
        <f>IF(GL_RAW!A765="","",IFERROR(GL_RAW!E765,0))</f>
        <v/>
      </c>
      <c r="I765" s="12">
        <f>IF(GL_RAW!A765="","",ABS(H765))</f>
        <v/>
      </c>
      <c r="J765" s="11">
        <f>IF(GL_RAW!A765="","",IF(OR(ISNUMBER(SEARCH("Out",F765)),ISNUMBER(SEARCH("11025002",F765)),H765&lt;0),"OUT","IN"))</f>
        <v/>
      </c>
      <c r="K765" s="11" t="inlineStr"/>
    </row>
    <row r="766">
      <c r="A766" s="13">
        <f>IF(GL_RAW!A766="","",ROW()-1)</f>
        <v/>
      </c>
      <c r="B766" s="10">
        <f>IF(GL_RAW!A766="","",IF(ISNUMBER(GL_RAW!A766),GL_RAW!A766,DATEVALUE(TEXT(GL_RAW!A766,"YYYY-MM-DD"))))</f>
        <v/>
      </c>
      <c r="C766" s="11">
        <f>IF(GL_RAW!A766="","",TRIM(GL_RAW!B766))</f>
        <v/>
      </c>
      <c r="D766" s="11">
        <f>IF(GL_RAW!A766="","",TRIM(GL_RAW!C766))</f>
        <v/>
      </c>
      <c r="E766" s="11">
        <f>IF(GL_RAW!A766="","",TRIM(GL_RAW!D766))</f>
        <v/>
      </c>
      <c r="F766" s="11">
        <f>IF(GL_RAW!A766="","",TRIM(GL_RAW!F766))</f>
        <v/>
      </c>
      <c r="G766" s="11">
        <f>IF(GL_RAW!A766="","",TRIM(GL_RAW!G766))</f>
        <v/>
      </c>
      <c r="H766" s="12">
        <f>IF(GL_RAW!A766="","",IFERROR(GL_RAW!E766,0))</f>
        <v/>
      </c>
      <c r="I766" s="12">
        <f>IF(GL_RAW!A766="","",ABS(H766))</f>
        <v/>
      </c>
      <c r="J766" s="11">
        <f>IF(GL_RAW!A766="","",IF(OR(ISNUMBER(SEARCH("Out",F766)),ISNUMBER(SEARCH("11025002",F766)),H766&lt;0),"OUT","IN"))</f>
        <v/>
      </c>
      <c r="K766" s="11" t="inlineStr"/>
    </row>
    <row r="767">
      <c r="A767" s="13">
        <f>IF(GL_RAW!A767="","",ROW()-1)</f>
        <v/>
      </c>
      <c r="B767" s="10">
        <f>IF(GL_RAW!A767="","",IF(ISNUMBER(GL_RAW!A767),GL_RAW!A767,DATEVALUE(TEXT(GL_RAW!A767,"YYYY-MM-DD"))))</f>
        <v/>
      </c>
      <c r="C767" s="11">
        <f>IF(GL_RAW!A767="","",TRIM(GL_RAW!B767))</f>
        <v/>
      </c>
      <c r="D767" s="11">
        <f>IF(GL_RAW!A767="","",TRIM(GL_RAW!C767))</f>
        <v/>
      </c>
      <c r="E767" s="11">
        <f>IF(GL_RAW!A767="","",TRIM(GL_RAW!D767))</f>
        <v/>
      </c>
      <c r="F767" s="11">
        <f>IF(GL_RAW!A767="","",TRIM(GL_RAW!F767))</f>
        <v/>
      </c>
      <c r="G767" s="11">
        <f>IF(GL_RAW!A767="","",TRIM(GL_RAW!G767))</f>
        <v/>
      </c>
      <c r="H767" s="12">
        <f>IF(GL_RAW!A767="","",IFERROR(GL_RAW!E767,0))</f>
        <v/>
      </c>
      <c r="I767" s="12">
        <f>IF(GL_RAW!A767="","",ABS(H767))</f>
        <v/>
      </c>
      <c r="J767" s="11">
        <f>IF(GL_RAW!A767="","",IF(OR(ISNUMBER(SEARCH("Out",F767)),ISNUMBER(SEARCH("11025002",F767)),H767&lt;0),"OUT","IN"))</f>
        <v/>
      </c>
      <c r="K767" s="11" t="inlineStr"/>
    </row>
    <row r="768">
      <c r="A768" s="13">
        <f>IF(GL_RAW!A768="","",ROW()-1)</f>
        <v/>
      </c>
      <c r="B768" s="10">
        <f>IF(GL_RAW!A768="","",IF(ISNUMBER(GL_RAW!A768),GL_RAW!A768,DATEVALUE(TEXT(GL_RAW!A768,"YYYY-MM-DD"))))</f>
        <v/>
      </c>
      <c r="C768" s="11">
        <f>IF(GL_RAW!A768="","",TRIM(GL_RAW!B768))</f>
        <v/>
      </c>
      <c r="D768" s="11">
        <f>IF(GL_RAW!A768="","",TRIM(GL_RAW!C768))</f>
        <v/>
      </c>
      <c r="E768" s="11">
        <f>IF(GL_RAW!A768="","",TRIM(GL_RAW!D768))</f>
        <v/>
      </c>
      <c r="F768" s="11">
        <f>IF(GL_RAW!A768="","",TRIM(GL_RAW!F768))</f>
        <v/>
      </c>
      <c r="G768" s="11">
        <f>IF(GL_RAW!A768="","",TRIM(GL_RAW!G768))</f>
        <v/>
      </c>
      <c r="H768" s="12">
        <f>IF(GL_RAW!A768="","",IFERROR(GL_RAW!E768,0))</f>
        <v/>
      </c>
      <c r="I768" s="12">
        <f>IF(GL_RAW!A768="","",ABS(H768))</f>
        <v/>
      </c>
      <c r="J768" s="11">
        <f>IF(GL_RAW!A768="","",IF(OR(ISNUMBER(SEARCH("Out",F768)),ISNUMBER(SEARCH("11025002",F768)),H768&lt;0),"OUT","IN"))</f>
        <v/>
      </c>
      <c r="K768" s="11" t="inlineStr"/>
    </row>
    <row r="769">
      <c r="A769" s="13">
        <f>IF(GL_RAW!A769="","",ROW()-1)</f>
        <v/>
      </c>
      <c r="B769" s="10">
        <f>IF(GL_RAW!A769="","",IF(ISNUMBER(GL_RAW!A769),GL_RAW!A769,DATEVALUE(TEXT(GL_RAW!A769,"YYYY-MM-DD"))))</f>
        <v/>
      </c>
      <c r="C769" s="11">
        <f>IF(GL_RAW!A769="","",TRIM(GL_RAW!B769))</f>
        <v/>
      </c>
      <c r="D769" s="11">
        <f>IF(GL_RAW!A769="","",TRIM(GL_RAW!C769))</f>
        <v/>
      </c>
      <c r="E769" s="11">
        <f>IF(GL_RAW!A769="","",TRIM(GL_RAW!D769))</f>
        <v/>
      </c>
      <c r="F769" s="11">
        <f>IF(GL_RAW!A769="","",TRIM(GL_RAW!F769))</f>
        <v/>
      </c>
      <c r="G769" s="11">
        <f>IF(GL_RAW!A769="","",TRIM(GL_RAW!G769))</f>
        <v/>
      </c>
      <c r="H769" s="12">
        <f>IF(GL_RAW!A769="","",IFERROR(GL_RAW!E769,0))</f>
        <v/>
      </c>
      <c r="I769" s="12">
        <f>IF(GL_RAW!A769="","",ABS(H769))</f>
        <v/>
      </c>
      <c r="J769" s="11">
        <f>IF(GL_RAW!A769="","",IF(OR(ISNUMBER(SEARCH("Out",F769)),ISNUMBER(SEARCH("11025002",F769)),H769&lt;0),"OUT","IN"))</f>
        <v/>
      </c>
      <c r="K769" s="11" t="inlineStr"/>
    </row>
    <row r="770">
      <c r="A770" s="13">
        <f>IF(GL_RAW!A770="","",ROW()-1)</f>
        <v/>
      </c>
      <c r="B770" s="10">
        <f>IF(GL_RAW!A770="","",IF(ISNUMBER(GL_RAW!A770),GL_RAW!A770,DATEVALUE(TEXT(GL_RAW!A770,"YYYY-MM-DD"))))</f>
        <v/>
      </c>
      <c r="C770" s="11">
        <f>IF(GL_RAW!A770="","",TRIM(GL_RAW!B770))</f>
        <v/>
      </c>
      <c r="D770" s="11">
        <f>IF(GL_RAW!A770="","",TRIM(GL_RAW!C770))</f>
        <v/>
      </c>
      <c r="E770" s="11">
        <f>IF(GL_RAW!A770="","",TRIM(GL_RAW!D770))</f>
        <v/>
      </c>
      <c r="F770" s="11">
        <f>IF(GL_RAW!A770="","",TRIM(GL_RAW!F770))</f>
        <v/>
      </c>
      <c r="G770" s="11">
        <f>IF(GL_RAW!A770="","",TRIM(GL_RAW!G770))</f>
        <v/>
      </c>
      <c r="H770" s="12">
        <f>IF(GL_RAW!A770="","",IFERROR(GL_RAW!E770,0))</f>
        <v/>
      </c>
      <c r="I770" s="12">
        <f>IF(GL_RAW!A770="","",ABS(H770))</f>
        <v/>
      </c>
      <c r="J770" s="11">
        <f>IF(GL_RAW!A770="","",IF(OR(ISNUMBER(SEARCH("Out",F770)),ISNUMBER(SEARCH("11025002",F770)),H770&lt;0),"OUT","IN"))</f>
        <v/>
      </c>
      <c r="K770" s="11" t="inlineStr"/>
    </row>
    <row r="771">
      <c r="A771" s="13">
        <f>IF(GL_RAW!A771="","",ROW()-1)</f>
        <v/>
      </c>
      <c r="B771" s="10">
        <f>IF(GL_RAW!A771="","",IF(ISNUMBER(GL_RAW!A771),GL_RAW!A771,DATEVALUE(TEXT(GL_RAW!A771,"YYYY-MM-DD"))))</f>
        <v/>
      </c>
      <c r="C771" s="11">
        <f>IF(GL_RAW!A771="","",TRIM(GL_RAW!B771))</f>
        <v/>
      </c>
      <c r="D771" s="11">
        <f>IF(GL_RAW!A771="","",TRIM(GL_RAW!C771))</f>
        <v/>
      </c>
      <c r="E771" s="11">
        <f>IF(GL_RAW!A771="","",TRIM(GL_RAW!D771))</f>
        <v/>
      </c>
      <c r="F771" s="11">
        <f>IF(GL_RAW!A771="","",TRIM(GL_RAW!F771))</f>
        <v/>
      </c>
      <c r="G771" s="11">
        <f>IF(GL_RAW!A771="","",TRIM(GL_RAW!G771))</f>
        <v/>
      </c>
      <c r="H771" s="12">
        <f>IF(GL_RAW!A771="","",IFERROR(GL_RAW!E771,0))</f>
        <v/>
      </c>
      <c r="I771" s="12">
        <f>IF(GL_RAW!A771="","",ABS(H771))</f>
        <v/>
      </c>
      <c r="J771" s="11">
        <f>IF(GL_RAW!A771="","",IF(OR(ISNUMBER(SEARCH("Out",F771)),ISNUMBER(SEARCH("11025002",F771)),H771&lt;0),"OUT","IN"))</f>
        <v/>
      </c>
      <c r="K771" s="11" t="inlineStr"/>
    </row>
    <row r="772">
      <c r="A772" s="13">
        <f>IF(GL_RAW!A772="","",ROW()-1)</f>
        <v/>
      </c>
      <c r="B772" s="10">
        <f>IF(GL_RAW!A772="","",IF(ISNUMBER(GL_RAW!A772),GL_RAW!A772,DATEVALUE(TEXT(GL_RAW!A772,"YYYY-MM-DD"))))</f>
        <v/>
      </c>
      <c r="C772" s="11">
        <f>IF(GL_RAW!A772="","",TRIM(GL_RAW!B772))</f>
        <v/>
      </c>
      <c r="D772" s="11">
        <f>IF(GL_RAW!A772="","",TRIM(GL_RAW!C772))</f>
        <v/>
      </c>
      <c r="E772" s="11">
        <f>IF(GL_RAW!A772="","",TRIM(GL_RAW!D772))</f>
        <v/>
      </c>
      <c r="F772" s="11">
        <f>IF(GL_RAW!A772="","",TRIM(GL_RAW!F772))</f>
        <v/>
      </c>
      <c r="G772" s="11">
        <f>IF(GL_RAW!A772="","",TRIM(GL_RAW!G772))</f>
        <v/>
      </c>
      <c r="H772" s="12">
        <f>IF(GL_RAW!A772="","",IFERROR(GL_RAW!E772,0))</f>
        <v/>
      </c>
      <c r="I772" s="12">
        <f>IF(GL_RAW!A772="","",ABS(H772))</f>
        <v/>
      </c>
      <c r="J772" s="11">
        <f>IF(GL_RAW!A772="","",IF(OR(ISNUMBER(SEARCH("Out",F772)),ISNUMBER(SEARCH("11025002",F772)),H772&lt;0),"OUT","IN"))</f>
        <v/>
      </c>
      <c r="K772" s="11" t="inlineStr"/>
    </row>
    <row r="773">
      <c r="A773" s="13">
        <f>IF(GL_RAW!A773="","",ROW()-1)</f>
        <v/>
      </c>
      <c r="B773" s="10">
        <f>IF(GL_RAW!A773="","",IF(ISNUMBER(GL_RAW!A773),GL_RAW!A773,DATEVALUE(TEXT(GL_RAW!A773,"YYYY-MM-DD"))))</f>
        <v/>
      </c>
      <c r="C773" s="11">
        <f>IF(GL_RAW!A773="","",TRIM(GL_RAW!B773))</f>
        <v/>
      </c>
      <c r="D773" s="11">
        <f>IF(GL_RAW!A773="","",TRIM(GL_RAW!C773))</f>
        <v/>
      </c>
      <c r="E773" s="11">
        <f>IF(GL_RAW!A773="","",TRIM(GL_RAW!D773))</f>
        <v/>
      </c>
      <c r="F773" s="11">
        <f>IF(GL_RAW!A773="","",TRIM(GL_RAW!F773))</f>
        <v/>
      </c>
      <c r="G773" s="11">
        <f>IF(GL_RAW!A773="","",TRIM(GL_RAW!G773))</f>
        <v/>
      </c>
      <c r="H773" s="12">
        <f>IF(GL_RAW!A773="","",IFERROR(GL_RAW!E773,0))</f>
        <v/>
      </c>
      <c r="I773" s="12">
        <f>IF(GL_RAW!A773="","",ABS(H773))</f>
        <v/>
      </c>
      <c r="J773" s="11">
        <f>IF(GL_RAW!A773="","",IF(OR(ISNUMBER(SEARCH("Out",F773)),ISNUMBER(SEARCH("11025002",F773)),H773&lt;0),"OUT","IN"))</f>
        <v/>
      </c>
      <c r="K773" s="11" t="inlineStr"/>
    </row>
    <row r="774">
      <c r="A774" s="13">
        <f>IF(GL_RAW!A774="","",ROW()-1)</f>
        <v/>
      </c>
      <c r="B774" s="10">
        <f>IF(GL_RAW!A774="","",IF(ISNUMBER(GL_RAW!A774),GL_RAW!A774,DATEVALUE(TEXT(GL_RAW!A774,"YYYY-MM-DD"))))</f>
        <v/>
      </c>
      <c r="C774" s="11">
        <f>IF(GL_RAW!A774="","",TRIM(GL_RAW!B774))</f>
        <v/>
      </c>
      <c r="D774" s="11">
        <f>IF(GL_RAW!A774="","",TRIM(GL_RAW!C774))</f>
        <v/>
      </c>
      <c r="E774" s="11">
        <f>IF(GL_RAW!A774="","",TRIM(GL_RAW!D774))</f>
        <v/>
      </c>
      <c r="F774" s="11">
        <f>IF(GL_RAW!A774="","",TRIM(GL_RAW!F774))</f>
        <v/>
      </c>
      <c r="G774" s="11">
        <f>IF(GL_RAW!A774="","",TRIM(GL_RAW!G774))</f>
        <v/>
      </c>
      <c r="H774" s="12">
        <f>IF(GL_RAW!A774="","",IFERROR(GL_RAW!E774,0))</f>
        <v/>
      </c>
      <c r="I774" s="12">
        <f>IF(GL_RAW!A774="","",ABS(H774))</f>
        <v/>
      </c>
      <c r="J774" s="11">
        <f>IF(GL_RAW!A774="","",IF(OR(ISNUMBER(SEARCH("Out",F774)),ISNUMBER(SEARCH("11025002",F774)),H774&lt;0),"OUT","IN"))</f>
        <v/>
      </c>
      <c r="K774" s="11" t="inlineStr"/>
    </row>
    <row r="775">
      <c r="A775" s="13">
        <f>IF(GL_RAW!A775="","",ROW()-1)</f>
        <v/>
      </c>
      <c r="B775" s="10">
        <f>IF(GL_RAW!A775="","",IF(ISNUMBER(GL_RAW!A775),GL_RAW!A775,DATEVALUE(TEXT(GL_RAW!A775,"YYYY-MM-DD"))))</f>
        <v/>
      </c>
      <c r="C775" s="11">
        <f>IF(GL_RAW!A775="","",TRIM(GL_RAW!B775))</f>
        <v/>
      </c>
      <c r="D775" s="11">
        <f>IF(GL_RAW!A775="","",TRIM(GL_RAW!C775))</f>
        <v/>
      </c>
      <c r="E775" s="11">
        <f>IF(GL_RAW!A775="","",TRIM(GL_RAW!D775))</f>
        <v/>
      </c>
      <c r="F775" s="11">
        <f>IF(GL_RAW!A775="","",TRIM(GL_RAW!F775))</f>
        <v/>
      </c>
      <c r="G775" s="11">
        <f>IF(GL_RAW!A775="","",TRIM(GL_RAW!G775))</f>
        <v/>
      </c>
      <c r="H775" s="12">
        <f>IF(GL_RAW!A775="","",IFERROR(GL_RAW!E775,0))</f>
        <v/>
      </c>
      <c r="I775" s="12">
        <f>IF(GL_RAW!A775="","",ABS(H775))</f>
        <v/>
      </c>
      <c r="J775" s="11">
        <f>IF(GL_RAW!A775="","",IF(OR(ISNUMBER(SEARCH("Out",F775)),ISNUMBER(SEARCH("11025002",F775)),H775&lt;0),"OUT","IN"))</f>
        <v/>
      </c>
      <c r="K775" s="11" t="inlineStr"/>
    </row>
    <row r="776">
      <c r="A776" s="13">
        <f>IF(GL_RAW!A776="","",ROW()-1)</f>
        <v/>
      </c>
      <c r="B776" s="10">
        <f>IF(GL_RAW!A776="","",IF(ISNUMBER(GL_RAW!A776),GL_RAW!A776,DATEVALUE(TEXT(GL_RAW!A776,"YYYY-MM-DD"))))</f>
        <v/>
      </c>
      <c r="C776" s="11">
        <f>IF(GL_RAW!A776="","",TRIM(GL_RAW!B776))</f>
        <v/>
      </c>
      <c r="D776" s="11">
        <f>IF(GL_RAW!A776="","",TRIM(GL_RAW!C776))</f>
        <v/>
      </c>
      <c r="E776" s="11">
        <f>IF(GL_RAW!A776="","",TRIM(GL_RAW!D776))</f>
        <v/>
      </c>
      <c r="F776" s="11">
        <f>IF(GL_RAW!A776="","",TRIM(GL_RAW!F776))</f>
        <v/>
      </c>
      <c r="G776" s="11">
        <f>IF(GL_RAW!A776="","",TRIM(GL_RAW!G776))</f>
        <v/>
      </c>
      <c r="H776" s="12">
        <f>IF(GL_RAW!A776="","",IFERROR(GL_RAW!E776,0))</f>
        <v/>
      </c>
      <c r="I776" s="12">
        <f>IF(GL_RAW!A776="","",ABS(H776))</f>
        <v/>
      </c>
      <c r="J776" s="11">
        <f>IF(GL_RAW!A776="","",IF(OR(ISNUMBER(SEARCH("Out",F776)),ISNUMBER(SEARCH("11025002",F776)),H776&lt;0),"OUT","IN"))</f>
        <v/>
      </c>
      <c r="K776" s="11" t="inlineStr"/>
    </row>
    <row r="777">
      <c r="A777" s="13">
        <f>IF(GL_RAW!A777="","",ROW()-1)</f>
        <v/>
      </c>
      <c r="B777" s="10">
        <f>IF(GL_RAW!A777="","",IF(ISNUMBER(GL_RAW!A777),GL_RAW!A777,DATEVALUE(TEXT(GL_RAW!A777,"YYYY-MM-DD"))))</f>
        <v/>
      </c>
      <c r="C777" s="11">
        <f>IF(GL_RAW!A777="","",TRIM(GL_RAW!B777))</f>
        <v/>
      </c>
      <c r="D777" s="11">
        <f>IF(GL_RAW!A777="","",TRIM(GL_RAW!C777))</f>
        <v/>
      </c>
      <c r="E777" s="11">
        <f>IF(GL_RAW!A777="","",TRIM(GL_RAW!D777))</f>
        <v/>
      </c>
      <c r="F777" s="11">
        <f>IF(GL_RAW!A777="","",TRIM(GL_RAW!F777))</f>
        <v/>
      </c>
      <c r="G777" s="11">
        <f>IF(GL_RAW!A777="","",TRIM(GL_RAW!G777))</f>
        <v/>
      </c>
      <c r="H777" s="12">
        <f>IF(GL_RAW!A777="","",IFERROR(GL_RAW!E777,0))</f>
        <v/>
      </c>
      <c r="I777" s="12">
        <f>IF(GL_RAW!A777="","",ABS(H777))</f>
        <v/>
      </c>
      <c r="J777" s="11">
        <f>IF(GL_RAW!A777="","",IF(OR(ISNUMBER(SEARCH("Out",F777)),ISNUMBER(SEARCH("11025002",F777)),H777&lt;0),"OUT","IN"))</f>
        <v/>
      </c>
      <c r="K777" s="11" t="inlineStr"/>
    </row>
    <row r="778">
      <c r="A778" s="13">
        <f>IF(GL_RAW!A778="","",ROW()-1)</f>
        <v/>
      </c>
      <c r="B778" s="10">
        <f>IF(GL_RAW!A778="","",IF(ISNUMBER(GL_RAW!A778),GL_RAW!A778,DATEVALUE(TEXT(GL_RAW!A778,"YYYY-MM-DD"))))</f>
        <v/>
      </c>
      <c r="C778" s="11">
        <f>IF(GL_RAW!A778="","",TRIM(GL_RAW!B778))</f>
        <v/>
      </c>
      <c r="D778" s="11">
        <f>IF(GL_RAW!A778="","",TRIM(GL_RAW!C778))</f>
        <v/>
      </c>
      <c r="E778" s="11">
        <f>IF(GL_RAW!A778="","",TRIM(GL_RAW!D778))</f>
        <v/>
      </c>
      <c r="F778" s="11">
        <f>IF(GL_RAW!A778="","",TRIM(GL_RAW!F778))</f>
        <v/>
      </c>
      <c r="G778" s="11">
        <f>IF(GL_RAW!A778="","",TRIM(GL_RAW!G778))</f>
        <v/>
      </c>
      <c r="H778" s="12">
        <f>IF(GL_RAW!A778="","",IFERROR(GL_RAW!E778,0))</f>
        <v/>
      </c>
      <c r="I778" s="12">
        <f>IF(GL_RAW!A778="","",ABS(H778))</f>
        <v/>
      </c>
      <c r="J778" s="11">
        <f>IF(GL_RAW!A778="","",IF(OR(ISNUMBER(SEARCH("Out",F778)),ISNUMBER(SEARCH("11025002",F778)),H778&lt;0),"OUT","IN"))</f>
        <v/>
      </c>
      <c r="K778" s="11" t="inlineStr"/>
    </row>
    <row r="779">
      <c r="A779" s="13">
        <f>IF(GL_RAW!A779="","",ROW()-1)</f>
        <v/>
      </c>
      <c r="B779" s="10">
        <f>IF(GL_RAW!A779="","",IF(ISNUMBER(GL_RAW!A779),GL_RAW!A779,DATEVALUE(TEXT(GL_RAW!A779,"YYYY-MM-DD"))))</f>
        <v/>
      </c>
      <c r="C779" s="11">
        <f>IF(GL_RAW!A779="","",TRIM(GL_RAW!B779))</f>
        <v/>
      </c>
      <c r="D779" s="11">
        <f>IF(GL_RAW!A779="","",TRIM(GL_RAW!C779))</f>
        <v/>
      </c>
      <c r="E779" s="11">
        <f>IF(GL_RAW!A779="","",TRIM(GL_RAW!D779))</f>
        <v/>
      </c>
      <c r="F779" s="11">
        <f>IF(GL_RAW!A779="","",TRIM(GL_RAW!F779))</f>
        <v/>
      </c>
      <c r="G779" s="11">
        <f>IF(GL_RAW!A779="","",TRIM(GL_RAW!G779))</f>
        <v/>
      </c>
      <c r="H779" s="12">
        <f>IF(GL_RAW!A779="","",IFERROR(GL_RAW!E779,0))</f>
        <v/>
      </c>
      <c r="I779" s="12">
        <f>IF(GL_RAW!A779="","",ABS(H779))</f>
        <v/>
      </c>
      <c r="J779" s="11">
        <f>IF(GL_RAW!A779="","",IF(OR(ISNUMBER(SEARCH("Out",F779)),ISNUMBER(SEARCH("11025002",F779)),H779&lt;0),"OUT","IN"))</f>
        <v/>
      </c>
      <c r="K779" s="11" t="inlineStr"/>
    </row>
    <row r="780">
      <c r="A780" s="13">
        <f>IF(GL_RAW!A780="","",ROW()-1)</f>
        <v/>
      </c>
      <c r="B780" s="10">
        <f>IF(GL_RAW!A780="","",IF(ISNUMBER(GL_RAW!A780),GL_RAW!A780,DATEVALUE(TEXT(GL_RAW!A780,"YYYY-MM-DD"))))</f>
        <v/>
      </c>
      <c r="C780" s="11">
        <f>IF(GL_RAW!A780="","",TRIM(GL_RAW!B780))</f>
        <v/>
      </c>
      <c r="D780" s="11">
        <f>IF(GL_RAW!A780="","",TRIM(GL_RAW!C780))</f>
        <v/>
      </c>
      <c r="E780" s="11">
        <f>IF(GL_RAW!A780="","",TRIM(GL_RAW!D780))</f>
        <v/>
      </c>
      <c r="F780" s="11">
        <f>IF(GL_RAW!A780="","",TRIM(GL_RAW!F780))</f>
        <v/>
      </c>
      <c r="G780" s="11">
        <f>IF(GL_RAW!A780="","",TRIM(GL_RAW!G780))</f>
        <v/>
      </c>
      <c r="H780" s="12">
        <f>IF(GL_RAW!A780="","",IFERROR(GL_RAW!E780,0))</f>
        <v/>
      </c>
      <c r="I780" s="12">
        <f>IF(GL_RAW!A780="","",ABS(H780))</f>
        <v/>
      </c>
      <c r="J780" s="11">
        <f>IF(GL_RAW!A780="","",IF(OR(ISNUMBER(SEARCH("Out",F780)),ISNUMBER(SEARCH("11025002",F780)),H780&lt;0),"OUT","IN"))</f>
        <v/>
      </c>
      <c r="K780" s="11" t="inlineStr"/>
    </row>
    <row r="781">
      <c r="A781" s="13">
        <f>IF(GL_RAW!A781="","",ROW()-1)</f>
        <v/>
      </c>
      <c r="B781" s="10">
        <f>IF(GL_RAW!A781="","",IF(ISNUMBER(GL_RAW!A781),GL_RAW!A781,DATEVALUE(TEXT(GL_RAW!A781,"YYYY-MM-DD"))))</f>
        <v/>
      </c>
      <c r="C781" s="11">
        <f>IF(GL_RAW!A781="","",TRIM(GL_RAW!B781))</f>
        <v/>
      </c>
      <c r="D781" s="11">
        <f>IF(GL_RAW!A781="","",TRIM(GL_RAW!C781))</f>
        <v/>
      </c>
      <c r="E781" s="11">
        <f>IF(GL_RAW!A781="","",TRIM(GL_RAW!D781))</f>
        <v/>
      </c>
      <c r="F781" s="11">
        <f>IF(GL_RAW!A781="","",TRIM(GL_RAW!F781))</f>
        <v/>
      </c>
      <c r="G781" s="11">
        <f>IF(GL_RAW!A781="","",TRIM(GL_RAW!G781))</f>
        <v/>
      </c>
      <c r="H781" s="12">
        <f>IF(GL_RAW!A781="","",IFERROR(GL_RAW!E781,0))</f>
        <v/>
      </c>
      <c r="I781" s="12">
        <f>IF(GL_RAW!A781="","",ABS(H781))</f>
        <v/>
      </c>
      <c r="J781" s="11">
        <f>IF(GL_RAW!A781="","",IF(OR(ISNUMBER(SEARCH("Out",F781)),ISNUMBER(SEARCH("11025002",F781)),H781&lt;0),"OUT","IN"))</f>
        <v/>
      </c>
      <c r="K781" s="11" t="inlineStr"/>
    </row>
    <row r="782">
      <c r="A782" s="13">
        <f>IF(GL_RAW!A782="","",ROW()-1)</f>
        <v/>
      </c>
      <c r="B782" s="10">
        <f>IF(GL_RAW!A782="","",IF(ISNUMBER(GL_RAW!A782),GL_RAW!A782,DATEVALUE(TEXT(GL_RAW!A782,"YYYY-MM-DD"))))</f>
        <v/>
      </c>
      <c r="C782" s="11">
        <f>IF(GL_RAW!A782="","",TRIM(GL_RAW!B782))</f>
        <v/>
      </c>
      <c r="D782" s="11">
        <f>IF(GL_RAW!A782="","",TRIM(GL_RAW!C782))</f>
        <v/>
      </c>
      <c r="E782" s="11">
        <f>IF(GL_RAW!A782="","",TRIM(GL_RAW!D782))</f>
        <v/>
      </c>
      <c r="F782" s="11">
        <f>IF(GL_RAW!A782="","",TRIM(GL_RAW!F782))</f>
        <v/>
      </c>
      <c r="G782" s="11">
        <f>IF(GL_RAW!A782="","",TRIM(GL_RAW!G782))</f>
        <v/>
      </c>
      <c r="H782" s="12">
        <f>IF(GL_RAW!A782="","",IFERROR(GL_RAW!E782,0))</f>
        <v/>
      </c>
      <c r="I782" s="12">
        <f>IF(GL_RAW!A782="","",ABS(H782))</f>
        <v/>
      </c>
      <c r="J782" s="11">
        <f>IF(GL_RAW!A782="","",IF(OR(ISNUMBER(SEARCH("Out",F782)),ISNUMBER(SEARCH("11025002",F782)),H782&lt;0),"OUT","IN"))</f>
        <v/>
      </c>
      <c r="K782" s="11" t="inlineStr"/>
    </row>
    <row r="783">
      <c r="A783" s="13">
        <f>IF(GL_RAW!A783="","",ROW()-1)</f>
        <v/>
      </c>
      <c r="B783" s="10">
        <f>IF(GL_RAW!A783="","",IF(ISNUMBER(GL_RAW!A783),GL_RAW!A783,DATEVALUE(TEXT(GL_RAW!A783,"YYYY-MM-DD"))))</f>
        <v/>
      </c>
      <c r="C783" s="11">
        <f>IF(GL_RAW!A783="","",TRIM(GL_RAW!B783))</f>
        <v/>
      </c>
      <c r="D783" s="11">
        <f>IF(GL_RAW!A783="","",TRIM(GL_RAW!C783))</f>
        <v/>
      </c>
      <c r="E783" s="11">
        <f>IF(GL_RAW!A783="","",TRIM(GL_RAW!D783))</f>
        <v/>
      </c>
      <c r="F783" s="11">
        <f>IF(GL_RAW!A783="","",TRIM(GL_RAW!F783))</f>
        <v/>
      </c>
      <c r="G783" s="11">
        <f>IF(GL_RAW!A783="","",TRIM(GL_RAW!G783))</f>
        <v/>
      </c>
      <c r="H783" s="12">
        <f>IF(GL_RAW!A783="","",IFERROR(GL_RAW!E783,0))</f>
        <v/>
      </c>
      <c r="I783" s="12">
        <f>IF(GL_RAW!A783="","",ABS(H783))</f>
        <v/>
      </c>
      <c r="J783" s="11">
        <f>IF(GL_RAW!A783="","",IF(OR(ISNUMBER(SEARCH("Out",F783)),ISNUMBER(SEARCH("11025002",F783)),H783&lt;0),"OUT","IN"))</f>
        <v/>
      </c>
      <c r="K783" s="11" t="inlineStr"/>
    </row>
    <row r="784">
      <c r="A784" s="13">
        <f>IF(GL_RAW!A784="","",ROW()-1)</f>
        <v/>
      </c>
      <c r="B784" s="10">
        <f>IF(GL_RAW!A784="","",IF(ISNUMBER(GL_RAW!A784),GL_RAW!A784,DATEVALUE(TEXT(GL_RAW!A784,"YYYY-MM-DD"))))</f>
        <v/>
      </c>
      <c r="C784" s="11">
        <f>IF(GL_RAW!A784="","",TRIM(GL_RAW!B784))</f>
        <v/>
      </c>
      <c r="D784" s="11">
        <f>IF(GL_RAW!A784="","",TRIM(GL_RAW!C784))</f>
        <v/>
      </c>
      <c r="E784" s="11">
        <f>IF(GL_RAW!A784="","",TRIM(GL_RAW!D784))</f>
        <v/>
      </c>
      <c r="F784" s="11">
        <f>IF(GL_RAW!A784="","",TRIM(GL_RAW!F784))</f>
        <v/>
      </c>
      <c r="G784" s="11">
        <f>IF(GL_RAW!A784="","",TRIM(GL_RAW!G784))</f>
        <v/>
      </c>
      <c r="H784" s="12">
        <f>IF(GL_RAW!A784="","",IFERROR(GL_RAW!E784,0))</f>
        <v/>
      </c>
      <c r="I784" s="12">
        <f>IF(GL_RAW!A784="","",ABS(H784))</f>
        <v/>
      </c>
      <c r="J784" s="11">
        <f>IF(GL_RAW!A784="","",IF(OR(ISNUMBER(SEARCH("Out",F784)),ISNUMBER(SEARCH("11025002",F784)),H784&lt;0),"OUT","IN"))</f>
        <v/>
      </c>
      <c r="K784" s="11" t="inlineStr"/>
    </row>
    <row r="785">
      <c r="A785" s="13">
        <f>IF(GL_RAW!A785="","",ROW()-1)</f>
        <v/>
      </c>
      <c r="B785" s="10">
        <f>IF(GL_RAW!A785="","",IF(ISNUMBER(GL_RAW!A785),GL_RAW!A785,DATEVALUE(TEXT(GL_RAW!A785,"YYYY-MM-DD"))))</f>
        <v/>
      </c>
      <c r="C785" s="11">
        <f>IF(GL_RAW!A785="","",TRIM(GL_RAW!B785))</f>
        <v/>
      </c>
      <c r="D785" s="11">
        <f>IF(GL_RAW!A785="","",TRIM(GL_RAW!C785))</f>
        <v/>
      </c>
      <c r="E785" s="11">
        <f>IF(GL_RAW!A785="","",TRIM(GL_RAW!D785))</f>
        <v/>
      </c>
      <c r="F785" s="11">
        <f>IF(GL_RAW!A785="","",TRIM(GL_RAW!F785))</f>
        <v/>
      </c>
      <c r="G785" s="11">
        <f>IF(GL_RAW!A785="","",TRIM(GL_RAW!G785))</f>
        <v/>
      </c>
      <c r="H785" s="12">
        <f>IF(GL_RAW!A785="","",IFERROR(GL_RAW!E785,0))</f>
        <v/>
      </c>
      <c r="I785" s="12">
        <f>IF(GL_RAW!A785="","",ABS(H785))</f>
        <v/>
      </c>
      <c r="J785" s="11">
        <f>IF(GL_RAW!A785="","",IF(OR(ISNUMBER(SEARCH("Out",F785)),ISNUMBER(SEARCH("11025002",F785)),H785&lt;0),"OUT","IN"))</f>
        <v/>
      </c>
      <c r="K785" s="11" t="inlineStr"/>
    </row>
    <row r="786">
      <c r="A786" s="13">
        <f>IF(GL_RAW!A786="","",ROW()-1)</f>
        <v/>
      </c>
      <c r="B786" s="10">
        <f>IF(GL_RAW!A786="","",IF(ISNUMBER(GL_RAW!A786),GL_RAW!A786,DATEVALUE(TEXT(GL_RAW!A786,"YYYY-MM-DD"))))</f>
        <v/>
      </c>
      <c r="C786" s="11">
        <f>IF(GL_RAW!A786="","",TRIM(GL_RAW!B786))</f>
        <v/>
      </c>
      <c r="D786" s="11">
        <f>IF(GL_RAW!A786="","",TRIM(GL_RAW!C786))</f>
        <v/>
      </c>
      <c r="E786" s="11">
        <f>IF(GL_RAW!A786="","",TRIM(GL_RAW!D786))</f>
        <v/>
      </c>
      <c r="F786" s="11">
        <f>IF(GL_RAW!A786="","",TRIM(GL_RAW!F786))</f>
        <v/>
      </c>
      <c r="G786" s="11">
        <f>IF(GL_RAW!A786="","",TRIM(GL_RAW!G786))</f>
        <v/>
      </c>
      <c r="H786" s="12">
        <f>IF(GL_RAW!A786="","",IFERROR(GL_RAW!E786,0))</f>
        <v/>
      </c>
      <c r="I786" s="12">
        <f>IF(GL_RAW!A786="","",ABS(H786))</f>
        <v/>
      </c>
      <c r="J786" s="11">
        <f>IF(GL_RAW!A786="","",IF(OR(ISNUMBER(SEARCH("Out",F786)),ISNUMBER(SEARCH("11025002",F786)),H786&lt;0),"OUT","IN"))</f>
        <v/>
      </c>
      <c r="K786" s="11" t="inlineStr"/>
    </row>
    <row r="787">
      <c r="A787" s="13">
        <f>IF(GL_RAW!A787="","",ROW()-1)</f>
        <v/>
      </c>
      <c r="B787" s="10">
        <f>IF(GL_RAW!A787="","",IF(ISNUMBER(GL_RAW!A787),GL_RAW!A787,DATEVALUE(TEXT(GL_RAW!A787,"YYYY-MM-DD"))))</f>
        <v/>
      </c>
      <c r="C787" s="11">
        <f>IF(GL_RAW!A787="","",TRIM(GL_RAW!B787))</f>
        <v/>
      </c>
      <c r="D787" s="11">
        <f>IF(GL_RAW!A787="","",TRIM(GL_RAW!C787))</f>
        <v/>
      </c>
      <c r="E787" s="11">
        <f>IF(GL_RAW!A787="","",TRIM(GL_RAW!D787))</f>
        <v/>
      </c>
      <c r="F787" s="11">
        <f>IF(GL_RAW!A787="","",TRIM(GL_RAW!F787))</f>
        <v/>
      </c>
      <c r="G787" s="11">
        <f>IF(GL_RAW!A787="","",TRIM(GL_RAW!G787))</f>
        <v/>
      </c>
      <c r="H787" s="12">
        <f>IF(GL_RAW!A787="","",IFERROR(GL_RAW!E787,0))</f>
        <v/>
      </c>
      <c r="I787" s="12">
        <f>IF(GL_RAW!A787="","",ABS(H787))</f>
        <v/>
      </c>
      <c r="J787" s="11">
        <f>IF(GL_RAW!A787="","",IF(OR(ISNUMBER(SEARCH("Out",F787)),ISNUMBER(SEARCH("11025002",F787)),H787&lt;0),"OUT","IN"))</f>
        <v/>
      </c>
      <c r="K787" s="11" t="inlineStr"/>
    </row>
    <row r="788">
      <c r="A788" s="13">
        <f>IF(GL_RAW!A788="","",ROW()-1)</f>
        <v/>
      </c>
      <c r="B788" s="10">
        <f>IF(GL_RAW!A788="","",IF(ISNUMBER(GL_RAW!A788),GL_RAW!A788,DATEVALUE(TEXT(GL_RAW!A788,"YYYY-MM-DD"))))</f>
        <v/>
      </c>
      <c r="C788" s="11">
        <f>IF(GL_RAW!A788="","",TRIM(GL_RAW!B788))</f>
        <v/>
      </c>
      <c r="D788" s="11">
        <f>IF(GL_RAW!A788="","",TRIM(GL_RAW!C788))</f>
        <v/>
      </c>
      <c r="E788" s="11">
        <f>IF(GL_RAW!A788="","",TRIM(GL_RAW!D788))</f>
        <v/>
      </c>
      <c r="F788" s="11">
        <f>IF(GL_RAW!A788="","",TRIM(GL_RAW!F788))</f>
        <v/>
      </c>
      <c r="G788" s="11">
        <f>IF(GL_RAW!A788="","",TRIM(GL_RAW!G788))</f>
        <v/>
      </c>
      <c r="H788" s="12">
        <f>IF(GL_RAW!A788="","",IFERROR(GL_RAW!E788,0))</f>
        <v/>
      </c>
      <c r="I788" s="12">
        <f>IF(GL_RAW!A788="","",ABS(H788))</f>
        <v/>
      </c>
      <c r="J788" s="11">
        <f>IF(GL_RAW!A788="","",IF(OR(ISNUMBER(SEARCH("Out",F788)),ISNUMBER(SEARCH("11025002",F788)),H788&lt;0),"OUT","IN"))</f>
        <v/>
      </c>
      <c r="K788" s="11" t="inlineStr"/>
    </row>
    <row r="789">
      <c r="A789" s="13">
        <f>IF(GL_RAW!A789="","",ROW()-1)</f>
        <v/>
      </c>
      <c r="B789" s="10">
        <f>IF(GL_RAW!A789="","",IF(ISNUMBER(GL_RAW!A789),GL_RAW!A789,DATEVALUE(TEXT(GL_RAW!A789,"YYYY-MM-DD"))))</f>
        <v/>
      </c>
      <c r="C789" s="11">
        <f>IF(GL_RAW!A789="","",TRIM(GL_RAW!B789))</f>
        <v/>
      </c>
      <c r="D789" s="11">
        <f>IF(GL_RAW!A789="","",TRIM(GL_RAW!C789))</f>
        <v/>
      </c>
      <c r="E789" s="11">
        <f>IF(GL_RAW!A789="","",TRIM(GL_RAW!D789))</f>
        <v/>
      </c>
      <c r="F789" s="11">
        <f>IF(GL_RAW!A789="","",TRIM(GL_RAW!F789))</f>
        <v/>
      </c>
      <c r="G789" s="11">
        <f>IF(GL_RAW!A789="","",TRIM(GL_RAW!G789))</f>
        <v/>
      </c>
      <c r="H789" s="12">
        <f>IF(GL_RAW!A789="","",IFERROR(GL_RAW!E789,0))</f>
        <v/>
      </c>
      <c r="I789" s="12">
        <f>IF(GL_RAW!A789="","",ABS(H789))</f>
        <v/>
      </c>
      <c r="J789" s="11">
        <f>IF(GL_RAW!A789="","",IF(OR(ISNUMBER(SEARCH("Out",F789)),ISNUMBER(SEARCH("11025002",F789)),H789&lt;0),"OUT","IN"))</f>
        <v/>
      </c>
      <c r="K789" s="11" t="inlineStr"/>
    </row>
    <row r="790">
      <c r="A790" s="13">
        <f>IF(GL_RAW!A790="","",ROW()-1)</f>
        <v/>
      </c>
      <c r="B790" s="10">
        <f>IF(GL_RAW!A790="","",IF(ISNUMBER(GL_RAW!A790),GL_RAW!A790,DATEVALUE(TEXT(GL_RAW!A790,"YYYY-MM-DD"))))</f>
        <v/>
      </c>
      <c r="C790" s="11">
        <f>IF(GL_RAW!A790="","",TRIM(GL_RAW!B790))</f>
        <v/>
      </c>
      <c r="D790" s="11">
        <f>IF(GL_RAW!A790="","",TRIM(GL_RAW!C790))</f>
        <v/>
      </c>
      <c r="E790" s="11">
        <f>IF(GL_RAW!A790="","",TRIM(GL_RAW!D790))</f>
        <v/>
      </c>
      <c r="F790" s="11">
        <f>IF(GL_RAW!A790="","",TRIM(GL_RAW!F790))</f>
        <v/>
      </c>
      <c r="G790" s="11">
        <f>IF(GL_RAW!A790="","",TRIM(GL_RAW!G790))</f>
        <v/>
      </c>
      <c r="H790" s="12">
        <f>IF(GL_RAW!A790="","",IFERROR(GL_RAW!E790,0))</f>
        <v/>
      </c>
      <c r="I790" s="12">
        <f>IF(GL_RAW!A790="","",ABS(H790))</f>
        <v/>
      </c>
      <c r="J790" s="11">
        <f>IF(GL_RAW!A790="","",IF(OR(ISNUMBER(SEARCH("Out",F790)),ISNUMBER(SEARCH("11025002",F790)),H790&lt;0),"OUT","IN"))</f>
        <v/>
      </c>
      <c r="K790" s="11" t="inlineStr"/>
    </row>
    <row r="791">
      <c r="A791" s="13">
        <f>IF(GL_RAW!A791="","",ROW()-1)</f>
        <v/>
      </c>
      <c r="B791" s="10">
        <f>IF(GL_RAW!A791="","",IF(ISNUMBER(GL_RAW!A791),GL_RAW!A791,DATEVALUE(TEXT(GL_RAW!A791,"YYYY-MM-DD"))))</f>
        <v/>
      </c>
      <c r="C791" s="11">
        <f>IF(GL_RAW!A791="","",TRIM(GL_RAW!B791))</f>
        <v/>
      </c>
      <c r="D791" s="11">
        <f>IF(GL_RAW!A791="","",TRIM(GL_RAW!C791))</f>
        <v/>
      </c>
      <c r="E791" s="11">
        <f>IF(GL_RAW!A791="","",TRIM(GL_RAW!D791))</f>
        <v/>
      </c>
      <c r="F791" s="11">
        <f>IF(GL_RAW!A791="","",TRIM(GL_RAW!F791))</f>
        <v/>
      </c>
      <c r="G791" s="11">
        <f>IF(GL_RAW!A791="","",TRIM(GL_RAW!G791))</f>
        <v/>
      </c>
      <c r="H791" s="12">
        <f>IF(GL_RAW!A791="","",IFERROR(GL_RAW!E791,0))</f>
        <v/>
      </c>
      <c r="I791" s="12">
        <f>IF(GL_RAW!A791="","",ABS(H791))</f>
        <v/>
      </c>
      <c r="J791" s="11">
        <f>IF(GL_RAW!A791="","",IF(OR(ISNUMBER(SEARCH("Out",F791)),ISNUMBER(SEARCH("11025002",F791)),H791&lt;0),"OUT","IN"))</f>
        <v/>
      </c>
      <c r="K791" s="11" t="inlineStr"/>
    </row>
    <row r="792">
      <c r="A792" s="13">
        <f>IF(GL_RAW!A792="","",ROW()-1)</f>
        <v/>
      </c>
      <c r="B792" s="10">
        <f>IF(GL_RAW!A792="","",IF(ISNUMBER(GL_RAW!A792),GL_RAW!A792,DATEVALUE(TEXT(GL_RAW!A792,"YYYY-MM-DD"))))</f>
        <v/>
      </c>
      <c r="C792" s="11">
        <f>IF(GL_RAW!A792="","",TRIM(GL_RAW!B792))</f>
        <v/>
      </c>
      <c r="D792" s="11">
        <f>IF(GL_RAW!A792="","",TRIM(GL_RAW!C792))</f>
        <v/>
      </c>
      <c r="E792" s="11">
        <f>IF(GL_RAW!A792="","",TRIM(GL_RAW!D792))</f>
        <v/>
      </c>
      <c r="F792" s="11">
        <f>IF(GL_RAW!A792="","",TRIM(GL_RAW!F792))</f>
        <v/>
      </c>
      <c r="G792" s="11">
        <f>IF(GL_RAW!A792="","",TRIM(GL_RAW!G792))</f>
        <v/>
      </c>
      <c r="H792" s="12">
        <f>IF(GL_RAW!A792="","",IFERROR(GL_RAW!E792,0))</f>
        <v/>
      </c>
      <c r="I792" s="12">
        <f>IF(GL_RAW!A792="","",ABS(H792))</f>
        <v/>
      </c>
      <c r="J792" s="11">
        <f>IF(GL_RAW!A792="","",IF(OR(ISNUMBER(SEARCH("Out",F792)),ISNUMBER(SEARCH("11025002",F792)),H792&lt;0),"OUT","IN"))</f>
        <v/>
      </c>
      <c r="K792" s="11" t="inlineStr"/>
    </row>
    <row r="793">
      <c r="A793" s="13">
        <f>IF(GL_RAW!A793="","",ROW()-1)</f>
        <v/>
      </c>
      <c r="B793" s="10">
        <f>IF(GL_RAW!A793="","",IF(ISNUMBER(GL_RAW!A793),GL_RAW!A793,DATEVALUE(TEXT(GL_RAW!A793,"YYYY-MM-DD"))))</f>
        <v/>
      </c>
      <c r="C793" s="11">
        <f>IF(GL_RAW!A793="","",TRIM(GL_RAW!B793))</f>
        <v/>
      </c>
      <c r="D793" s="11">
        <f>IF(GL_RAW!A793="","",TRIM(GL_RAW!C793))</f>
        <v/>
      </c>
      <c r="E793" s="11">
        <f>IF(GL_RAW!A793="","",TRIM(GL_RAW!D793))</f>
        <v/>
      </c>
      <c r="F793" s="11">
        <f>IF(GL_RAW!A793="","",TRIM(GL_RAW!F793))</f>
        <v/>
      </c>
      <c r="G793" s="11">
        <f>IF(GL_RAW!A793="","",TRIM(GL_RAW!G793))</f>
        <v/>
      </c>
      <c r="H793" s="12">
        <f>IF(GL_RAW!A793="","",IFERROR(GL_RAW!E793,0))</f>
        <v/>
      </c>
      <c r="I793" s="12">
        <f>IF(GL_RAW!A793="","",ABS(H793))</f>
        <v/>
      </c>
      <c r="J793" s="11">
        <f>IF(GL_RAW!A793="","",IF(OR(ISNUMBER(SEARCH("Out",F793)),ISNUMBER(SEARCH("11025002",F793)),H793&lt;0),"OUT","IN"))</f>
        <v/>
      </c>
      <c r="K793" s="11" t="inlineStr"/>
    </row>
    <row r="794">
      <c r="A794" s="13">
        <f>IF(GL_RAW!A794="","",ROW()-1)</f>
        <v/>
      </c>
      <c r="B794" s="10">
        <f>IF(GL_RAW!A794="","",IF(ISNUMBER(GL_RAW!A794),GL_RAW!A794,DATEVALUE(TEXT(GL_RAW!A794,"YYYY-MM-DD"))))</f>
        <v/>
      </c>
      <c r="C794" s="11">
        <f>IF(GL_RAW!A794="","",TRIM(GL_RAW!B794))</f>
        <v/>
      </c>
      <c r="D794" s="11">
        <f>IF(GL_RAW!A794="","",TRIM(GL_RAW!C794))</f>
        <v/>
      </c>
      <c r="E794" s="11">
        <f>IF(GL_RAW!A794="","",TRIM(GL_RAW!D794))</f>
        <v/>
      </c>
      <c r="F794" s="11">
        <f>IF(GL_RAW!A794="","",TRIM(GL_RAW!F794))</f>
        <v/>
      </c>
      <c r="G794" s="11">
        <f>IF(GL_RAW!A794="","",TRIM(GL_RAW!G794))</f>
        <v/>
      </c>
      <c r="H794" s="12">
        <f>IF(GL_RAW!A794="","",IFERROR(GL_RAW!E794,0))</f>
        <v/>
      </c>
      <c r="I794" s="12">
        <f>IF(GL_RAW!A794="","",ABS(H794))</f>
        <v/>
      </c>
      <c r="J794" s="11">
        <f>IF(GL_RAW!A794="","",IF(OR(ISNUMBER(SEARCH("Out",F794)),ISNUMBER(SEARCH("11025002",F794)),H794&lt;0),"OUT","IN"))</f>
        <v/>
      </c>
      <c r="K794" s="11" t="inlineStr"/>
    </row>
    <row r="795">
      <c r="A795" s="13">
        <f>IF(GL_RAW!A795="","",ROW()-1)</f>
        <v/>
      </c>
      <c r="B795" s="10">
        <f>IF(GL_RAW!A795="","",IF(ISNUMBER(GL_RAW!A795),GL_RAW!A795,DATEVALUE(TEXT(GL_RAW!A795,"YYYY-MM-DD"))))</f>
        <v/>
      </c>
      <c r="C795" s="11">
        <f>IF(GL_RAW!A795="","",TRIM(GL_RAW!B795))</f>
        <v/>
      </c>
      <c r="D795" s="11">
        <f>IF(GL_RAW!A795="","",TRIM(GL_RAW!C795))</f>
        <v/>
      </c>
      <c r="E795" s="11">
        <f>IF(GL_RAW!A795="","",TRIM(GL_RAW!D795))</f>
        <v/>
      </c>
      <c r="F795" s="11">
        <f>IF(GL_RAW!A795="","",TRIM(GL_RAW!F795))</f>
        <v/>
      </c>
      <c r="G795" s="11">
        <f>IF(GL_RAW!A795="","",TRIM(GL_RAW!G795))</f>
        <v/>
      </c>
      <c r="H795" s="12">
        <f>IF(GL_RAW!A795="","",IFERROR(GL_RAW!E795,0))</f>
        <v/>
      </c>
      <c r="I795" s="12">
        <f>IF(GL_RAW!A795="","",ABS(H795))</f>
        <v/>
      </c>
      <c r="J795" s="11">
        <f>IF(GL_RAW!A795="","",IF(OR(ISNUMBER(SEARCH("Out",F795)),ISNUMBER(SEARCH("11025002",F795)),H795&lt;0),"OUT","IN"))</f>
        <v/>
      </c>
      <c r="K795" s="11" t="inlineStr"/>
    </row>
    <row r="796">
      <c r="A796" s="13">
        <f>IF(GL_RAW!A796="","",ROW()-1)</f>
        <v/>
      </c>
      <c r="B796" s="10">
        <f>IF(GL_RAW!A796="","",IF(ISNUMBER(GL_RAW!A796),GL_RAW!A796,DATEVALUE(TEXT(GL_RAW!A796,"YYYY-MM-DD"))))</f>
        <v/>
      </c>
      <c r="C796" s="11">
        <f>IF(GL_RAW!A796="","",TRIM(GL_RAW!B796))</f>
        <v/>
      </c>
      <c r="D796" s="11">
        <f>IF(GL_RAW!A796="","",TRIM(GL_RAW!C796))</f>
        <v/>
      </c>
      <c r="E796" s="11">
        <f>IF(GL_RAW!A796="","",TRIM(GL_RAW!D796))</f>
        <v/>
      </c>
      <c r="F796" s="11">
        <f>IF(GL_RAW!A796="","",TRIM(GL_RAW!F796))</f>
        <v/>
      </c>
      <c r="G796" s="11">
        <f>IF(GL_RAW!A796="","",TRIM(GL_RAW!G796))</f>
        <v/>
      </c>
      <c r="H796" s="12">
        <f>IF(GL_RAW!A796="","",IFERROR(GL_RAW!E796,0))</f>
        <v/>
      </c>
      <c r="I796" s="12">
        <f>IF(GL_RAW!A796="","",ABS(H796))</f>
        <v/>
      </c>
      <c r="J796" s="11">
        <f>IF(GL_RAW!A796="","",IF(OR(ISNUMBER(SEARCH("Out",F796)),ISNUMBER(SEARCH("11025002",F796)),H796&lt;0),"OUT","IN"))</f>
        <v/>
      </c>
      <c r="K796" s="11" t="inlineStr"/>
    </row>
    <row r="797">
      <c r="A797" s="13">
        <f>IF(GL_RAW!A797="","",ROW()-1)</f>
        <v/>
      </c>
      <c r="B797" s="10">
        <f>IF(GL_RAW!A797="","",IF(ISNUMBER(GL_RAW!A797),GL_RAW!A797,DATEVALUE(TEXT(GL_RAW!A797,"YYYY-MM-DD"))))</f>
        <v/>
      </c>
      <c r="C797" s="11">
        <f>IF(GL_RAW!A797="","",TRIM(GL_RAW!B797))</f>
        <v/>
      </c>
      <c r="D797" s="11">
        <f>IF(GL_RAW!A797="","",TRIM(GL_RAW!C797))</f>
        <v/>
      </c>
      <c r="E797" s="11">
        <f>IF(GL_RAW!A797="","",TRIM(GL_RAW!D797))</f>
        <v/>
      </c>
      <c r="F797" s="11">
        <f>IF(GL_RAW!A797="","",TRIM(GL_RAW!F797))</f>
        <v/>
      </c>
      <c r="G797" s="11">
        <f>IF(GL_RAW!A797="","",TRIM(GL_RAW!G797))</f>
        <v/>
      </c>
      <c r="H797" s="12">
        <f>IF(GL_RAW!A797="","",IFERROR(GL_RAW!E797,0))</f>
        <v/>
      </c>
      <c r="I797" s="12">
        <f>IF(GL_RAW!A797="","",ABS(H797))</f>
        <v/>
      </c>
      <c r="J797" s="11">
        <f>IF(GL_RAW!A797="","",IF(OR(ISNUMBER(SEARCH("Out",F797)),ISNUMBER(SEARCH("11025002",F797)),H797&lt;0),"OUT","IN"))</f>
        <v/>
      </c>
      <c r="K797" s="11" t="inlineStr"/>
    </row>
    <row r="798">
      <c r="A798" s="13">
        <f>IF(GL_RAW!A798="","",ROW()-1)</f>
        <v/>
      </c>
      <c r="B798" s="10">
        <f>IF(GL_RAW!A798="","",IF(ISNUMBER(GL_RAW!A798),GL_RAW!A798,DATEVALUE(TEXT(GL_RAW!A798,"YYYY-MM-DD"))))</f>
        <v/>
      </c>
      <c r="C798" s="11">
        <f>IF(GL_RAW!A798="","",TRIM(GL_RAW!B798))</f>
        <v/>
      </c>
      <c r="D798" s="11">
        <f>IF(GL_RAW!A798="","",TRIM(GL_RAW!C798))</f>
        <v/>
      </c>
      <c r="E798" s="11">
        <f>IF(GL_RAW!A798="","",TRIM(GL_RAW!D798))</f>
        <v/>
      </c>
      <c r="F798" s="11">
        <f>IF(GL_RAW!A798="","",TRIM(GL_RAW!F798))</f>
        <v/>
      </c>
      <c r="G798" s="11">
        <f>IF(GL_RAW!A798="","",TRIM(GL_RAW!G798))</f>
        <v/>
      </c>
      <c r="H798" s="12">
        <f>IF(GL_RAW!A798="","",IFERROR(GL_RAW!E798,0))</f>
        <v/>
      </c>
      <c r="I798" s="12">
        <f>IF(GL_RAW!A798="","",ABS(H798))</f>
        <v/>
      </c>
      <c r="J798" s="11">
        <f>IF(GL_RAW!A798="","",IF(OR(ISNUMBER(SEARCH("Out",F798)),ISNUMBER(SEARCH("11025002",F798)),H798&lt;0),"OUT","IN"))</f>
        <v/>
      </c>
      <c r="K798" s="11" t="inlineStr"/>
    </row>
    <row r="799">
      <c r="A799" s="13">
        <f>IF(GL_RAW!A799="","",ROW()-1)</f>
        <v/>
      </c>
      <c r="B799" s="10">
        <f>IF(GL_RAW!A799="","",IF(ISNUMBER(GL_RAW!A799),GL_RAW!A799,DATEVALUE(TEXT(GL_RAW!A799,"YYYY-MM-DD"))))</f>
        <v/>
      </c>
      <c r="C799" s="11">
        <f>IF(GL_RAW!A799="","",TRIM(GL_RAW!B799))</f>
        <v/>
      </c>
      <c r="D799" s="11">
        <f>IF(GL_RAW!A799="","",TRIM(GL_RAW!C799))</f>
        <v/>
      </c>
      <c r="E799" s="11">
        <f>IF(GL_RAW!A799="","",TRIM(GL_RAW!D799))</f>
        <v/>
      </c>
      <c r="F799" s="11">
        <f>IF(GL_RAW!A799="","",TRIM(GL_RAW!F799))</f>
        <v/>
      </c>
      <c r="G799" s="11">
        <f>IF(GL_RAW!A799="","",TRIM(GL_RAW!G799))</f>
        <v/>
      </c>
      <c r="H799" s="12">
        <f>IF(GL_RAW!A799="","",IFERROR(GL_RAW!E799,0))</f>
        <v/>
      </c>
      <c r="I799" s="12">
        <f>IF(GL_RAW!A799="","",ABS(H799))</f>
        <v/>
      </c>
      <c r="J799" s="11">
        <f>IF(GL_RAW!A799="","",IF(OR(ISNUMBER(SEARCH("Out",F799)),ISNUMBER(SEARCH("11025002",F799)),H799&lt;0),"OUT","IN"))</f>
        <v/>
      </c>
      <c r="K799" s="11" t="inlineStr"/>
    </row>
    <row r="800">
      <c r="A800" s="13">
        <f>IF(GL_RAW!A800="","",ROW()-1)</f>
        <v/>
      </c>
      <c r="B800" s="10">
        <f>IF(GL_RAW!A800="","",IF(ISNUMBER(GL_RAW!A800),GL_RAW!A800,DATEVALUE(TEXT(GL_RAW!A800,"YYYY-MM-DD"))))</f>
        <v/>
      </c>
      <c r="C800" s="11">
        <f>IF(GL_RAW!A800="","",TRIM(GL_RAW!B800))</f>
        <v/>
      </c>
      <c r="D800" s="11">
        <f>IF(GL_RAW!A800="","",TRIM(GL_RAW!C800))</f>
        <v/>
      </c>
      <c r="E800" s="11">
        <f>IF(GL_RAW!A800="","",TRIM(GL_RAW!D800))</f>
        <v/>
      </c>
      <c r="F800" s="11">
        <f>IF(GL_RAW!A800="","",TRIM(GL_RAW!F800))</f>
        <v/>
      </c>
      <c r="G800" s="11">
        <f>IF(GL_RAW!A800="","",TRIM(GL_RAW!G800))</f>
        <v/>
      </c>
      <c r="H800" s="12">
        <f>IF(GL_RAW!A800="","",IFERROR(GL_RAW!E800,0))</f>
        <v/>
      </c>
      <c r="I800" s="12">
        <f>IF(GL_RAW!A800="","",ABS(H800))</f>
        <v/>
      </c>
      <c r="J800" s="11">
        <f>IF(GL_RAW!A800="","",IF(OR(ISNUMBER(SEARCH("Out",F800)),ISNUMBER(SEARCH("11025002",F800)),H800&lt;0),"OUT","IN"))</f>
        <v/>
      </c>
      <c r="K800" s="11" t="inlineStr"/>
    </row>
    <row r="801">
      <c r="A801" s="13">
        <f>IF(GL_RAW!A801="","",ROW()-1)</f>
        <v/>
      </c>
      <c r="B801" s="10">
        <f>IF(GL_RAW!A801="","",IF(ISNUMBER(GL_RAW!A801),GL_RAW!A801,DATEVALUE(TEXT(GL_RAW!A801,"YYYY-MM-DD"))))</f>
        <v/>
      </c>
      <c r="C801" s="11">
        <f>IF(GL_RAW!A801="","",TRIM(GL_RAW!B801))</f>
        <v/>
      </c>
      <c r="D801" s="11">
        <f>IF(GL_RAW!A801="","",TRIM(GL_RAW!C801))</f>
        <v/>
      </c>
      <c r="E801" s="11">
        <f>IF(GL_RAW!A801="","",TRIM(GL_RAW!D801))</f>
        <v/>
      </c>
      <c r="F801" s="11">
        <f>IF(GL_RAW!A801="","",TRIM(GL_RAW!F801))</f>
        <v/>
      </c>
      <c r="G801" s="11">
        <f>IF(GL_RAW!A801="","",TRIM(GL_RAW!G801))</f>
        <v/>
      </c>
      <c r="H801" s="12">
        <f>IF(GL_RAW!A801="","",IFERROR(GL_RAW!E801,0))</f>
        <v/>
      </c>
      <c r="I801" s="12">
        <f>IF(GL_RAW!A801="","",ABS(H801))</f>
        <v/>
      </c>
      <c r="J801" s="11">
        <f>IF(GL_RAW!A801="","",IF(OR(ISNUMBER(SEARCH("Out",F801)),ISNUMBER(SEARCH("11025002",F801)),H801&lt;0),"OUT","IN"))</f>
        <v/>
      </c>
      <c r="K801" s="11" t="inlineStr"/>
    </row>
    <row r="802">
      <c r="A802" s="13">
        <f>IF(GL_RAW!A802="","",ROW()-1)</f>
        <v/>
      </c>
      <c r="B802" s="10">
        <f>IF(GL_RAW!A802="","",IF(ISNUMBER(GL_RAW!A802),GL_RAW!A802,DATEVALUE(TEXT(GL_RAW!A802,"YYYY-MM-DD"))))</f>
        <v/>
      </c>
      <c r="C802" s="11">
        <f>IF(GL_RAW!A802="","",TRIM(GL_RAW!B802))</f>
        <v/>
      </c>
      <c r="D802" s="11">
        <f>IF(GL_RAW!A802="","",TRIM(GL_RAW!C802))</f>
        <v/>
      </c>
      <c r="E802" s="11">
        <f>IF(GL_RAW!A802="","",TRIM(GL_RAW!D802))</f>
        <v/>
      </c>
      <c r="F802" s="11">
        <f>IF(GL_RAW!A802="","",TRIM(GL_RAW!F802))</f>
        <v/>
      </c>
      <c r="G802" s="11">
        <f>IF(GL_RAW!A802="","",TRIM(GL_RAW!G802))</f>
        <v/>
      </c>
      <c r="H802" s="12">
        <f>IF(GL_RAW!A802="","",IFERROR(GL_RAW!E802,0))</f>
        <v/>
      </c>
      <c r="I802" s="12">
        <f>IF(GL_RAW!A802="","",ABS(H802))</f>
        <v/>
      </c>
      <c r="J802" s="11">
        <f>IF(GL_RAW!A802="","",IF(OR(ISNUMBER(SEARCH("Out",F802)),ISNUMBER(SEARCH("11025002",F802)),H802&lt;0),"OUT","IN"))</f>
        <v/>
      </c>
      <c r="K802" s="11" t="inlineStr"/>
    </row>
    <row r="803">
      <c r="A803" s="13">
        <f>IF(GL_RAW!A803="","",ROW()-1)</f>
        <v/>
      </c>
      <c r="B803" s="10">
        <f>IF(GL_RAW!A803="","",IF(ISNUMBER(GL_RAW!A803),GL_RAW!A803,DATEVALUE(TEXT(GL_RAW!A803,"YYYY-MM-DD"))))</f>
        <v/>
      </c>
      <c r="C803" s="11">
        <f>IF(GL_RAW!A803="","",TRIM(GL_RAW!B803))</f>
        <v/>
      </c>
      <c r="D803" s="11">
        <f>IF(GL_RAW!A803="","",TRIM(GL_RAW!C803))</f>
        <v/>
      </c>
      <c r="E803" s="11">
        <f>IF(GL_RAW!A803="","",TRIM(GL_RAW!D803))</f>
        <v/>
      </c>
      <c r="F803" s="11">
        <f>IF(GL_RAW!A803="","",TRIM(GL_RAW!F803))</f>
        <v/>
      </c>
      <c r="G803" s="11">
        <f>IF(GL_RAW!A803="","",TRIM(GL_RAW!G803))</f>
        <v/>
      </c>
      <c r="H803" s="12">
        <f>IF(GL_RAW!A803="","",IFERROR(GL_RAW!E803,0))</f>
        <v/>
      </c>
      <c r="I803" s="12">
        <f>IF(GL_RAW!A803="","",ABS(H803))</f>
        <v/>
      </c>
      <c r="J803" s="11">
        <f>IF(GL_RAW!A803="","",IF(OR(ISNUMBER(SEARCH("Out",F803)),ISNUMBER(SEARCH("11025002",F803)),H803&lt;0),"OUT","IN"))</f>
        <v/>
      </c>
      <c r="K803" s="11" t="inlineStr"/>
    </row>
    <row r="804">
      <c r="A804" s="13">
        <f>IF(GL_RAW!A804="","",ROW()-1)</f>
        <v/>
      </c>
      <c r="B804" s="10">
        <f>IF(GL_RAW!A804="","",IF(ISNUMBER(GL_RAW!A804),GL_RAW!A804,DATEVALUE(TEXT(GL_RAW!A804,"YYYY-MM-DD"))))</f>
        <v/>
      </c>
      <c r="C804" s="11">
        <f>IF(GL_RAW!A804="","",TRIM(GL_RAW!B804))</f>
        <v/>
      </c>
      <c r="D804" s="11">
        <f>IF(GL_RAW!A804="","",TRIM(GL_RAW!C804))</f>
        <v/>
      </c>
      <c r="E804" s="11">
        <f>IF(GL_RAW!A804="","",TRIM(GL_RAW!D804))</f>
        <v/>
      </c>
      <c r="F804" s="11">
        <f>IF(GL_RAW!A804="","",TRIM(GL_RAW!F804))</f>
        <v/>
      </c>
      <c r="G804" s="11">
        <f>IF(GL_RAW!A804="","",TRIM(GL_RAW!G804))</f>
        <v/>
      </c>
      <c r="H804" s="12">
        <f>IF(GL_RAW!A804="","",IFERROR(GL_RAW!E804,0))</f>
        <v/>
      </c>
      <c r="I804" s="12">
        <f>IF(GL_RAW!A804="","",ABS(H804))</f>
        <v/>
      </c>
      <c r="J804" s="11">
        <f>IF(GL_RAW!A804="","",IF(OR(ISNUMBER(SEARCH("Out",F804)),ISNUMBER(SEARCH("11025002",F804)),H804&lt;0),"OUT","IN"))</f>
        <v/>
      </c>
      <c r="K804" s="11" t="inlineStr"/>
    </row>
    <row r="805">
      <c r="A805" s="13">
        <f>IF(GL_RAW!A805="","",ROW()-1)</f>
        <v/>
      </c>
      <c r="B805" s="10">
        <f>IF(GL_RAW!A805="","",IF(ISNUMBER(GL_RAW!A805),GL_RAW!A805,DATEVALUE(TEXT(GL_RAW!A805,"YYYY-MM-DD"))))</f>
        <v/>
      </c>
      <c r="C805" s="11">
        <f>IF(GL_RAW!A805="","",TRIM(GL_RAW!B805))</f>
        <v/>
      </c>
      <c r="D805" s="11">
        <f>IF(GL_RAW!A805="","",TRIM(GL_RAW!C805))</f>
        <v/>
      </c>
      <c r="E805" s="11">
        <f>IF(GL_RAW!A805="","",TRIM(GL_RAW!D805))</f>
        <v/>
      </c>
      <c r="F805" s="11">
        <f>IF(GL_RAW!A805="","",TRIM(GL_RAW!F805))</f>
        <v/>
      </c>
      <c r="G805" s="11">
        <f>IF(GL_RAW!A805="","",TRIM(GL_RAW!G805))</f>
        <v/>
      </c>
      <c r="H805" s="12">
        <f>IF(GL_RAW!A805="","",IFERROR(GL_RAW!E805,0))</f>
        <v/>
      </c>
      <c r="I805" s="12">
        <f>IF(GL_RAW!A805="","",ABS(H805))</f>
        <v/>
      </c>
      <c r="J805" s="11">
        <f>IF(GL_RAW!A805="","",IF(OR(ISNUMBER(SEARCH("Out",F805)),ISNUMBER(SEARCH("11025002",F805)),H805&lt;0),"OUT","IN"))</f>
        <v/>
      </c>
      <c r="K805" s="11" t="inlineStr"/>
    </row>
    <row r="806">
      <c r="A806" s="13">
        <f>IF(GL_RAW!A806="","",ROW()-1)</f>
        <v/>
      </c>
      <c r="B806" s="10">
        <f>IF(GL_RAW!A806="","",IF(ISNUMBER(GL_RAW!A806),GL_RAW!A806,DATEVALUE(TEXT(GL_RAW!A806,"YYYY-MM-DD"))))</f>
        <v/>
      </c>
      <c r="C806" s="11">
        <f>IF(GL_RAW!A806="","",TRIM(GL_RAW!B806))</f>
        <v/>
      </c>
      <c r="D806" s="11">
        <f>IF(GL_RAW!A806="","",TRIM(GL_RAW!C806))</f>
        <v/>
      </c>
      <c r="E806" s="11">
        <f>IF(GL_RAW!A806="","",TRIM(GL_RAW!D806))</f>
        <v/>
      </c>
      <c r="F806" s="11">
        <f>IF(GL_RAW!A806="","",TRIM(GL_RAW!F806))</f>
        <v/>
      </c>
      <c r="G806" s="11">
        <f>IF(GL_RAW!A806="","",TRIM(GL_RAW!G806))</f>
        <v/>
      </c>
      <c r="H806" s="12">
        <f>IF(GL_RAW!A806="","",IFERROR(GL_RAW!E806,0))</f>
        <v/>
      </c>
      <c r="I806" s="12">
        <f>IF(GL_RAW!A806="","",ABS(H806))</f>
        <v/>
      </c>
      <c r="J806" s="11">
        <f>IF(GL_RAW!A806="","",IF(OR(ISNUMBER(SEARCH("Out",F806)),ISNUMBER(SEARCH("11025002",F806)),H806&lt;0),"OUT","IN"))</f>
        <v/>
      </c>
      <c r="K806" s="11" t="inlineStr"/>
    </row>
    <row r="807">
      <c r="A807" s="13">
        <f>IF(GL_RAW!A807="","",ROW()-1)</f>
        <v/>
      </c>
      <c r="B807" s="10">
        <f>IF(GL_RAW!A807="","",IF(ISNUMBER(GL_RAW!A807),GL_RAW!A807,DATEVALUE(TEXT(GL_RAW!A807,"YYYY-MM-DD"))))</f>
        <v/>
      </c>
      <c r="C807" s="11">
        <f>IF(GL_RAW!A807="","",TRIM(GL_RAW!B807))</f>
        <v/>
      </c>
      <c r="D807" s="11">
        <f>IF(GL_RAW!A807="","",TRIM(GL_RAW!C807))</f>
        <v/>
      </c>
      <c r="E807" s="11">
        <f>IF(GL_RAW!A807="","",TRIM(GL_RAW!D807))</f>
        <v/>
      </c>
      <c r="F807" s="11">
        <f>IF(GL_RAW!A807="","",TRIM(GL_RAW!F807))</f>
        <v/>
      </c>
      <c r="G807" s="11">
        <f>IF(GL_RAW!A807="","",TRIM(GL_RAW!G807))</f>
        <v/>
      </c>
      <c r="H807" s="12">
        <f>IF(GL_RAW!A807="","",IFERROR(GL_RAW!E807,0))</f>
        <v/>
      </c>
      <c r="I807" s="12">
        <f>IF(GL_RAW!A807="","",ABS(H807))</f>
        <v/>
      </c>
      <c r="J807" s="11">
        <f>IF(GL_RAW!A807="","",IF(OR(ISNUMBER(SEARCH("Out",F807)),ISNUMBER(SEARCH("11025002",F807)),H807&lt;0),"OUT","IN"))</f>
        <v/>
      </c>
      <c r="K807" s="11" t="inlineStr"/>
    </row>
    <row r="808">
      <c r="A808" s="13">
        <f>IF(GL_RAW!A808="","",ROW()-1)</f>
        <v/>
      </c>
      <c r="B808" s="10">
        <f>IF(GL_RAW!A808="","",IF(ISNUMBER(GL_RAW!A808),GL_RAW!A808,DATEVALUE(TEXT(GL_RAW!A808,"YYYY-MM-DD"))))</f>
        <v/>
      </c>
      <c r="C808" s="11">
        <f>IF(GL_RAW!A808="","",TRIM(GL_RAW!B808))</f>
        <v/>
      </c>
      <c r="D808" s="11">
        <f>IF(GL_RAW!A808="","",TRIM(GL_RAW!C808))</f>
        <v/>
      </c>
      <c r="E808" s="11">
        <f>IF(GL_RAW!A808="","",TRIM(GL_RAW!D808))</f>
        <v/>
      </c>
      <c r="F808" s="11">
        <f>IF(GL_RAW!A808="","",TRIM(GL_RAW!F808))</f>
        <v/>
      </c>
      <c r="G808" s="11">
        <f>IF(GL_RAW!A808="","",TRIM(GL_RAW!G808))</f>
        <v/>
      </c>
      <c r="H808" s="12">
        <f>IF(GL_RAW!A808="","",IFERROR(GL_RAW!E808,0))</f>
        <v/>
      </c>
      <c r="I808" s="12">
        <f>IF(GL_RAW!A808="","",ABS(H808))</f>
        <v/>
      </c>
      <c r="J808" s="11">
        <f>IF(GL_RAW!A808="","",IF(OR(ISNUMBER(SEARCH("Out",F808)),ISNUMBER(SEARCH("11025002",F808)),H808&lt;0),"OUT","IN"))</f>
        <v/>
      </c>
      <c r="K808" s="11" t="inlineStr"/>
    </row>
    <row r="809">
      <c r="A809" s="13">
        <f>IF(GL_RAW!A809="","",ROW()-1)</f>
        <v/>
      </c>
      <c r="B809" s="10">
        <f>IF(GL_RAW!A809="","",IF(ISNUMBER(GL_RAW!A809),GL_RAW!A809,DATEVALUE(TEXT(GL_RAW!A809,"YYYY-MM-DD"))))</f>
        <v/>
      </c>
      <c r="C809" s="11">
        <f>IF(GL_RAW!A809="","",TRIM(GL_RAW!B809))</f>
        <v/>
      </c>
      <c r="D809" s="11">
        <f>IF(GL_RAW!A809="","",TRIM(GL_RAW!C809))</f>
        <v/>
      </c>
      <c r="E809" s="11">
        <f>IF(GL_RAW!A809="","",TRIM(GL_RAW!D809))</f>
        <v/>
      </c>
      <c r="F809" s="11">
        <f>IF(GL_RAW!A809="","",TRIM(GL_RAW!F809))</f>
        <v/>
      </c>
      <c r="G809" s="11">
        <f>IF(GL_RAW!A809="","",TRIM(GL_RAW!G809))</f>
        <v/>
      </c>
      <c r="H809" s="12">
        <f>IF(GL_RAW!A809="","",IFERROR(GL_RAW!E809,0))</f>
        <v/>
      </c>
      <c r="I809" s="12">
        <f>IF(GL_RAW!A809="","",ABS(H809))</f>
        <v/>
      </c>
      <c r="J809" s="11">
        <f>IF(GL_RAW!A809="","",IF(OR(ISNUMBER(SEARCH("Out",F809)),ISNUMBER(SEARCH("11025002",F809)),H809&lt;0),"OUT","IN"))</f>
        <v/>
      </c>
      <c r="K809" s="11" t="inlineStr"/>
    </row>
    <row r="810">
      <c r="A810" s="13">
        <f>IF(GL_RAW!A810="","",ROW()-1)</f>
        <v/>
      </c>
      <c r="B810" s="10">
        <f>IF(GL_RAW!A810="","",IF(ISNUMBER(GL_RAW!A810),GL_RAW!A810,DATEVALUE(TEXT(GL_RAW!A810,"YYYY-MM-DD"))))</f>
        <v/>
      </c>
      <c r="C810" s="11">
        <f>IF(GL_RAW!A810="","",TRIM(GL_RAW!B810))</f>
        <v/>
      </c>
      <c r="D810" s="11">
        <f>IF(GL_RAW!A810="","",TRIM(GL_RAW!C810))</f>
        <v/>
      </c>
      <c r="E810" s="11">
        <f>IF(GL_RAW!A810="","",TRIM(GL_RAW!D810))</f>
        <v/>
      </c>
      <c r="F810" s="11">
        <f>IF(GL_RAW!A810="","",TRIM(GL_RAW!F810))</f>
        <v/>
      </c>
      <c r="G810" s="11">
        <f>IF(GL_RAW!A810="","",TRIM(GL_RAW!G810))</f>
        <v/>
      </c>
      <c r="H810" s="12">
        <f>IF(GL_RAW!A810="","",IFERROR(GL_RAW!E810,0))</f>
        <v/>
      </c>
      <c r="I810" s="12">
        <f>IF(GL_RAW!A810="","",ABS(H810))</f>
        <v/>
      </c>
      <c r="J810" s="11">
        <f>IF(GL_RAW!A810="","",IF(OR(ISNUMBER(SEARCH("Out",F810)),ISNUMBER(SEARCH("11025002",F810)),H810&lt;0),"OUT","IN"))</f>
        <v/>
      </c>
      <c r="K810" s="11" t="inlineStr"/>
    </row>
    <row r="811">
      <c r="A811" s="13">
        <f>IF(GL_RAW!A811="","",ROW()-1)</f>
        <v/>
      </c>
      <c r="B811" s="10">
        <f>IF(GL_RAW!A811="","",IF(ISNUMBER(GL_RAW!A811),GL_RAW!A811,DATEVALUE(TEXT(GL_RAW!A811,"YYYY-MM-DD"))))</f>
        <v/>
      </c>
      <c r="C811" s="11">
        <f>IF(GL_RAW!A811="","",TRIM(GL_RAW!B811))</f>
        <v/>
      </c>
      <c r="D811" s="11">
        <f>IF(GL_RAW!A811="","",TRIM(GL_RAW!C811))</f>
        <v/>
      </c>
      <c r="E811" s="11">
        <f>IF(GL_RAW!A811="","",TRIM(GL_RAW!D811))</f>
        <v/>
      </c>
      <c r="F811" s="11">
        <f>IF(GL_RAW!A811="","",TRIM(GL_RAW!F811))</f>
        <v/>
      </c>
      <c r="G811" s="11">
        <f>IF(GL_RAW!A811="","",TRIM(GL_RAW!G811))</f>
        <v/>
      </c>
      <c r="H811" s="12">
        <f>IF(GL_RAW!A811="","",IFERROR(GL_RAW!E811,0))</f>
        <v/>
      </c>
      <c r="I811" s="12">
        <f>IF(GL_RAW!A811="","",ABS(H811))</f>
        <v/>
      </c>
      <c r="J811" s="11">
        <f>IF(GL_RAW!A811="","",IF(OR(ISNUMBER(SEARCH("Out",F811)),ISNUMBER(SEARCH("11025002",F811)),H811&lt;0),"OUT","IN"))</f>
        <v/>
      </c>
      <c r="K811" s="11" t="inlineStr"/>
    </row>
    <row r="812">
      <c r="A812" s="13">
        <f>IF(GL_RAW!A812="","",ROW()-1)</f>
        <v/>
      </c>
      <c r="B812" s="10">
        <f>IF(GL_RAW!A812="","",IF(ISNUMBER(GL_RAW!A812),GL_RAW!A812,DATEVALUE(TEXT(GL_RAW!A812,"YYYY-MM-DD"))))</f>
        <v/>
      </c>
      <c r="C812" s="11">
        <f>IF(GL_RAW!A812="","",TRIM(GL_RAW!B812))</f>
        <v/>
      </c>
      <c r="D812" s="11">
        <f>IF(GL_RAW!A812="","",TRIM(GL_RAW!C812))</f>
        <v/>
      </c>
      <c r="E812" s="11">
        <f>IF(GL_RAW!A812="","",TRIM(GL_RAW!D812))</f>
        <v/>
      </c>
      <c r="F812" s="11">
        <f>IF(GL_RAW!A812="","",TRIM(GL_RAW!F812))</f>
        <v/>
      </c>
      <c r="G812" s="11">
        <f>IF(GL_RAW!A812="","",TRIM(GL_RAW!G812))</f>
        <v/>
      </c>
      <c r="H812" s="12">
        <f>IF(GL_RAW!A812="","",IFERROR(GL_RAW!E812,0))</f>
        <v/>
      </c>
      <c r="I812" s="12">
        <f>IF(GL_RAW!A812="","",ABS(H812))</f>
        <v/>
      </c>
      <c r="J812" s="11">
        <f>IF(GL_RAW!A812="","",IF(OR(ISNUMBER(SEARCH("Out",F812)),ISNUMBER(SEARCH("11025002",F812)),H812&lt;0),"OUT","IN"))</f>
        <v/>
      </c>
      <c r="K812" s="11" t="inlineStr"/>
    </row>
    <row r="813">
      <c r="A813" s="13">
        <f>IF(GL_RAW!A813="","",ROW()-1)</f>
        <v/>
      </c>
      <c r="B813" s="10">
        <f>IF(GL_RAW!A813="","",IF(ISNUMBER(GL_RAW!A813),GL_RAW!A813,DATEVALUE(TEXT(GL_RAW!A813,"YYYY-MM-DD"))))</f>
        <v/>
      </c>
      <c r="C813" s="11">
        <f>IF(GL_RAW!A813="","",TRIM(GL_RAW!B813))</f>
        <v/>
      </c>
      <c r="D813" s="11">
        <f>IF(GL_RAW!A813="","",TRIM(GL_RAW!C813))</f>
        <v/>
      </c>
      <c r="E813" s="11">
        <f>IF(GL_RAW!A813="","",TRIM(GL_RAW!D813))</f>
        <v/>
      </c>
      <c r="F813" s="11">
        <f>IF(GL_RAW!A813="","",TRIM(GL_RAW!F813))</f>
        <v/>
      </c>
      <c r="G813" s="11">
        <f>IF(GL_RAW!A813="","",TRIM(GL_RAW!G813))</f>
        <v/>
      </c>
      <c r="H813" s="12">
        <f>IF(GL_RAW!A813="","",IFERROR(GL_RAW!E813,0))</f>
        <v/>
      </c>
      <c r="I813" s="12">
        <f>IF(GL_RAW!A813="","",ABS(H813))</f>
        <v/>
      </c>
      <c r="J813" s="11">
        <f>IF(GL_RAW!A813="","",IF(OR(ISNUMBER(SEARCH("Out",F813)),ISNUMBER(SEARCH("11025002",F813)),H813&lt;0),"OUT","IN"))</f>
        <v/>
      </c>
      <c r="K813" s="11" t="inlineStr"/>
    </row>
    <row r="814">
      <c r="A814" s="13">
        <f>IF(GL_RAW!A814="","",ROW()-1)</f>
        <v/>
      </c>
      <c r="B814" s="10">
        <f>IF(GL_RAW!A814="","",IF(ISNUMBER(GL_RAW!A814),GL_RAW!A814,DATEVALUE(TEXT(GL_RAW!A814,"YYYY-MM-DD"))))</f>
        <v/>
      </c>
      <c r="C814" s="11">
        <f>IF(GL_RAW!A814="","",TRIM(GL_RAW!B814))</f>
        <v/>
      </c>
      <c r="D814" s="11">
        <f>IF(GL_RAW!A814="","",TRIM(GL_RAW!C814))</f>
        <v/>
      </c>
      <c r="E814" s="11">
        <f>IF(GL_RAW!A814="","",TRIM(GL_RAW!D814))</f>
        <v/>
      </c>
      <c r="F814" s="11">
        <f>IF(GL_RAW!A814="","",TRIM(GL_RAW!F814))</f>
        <v/>
      </c>
      <c r="G814" s="11">
        <f>IF(GL_RAW!A814="","",TRIM(GL_RAW!G814))</f>
        <v/>
      </c>
      <c r="H814" s="12">
        <f>IF(GL_RAW!A814="","",IFERROR(GL_RAW!E814,0))</f>
        <v/>
      </c>
      <c r="I814" s="12">
        <f>IF(GL_RAW!A814="","",ABS(H814))</f>
        <v/>
      </c>
      <c r="J814" s="11">
        <f>IF(GL_RAW!A814="","",IF(OR(ISNUMBER(SEARCH("Out",F814)),ISNUMBER(SEARCH("11025002",F814)),H814&lt;0),"OUT","IN"))</f>
        <v/>
      </c>
      <c r="K814" s="11" t="inlineStr"/>
    </row>
    <row r="815">
      <c r="A815" s="13">
        <f>IF(GL_RAW!A815="","",ROW()-1)</f>
        <v/>
      </c>
      <c r="B815" s="10">
        <f>IF(GL_RAW!A815="","",IF(ISNUMBER(GL_RAW!A815),GL_RAW!A815,DATEVALUE(TEXT(GL_RAW!A815,"YYYY-MM-DD"))))</f>
        <v/>
      </c>
      <c r="C815" s="11">
        <f>IF(GL_RAW!A815="","",TRIM(GL_RAW!B815))</f>
        <v/>
      </c>
      <c r="D815" s="11">
        <f>IF(GL_RAW!A815="","",TRIM(GL_RAW!C815))</f>
        <v/>
      </c>
      <c r="E815" s="11">
        <f>IF(GL_RAW!A815="","",TRIM(GL_RAW!D815))</f>
        <v/>
      </c>
      <c r="F815" s="11">
        <f>IF(GL_RAW!A815="","",TRIM(GL_RAW!F815))</f>
        <v/>
      </c>
      <c r="G815" s="11">
        <f>IF(GL_RAW!A815="","",TRIM(GL_RAW!G815))</f>
        <v/>
      </c>
      <c r="H815" s="12">
        <f>IF(GL_RAW!A815="","",IFERROR(GL_RAW!E815,0))</f>
        <v/>
      </c>
      <c r="I815" s="12">
        <f>IF(GL_RAW!A815="","",ABS(H815))</f>
        <v/>
      </c>
      <c r="J815" s="11">
        <f>IF(GL_RAW!A815="","",IF(OR(ISNUMBER(SEARCH("Out",F815)),ISNUMBER(SEARCH("11025002",F815)),H815&lt;0),"OUT","IN"))</f>
        <v/>
      </c>
      <c r="K815" s="11" t="inlineStr"/>
    </row>
    <row r="816">
      <c r="A816" s="13">
        <f>IF(GL_RAW!A816="","",ROW()-1)</f>
        <v/>
      </c>
      <c r="B816" s="10">
        <f>IF(GL_RAW!A816="","",IF(ISNUMBER(GL_RAW!A816),GL_RAW!A816,DATEVALUE(TEXT(GL_RAW!A816,"YYYY-MM-DD"))))</f>
        <v/>
      </c>
      <c r="C816" s="11">
        <f>IF(GL_RAW!A816="","",TRIM(GL_RAW!B816))</f>
        <v/>
      </c>
      <c r="D816" s="11">
        <f>IF(GL_RAW!A816="","",TRIM(GL_RAW!C816))</f>
        <v/>
      </c>
      <c r="E816" s="11">
        <f>IF(GL_RAW!A816="","",TRIM(GL_RAW!D816))</f>
        <v/>
      </c>
      <c r="F816" s="11">
        <f>IF(GL_RAW!A816="","",TRIM(GL_RAW!F816))</f>
        <v/>
      </c>
      <c r="G816" s="11">
        <f>IF(GL_RAW!A816="","",TRIM(GL_RAW!G816))</f>
        <v/>
      </c>
      <c r="H816" s="12">
        <f>IF(GL_RAW!A816="","",IFERROR(GL_RAW!E816,0))</f>
        <v/>
      </c>
      <c r="I816" s="12">
        <f>IF(GL_RAW!A816="","",ABS(H816))</f>
        <v/>
      </c>
      <c r="J816" s="11">
        <f>IF(GL_RAW!A816="","",IF(OR(ISNUMBER(SEARCH("Out",F816)),ISNUMBER(SEARCH("11025002",F816)),H816&lt;0),"OUT","IN"))</f>
        <v/>
      </c>
      <c r="K816" s="11" t="inlineStr"/>
    </row>
    <row r="817">
      <c r="A817" s="13">
        <f>IF(GL_RAW!A817="","",ROW()-1)</f>
        <v/>
      </c>
      <c r="B817" s="10">
        <f>IF(GL_RAW!A817="","",IF(ISNUMBER(GL_RAW!A817),GL_RAW!A817,DATEVALUE(TEXT(GL_RAW!A817,"YYYY-MM-DD"))))</f>
        <v/>
      </c>
      <c r="C817" s="11">
        <f>IF(GL_RAW!A817="","",TRIM(GL_RAW!B817))</f>
        <v/>
      </c>
      <c r="D817" s="11">
        <f>IF(GL_RAW!A817="","",TRIM(GL_RAW!C817))</f>
        <v/>
      </c>
      <c r="E817" s="11">
        <f>IF(GL_RAW!A817="","",TRIM(GL_RAW!D817))</f>
        <v/>
      </c>
      <c r="F817" s="11">
        <f>IF(GL_RAW!A817="","",TRIM(GL_RAW!F817))</f>
        <v/>
      </c>
      <c r="G817" s="11">
        <f>IF(GL_RAW!A817="","",TRIM(GL_RAW!G817))</f>
        <v/>
      </c>
      <c r="H817" s="12">
        <f>IF(GL_RAW!A817="","",IFERROR(GL_RAW!E817,0))</f>
        <v/>
      </c>
      <c r="I817" s="12">
        <f>IF(GL_RAW!A817="","",ABS(H817))</f>
        <v/>
      </c>
      <c r="J817" s="11">
        <f>IF(GL_RAW!A817="","",IF(OR(ISNUMBER(SEARCH("Out",F817)),ISNUMBER(SEARCH("11025002",F817)),H817&lt;0),"OUT","IN"))</f>
        <v/>
      </c>
      <c r="K817" s="11" t="inlineStr"/>
    </row>
    <row r="818">
      <c r="A818" s="13">
        <f>IF(GL_RAW!A818="","",ROW()-1)</f>
        <v/>
      </c>
      <c r="B818" s="10">
        <f>IF(GL_RAW!A818="","",IF(ISNUMBER(GL_RAW!A818),GL_RAW!A818,DATEVALUE(TEXT(GL_RAW!A818,"YYYY-MM-DD"))))</f>
        <v/>
      </c>
      <c r="C818" s="11">
        <f>IF(GL_RAW!A818="","",TRIM(GL_RAW!B818))</f>
        <v/>
      </c>
      <c r="D818" s="11">
        <f>IF(GL_RAW!A818="","",TRIM(GL_RAW!C818))</f>
        <v/>
      </c>
      <c r="E818" s="11">
        <f>IF(GL_RAW!A818="","",TRIM(GL_RAW!D818))</f>
        <v/>
      </c>
      <c r="F818" s="11">
        <f>IF(GL_RAW!A818="","",TRIM(GL_RAW!F818))</f>
        <v/>
      </c>
      <c r="G818" s="11">
        <f>IF(GL_RAW!A818="","",TRIM(GL_RAW!G818))</f>
        <v/>
      </c>
      <c r="H818" s="12">
        <f>IF(GL_RAW!A818="","",IFERROR(GL_RAW!E818,0))</f>
        <v/>
      </c>
      <c r="I818" s="12">
        <f>IF(GL_RAW!A818="","",ABS(H818))</f>
        <v/>
      </c>
      <c r="J818" s="11">
        <f>IF(GL_RAW!A818="","",IF(OR(ISNUMBER(SEARCH("Out",F818)),ISNUMBER(SEARCH("11025002",F818)),H818&lt;0),"OUT","IN"))</f>
        <v/>
      </c>
      <c r="K818" s="11" t="inlineStr"/>
    </row>
    <row r="819">
      <c r="A819" s="13">
        <f>IF(GL_RAW!A819="","",ROW()-1)</f>
        <v/>
      </c>
      <c r="B819" s="10">
        <f>IF(GL_RAW!A819="","",IF(ISNUMBER(GL_RAW!A819),GL_RAW!A819,DATEVALUE(TEXT(GL_RAW!A819,"YYYY-MM-DD"))))</f>
        <v/>
      </c>
      <c r="C819" s="11">
        <f>IF(GL_RAW!A819="","",TRIM(GL_RAW!B819))</f>
        <v/>
      </c>
      <c r="D819" s="11">
        <f>IF(GL_RAW!A819="","",TRIM(GL_RAW!C819))</f>
        <v/>
      </c>
      <c r="E819" s="11">
        <f>IF(GL_RAW!A819="","",TRIM(GL_RAW!D819))</f>
        <v/>
      </c>
      <c r="F819" s="11">
        <f>IF(GL_RAW!A819="","",TRIM(GL_RAW!F819))</f>
        <v/>
      </c>
      <c r="G819" s="11">
        <f>IF(GL_RAW!A819="","",TRIM(GL_RAW!G819))</f>
        <v/>
      </c>
      <c r="H819" s="12">
        <f>IF(GL_RAW!A819="","",IFERROR(GL_RAW!E819,0))</f>
        <v/>
      </c>
      <c r="I819" s="12">
        <f>IF(GL_RAW!A819="","",ABS(H819))</f>
        <v/>
      </c>
      <c r="J819" s="11">
        <f>IF(GL_RAW!A819="","",IF(OR(ISNUMBER(SEARCH("Out",F819)),ISNUMBER(SEARCH("11025002",F819)),H819&lt;0),"OUT","IN"))</f>
        <v/>
      </c>
      <c r="K819" s="11" t="inlineStr"/>
    </row>
    <row r="820">
      <c r="A820" s="13">
        <f>IF(GL_RAW!A820="","",ROW()-1)</f>
        <v/>
      </c>
      <c r="B820" s="10">
        <f>IF(GL_RAW!A820="","",IF(ISNUMBER(GL_RAW!A820),GL_RAW!A820,DATEVALUE(TEXT(GL_RAW!A820,"YYYY-MM-DD"))))</f>
        <v/>
      </c>
      <c r="C820" s="11">
        <f>IF(GL_RAW!A820="","",TRIM(GL_RAW!B820))</f>
        <v/>
      </c>
      <c r="D820" s="11">
        <f>IF(GL_RAW!A820="","",TRIM(GL_RAW!C820))</f>
        <v/>
      </c>
      <c r="E820" s="11">
        <f>IF(GL_RAW!A820="","",TRIM(GL_RAW!D820))</f>
        <v/>
      </c>
      <c r="F820" s="11">
        <f>IF(GL_RAW!A820="","",TRIM(GL_RAW!F820))</f>
        <v/>
      </c>
      <c r="G820" s="11">
        <f>IF(GL_RAW!A820="","",TRIM(GL_RAW!G820))</f>
        <v/>
      </c>
      <c r="H820" s="12">
        <f>IF(GL_RAW!A820="","",IFERROR(GL_RAW!E820,0))</f>
        <v/>
      </c>
      <c r="I820" s="12">
        <f>IF(GL_RAW!A820="","",ABS(H820))</f>
        <v/>
      </c>
      <c r="J820" s="11">
        <f>IF(GL_RAW!A820="","",IF(OR(ISNUMBER(SEARCH("Out",F820)),ISNUMBER(SEARCH("11025002",F820)),H820&lt;0),"OUT","IN"))</f>
        <v/>
      </c>
      <c r="K820" s="11" t="inlineStr"/>
    </row>
    <row r="821">
      <c r="A821" s="13">
        <f>IF(GL_RAW!A821="","",ROW()-1)</f>
        <v/>
      </c>
      <c r="B821" s="10">
        <f>IF(GL_RAW!A821="","",IF(ISNUMBER(GL_RAW!A821),GL_RAW!A821,DATEVALUE(TEXT(GL_RAW!A821,"YYYY-MM-DD"))))</f>
        <v/>
      </c>
      <c r="C821" s="11">
        <f>IF(GL_RAW!A821="","",TRIM(GL_RAW!B821))</f>
        <v/>
      </c>
      <c r="D821" s="11">
        <f>IF(GL_RAW!A821="","",TRIM(GL_RAW!C821))</f>
        <v/>
      </c>
      <c r="E821" s="11">
        <f>IF(GL_RAW!A821="","",TRIM(GL_RAW!D821))</f>
        <v/>
      </c>
      <c r="F821" s="11">
        <f>IF(GL_RAW!A821="","",TRIM(GL_RAW!F821))</f>
        <v/>
      </c>
      <c r="G821" s="11">
        <f>IF(GL_RAW!A821="","",TRIM(GL_RAW!G821))</f>
        <v/>
      </c>
      <c r="H821" s="12">
        <f>IF(GL_RAW!A821="","",IFERROR(GL_RAW!E821,0))</f>
        <v/>
      </c>
      <c r="I821" s="12">
        <f>IF(GL_RAW!A821="","",ABS(H821))</f>
        <v/>
      </c>
      <c r="J821" s="11">
        <f>IF(GL_RAW!A821="","",IF(OR(ISNUMBER(SEARCH("Out",F821)),ISNUMBER(SEARCH("11025002",F821)),H821&lt;0),"OUT","IN"))</f>
        <v/>
      </c>
      <c r="K821" s="11" t="inlineStr"/>
    </row>
    <row r="822">
      <c r="A822" s="13">
        <f>IF(GL_RAW!A822="","",ROW()-1)</f>
        <v/>
      </c>
      <c r="B822" s="10">
        <f>IF(GL_RAW!A822="","",IF(ISNUMBER(GL_RAW!A822),GL_RAW!A822,DATEVALUE(TEXT(GL_RAW!A822,"YYYY-MM-DD"))))</f>
        <v/>
      </c>
      <c r="C822" s="11">
        <f>IF(GL_RAW!A822="","",TRIM(GL_RAW!B822))</f>
        <v/>
      </c>
      <c r="D822" s="11">
        <f>IF(GL_RAW!A822="","",TRIM(GL_RAW!C822))</f>
        <v/>
      </c>
      <c r="E822" s="11">
        <f>IF(GL_RAW!A822="","",TRIM(GL_RAW!D822))</f>
        <v/>
      </c>
      <c r="F822" s="11">
        <f>IF(GL_RAW!A822="","",TRIM(GL_RAW!F822))</f>
        <v/>
      </c>
      <c r="G822" s="11">
        <f>IF(GL_RAW!A822="","",TRIM(GL_RAW!G822))</f>
        <v/>
      </c>
      <c r="H822" s="12">
        <f>IF(GL_RAW!A822="","",IFERROR(GL_RAW!E822,0))</f>
        <v/>
      </c>
      <c r="I822" s="12">
        <f>IF(GL_RAW!A822="","",ABS(H822))</f>
        <v/>
      </c>
      <c r="J822" s="11">
        <f>IF(GL_RAW!A822="","",IF(OR(ISNUMBER(SEARCH("Out",F822)),ISNUMBER(SEARCH("11025002",F822)),H822&lt;0),"OUT","IN"))</f>
        <v/>
      </c>
      <c r="K822" s="11" t="inlineStr"/>
    </row>
    <row r="823">
      <c r="A823" s="13">
        <f>IF(GL_RAW!A823="","",ROW()-1)</f>
        <v/>
      </c>
      <c r="B823" s="10">
        <f>IF(GL_RAW!A823="","",IF(ISNUMBER(GL_RAW!A823),GL_RAW!A823,DATEVALUE(TEXT(GL_RAW!A823,"YYYY-MM-DD"))))</f>
        <v/>
      </c>
      <c r="C823" s="11">
        <f>IF(GL_RAW!A823="","",TRIM(GL_RAW!B823))</f>
        <v/>
      </c>
      <c r="D823" s="11">
        <f>IF(GL_RAW!A823="","",TRIM(GL_RAW!C823))</f>
        <v/>
      </c>
      <c r="E823" s="11">
        <f>IF(GL_RAW!A823="","",TRIM(GL_RAW!D823))</f>
        <v/>
      </c>
      <c r="F823" s="11">
        <f>IF(GL_RAW!A823="","",TRIM(GL_RAW!F823))</f>
        <v/>
      </c>
      <c r="G823" s="11">
        <f>IF(GL_RAW!A823="","",TRIM(GL_RAW!G823))</f>
        <v/>
      </c>
      <c r="H823" s="12">
        <f>IF(GL_RAW!A823="","",IFERROR(GL_RAW!E823,0))</f>
        <v/>
      </c>
      <c r="I823" s="12">
        <f>IF(GL_RAW!A823="","",ABS(H823))</f>
        <v/>
      </c>
      <c r="J823" s="11">
        <f>IF(GL_RAW!A823="","",IF(OR(ISNUMBER(SEARCH("Out",F823)),ISNUMBER(SEARCH("11025002",F823)),H823&lt;0),"OUT","IN"))</f>
        <v/>
      </c>
      <c r="K823" s="11" t="inlineStr"/>
    </row>
    <row r="824">
      <c r="A824" s="13">
        <f>IF(GL_RAW!A824="","",ROW()-1)</f>
        <v/>
      </c>
      <c r="B824" s="10">
        <f>IF(GL_RAW!A824="","",IF(ISNUMBER(GL_RAW!A824),GL_RAW!A824,DATEVALUE(TEXT(GL_RAW!A824,"YYYY-MM-DD"))))</f>
        <v/>
      </c>
      <c r="C824" s="11">
        <f>IF(GL_RAW!A824="","",TRIM(GL_RAW!B824))</f>
        <v/>
      </c>
      <c r="D824" s="11">
        <f>IF(GL_RAW!A824="","",TRIM(GL_RAW!C824))</f>
        <v/>
      </c>
      <c r="E824" s="11">
        <f>IF(GL_RAW!A824="","",TRIM(GL_RAW!D824))</f>
        <v/>
      </c>
      <c r="F824" s="11">
        <f>IF(GL_RAW!A824="","",TRIM(GL_RAW!F824))</f>
        <v/>
      </c>
      <c r="G824" s="11">
        <f>IF(GL_RAW!A824="","",TRIM(GL_RAW!G824))</f>
        <v/>
      </c>
      <c r="H824" s="12">
        <f>IF(GL_RAW!A824="","",IFERROR(GL_RAW!E824,0))</f>
        <v/>
      </c>
      <c r="I824" s="12">
        <f>IF(GL_RAW!A824="","",ABS(H824))</f>
        <v/>
      </c>
      <c r="J824" s="11">
        <f>IF(GL_RAW!A824="","",IF(OR(ISNUMBER(SEARCH("Out",F824)),ISNUMBER(SEARCH("11025002",F824)),H824&lt;0),"OUT","IN"))</f>
        <v/>
      </c>
      <c r="K824" s="11" t="inlineStr"/>
    </row>
    <row r="825">
      <c r="A825" s="13">
        <f>IF(GL_RAW!A825="","",ROW()-1)</f>
        <v/>
      </c>
      <c r="B825" s="10">
        <f>IF(GL_RAW!A825="","",IF(ISNUMBER(GL_RAW!A825),GL_RAW!A825,DATEVALUE(TEXT(GL_RAW!A825,"YYYY-MM-DD"))))</f>
        <v/>
      </c>
      <c r="C825" s="11">
        <f>IF(GL_RAW!A825="","",TRIM(GL_RAW!B825))</f>
        <v/>
      </c>
      <c r="D825" s="11">
        <f>IF(GL_RAW!A825="","",TRIM(GL_RAW!C825))</f>
        <v/>
      </c>
      <c r="E825" s="11">
        <f>IF(GL_RAW!A825="","",TRIM(GL_RAW!D825))</f>
        <v/>
      </c>
      <c r="F825" s="11">
        <f>IF(GL_RAW!A825="","",TRIM(GL_RAW!F825))</f>
        <v/>
      </c>
      <c r="G825" s="11">
        <f>IF(GL_RAW!A825="","",TRIM(GL_RAW!G825))</f>
        <v/>
      </c>
      <c r="H825" s="12">
        <f>IF(GL_RAW!A825="","",IFERROR(GL_RAW!E825,0))</f>
        <v/>
      </c>
      <c r="I825" s="12">
        <f>IF(GL_RAW!A825="","",ABS(H825))</f>
        <v/>
      </c>
      <c r="J825" s="11">
        <f>IF(GL_RAW!A825="","",IF(OR(ISNUMBER(SEARCH("Out",F825)),ISNUMBER(SEARCH("11025002",F825)),H825&lt;0),"OUT","IN"))</f>
        <v/>
      </c>
      <c r="K825" s="11" t="inlineStr"/>
    </row>
    <row r="826">
      <c r="A826" s="13">
        <f>IF(GL_RAW!A826="","",ROW()-1)</f>
        <v/>
      </c>
      <c r="B826" s="10">
        <f>IF(GL_RAW!A826="","",IF(ISNUMBER(GL_RAW!A826),GL_RAW!A826,DATEVALUE(TEXT(GL_RAW!A826,"YYYY-MM-DD"))))</f>
        <v/>
      </c>
      <c r="C826" s="11">
        <f>IF(GL_RAW!A826="","",TRIM(GL_RAW!B826))</f>
        <v/>
      </c>
      <c r="D826" s="11">
        <f>IF(GL_RAW!A826="","",TRIM(GL_RAW!C826))</f>
        <v/>
      </c>
      <c r="E826" s="11">
        <f>IF(GL_RAW!A826="","",TRIM(GL_RAW!D826))</f>
        <v/>
      </c>
      <c r="F826" s="11">
        <f>IF(GL_RAW!A826="","",TRIM(GL_RAW!F826))</f>
        <v/>
      </c>
      <c r="G826" s="11">
        <f>IF(GL_RAW!A826="","",TRIM(GL_RAW!G826))</f>
        <v/>
      </c>
      <c r="H826" s="12">
        <f>IF(GL_RAW!A826="","",IFERROR(GL_RAW!E826,0))</f>
        <v/>
      </c>
      <c r="I826" s="12">
        <f>IF(GL_RAW!A826="","",ABS(H826))</f>
        <v/>
      </c>
      <c r="J826" s="11">
        <f>IF(GL_RAW!A826="","",IF(OR(ISNUMBER(SEARCH("Out",F826)),ISNUMBER(SEARCH("11025002",F826)),H826&lt;0),"OUT","IN"))</f>
        <v/>
      </c>
      <c r="K826" s="11" t="inlineStr"/>
    </row>
    <row r="827">
      <c r="A827" s="13">
        <f>IF(GL_RAW!A827="","",ROW()-1)</f>
        <v/>
      </c>
      <c r="B827" s="10">
        <f>IF(GL_RAW!A827="","",IF(ISNUMBER(GL_RAW!A827),GL_RAW!A827,DATEVALUE(TEXT(GL_RAW!A827,"YYYY-MM-DD"))))</f>
        <v/>
      </c>
      <c r="C827" s="11">
        <f>IF(GL_RAW!A827="","",TRIM(GL_RAW!B827))</f>
        <v/>
      </c>
      <c r="D827" s="11">
        <f>IF(GL_RAW!A827="","",TRIM(GL_RAW!C827))</f>
        <v/>
      </c>
      <c r="E827" s="11">
        <f>IF(GL_RAW!A827="","",TRIM(GL_RAW!D827))</f>
        <v/>
      </c>
      <c r="F827" s="11">
        <f>IF(GL_RAW!A827="","",TRIM(GL_RAW!F827))</f>
        <v/>
      </c>
      <c r="G827" s="11">
        <f>IF(GL_RAW!A827="","",TRIM(GL_RAW!G827))</f>
        <v/>
      </c>
      <c r="H827" s="12">
        <f>IF(GL_RAW!A827="","",IFERROR(GL_RAW!E827,0))</f>
        <v/>
      </c>
      <c r="I827" s="12">
        <f>IF(GL_RAW!A827="","",ABS(H827))</f>
        <v/>
      </c>
      <c r="J827" s="11">
        <f>IF(GL_RAW!A827="","",IF(OR(ISNUMBER(SEARCH("Out",F827)),ISNUMBER(SEARCH("11025002",F827)),H827&lt;0),"OUT","IN"))</f>
        <v/>
      </c>
      <c r="K827" s="11" t="inlineStr"/>
    </row>
    <row r="828">
      <c r="A828" s="13">
        <f>IF(GL_RAW!A828="","",ROW()-1)</f>
        <v/>
      </c>
      <c r="B828" s="10">
        <f>IF(GL_RAW!A828="","",IF(ISNUMBER(GL_RAW!A828),GL_RAW!A828,DATEVALUE(TEXT(GL_RAW!A828,"YYYY-MM-DD"))))</f>
        <v/>
      </c>
      <c r="C828" s="11">
        <f>IF(GL_RAW!A828="","",TRIM(GL_RAW!B828))</f>
        <v/>
      </c>
      <c r="D828" s="11">
        <f>IF(GL_RAW!A828="","",TRIM(GL_RAW!C828))</f>
        <v/>
      </c>
      <c r="E828" s="11">
        <f>IF(GL_RAW!A828="","",TRIM(GL_RAW!D828))</f>
        <v/>
      </c>
      <c r="F828" s="11">
        <f>IF(GL_RAW!A828="","",TRIM(GL_RAW!F828))</f>
        <v/>
      </c>
      <c r="G828" s="11">
        <f>IF(GL_RAW!A828="","",TRIM(GL_RAW!G828))</f>
        <v/>
      </c>
      <c r="H828" s="12">
        <f>IF(GL_RAW!A828="","",IFERROR(GL_RAW!E828,0))</f>
        <v/>
      </c>
      <c r="I828" s="12">
        <f>IF(GL_RAW!A828="","",ABS(H828))</f>
        <v/>
      </c>
      <c r="J828" s="11">
        <f>IF(GL_RAW!A828="","",IF(OR(ISNUMBER(SEARCH("Out",F828)),ISNUMBER(SEARCH("11025002",F828)),H828&lt;0),"OUT","IN"))</f>
        <v/>
      </c>
      <c r="K828" s="11" t="inlineStr"/>
    </row>
    <row r="829">
      <c r="A829" s="13">
        <f>IF(GL_RAW!A829="","",ROW()-1)</f>
        <v/>
      </c>
      <c r="B829" s="10">
        <f>IF(GL_RAW!A829="","",IF(ISNUMBER(GL_RAW!A829),GL_RAW!A829,DATEVALUE(TEXT(GL_RAW!A829,"YYYY-MM-DD"))))</f>
        <v/>
      </c>
      <c r="C829" s="11">
        <f>IF(GL_RAW!A829="","",TRIM(GL_RAW!B829))</f>
        <v/>
      </c>
      <c r="D829" s="11">
        <f>IF(GL_RAW!A829="","",TRIM(GL_RAW!C829))</f>
        <v/>
      </c>
      <c r="E829" s="11">
        <f>IF(GL_RAW!A829="","",TRIM(GL_RAW!D829))</f>
        <v/>
      </c>
      <c r="F829" s="11">
        <f>IF(GL_RAW!A829="","",TRIM(GL_RAW!F829))</f>
        <v/>
      </c>
      <c r="G829" s="11">
        <f>IF(GL_RAW!A829="","",TRIM(GL_RAW!G829))</f>
        <v/>
      </c>
      <c r="H829" s="12">
        <f>IF(GL_RAW!A829="","",IFERROR(GL_RAW!E829,0))</f>
        <v/>
      </c>
      <c r="I829" s="12">
        <f>IF(GL_RAW!A829="","",ABS(H829))</f>
        <v/>
      </c>
      <c r="J829" s="11">
        <f>IF(GL_RAW!A829="","",IF(OR(ISNUMBER(SEARCH("Out",F829)),ISNUMBER(SEARCH("11025002",F829)),H829&lt;0),"OUT","IN"))</f>
        <v/>
      </c>
      <c r="K829" s="11" t="inlineStr"/>
    </row>
    <row r="830">
      <c r="A830" s="13">
        <f>IF(GL_RAW!A830="","",ROW()-1)</f>
        <v/>
      </c>
      <c r="B830" s="10">
        <f>IF(GL_RAW!A830="","",IF(ISNUMBER(GL_RAW!A830),GL_RAW!A830,DATEVALUE(TEXT(GL_RAW!A830,"YYYY-MM-DD"))))</f>
        <v/>
      </c>
      <c r="C830" s="11">
        <f>IF(GL_RAW!A830="","",TRIM(GL_RAW!B830))</f>
        <v/>
      </c>
      <c r="D830" s="11">
        <f>IF(GL_RAW!A830="","",TRIM(GL_RAW!C830))</f>
        <v/>
      </c>
      <c r="E830" s="11">
        <f>IF(GL_RAW!A830="","",TRIM(GL_RAW!D830))</f>
        <v/>
      </c>
      <c r="F830" s="11">
        <f>IF(GL_RAW!A830="","",TRIM(GL_RAW!F830))</f>
        <v/>
      </c>
      <c r="G830" s="11">
        <f>IF(GL_RAW!A830="","",TRIM(GL_RAW!G830))</f>
        <v/>
      </c>
      <c r="H830" s="12">
        <f>IF(GL_RAW!A830="","",IFERROR(GL_RAW!E830,0))</f>
        <v/>
      </c>
      <c r="I830" s="12">
        <f>IF(GL_RAW!A830="","",ABS(H830))</f>
        <v/>
      </c>
      <c r="J830" s="11">
        <f>IF(GL_RAW!A830="","",IF(OR(ISNUMBER(SEARCH("Out",F830)),ISNUMBER(SEARCH("11025002",F830)),H830&lt;0),"OUT","IN"))</f>
        <v/>
      </c>
      <c r="K830" s="11" t="inlineStr"/>
    </row>
    <row r="831">
      <c r="A831" s="13">
        <f>IF(GL_RAW!A831="","",ROW()-1)</f>
        <v/>
      </c>
      <c r="B831" s="10">
        <f>IF(GL_RAW!A831="","",IF(ISNUMBER(GL_RAW!A831),GL_RAW!A831,DATEVALUE(TEXT(GL_RAW!A831,"YYYY-MM-DD"))))</f>
        <v/>
      </c>
      <c r="C831" s="11">
        <f>IF(GL_RAW!A831="","",TRIM(GL_RAW!B831))</f>
        <v/>
      </c>
      <c r="D831" s="11">
        <f>IF(GL_RAW!A831="","",TRIM(GL_RAW!C831))</f>
        <v/>
      </c>
      <c r="E831" s="11">
        <f>IF(GL_RAW!A831="","",TRIM(GL_RAW!D831))</f>
        <v/>
      </c>
      <c r="F831" s="11">
        <f>IF(GL_RAW!A831="","",TRIM(GL_RAW!F831))</f>
        <v/>
      </c>
      <c r="G831" s="11">
        <f>IF(GL_RAW!A831="","",TRIM(GL_RAW!G831))</f>
        <v/>
      </c>
      <c r="H831" s="12">
        <f>IF(GL_RAW!A831="","",IFERROR(GL_RAW!E831,0))</f>
        <v/>
      </c>
      <c r="I831" s="12">
        <f>IF(GL_RAW!A831="","",ABS(H831))</f>
        <v/>
      </c>
      <c r="J831" s="11">
        <f>IF(GL_RAW!A831="","",IF(OR(ISNUMBER(SEARCH("Out",F831)),ISNUMBER(SEARCH("11025002",F831)),H831&lt;0),"OUT","IN"))</f>
        <v/>
      </c>
      <c r="K831" s="11" t="inlineStr"/>
    </row>
    <row r="832">
      <c r="A832" s="13">
        <f>IF(GL_RAW!A832="","",ROW()-1)</f>
        <v/>
      </c>
      <c r="B832" s="10">
        <f>IF(GL_RAW!A832="","",IF(ISNUMBER(GL_RAW!A832),GL_RAW!A832,DATEVALUE(TEXT(GL_RAW!A832,"YYYY-MM-DD"))))</f>
        <v/>
      </c>
      <c r="C832" s="11">
        <f>IF(GL_RAW!A832="","",TRIM(GL_RAW!B832))</f>
        <v/>
      </c>
      <c r="D832" s="11">
        <f>IF(GL_RAW!A832="","",TRIM(GL_RAW!C832))</f>
        <v/>
      </c>
      <c r="E832" s="11">
        <f>IF(GL_RAW!A832="","",TRIM(GL_RAW!D832))</f>
        <v/>
      </c>
      <c r="F832" s="11">
        <f>IF(GL_RAW!A832="","",TRIM(GL_RAW!F832))</f>
        <v/>
      </c>
      <c r="G832" s="11">
        <f>IF(GL_RAW!A832="","",TRIM(GL_RAW!G832))</f>
        <v/>
      </c>
      <c r="H832" s="12">
        <f>IF(GL_RAW!A832="","",IFERROR(GL_RAW!E832,0))</f>
        <v/>
      </c>
      <c r="I832" s="12">
        <f>IF(GL_RAW!A832="","",ABS(H832))</f>
        <v/>
      </c>
      <c r="J832" s="11">
        <f>IF(GL_RAW!A832="","",IF(OR(ISNUMBER(SEARCH("Out",F832)),ISNUMBER(SEARCH("11025002",F832)),H832&lt;0),"OUT","IN"))</f>
        <v/>
      </c>
      <c r="K832" s="11" t="inlineStr"/>
    </row>
    <row r="833">
      <c r="A833" s="13">
        <f>IF(GL_RAW!A833="","",ROW()-1)</f>
        <v/>
      </c>
      <c r="B833" s="10">
        <f>IF(GL_RAW!A833="","",IF(ISNUMBER(GL_RAW!A833),GL_RAW!A833,DATEVALUE(TEXT(GL_RAW!A833,"YYYY-MM-DD"))))</f>
        <v/>
      </c>
      <c r="C833" s="11">
        <f>IF(GL_RAW!A833="","",TRIM(GL_RAW!B833))</f>
        <v/>
      </c>
      <c r="D833" s="11">
        <f>IF(GL_RAW!A833="","",TRIM(GL_RAW!C833))</f>
        <v/>
      </c>
      <c r="E833" s="11">
        <f>IF(GL_RAW!A833="","",TRIM(GL_RAW!D833))</f>
        <v/>
      </c>
      <c r="F833" s="11">
        <f>IF(GL_RAW!A833="","",TRIM(GL_RAW!F833))</f>
        <v/>
      </c>
      <c r="G833" s="11">
        <f>IF(GL_RAW!A833="","",TRIM(GL_RAW!G833))</f>
        <v/>
      </c>
      <c r="H833" s="12">
        <f>IF(GL_RAW!A833="","",IFERROR(GL_RAW!E833,0))</f>
        <v/>
      </c>
      <c r="I833" s="12">
        <f>IF(GL_RAW!A833="","",ABS(H833))</f>
        <v/>
      </c>
      <c r="J833" s="11">
        <f>IF(GL_RAW!A833="","",IF(OR(ISNUMBER(SEARCH("Out",F833)),ISNUMBER(SEARCH("11025002",F833)),H833&lt;0),"OUT","IN"))</f>
        <v/>
      </c>
      <c r="K833" s="11" t="inlineStr"/>
    </row>
    <row r="834">
      <c r="A834" s="13">
        <f>IF(GL_RAW!A834="","",ROW()-1)</f>
        <v/>
      </c>
      <c r="B834" s="10">
        <f>IF(GL_RAW!A834="","",IF(ISNUMBER(GL_RAW!A834),GL_RAW!A834,DATEVALUE(TEXT(GL_RAW!A834,"YYYY-MM-DD"))))</f>
        <v/>
      </c>
      <c r="C834" s="11">
        <f>IF(GL_RAW!A834="","",TRIM(GL_RAW!B834))</f>
        <v/>
      </c>
      <c r="D834" s="11">
        <f>IF(GL_RAW!A834="","",TRIM(GL_RAW!C834))</f>
        <v/>
      </c>
      <c r="E834" s="11">
        <f>IF(GL_RAW!A834="","",TRIM(GL_RAW!D834))</f>
        <v/>
      </c>
      <c r="F834" s="11">
        <f>IF(GL_RAW!A834="","",TRIM(GL_RAW!F834))</f>
        <v/>
      </c>
      <c r="G834" s="11">
        <f>IF(GL_RAW!A834="","",TRIM(GL_RAW!G834))</f>
        <v/>
      </c>
      <c r="H834" s="12">
        <f>IF(GL_RAW!A834="","",IFERROR(GL_RAW!E834,0))</f>
        <v/>
      </c>
      <c r="I834" s="12">
        <f>IF(GL_RAW!A834="","",ABS(H834))</f>
        <v/>
      </c>
      <c r="J834" s="11">
        <f>IF(GL_RAW!A834="","",IF(OR(ISNUMBER(SEARCH("Out",F834)),ISNUMBER(SEARCH("11025002",F834)),H834&lt;0),"OUT","IN"))</f>
        <v/>
      </c>
      <c r="K834" s="11" t="inlineStr"/>
    </row>
    <row r="835">
      <c r="A835" s="13">
        <f>IF(GL_RAW!A835="","",ROW()-1)</f>
        <v/>
      </c>
      <c r="B835" s="10">
        <f>IF(GL_RAW!A835="","",IF(ISNUMBER(GL_RAW!A835),GL_RAW!A835,DATEVALUE(TEXT(GL_RAW!A835,"YYYY-MM-DD"))))</f>
        <v/>
      </c>
      <c r="C835" s="11">
        <f>IF(GL_RAW!A835="","",TRIM(GL_RAW!B835))</f>
        <v/>
      </c>
      <c r="D835" s="11">
        <f>IF(GL_RAW!A835="","",TRIM(GL_RAW!C835))</f>
        <v/>
      </c>
      <c r="E835" s="11">
        <f>IF(GL_RAW!A835="","",TRIM(GL_RAW!D835))</f>
        <v/>
      </c>
      <c r="F835" s="11">
        <f>IF(GL_RAW!A835="","",TRIM(GL_RAW!F835))</f>
        <v/>
      </c>
      <c r="G835" s="11">
        <f>IF(GL_RAW!A835="","",TRIM(GL_RAW!G835))</f>
        <v/>
      </c>
      <c r="H835" s="12">
        <f>IF(GL_RAW!A835="","",IFERROR(GL_RAW!E835,0))</f>
        <v/>
      </c>
      <c r="I835" s="12">
        <f>IF(GL_RAW!A835="","",ABS(H835))</f>
        <v/>
      </c>
      <c r="J835" s="11">
        <f>IF(GL_RAW!A835="","",IF(OR(ISNUMBER(SEARCH("Out",F835)),ISNUMBER(SEARCH("11025002",F835)),H835&lt;0),"OUT","IN"))</f>
        <v/>
      </c>
      <c r="K835" s="11" t="inlineStr"/>
    </row>
    <row r="836">
      <c r="A836" s="13">
        <f>IF(GL_RAW!A836="","",ROW()-1)</f>
        <v/>
      </c>
      <c r="B836" s="10">
        <f>IF(GL_RAW!A836="","",IF(ISNUMBER(GL_RAW!A836),GL_RAW!A836,DATEVALUE(TEXT(GL_RAW!A836,"YYYY-MM-DD"))))</f>
        <v/>
      </c>
      <c r="C836" s="11">
        <f>IF(GL_RAW!A836="","",TRIM(GL_RAW!B836))</f>
        <v/>
      </c>
      <c r="D836" s="11">
        <f>IF(GL_RAW!A836="","",TRIM(GL_RAW!C836))</f>
        <v/>
      </c>
      <c r="E836" s="11">
        <f>IF(GL_RAW!A836="","",TRIM(GL_RAW!D836))</f>
        <v/>
      </c>
      <c r="F836" s="11">
        <f>IF(GL_RAW!A836="","",TRIM(GL_RAW!F836))</f>
        <v/>
      </c>
      <c r="G836" s="11">
        <f>IF(GL_RAW!A836="","",TRIM(GL_RAW!G836))</f>
        <v/>
      </c>
      <c r="H836" s="12">
        <f>IF(GL_RAW!A836="","",IFERROR(GL_RAW!E836,0))</f>
        <v/>
      </c>
      <c r="I836" s="12">
        <f>IF(GL_RAW!A836="","",ABS(H836))</f>
        <v/>
      </c>
      <c r="J836" s="11">
        <f>IF(GL_RAW!A836="","",IF(OR(ISNUMBER(SEARCH("Out",F836)),ISNUMBER(SEARCH("11025002",F836)),H836&lt;0),"OUT","IN"))</f>
        <v/>
      </c>
      <c r="K836" s="11" t="inlineStr"/>
    </row>
    <row r="837">
      <c r="A837" s="13">
        <f>IF(GL_RAW!A837="","",ROW()-1)</f>
        <v/>
      </c>
      <c r="B837" s="10">
        <f>IF(GL_RAW!A837="","",IF(ISNUMBER(GL_RAW!A837),GL_RAW!A837,DATEVALUE(TEXT(GL_RAW!A837,"YYYY-MM-DD"))))</f>
        <v/>
      </c>
      <c r="C837" s="11">
        <f>IF(GL_RAW!A837="","",TRIM(GL_RAW!B837))</f>
        <v/>
      </c>
      <c r="D837" s="11">
        <f>IF(GL_RAW!A837="","",TRIM(GL_RAW!C837))</f>
        <v/>
      </c>
      <c r="E837" s="11">
        <f>IF(GL_RAW!A837="","",TRIM(GL_RAW!D837))</f>
        <v/>
      </c>
      <c r="F837" s="11">
        <f>IF(GL_RAW!A837="","",TRIM(GL_RAW!F837))</f>
        <v/>
      </c>
      <c r="G837" s="11">
        <f>IF(GL_RAW!A837="","",TRIM(GL_RAW!G837))</f>
        <v/>
      </c>
      <c r="H837" s="12">
        <f>IF(GL_RAW!A837="","",IFERROR(GL_RAW!E837,0))</f>
        <v/>
      </c>
      <c r="I837" s="12">
        <f>IF(GL_RAW!A837="","",ABS(H837))</f>
        <v/>
      </c>
      <c r="J837" s="11">
        <f>IF(GL_RAW!A837="","",IF(OR(ISNUMBER(SEARCH("Out",F837)),ISNUMBER(SEARCH("11025002",F837)),H837&lt;0),"OUT","IN"))</f>
        <v/>
      </c>
      <c r="K837" s="11" t="inlineStr"/>
    </row>
    <row r="838">
      <c r="A838" s="13">
        <f>IF(GL_RAW!A838="","",ROW()-1)</f>
        <v/>
      </c>
      <c r="B838" s="10">
        <f>IF(GL_RAW!A838="","",IF(ISNUMBER(GL_RAW!A838),GL_RAW!A838,DATEVALUE(TEXT(GL_RAW!A838,"YYYY-MM-DD"))))</f>
        <v/>
      </c>
      <c r="C838" s="11">
        <f>IF(GL_RAW!A838="","",TRIM(GL_RAW!B838))</f>
        <v/>
      </c>
      <c r="D838" s="11">
        <f>IF(GL_RAW!A838="","",TRIM(GL_RAW!C838))</f>
        <v/>
      </c>
      <c r="E838" s="11">
        <f>IF(GL_RAW!A838="","",TRIM(GL_RAW!D838))</f>
        <v/>
      </c>
      <c r="F838" s="11">
        <f>IF(GL_RAW!A838="","",TRIM(GL_RAW!F838))</f>
        <v/>
      </c>
      <c r="G838" s="11">
        <f>IF(GL_RAW!A838="","",TRIM(GL_RAW!G838))</f>
        <v/>
      </c>
      <c r="H838" s="12">
        <f>IF(GL_RAW!A838="","",IFERROR(GL_RAW!E838,0))</f>
        <v/>
      </c>
      <c r="I838" s="12">
        <f>IF(GL_RAW!A838="","",ABS(H838))</f>
        <v/>
      </c>
      <c r="J838" s="11">
        <f>IF(GL_RAW!A838="","",IF(OR(ISNUMBER(SEARCH("Out",F838)),ISNUMBER(SEARCH("11025002",F838)),H838&lt;0),"OUT","IN"))</f>
        <v/>
      </c>
      <c r="K838" s="11" t="inlineStr"/>
    </row>
    <row r="839">
      <c r="A839" s="13">
        <f>IF(GL_RAW!A839="","",ROW()-1)</f>
        <v/>
      </c>
      <c r="B839" s="10">
        <f>IF(GL_RAW!A839="","",IF(ISNUMBER(GL_RAW!A839),GL_RAW!A839,DATEVALUE(TEXT(GL_RAW!A839,"YYYY-MM-DD"))))</f>
        <v/>
      </c>
      <c r="C839" s="11">
        <f>IF(GL_RAW!A839="","",TRIM(GL_RAW!B839))</f>
        <v/>
      </c>
      <c r="D839" s="11">
        <f>IF(GL_RAW!A839="","",TRIM(GL_RAW!C839))</f>
        <v/>
      </c>
      <c r="E839" s="11">
        <f>IF(GL_RAW!A839="","",TRIM(GL_RAW!D839))</f>
        <v/>
      </c>
      <c r="F839" s="11">
        <f>IF(GL_RAW!A839="","",TRIM(GL_RAW!F839))</f>
        <v/>
      </c>
      <c r="G839" s="11">
        <f>IF(GL_RAW!A839="","",TRIM(GL_RAW!G839))</f>
        <v/>
      </c>
      <c r="H839" s="12">
        <f>IF(GL_RAW!A839="","",IFERROR(GL_RAW!E839,0))</f>
        <v/>
      </c>
      <c r="I839" s="12">
        <f>IF(GL_RAW!A839="","",ABS(H839))</f>
        <v/>
      </c>
      <c r="J839" s="11">
        <f>IF(GL_RAW!A839="","",IF(OR(ISNUMBER(SEARCH("Out",F839)),ISNUMBER(SEARCH("11025002",F839)),H839&lt;0),"OUT","IN"))</f>
        <v/>
      </c>
      <c r="K839" s="11" t="inlineStr"/>
    </row>
    <row r="840">
      <c r="A840" s="13">
        <f>IF(GL_RAW!A840="","",ROW()-1)</f>
        <v/>
      </c>
      <c r="B840" s="10">
        <f>IF(GL_RAW!A840="","",IF(ISNUMBER(GL_RAW!A840),GL_RAW!A840,DATEVALUE(TEXT(GL_RAW!A840,"YYYY-MM-DD"))))</f>
        <v/>
      </c>
      <c r="C840" s="11">
        <f>IF(GL_RAW!A840="","",TRIM(GL_RAW!B840))</f>
        <v/>
      </c>
      <c r="D840" s="11">
        <f>IF(GL_RAW!A840="","",TRIM(GL_RAW!C840))</f>
        <v/>
      </c>
      <c r="E840" s="11">
        <f>IF(GL_RAW!A840="","",TRIM(GL_RAW!D840))</f>
        <v/>
      </c>
      <c r="F840" s="11">
        <f>IF(GL_RAW!A840="","",TRIM(GL_RAW!F840))</f>
        <v/>
      </c>
      <c r="G840" s="11">
        <f>IF(GL_RAW!A840="","",TRIM(GL_RAW!G840))</f>
        <v/>
      </c>
      <c r="H840" s="12">
        <f>IF(GL_RAW!A840="","",IFERROR(GL_RAW!E840,0))</f>
        <v/>
      </c>
      <c r="I840" s="12">
        <f>IF(GL_RAW!A840="","",ABS(H840))</f>
        <v/>
      </c>
      <c r="J840" s="11">
        <f>IF(GL_RAW!A840="","",IF(OR(ISNUMBER(SEARCH("Out",F840)),ISNUMBER(SEARCH("11025002",F840)),H840&lt;0),"OUT","IN"))</f>
        <v/>
      </c>
      <c r="K840" s="11" t="inlineStr"/>
    </row>
    <row r="841">
      <c r="A841" s="13">
        <f>IF(GL_RAW!A841="","",ROW()-1)</f>
        <v/>
      </c>
      <c r="B841" s="10">
        <f>IF(GL_RAW!A841="","",IF(ISNUMBER(GL_RAW!A841),GL_RAW!A841,DATEVALUE(TEXT(GL_RAW!A841,"YYYY-MM-DD"))))</f>
        <v/>
      </c>
      <c r="C841" s="11">
        <f>IF(GL_RAW!A841="","",TRIM(GL_RAW!B841))</f>
        <v/>
      </c>
      <c r="D841" s="11">
        <f>IF(GL_RAW!A841="","",TRIM(GL_RAW!C841))</f>
        <v/>
      </c>
      <c r="E841" s="11">
        <f>IF(GL_RAW!A841="","",TRIM(GL_RAW!D841))</f>
        <v/>
      </c>
      <c r="F841" s="11">
        <f>IF(GL_RAW!A841="","",TRIM(GL_RAW!F841))</f>
        <v/>
      </c>
      <c r="G841" s="11">
        <f>IF(GL_RAW!A841="","",TRIM(GL_RAW!G841))</f>
        <v/>
      </c>
      <c r="H841" s="12">
        <f>IF(GL_RAW!A841="","",IFERROR(GL_RAW!E841,0))</f>
        <v/>
      </c>
      <c r="I841" s="12">
        <f>IF(GL_RAW!A841="","",ABS(H841))</f>
        <v/>
      </c>
      <c r="J841" s="11">
        <f>IF(GL_RAW!A841="","",IF(OR(ISNUMBER(SEARCH("Out",F841)),ISNUMBER(SEARCH("11025002",F841)),H841&lt;0),"OUT","IN"))</f>
        <v/>
      </c>
      <c r="K841" s="11" t="inlineStr"/>
    </row>
    <row r="842">
      <c r="A842" s="13">
        <f>IF(GL_RAW!A842="","",ROW()-1)</f>
        <v/>
      </c>
      <c r="B842" s="10">
        <f>IF(GL_RAW!A842="","",IF(ISNUMBER(GL_RAW!A842),GL_RAW!A842,DATEVALUE(TEXT(GL_RAW!A842,"YYYY-MM-DD"))))</f>
        <v/>
      </c>
      <c r="C842" s="11">
        <f>IF(GL_RAW!A842="","",TRIM(GL_RAW!B842))</f>
        <v/>
      </c>
      <c r="D842" s="11">
        <f>IF(GL_RAW!A842="","",TRIM(GL_RAW!C842))</f>
        <v/>
      </c>
      <c r="E842" s="11">
        <f>IF(GL_RAW!A842="","",TRIM(GL_RAW!D842))</f>
        <v/>
      </c>
      <c r="F842" s="11">
        <f>IF(GL_RAW!A842="","",TRIM(GL_RAW!F842))</f>
        <v/>
      </c>
      <c r="G842" s="11">
        <f>IF(GL_RAW!A842="","",TRIM(GL_RAW!G842))</f>
        <v/>
      </c>
      <c r="H842" s="12">
        <f>IF(GL_RAW!A842="","",IFERROR(GL_RAW!E842,0))</f>
        <v/>
      </c>
      <c r="I842" s="12">
        <f>IF(GL_RAW!A842="","",ABS(H842))</f>
        <v/>
      </c>
      <c r="J842" s="11">
        <f>IF(GL_RAW!A842="","",IF(OR(ISNUMBER(SEARCH("Out",F842)),ISNUMBER(SEARCH("11025002",F842)),H842&lt;0),"OUT","IN"))</f>
        <v/>
      </c>
      <c r="K842" s="11" t="inlineStr"/>
    </row>
    <row r="843">
      <c r="A843" s="13">
        <f>IF(GL_RAW!A843="","",ROW()-1)</f>
        <v/>
      </c>
      <c r="B843" s="10">
        <f>IF(GL_RAW!A843="","",IF(ISNUMBER(GL_RAW!A843),GL_RAW!A843,DATEVALUE(TEXT(GL_RAW!A843,"YYYY-MM-DD"))))</f>
        <v/>
      </c>
      <c r="C843" s="11">
        <f>IF(GL_RAW!A843="","",TRIM(GL_RAW!B843))</f>
        <v/>
      </c>
      <c r="D843" s="11">
        <f>IF(GL_RAW!A843="","",TRIM(GL_RAW!C843))</f>
        <v/>
      </c>
      <c r="E843" s="11">
        <f>IF(GL_RAW!A843="","",TRIM(GL_RAW!D843))</f>
        <v/>
      </c>
      <c r="F843" s="11">
        <f>IF(GL_RAW!A843="","",TRIM(GL_RAW!F843))</f>
        <v/>
      </c>
      <c r="G843" s="11">
        <f>IF(GL_RAW!A843="","",TRIM(GL_RAW!G843))</f>
        <v/>
      </c>
      <c r="H843" s="12">
        <f>IF(GL_RAW!A843="","",IFERROR(GL_RAW!E843,0))</f>
        <v/>
      </c>
      <c r="I843" s="12">
        <f>IF(GL_RAW!A843="","",ABS(H843))</f>
        <v/>
      </c>
      <c r="J843" s="11">
        <f>IF(GL_RAW!A843="","",IF(OR(ISNUMBER(SEARCH("Out",F843)),ISNUMBER(SEARCH("11025002",F843)),H843&lt;0),"OUT","IN"))</f>
        <v/>
      </c>
      <c r="K843" s="11" t="inlineStr"/>
    </row>
    <row r="844">
      <c r="A844" s="13">
        <f>IF(GL_RAW!A844="","",ROW()-1)</f>
        <v/>
      </c>
      <c r="B844" s="10">
        <f>IF(GL_RAW!A844="","",IF(ISNUMBER(GL_RAW!A844),GL_RAW!A844,DATEVALUE(TEXT(GL_RAW!A844,"YYYY-MM-DD"))))</f>
        <v/>
      </c>
      <c r="C844" s="11">
        <f>IF(GL_RAW!A844="","",TRIM(GL_RAW!B844))</f>
        <v/>
      </c>
      <c r="D844" s="11">
        <f>IF(GL_RAW!A844="","",TRIM(GL_RAW!C844))</f>
        <v/>
      </c>
      <c r="E844" s="11">
        <f>IF(GL_RAW!A844="","",TRIM(GL_RAW!D844))</f>
        <v/>
      </c>
      <c r="F844" s="11">
        <f>IF(GL_RAW!A844="","",TRIM(GL_RAW!F844))</f>
        <v/>
      </c>
      <c r="G844" s="11">
        <f>IF(GL_RAW!A844="","",TRIM(GL_RAW!G844))</f>
        <v/>
      </c>
      <c r="H844" s="12">
        <f>IF(GL_RAW!A844="","",IFERROR(GL_RAW!E844,0))</f>
        <v/>
      </c>
      <c r="I844" s="12">
        <f>IF(GL_RAW!A844="","",ABS(H844))</f>
        <v/>
      </c>
      <c r="J844" s="11">
        <f>IF(GL_RAW!A844="","",IF(OR(ISNUMBER(SEARCH("Out",F844)),ISNUMBER(SEARCH("11025002",F844)),H844&lt;0),"OUT","IN"))</f>
        <v/>
      </c>
      <c r="K844" s="11" t="inlineStr"/>
    </row>
    <row r="845">
      <c r="A845" s="13">
        <f>IF(GL_RAW!A845="","",ROW()-1)</f>
        <v/>
      </c>
      <c r="B845" s="10">
        <f>IF(GL_RAW!A845="","",IF(ISNUMBER(GL_RAW!A845),GL_RAW!A845,DATEVALUE(TEXT(GL_RAW!A845,"YYYY-MM-DD"))))</f>
        <v/>
      </c>
      <c r="C845" s="11">
        <f>IF(GL_RAW!A845="","",TRIM(GL_RAW!B845))</f>
        <v/>
      </c>
      <c r="D845" s="11">
        <f>IF(GL_RAW!A845="","",TRIM(GL_RAW!C845))</f>
        <v/>
      </c>
      <c r="E845" s="11">
        <f>IF(GL_RAW!A845="","",TRIM(GL_RAW!D845))</f>
        <v/>
      </c>
      <c r="F845" s="11">
        <f>IF(GL_RAW!A845="","",TRIM(GL_RAW!F845))</f>
        <v/>
      </c>
      <c r="G845" s="11">
        <f>IF(GL_RAW!A845="","",TRIM(GL_RAW!G845))</f>
        <v/>
      </c>
      <c r="H845" s="12">
        <f>IF(GL_RAW!A845="","",IFERROR(GL_RAW!E845,0))</f>
        <v/>
      </c>
      <c r="I845" s="12">
        <f>IF(GL_RAW!A845="","",ABS(H845))</f>
        <v/>
      </c>
      <c r="J845" s="11">
        <f>IF(GL_RAW!A845="","",IF(OR(ISNUMBER(SEARCH("Out",F845)),ISNUMBER(SEARCH("11025002",F845)),H845&lt;0),"OUT","IN"))</f>
        <v/>
      </c>
      <c r="K845" s="11" t="inlineStr"/>
    </row>
    <row r="846">
      <c r="A846" s="13">
        <f>IF(GL_RAW!A846="","",ROW()-1)</f>
        <v/>
      </c>
      <c r="B846" s="10">
        <f>IF(GL_RAW!A846="","",IF(ISNUMBER(GL_RAW!A846),GL_RAW!A846,DATEVALUE(TEXT(GL_RAW!A846,"YYYY-MM-DD"))))</f>
        <v/>
      </c>
      <c r="C846" s="11">
        <f>IF(GL_RAW!A846="","",TRIM(GL_RAW!B846))</f>
        <v/>
      </c>
      <c r="D846" s="11">
        <f>IF(GL_RAW!A846="","",TRIM(GL_RAW!C846))</f>
        <v/>
      </c>
      <c r="E846" s="11">
        <f>IF(GL_RAW!A846="","",TRIM(GL_RAW!D846))</f>
        <v/>
      </c>
      <c r="F846" s="11">
        <f>IF(GL_RAW!A846="","",TRIM(GL_RAW!F846))</f>
        <v/>
      </c>
      <c r="G846" s="11">
        <f>IF(GL_RAW!A846="","",TRIM(GL_RAW!G846))</f>
        <v/>
      </c>
      <c r="H846" s="12">
        <f>IF(GL_RAW!A846="","",IFERROR(GL_RAW!E846,0))</f>
        <v/>
      </c>
      <c r="I846" s="12">
        <f>IF(GL_RAW!A846="","",ABS(H846))</f>
        <v/>
      </c>
      <c r="J846" s="11">
        <f>IF(GL_RAW!A846="","",IF(OR(ISNUMBER(SEARCH("Out",F846)),ISNUMBER(SEARCH("11025002",F846)),H846&lt;0),"OUT","IN"))</f>
        <v/>
      </c>
      <c r="K846" s="11" t="inlineStr"/>
    </row>
    <row r="847">
      <c r="A847" s="13">
        <f>IF(GL_RAW!A847="","",ROW()-1)</f>
        <v/>
      </c>
      <c r="B847" s="10">
        <f>IF(GL_RAW!A847="","",IF(ISNUMBER(GL_RAW!A847),GL_RAW!A847,DATEVALUE(TEXT(GL_RAW!A847,"YYYY-MM-DD"))))</f>
        <v/>
      </c>
      <c r="C847" s="11">
        <f>IF(GL_RAW!A847="","",TRIM(GL_RAW!B847))</f>
        <v/>
      </c>
      <c r="D847" s="11">
        <f>IF(GL_RAW!A847="","",TRIM(GL_RAW!C847))</f>
        <v/>
      </c>
      <c r="E847" s="11">
        <f>IF(GL_RAW!A847="","",TRIM(GL_RAW!D847))</f>
        <v/>
      </c>
      <c r="F847" s="11">
        <f>IF(GL_RAW!A847="","",TRIM(GL_RAW!F847))</f>
        <v/>
      </c>
      <c r="G847" s="11">
        <f>IF(GL_RAW!A847="","",TRIM(GL_RAW!G847))</f>
        <v/>
      </c>
      <c r="H847" s="12">
        <f>IF(GL_RAW!A847="","",IFERROR(GL_RAW!E847,0))</f>
        <v/>
      </c>
      <c r="I847" s="12">
        <f>IF(GL_RAW!A847="","",ABS(H847))</f>
        <v/>
      </c>
      <c r="J847" s="11">
        <f>IF(GL_RAW!A847="","",IF(OR(ISNUMBER(SEARCH("Out",F847)),ISNUMBER(SEARCH("11025002",F847)),H847&lt;0),"OUT","IN"))</f>
        <v/>
      </c>
      <c r="K847" s="11" t="inlineStr"/>
    </row>
    <row r="848">
      <c r="A848" s="13">
        <f>IF(GL_RAW!A848="","",ROW()-1)</f>
        <v/>
      </c>
      <c r="B848" s="10">
        <f>IF(GL_RAW!A848="","",IF(ISNUMBER(GL_RAW!A848),GL_RAW!A848,DATEVALUE(TEXT(GL_RAW!A848,"YYYY-MM-DD"))))</f>
        <v/>
      </c>
      <c r="C848" s="11">
        <f>IF(GL_RAW!A848="","",TRIM(GL_RAW!B848))</f>
        <v/>
      </c>
      <c r="D848" s="11">
        <f>IF(GL_RAW!A848="","",TRIM(GL_RAW!C848))</f>
        <v/>
      </c>
      <c r="E848" s="11">
        <f>IF(GL_RAW!A848="","",TRIM(GL_RAW!D848))</f>
        <v/>
      </c>
      <c r="F848" s="11">
        <f>IF(GL_RAW!A848="","",TRIM(GL_RAW!F848))</f>
        <v/>
      </c>
      <c r="G848" s="11">
        <f>IF(GL_RAW!A848="","",TRIM(GL_RAW!G848))</f>
        <v/>
      </c>
      <c r="H848" s="12">
        <f>IF(GL_RAW!A848="","",IFERROR(GL_RAW!E848,0))</f>
        <v/>
      </c>
      <c r="I848" s="12">
        <f>IF(GL_RAW!A848="","",ABS(H848))</f>
        <v/>
      </c>
      <c r="J848" s="11">
        <f>IF(GL_RAW!A848="","",IF(OR(ISNUMBER(SEARCH("Out",F848)),ISNUMBER(SEARCH("11025002",F848)),H848&lt;0),"OUT","IN"))</f>
        <v/>
      </c>
      <c r="K848" s="11" t="inlineStr"/>
    </row>
    <row r="849">
      <c r="A849" s="13">
        <f>IF(GL_RAW!A849="","",ROW()-1)</f>
        <v/>
      </c>
      <c r="B849" s="10">
        <f>IF(GL_RAW!A849="","",IF(ISNUMBER(GL_RAW!A849),GL_RAW!A849,DATEVALUE(TEXT(GL_RAW!A849,"YYYY-MM-DD"))))</f>
        <v/>
      </c>
      <c r="C849" s="11">
        <f>IF(GL_RAW!A849="","",TRIM(GL_RAW!B849))</f>
        <v/>
      </c>
      <c r="D849" s="11">
        <f>IF(GL_RAW!A849="","",TRIM(GL_RAW!C849))</f>
        <v/>
      </c>
      <c r="E849" s="11">
        <f>IF(GL_RAW!A849="","",TRIM(GL_RAW!D849))</f>
        <v/>
      </c>
      <c r="F849" s="11">
        <f>IF(GL_RAW!A849="","",TRIM(GL_RAW!F849))</f>
        <v/>
      </c>
      <c r="G849" s="11">
        <f>IF(GL_RAW!A849="","",TRIM(GL_RAW!G849))</f>
        <v/>
      </c>
      <c r="H849" s="12">
        <f>IF(GL_RAW!A849="","",IFERROR(GL_RAW!E849,0))</f>
        <v/>
      </c>
      <c r="I849" s="12">
        <f>IF(GL_RAW!A849="","",ABS(H849))</f>
        <v/>
      </c>
      <c r="J849" s="11">
        <f>IF(GL_RAW!A849="","",IF(OR(ISNUMBER(SEARCH("Out",F849)),ISNUMBER(SEARCH("11025002",F849)),H849&lt;0),"OUT","IN"))</f>
        <v/>
      </c>
      <c r="K849" s="11" t="inlineStr"/>
    </row>
    <row r="850">
      <c r="A850" s="13">
        <f>IF(GL_RAW!A850="","",ROW()-1)</f>
        <v/>
      </c>
      <c r="B850" s="10">
        <f>IF(GL_RAW!A850="","",IF(ISNUMBER(GL_RAW!A850),GL_RAW!A850,DATEVALUE(TEXT(GL_RAW!A850,"YYYY-MM-DD"))))</f>
        <v/>
      </c>
      <c r="C850" s="11">
        <f>IF(GL_RAW!A850="","",TRIM(GL_RAW!B850))</f>
        <v/>
      </c>
      <c r="D850" s="11">
        <f>IF(GL_RAW!A850="","",TRIM(GL_RAW!C850))</f>
        <v/>
      </c>
      <c r="E850" s="11">
        <f>IF(GL_RAW!A850="","",TRIM(GL_RAW!D850))</f>
        <v/>
      </c>
      <c r="F850" s="11">
        <f>IF(GL_RAW!A850="","",TRIM(GL_RAW!F850))</f>
        <v/>
      </c>
      <c r="G850" s="11">
        <f>IF(GL_RAW!A850="","",TRIM(GL_RAW!G850))</f>
        <v/>
      </c>
      <c r="H850" s="12">
        <f>IF(GL_RAW!A850="","",IFERROR(GL_RAW!E850,0))</f>
        <v/>
      </c>
      <c r="I850" s="12">
        <f>IF(GL_RAW!A850="","",ABS(H850))</f>
        <v/>
      </c>
      <c r="J850" s="11">
        <f>IF(GL_RAW!A850="","",IF(OR(ISNUMBER(SEARCH("Out",F850)),ISNUMBER(SEARCH("11025002",F850)),H850&lt;0),"OUT","IN"))</f>
        <v/>
      </c>
      <c r="K850" s="11" t="inlineStr"/>
    </row>
    <row r="851">
      <c r="A851" s="13">
        <f>IF(GL_RAW!A851="","",ROW()-1)</f>
        <v/>
      </c>
      <c r="B851" s="10">
        <f>IF(GL_RAW!A851="","",IF(ISNUMBER(GL_RAW!A851),GL_RAW!A851,DATEVALUE(TEXT(GL_RAW!A851,"YYYY-MM-DD"))))</f>
        <v/>
      </c>
      <c r="C851" s="11">
        <f>IF(GL_RAW!A851="","",TRIM(GL_RAW!B851))</f>
        <v/>
      </c>
      <c r="D851" s="11">
        <f>IF(GL_RAW!A851="","",TRIM(GL_RAW!C851))</f>
        <v/>
      </c>
      <c r="E851" s="11">
        <f>IF(GL_RAW!A851="","",TRIM(GL_RAW!D851))</f>
        <v/>
      </c>
      <c r="F851" s="11">
        <f>IF(GL_RAW!A851="","",TRIM(GL_RAW!F851))</f>
        <v/>
      </c>
      <c r="G851" s="11">
        <f>IF(GL_RAW!A851="","",TRIM(GL_RAW!G851))</f>
        <v/>
      </c>
      <c r="H851" s="12">
        <f>IF(GL_RAW!A851="","",IFERROR(GL_RAW!E851,0))</f>
        <v/>
      </c>
      <c r="I851" s="12">
        <f>IF(GL_RAW!A851="","",ABS(H851))</f>
        <v/>
      </c>
      <c r="J851" s="11">
        <f>IF(GL_RAW!A851="","",IF(OR(ISNUMBER(SEARCH("Out",F851)),ISNUMBER(SEARCH("11025002",F851)),H851&lt;0),"OUT","IN"))</f>
        <v/>
      </c>
      <c r="K851" s="11" t="inlineStr"/>
    </row>
    <row r="852">
      <c r="A852" s="13">
        <f>IF(GL_RAW!A852="","",ROW()-1)</f>
        <v/>
      </c>
      <c r="B852" s="10">
        <f>IF(GL_RAW!A852="","",IF(ISNUMBER(GL_RAW!A852),GL_RAW!A852,DATEVALUE(TEXT(GL_RAW!A852,"YYYY-MM-DD"))))</f>
        <v/>
      </c>
      <c r="C852" s="11">
        <f>IF(GL_RAW!A852="","",TRIM(GL_RAW!B852))</f>
        <v/>
      </c>
      <c r="D852" s="11">
        <f>IF(GL_RAW!A852="","",TRIM(GL_RAW!C852))</f>
        <v/>
      </c>
      <c r="E852" s="11">
        <f>IF(GL_RAW!A852="","",TRIM(GL_RAW!D852))</f>
        <v/>
      </c>
      <c r="F852" s="11">
        <f>IF(GL_RAW!A852="","",TRIM(GL_RAW!F852))</f>
        <v/>
      </c>
      <c r="G852" s="11">
        <f>IF(GL_RAW!A852="","",TRIM(GL_RAW!G852))</f>
        <v/>
      </c>
      <c r="H852" s="12">
        <f>IF(GL_RAW!A852="","",IFERROR(GL_RAW!E852,0))</f>
        <v/>
      </c>
      <c r="I852" s="12">
        <f>IF(GL_RAW!A852="","",ABS(H852))</f>
        <v/>
      </c>
      <c r="J852" s="11">
        <f>IF(GL_RAW!A852="","",IF(OR(ISNUMBER(SEARCH("Out",F852)),ISNUMBER(SEARCH("11025002",F852)),H852&lt;0),"OUT","IN"))</f>
        <v/>
      </c>
      <c r="K852" s="11" t="inlineStr"/>
    </row>
    <row r="853">
      <c r="A853" s="13">
        <f>IF(GL_RAW!A853="","",ROW()-1)</f>
        <v/>
      </c>
      <c r="B853" s="10">
        <f>IF(GL_RAW!A853="","",IF(ISNUMBER(GL_RAW!A853),GL_RAW!A853,DATEVALUE(TEXT(GL_RAW!A853,"YYYY-MM-DD"))))</f>
        <v/>
      </c>
      <c r="C853" s="11">
        <f>IF(GL_RAW!A853="","",TRIM(GL_RAW!B853))</f>
        <v/>
      </c>
      <c r="D853" s="11">
        <f>IF(GL_RAW!A853="","",TRIM(GL_RAW!C853))</f>
        <v/>
      </c>
      <c r="E853" s="11">
        <f>IF(GL_RAW!A853="","",TRIM(GL_RAW!D853))</f>
        <v/>
      </c>
      <c r="F853" s="11">
        <f>IF(GL_RAW!A853="","",TRIM(GL_RAW!F853))</f>
        <v/>
      </c>
      <c r="G853" s="11">
        <f>IF(GL_RAW!A853="","",TRIM(GL_RAW!G853))</f>
        <v/>
      </c>
      <c r="H853" s="12">
        <f>IF(GL_RAW!A853="","",IFERROR(GL_RAW!E853,0))</f>
        <v/>
      </c>
      <c r="I853" s="12">
        <f>IF(GL_RAW!A853="","",ABS(H853))</f>
        <v/>
      </c>
      <c r="J853" s="11">
        <f>IF(GL_RAW!A853="","",IF(OR(ISNUMBER(SEARCH("Out",F853)),ISNUMBER(SEARCH("11025002",F853)),H853&lt;0),"OUT","IN"))</f>
        <v/>
      </c>
      <c r="K853" s="11" t="inlineStr"/>
    </row>
    <row r="854">
      <c r="A854" s="13">
        <f>IF(GL_RAW!A854="","",ROW()-1)</f>
        <v/>
      </c>
      <c r="B854" s="10">
        <f>IF(GL_RAW!A854="","",IF(ISNUMBER(GL_RAW!A854),GL_RAW!A854,DATEVALUE(TEXT(GL_RAW!A854,"YYYY-MM-DD"))))</f>
        <v/>
      </c>
      <c r="C854" s="11">
        <f>IF(GL_RAW!A854="","",TRIM(GL_RAW!B854))</f>
        <v/>
      </c>
      <c r="D854" s="11">
        <f>IF(GL_RAW!A854="","",TRIM(GL_RAW!C854))</f>
        <v/>
      </c>
      <c r="E854" s="11">
        <f>IF(GL_RAW!A854="","",TRIM(GL_RAW!D854))</f>
        <v/>
      </c>
      <c r="F854" s="11">
        <f>IF(GL_RAW!A854="","",TRIM(GL_RAW!F854))</f>
        <v/>
      </c>
      <c r="G854" s="11">
        <f>IF(GL_RAW!A854="","",TRIM(GL_RAW!G854))</f>
        <v/>
      </c>
      <c r="H854" s="12">
        <f>IF(GL_RAW!A854="","",IFERROR(GL_RAW!E854,0))</f>
        <v/>
      </c>
      <c r="I854" s="12">
        <f>IF(GL_RAW!A854="","",ABS(H854))</f>
        <v/>
      </c>
      <c r="J854" s="11">
        <f>IF(GL_RAW!A854="","",IF(OR(ISNUMBER(SEARCH("Out",F854)),ISNUMBER(SEARCH("11025002",F854)),H854&lt;0),"OUT","IN"))</f>
        <v/>
      </c>
      <c r="K854" s="11" t="inlineStr"/>
    </row>
    <row r="855">
      <c r="A855" s="13">
        <f>IF(GL_RAW!A855="","",ROW()-1)</f>
        <v/>
      </c>
      <c r="B855" s="10">
        <f>IF(GL_RAW!A855="","",IF(ISNUMBER(GL_RAW!A855),GL_RAW!A855,DATEVALUE(TEXT(GL_RAW!A855,"YYYY-MM-DD"))))</f>
        <v/>
      </c>
      <c r="C855" s="11">
        <f>IF(GL_RAW!A855="","",TRIM(GL_RAW!B855))</f>
        <v/>
      </c>
      <c r="D855" s="11">
        <f>IF(GL_RAW!A855="","",TRIM(GL_RAW!C855))</f>
        <v/>
      </c>
      <c r="E855" s="11">
        <f>IF(GL_RAW!A855="","",TRIM(GL_RAW!D855))</f>
        <v/>
      </c>
      <c r="F855" s="11">
        <f>IF(GL_RAW!A855="","",TRIM(GL_RAW!F855))</f>
        <v/>
      </c>
      <c r="G855" s="11">
        <f>IF(GL_RAW!A855="","",TRIM(GL_RAW!G855))</f>
        <v/>
      </c>
      <c r="H855" s="12">
        <f>IF(GL_RAW!A855="","",IFERROR(GL_RAW!E855,0))</f>
        <v/>
      </c>
      <c r="I855" s="12">
        <f>IF(GL_RAW!A855="","",ABS(H855))</f>
        <v/>
      </c>
      <c r="J855" s="11">
        <f>IF(GL_RAW!A855="","",IF(OR(ISNUMBER(SEARCH("Out",F855)),ISNUMBER(SEARCH("11025002",F855)),H855&lt;0),"OUT","IN"))</f>
        <v/>
      </c>
      <c r="K855" s="11" t="inlineStr"/>
    </row>
    <row r="856">
      <c r="A856" s="13">
        <f>IF(GL_RAW!A856="","",ROW()-1)</f>
        <v/>
      </c>
      <c r="B856" s="10">
        <f>IF(GL_RAW!A856="","",IF(ISNUMBER(GL_RAW!A856),GL_RAW!A856,DATEVALUE(TEXT(GL_RAW!A856,"YYYY-MM-DD"))))</f>
        <v/>
      </c>
      <c r="C856" s="11">
        <f>IF(GL_RAW!A856="","",TRIM(GL_RAW!B856))</f>
        <v/>
      </c>
      <c r="D856" s="11">
        <f>IF(GL_RAW!A856="","",TRIM(GL_RAW!C856))</f>
        <v/>
      </c>
      <c r="E856" s="11">
        <f>IF(GL_RAW!A856="","",TRIM(GL_RAW!D856))</f>
        <v/>
      </c>
      <c r="F856" s="11">
        <f>IF(GL_RAW!A856="","",TRIM(GL_RAW!F856))</f>
        <v/>
      </c>
      <c r="G856" s="11">
        <f>IF(GL_RAW!A856="","",TRIM(GL_RAW!G856))</f>
        <v/>
      </c>
      <c r="H856" s="12">
        <f>IF(GL_RAW!A856="","",IFERROR(GL_RAW!E856,0))</f>
        <v/>
      </c>
      <c r="I856" s="12">
        <f>IF(GL_RAW!A856="","",ABS(H856))</f>
        <v/>
      </c>
      <c r="J856" s="11">
        <f>IF(GL_RAW!A856="","",IF(OR(ISNUMBER(SEARCH("Out",F856)),ISNUMBER(SEARCH("11025002",F856)),H856&lt;0),"OUT","IN"))</f>
        <v/>
      </c>
      <c r="K856" s="11" t="inlineStr"/>
    </row>
    <row r="857">
      <c r="A857" s="13">
        <f>IF(GL_RAW!A857="","",ROW()-1)</f>
        <v/>
      </c>
      <c r="B857" s="10">
        <f>IF(GL_RAW!A857="","",IF(ISNUMBER(GL_RAW!A857),GL_RAW!A857,DATEVALUE(TEXT(GL_RAW!A857,"YYYY-MM-DD"))))</f>
        <v/>
      </c>
      <c r="C857" s="11">
        <f>IF(GL_RAW!A857="","",TRIM(GL_RAW!B857))</f>
        <v/>
      </c>
      <c r="D857" s="11">
        <f>IF(GL_RAW!A857="","",TRIM(GL_RAW!C857))</f>
        <v/>
      </c>
      <c r="E857" s="11">
        <f>IF(GL_RAW!A857="","",TRIM(GL_RAW!D857))</f>
        <v/>
      </c>
      <c r="F857" s="11">
        <f>IF(GL_RAW!A857="","",TRIM(GL_RAW!F857))</f>
        <v/>
      </c>
      <c r="G857" s="11">
        <f>IF(GL_RAW!A857="","",TRIM(GL_RAW!G857))</f>
        <v/>
      </c>
      <c r="H857" s="12">
        <f>IF(GL_RAW!A857="","",IFERROR(GL_RAW!E857,0))</f>
        <v/>
      </c>
      <c r="I857" s="12">
        <f>IF(GL_RAW!A857="","",ABS(H857))</f>
        <v/>
      </c>
      <c r="J857" s="11">
        <f>IF(GL_RAW!A857="","",IF(OR(ISNUMBER(SEARCH("Out",F857)),ISNUMBER(SEARCH("11025002",F857)),H857&lt;0),"OUT","IN"))</f>
        <v/>
      </c>
      <c r="K857" s="11" t="inlineStr"/>
    </row>
    <row r="858">
      <c r="A858" s="13">
        <f>IF(GL_RAW!A858="","",ROW()-1)</f>
        <v/>
      </c>
      <c r="B858" s="10">
        <f>IF(GL_RAW!A858="","",IF(ISNUMBER(GL_RAW!A858),GL_RAW!A858,DATEVALUE(TEXT(GL_RAW!A858,"YYYY-MM-DD"))))</f>
        <v/>
      </c>
      <c r="C858" s="11">
        <f>IF(GL_RAW!A858="","",TRIM(GL_RAW!B858))</f>
        <v/>
      </c>
      <c r="D858" s="11">
        <f>IF(GL_RAW!A858="","",TRIM(GL_RAW!C858))</f>
        <v/>
      </c>
      <c r="E858" s="11">
        <f>IF(GL_RAW!A858="","",TRIM(GL_RAW!D858))</f>
        <v/>
      </c>
      <c r="F858" s="11">
        <f>IF(GL_RAW!A858="","",TRIM(GL_RAW!F858))</f>
        <v/>
      </c>
      <c r="G858" s="11">
        <f>IF(GL_RAW!A858="","",TRIM(GL_RAW!G858))</f>
        <v/>
      </c>
      <c r="H858" s="12">
        <f>IF(GL_RAW!A858="","",IFERROR(GL_RAW!E858,0))</f>
        <v/>
      </c>
      <c r="I858" s="12">
        <f>IF(GL_RAW!A858="","",ABS(H858))</f>
        <v/>
      </c>
      <c r="J858" s="11">
        <f>IF(GL_RAW!A858="","",IF(OR(ISNUMBER(SEARCH("Out",F858)),ISNUMBER(SEARCH("11025002",F858)),H858&lt;0),"OUT","IN"))</f>
        <v/>
      </c>
      <c r="K858" s="11" t="inlineStr"/>
    </row>
    <row r="859">
      <c r="A859" s="13">
        <f>IF(GL_RAW!A859="","",ROW()-1)</f>
        <v/>
      </c>
      <c r="B859" s="10">
        <f>IF(GL_RAW!A859="","",IF(ISNUMBER(GL_RAW!A859),GL_RAW!A859,DATEVALUE(TEXT(GL_RAW!A859,"YYYY-MM-DD"))))</f>
        <v/>
      </c>
      <c r="C859" s="11">
        <f>IF(GL_RAW!A859="","",TRIM(GL_RAW!B859))</f>
        <v/>
      </c>
      <c r="D859" s="11">
        <f>IF(GL_RAW!A859="","",TRIM(GL_RAW!C859))</f>
        <v/>
      </c>
      <c r="E859" s="11">
        <f>IF(GL_RAW!A859="","",TRIM(GL_RAW!D859))</f>
        <v/>
      </c>
      <c r="F859" s="11">
        <f>IF(GL_RAW!A859="","",TRIM(GL_RAW!F859))</f>
        <v/>
      </c>
      <c r="G859" s="11">
        <f>IF(GL_RAW!A859="","",TRIM(GL_RAW!G859))</f>
        <v/>
      </c>
      <c r="H859" s="12">
        <f>IF(GL_RAW!A859="","",IFERROR(GL_RAW!E859,0))</f>
        <v/>
      </c>
      <c r="I859" s="12">
        <f>IF(GL_RAW!A859="","",ABS(H859))</f>
        <v/>
      </c>
      <c r="J859" s="11">
        <f>IF(GL_RAW!A859="","",IF(OR(ISNUMBER(SEARCH("Out",F859)),ISNUMBER(SEARCH("11025002",F859)),H859&lt;0),"OUT","IN"))</f>
        <v/>
      </c>
      <c r="K859" s="11" t="inlineStr"/>
    </row>
    <row r="860">
      <c r="A860" s="13">
        <f>IF(GL_RAW!A860="","",ROW()-1)</f>
        <v/>
      </c>
      <c r="B860" s="10">
        <f>IF(GL_RAW!A860="","",IF(ISNUMBER(GL_RAW!A860),GL_RAW!A860,DATEVALUE(TEXT(GL_RAW!A860,"YYYY-MM-DD"))))</f>
        <v/>
      </c>
      <c r="C860" s="11">
        <f>IF(GL_RAW!A860="","",TRIM(GL_RAW!B860))</f>
        <v/>
      </c>
      <c r="D860" s="11">
        <f>IF(GL_RAW!A860="","",TRIM(GL_RAW!C860))</f>
        <v/>
      </c>
      <c r="E860" s="11">
        <f>IF(GL_RAW!A860="","",TRIM(GL_RAW!D860))</f>
        <v/>
      </c>
      <c r="F860" s="11">
        <f>IF(GL_RAW!A860="","",TRIM(GL_RAW!F860))</f>
        <v/>
      </c>
      <c r="G860" s="11">
        <f>IF(GL_RAW!A860="","",TRIM(GL_RAW!G860))</f>
        <v/>
      </c>
      <c r="H860" s="12">
        <f>IF(GL_RAW!A860="","",IFERROR(GL_RAW!E860,0))</f>
        <v/>
      </c>
      <c r="I860" s="12">
        <f>IF(GL_RAW!A860="","",ABS(H860))</f>
        <v/>
      </c>
      <c r="J860" s="11">
        <f>IF(GL_RAW!A860="","",IF(OR(ISNUMBER(SEARCH("Out",F860)),ISNUMBER(SEARCH("11025002",F860)),H860&lt;0),"OUT","IN"))</f>
        <v/>
      </c>
      <c r="K860" s="11" t="inlineStr"/>
    </row>
    <row r="861">
      <c r="A861" s="13">
        <f>IF(GL_RAW!A861="","",ROW()-1)</f>
        <v/>
      </c>
      <c r="B861" s="10">
        <f>IF(GL_RAW!A861="","",IF(ISNUMBER(GL_RAW!A861),GL_RAW!A861,DATEVALUE(TEXT(GL_RAW!A861,"YYYY-MM-DD"))))</f>
        <v/>
      </c>
      <c r="C861" s="11">
        <f>IF(GL_RAW!A861="","",TRIM(GL_RAW!B861))</f>
        <v/>
      </c>
      <c r="D861" s="11">
        <f>IF(GL_RAW!A861="","",TRIM(GL_RAW!C861))</f>
        <v/>
      </c>
      <c r="E861" s="11">
        <f>IF(GL_RAW!A861="","",TRIM(GL_RAW!D861))</f>
        <v/>
      </c>
      <c r="F861" s="11">
        <f>IF(GL_RAW!A861="","",TRIM(GL_RAW!F861))</f>
        <v/>
      </c>
      <c r="G861" s="11">
        <f>IF(GL_RAW!A861="","",TRIM(GL_RAW!G861))</f>
        <v/>
      </c>
      <c r="H861" s="12">
        <f>IF(GL_RAW!A861="","",IFERROR(GL_RAW!E861,0))</f>
        <v/>
      </c>
      <c r="I861" s="12">
        <f>IF(GL_RAW!A861="","",ABS(H861))</f>
        <v/>
      </c>
      <c r="J861" s="11">
        <f>IF(GL_RAW!A861="","",IF(OR(ISNUMBER(SEARCH("Out",F861)),ISNUMBER(SEARCH("11025002",F861)),H861&lt;0),"OUT","IN"))</f>
        <v/>
      </c>
      <c r="K861" s="11" t="inlineStr"/>
    </row>
    <row r="862">
      <c r="A862" s="13">
        <f>IF(GL_RAW!A862="","",ROW()-1)</f>
        <v/>
      </c>
      <c r="B862" s="10">
        <f>IF(GL_RAW!A862="","",IF(ISNUMBER(GL_RAW!A862),GL_RAW!A862,DATEVALUE(TEXT(GL_RAW!A862,"YYYY-MM-DD"))))</f>
        <v/>
      </c>
      <c r="C862" s="11">
        <f>IF(GL_RAW!A862="","",TRIM(GL_RAW!B862))</f>
        <v/>
      </c>
      <c r="D862" s="11">
        <f>IF(GL_RAW!A862="","",TRIM(GL_RAW!C862))</f>
        <v/>
      </c>
      <c r="E862" s="11">
        <f>IF(GL_RAW!A862="","",TRIM(GL_RAW!D862))</f>
        <v/>
      </c>
      <c r="F862" s="11">
        <f>IF(GL_RAW!A862="","",TRIM(GL_RAW!F862))</f>
        <v/>
      </c>
      <c r="G862" s="11">
        <f>IF(GL_RAW!A862="","",TRIM(GL_RAW!G862))</f>
        <v/>
      </c>
      <c r="H862" s="12">
        <f>IF(GL_RAW!A862="","",IFERROR(GL_RAW!E862,0))</f>
        <v/>
      </c>
      <c r="I862" s="12">
        <f>IF(GL_RAW!A862="","",ABS(H862))</f>
        <v/>
      </c>
      <c r="J862" s="11">
        <f>IF(GL_RAW!A862="","",IF(OR(ISNUMBER(SEARCH("Out",F862)),ISNUMBER(SEARCH("11025002",F862)),H862&lt;0),"OUT","IN"))</f>
        <v/>
      </c>
      <c r="K862" s="11" t="inlineStr"/>
    </row>
    <row r="863">
      <c r="A863" s="13">
        <f>IF(GL_RAW!A863="","",ROW()-1)</f>
        <v/>
      </c>
      <c r="B863" s="10">
        <f>IF(GL_RAW!A863="","",IF(ISNUMBER(GL_RAW!A863),GL_RAW!A863,DATEVALUE(TEXT(GL_RAW!A863,"YYYY-MM-DD"))))</f>
        <v/>
      </c>
      <c r="C863" s="11">
        <f>IF(GL_RAW!A863="","",TRIM(GL_RAW!B863))</f>
        <v/>
      </c>
      <c r="D863" s="11">
        <f>IF(GL_RAW!A863="","",TRIM(GL_RAW!C863))</f>
        <v/>
      </c>
      <c r="E863" s="11">
        <f>IF(GL_RAW!A863="","",TRIM(GL_RAW!D863))</f>
        <v/>
      </c>
      <c r="F863" s="11">
        <f>IF(GL_RAW!A863="","",TRIM(GL_RAW!F863))</f>
        <v/>
      </c>
      <c r="G863" s="11">
        <f>IF(GL_RAW!A863="","",TRIM(GL_RAW!G863))</f>
        <v/>
      </c>
      <c r="H863" s="12">
        <f>IF(GL_RAW!A863="","",IFERROR(GL_RAW!E863,0))</f>
        <v/>
      </c>
      <c r="I863" s="12">
        <f>IF(GL_RAW!A863="","",ABS(H863))</f>
        <v/>
      </c>
      <c r="J863" s="11">
        <f>IF(GL_RAW!A863="","",IF(OR(ISNUMBER(SEARCH("Out",F863)),ISNUMBER(SEARCH("11025002",F863)),H863&lt;0),"OUT","IN"))</f>
        <v/>
      </c>
      <c r="K863" s="11" t="inlineStr"/>
    </row>
    <row r="864">
      <c r="A864" s="13">
        <f>IF(GL_RAW!A864="","",ROW()-1)</f>
        <v/>
      </c>
      <c r="B864" s="10">
        <f>IF(GL_RAW!A864="","",IF(ISNUMBER(GL_RAW!A864),GL_RAW!A864,DATEVALUE(TEXT(GL_RAW!A864,"YYYY-MM-DD"))))</f>
        <v/>
      </c>
      <c r="C864" s="11">
        <f>IF(GL_RAW!A864="","",TRIM(GL_RAW!B864))</f>
        <v/>
      </c>
      <c r="D864" s="11">
        <f>IF(GL_RAW!A864="","",TRIM(GL_RAW!C864))</f>
        <v/>
      </c>
      <c r="E864" s="11">
        <f>IF(GL_RAW!A864="","",TRIM(GL_RAW!D864))</f>
        <v/>
      </c>
      <c r="F864" s="11">
        <f>IF(GL_RAW!A864="","",TRIM(GL_RAW!F864))</f>
        <v/>
      </c>
      <c r="G864" s="11">
        <f>IF(GL_RAW!A864="","",TRIM(GL_RAW!G864))</f>
        <v/>
      </c>
      <c r="H864" s="12">
        <f>IF(GL_RAW!A864="","",IFERROR(GL_RAW!E864,0))</f>
        <v/>
      </c>
      <c r="I864" s="12">
        <f>IF(GL_RAW!A864="","",ABS(H864))</f>
        <v/>
      </c>
      <c r="J864" s="11">
        <f>IF(GL_RAW!A864="","",IF(OR(ISNUMBER(SEARCH("Out",F864)),ISNUMBER(SEARCH("11025002",F864)),H864&lt;0),"OUT","IN"))</f>
        <v/>
      </c>
      <c r="K864" s="11" t="inlineStr"/>
    </row>
    <row r="865">
      <c r="A865" s="13">
        <f>IF(GL_RAW!A865="","",ROW()-1)</f>
        <v/>
      </c>
      <c r="B865" s="10">
        <f>IF(GL_RAW!A865="","",IF(ISNUMBER(GL_RAW!A865),GL_RAW!A865,DATEVALUE(TEXT(GL_RAW!A865,"YYYY-MM-DD"))))</f>
        <v/>
      </c>
      <c r="C865" s="11">
        <f>IF(GL_RAW!A865="","",TRIM(GL_RAW!B865))</f>
        <v/>
      </c>
      <c r="D865" s="11">
        <f>IF(GL_RAW!A865="","",TRIM(GL_RAW!C865))</f>
        <v/>
      </c>
      <c r="E865" s="11">
        <f>IF(GL_RAW!A865="","",TRIM(GL_RAW!D865))</f>
        <v/>
      </c>
      <c r="F865" s="11">
        <f>IF(GL_RAW!A865="","",TRIM(GL_RAW!F865))</f>
        <v/>
      </c>
      <c r="G865" s="11">
        <f>IF(GL_RAW!A865="","",TRIM(GL_RAW!G865))</f>
        <v/>
      </c>
      <c r="H865" s="12">
        <f>IF(GL_RAW!A865="","",IFERROR(GL_RAW!E865,0))</f>
        <v/>
      </c>
      <c r="I865" s="12">
        <f>IF(GL_RAW!A865="","",ABS(H865))</f>
        <v/>
      </c>
      <c r="J865" s="11">
        <f>IF(GL_RAW!A865="","",IF(OR(ISNUMBER(SEARCH("Out",F865)),ISNUMBER(SEARCH("11025002",F865)),H865&lt;0),"OUT","IN"))</f>
        <v/>
      </c>
      <c r="K865" s="11" t="inlineStr"/>
    </row>
    <row r="866">
      <c r="A866" s="13">
        <f>IF(GL_RAW!A866="","",ROW()-1)</f>
        <v/>
      </c>
      <c r="B866" s="10">
        <f>IF(GL_RAW!A866="","",IF(ISNUMBER(GL_RAW!A866),GL_RAW!A866,DATEVALUE(TEXT(GL_RAW!A866,"YYYY-MM-DD"))))</f>
        <v/>
      </c>
      <c r="C866" s="11">
        <f>IF(GL_RAW!A866="","",TRIM(GL_RAW!B866))</f>
        <v/>
      </c>
      <c r="D866" s="11">
        <f>IF(GL_RAW!A866="","",TRIM(GL_RAW!C866))</f>
        <v/>
      </c>
      <c r="E866" s="11">
        <f>IF(GL_RAW!A866="","",TRIM(GL_RAW!D866))</f>
        <v/>
      </c>
      <c r="F866" s="11">
        <f>IF(GL_RAW!A866="","",TRIM(GL_RAW!F866))</f>
        <v/>
      </c>
      <c r="G866" s="11">
        <f>IF(GL_RAW!A866="","",TRIM(GL_RAW!G866))</f>
        <v/>
      </c>
      <c r="H866" s="12">
        <f>IF(GL_RAW!A866="","",IFERROR(GL_RAW!E866,0))</f>
        <v/>
      </c>
      <c r="I866" s="12">
        <f>IF(GL_RAW!A866="","",ABS(H866))</f>
        <v/>
      </c>
      <c r="J866" s="11">
        <f>IF(GL_RAW!A866="","",IF(OR(ISNUMBER(SEARCH("Out",F866)),ISNUMBER(SEARCH("11025002",F866)),H866&lt;0),"OUT","IN"))</f>
        <v/>
      </c>
      <c r="K866" s="11" t="inlineStr"/>
    </row>
    <row r="867">
      <c r="A867" s="13">
        <f>IF(GL_RAW!A867="","",ROW()-1)</f>
        <v/>
      </c>
      <c r="B867" s="10">
        <f>IF(GL_RAW!A867="","",IF(ISNUMBER(GL_RAW!A867),GL_RAW!A867,DATEVALUE(TEXT(GL_RAW!A867,"YYYY-MM-DD"))))</f>
        <v/>
      </c>
      <c r="C867" s="11">
        <f>IF(GL_RAW!A867="","",TRIM(GL_RAW!B867))</f>
        <v/>
      </c>
      <c r="D867" s="11">
        <f>IF(GL_RAW!A867="","",TRIM(GL_RAW!C867))</f>
        <v/>
      </c>
      <c r="E867" s="11">
        <f>IF(GL_RAW!A867="","",TRIM(GL_RAW!D867))</f>
        <v/>
      </c>
      <c r="F867" s="11">
        <f>IF(GL_RAW!A867="","",TRIM(GL_RAW!F867))</f>
        <v/>
      </c>
      <c r="G867" s="11">
        <f>IF(GL_RAW!A867="","",TRIM(GL_RAW!G867))</f>
        <v/>
      </c>
      <c r="H867" s="12">
        <f>IF(GL_RAW!A867="","",IFERROR(GL_RAW!E867,0))</f>
        <v/>
      </c>
      <c r="I867" s="12">
        <f>IF(GL_RAW!A867="","",ABS(H867))</f>
        <v/>
      </c>
      <c r="J867" s="11">
        <f>IF(GL_RAW!A867="","",IF(OR(ISNUMBER(SEARCH("Out",F867)),ISNUMBER(SEARCH("11025002",F867)),H867&lt;0),"OUT","IN"))</f>
        <v/>
      </c>
      <c r="K867" s="11" t="inlineStr"/>
    </row>
    <row r="868">
      <c r="A868" s="13">
        <f>IF(GL_RAW!A868="","",ROW()-1)</f>
        <v/>
      </c>
      <c r="B868" s="10">
        <f>IF(GL_RAW!A868="","",IF(ISNUMBER(GL_RAW!A868),GL_RAW!A868,DATEVALUE(TEXT(GL_RAW!A868,"YYYY-MM-DD"))))</f>
        <v/>
      </c>
      <c r="C868" s="11">
        <f>IF(GL_RAW!A868="","",TRIM(GL_RAW!B868))</f>
        <v/>
      </c>
      <c r="D868" s="11">
        <f>IF(GL_RAW!A868="","",TRIM(GL_RAW!C868))</f>
        <v/>
      </c>
      <c r="E868" s="11">
        <f>IF(GL_RAW!A868="","",TRIM(GL_RAW!D868))</f>
        <v/>
      </c>
      <c r="F868" s="11">
        <f>IF(GL_RAW!A868="","",TRIM(GL_RAW!F868))</f>
        <v/>
      </c>
      <c r="G868" s="11">
        <f>IF(GL_RAW!A868="","",TRIM(GL_RAW!G868))</f>
        <v/>
      </c>
      <c r="H868" s="12">
        <f>IF(GL_RAW!A868="","",IFERROR(GL_RAW!E868,0))</f>
        <v/>
      </c>
      <c r="I868" s="12">
        <f>IF(GL_RAW!A868="","",ABS(H868))</f>
        <v/>
      </c>
      <c r="J868" s="11">
        <f>IF(GL_RAW!A868="","",IF(OR(ISNUMBER(SEARCH("Out",F868)),ISNUMBER(SEARCH("11025002",F868)),H868&lt;0),"OUT","IN"))</f>
        <v/>
      </c>
      <c r="K868" s="11" t="inlineStr"/>
    </row>
    <row r="869">
      <c r="A869" s="13">
        <f>IF(GL_RAW!A869="","",ROW()-1)</f>
        <v/>
      </c>
      <c r="B869" s="10">
        <f>IF(GL_RAW!A869="","",IF(ISNUMBER(GL_RAW!A869),GL_RAW!A869,DATEVALUE(TEXT(GL_RAW!A869,"YYYY-MM-DD"))))</f>
        <v/>
      </c>
      <c r="C869" s="11">
        <f>IF(GL_RAW!A869="","",TRIM(GL_RAW!B869))</f>
        <v/>
      </c>
      <c r="D869" s="11">
        <f>IF(GL_RAW!A869="","",TRIM(GL_RAW!C869))</f>
        <v/>
      </c>
      <c r="E869" s="11">
        <f>IF(GL_RAW!A869="","",TRIM(GL_RAW!D869))</f>
        <v/>
      </c>
      <c r="F869" s="11">
        <f>IF(GL_RAW!A869="","",TRIM(GL_RAW!F869))</f>
        <v/>
      </c>
      <c r="G869" s="11">
        <f>IF(GL_RAW!A869="","",TRIM(GL_RAW!G869))</f>
        <v/>
      </c>
      <c r="H869" s="12">
        <f>IF(GL_RAW!A869="","",IFERROR(GL_RAW!E869,0))</f>
        <v/>
      </c>
      <c r="I869" s="12">
        <f>IF(GL_RAW!A869="","",ABS(H869))</f>
        <v/>
      </c>
      <c r="J869" s="11">
        <f>IF(GL_RAW!A869="","",IF(OR(ISNUMBER(SEARCH("Out",F869)),ISNUMBER(SEARCH("11025002",F869)),H869&lt;0),"OUT","IN"))</f>
        <v/>
      </c>
      <c r="K869" s="11" t="inlineStr"/>
    </row>
    <row r="870">
      <c r="A870" s="13">
        <f>IF(GL_RAW!A870="","",ROW()-1)</f>
        <v/>
      </c>
      <c r="B870" s="10">
        <f>IF(GL_RAW!A870="","",IF(ISNUMBER(GL_RAW!A870),GL_RAW!A870,DATEVALUE(TEXT(GL_RAW!A870,"YYYY-MM-DD"))))</f>
        <v/>
      </c>
      <c r="C870" s="11">
        <f>IF(GL_RAW!A870="","",TRIM(GL_RAW!B870))</f>
        <v/>
      </c>
      <c r="D870" s="11">
        <f>IF(GL_RAW!A870="","",TRIM(GL_RAW!C870))</f>
        <v/>
      </c>
      <c r="E870" s="11">
        <f>IF(GL_RAW!A870="","",TRIM(GL_RAW!D870))</f>
        <v/>
      </c>
      <c r="F870" s="11">
        <f>IF(GL_RAW!A870="","",TRIM(GL_RAW!F870))</f>
        <v/>
      </c>
      <c r="G870" s="11">
        <f>IF(GL_RAW!A870="","",TRIM(GL_RAW!G870))</f>
        <v/>
      </c>
      <c r="H870" s="12">
        <f>IF(GL_RAW!A870="","",IFERROR(GL_RAW!E870,0))</f>
        <v/>
      </c>
      <c r="I870" s="12">
        <f>IF(GL_RAW!A870="","",ABS(H870))</f>
        <v/>
      </c>
      <c r="J870" s="11">
        <f>IF(GL_RAW!A870="","",IF(OR(ISNUMBER(SEARCH("Out",F870)),ISNUMBER(SEARCH("11025002",F870)),H870&lt;0),"OUT","IN"))</f>
        <v/>
      </c>
      <c r="K870" s="11" t="inlineStr"/>
    </row>
    <row r="871">
      <c r="A871" s="13">
        <f>IF(GL_RAW!A871="","",ROW()-1)</f>
        <v/>
      </c>
      <c r="B871" s="10">
        <f>IF(GL_RAW!A871="","",IF(ISNUMBER(GL_RAW!A871),GL_RAW!A871,DATEVALUE(TEXT(GL_RAW!A871,"YYYY-MM-DD"))))</f>
        <v/>
      </c>
      <c r="C871" s="11">
        <f>IF(GL_RAW!A871="","",TRIM(GL_RAW!B871))</f>
        <v/>
      </c>
      <c r="D871" s="11">
        <f>IF(GL_RAW!A871="","",TRIM(GL_RAW!C871))</f>
        <v/>
      </c>
      <c r="E871" s="11">
        <f>IF(GL_RAW!A871="","",TRIM(GL_RAW!D871))</f>
        <v/>
      </c>
      <c r="F871" s="11">
        <f>IF(GL_RAW!A871="","",TRIM(GL_RAW!F871))</f>
        <v/>
      </c>
      <c r="G871" s="11">
        <f>IF(GL_RAW!A871="","",TRIM(GL_RAW!G871))</f>
        <v/>
      </c>
      <c r="H871" s="12">
        <f>IF(GL_RAW!A871="","",IFERROR(GL_RAW!E871,0))</f>
        <v/>
      </c>
      <c r="I871" s="12">
        <f>IF(GL_RAW!A871="","",ABS(H871))</f>
        <v/>
      </c>
      <c r="J871" s="11">
        <f>IF(GL_RAW!A871="","",IF(OR(ISNUMBER(SEARCH("Out",F871)),ISNUMBER(SEARCH("11025002",F871)),H871&lt;0),"OUT","IN"))</f>
        <v/>
      </c>
      <c r="K871" s="11" t="inlineStr"/>
    </row>
    <row r="872">
      <c r="A872" s="13">
        <f>IF(GL_RAW!A872="","",ROW()-1)</f>
        <v/>
      </c>
      <c r="B872" s="10">
        <f>IF(GL_RAW!A872="","",IF(ISNUMBER(GL_RAW!A872),GL_RAW!A872,DATEVALUE(TEXT(GL_RAW!A872,"YYYY-MM-DD"))))</f>
        <v/>
      </c>
      <c r="C872" s="11">
        <f>IF(GL_RAW!A872="","",TRIM(GL_RAW!B872))</f>
        <v/>
      </c>
      <c r="D872" s="11">
        <f>IF(GL_RAW!A872="","",TRIM(GL_RAW!C872))</f>
        <v/>
      </c>
      <c r="E872" s="11">
        <f>IF(GL_RAW!A872="","",TRIM(GL_RAW!D872))</f>
        <v/>
      </c>
      <c r="F872" s="11">
        <f>IF(GL_RAW!A872="","",TRIM(GL_RAW!F872))</f>
        <v/>
      </c>
      <c r="G872" s="11">
        <f>IF(GL_RAW!A872="","",TRIM(GL_RAW!G872))</f>
        <v/>
      </c>
      <c r="H872" s="12">
        <f>IF(GL_RAW!A872="","",IFERROR(GL_RAW!E872,0))</f>
        <v/>
      </c>
      <c r="I872" s="12">
        <f>IF(GL_RAW!A872="","",ABS(H872))</f>
        <v/>
      </c>
      <c r="J872" s="11">
        <f>IF(GL_RAW!A872="","",IF(OR(ISNUMBER(SEARCH("Out",F872)),ISNUMBER(SEARCH("11025002",F872)),H872&lt;0),"OUT","IN"))</f>
        <v/>
      </c>
      <c r="K872" s="11" t="inlineStr"/>
    </row>
    <row r="873">
      <c r="A873" s="13">
        <f>IF(GL_RAW!A873="","",ROW()-1)</f>
        <v/>
      </c>
      <c r="B873" s="10">
        <f>IF(GL_RAW!A873="","",IF(ISNUMBER(GL_RAW!A873),GL_RAW!A873,DATEVALUE(TEXT(GL_RAW!A873,"YYYY-MM-DD"))))</f>
        <v/>
      </c>
      <c r="C873" s="11">
        <f>IF(GL_RAW!A873="","",TRIM(GL_RAW!B873))</f>
        <v/>
      </c>
      <c r="D873" s="11">
        <f>IF(GL_RAW!A873="","",TRIM(GL_RAW!C873))</f>
        <v/>
      </c>
      <c r="E873" s="11">
        <f>IF(GL_RAW!A873="","",TRIM(GL_RAW!D873))</f>
        <v/>
      </c>
      <c r="F873" s="11">
        <f>IF(GL_RAW!A873="","",TRIM(GL_RAW!F873))</f>
        <v/>
      </c>
      <c r="G873" s="11">
        <f>IF(GL_RAW!A873="","",TRIM(GL_RAW!G873))</f>
        <v/>
      </c>
      <c r="H873" s="12">
        <f>IF(GL_RAW!A873="","",IFERROR(GL_RAW!E873,0))</f>
        <v/>
      </c>
      <c r="I873" s="12">
        <f>IF(GL_RAW!A873="","",ABS(H873))</f>
        <v/>
      </c>
      <c r="J873" s="11">
        <f>IF(GL_RAW!A873="","",IF(OR(ISNUMBER(SEARCH("Out",F873)),ISNUMBER(SEARCH("11025002",F873)),H873&lt;0),"OUT","IN"))</f>
        <v/>
      </c>
      <c r="K873" s="11" t="inlineStr"/>
    </row>
    <row r="874">
      <c r="A874" s="13">
        <f>IF(GL_RAW!A874="","",ROW()-1)</f>
        <v/>
      </c>
      <c r="B874" s="10">
        <f>IF(GL_RAW!A874="","",IF(ISNUMBER(GL_RAW!A874),GL_RAW!A874,DATEVALUE(TEXT(GL_RAW!A874,"YYYY-MM-DD"))))</f>
        <v/>
      </c>
      <c r="C874" s="11">
        <f>IF(GL_RAW!A874="","",TRIM(GL_RAW!B874))</f>
        <v/>
      </c>
      <c r="D874" s="11">
        <f>IF(GL_RAW!A874="","",TRIM(GL_RAW!C874))</f>
        <v/>
      </c>
      <c r="E874" s="11">
        <f>IF(GL_RAW!A874="","",TRIM(GL_RAW!D874))</f>
        <v/>
      </c>
      <c r="F874" s="11">
        <f>IF(GL_RAW!A874="","",TRIM(GL_RAW!F874))</f>
        <v/>
      </c>
      <c r="G874" s="11">
        <f>IF(GL_RAW!A874="","",TRIM(GL_RAW!G874))</f>
        <v/>
      </c>
      <c r="H874" s="12">
        <f>IF(GL_RAW!A874="","",IFERROR(GL_RAW!E874,0))</f>
        <v/>
      </c>
      <c r="I874" s="12">
        <f>IF(GL_RAW!A874="","",ABS(H874))</f>
        <v/>
      </c>
      <c r="J874" s="11">
        <f>IF(GL_RAW!A874="","",IF(OR(ISNUMBER(SEARCH("Out",F874)),ISNUMBER(SEARCH("11025002",F874)),H874&lt;0),"OUT","IN"))</f>
        <v/>
      </c>
      <c r="K874" s="11" t="inlineStr"/>
    </row>
    <row r="875">
      <c r="A875" s="13">
        <f>IF(GL_RAW!A875="","",ROW()-1)</f>
        <v/>
      </c>
      <c r="B875" s="10">
        <f>IF(GL_RAW!A875="","",IF(ISNUMBER(GL_RAW!A875),GL_RAW!A875,DATEVALUE(TEXT(GL_RAW!A875,"YYYY-MM-DD"))))</f>
        <v/>
      </c>
      <c r="C875" s="11">
        <f>IF(GL_RAW!A875="","",TRIM(GL_RAW!B875))</f>
        <v/>
      </c>
      <c r="D875" s="11">
        <f>IF(GL_RAW!A875="","",TRIM(GL_RAW!C875))</f>
        <v/>
      </c>
      <c r="E875" s="11">
        <f>IF(GL_RAW!A875="","",TRIM(GL_RAW!D875))</f>
        <v/>
      </c>
      <c r="F875" s="11">
        <f>IF(GL_RAW!A875="","",TRIM(GL_RAW!F875))</f>
        <v/>
      </c>
      <c r="G875" s="11">
        <f>IF(GL_RAW!A875="","",TRIM(GL_RAW!G875))</f>
        <v/>
      </c>
      <c r="H875" s="12">
        <f>IF(GL_RAW!A875="","",IFERROR(GL_RAW!E875,0))</f>
        <v/>
      </c>
      <c r="I875" s="12">
        <f>IF(GL_RAW!A875="","",ABS(H875))</f>
        <v/>
      </c>
      <c r="J875" s="11">
        <f>IF(GL_RAW!A875="","",IF(OR(ISNUMBER(SEARCH("Out",F875)),ISNUMBER(SEARCH("11025002",F875)),H875&lt;0),"OUT","IN"))</f>
        <v/>
      </c>
      <c r="K875" s="11" t="inlineStr"/>
    </row>
    <row r="876">
      <c r="A876" s="13">
        <f>IF(GL_RAW!A876="","",ROW()-1)</f>
        <v/>
      </c>
      <c r="B876" s="10">
        <f>IF(GL_RAW!A876="","",IF(ISNUMBER(GL_RAW!A876),GL_RAW!A876,DATEVALUE(TEXT(GL_RAW!A876,"YYYY-MM-DD"))))</f>
        <v/>
      </c>
      <c r="C876" s="11">
        <f>IF(GL_RAW!A876="","",TRIM(GL_RAW!B876))</f>
        <v/>
      </c>
      <c r="D876" s="11">
        <f>IF(GL_RAW!A876="","",TRIM(GL_RAW!C876))</f>
        <v/>
      </c>
      <c r="E876" s="11">
        <f>IF(GL_RAW!A876="","",TRIM(GL_RAW!D876))</f>
        <v/>
      </c>
      <c r="F876" s="11">
        <f>IF(GL_RAW!A876="","",TRIM(GL_RAW!F876))</f>
        <v/>
      </c>
      <c r="G876" s="11">
        <f>IF(GL_RAW!A876="","",TRIM(GL_RAW!G876))</f>
        <v/>
      </c>
      <c r="H876" s="12">
        <f>IF(GL_RAW!A876="","",IFERROR(GL_RAW!E876,0))</f>
        <v/>
      </c>
      <c r="I876" s="12">
        <f>IF(GL_RAW!A876="","",ABS(H876))</f>
        <v/>
      </c>
      <c r="J876" s="11">
        <f>IF(GL_RAW!A876="","",IF(OR(ISNUMBER(SEARCH("Out",F876)),ISNUMBER(SEARCH("11025002",F876)),H876&lt;0),"OUT","IN"))</f>
        <v/>
      </c>
      <c r="K876" s="11" t="inlineStr"/>
    </row>
    <row r="877">
      <c r="A877" s="13">
        <f>IF(GL_RAW!A877="","",ROW()-1)</f>
        <v/>
      </c>
      <c r="B877" s="10">
        <f>IF(GL_RAW!A877="","",IF(ISNUMBER(GL_RAW!A877),GL_RAW!A877,DATEVALUE(TEXT(GL_RAW!A877,"YYYY-MM-DD"))))</f>
        <v/>
      </c>
      <c r="C877" s="11">
        <f>IF(GL_RAW!A877="","",TRIM(GL_RAW!B877))</f>
        <v/>
      </c>
      <c r="D877" s="11">
        <f>IF(GL_RAW!A877="","",TRIM(GL_RAW!C877))</f>
        <v/>
      </c>
      <c r="E877" s="11">
        <f>IF(GL_RAW!A877="","",TRIM(GL_RAW!D877))</f>
        <v/>
      </c>
      <c r="F877" s="11">
        <f>IF(GL_RAW!A877="","",TRIM(GL_RAW!F877))</f>
        <v/>
      </c>
      <c r="G877" s="11">
        <f>IF(GL_RAW!A877="","",TRIM(GL_RAW!G877))</f>
        <v/>
      </c>
      <c r="H877" s="12">
        <f>IF(GL_RAW!A877="","",IFERROR(GL_RAW!E877,0))</f>
        <v/>
      </c>
      <c r="I877" s="12">
        <f>IF(GL_RAW!A877="","",ABS(H877))</f>
        <v/>
      </c>
      <c r="J877" s="11">
        <f>IF(GL_RAW!A877="","",IF(OR(ISNUMBER(SEARCH("Out",F877)),ISNUMBER(SEARCH("11025002",F877)),H877&lt;0),"OUT","IN"))</f>
        <v/>
      </c>
      <c r="K877" s="11" t="inlineStr"/>
    </row>
    <row r="878">
      <c r="A878" s="13">
        <f>IF(GL_RAW!A878="","",ROW()-1)</f>
        <v/>
      </c>
      <c r="B878" s="10">
        <f>IF(GL_RAW!A878="","",IF(ISNUMBER(GL_RAW!A878),GL_RAW!A878,DATEVALUE(TEXT(GL_RAW!A878,"YYYY-MM-DD"))))</f>
        <v/>
      </c>
      <c r="C878" s="11">
        <f>IF(GL_RAW!A878="","",TRIM(GL_RAW!B878))</f>
        <v/>
      </c>
      <c r="D878" s="11">
        <f>IF(GL_RAW!A878="","",TRIM(GL_RAW!C878))</f>
        <v/>
      </c>
      <c r="E878" s="11">
        <f>IF(GL_RAW!A878="","",TRIM(GL_RAW!D878))</f>
        <v/>
      </c>
      <c r="F878" s="11">
        <f>IF(GL_RAW!A878="","",TRIM(GL_RAW!F878))</f>
        <v/>
      </c>
      <c r="G878" s="11">
        <f>IF(GL_RAW!A878="","",TRIM(GL_RAW!G878))</f>
        <v/>
      </c>
      <c r="H878" s="12">
        <f>IF(GL_RAW!A878="","",IFERROR(GL_RAW!E878,0))</f>
        <v/>
      </c>
      <c r="I878" s="12">
        <f>IF(GL_RAW!A878="","",ABS(H878))</f>
        <v/>
      </c>
      <c r="J878" s="11">
        <f>IF(GL_RAW!A878="","",IF(OR(ISNUMBER(SEARCH("Out",F878)),ISNUMBER(SEARCH("11025002",F878)),H878&lt;0),"OUT","IN"))</f>
        <v/>
      </c>
      <c r="K878" s="11" t="inlineStr"/>
    </row>
    <row r="879">
      <c r="A879" s="13">
        <f>IF(GL_RAW!A879="","",ROW()-1)</f>
        <v/>
      </c>
      <c r="B879" s="10">
        <f>IF(GL_RAW!A879="","",IF(ISNUMBER(GL_RAW!A879),GL_RAW!A879,DATEVALUE(TEXT(GL_RAW!A879,"YYYY-MM-DD"))))</f>
        <v/>
      </c>
      <c r="C879" s="11">
        <f>IF(GL_RAW!A879="","",TRIM(GL_RAW!B879))</f>
        <v/>
      </c>
      <c r="D879" s="11">
        <f>IF(GL_RAW!A879="","",TRIM(GL_RAW!C879))</f>
        <v/>
      </c>
      <c r="E879" s="11">
        <f>IF(GL_RAW!A879="","",TRIM(GL_RAW!D879))</f>
        <v/>
      </c>
      <c r="F879" s="11">
        <f>IF(GL_RAW!A879="","",TRIM(GL_RAW!F879))</f>
        <v/>
      </c>
      <c r="G879" s="11">
        <f>IF(GL_RAW!A879="","",TRIM(GL_RAW!G879))</f>
        <v/>
      </c>
      <c r="H879" s="12">
        <f>IF(GL_RAW!A879="","",IFERROR(GL_RAW!E879,0))</f>
        <v/>
      </c>
      <c r="I879" s="12">
        <f>IF(GL_RAW!A879="","",ABS(H879))</f>
        <v/>
      </c>
      <c r="J879" s="11">
        <f>IF(GL_RAW!A879="","",IF(OR(ISNUMBER(SEARCH("Out",F879)),ISNUMBER(SEARCH("11025002",F879)),H879&lt;0),"OUT","IN"))</f>
        <v/>
      </c>
      <c r="K879" s="11" t="inlineStr"/>
    </row>
    <row r="880">
      <c r="A880" s="13">
        <f>IF(GL_RAW!A880="","",ROW()-1)</f>
        <v/>
      </c>
      <c r="B880" s="10">
        <f>IF(GL_RAW!A880="","",IF(ISNUMBER(GL_RAW!A880),GL_RAW!A880,DATEVALUE(TEXT(GL_RAW!A880,"YYYY-MM-DD"))))</f>
        <v/>
      </c>
      <c r="C880" s="11">
        <f>IF(GL_RAW!A880="","",TRIM(GL_RAW!B880))</f>
        <v/>
      </c>
      <c r="D880" s="11">
        <f>IF(GL_RAW!A880="","",TRIM(GL_RAW!C880))</f>
        <v/>
      </c>
      <c r="E880" s="11">
        <f>IF(GL_RAW!A880="","",TRIM(GL_RAW!D880))</f>
        <v/>
      </c>
      <c r="F880" s="11">
        <f>IF(GL_RAW!A880="","",TRIM(GL_RAW!F880))</f>
        <v/>
      </c>
      <c r="G880" s="11">
        <f>IF(GL_RAW!A880="","",TRIM(GL_RAW!G880))</f>
        <v/>
      </c>
      <c r="H880" s="12">
        <f>IF(GL_RAW!A880="","",IFERROR(GL_RAW!E880,0))</f>
        <v/>
      </c>
      <c r="I880" s="12">
        <f>IF(GL_RAW!A880="","",ABS(H880))</f>
        <v/>
      </c>
      <c r="J880" s="11">
        <f>IF(GL_RAW!A880="","",IF(OR(ISNUMBER(SEARCH("Out",F880)),ISNUMBER(SEARCH("11025002",F880)),H880&lt;0),"OUT","IN"))</f>
        <v/>
      </c>
      <c r="K880" s="11" t="inlineStr"/>
    </row>
    <row r="881">
      <c r="A881" s="13">
        <f>IF(GL_RAW!A881="","",ROW()-1)</f>
        <v/>
      </c>
      <c r="B881" s="10">
        <f>IF(GL_RAW!A881="","",IF(ISNUMBER(GL_RAW!A881),GL_RAW!A881,DATEVALUE(TEXT(GL_RAW!A881,"YYYY-MM-DD"))))</f>
        <v/>
      </c>
      <c r="C881" s="11">
        <f>IF(GL_RAW!A881="","",TRIM(GL_RAW!B881))</f>
        <v/>
      </c>
      <c r="D881" s="11">
        <f>IF(GL_RAW!A881="","",TRIM(GL_RAW!C881))</f>
        <v/>
      </c>
      <c r="E881" s="11">
        <f>IF(GL_RAW!A881="","",TRIM(GL_RAW!D881))</f>
        <v/>
      </c>
      <c r="F881" s="11">
        <f>IF(GL_RAW!A881="","",TRIM(GL_RAW!F881))</f>
        <v/>
      </c>
      <c r="G881" s="11">
        <f>IF(GL_RAW!A881="","",TRIM(GL_RAW!G881))</f>
        <v/>
      </c>
      <c r="H881" s="12">
        <f>IF(GL_RAW!A881="","",IFERROR(GL_RAW!E881,0))</f>
        <v/>
      </c>
      <c r="I881" s="12">
        <f>IF(GL_RAW!A881="","",ABS(H881))</f>
        <v/>
      </c>
      <c r="J881" s="11">
        <f>IF(GL_RAW!A881="","",IF(OR(ISNUMBER(SEARCH("Out",F881)),ISNUMBER(SEARCH("11025002",F881)),H881&lt;0),"OUT","IN"))</f>
        <v/>
      </c>
      <c r="K881" s="11" t="inlineStr"/>
    </row>
    <row r="882">
      <c r="A882" s="13">
        <f>IF(GL_RAW!A882="","",ROW()-1)</f>
        <v/>
      </c>
      <c r="B882" s="10">
        <f>IF(GL_RAW!A882="","",IF(ISNUMBER(GL_RAW!A882),GL_RAW!A882,DATEVALUE(TEXT(GL_RAW!A882,"YYYY-MM-DD"))))</f>
        <v/>
      </c>
      <c r="C882" s="11">
        <f>IF(GL_RAW!A882="","",TRIM(GL_RAW!B882))</f>
        <v/>
      </c>
      <c r="D882" s="11">
        <f>IF(GL_RAW!A882="","",TRIM(GL_RAW!C882))</f>
        <v/>
      </c>
      <c r="E882" s="11">
        <f>IF(GL_RAW!A882="","",TRIM(GL_RAW!D882))</f>
        <v/>
      </c>
      <c r="F882" s="11">
        <f>IF(GL_RAW!A882="","",TRIM(GL_RAW!F882))</f>
        <v/>
      </c>
      <c r="G882" s="11">
        <f>IF(GL_RAW!A882="","",TRIM(GL_RAW!G882))</f>
        <v/>
      </c>
      <c r="H882" s="12">
        <f>IF(GL_RAW!A882="","",IFERROR(GL_RAW!E882,0))</f>
        <v/>
      </c>
      <c r="I882" s="12">
        <f>IF(GL_RAW!A882="","",ABS(H882))</f>
        <v/>
      </c>
      <c r="J882" s="11">
        <f>IF(GL_RAW!A882="","",IF(OR(ISNUMBER(SEARCH("Out",F882)),ISNUMBER(SEARCH("11025002",F882)),H882&lt;0),"OUT","IN"))</f>
        <v/>
      </c>
      <c r="K882" s="11" t="inlineStr"/>
    </row>
    <row r="883">
      <c r="A883" s="13">
        <f>IF(GL_RAW!A883="","",ROW()-1)</f>
        <v/>
      </c>
      <c r="B883" s="10">
        <f>IF(GL_RAW!A883="","",IF(ISNUMBER(GL_RAW!A883),GL_RAW!A883,DATEVALUE(TEXT(GL_RAW!A883,"YYYY-MM-DD"))))</f>
        <v/>
      </c>
      <c r="C883" s="11">
        <f>IF(GL_RAW!A883="","",TRIM(GL_RAW!B883))</f>
        <v/>
      </c>
      <c r="D883" s="11">
        <f>IF(GL_RAW!A883="","",TRIM(GL_RAW!C883))</f>
        <v/>
      </c>
      <c r="E883" s="11">
        <f>IF(GL_RAW!A883="","",TRIM(GL_RAW!D883))</f>
        <v/>
      </c>
      <c r="F883" s="11">
        <f>IF(GL_RAW!A883="","",TRIM(GL_RAW!F883))</f>
        <v/>
      </c>
      <c r="G883" s="11">
        <f>IF(GL_RAW!A883="","",TRIM(GL_RAW!G883))</f>
        <v/>
      </c>
      <c r="H883" s="12">
        <f>IF(GL_RAW!A883="","",IFERROR(GL_RAW!E883,0))</f>
        <v/>
      </c>
      <c r="I883" s="12">
        <f>IF(GL_RAW!A883="","",ABS(H883))</f>
        <v/>
      </c>
      <c r="J883" s="11">
        <f>IF(GL_RAW!A883="","",IF(OR(ISNUMBER(SEARCH("Out",F883)),ISNUMBER(SEARCH("11025002",F883)),H883&lt;0),"OUT","IN"))</f>
        <v/>
      </c>
      <c r="K883" s="11" t="inlineStr"/>
    </row>
    <row r="884">
      <c r="A884" s="13">
        <f>IF(GL_RAW!A884="","",ROW()-1)</f>
        <v/>
      </c>
      <c r="B884" s="10">
        <f>IF(GL_RAW!A884="","",IF(ISNUMBER(GL_RAW!A884),GL_RAW!A884,DATEVALUE(TEXT(GL_RAW!A884,"YYYY-MM-DD"))))</f>
        <v/>
      </c>
      <c r="C884" s="11">
        <f>IF(GL_RAW!A884="","",TRIM(GL_RAW!B884))</f>
        <v/>
      </c>
      <c r="D884" s="11">
        <f>IF(GL_RAW!A884="","",TRIM(GL_RAW!C884))</f>
        <v/>
      </c>
      <c r="E884" s="11">
        <f>IF(GL_RAW!A884="","",TRIM(GL_RAW!D884))</f>
        <v/>
      </c>
      <c r="F884" s="11">
        <f>IF(GL_RAW!A884="","",TRIM(GL_RAW!F884))</f>
        <v/>
      </c>
      <c r="G884" s="11">
        <f>IF(GL_RAW!A884="","",TRIM(GL_RAW!G884))</f>
        <v/>
      </c>
      <c r="H884" s="12">
        <f>IF(GL_RAW!A884="","",IFERROR(GL_RAW!E884,0))</f>
        <v/>
      </c>
      <c r="I884" s="12">
        <f>IF(GL_RAW!A884="","",ABS(H884))</f>
        <v/>
      </c>
      <c r="J884" s="11">
        <f>IF(GL_RAW!A884="","",IF(OR(ISNUMBER(SEARCH("Out",F884)),ISNUMBER(SEARCH("11025002",F884)),H884&lt;0),"OUT","IN"))</f>
        <v/>
      </c>
      <c r="K884" s="11" t="inlineStr"/>
    </row>
    <row r="885">
      <c r="A885" s="13">
        <f>IF(GL_RAW!A885="","",ROW()-1)</f>
        <v/>
      </c>
      <c r="B885" s="10">
        <f>IF(GL_RAW!A885="","",IF(ISNUMBER(GL_RAW!A885),GL_RAW!A885,DATEVALUE(TEXT(GL_RAW!A885,"YYYY-MM-DD"))))</f>
        <v/>
      </c>
      <c r="C885" s="11">
        <f>IF(GL_RAW!A885="","",TRIM(GL_RAW!B885))</f>
        <v/>
      </c>
      <c r="D885" s="11">
        <f>IF(GL_RAW!A885="","",TRIM(GL_RAW!C885))</f>
        <v/>
      </c>
      <c r="E885" s="11">
        <f>IF(GL_RAW!A885="","",TRIM(GL_RAW!D885))</f>
        <v/>
      </c>
      <c r="F885" s="11">
        <f>IF(GL_RAW!A885="","",TRIM(GL_RAW!F885))</f>
        <v/>
      </c>
      <c r="G885" s="11">
        <f>IF(GL_RAW!A885="","",TRIM(GL_RAW!G885))</f>
        <v/>
      </c>
      <c r="H885" s="12">
        <f>IF(GL_RAW!A885="","",IFERROR(GL_RAW!E885,0))</f>
        <v/>
      </c>
      <c r="I885" s="12">
        <f>IF(GL_RAW!A885="","",ABS(H885))</f>
        <v/>
      </c>
      <c r="J885" s="11">
        <f>IF(GL_RAW!A885="","",IF(OR(ISNUMBER(SEARCH("Out",F885)),ISNUMBER(SEARCH("11025002",F885)),H885&lt;0),"OUT","IN"))</f>
        <v/>
      </c>
      <c r="K885" s="11" t="inlineStr"/>
    </row>
    <row r="886">
      <c r="A886" s="13">
        <f>IF(GL_RAW!A886="","",ROW()-1)</f>
        <v/>
      </c>
      <c r="B886" s="10">
        <f>IF(GL_RAW!A886="","",IF(ISNUMBER(GL_RAW!A886),GL_RAW!A886,DATEVALUE(TEXT(GL_RAW!A886,"YYYY-MM-DD"))))</f>
        <v/>
      </c>
      <c r="C886" s="11">
        <f>IF(GL_RAW!A886="","",TRIM(GL_RAW!B886))</f>
        <v/>
      </c>
      <c r="D886" s="11">
        <f>IF(GL_RAW!A886="","",TRIM(GL_RAW!C886))</f>
        <v/>
      </c>
      <c r="E886" s="11">
        <f>IF(GL_RAW!A886="","",TRIM(GL_RAW!D886))</f>
        <v/>
      </c>
      <c r="F886" s="11">
        <f>IF(GL_RAW!A886="","",TRIM(GL_RAW!F886))</f>
        <v/>
      </c>
      <c r="G886" s="11">
        <f>IF(GL_RAW!A886="","",TRIM(GL_RAW!G886))</f>
        <v/>
      </c>
      <c r="H886" s="12">
        <f>IF(GL_RAW!A886="","",IFERROR(GL_RAW!E886,0))</f>
        <v/>
      </c>
      <c r="I886" s="12">
        <f>IF(GL_RAW!A886="","",ABS(H886))</f>
        <v/>
      </c>
      <c r="J886" s="11">
        <f>IF(GL_RAW!A886="","",IF(OR(ISNUMBER(SEARCH("Out",F886)),ISNUMBER(SEARCH("11025002",F886)),H886&lt;0),"OUT","IN"))</f>
        <v/>
      </c>
      <c r="K886" s="11" t="inlineStr"/>
    </row>
    <row r="887">
      <c r="A887" s="13">
        <f>IF(GL_RAW!A887="","",ROW()-1)</f>
        <v/>
      </c>
      <c r="B887" s="10">
        <f>IF(GL_RAW!A887="","",IF(ISNUMBER(GL_RAW!A887),GL_RAW!A887,DATEVALUE(TEXT(GL_RAW!A887,"YYYY-MM-DD"))))</f>
        <v/>
      </c>
      <c r="C887" s="11">
        <f>IF(GL_RAW!A887="","",TRIM(GL_RAW!B887))</f>
        <v/>
      </c>
      <c r="D887" s="11">
        <f>IF(GL_RAW!A887="","",TRIM(GL_RAW!C887))</f>
        <v/>
      </c>
      <c r="E887" s="11">
        <f>IF(GL_RAW!A887="","",TRIM(GL_RAW!D887))</f>
        <v/>
      </c>
      <c r="F887" s="11">
        <f>IF(GL_RAW!A887="","",TRIM(GL_RAW!F887))</f>
        <v/>
      </c>
      <c r="G887" s="11">
        <f>IF(GL_RAW!A887="","",TRIM(GL_RAW!G887))</f>
        <v/>
      </c>
      <c r="H887" s="12">
        <f>IF(GL_RAW!A887="","",IFERROR(GL_RAW!E887,0))</f>
        <v/>
      </c>
      <c r="I887" s="12">
        <f>IF(GL_RAW!A887="","",ABS(H887))</f>
        <v/>
      </c>
      <c r="J887" s="11">
        <f>IF(GL_RAW!A887="","",IF(OR(ISNUMBER(SEARCH("Out",F887)),ISNUMBER(SEARCH("11025002",F887)),H887&lt;0),"OUT","IN"))</f>
        <v/>
      </c>
      <c r="K887" s="11" t="inlineStr"/>
    </row>
    <row r="888">
      <c r="A888" s="13">
        <f>IF(GL_RAW!A888="","",ROW()-1)</f>
        <v/>
      </c>
      <c r="B888" s="10">
        <f>IF(GL_RAW!A888="","",IF(ISNUMBER(GL_RAW!A888),GL_RAW!A888,DATEVALUE(TEXT(GL_RAW!A888,"YYYY-MM-DD"))))</f>
        <v/>
      </c>
      <c r="C888" s="11">
        <f>IF(GL_RAW!A888="","",TRIM(GL_RAW!B888))</f>
        <v/>
      </c>
      <c r="D888" s="11">
        <f>IF(GL_RAW!A888="","",TRIM(GL_RAW!C888))</f>
        <v/>
      </c>
      <c r="E888" s="11">
        <f>IF(GL_RAW!A888="","",TRIM(GL_RAW!D888))</f>
        <v/>
      </c>
      <c r="F888" s="11">
        <f>IF(GL_RAW!A888="","",TRIM(GL_RAW!F888))</f>
        <v/>
      </c>
      <c r="G888" s="11">
        <f>IF(GL_RAW!A888="","",TRIM(GL_RAW!G888))</f>
        <v/>
      </c>
      <c r="H888" s="12">
        <f>IF(GL_RAW!A888="","",IFERROR(GL_RAW!E888,0))</f>
        <v/>
      </c>
      <c r="I888" s="12">
        <f>IF(GL_RAW!A888="","",ABS(H888))</f>
        <v/>
      </c>
      <c r="J888" s="11">
        <f>IF(GL_RAW!A888="","",IF(OR(ISNUMBER(SEARCH("Out",F888)),ISNUMBER(SEARCH("11025002",F888)),H888&lt;0),"OUT","IN"))</f>
        <v/>
      </c>
      <c r="K888" s="11" t="inlineStr"/>
    </row>
    <row r="889">
      <c r="A889" s="13">
        <f>IF(GL_RAW!A889="","",ROW()-1)</f>
        <v/>
      </c>
      <c r="B889" s="10">
        <f>IF(GL_RAW!A889="","",IF(ISNUMBER(GL_RAW!A889),GL_RAW!A889,DATEVALUE(TEXT(GL_RAW!A889,"YYYY-MM-DD"))))</f>
        <v/>
      </c>
      <c r="C889" s="11">
        <f>IF(GL_RAW!A889="","",TRIM(GL_RAW!B889))</f>
        <v/>
      </c>
      <c r="D889" s="11">
        <f>IF(GL_RAW!A889="","",TRIM(GL_RAW!C889))</f>
        <v/>
      </c>
      <c r="E889" s="11">
        <f>IF(GL_RAW!A889="","",TRIM(GL_RAW!D889))</f>
        <v/>
      </c>
      <c r="F889" s="11">
        <f>IF(GL_RAW!A889="","",TRIM(GL_RAW!F889))</f>
        <v/>
      </c>
      <c r="G889" s="11">
        <f>IF(GL_RAW!A889="","",TRIM(GL_RAW!G889))</f>
        <v/>
      </c>
      <c r="H889" s="12">
        <f>IF(GL_RAW!A889="","",IFERROR(GL_RAW!E889,0))</f>
        <v/>
      </c>
      <c r="I889" s="12">
        <f>IF(GL_RAW!A889="","",ABS(H889))</f>
        <v/>
      </c>
      <c r="J889" s="11">
        <f>IF(GL_RAW!A889="","",IF(OR(ISNUMBER(SEARCH("Out",F889)),ISNUMBER(SEARCH("11025002",F889)),H889&lt;0),"OUT","IN"))</f>
        <v/>
      </c>
      <c r="K889" s="11" t="inlineStr"/>
    </row>
    <row r="890">
      <c r="A890" s="13">
        <f>IF(GL_RAW!A890="","",ROW()-1)</f>
        <v/>
      </c>
      <c r="B890" s="10">
        <f>IF(GL_RAW!A890="","",IF(ISNUMBER(GL_RAW!A890),GL_RAW!A890,DATEVALUE(TEXT(GL_RAW!A890,"YYYY-MM-DD"))))</f>
        <v/>
      </c>
      <c r="C890" s="11">
        <f>IF(GL_RAW!A890="","",TRIM(GL_RAW!B890))</f>
        <v/>
      </c>
      <c r="D890" s="11">
        <f>IF(GL_RAW!A890="","",TRIM(GL_RAW!C890))</f>
        <v/>
      </c>
      <c r="E890" s="11">
        <f>IF(GL_RAW!A890="","",TRIM(GL_RAW!D890))</f>
        <v/>
      </c>
      <c r="F890" s="11">
        <f>IF(GL_RAW!A890="","",TRIM(GL_RAW!F890))</f>
        <v/>
      </c>
      <c r="G890" s="11">
        <f>IF(GL_RAW!A890="","",TRIM(GL_RAW!G890))</f>
        <v/>
      </c>
      <c r="H890" s="12">
        <f>IF(GL_RAW!A890="","",IFERROR(GL_RAW!E890,0))</f>
        <v/>
      </c>
      <c r="I890" s="12">
        <f>IF(GL_RAW!A890="","",ABS(H890))</f>
        <v/>
      </c>
      <c r="J890" s="11">
        <f>IF(GL_RAW!A890="","",IF(OR(ISNUMBER(SEARCH("Out",F890)),ISNUMBER(SEARCH("11025002",F890)),H890&lt;0),"OUT","IN"))</f>
        <v/>
      </c>
      <c r="K890" s="11" t="inlineStr"/>
    </row>
    <row r="891">
      <c r="A891" s="13">
        <f>IF(GL_RAW!A891="","",ROW()-1)</f>
        <v/>
      </c>
      <c r="B891" s="10">
        <f>IF(GL_RAW!A891="","",IF(ISNUMBER(GL_RAW!A891),GL_RAW!A891,DATEVALUE(TEXT(GL_RAW!A891,"YYYY-MM-DD"))))</f>
        <v/>
      </c>
      <c r="C891" s="11">
        <f>IF(GL_RAW!A891="","",TRIM(GL_RAW!B891))</f>
        <v/>
      </c>
      <c r="D891" s="11">
        <f>IF(GL_RAW!A891="","",TRIM(GL_RAW!C891))</f>
        <v/>
      </c>
      <c r="E891" s="11">
        <f>IF(GL_RAW!A891="","",TRIM(GL_RAW!D891))</f>
        <v/>
      </c>
      <c r="F891" s="11">
        <f>IF(GL_RAW!A891="","",TRIM(GL_RAW!F891))</f>
        <v/>
      </c>
      <c r="G891" s="11">
        <f>IF(GL_RAW!A891="","",TRIM(GL_RAW!G891))</f>
        <v/>
      </c>
      <c r="H891" s="12">
        <f>IF(GL_RAW!A891="","",IFERROR(GL_RAW!E891,0))</f>
        <v/>
      </c>
      <c r="I891" s="12">
        <f>IF(GL_RAW!A891="","",ABS(H891))</f>
        <v/>
      </c>
      <c r="J891" s="11">
        <f>IF(GL_RAW!A891="","",IF(OR(ISNUMBER(SEARCH("Out",F891)),ISNUMBER(SEARCH("11025002",F891)),H891&lt;0),"OUT","IN"))</f>
        <v/>
      </c>
      <c r="K891" s="11" t="inlineStr"/>
    </row>
    <row r="892">
      <c r="A892" s="13">
        <f>IF(GL_RAW!A892="","",ROW()-1)</f>
        <v/>
      </c>
      <c r="B892" s="10">
        <f>IF(GL_RAW!A892="","",IF(ISNUMBER(GL_RAW!A892),GL_RAW!A892,DATEVALUE(TEXT(GL_RAW!A892,"YYYY-MM-DD"))))</f>
        <v/>
      </c>
      <c r="C892" s="11">
        <f>IF(GL_RAW!A892="","",TRIM(GL_RAW!B892))</f>
        <v/>
      </c>
      <c r="D892" s="11">
        <f>IF(GL_RAW!A892="","",TRIM(GL_RAW!C892))</f>
        <v/>
      </c>
      <c r="E892" s="11">
        <f>IF(GL_RAW!A892="","",TRIM(GL_RAW!D892))</f>
        <v/>
      </c>
      <c r="F892" s="11">
        <f>IF(GL_RAW!A892="","",TRIM(GL_RAW!F892))</f>
        <v/>
      </c>
      <c r="G892" s="11">
        <f>IF(GL_RAW!A892="","",TRIM(GL_RAW!G892))</f>
        <v/>
      </c>
      <c r="H892" s="12">
        <f>IF(GL_RAW!A892="","",IFERROR(GL_RAW!E892,0))</f>
        <v/>
      </c>
      <c r="I892" s="12">
        <f>IF(GL_RAW!A892="","",ABS(H892))</f>
        <v/>
      </c>
      <c r="J892" s="11">
        <f>IF(GL_RAW!A892="","",IF(OR(ISNUMBER(SEARCH("Out",F892)),ISNUMBER(SEARCH("11025002",F892)),H892&lt;0),"OUT","IN"))</f>
        <v/>
      </c>
      <c r="K892" s="11" t="inlineStr"/>
    </row>
    <row r="893">
      <c r="A893" s="13">
        <f>IF(GL_RAW!A893="","",ROW()-1)</f>
        <v/>
      </c>
      <c r="B893" s="10">
        <f>IF(GL_RAW!A893="","",IF(ISNUMBER(GL_RAW!A893),GL_RAW!A893,DATEVALUE(TEXT(GL_RAW!A893,"YYYY-MM-DD"))))</f>
        <v/>
      </c>
      <c r="C893" s="11">
        <f>IF(GL_RAW!A893="","",TRIM(GL_RAW!B893))</f>
        <v/>
      </c>
      <c r="D893" s="11">
        <f>IF(GL_RAW!A893="","",TRIM(GL_RAW!C893))</f>
        <v/>
      </c>
      <c r="E893" s="11">
        <f>IF(GL_RAW!A893="","",TRIM(GL_RAW!D893))</f>
        <v/>
      </c>
      <c r="F893" s="11">
        <f>IF(GL_RAW!A893="","",TRIM(GL_RAW!F893))</f>
        <v/>
      </c>
      <c r="G893" s="11">
        <f>IF(GL_RAW!A893="","",TRIM(GL_RAW!G893))</f>
        <v/>
      </c>
      <c r="H893" s="12">
        <f>IF(GL_RAW!A893="","",IFERROR(GL_RAW!E893,0))</f>
        <v/>
      </c>
      <c r="I893" s="12">
        <f>IF(GL_RAW!A893="","",ABS(H893))</f>
        <v/>
      </c>
      <c r="J893" s="11">
        <f>IF(GL_RAW!A893="","",IF(OR(ISNUMBER(SEARCH("Out",F893)),ISNUMBER(SEARCH("11025002",F893)),H893&lt;0),"OUT","IN"))</f>
        <v/>
      </c>
      <c r="K893" s="11" t="inlineStr"/>
    </row>
    <row r="894">
      <c r="A894" s="13">
        <f>IF(GL_RAW!A894="","",ROW()-1)</f>
        <v/>
      </c>
      <c r="B894" s="10">
        <f>IF(GL_RAW!A894="","",IF(ISNUMBER(GL_RAW!A894),GL_RAW!A894,DATEVALUE(TEXT(GL_RAW!A894,"YYYY-MM-DD"))))</f>
        <v/>
      </c>
      <c r="C894" s="11">
        <f>IF(GL_RAW!A894="","",TRIM(GL_RAW!B894))</f>
        <v/>
      </c>
      <c r="D894" s="11">
        <f>IF(GL_RAW!A894="","",TRIM(GL_RAW!C894))</f>
        <v/>
      </c>
      <c r="E894" s="11">
        <f>IF(GL_RAW!A894="","",TRIM(GL_RAW!D894))</f>
        <v/>
      </c>
      <c r="F894" s="11">
        <f>IF(GL_RAW!A894="","",TRIM(GL_RAW!F894))</f>
        <v/>
      </c>
      <c r="G894" s="11">
        <f>IF(GL_RAW!A894="","",TRIM(GL_RAW!G894))</f>
        <v/>
      </c>
      <c r="H894" s="12">
        <f>IF(GL_RAW!A894="","",IFERROR(GL_RAW!E894,0))</f>
        <v/>
      </c>
      <c r="I894" s="12">
        <f>IF(GL_RAW!A894="","",ABS(H894))</f>
        <v/>
      </c>
      <c r="J894" s="11">
        <f>IF(GL_RAW!A894="","",IF(OR(ISNUMBER(SEARCH("Out",F894)),ISNUMBER(SEARCH("11025002",F894)),H894&lt;0),"OUT","IN"))</f>
        <v/>
      </c>
      <c r="K894" s="11" t="inlineStr"/>
    </row>
    <row r="895">
      <c r="A895" s="13">
        <f>IF(GL_RAW!A895="","",ROW()-1)</f>
        <v/>
      </c>
      <c r="B895" s="10">
        <f>IF(GL_RAW!A895="","",IF(ISNUMBER(GL_RAW!A895),GL_RAW!A895,DATEVALUE(TEXT(GL_RAW!A895,"YYYY-MM-DD"))))</f>
        <v/>
      </c>
      <c r="C895" s="11">
        <f>IF(GL_RAW!A895="","",TRIM(GL_RAW!B895))</f>
        <v/>
      </c>
      <c r="D895" s="11">
        <f>IF(GL_RAW!A895="","",TRIM(GL_RAW!C895))</f>
        <v/>
      </c>
      <c r="E895" s="11">
        <f>IF(GL_RAW!A895="","",TRIM(GL_RAW!D895))</f>
        <v/>
      </c>
      <c r="F895" s="11">
        <f>IF(GL_RAW!A895="","",TRIM(GL_RAW!F895))</f>
        <v/>
      </c>
      <c r="G895" s="11">
        <f>IF(GL_RAW!A895="","",TRIM(GL_RAW!G895))</f>
        <v/>
      </c>
      <c r="H895" s="12">
        <f>IF(GL_RAW!A895="","",IFERROR(GL_RAW!E895,0))</f>
        <v/>
      </c>
      <c r="I895" s="12">
        <f>IF(GL_RAW!A895="","",ABS(H895))</f>
        <v/>
      </c>
      <c r="J895" s="11">
        <f>IF(GL_RAW!A895="","",IF(OR(ISNUMBER(SEARCH("Out",F895)),ISNUMBER(SEARCH("11025002",F895)),H895&lt;0),"OUT","IN"))</f>
        <v/>
      </c>
      <c r="K895" s="11" t="inlineStr"/>
    </row>
    <row r="896">
      <c r="A896" s="13">
        <f>IF(GL_RAW!A896="","",ROW()-1)</f>
        <v/>
      </c>
      <c r="B896" s="10">
        <f>IF(GL_RAW!A896="","",IF(ISNUMBER(GL_RAW!A896),GL_RAW!A896,DATEVALUE(TEXT(GL_RAW!A896,"YYYY-MM-DD"))))</f>
        <v/>
      </c>
      <c r="C896" s="11">
        <f>IF(GL_RAW!A896="","",TRIM(GL_RAW!B896))</f>
        <v/>
      </c>
      <c r="D896" s="11">
        <f>IF(GL_RAW!A896="","",TRIM(GL_RAW!C896))</f>
        <v/>
      </c>
      <c r="E896" s="11">
        <f>IF(GL_RAW!A896="","",TRIM(GL_RAW!D896))</f>
        <v/>
      </c>
      <c r="F896" s="11">
        <f>IF(GL_RAW!A896="","",TRIM(GL_RAW!F896))</f>
        <v/>
      </c>
      <c r="G896" s="11">
        <f>IF(GL_RAW!A896="","",TRIM(GL_RAW!G896))</f>
        <v/>
      </c>
      <c r="H896" s="12">
        <f>IF(GL_RAW!A896="","",IFERROR(GL_RAW!E896,0))</f>
        <v/>
      </c>
      <c r="I896" s="12">
        <f>IF(GL_RAW!A896="","",ABS(H896))</f>
        <v/>
      </c>
      <c r="J896" s="11">
        <f>IF(GL_RAW!A896="","",IF(OR(ISNUMBER(SEARCH("Out",F896)),ISNUMBER(SEARCH("11025002",F896)),H896&lt;0),"OUT","IN"))</f>
        <v/>
      </c>
      <c r="K896" s="11" t="inlineStr"/>
    </row>
    <row r="897">
      <c r="A897" s="13">
        <f>IF(GL_RAW!A897="","",ROW()-1)</f>
        <v/>
      </c>
      <c r="B897" s="10">
        <f>IF(GL_RAW!A897="","",IF(ISNUMBER(GL_RAW!A897),GL_RAW!A897,DATEVALUE(TEXT(GL_RAW!A897,"YYYY-MM-DD"))))</f>
        <v/>
      </c>
      <c r="C897" s="11">
        <f>IF(GL_RAW!A897="","",TRIM(GL_RAW!B897))</f>
        <v/>
      </c>
      <c r="D897" s="11">
        <f>IF(GL_RAW!A897="","",TRIM(GL_RAW!C897))</f>
        <v/>
      </c>
      <c r="E897" s="11">
        <f>IF(GL_RAW!A897="","",TRIM(GL_RAW!D897))</f>
        <v/>
      </c>
      <c r="F897" s="11">
        <f>IF(GL_RAW!A897="","",TRIM(GL_RAW!F897))</f>
        <v/>
      </c>
      <c r="G897" s="11">
        <f>IF(GL_RAW!A897="","",TRIM(GL_RAW!G897))</f>
        <v/>
      </c>
      <c r="H897" s="12">
        <f>IF(GL_RAW!A897="","",IFERROR(GL_RAW!E897,0))</f>
        <v/>
      </c>
      <c r="I897" s="12">
        <f>IF(GL_RAW!A897="","",ABS(H897))</f>
        <v/>
      </c>
      <c r="J897" s="11">
        <f>IF(GL_RAW!A897="","",IF(OR(ISNUMBER(SEARCH("Out",F897)),ISNUMBER(SEARCH("11025002",F897)),H897&lt;0),"OUT","IN"))</f>
        <v/>
      </c>
      <c r="K897" s="11" t="inlineStr"/>
    </row>
    <row r="898">
      <c r="A898" s="13">
        <f>IF(GL_RAW!A898="","",ROW()-1)</f>
        <v/>
      </c>
      <c r="B898" s="10">
        <f>IF(GL_RAW!A898="","",IF(ISNUMBER(GL_RAW!A898),GL_RAW!A898,DATEVALUE(TEXT(GL_RAW!A898,"YYYY-MM-DD"))))</f>
        <v/>
      </c>
      <c r="C898" s="11">
        <f>IF(GL_RAW!A898="","",TRIM(GL_RAW!B898))</f>
        <v/>
      </c>
      <c r="D898" s="11">
        <f>IF(GL_RAW!A898="","",TRIM(GL_RAW!C898))</f>
        <v/>
      </c>
      <c r="E898" s="11">
        <f>IF(GL_RAW!A898="","",TRIM(GL_RAW!D898))</f>
        <v/>
      </c>
      <c r="F898" s="11">
        <f>IF(GL_RAW!A898="","",TRIM(GL_RAW!F898))</f>
        <v/>
      </c>
      <c r="G898" s="11">
        <f>IF(GL_RAW!A898="","",TRIM(GL_RAW!G898))</f>
        <v/>
      </c>
      <c r="H898" s="12">
        <f>IF(GL_RAW!A898="","",IFERROR(GL_RAW!E898,0))</f>
        <v/>
      </c>
      <c r="I898" s="12">
        <f>IF(GL_RAW!A898="","",ABS(H898))</f>
        <v/>
      </c>
      <c r="J898" s="11">
        <f>IF(GL_RAW!A898="","",IF(OR(ISNUMBER(SEARCH("Out",F898)),ISNUMBER(SEARCH("11025002",F898)),H898&lt;0),"OUT","IN"))</f>
        <v/>
      </c>
      <c r="K898" s="11" t="inlineStr"/>
    </row>
    <row r="899">
      <c r="A899" s="13">
        <f>IF(GL_RAW!A899="","",ROW()-1)</f>
        <v/>
      </c>
      <c r="B899" s="10">
        <f>IF(GL_RAW!A899="","",IF(ISNUMBER(GL_RAW!A899),GL_RAW!A899,DATEVALUE(TEXT(GL_RAW!A899,"YYYY-MM-DD"))))</f>
        <v/>
      </c>
      <c r="C899" s="11">
        <f>IF(GL_RAW!A899="","",TRIM(GL_RAW!B899))</f>
        <v/>
      </c>
      <c r="D899" s="11">
        <f>IF(GL_RAW!A899="","",TRIM(GL_RAW!C899))</f>
        <v/>
      </c>
      <c r="E899" s="11">
        <f>IF(GL_RAW!A899="","",TRIM(GL_RAW!D899))</f>
        <v/>
      </c>
      <c r="F899" s="11">
        <f>IF(GL_RAW!A899="","",TRIM(GL_RAW!F899))</f>
        <v/>
      </c>
      <c r="G899" s="11">
        <f>IF(GL_RAW!A899="","",TRIM(GL_RAW!G899))</f>
        <v/>
      </c>
      <c r="H899" s="12">
        <f>IF(GL_RAW!A899="","",IFERROR(GL_RAW!E899,0))</f>
        <v/>
      </c>
      <c r="I899" s="12">
        <f>IF(GL_RAW!A899="","",ABS(H899))</f>
        <v/>
      </c>
      <c r="J899" s="11">
        <f>IF(GL_RAW!A899="","",IF(OR(ISNUMBER(SEARCH("Out",F899)),ISNUMBER(SEARCH("11025002",F899)),H899&lt;0),"OUT","IN"))</f>
        <v/>
      </c>
      <c r="K899" s="11" t="inlineStr"/>
    </row>
    <row r="900">
      <c r="A900" s="13">
        <f>IF(GL_RAW!A900="","",ROW()-1)</f>
        <v/>
      </c>
      <c r="B900" s="10">
        <f>IF(GL_RAW!A900="","",IF(ISNUMBER(GL_RAW!A900),GL_RAW!A900,DATEVALUE(TEXT(GL_RAW!A900,"YYYY-MM-DD"))))</f>
        <v/>
      </c>
      <c r="C900" s="11">
        <f>IF(GL_RAW!A900="","",TRIM(GL_RAW!B900))</f>
        <v/>
      </c>
      <c r="D900" s="11">
        <f>IF(GL_RAW!A900="","",TRIM(GL_RAW!C900))</f>
        <v/>
      </c>
      <c r="E900" s="11">
        <f>IF(GL_RAW!A900="","",TRIM(GL_RAW!D900))</f>
        <v/>
      </c>
      <c r="F900" s="11">
        <f>IF(GL_RAW!A900="","",TRIM(GL_RAW!F900))</f>
        <v/>
      </c>
      <c r="G900" s="11">
        <f>IF(GL_RAW!A900="","",TRIM(GL_RAW!G900))</f>
        <v/>
      </c>
      <c r="H900" s="12">
        <f>IF(GL_RAW!A900="","",IFERROR(GL_RAW!E900,0))</f>
        <v/>
      </c>
      <c r="I900" s="12">
        <f>IF(GL_RAW!A900="","",ABS(H900))</f>
        <v/>
      </c>
      <c r="J900" s="11">
        <f>IF(GL_RAW!A900="","",IF(OR(ISNUMBER(SEARCH("Out",F900)),ISNUMBER(SEARCH("11025002",F900)),H900&lt;0),"OUT","IN"))</f>
        <v/>
      </c>
      <c r="K900" s="11" t="inlineStr"/>
    </row>
    <row r="901">
      <c r="A901" s="13">
        <f>IF(GL_RAW!A901="","",ROW()-1)</f>
        <v/>
      </c>
      <c r="B901" s="10">
        <f>IF(GL_RAW!A901="","",IF(ISNUMBER(GL_RAW!A901),GL_RAW!A901,DATEVALUE(TEXT(GL_RAW!A901,"YYYY-MM-DD"))))</f>
        <v/>
      </c>
      <c r="C901" s="11">
        <f>IF(GL_RAW!A901="","",TRIM(GL_RAW!B901))</f>
        <v/>
      </c>
      <c r="D901" s="11">
        <f>IF(GL_RAW!A901="","",TRIM(GL_RAW!C901))</f>
        <v/>
      </c>
      <c r="E901" s="11">
        <f>IF(GL_RAW!A901="","",TRIM(GL_RAW!D901))</f>
        <v/>
      </c>
      <c r="F901" s="11">
        <f>IF(GL_RAW!A901="","",TRIM(GL_RAW!F901))</f>
        <v/>
      </c>
      <c r="G901" s="11">
        <f>IF(GL_RAW!A901="","",TRIM(GL_RAW!G901))</f>
        <v/>
      </c>
      <c r="H901" s="12">
        <f>IF(GL_RAW!A901="","",IFERROR(GL_RAW!E901,0))</f>
        <v/>
      </c>
      <c r="I901" s="12">
        <f>IF(GL_RAW!A901="","",ABS(H901))</f>
        <v/>
      </c>
      <c r="J901" s="11">
        <f>IF(GL_RAW!A901="","",IF(OR(ISNUMBER(SEARCH("Out",F901)),ISNUMBER(SEARCH("11025002",F901)),H901&lt;0),"OUT","IN"))</f>
        <v/>
      </c>
      <c r="K901" s="11" t="inlineStr"/>
    </row>
    <row r="902">
      <c r="A902" s="13">
        <f>IF(GL_RAW!A902="","",ROW()-1)</f>
        <v/>
      </c>
      <c r="B902" s="10">
        <f>IF(GL_RAW!A902="","",IF(ISNUMBER(GL_RAW!A902),GL_RAW!A902,DATEVALUE(TEXT(GL_RAW!A902,"YYYY-MM-DD"))))</f>
        <v/>
      </c>
      <c r="C902" s="11">
        <f>IF(GL_RAW!A902="","",TRIM(GL_RAW!B902))</f>
        <v/>
      </c>
      <c r="D902" s="11">
        <f>IF(GL_RAW!A902="","",TRIM(GL_RAW!C902))</f>
        <v/>
      </c>
      <c r="E902" s="11">
        <f>IF(GL_RAW!A902="","",TRIM(GL_RAW!D902))</f>
        <v/>
      </c>
      <c r="F902" s="11">
        <f>IF(GL_RAW!A902="","",TRIM(GL_RAW!F902))</f>
        <v/>
      </c>
      <c r="G902" s="11">
        <f>IF(GL_RAW!A902="","",TRIM(GL_RAW!G902))</f>
        <v/>
      </c>
      <c r="H902" s="12">
        <f>IF(GL_RAW!A902="","",IFERROR(GL_RAW!E902,0))</f>
        <v/>
      </c>
      <c r="I902" s="12">
        <f>IF(GL_RAW!A902="","",ABS(H902))</f>
        <v/>
      </c>
      <c r="J902" s="11">
        <f>IF(GL_RAW!A902="","",IF(OR(ISNUMBER(SEARCH("Out",F902)),ISNUMBER(SEARCH("11025002",F902)),H902&lt;0),"OUT","IN"))</f>
        <v/>
      </c>
      <c r="K902" s="11" t="inlineStr"/>
    </row>
    <row r="903">
      <c r="A903" s="13">
        <f>IF(GL_RAW!A903="","",ROW()-1)</f>
        <v/>
      </c>
      <c r="B903" s="10">
        <f>IF(GL_RAW!A903="","",IF(ISNUMBER(GL_RAW!A903),GL_RAW!A903,DATEVALUE(TEXT(GL_RAW!A903,"YYYY-MM-DD"))))</f>
        <v/>
      </c>
      <c r="C903" s="11">
        <f>IF(GL_RAW!A903="","",TRIM(GL_RAW!B903))</f>
        <v/>
      </c>
      <c r="D903" s="11">
        <f>IF(GL_RAW!A903="","",TRIM(GL_RAW!C903))</f>
        <v/>
      </c>
      <c r="E903" s="11">
        <f>IF(GL_RAW!A903="","",TRIM(GL_RAW!D903))</f>
        <v/>
      </c>
      <c r="F903" s="11">
        <f>IF(GL_RAW!A903="","",TRIM(GL_RAW!F903))</f>
        <v/>
      </c>
      <c r="G903" s="11">
        <f>IF(GL_RAW!A903="","",TRIM(GL_RAW!G903))</f>
        <v/>
      </c>
      <c r="H903" s="12">
        <f>IF(GL_RAW!A903="","",IFERROR(GL_RAW!E903,0))</f>
        <v/>
      </c>
      <c r="I903" s="12">
        <f>IF(GL_RAW!A903="","",ABS(H903))</f>
        <v/>
      </c>
      <c r="J903" s="11">
        <f>IF(GL_RAW!A903="","",IF(OR(ISNUMBER(SEARCH("Out",F903)),ISNUMBER(SEARCH("11025002",F903)),H903&lt;0),"OUT","IN"))</f>
        <v/>
      </c>
      <c r="K903" s="11" t="inlineStr"/>
    </row>
    <row r="904">
      <c r="A904" s="13">
        <f>IF(GL_RAW!A904="","",ROW()-1)</f>
        <v/>
      </c>
      <c r="B904" s="10">
        <f>IF(GL_RAW!A904="","",IF(ISNUMBER(GL_RAW!A904),GL_RAW!A904,DATEVALUE(TEXT(GL_RAW!A904,"YYYY-MM-DD"))))</f>
        <v/>
      </c>
      <c r="C904" s="11">
        <f>IF(GL_RAW!A904="","",TRIM(GL_RAW!B904))</f>
        <v/>
      </c>
      <c r="D904" s="11">
        <f>IF(GL_RAW!A904="","",TRIM(GL_RAW!C904))</f>
        <v/>
      </c>
      <c r="E904" s="11">
        <f>IF(GL_RAW!A904="","",TRIM(GL_RAW!D904))</f>
        <v/>
      </c>
      <c r="F904" s="11">
        <f>IF(GL_RAW!A904="","",TRIM(GL_RAW!F904))</f>
        <v/>
      </c>
      <c r="G904" s="11">
        <f>IF(GL_RAW!A904="","",TRIM(GL_RAW!G904))</f>
        <v/>
      </c>
      <c r="H904" s="12">
        <f>IF(GL_RAW!A904="","",IFERROR(GL_RAW!E904,0))</f>
        <v/>
      </c>
      <c r="I904" s="12">
        <f>IF(GL_RAW!A904="","",ABS(H904))</f>
        <v/>
      </c>
      <c r="J904" s="11">
        <f>IF(GL_RAW!A904="","",IF(OR(ISNUMBER(SEARCH("Out",F904)),ISNUMBER(SEARCH("11025002",F904)),H904&lt;0),"OUT","IN"))</f>
        <v/>
      </c>
      <c r="K904" s="11" t="inlineStr"/>
    </row>
    <row r="905">
      <c r="A905" s="13">
        <f>IF(GL_RAW!A905="","",ROW()-1)</f>
        <v/>
      </c>
      <c r="B905" s="10">
        <f>IF(GL_RAW!A905="","",IF(ISNUMBER(GL_RAW!A905),GL_RAW!A905,DATEVALUE(TEXT(GL_RAW!A905,"YYYY-MM-DD"))))</f>
        <v/>
      </c>
      <c r="C905" s="11">
        <f>IF(GL_RAW!A905="","",TRIM(GL_RAW!B905))</f>
        <v/>
      </c>
      <c r="D905" s="11">
        <f>IF(GL_RAW!A905="","",TRIM(GL_RAW!C905))</f>
        <v/>
      </c>
      <c r="E905" s="11">
        <f>IF(GL_RAW!A905="","",TRIM(GL_RAW!D905))</f>
        <v/>
      </c>
      <c r="F905" s="11">
        <f>IF(GL_RAW!A905="","",TRIM(GL_RAW!F905))</f>
        <v/>
      </c>
      <c r="G905" s="11">
        <f>IF(GL_RAW!A905="","",TRIM(GL_RAW!G905))</f>
        <v/>
      </c>
      <c r="H905" s="12">
        <f>IF(GL_RAW!A905="","",IFERROR(GL_RAW!E905,0))</f>
        <v/>
      </c>
      <c r="I905" s="12">
        <f>IF(GL_RAW!A905="","",ABS(H905))</f>
        <v/>
      </c>
      <c r="J905" s="11">
        <f>IF(GL_RAW!A905="","",IF(OR(ISNUMBER(SEARCH("Out",F905)),ISNUMBER(SEARCH("11025002",F905)),H905&lt;0),"OUT","IN"))</f>
        <v/>
      </c>
      <c r="K905" s="11" t="inlineStr"/>
    </row>
    <row r="906">
      <c r="A906" s="13">
        <f>IF(GL_RAW!A906="","",ROW()-1)</f>
        <v/>
      </c>
      <c r="B906" s="10">
        <f>IF(GL_RAW!A906="","",IF(ISNUMBER(GL_RAW!A906),GL_RAW!A906,DATEVALUE(TEXT(GL_RAW!A906,"YYYY-MM-DD"))))</f>
        <v/>
      </c>
      <c r="C906" s="11">
        <f>IF(GL_RAW!A906="","",TRIM(GL_RAW!B906))</f>
        <v/>
      </c>
      <c r="D906" s="11">
        <f>IF(GL_RAW!A906="","",TRIM(GL_RAW!C906))</f>
        <v/>
      </c>
      <c r="E906" s="11">
        <f>IF(GL_RAW!A906="","",TRIM(GL_RAW!D906))</f>
        <v/>
      </c>
      <c r="F906" s="11">
        <f>IF(GL_RAW!A906="","",TRIM(GL_RAW!F906))</f>
        <v/>
      </c>
      <c r="G906" s="11">
        <f>IF(GL_RAW!A906="","",TRIM(GL_RAW!G906))</f>
        <v/>
      </c>
      <c r="H906" s="12">
        <f>IF(GL_RAW!A906="","",IFERROR(GL_RAW!E906,0))</f>
        <v/>
      </c>
      <c r="I906" s="12">
        <f>IF(GL_RAW!A906="","",ABS(H906))</f>
        <v/>
      </c>
      <c r="J906" s="11">
        <f>IF(GL_RAW!A906="","",IF(OR(ISNUMBER(SEARCH("Out",F906)),ISNUMBER(SEARCH("11025002",F906)),H906&lt;0),"OUT","IN"))</f>
        <v/>
      </c>
      <c r="K906" s="11" t="inlineStr"/>
    </row>
    <row r="907">
      <c r="A907" s="13">
        <f>IF(GL_RAW!A907="","",ROW()-1)</f>
        <v/>
      </c>
      <c r="B907" s="10">
        <f>IF(GL_RAW!A907="","",IF(ISNUMBER(GL_RAW!A907),GL_RAW!A907,DATEVALUE(TEXT(GL_RAW!A907,"YYYY-MM-DD"))))</f>
        <v/>
      </c>
      <c r="C907" s="11">
        <f>IF(GL_RAW!A907="","",TRIM(GL_RAW!B907))</f>
        <v/>
      </c>
      <c r="D907" s="11">
        <f>IF(GL_RAW!A907="","",TRIM(GL_RAW!C907))</f>
        <v/>
      </c>
      <c r="E907" s="11">
        <f>IF(GL_RAW!A907="","",TRIM(GL_RAW!D907))</f>
        <v/>
      </c>
      <c r="F907" s="11">
        <f>IF(GL_RAW!A907="","",TRIM(GL_RAW!F907))</f>
        <v/>
      </c>
      <c r="G907" s="11">
        <f>IF(GL_RAW!A907="","",TRIM(GL_RAW!G907))</f>
        <v/>
      </c>
      <c r="H907" s="12">
        <f>IF(GL_RAW!A907="","",IFERROR(GL_RAW!E907,0))</f>
        <v/>
      </c>
      <c r="I907" s="12">
        <f>IF(GL_RAW!A907="","",ABS(H907))</f>
        <v/>
      </c>
      <c r="J907" s="11">
        <f>IF(GL_RAW!A907="","",IF(OR(ISNUMBER(SEARCH("Out",F907)),ISNUMBER(SEARCH("11025002",F907)),H907&lt;0),"OUT","IN"))</f>
        <v/>
      </c>
      <c r="K907" s="11" t="inlineStr"/>
    </row>
    <row r="908">
      <c r="A908" s="13">
        <f>IF(GL_RAW!A908="","",ROW()-1)</f>
        <v/>
      </c>
      <c r="B908" s="10">
        <f>IF(GL_RAW!A908="","",IF(ISNUMBER(GL_RAW!A908),GL_RAW!A908,DATEVALUE(TEXT(GL_RAW!A908,"YYYY-MM-DD"))))</f>
        <v/>
      </c>
      <c r="C908" s="11">
        <f>IF(GL_RAW!A908="","",TRIM(GL_RAW!B908))</f>
        <v/>
      </c>
      <c r="D908" s="11">
        <f>IF(GL_RAW!A908="","",TRIM(GL_RAW!C908))</f>
        <v/>
      </c>
      <c r="E908" s="11">
        <f>IF(GL_RAW!A908="","",TRIM(GL_RAW!D908))</f>
        <v/>
      </c>
      <c r="F908" s="11">
        <f>IF(GL_RAW!A908="","",TRIM(GL_RAW!F908))</f>
        <v/>
      </c>
      <c r="G908" s="11">
        <f>IF(GL_RAW!A908="","",TRIM(GL_RAW!G908))</f>
        <v/>
      </c>
      <c r="H908" s="12">
        <f>IF(GL_RAW!A908="","",IFERROR(GL_RAW!E908,0))</f>
        <v/>
      </c>
      <c r="I908" s="12">
        <f>IF(GL_RAW!A908="","",ABS(H908))</f>
        <v/>
      </c>
      <c r="J908" s="11">
        <f>IF(GL_RAW!A908="","",IF(OR(ISNUMBER(SEARCH("Out",F908)),ISNUMBER(SEARCH("11025002",F908)),H908&lt;0),"OUT","IN"))</f>
        <v/>
      </c>
      <c r="K908" s="11" t="inlineStr"/>
    </row>
    <row r="909">
      <c r="A909" s="13">
        <f>IF(GL_RAW!A909="","",ROW()-1)</f>
        <v/>
      </c>
      <c r="B909" s="10">
        <f>IF(GL_RAW!A909="","",IF(ISNUMBER(GL_RAW!A909),GL_RAW!A909,DATEVALUE(TEXT(GL_RAW!A909,"YYYY-MM-DD"))))</f>
        <v/>
      </c>
      <c r="C909" s="11">
        <f>IF(GL_RAW!A909="","",TRIM(GL_RAW!B909))</f>
        <v/>
      </c>
      <c r="D909" s="11">
        <f>IF(GL_RAW!A909="","",TRIM(GL_RAW!C909))</f>
        <v/>
      </c>
      <c r="E909" s="11">
        <f>IF(GL_RAW!A909="","",TRIM(GL_RAW!D909))</f>
        <v/>
      </c>
      <c r="F909" s="11">
        <f>IF(GL_RAW!A909="","",TRIM(GL_RAW!F909))</f>
        <v/>
      </c>
      <c r="G909" s="11">
        <f>IF(GL_RAW!A909="","",TRIM(GL_RAW!G909))</f>
        <v/>
      </c>
      <c r="H909" s="12">
        <f>IF(GL_RAW!A909="","",IFERROR(GL_RAW!E909,0))</f>
        <v/>
      </c>
      <c r="I909" s="12">
        <f>IF(GL_RAW!A909="","",ABS(H909))</f>
        <v/>
      </c>
      <c r="J909" s="11">
        <f>IF(GL_RAW!A909="","",IF(OR(ISNUMBER(SEARCH("Out",F909)),ISNUMBER(SEARCH("11025002",F909)),H909&lt;0),"OUT","IN"))</f>
        <v/>
      </c>
      <c r="K909" s="11" t="inlineStr"/>
    </row>
    <row r="910">
      <c r="A910" s="13">
        <f>IF(GL_RAW!A910="","",ROW()-1)</f>
        <v/>
      </c>
      <c r="B910" s="10">
        <f>IF(GL_RAW!A910="","",IF(ISNUMBER(GL_RAW!A910),GL_RAW!A910,DATEVALUE(TEXT(GL_RAW!A910,"YYYY-MM-DD"))))</f>
        <v/>
      </c>
      <c r="C910" s="11">
        <f>IF(GL_RAW!A910="","",TRIM(GL_RAW!B910))</f>
        <v/>
      </c>
      <c r="D910" s="11">
        <f>IF(GL_RAW!A910="","",TRIM(GL_RAW!C910))</f>
        <v/>
      </c>
      <c r="E910" s="11">
        <f>IF(GL_RAW!A910="","",TRIM(GL_RAW!D910))</f>
        <v/>
      </c>
      <c r="F910" s="11">
        <f>IF(GL_RAW!A910="","",TRIM(GL_RAW!F910))</f>
        <v/>
      </c>
      <c r="G910" s="11">
        <f>IF(GL_RAW!A910="","",TRIM(GL_RAW!G910))</f>
        <v/>
      </c>
      <c r="H910" s="12">
        <f>IF(GL_RAW!A910="","",IFERROR(GL_RAW!E910,0))</f>
        <v/>
      </c>
      <c r="I910" s="12">
        <f>IF(GL_RAW!A910="","",ABS(H910))</f>
        <v/>
      </c>
      <c r="J910" s="11">
        <f>IF(GL_RAW!A910="","",IF(OR(ISNUMBER(SEARCH("Out",F910)),ISNUMBER(SEARCH("11025002",F910)),H910&lt;0),"OUT","IN"))</f>
        <v/>
      </c>
      <c r="K910" s="11" t="inlineStr"/>
    </row>
    <row r="911">
      <c r="A911" s="13">
        <f>IF(GL_RAW!A911="","",ROW()-1)</f>
        <v/>
      </c>
      <c r="B911" s="10">
        <f>IF(GL_RAW!A911="","",IF(ISNUMBER(GL_RAW!A911),GL_RAW!A911,DATEVALUE(TEXT(GL_RAW!A911,"YYYY-MM-DD"))))</f>
        <v/>
      </c>
      <c r="C911" s="11">
        <f>IF(GL_RAW!A911="","",TRIM(GL_RAW!B911))</f>
        <v/>
      </c>
      <c r="D911" s="11">
        <f>IF(GL_RAW!A911="","",TRIM(GL_RAW!C911))</f>
        <v/>
      </c>
      <c r="E911" s="11">
        <f>IF(GL_RAW!A911="","",TRIM(GL_RAW!D911))</f>
        <v/>
      </c>
      <c r="F911" s="11">
        <f>IF(GL_RAW!A911="","",TRIM(GL_RAW!F911))</f>
        <v/>
      </c>
      <c r="G911" s="11">
        <f>IF(GL_RAW!A911="","",TRIM(GL_RAW!G911))</f>
        <v/>
      </c>
      <c r="H911" s="12">
        <f>IF(GL_RAW!A911="","",IFERROR(GL_RAW!E911,0))</f>
        <v/>
      </c>
      <c r="I911" s="12">
        <f>IF(GL_RAW!A911="","",ABS(H911))</f>
        <v/>
      </c>
      <c r="J911" s="11">
        <f>IF(GL_RAW!A911="","",IF(OR(ISNUMBER(SEARCH("Out",F911)),ISNUMBER(SEARCH("11025002",F911)),H911&lt;0),"OUT","IN"))</f>
        <v/>
      </c>
      <c r="K911" s="11" t="inlineStr"/>
    </row>
    <row r="912">
      <c r="A912" s="13">
        <f>IF(GL_RAW!A912="","",ROW()-1)</f>
        <v/>
      </c>
      <c r="B912" s="10">
        <f>IF(GL_RAW!A912="","",IF(ISNUMBER(GL_RAW!A912),GL_RAW!A912,DATEVALUE(TEXT(GL_RAW!A912,"YYYY-MM-DD"))))</f>
        <v/>
      </c>
      <c r="C912" s="11">
        <f>IF(GL_RAW!A912="","",TRIM(GL_RAW!B912))</f>
        <v/>
      </c>
      <c r="D912" s="11">
        <f>IF(GL_RAW!A912="","",TRIM(GL_RAW!C912))</f>
        <v/>
      </c>
      <c r="E912" s="11">
        <f>IF(GL_RAW!A912="","",TRIM(GL_RAW!D912))</f>
        <v/>
      </c>
      <c r="F912" s="11">
        <f>IF(GL_RAW!A912="","",TRIM(GL_RAW!F912))</f>
        <v/>
      </c>
      <c r="G912" s="11">
        <f>IF(GL_RAW!A912="","",TRIM(GL_RAW!G912))</f>
        <v/>
      </c>
      <c r="H912" s="12">
        <f>IF(GL_RAW!A912="","",IFERROR(GL_RAW!E912,0))</f>
        <v/>
      </c>
      <c r="I912" s="12">
        <f>IF(GL_RAW!A912="","",ABS(H912))</f>
        <v/>
      </c>
      <c r="J912" s="11">
        <f>IF(GL_RAW!A912="","",IF(OR(ISNUMBER(SEARCH("Out",F912)),ISNUMBER(SEARCH("11025002",F912)),H912&lt;0),"OUT","IN"))</f>
        <v/>
      </c>
      <c r="K912" s="11" t="inlineStr"/>
    </row>
    <row r="913">
      <c r="A913" s="13">
        <f>IF(GL_RAW!A913="","",ROW()-1)</f>
        <v/>
      </c>
      <c r="B913" s="10">
        <f>IF(GL_RAW!A913="","",IF(ISNUMBER(GL_RAW!A913),GL_RAW!A913,DATEVALUE(TEXT(GL_RAW!A913,"YYYY-MM-DD"))))</f>
        <v/>
      </c>
      <c r="C913" s="11">
        <f>IF(GL_RAW!A913="","",TRIM(GL_RAW!B913))</f>
        <v/>
      </c>
      <c r="D913" s="11">
        <f>IF(GL_RAW!A913="","",TRIM(GL_RAW!C913))</f>
        <v/>
      </c>
      <c r="E913" s="11">
        <f>IF(GL_RAW!A913="","",TRIM(GL_RAW!D913))</f>
        <v/>
      </c>
      <c r="F913" s="11">
        <f>IF(GL_RAW!A913="","",TRIM(GL_RAW!F913))</f>
        <v/>
      </c>
      <c r="G913" s="11">
        <f>IF(GL_RAW!A913="","",TRIM(GL_RAW!G913))</f>
        <v/>
      </c>
      <c r="H913" s="12">
        <f>IF(GL_RAW!A913="","",IFERROR(GL_RAW!E913,0))</f>
        <v/>
      </c>
      <c r="I913" s="12">
        <f>IF(GL_RAW!A913="","",ABS(H913))</f>
        <v/>
      </c>
      <c r="J913" s="11">
        <f>IF(GL_RAW!A913="","",IF(OR(ISNUMBER(SEARCH("Out",F913)),ISNUMBER(SEARCH("11025002",F913)),H913&lt;0),"OUT","IN"))</f>
        <v/>
      </c>
      <c r="K913" s="11" t="inlineStr"/>
    </row>
    <row r="914">
      <c r="A914" s="13">
        <f>IF(GL_RAW!A914="","",ROW()-1)</f>
        <v/>
      </c>
      <c r="B914" s="10">
        <f>IF(GL_RAW!A914="","",IF(ISNUMBER(GL_RAW!A914),GL_RAW!A914,DATEVALUE(TEXT(GL_RAW!A914,"YYYY-MM-DD"))))</f>
        <v/>
      </c>
      <c r="C914" s="11">
        <f>IF(GL_RAW!A914="","",TRIM(GL_RAW!B914))</f>
        <v/>
      </c>
      <c r="D914" s="11">
        <f>IF(GL_RAW!A914="","",TRIM(GL_RAW!C914))</f>
        <v/>
      </c>
      <c r="E914" s="11">
        <f>IF(GL_RAW!A914="","",TRIM(GL_RAW!D914))</f>
        <v/>
      </c>
      <c r="F914" s="11">
        <f>IF(GL_RAW!A914="","",TRIM(GL_RAW!F914))</f>
        <v/>
      </c>
      <c r="G914" s="11">
        <f>IF(GL_RAW!A914="","",TRIM(GL_RAW!G914))</f>
        <v/>
      </c>
      <c r="H914" s="12">
        <f>IF(GL_RAW!A914="","",IFERROR(GL_RAW!E914,0))</f>
        <v/>
      </c>
      <c r="I914" s="12">
        <f>IF(GL_RAW!A914="","",ABS(H914))</f>
        <v/>
      </c>
      <c r="J914" s="11">
        <f>IF(GL_RAW!A914="","",IF(OR(ISNUMBER(SEARCH("Out",F914)),ISNUMBER(SEARCH("11025002",F914)),H914&lt;0),"OUT","IN"))</f>
        <v/>
      </c>
      <c r="K914" s="11" t="inlineStr"/>
    </row>
    <row r="915">
      <c r="A915" s="13">
        <f>IF(GL_RAW!A915="","",ROW()-1)</f>
        <v/>
      </c>
      <c r="B915" s="10">
        <f>IF(GL_RAW!A915="","",IF(ISNUMBER(GL_RAW!A915),GL_RAW!A915,DATEVALUE(TEXT(GL_RAW!A915,"YYYY-MM-DD"))))</f>
        <v/>
      </c>
      <c r="C915" s="11">
        <f>IF(GL_RAW!A915="","",TRIM(GL_RAW!B915))</f>
        <v/>
      </c>
      <c r="D915" s="11">
        <f>IF(GL_RAW!A915="","",TRIM(GL_RAW!C915))</f>
        <v/>
      </c>
      <c r="E915" s="11">
        <f>IF(GL_RAW!A915="","",TRIM(GL_RAW!D915))</f>
        <v/>
      </c>
      <c r="F915" s="11">
        <f>IF(GL_RAW!A915="","",TRIM(GL_RAW!F915))</f>
        <v/>
      </c>
      <c r="G915" s="11">
        <f>IF(GL_RAW!A915="","",TRIM(GL_RAW!G915))</f>
        <v/>
      </c>
      <c r="H915" s="12">
        <f>IF(GL_RAW!A915="","",IFERROR(GL_RAW!E915,0))</f>
        <v/>
      </c>
      <c r="I915" s="12">
        <f>IF(GL_RAW!A915="","",ABS(H915))</f>
        <v/>
      </c>
      <c r="J915" s="11">
        <f>IF(GL_RAW!A915="","",IF(OR(ISNUMBER(SEARCH("Out",F915)),ISNUMBER(SEARCH("11025002",F915)),H915&lt;0),"OUT","IN"))</f>
        <v/>
      </c>
      <c r="K915" s="11" t="inlineStr"/>
    </row>
    <row r="916">
      <c r="A916" s="13">
        <f>IF(GL_RAW!A916="","",ROW()-1)</f>
        <v/>
      </c>
      <c r="B916" s="10">
        <f>IF(GL_RAW!A916="","",IF(ISNUMBER(GL_RAW!A916),GL_RAW!A916,DATEVALUE(TEXT(GL_RAW!A916,"YYYY-MM-DD"))))</f>
        <v/>
      </c>
      <c r="C916" s="11">
        <f>IF(GL_RAW!A916="","",TRIM(GL_RAW!B916))</f>
        <v/>
      </c>
      <c r="D916" s="11">
        <f>IF(GL_RAW!A916="","",TRIM(GL_RAW!C916))</f>
        <v/>
      </c>
      <c r="E916" s="11">
        <f>IF(GL_RAW!A916="","",TRIM(GL_RAW!D916))</f>
        <v/>
      </c>
      <c r="F916" s="11">
        <f>IF(GL_RAW!A916="","",TRIM(GL_RAW!F916))</f>
        <v/>
      </c>
      <c r="G916" s="11">
        <f>IF(GL_RAW!A916="","",TRIM(GL_RAW!G916))</f>
        <v/>
      </c>
      <c r="H916" s="12">
        <f>IF(GL_RAW!A916="","",IFERROR(GL_RAW!E916,0))</f>
        <v/>
      </c>
      <c r="I916" s="12">
        <f>IF(GL_RAW!A916="","",ABS(H916))</f>
        <v/>
      </c>
      <c r="J916" s="11">
        <f>IF(GL_RAW!A916="","",IF(OR(ISNUMBER(SEARCH("Out",F916)),ISNUMBER(SEARCH("11025002",F916)),H916&lt;0),"OUT","IN"))</f>
        <v/>
      </c>
      <c r="K916" s="11" t="inlineStr"/>
    </row>
    <row r="917">
      <c r="A917" s="13">
        <f>IF(GL_RAW!A917="","",ROW()-1)</f>
        <v/>
      </c>
      <c r="B917" s="10">
        <f>IF(GL_RAW!A917="","",IF(ISNUMBER(GL_RAW!A917),GL_RAW!A917,DATEVALUE(TEXT(GL_RAW!A917,"YYYY-MM-DD"))))</f>
        <v/>
      </c>
      <c r="C917" s="11">
        <f>IF(GL_RAW!A917="","",TRIM(GL_RAW!B917))</f>
        <v/>
      </c>
      <c r="D917" s="11">
        <f>IF(GL_RAW!A917="","",TRIM(GL_RAW!C917))</f>
        <v/>
      </c>
      <c r="E917" s="11">
        <f>IF(GL_RAW!A917="","",TRIM(GL_RAW!D917))</f>
        <v/>
      </c>
      <c r="F917" s="11">
        <f>IF(GL_RAW!A917="","",TRIM(GL_RAW!F917))</f>
        <v/>
      </c>
      <c r="G917" s="11">
        <f>IF(GL_RAW!A917="","",TRIM(GL_RAW!G917))</f>
        <v/>
      </c>
      <c r="H917" s="12">
        <f>IF(GL_RAW!A917="","",IFERROR(GL_RAW!E917,0))</f>
        <v/>
      </c>
      <c r="I917" s="12">
        <f>IF(GL_RAW!A917="","",ABS(H917))</f>
        <v/>
      </c>
      <c r="J917" s="11">
        <f>IF(GL_RAW!A917="","",IF(OR(ISNUMBER(SEARCH("Out",F917)),ISNUMBER(SEARCH("11025002",F917)),H917&lt;0),"OUT","IN"))</f>
        <v/>
      </c>
      <c r="K917" s="11" t="inlineStr"/>
    </row>
    <row r="918">
      <c r="A918" s="13">
        <f>IF(GL_RAW!A918="","",ROW()-1)</f>
        <v/>
      </c>
      <c r="B918" s="10">
        <f>IF(GL_RAW!A918="","",IF(ISNUMBER(GL_RAW!A918),GL_RAW!A918,DATEVALUE(TEXT(GL_RAW!A918,"YYYY-MM-DD"))))</f>
        <v/>
      </c>
      <c r="C918" s="11">
        <f>IF(GL_RAW!A918="","",TRIM(GL_RAW!B918))</f>
        <v/>
      </c>
      <c r="D918" s="11">
        <f>IF(GL_RAW!A918="","",TRIM(GL_RAW!C918))</f>
        <v/>
      </c>
      <c r="E918" s="11">
        <f>IF(GL_RAW!A918="","",TRIM(GL_RAW!D918))</f>
        <v/>
      </c>
      <c r="F918" s="11">
        <f>IF(GL_RAW!A918="","",TRIM(GL_RAW!F918))</f>
        <v/>
      </c>
      <c r="G918" s="11">
        <f>IF(GL_RAW!A918="","",TRIM(GL_RAW!G918))</f>
        <v/>
      </c>
      <c r="H918" s="12">
        <f>IF(GL_RAW!A918="","",IFERROR(GL_RAW!E918,0))</f>
        <v/>
      </c>
      <c r="I918" s="12">
        <f>IF(GL_RAW!A918="","",ABS(H918))</f>
        <v/>
      </c>
      <c r="J918" s="11">
        <f>IF(GL_RAW!A918="","",IF(OR(ISNUMBER(SEARCH("Out",F918)),ISNUMBER(SEARCH("11025002",F918)),H918&lt;0),"OUT","IN"))</f>
        <v/>
      </c>
      <c r="K918" s="11" t="inlineStr"/>
    </row>
    <row r="919">
      <c r="A919" s="13">
        <f>IF(GL_RAW!A919="","",ROW()-1)</f>
        <v/>
      </c>
      <c r="B919" s="10">
        <f>IF(GL_RAW!A919="","",IF(ISNUMBER(GL_RAW!A919),GL_RAW!A919,DATEVALUE(TEXT(GL_RAW!A919,"YYYY-MM-DD"))))</f>
        <v/>
      </c>
      <c r="C919" s="11">
        <f>IF(GL_RAW!A919="","",TRIM(GL_RAW!B919))</f>
        <v/>
      </c>
      <c r="D919" s="11">
        <f>IF(GL_RAW!A919="","",TRIM(GL_RAW!C919))</f>
        <v/>
      </c>
      <c r="E919" s="11">
        <f>IF(GL_RAW!A919="","",TRIM(GL_RAW!D919))</f>
        <v/>
      </c>
      <c r="F919" s="11">
        <f>IF(GL_RAW!A919="","",TRIM(GL_RAW!F919))</f>
        <v/>
      </c>
      <c r="G919" s="11">
        <f>IF(GL_RAW!A919="","",TRIM(GL_RAW!G919))</f>
        <v/>
      </c>
      <c r="H919" s="12">
        <f>IF(GL_RAW!A919="","",IFERROR(GL_RAW!E919,0))</f>
        <v/>
      </c>
      <c r="I919" s="12">
        <f>IF(GL_RAW!A919="","",ABS(H919))</f>
        <v/>
      </c>
      <c r="J919" s="11">
        <f>IF(GL_RAW!A919="","",IF(OR(ISNUMBER(SEARCH("Out",F919)),ISNUMBER(SEARCH("11025002",F919)),H919&lt;0),"OUT","IN"))</f>
        <v/>
      </c>
      <c r="K919" s="11" t="inlineStr"/>
    </row>
    <row r="920">
      <c r="A920" s="13">
        <f>IF(GL_RAW!A920="","",ROW()-1)</f>
        <v/>
      </c>
      <c r="B920" s="10">
        <f>IF(GL_RAW!A920="","",IF(ISNUMBER(GL_RAW!A920),GL_RAW!A920,DATEVALUE(TEXT(GL_RAW!A920,"YYYY-MM-DD"))))</f>
        <v/>
      </c>
      <c r="C920" s="11">
        <f>IF(GL_RAW!A920="","",TRIM(GL_RAW!B920))</f>
        <v/>
      </c>
      <c r="D920" s="11">
        <f>IF(GL_RAW!A920="","",TRIM(GL_RAW!C920))</f>
        <v/>
      </c>
      <c r="E920" s="11">
        <f>IF(GL_RAW!A920="","",TRIM(GL_RAW!D920))</f>
        <v/>
      </c>
      <c r="F920" s="11">
        <f>IF(GL_RAW!A920="","",TRIM(GL_RAW!F920))</f>
        <v/>
      </c>
      <c r="G920" s="11">
        <f>IF(GL_RAW!A920="","",TRIM(GL_RAW!G920))</f>
        <v/>
      </c>
      <c r="H920" s="12">
        <f>IF(GL_RAW!A920="","",IFERROR(GL_RAW!E920,0))</f>
        <v/>
      </c>
      <c r="I920" s="12">
        <f>IF(GL_RAW!A920="","",ABS(H920))</f>
        <v/>
      </c>
      <c r="J920" s="11">
        <f>IF(GL_RAW!A920="","",IF(OR(ISNUMBER(SEARCH("Out",F920)),ISNUMBER(SEARCH("11025002",F920)),H920&lt;0),"OUT","IN"))</f>
        <v/>
      </c>
      <c r="K920" s="11" t="inlineStr"/>
    </row>
    <row r="921">
      <c r="A921" s="13">
        <f>IF(GL_RAW!A921="","",ROW()-1)</f>
        <v/>
      </c>
      <c r="B921" s="10">
        <f>IF(GL_RAW!A921="","",IF(ISNUMBER(GL_RAW!A921),GL_RAW!A921,DATEVALUE(TEXT(GL_RAW!A921,"YYYY-MM-DD"))))</f>
        <v/>
      </c>
      <c r="C921" s="11">
        <f>IF(GL_RAW!A921="","",TRIM(GL_RAW!B921))</f>
        <v/>
      </c>
      <c r="D921" s="11">
        <f>IF(GL_RAW!A921="","",TRIM(GL_RAW!C921))</f>
        <v/>
      </c>
      <c r="E921" s="11">
        <f>IF(GL_RAW!A921="","",TRIM(GL_RAW!D921))</f>
        <v/>
      </c>
      <c r="F921" s="11">
        <f>IF(GL_RAW!A921="","",TRIM(GL_RAW!F921))</f>
        <v/>
      </c>
      <c r="G921" s="11">
        <f>IF(GL_RAW!A921="","",TRIM(GL_RAW!G921))</f>
        <v/>
      </c>
      <c r="H921" s="12">
        <f>IF(GL_RAW!A921="","",IFERROR(GL_RAW!E921,0))</f>
        <v/>
      </c>
      <c r="I921" s="12">
        <f>IF(GL_RAW!A921="","",ABS(H921))</f>
        <v/>
      </c>
      <c r="J921" s="11">
        <f>IF(GL_RAW!A921="","",IF(OR(ISNUMBER(SEARCH("Out",F921)),ISNUMBER(SEARCH("11025002",F921)),H921&lt;0),"OUT","IN"))</f>
        <v/>
      </c>
      <c r="K921" s="11" t="inlineStr"/>
    </row>
    <row r="922">
      <c r="A922" s="13">
        <f>IF(GL_RAW!A922="","",ROW()-1)</f>
        <v/>
      </c>
      <c r="B922" s="10">
        <f>IF(GL_RAW!A922="","",IF(ISNUMBER(GL_RAW!A922),GL_RAW!A922,DATEVALUE(TEXT(GL_RAW!A922,"YYYY-MM-DD"))))</f>
        <v/>
      </c>
      <c r="C922" s="11">
        <f>IF(GL_RAW!A922="","",TRIM(GL_RAW!B922))</f>
        <v/>
      </c>
      <c r="D922" s="11">
        <f>IF(GL_RAW!A922="","",TRIM(GL_RAW!C922))</f>
        <v/>
      </c>
      <c r="E922" s="11">
        <f>IF(GL_RAW!A922="","",TRIM(GL_RAW!D922))</f>
        <v/>
      </c>
      <c r="F922" s="11">
        <f>IF(GL_RAW!A922="","",TRIM(GL_RAW!F922))</f>
        <v/>
      </c>
      <c r="G922" s="11">
        <f>IF(GL_RAW!A922="","",TRIM(GL_RAW!G922))</f>
        <v/>
      </c>
      <c r="H922" s="12">
        <f>IF(GL_RAW!A922="","",IFERROR(GL_RAW!E922,0))</f>
        <v/>
      </c>
      <c r="I922" s="12">
        <f>IF(GL_RAW!A922="","",ABS(H922))</f>
        <v/>
      </c>
      <c r="J922" s="11">
        <f>IF(GL_RAW!A922="","",IF(OR(ISNUMBER(SEARCH("Out",F922)),ISNUMBER(SEARCH("11025002",F922)),H922&lt;0),"OUT","IN"))</f>
        <v/>
      </c>
      <c r="K922" s="11" t="inlineStr"/>
    </row>
    <row r="923">
      <c r="A923" s="13">
        <f>IF(GL_RAW!A923="","",ROW()-1)</f>
        <v/>
      </c>
      <c r="B923" s="10">
        <f>IF(GL_RAW!A923="","",IF(ISNUMBER(GL_RAW!A923),GL_RAW!A923,DATEVALUE(TEXT(GL_RAW!A923,"YYYY-MM-DD"))))</f>
        <v/>
      </c>
      <c r="C923" s="11">
        <f>IF(GL_RAW!A923="","",TRIM(GL_RAW!B923))</f>
        <v/>
      </c>
      <c r="D923" s="11">
        <f>IF(GL_RAW!A923="","",TRIM(GL_RAW!C923))</f>
        <v/>
      </c>
      <c r="E923" s="11">
        <f>IF(GL_RAW!A923="","",TRIM(GL_RAW!D923))</f>
        <v/>
      </c>
      <c r="F923" s="11">
        <f>IF(GL_RAW!A923="","",TRIM(GL_RAW!F923))</f>
        <v/>
      </c>
      <c r="G923" s="11">
        <f>IF(GL_RAW!A923="","",TRIM(GL_RAW!G923))</f>
        <v/>
      </c>
      <c r="H923" s="12">
        <f>IF(GL_RAW!A923="","",IFERROR(GL_RAW!E923,0))</f>
        <v/>
      </c>
      <c r="I923" s="12">
        <f>IF(GL_RAW!A923="","",ABS(H923))</f>
        <v/>
      </c>
      <c r="J923" s="11">
        <f>IF(GL_RAW!A923="","",IF(OR(ISNUMBER(SEARCH("Out",F923)),ISNUMBER(SEARCH("11025002",F923)),H923&lt;0),"OUT","IN"))</f>
        <v/>
      </c>
      <c r="K923" s="11" t="inlineStr"/>
    </row>
    <row r="924">
      <c r="A924" s="13">
        <f>IF(GL_RAW!A924="","",ROW()-1)</f>
        <v/>
      </c>
      <c r="B924" s="10">
        <f>IF(GL_RAW!A924="","",IF(ISNUMBER(GL_RAW!A924),GL_RAW!A924,DATEVALUE(TEXT(GL_RAW!A924,"YYYY-MM-DD"))))</f>
        <v/>
      </c>
      <c r="C924" s="11">
        <f>IF(GL_RAW!A924="","",TRIM(GL_RAW!B924))</f>
        <v/>
      </c>
      <c r="D924" s="11">
        <f>IF(GL_RAW!A924="","",TRIM(GL_RAW!C924))</f>
        <v/>
      </c>
      <c r="E924" s="11">
        <f>IF(GL_RAW!A924="","",TRIM(GL_RAW!D924))</f>
        <v/>
      </c>
      <c r="F924" s="11">
        <f>IF(GL_RAW!A924="","",TRIM(GL_RAW!F924))</f>
        <v/>
      </c>
      <c r="G924" s="11">
        <f>IF(GL_RAW!A924="","",TRIM(GL_RAW!G924))</f>
        <v/>
      </c>
      <c r="H924" s="12">
        <f>IF(GL_RAW!A924="","",IFERROR(GL_RAW!E924,0))</f>
        <v/>
      </c>
      <c r="I924" s="12">
        <f>IF(GL_RAW!A924="","",ABS(H924))</f>
        <v/>
      </c>
      <c r="J924" s="11">
        <f>IF(GL_RAW!A924="","",IF(OR(ISNUMBER(SEARCH("Out",F924)),ISNUMBER(SEARCH("11025002",F924)),H924&lt;0),"OUT","IN"))</f>
        <v/>
      </c>
      <c r="K924" s="11" t="inlineStr"/>
    </row>
    <row r="925">
      <c r="A925" s="13">
        <f>IF(GL_RAW!A925="","",ROW()-1)</f>
        <v/>
      </c>
      <c r="B925" s="10">
        <f>IF(GL_RAW!A925="","",IF(ISNUMBER(GL_RAW!A925),GL_RAW!A925,DATEVALUE(TEXT(GL_RAW!A925,"YYYY-MM-DD"))))</f>
        <v/>
      </c>
      <c r="C925" s="11">
        <f>IF(GL_RAW!A925="","",TRIM(GL_RAW!B925))</f>
        <v/>
      </c>
      <c r="D925" s="11">
        <f>IF(GL_RAW!A925="","",TRIM(GL_RAW!C925))</f>
        <v/>
      </c>
      <c r="E925" s="11">
        <f>IF(GL_RAW!A925="","",TRIM(GL_RAW!D925))</f>
        <v/>
      </c>
      <c r="F925" s="11">
        <f>IF(GL_RAW!A925="","",TRIM(GL_RAW!F925))</f>
        <v/>
      </c>
      <c r="G925" s="11">
        <f>IF(GL_RAW!A925="","",TRIM(GL_RAW!G925))</f>
        <v/>
      </c>
      <c r="H925" s="12">
        <f>IF(GL_RAW!A925="","",IFERROR(GL_RAW!E925,0))</f>
        <v/>
      </c>
      <c r="I925" s="12">
        <f>IF(GL_RAW!A925="","",ABS(H925))</f>
        <v/>
      </c>
      <c r="J925" s="11">
        <f>IF(GL_RAW!A925="","",IF(OR(ISNUMBER(SEARCH("Out",F925)),ISNUMBER(SEARCH("11025002",F925)),H925&lt;0),"OUT","IN"))</f>
        <v/>
      </c>
      <c r="K925" s="11" t="inlineStr"/>
    </row>
    <row r="926">
      <c r="A926" s="13">
        <f>IF(GL_RAW!A926="","",ROW()-1)</f>
        <v/>
      </c>
      <c r="B926" s="10">
        <f>IF(GL_RAW!A926="","",IF(ISNUMBER(GL_RAW!A926),GL_RAW!A926,DATEVALUE(TEXT(GL_RAW!A926,"YYYY-MM-DD"))))</f>
        <v/>
      </c>
      <c r="C926" s="11">
        <f>IF(GL_RAW!A926="","",TRIM(GL_RAW!B926))</f>
        <v/>
      </c>
      <c r="D926" s="11">
        <f>IF(GL_RAW!A926="","",TRIM(GL_RAW!C926))</f>
        <v/>
      </c>
      <c r="E926" s="11">
        <f>IF(GL_RAW!A926="","",TRIM(GL_RAW!D926))</f>
        <v/>
      </c>
      <c r="F926" s="11">
        <f>IF(GL_RAW!A926="","",TRIM(GL_RAW!F926))</f>
        <v/>
      </c>
      <c r="G926" s="11">
        <f>IF(GL_RAW!A926="","",TRIM(GL_RAW!G926))</f>
        <v/>
      </c>
      <c r="H926" s="12">
        <f>IF(GL_RAW!A926="","",IFERROR(GL_RAW!E926,0))</f>
        <v/>
      </c>
      <c r="I926" s="12">
        <f>IF(GL_RAW!A926="","",ABS(H926))</f>
        <v/>
      </c>
      <c r="J926" s="11">
        <f>IF(GL_RAW!A926="","",IF(OR(ISNUMBER(SEARCH("Out",F926)),ISNUMBER(SEARCH("11025002",F926)),H926&lt;0),"OUT","IN"))</f>
        <v/>
      </c>
      <c r="K926" s="11" t="inlineStr"/>
    </row>
    <row r="927">
      <c r="A927" s="13">
        <f>IF(GL_RAW!A927="","",ROW()-1)</f>
        <v/>
      </c>
      <c r="B927" s="10">
        <f>IF(GL_RAW!A927="","",IF(ISNUMBER(GL_RAW!A927),GL_RAW!A927,DATEVALUE(TEXT(GL_RAW!A927,"YYYY-MM-DD"))))</f>
        <v/>
      </c>
      <c r="C927" s="11">
        <f>IF(GL_RAW!A927="","",TRIM(GL_RAW!B927))</f>
        <v/>
      </c>
      <c r="D927" s="11">
        <f>IF(GL_RAW!A927="","",TRIM(GL_RAW!C927))</f>
        <v/>
      </c>
      <c r="E927" s="11">
        <f>IF(GL_RAW!A927="","",TRIM(GL_RAW!D927))</f>
        <v/>
      </c>
      <c r="F927" s="11">
        <f>IF(GL_RAW!A927="","",TRIM(GL_RAW!F927))</f>
        <v/>
      </c>
      <c r="G927" s="11">
        <f>IF(GL_RAW!A927="","",TRIM(GL_RAW!G927))</f>
        <v/>
      </c>
      <c r="H927" s="12">
        <f>IF(GL_RAW!A927="","",IFERROR(GL_RAW!E927,0))</f>
        <v/>
      </c>
      <c r="I927" s="12">
        <f>IF(GL_RAW!A927="","",ABS(H927))</f>
        <v/>
      </c>
      <c r="J927" s="11">
        <f>IF(GL_RAW!A927="","",IF(OR(ISNUMBER(SEARCH("Out",F927)),ISNUMBER(SEARCH("11025002",F927)),H927&lt;0),"OUT","IN"))</f>
        <v/>
      </c>
      <c r="K927" s="11" t="inlineStr"/>
    </row>
    <row r="928">
      <c r="A928" s="13">
        <f>IF(GL_RAW!A928="","",ROW()-1)</f>
        <v/>
      </c>
      <c r="B928" s="10">
        <f>IF(GL_RAW!A928="","",IF(ISNUMBER(GL_RAW!A928),GL_RAW!A928,DATEVALUE(TEXT(GL_RAW!A928,"YYYY-MM-DD"))))</f>
        <v/>
      </c>
      <c r="C928" s="11">
        <f>IF(GL_RAW!A928="","",TRIM(GL_RAW!B928))</f>
        <v/>
      </c>
      <c r="D928" s="11">
        <f>IF(GL_RAW!A928="","",TRIM(GL_RAW!C928))</f>
        <v/>
      </c>
      <c r="E928" s="11">
        <f>IF(GL_RAW!A928="","",TRIM(GL_RAW!D928))</f>
        <v/>
      </c>
      <c r="F928" s="11">
        <f>IF(GL_RAW!A928="","",TRIM(GL_RAW!F928))</f>
        <v/>
      </c>
      <c r="G928" s="11">
        <f>IF(GL_RAW!A928="","",TRIM(GL_RAW!G928))</f>
        <v/>
      </c>
      <c r="H928" s="12">
        <f>IF(GL_RAW!A928="","",IFERROR(GL_RAW!E928,0))</f>
        <v/>
      </c>
      <c r="I928" s="12">
        <f>IF(GL_RAW!A928="","",ABS(H928))</f>
        <v/>
      </c>
      <c r="J928" s="11">
        <f>IF(GL_RAW!A928="","",IF(OR(ISNUMBER(SEARCH("Out",F928)),ISNUMBER(SEARCH("11025002",F928)),H928&lt;0),"OUT","IN"))</f>
        <v/>
      </c>
      <c r="K928" s="11" t="inlineStr"/>
    </row>
    <row r="929">
      <c r="A929" s="13">
        <f>IF(GL_RAW!A929="","",ROW()-1)</f>
        <v/>
      </c>
      <c r="B929" s="10">
        <f>IF(GL_RAW!A929="","",IF(ISNUMBER(GL_RAW!A929),GL_RAW!A929,DATEVALUE(TEXT(GL_RAW!A929,"YYYY-MM-DD"))))</f>
        <v/>
      </c>
      <c r="C929" s="11">
        <f>IF(GL_RAW!A929="","",TRIM(GL_RAW!B929))</f>
        <v/>
      </c>
      <c r="D929" s="11">
        <f>IF(GL_RAW!A929="","",TRIM(GL_RAW!C929))</f>
        <v/>
      </c>
      <c r="E929" s="11">
        <f>IF(GL_RAW!A929="","",TRIM(GL_RAW!D929))</f>
        <v/>
      </c>
      <c r="F929" s="11">
        <f>IF(GL_RAW!A929="","",TRIM(GL_RAW!F929))</f>
        <v/>
      </c>
      <c r="G929" s="11">
        <f>IF(GL_RAW!A929="","",TRIM(GL_RAW!G929))</f>
        <v/>
      </c>
      <c r="H929" s="12">
        <f>IF(GL_RAW!A929="","",IFERROR(GL_RAW!E929,0))</f>
        <v/>
      </c>
      <c r="I929" s="12">
        <f>IF(GL_RAW!A929="","",ABS(H929))</f>
        <v/>
      </c>
      <c r="J929" s="11">
        <f>IF(GL_RAW!A929="","",IF(OR(ISNUMBER(SEARCH("Out",F929)),ISNUMBER(SEARCH("11025002",F929)),H929&lt;0),"OUT","IN"))</f>
        <v/>
      </c>
      <c r="K929" s="11" t="inlineStr"/>
    </row>
    <row r="930">
      <c r="A930" s="13">
        <f>IF(GL_RAW!A930="","",ROW()-1)</f>
        <v/>
      </c>
      <c r="B930" s="10">
        <f>IF(GL_RAW!A930="","",IF(ISNUMBER(GL_RAW!A930),GL_RAW!A930,DATEVALUE(TEXT(GL_RAW!A930,"YYYY-MM-DD"))))</f>
        <v/>
      </c>
      <c r="C930" s="11">
        <f>IF(GL_RAW!A930="","",TRIM(GL_RAW!B930))</f>
        <v/>
      </c>
      <c r="D930" s="11">
        <f>IF(GL_RAW!A930="","",TRIM(GL_RAW!C930))</f>
        <v/>
      </c>
      <c r="E930" s="11">
        <f>IF(GL_RAW!A930="","",TRIM(GL_RAW!D930))</f>
        <v/>
      </c>
      <c r="F930" s="11">
        <f>IF(GL_RAW!A930="","",TRIM(GL_RAW!F930))</f>
        <v/>
      </c>
      <c r="G930" s="11">
        <f>IF(GL_RAW!A930="","",TRIM(GL_RAW!G930))</f>
        <v/>
      </c>
      <c r="H930" s="12">
        <f>IF(GL_RAW!A930="","",IFERROR(GL_RAW!E930,0))</f>
        <v/>
      </c>
      <c r="I930" s="12">
        <f>IF(GL_RAW!A930="","",ABS(H930))</f>
        <v/>
      </c>
      <c r="J930" s="11">
        <f>IF(GL_RAW!A930="","",IF(OR(ISNUMBER(SEARCH("Out",F930)),ISNUMBER(SEARCH("11025002",F930)),H930&lt;0),"OUT","IN"))</f>
        <v/>
      </c>
      <c r="K930" s="11" t="inlineStr"/>
    </row>
    <row r="931">
      <c r="A931" s="13">
        <f>IF(GL_RAW!A931="","",ROW()-1)</f>
        <v/>
      </c>
      <c r="B931" s="10">
        <f>IF(GL_RAW!A931="","",IF(ISNUMBER(GL_RAW!A931),GL_RAW!A931,DATEVALUE(TEXT(GL_RAW!A931,"YYYY-MM-DD"))))</f>
        <v/>
      </c>
      <c r="C931" s="11">
        <f>IF(GL_RAW!A931="","",TRIM(GL_RAW!B931))</f>
        <v/>
      </c>
      <c r="D931" s="11">
        <f>IF(GL_RAW!A931="","",TRIM(GL_RAW!C931))</f>
        <v/>
      </c>
      <c r="E931" s="11">
        <f>IF(GL_RAW!A931="","",TRIM(GL_RAW!D931))</f>
        <v/>
      </c>
      <c r="F931" s="11">
        <f>IF(GL_RAW!A931="","",TRIM(GL_RAW!F931))</f>
        <v/>
      </c>
      <c r="G931" s="11">
        <f>IF(GL_RAW!A931="","",TRIM(GL_RAW!G931))</f>
        <v/>
      </c>
      <c r="H931" s="12">
        <f>IF(GL_RAW!A931="","",IFERROR(GL_RAW!E931,0))</f>
        <v/>
      </c>
      <c r="I931" s="12">
        <f>IF(GL_RAW!A931="","",ABS(H931))</f>
        <v/>
      </c>
      <c r="J931" s="11">
        <f>IF(GL_RAW!A931="","",IF(OR(ISNUMBER(SEARCH("Out",F931)),ISNUMBER(SEARCH("11025002",F931)),H931&lt;0),"OUT","IN"))</f>
        <v/>
      </c>
      <c r="K931" s="11" t="inlineStr"/>
    </row>
    <row r="932">
      <c r="A932" s="13">
        <f>IF(GL_RAW!A932="","",ROW()-1)</f>
        <v/>
      </c>
      <c r="B932" s="10">
        <f>IF(GL_RAW!A932="","",IF(ISNUMBER(GL_RAW!A932),GL_RAW!A932,DATEVALUE(TEXT(GL_RAW!A932,"YYYY-MM-DD"))))</f>
        <v/>
      </c>
      <c r="C932" s="11">
        <f>IF(GL_RAW!A932="","",TRIM(GL_RAW!B932))</f>
        <v/>
      </c>
      <c r="D932" s="11">
        <f>IF(GL_RAW!A932="","",TRIM(GL_RAW!C932))</f>
        <v/>
      </c>
      <c r="E932" s="11">
        <f>IF(GL_RAW!A932="","",TRIM(GL_RAW!D932))</f>
        <v/>
      </c>
      <c r="F932" s="11">
        <f>IF(GL_RAW!A932="","",TRIM(GL_RAW!F932))</f>
        <v/>
      </c>
      <c r="G932" s="11">
        <f>IF(GL_RAW!A932="","",TRIM(GL_RAW!G932))</f>
        <v/>
      </c>
      <c r="H932" s="12">
        <f>IF(GL_RAW!A932="","",IFERROR(GL_RAW!E932,0))</f>
        <v/>
      </c>
      <c r="I932" s="12">
        <f>IF(GL_RAW!A932="","",ABS(H932))</f>
        <v/>
      </c>
      <c r="J932" s="11">
        <f>IF(GL_RAW!A932="","",IF(OR(ISNUMBER(SEARCH("Out",F932)),ISNUMBER(SEARCH("11025002",F932)),H932&lt;0),"OUT","IN"))</f>
        <v/>
      </c>
      <c r="K932" s="11" t="inlineStr"/>
    </row>
    <row r="933">
      <c r="A933" s="13">
        <f>IF(GL_RAW!A933="","",ROW()-1)</f>
        <v/>
      </c>
      <c r="B933" s="10">
        <f>IF(GL_RAW!A933="","",IF(ISNUMBER(GL_RAW!A933),GL_RAW!A933,DATEVALUE(TEXT(GL_RAW!A933,"YYYY-MM-DD"))))</f>
        <v/>
      </c>
      <c r="C933" s="11">
        <f>IF(GL_RAW!A933="","",TRIM(GL_RAW!B933))</f>
        <v/>
      </c>
      <c r="D933" s="11">
        <f>IF(GL_RAW!A933="","",TRIM(GL_RAW!C933))</f>
        <v/>
      </c>
      <c r="E933" s="11">
        <f>IF(GL_RAW!A933="","",TRIM(GL_RAW!D933))</f>
        <v/>
      </c>
      <c r="F933" s="11">
        <f>IF(GL_RAW!A933="","",TRIM(GL_RAW!F933))</f>
        <v/>
      </c>
      <c r="G933" s="11">
        <f>IF(GL_RAW!A933="","",TRIM(GL_RAW!G933))</f>
        <v/>
      </c>
      <c r="H933" s="12">
        <f>IF(GL_RAW!A933="","",IFERROR(GL_RAW!E933,0))</f>
        <v/>
      </c>
      <c r="I933" s="12">
        <f>IF(GL_RAW!A933="","",ABS(H933))</f>
        <v/>
      </c>
      <c r="J933" s="11">
        <f>IF(GL_RAW!A933="","",IF(OR(ISNUMBER(SEARCH("Out",F933)),ISNUMBER(SEARCH("11025002",F933)),H933&lt;0),"OUT","IN"))</f>
        <v/>
      </c>
      <c r="K933" s="11" t="inlineStr"/>
    </row>
    <row r="934">
      <c r="A934" s="13">
        <f>IF(GL_RAW!A934="","",ROW()-1)</f>
        <v/>
      </c>
      <c r="B934" s="10">
        <f>IF(GL_RAW!A934="","",IF(ISNUMBER(GL_RAW!A934),GL_RAW!A934,DATEVALUE(TEXT(GL_RAW!A934,"YYYY-MM-DD"))))</f>
        <v/>
      </c>
      <c r="C934" s="11">
        <f>IF(GL_RAW!A934="","",TRIM(GL_RAW!B934))</f>
        <v/>
      </c>
      <c r="D934" s="11">
        <f>IF(GL_RAW!A934="","",TRIM(GL_RAW!C934))</f>
        <v/>
      </c>
      <c r="E934" s="11">
        <f>IF(GL_RAW!A934="","",TRIM(GL_RAW!D934))</f>
        <v/>
      </c>
      <c r="F934" s="11">
        <f>IF(GL_RAW!A934="","",TRIM(GL_RAW!F934))</f>
        <v/>
      </c>
      <c r="G934" s="11">
        <f>IF(GL_RAW!A934="","",TRIM(GL_RAW!G934))</f>
        <v/>
      </c>
      <c r="H934" s="12">
        <f>IF(GL_RAW!A934="","",IFERROR(GL_RAW!E934,0))</f>
        <v/>
      </c>
      <c r="I934" s="12">
        <f>IF(GL_RAW!A934="","",ABS(H934))</f>
        <v/>
      </c>
      <c r="J934" s="11">
        <f>IF(GL_RAW!A934="","",IF(OR(ISNUMBER(SEARCH("Out",F934)),ISNUMBER(SEARCH("11025002",F934)),H934&lt;0),"OUT","IN"))</f>
        <v/>
      </c>
      <c r="K934" s="11" t="inlineStr"/>
    </row>
    <row r="935">
      <c r="A935" s="13">
        <f>IF(GL_RAW!A935="","",ROW()-1)</f>
        <v/>
      </c>
      <c r="B935" s="10">
        <f>IF(GL_RAW!A935="","",IF(ISNUMBER(GL_RAW!A935),GL_RAW!A935,DATEVALUE(TEXT(GL_RAW!A935,"YYYY-MM-DD"))))</f>
        <v/>
      </c>
      <c r="C935" s="11">
        <f>IF(GL_RAW!A935="","",TRIM(GL_RAW!B935))</f>
        <v/>
      </c>
      <c r="D935" s="11">
        <f>IF(GL_RAW!A935="","",TRIM(GL_RAW!C935))</f>
        <v/>
      </c>
      <c r="E935" s="11">
        <f>IF(GL_RAW!A935="","",TRIM(GL_RAW!D935))</f>
        <v/>
      </c>
      <c r="F935" s="11">
        <f>IF(GL_RAW!A935="","",TRIM(GL_RAW!F935))</f>
        <v/>
      </c>
      <c r="G935" s="11">
        <f>IF(GL_RAW!A935="","",TRIM(GL_RAW!G935))</f>
        <v/>
      </c>
      <c r="H935" s="12">
        <f>IF(GL_RAW!A935="","",IFERROR(GL_RAW!E935,0))</f>
        <v/>
      </c>
      <c r="I935" s="12">
        <f>IF(GL_RAW!A935="","",ABS(H935))</f>
        <v/>
      </c>
      <c r="J935" s="11">
        <f>IF(GL_RAW!A935="","",IF(OR(ISNUMBER(SEARCH("Out",F935)),ISNUMBER(SEARCH("11025002",F935)),H935&lt;0),"OUT","IN"))</f>
        <v/>
      </c>
      <c r="K935" s="11" t="inlineStr"/>
    </row>
    <row r="936">
      <c r="A936" s="13">
        <f>IF(GL_RAW!A936="","",ROW()-1)</f>
        <v/>
      </c>
      <c r="B936" s="10">
        <f>IF(GL_RAW!A936="","",IF(ISNUMBER(GL_RAW!A936),GL_RAW!A936,DATEVALUE(TEXT(GL_RAW!A936,"YYYY-MM-DD"))))</f>
        <v/>
      </c>
      <c r="C936" s="11">
        <f>IF(GL_RAW!A936="","",TRIM(GL_RAW!B936))</f>
        <v/>
      </c>
      <c r="D936" s="11">
        <f>IF(GL_RAW!A936="","",TRIM(GL_RAW!C936))</f>
        <v/>
      </c>
      <c r="E936" s="11">
        <f>IF(GL_RAW!A936="","",TRIM(GL_RAW!D936))</f>
        <v/>
      </c>
      <c r="F936" s="11">
        <f>IF(GL_RAW!A936="","",TRIM(GL_RAW!F936))</f>
        <v/>
      </c>
      <c r="G936" s="11">
        <f>IF(GL_RAW!A936="","",TRIM(GL_RAW!G936))</f>
        <v/>
      </c>
      <c r="H936" s="12">
        <f>IF(GL_RAW!A936="","",IFERROR(GL_RAW!E936,0))</f>
        <v/>
      </c>
      <c r="I936" s="12">
        <f>IF(GL_RAW!A936="","",ABS(H936))</f>
        <v/>
      </c>
      <c r="J936" s="11">
        <f>IF(GL_RAW!A936="","",IF(OR(ISNUMBER(SEARCH("Out",F936)),ISNUMBER(SEARCH("11025002",F936)),H936&lt;0),"OUT","IN"))</f>
        <v/>
      </c>
      <c r="K936" s="11" t="inlineStr"/>
    </row>
    <row r="937">
      <c r="A937" s="13">
        <f>IF(GL_RAW!A937="","",ROW()-1)</f>
        <v/>
      </c>
      <c r="B937" s="10">
        <f>IF(GL_RAW!A937="","",IF(ISNUMBER(GL_RAW!A937),GL_RAW!A937,DATEVALUE(TEXT(GL_RAW!A937,"YYYY-MM-DD"))))</f>
        <v/>
      </c>
      <c r="C937" s="11">
        <f>IF(GL_RAW!A937="","",TRIM(GL_RAW!B937))</f>
        <v/>
      </c>
      <c r="D937" s="11">
        <f>IF(GL_RAW!A937="","",TRIM(GL_RAW!C937))</f>
        <v/>
      </c>
      <c r="E937" s="11">
        <f>IF(GL_RAW!A937="","",TRIM(GL_RAW!D937))</f>
        <v/>
      </c>
      <c r="F937" s="11">
        <f>IF(GL_RAW!A937="","",TRIM(GL_RAW!F937))</f>
        <v/>
      </c>
      <c r="G937" s="11">
        <f>IF(GL_RAW!A937="","",TRIM(GL_RAW!G937))</f>
        <v/>
      </c>
      <c r="H937" s="12">
        <f>IF(GL_RAW!A937="","",IFERROR(GL_RAW!E937,0))</f>
        <v/>
      </c>
      <c r="I937" s="12">
        <f>IF(GL_RAW!A937="","",ABS(H937))</f>
        <v/>
      </c>
      <c r="J937" s="11">
        <f>IF(GL_RAW!A937="","",IF(OR(ISNUMBER(SEARCH("Out",F937)),ISNUMBER(SEARCH("11025002",F937)),H937&lt;0),"OUT","IN"))</f>
        <v/>
      </c>
      <c r="K937" s="11" t="inlineStr"/>
    </row>
    <row r="938">
      <c r="A938" s="13">
        <f>IF(GL_RAW!A938="","",ROW()-1)</f>
        <v/>
      </c>
      <c r="B938" s="10">
        <f>IF(GL_RAW!A938="","",IF(ISNUMBER(GL_RAW!A938),GL_RAW!A938,DATEVALUE(TEXT(GL_RAW!A938,"YYYY-MM-DD"))))</f>
        <v/>
      </c>
      <c r="C938" s="11">
        <f>IF(GL_RAW!A938="","",TRIM(GL_RAW!B938))</f>
        <v/>
      </c>
      <c r="D938" s="11">
        <f>IF(GL_RAW!A938="","",TRIM(GL_RAW!C938))</f>
        <v/>
      </c>
      <c r="E938" s="11">
        <f>IF(GL_RAW!A938="","",TRIM(GL_RAW!D938))</f>
        <v/>
      </c>
      <c r="F938" s="11">
        <f>IF(GL_RAW!A938="","",TRIM(GL_RAW!F938))</f>
        <v/>
      </c>
      <c r="G938" s="11">
        <f>IF(GL_RAW!A938="","",TRIM(GL_RAW!G938))</f>
        <v/>
      </c>
      <c r="H938" s="12">
        <f>IF(GL_RAW!A938="","",IFERROR(GL_RAW!E938,0))</f>
        <v/>
      </c>
      <c r="I938" s="12">
        <f>IF(GL_RAW!A938="","",ABS(H938))</f>
        <v/>
      </c>
      <c r="J938" s="11">
        <f>IF(GL_RAW!A938="","",IF(OR(ISNUMBER(SEARCH("Out",F938)),ISNUMBER(SEARCH("11025002",F938)),H938&lt;0),"OUT","IN"))</f>
        <v/>
      </c>
      <c r="K938" s="11" t="inlineStr"/>
    </row>
    <row r="939">
      <c r="A939" s="13">
        <f>IF(GL_RAW!A939="","",ROW()-1)</f>
        <v/>
      </c>
      <c r="B939" s="10">
        <f>IF(GL_RAW!A939="","",IF(ISNUMBER(GL_RAW!A939),GL_RAW!A939,DATEVALUE(TEXT(GL_RAW!A939,"YYYY-MM-DD"))))</f>
        <v/>
      </c>
      <c r="C939" s="11">
        <f>IF(GL_RAW!A939="","",TRIM(GL_RAW!B939))</f>
        <v/>
      </c>
      <c r="D939" s="11">
        <f>IF(GL_RAW!A939="","",TRIM(GL_RAW!C939))</f>
        <v/>
      </c>
      <c r="E939" s="11">
        <f>IF(GL_RAW!A939="","",TRIM(GL_RAW!D939))</f>
        <v/>
      </c>
      <c r="F939" s="11">
        <f>IF(GL_RAW!A939="","",TRIM(GL_RAW!F939))</f>
        <v/>
      </c>
      <c r="G939" s="11">
        <f>IF(GL_RAW!A939="","",TRIM(GL_RAW!G939))</f>
        <v/>
      </c>
      <c r="H939" s="12">
        <f>IF(GL_RAW!A939="","",IFERROR(GL_RAW!E939,0))</f>
        <v/>
      </c>
      <c r="I939" s="12">
        <f>IF(GL_RAW!A939="","",ABS(H939))</f>
        <v/>
      </c>
      <c r="J939" s="11">
        <f>IF(GL_RAW!A939="","",IF(OR(ISNUMBER(SEARCH("Out",F939)),ISNUMBER(SEARCH("11025002",F939)),H939&lt;0),"OUT","IN"))</f>
        <v/>
      </c>
      <c r="K939" s="11" t="inlineStr"/>
    </row>
    <row r="940">
      <c r="A940" s="13">
        <f>IF(GL_RAW!A940="","",ROW()-1)</f>
        <v/>
      </c>
      <c r="B940" s="10">
        <f>IF(GL_RAW!A940="","",IF(ISNUMBER(GL_RAW!A940),GL_RAW!A940,DATEVALUE(TEXT(GL_RAW!A940,"YYYY-MM-DD"))))</f>
        <v/>
      </c>
      <c r="C940" s="11">
        <f>IF(GL_RAW!A940="","",TRIM(GL_RAW!B940))</f>
        <v/>
      </c>
      <c r="D940" s="11">
        <f>IF(GL_RAW!A940="","",TRIM(GL_RAW!C940))</f>
        <v/>
      </c>
      <c r="E940" s="11">
        <f>IF(GL_RAW!A940="","",TRIM(GL_RAW!D940))</f>
        <v/>
      </c>
      <c r="F940" s="11">
        <f>IF(GL_RAW!A940="","",TRIM(GL_RAW!F940))</f>
        <v/>
      </c>
      <c r="G940" s="11">
        <f>IF(GL_RAW!A940="","",TRIM(GL_RAW!G940))</f>
        <v/>
      </c>
      <c r="H940" s="12">
        <f>IF(GL_RAW!A940="","",IFERROR(GL_RAW!E940,0))</f>
        <v/>
      </c>
      <c r="I940" s="12">
        <f>IF(GL_RAW!A940="","",ABS(H940))</f>
        <v/>
      </c>
      <c r="J940" s="11">
        <f>IF(GL_RAW!A940="","",IF(OR(ISNUMBER(SEARCH("Out",F940)),ISNUMBER(SEARCH("11025002",F940)),H940&lt;0),"OUT","IN"))</f>
        <v/>
      </c>
      <c r="K940" s="11" t="inlineStr"/>
    </row>
    <row r="941">
      <c r="A941" s="13">
        <f>IF(GL_RAW!A941="","",ROW()-1)</f>
        <v/>
      </c>
      <c r="B941" s="10">
        <f>IF(GL_RAW!A941="","",IF(ISNUMBER(GL_RAW!A941),GL_RAW!A941,DATEVALUE(TEXT(GL_RAW!A941,"YYYY-MM-DD"))))</f>
        <v/>
      </c>
      <c r="C941" s="11">
        <f>IF(GL_RAW!A941="","",TRIM(GL_RAW!B941))</f>
        <v/>
      </c>
      <c r="D941" s="11">
        <f>IF(GL_RAW!A941="","",TRIM(GL_RAW!C941))</f>
        <v/>
      </c>
      <c r="E941" s="11">
        <f>IF(GL_RAW!A941="","",TRIM(GL_RAW!D941))</f>
        <v/>
      </c>
      <c r="F941" s="11">
        <f>IF(GL_RAW!A941="","",TRIM(GL_RAW!F941))</f>
        <v/>
      </c>
      <c r="G941" s="11">
        <f>IF(GL_RAW!A941="","",TRIM(GL_RAW!G941))</f>
        <v/>
      </c>
      <c r="H941" s="12">
        <f>IF(GL_RAW!A941="","",IFERROR(GL_RAW!E941,0))</f>
        <v/>
      </c>
      <c r="I941" s="12">
        <f>IF(GL_RAW!A941="","",ABS(H941))</f>
        <v/>
      </c>
      <c r="J941" s="11">
        <f>IF(GL_RAW!A941="","",IF(OR(ISNUMBER(SEARCH("Out",F941)),ISNUMBER(SEARCH("11025002",F941)),H941&lt;0),"OUT","IN"))</f>
        <v/>
      </c>
      <c r="K941" s="11" t="inlineStr"/>
    </row>
    <row r="942">
      <c r="A942" s="13">
        <f>IF(GL_RAW!A942="","",ROW()-1)</f>
        <v/>
      </c>
      <c r="B942" s="10">
        <f>IF(GL_RAW!A942="","",IF(ISNUMBER(GL_RAW!A942),GL_RAW!A942,DATEVALUE(TEXT(GL_RAW!A942,"YYYY-MM-DD"))))</f>
        <v/>
      </c>
      <c r="C942" s="11">
        <f>IF(GL_RAW!A942="","",TRIM(GL_RAW!B942))</f>
        <v/>
      </c>
      <c r="D942" s="11">
        <f>IF(GL_RAW!A942="","",TRIM(GL_RAW!C942))</f>
        <v/>
      </c>
      <c r="E942" s="11">
        <f>IF(GL_RAW!A942="","",TRIM(GL_RAW!D942))</f>
        <v/>
      </c>
      <c r="F942" s="11">
        <f>IF(GL_RAW!A942="","",TRIM(GL_RAW!F942))</f>
        <v/>
      </c>
      <c r="G942" s="11">
        <f>IF(GL_RAW!A942="","",TRIM(GL_RAW!G942))</f>
        <v/>
      </c>
      <c r="H942" s="12">
        <f>IF(GL_RAW!A942="","",IFERROR(GL_RAW!E942,0))</f>
        <v/>
      </c>
      <c r="I942" s="12">
        <f>IF(GL_RAW!A942="","",ABS(H942))</f>
        <v/>
      </c>
      <c r="J942" s="11">
        <f>IF(GL_RAW!A942="","",IF(OR(ISNUMBER(SEARCH("Out",F942)),ISNUMBER(SEARCH("11025002",F942)),H942&lt;0),"OUT","IN"))</f>
        <v/>
      </c>
      <c r="K942" s="11" t="inlineStr"/>
    </row>
    <row r="943">
      <c r="A943" s="13">
        <f>IF(GL_RAW!A943="","",ROW()-1)</f>
        <v/>
      </c>
      <c r="B943" s="10">
        <f>IF(GL_RAW!A943="","",IF(ISNUMBER(GL_RAW!A943),GL_RAW!A943,DATEVALUE(TEXT(GL_RAW!A943,"YYYY-MM-DD"))))</f>
        <v/>
      </c>
      <c r="C943" s="11">
        <f>IF(GL_RAW!A943="","",TRIM(GL_RAW!B943))</f>
        <v/>
      </c>
      <c r="D943" s="11">
        <f>IF(GL_RAW!A943="","",TRIM(GL_RAW!C943))</f>
        <v/>
      </c>
      <c r="E943" s="11">
        <f>IF(GL_RAW!A943="","",TRIM(GL_RAW!D943))</f>
        <v/>
      </c>
      <c r="F943" s="11">
        <f>IF(GL_RAW!A943="","",TRIM(GL_RAW!F943))</f>
        <v/>
      </c>
      <c r="G943" s="11">
        <f>IF(GL_RAW!A943="","",TRIM(GL_RAW!G943))</f>
        <v/>
      </c>
      <c r="H943" s="12">
        <f>IF(GL_RAW!A943="","",IFERROR(GL_RAW!E943,0))</f>
        <v/>
      </c>
      <c r="I943" s="12">
        <f>IF(GL_RAW!A943="","",ABS(H943))</f>
        <v/>
      </c>
      <c r="J943" s="11">
        <f>IF(GL_RAW!A943="","",IF(OR(ISNUMBER(SEARCH("Out",F943)),ISNUMBER(SEARCH("11025002",F943)),H943&lt;0),"OUT","IN"))</f>
        <v/>
      </c>
      <c r="K943" s="11" t="inlineStr"/>
    </row>
    <row r="944">
      <c r="A944" s="13">
        <f>IF(GL_RAW!A944="","",ROW()-1)</f>
        <v/>
      </c>
      <c r="B944" s="10">
        <f>IF(GL_RAW!A944="","",IF(ISNUMBER(GL_RAW!A944),GL_RAW!A944,DATEVALUE(TEXT(GL_RAW!A944,"YYYY-MM-DD"))))</f>
        <v/>
      </c>
      <c r="C944" s="11">
        <f>IF(GL_RAW!A944="","",TRIM(GL_RAW!B944))</f>
        <v/>
      </c>
      <c r="D944" s="11">
        <f>IF(GL_RAW!A944="","",TRIM(GL_RAW!C944))</f>
        <v/>
      </c>
      <c r="E944" s="11">
        <f>IF(GL_RAW!A944="","",TRIM(GL_RAW!D944))</f>
        <v/>
      </c>
      <c r="F944" s="11">
        <f>IF(GL_RAW!A944="","",TRIM(GL_RAW!F944))</f>
        <v/>
      </c>
      <c r="G944" s="11">
        <f>IF(GL_RAW!A944="","",TRIM(GL_RAW!G944))</f>
        <v/>
      </c>
      <c r="H944" s="12">
        <f>IF(GL_RAW!A944="","",IFERROR(GL_RAW!E944,0))</f>
        <v/>
      </c>
      <c r="I944" s="12">
        <f>IF(GL_RAW!A944="","",ABS(H944))</f>
        <v/>
      </c>
      <c r="J944" s="11">
        <f>IF(GL_RAW!A944="","",IF(OR(ISNUMBER(SEARCH("Out",F944)),ISNUMBER(SEARCH("11025002",F944)),H944&lt;0),"OUT","IN"))</f>
        <v/>
      </c>
      <c r="K944" s="11" t="inlineStr"/>
    </row>
    <row r="945">
      <c r="A945" s="13">
        <f>IF(GL_RAW!A945="","",ROW()-1)</f>
        <v/>
      </c>
      <c r="B945" s="10">
        <f>IF(GL_RAW!A945="","",IF(ISNUMBER(GL_RAW!A945),GL_RAW!A945,DATEVALUE(TEXT(GL_RAW!A945,"YYYY-MM-DD"))))</f>
        <v/>
      </c>
      <c r="C945" s="11">
        <f>IF(GL_RAW!A945="","",TRIM(GL_RAW!B945))</f>
        <v/>
      </c>
      <c r="D945" s="11">
        <f>IF(GL_RAW!A945="","",TRIM(GL_RAW!C945))</f>
        <v/>
      </c>
      <c r="E945" s="11">
        <f>IF(GL_RAW!A945="","",TRIM(GL_RAW!D945))</f>
        <v/>
      </c>
      <c r="F945" s="11">
        <f>IF(GL_RAW!A945="","",TRIM(GL_RAW!F945))</f>
        <v/>
      </c>
      <c r="G945" s="11">
        <f>IF(GL_RAW!A945="","",TRIM(GL_RAW!G945))</f>
        <v/>
      </c>
      <c r="H945" s="12">
        <f>IF(GL_RAW!A945="","",IFERROR(GL_RAW!E945,0))</f>
        <v/>
      </c>
      <c r="I945" s="12">
        <f>IF(GL_RAW!A945="","",ABS(H945))</f>
        <v/>
      </c>
      <c r="J945" s="11">
        <f>IF(GL_RAW!A945="","",IF(OR(ISNUMBER(SEARCH("Out",F945)),ISNUMBER(SEARCH("11025002",F945)),H945&lt;0),"OUT","IN"))</f>
        <v/>
      </c>
      <c r="K945" s="11" t="inlineStr"/>
    </row>
    <row r="946">
      <c r="A946" s="13">
        <f>IF(GL_RAW!A946="","",ROW()-1)</f>
        <v/>
      </c>
      <c r="B946" s="10">
        <f>IF(GL_RAW!A946="","",IF(ISNUMBER(GL_RAW!A946),GL_RAW!A946,DATEVALUE(TEXT(GL_RAW!A946,"YYYY-MM-DD"))))</f>
        <v/>
      </c>
      <c r="C946" s="11">
        <f>IF(GL_RAW!A946="","",TRIM(GL_RAW!B946))</f>
        <v/>
      </c>
      <c r="D946" s="11">
        <f>IF(GL_RAW!A946="","",TRIM(GL_RAW!C946))</f>
        <v/>
      </c>
      <c r="E946" s="11">
        <f>IF(GL_RAW!A946="","",TRIM(GL_RAW!D946))</f>
        <v/>
      </c>
      <c r="F946" s="11">
        <f>IF(GL_RAW!A946="","",TRIM(GL_RAW!F946))</f>
        <v/>
      </c>
      <c r="G946" s="11">
        <f>IF(GL_RAW!A946="","",TRIM(GL_RAW!G946))</f>
        <v/>
      </c>
      <c r="H946" s="12">
        <f>IF(GL_RAW!A946="","",IFERROR(GL_RAW!E946,0))</f>
        <v/>
      </c>
      <c r="I946" s="12">
        <f>IF(GL_RAW!A946="","",ABS(H946))</f>
        <v/>
      </c>
      <c r="J946" s="11">
        <f>IF(GL_RAW!A946="","",IF(OR(ISNUMBER(SEARCH("Out",F946)),ISNUMBER(SEARCH("11025002",F946)),H946&lt;0),"OUT","IN"))</f>
        <v/>
      </c>
      <c r="K946" s="11" t="inlineStr"/>
    </row>
    <row r="947">
      <c r="A947" s="13">
        <f>IF(GL_RAW!A947="","",ROW()-1)</f>
        <v/>
      </c>
      <c r="B947" s="10">
        <f>IF(GL_RAW!A947="","",IF(ISNUMBER(GL_RAW!A947),GL_RAW!A947,DATEVALUE(TEXT(GL_RAW!A947,"YYYY-MM-DD"))))</f>
        <v/>
      </c>
      <c r="C947" s="11">
        <f>IF(GL_RAW!A947="","",TRIM(GL_RAW!B947))</f>
        <v/>
      </c>
      <c r="D947" s="11">
        <f>IF(GL_RAW!A947="","",TRIM(GL_RAW!C947))</f>
        <v/>
      </c>
      <c r="E947" s="11">
        <f>IF(GL_RAW!A947="","",TRIM(GL_RAW!D947))</f>
        <v/>
      </c>
      <c r="F947" s="11">
        <f>IF(GL_RAW!A947="","",TRIM(GL_RAW!F947))</f>
        <v/>
      </c>
      <c r="G947" s="11">
        <f>IF(GL_RAW!A947="","",TRIM(GL_RAW!G947))</f>
        <v/>
      </c>
      <c r="H947" s="12">
        <f>IF(GL_RAW!A947="","",IFERROR(GL_RAW!E947,0))</f>
        <v/>
      </c>
      <c r="I947" s="12">
        <f>IF(GL_RAW!A947="","",ABS(H947))</f>
        <v/>
      </c>
      <c r="J947" s="11">
        <f>IF(GL_RAW!A947="","",IF(OR(ISNUMBER(SEARCH("Out",F947)),ISNUMBER(SEARCH("11025002",F947)),H947&lt;0),"OUT","IN"))</f>
        <v/>
      </c>
      <c r="K947" s="11" t="inlineStr"/>
    </row>
    <row r="948">
      <c r="A948" s="13">
        <f>IF(GL_RAW!A948="","",ROW()-1)</f>
        <v/>
      </c>
      <c r="B948" s="10">
        <f>IF(GL_RAW!A948="","",IF(ISNUMBER(GL_RAW!A948),GL_RAW!A948,DATEVALUE(TEXT(GL_RAW!A948,"YYYY-MM-DD"))))</f>
        <v/>
      </c>
      <c r="C948" s="11">
        <f>IF(GL_RAW!A948="","",TRIM(GL_RAW!B948))</f>
        <v/>
      </c>
      <c r="D948" s="11">
        <f>IF(GL_RAW!A948="","",TRIM(GL_RAW!C948))</f>
        <v/>
      </c>
      <c r="E948" s="11">
        <f>IF(GL_RAW!A948="","",TRIM(GL_RAW!D948))</f>
        <v/>
      </c>
      <c r="F948" s="11">
        <f>IF(GL_RAW!A948="","",TRIM(GL_RAW!F948))</f>
        <v/>
      </c>
      <c r="G948" s="11">
        <f>IF(GL_RAW!A948="","",TRIM(GL_RAW!G948))</f>
        <v/>
      </c>
      <c r="H948" s="12">
        <f>IF(GL_RAW!A948="","",IFERROR(GL_RAW!E948,0))</f>
        <v/>
      </c>
      <c r="I948" s="12">
        <f>IF(GL_RAW!A948="","",ABS(H948))</f>
        <v/>
      </c>
      <c r="J948" s="11">
        <f>IF(GL_RAW!A948="","",IF(OR(ISNUMBER(SEARCH("Out",F948)),ISNUMBER(SEARCH("11025002",F948)),H948&lt;0),"OUT","IN"))</f>
        <v/>
      </c>
      <c r="K948" s="11" t="inlineStr"/>
    </row>
    <row r="949">
      <c r="A949" s="13">
        <f>IF(GL_RAW!A949="","",ROW()-1)</f>
        <v/>
      </c>
      <c r="B949" s="10">
        <f>IF(GL_RAW!A949="","",IF(ISNUMBER(GL_RAW!A949),GL_RAW!A949,DATEVALUE(TEXT(GL_RAW!A949,"YYYY-MM-DD"))))</f>
        <v/>
      </c>
      <c r="C949" s="11">
        <f>IF(GL_RAW!A949="","",TRIM(GL_RAW!B949))</f>
        <v/>
      </c>
      <c r="D949" s="11">
        <f>IF(GL_RAW!A949="","",TRIM(GL_RAW!C949))</f>
        <v/>
      </c>
      <c r="E949" s="11">
        <f>IF(GL_RAW!A949="","",TRIM(GL_RAW!D949))</f>
        <v/>
      </c>
      <c r="F949" s="11">
        <f>IF(GL_RAW!A949="","",TRIM(GL_RAW!F949))</f>
        <v/>
      </c>
      <c r="G949" s="11">
        <f>IF(GL_RAW!A949="","",TRIM(GL_RAW!G949))</f>
        <v/>
      </c>
      <c r="H949" s="12">
        <f>IF(GL_RAW!A949="","",IFERROR(GL_RAW!E949,0))</f>
        <v/>
      </c>
      <c r="I949" s="12">
        <f>IF(GL_RAW!A949="","",ABS(H949))</f>
        <v/>
      </c>
      <c r="J949" s="11">
        <f>IF(GL_RAW!A949="","",IF(OR(ISNUMBER(SEARCH("Out",F949)),ISNUMBER(SEARCH("11025002",F949)),H949&lt;0),"OUT","IN"))</f>
        <v/>
      </c>
      <c r="K949" s="11" t="inlineStr"/>
    </row>
    <row r="950">
      <c r="A950" s="13">
        <f>IF(GL_RAW!A950="","",ROW()-1)</f>
        <v/>
      </c>
      <c r="B950" s="10">
        <f>IF(GL_RAW!A950="","",IF(ISNUMBER(GL_RAW!A950),GL_RAW!A950,DATEVALUE(TEXT(GL_RAW!A950,"YYYY-MM-DD"))))</f>
        <v/>
      </c>
      <c r="C950" s="11">
        <f>IF(GL_RAW!A950="","",TRIM(GL_RAW!B950))</f>
        <v/>
      </c>
      <c r="D950" s="11">
        <f>IF(GL_RAW!A950="","",TRIM(GL_RAW!C950))</f>
        <v/>
      </c>
      <c r="E950" s="11">
        <f>IF(GL_RAW!A950="","",TRIM(GL_RAW!D950))</f>
        <v/>
      </c>
      <c r="F950" s="11">
        <f>IF(GL_RAW!A950="","",TRIM(GL_RAW!F950))</f>
        <v/>
      </c>
      <c r="G950" s="11">
        <f>IF(GL_RAW!A950="","",TRIM(GL_RAW!G950))</f>
        <v/>
      </c>
      <c r="H950" s="12">
        <f>IF(GL_RAW!A950="","",IFERROR(GL_RAW!E950,0))</f>
        <v/>
      </c>
      <c r="I950" s="12">
        <f>IF(GL_RAW!A950="","",ABS(H950))</f>
        <v/>
      </c>
      <c r="J950" s="11">
        <f>IF(GL_RAW!A950="","",IF(OR(ISNUMBER(SEARCH("Out",F950)),ISNUMBER(SEARCH("11025002",F950)),H950&lt;0),"OUT","IN"))</f>
        <v/>
      </c>
      <c r="K950" s="11" t="inlineStr"/>
    </row>
    <row r="951">
      <c r="A951" s="13">
        <f>IF(GL_RAW!A951="","",ROW()-1)</f>
        <v/>
      </c>
      <c r="B951" s="10">
        <f>IF(GL_RAW!A951="","",IF(ISNUMBER(GL_RAW!A951),GL_RAW!A951,DATEVALUE(TEXT(GL_RAW!A951,"YYYY-MM-DD"))))</f>
        <v/>
      </c>
      <c r="C951" s="11">
        <f>IF(GL_RAW!A951="","",TRIM(GL_RAW!B951))</f>
        <v/>
      </c>
      <c r="D951" s="11">
        <f>IF(GL_RAW!A951="","",TRIM(GL_RAW!C951))</f>
        <v/>
      </c>
      <c r="E951" s="11">
        <f>IF(GL_RAW!A951="","",TRIM(GL_RAW!D951))</f>
        <v/>
      </c>
      <c r="F951" s="11">
        <f>IF(GL_RAW!A951="","",TRIM(GL_RAW!F951))</f>
        <v/>
      </c>
      <c r="G951" s="11">
        <f>IF(GL_RAW!A951="","",TRIM(GL_RAW!G951))</f>
        <v/>
      </c>
      <c r="H951" s="12">
        <f>IF(GL_RAW!A951="","",IFERROR(GL_RAW!E951,0))</f>
        <v/>
      </c>
      <c r="I951" s="12">
        <f>IF(GL_RAW!A951="","",ABS(H951))</f>
        <v/>
      </c>
      <c r="J951" s="11">
        <f>IF(GL_RAW!A951="","",IF(OR(ISNUMBER(SEARCH("Out",F951)),ISNUMBER(SEARCH("11025002",F951)),H951&lt;0),"OUT","IN"))</f>
        <v/>
      </c>
      <c r="K951" s="11" t="inlineStr"/>
    </row>
    <row r="952">
      <c r="A952" s="13">
        <f>IF(GL_RAW!A952="","",ROW()-1)</f>
        <v/>
      </c>
      <c r="B952" s="10">
        <f>IF(GL_RAW!A952="","",IF(ISNUMBER(GL_RAW!A952),GL_RAW!A952,DATEVALUE(TEXT(GL_RAW!A952,"YYYY-MM-DD"))))</f>
        <v/>
      </c>
      <c r="C952" s="11">
        <f>IF(GL_RAW!A952="","",TRIM(GL_RAW!B952))</f>
        <v/>
      </c>
      <c r="D952" s="11">
        <f>IF(GL_RAW!A952="","",TRIM(GL_RAW!C952))</f>
        <v/>
      </c>
      <c r="E952" s="11">
        <f>IF(GL_RAW!A952="","",TRIM(GL_RAW!D952))</f>
        <v/>
      </c>
      <c r="F952" s="11">
        <f>IF(GL_RAW!A952="","",TRIM(GL_RAW!F952))</f>
        <v/>
      </c>
      <c r="G952" s="11">
        <f>IF(GL_RAW!A952="","",TRIM(GL_RAW!G952))</f>
        <v/>
      </c>
      <c r="H952" s="12">
        <f>IF(GL_RAW!A952="","",IFERROR(GL_RAW!E952,0))</f>
        <v/>
      </c>
      <c r="I952" s="12">
        <f>IF(GL_RAW!A952="","",ABS(H952))</f>
        <v/>
      </c>
      <c r="J952" s="11">
        <f>IF(GL_RAW!A952="","",IF(OR(ISNUMBER(SEARCH("Out",F952)),ISNUMBER(SEARCH("11025002",F952)),H952&lt;0),"OUT","IN"))</f>
        <v/>
      </c>
      <c r="K952" s="11" t="inlineStr"/>
    </row>
    <row r="953">
      <c r="A953" s="13">
        <f>IF(GL_RAW!A953="","",ROW()-1)</f>
        <v/>
      </c>
      <c r="B953" s="10">
        <f>IF(GL_RAW!A953="","",IF(ISNUMBER(GL_RAW!A953),GL_RAW!A953,DATEVALUE(TEXT(GL_RAW!A953,"YYYY-MM-DD"))))</f>
        <v/>
      </c>
      <c r="C953" s="11">
        <f>IF(GL_RAW!A953="","",TRIM(GL_RAW!B953))</f>
        <v/>
      </c>
      <c r="D953" s="11">
        <f>IF(GL_RAW!A953="","",TRIM(GL_RAW!C953))</f>
        <v/>
      </c>
      <c r="E953" s="11">
        <f>IF(GL_RAW!A953="","",TRIM(GL_RAW!D953))</f>
        <v/>
      </c>
      <c r="F953" s="11">
        <f>IF(GL_RAW!A953="","",TRIM(GL_RAW!F953))</f>
        <v/>
      </c>
      <c r="G953" s="11">
        <f>IF(GL_RAW!A953="","",TRIM(GL_RAW!G953))</f>
        <v/>
      </c>
      <c r="H953" s="12">
        <f>IF(GL_RAW!A953="","",IFERROR(GL_RAW!E953,0))</f>
        <v/>
      </c>
      <c r="I953" s="12">
        <f>IF(GL_RAW!A953="","",ABS(H953))</f>
        <v/>
      </c>
      <c r="J953" s="11">
        <f>IF(GL_RAW!A953="","",IF(OR(ISNUMBER(SEARCH("Out",F953)),ISNUMBER(SEARCH("11025002",F953)),H953&lt;0),"OUT","IN"))</f>
        <v/>
      </c>
      <c r="K953" s="11" t="inlineStr"/>
    </row>
    <row r="954">
      <c r="A954" s="13">
        <f>IF(GL_RAW!A954="","",ROW()-1)</f>
        <v/>
      </c>
      <c r="B954" s="10">
        <f>IF(GL_RAW!A954="","",IF(ISNUMBER(GL_RAW!A954),GL_RAW!A954,DATEVALUE(TEXT(GL_RAW!A954,"YYYY-MM-DD"))))</f>
        <v/>
      </c>
      <c r="C954" s="11">
        <f>IF(GL_RAW!A954="","",TRIM(GL_RAW!B954))</f>
        <v/>
      </c>
      <c r="D954" s="11">
        <f>IF(GL_RAW!A954="","",TRIM(GL_RAW!C954))</f>
        <v/>
      </c>
      <c r="E954" s="11">
        <f>IF(GL_RAW!A954="","",TRIM(GL_RAW!D954))</f>
        <v/>
      </c>
      <c r="F954" s="11">
        <f>IF(GL_RAW!A954="","",TRIM(GL_RAW!F954))</f>
        <v/>
      </c>
      <c r="G954" s="11">
        <f>IF(GL_RAW!A954="","",TRIM(GL_RAW!G954))</f>
        <v/>
      </c>
      <c r="H954" s="12">
        <f>IF(GL_RAW!A954="","",IFERROR(GL_RAW!E954,0))</f>
        <v/>
      </c>
      <c r="I954" s="12">
        <f>IF(GL_RAW!A954="","",ABS(H954))</f>
        <v/>
      </c>
      <c r="J954" s="11">
        <f>IF(GL_RAW!A954="","",IF(OR(ISNUMBER(SEARCH("Out",F954)),ISNUMBER(SEARCH("11025002",F954)),H954&lt;0),"OUT","IN"))</f>
        <v/>
      </c>
      <c r="K954" s="11" t="inlineStr"/>
    </row>
    <row r="955">
      <c r="A955" s="13">
        <f>IF(GL_RAW!A955="","",ROW()-1)</f>
        <v/>
      </c>
      <c r="B955" s="10">
        <f>IF(GL_RAW!A955="","",IF(ISNUMBER(GL_RAW!A955),GL_RAW!A955,DATEVALUE(TEXT(GL_RAW!A955,"YYYY-MM-DD"))))</f>
        <v/>
      </c>
      <c r="C955" s="11">
        <f>IF(GL_RAW!A955="","",TRIM(GL_RAW!B955))</f>
        <v/>
      </c>
      <c r="D955" s="11">
        <f>IF(GL_RAW!A955="","",TRIM(GL_RAW!C955))</f>
        <v/>
      </c>
      <c r="E955" s="11">
        <f>IF(GL_RAW!A955="","",TRIM(GL_RAW!D955))</f>
        <v/>
      </c>
      <c r="F955" s="11">
        <f>IF(GL_RAW!A955="","",TRIM(GL_RAW!F955))</f>
        <v/>
      </c>
      <c r="G955" s="11">
        <f>IF(GL_RAW!A955="","",TRIM(GL_RAW!G955))</f>
        <v/>
      </c>
      <c r="H955" s="12">
        <f>IF(GL_RAW!A955="","",IFERROR(GL_RAW!E955,0))</f>
        <v/>
      </c>
      <c r="I955" s="12">
        <f>IF(GL_RAW!A955="","",ABS(H955))</f>
        <v/>
      </c>
      <c r="J955" s="11">
        <f>IF(GL_RAW!A955="","",IF(OR(ISNUMBER(SEARCH("Out",F955)),ISNUMBER(SEARCH("11025002",F955)),H955&lt;0),"OUT","IN"))</f>
        <v/>
      </c>
      <c r="K955" s="11" t="inlineStr"/>
    </row>
    <row r="956">
      <c r="A956" s="13">
        <f>IF(GL_RAW!A956="","",ROW()-1)</f>
        <v/>
      </c>
      <c r="B956" s="10">
        <f>IF(GL_RAW!A956="","",IF(ISNUMBER(GL_RAW!A956),GL_RAW!A956,DATEVALUE(TEXT(GL_RAW!A956,"YYYY-MM-DD"))))</f>
        <v/>
      </c>
      <c r="C956" s="11">
        <f>IF(GL_RAW!A956="","",TRIM(GL_RAW!B956))</f>
        <v/>
      </c>
      <c r="D956" s="11">
        <f>IF(GL_RAW!A956="","",TRIM(GL_RAW!C956))</f>
        <v/>
      </c>
      <c r="E956" s="11">
        <f>IF(GL_RAW!A956="","",TRIM(GL_RAW!D956))</f>
        <v/>
      </c>
      <c r="F956" s="11">
        <f>IF(GL_RAW!A956="","",TRIM(GL_RAW!F956))</f>
        <v/>
      </c>
      <c r="G956" s="11">
        <f>IF(GL_RAW!A956="","",TRIM(GL_RAW!G956))</f>
        <v/>
      </c>
      <c r="H956" s="12">
        <f>IF(GL_RAW!A956="","",IFERROR(GL_RAW!E956,0))</f>
        <v/>
      </c>
      <c r="I956" s="12">
        <f>IF(GL_RAW!A956="","",ABS(H956))</f>
        <v/>
      </c>
      <c r="J956" s="11">
        <f>IF(GL_RAW!A956="","",IF(OR(ISNUMBER(SEARCH("Out",F956)),ISNUMBER(SEARCH("11025002",F956)),H956&lt;0),"OUT","IN"))</f>
        <v/>
      </c>
      <c r="K956" s="11" t="inlineStr"/>
    </row>
    <row r="957">
      <c r="A957" s="13">
        <f>IF(GL_RAW!A957="","",ROW()-1)</f>
        <v/>
      </c>
      <c r="B957" s="10">
        <f>IF(GL_RAW!A957="","",IF(ISNUMBER(GL_RAW!A957),GL_RAW!A957,DATEVALUE(TEXT(GL_RAW!A957,"YYYY-MM-DD"))))</f>
        <v/>
      </c>
      <c r="C957" s="11">
        <f>IF(GL_RAW!A957="","",TRIM(GL_RAW!B957))</f>
        <v/>
      </c>
      <c r="D957" s="11">
        <f>IF(GL_RAW!A957="","",TRIM(GL_RAW!C957))</f>
        <v/>
      </c>
      <c r="E957" s="11">
        <f>IF(GL_RAW!A957="","",TRIM(GL_RAW!D957))</f>
        <v/>
      </c>
      <c r="F957" s="11">
        <f>IF(GL_RAW!A957="","",TRIM(GL_RAW!F957))</f>
        <v/>
      </c>
      <c r="G957" s="11">
        <f>IF(GL_RAW!A957="","",TRIM(GL_RAW!G957))</f>
        <v/>
      </c>
      <c r="H957" s="12">
        <f>IF(GL_RAW!A957="","",IFERROR(GL_RAW!E957,0))</f>
        <v/>
      </c>
      <c r="I957" s="12">
        <f>IF(GL_RAW!A957="","",ABS(H957))</f>
        <v/>
      </c>
      <c r="J957" s="11">
        <f>IF(GL_RAW!A957="","",IF(OR(ISNUMBER(SEARCH("Out",F957)),ISNUMBER(SEARCH("11025002",F957)),H957&lt;0),"OUT","IN"))</f>
        <v/>
      </c>
      <c r="K957" s="11" t="inlineStr"/>
    </row>
    <row r="958">
      <c r="A958" s="13">
        <f>IF(GL_RAW!A958="","",ROW()-1)</f>
        <v/>
      </c>
      <c r="B958" s="10">
        <f>IF(GL_RAW!A958="","",IF(ISNUMBER(GL_RAW!A958),GL_RAW!A958,DATEVALUE(TEXT(GL_RAW!A958,"YYYY-MM-DD"))))</f>
        <v/>
      </c>
      <c r="C958" s="11">
        <f>IF(GL_RAW!A958="","",TRIM(GL_RAW!B958))</f>
        <v/>
      </c>
      <c r="D958" s="11">
        <f>IF(GL_RAW!A958="","",TRIM(GL_RAW!C958))</f>
        <v/>
      </c>
      <c r="E958" s="11">
        <f>IF(GL_RAW!A958="","",TRIM(GL_RAW!D958))</f>
        <v/>
      </c>
      <c r="F958" s="11">
        <f>IF(GL_RAW!A958="","",TRIM(GL_RAW!F958))</f>
        <v/>
      </c>
      <c r="G958" s="11">
        <f>IF(GL_RAW!A958="","",TRIM(GL_RAW!G958))</f>
        <v/>
      </c>
      <c r="H958" s="12">
        <f>IF(GL_RAW!A958="","",IFERROR(GL_RAW!E958,0))</f>
        <v/>
      </c>
      <c r="I958" s="12">
        <f>IF(GL_RAW!A958="","",ABS(H958))</f>
        <v/>
      </c>
      <c r="J958" s="11">
        <f>IF(GL_RAW!A958="","",IF(OR(ISNUMBER(SEARCH("Out",F958)),ISNUMBER(SEARCH("11025002",F958)),H958&lt;0),"OUT","IN"))</f>
        <v/>
      </c>
      <c r="K958" s="11" t="inlineStr"/>
    </row>
    <row r="959">
      <c r="A959" s="13">
        <f>IF(GL_RAW!A959="","",ROW()-1)</f>
        <v/>
      </c>
      <c r="B959" s="10">
        <f>IF(GL_RAW!A959="","",IF(ISNUMBER(GL_RAW!A959),GL_RAW!A959,DATEVALUE(TEXT(GL_RAW!A959,"YYYY-MM-DD"))))</f>
        <v/>
      </c>
      <c r="C959" s="11">
        <f>IF(GL_RAW!A959="","",TRIM(GL_RAW!B959))</f>
        <v/>
      </c>
      <c r="D959" s="11">
        <f>IF(GL_RAW!A959="","",TRIM(GL_RAW!C959))</f>
        <v/>
      </c>
      <c r="E959" s="11">
        <f>IF(GL_RAW!A959="","",TRIM(GL_RAW!D959))</f>
        <v/>
      </c>
      <c r="F959" s="11">
        <f>IF(GL_RAW!A959="","",TRIM(GL_RAW!F959))</f>
        <v/>
      </c>
      <c r="G959" s="11">
        <f>IF(GL_RAW!A959="","",TRIM(GL_RAW!G959))</f>
        <v/>
      </c>
      <c r="H959" s="12">
        <f>IF(GL_RAW!A959="","",IFERROR(GL_RAW!E959,0))</f>
        <v/>
      </c>
      <c r="I959" s="12">
        <f>IF(GL_RAW!A959="","",ABS(H959))</f>
        <v/>
      </c>
      <c r="J959" s="11">
        <f>IF(GL_RAW!A959="","",IF(OR(ISNUMBER(SEARCH("Out",F959)),ISNUMBER(SEARCH("11025002",F959)),H959&lt;0),"OUT","IN"))</f>
        <v/>
      </c>
      <c r="K959" s="11" t="inlineStr"/>
    </row>
    <row r="960">
      <c r="A960" s="13">
        <f>IF(GL_RAW!A960="","",ROW()-1)</f>
        <v/>
      </c>
      <c r="B960" s="10">
        <f>IF(GL_RAW!A960="","",IF(ISNUMBER(GL_RAW!A960),GL_RAW!A960,DATEVALUE(TEXT(GL_RAW!A960,"YYYY-MM-DD"))))</f>
        <v/>
      </c>
      <c r="C960" s="11">
        <f>IF(GL_RAW!A960="","",TRIM(GL_RAW!B960))</f>
        <v/>
      </c>
      <c r="D960" s="11">
        <f>IF(GL_RAW!A960="","",TRIM(GL_RAW!C960))</f>
        <v/>
      </c>
      <c r="E960" s="11">
        <f>IF(GL_RAW!A960="","",TRIM(GL_RAW!D960))</f>
        <v/>
      </c>
      <c r="F960" s="11">
        <f>IF(GL_RAW!A960="","",TRIM(GL_RAW!F960))</f>
        <v/>
      </c>
      <c r="G960" s="11">
        <f>IF(GL_RAW!A960="","",TRIM(GL_RAW!G960))</f>
        <v/>
      </c>
      <c r="H960" s="12">
        <f>IF(GL_RAW!A960="","",IFERROR(GL_RAW!E960,0))</f>
        <v/>
      </c>
      <c r="I960" s="12">
        <f>IF(GL_RAW!A960="","",ABS(H960))</f>
        <v/>
      </c>
      <c r="J960" s="11">
        <f>IF(GL_RAW!A960="","",IF(OR(ISNUMBER(SEARCH("Out",F960)),ISNUMBER(SEARCH("11025002",F960)),H960&lt;0),"OUT","IN"))</f>
        <v/>
      </c>
      <c r="K960" s="11" t="inlineStr"/>
    </row>
    <row r="961">
      <c r="A961" s="13">
        <f>IF(GL_RAW!A961="","",ROW()-1)</f>
        <v/>
      </c>
      <c r="B961" s="10">
        <f>IF(GL_RAW!A961="","",IF(ISNUMBER(GL_RAW!A961),GL_RAW!A961,DATEVALUE(TEXT(GL_RAW!A961,"YYYY-MM-DD"))))</f>
        <v/>
      </c>
      <c r="C961" s="11">
        <f>IF(GL_RAW!A961="","",TRIM(GL_RAW!B961))</f>
        <v/>
      </c>
      <c r="D961" s="11">
        <f>IF(GL_RAW!A961="","",TRIM(GL_RAW!C961))</f>
        <v/>
      </c>
      <c r="E961" s="11">
        <f>IF(GL_RAW!A961="","",TRIM(GL_RAW!D961))</f>
        <v/>
      </c>
      <c r="F961" s="11">
        <f>IF(GL_RAW!A961="","",TRIM(GL_RAW!F961))</f>
        <v/>
      </c>
      <c r="G961" s="11">
        <f>IF(GL_RAW!A961="","",TRIM(GL_RAW!G961))</f>
        <v/>
      </c>
      <c r="H961" s="12">
        <f>IF(GL_RAW!A961="","",IFERROR(GL_RAW!E961,0))</f>
        <v/>
      </c>
      <c r="I961" s="12">
        <f>IF(GL_RAW!A961="","",ABS(H961))</f>
        <v/>
      </c>
      <c r="J961" s="11">
        <f>IF(GL_RAW!A961="","",IF(OR(ISNUMBER(SEARCH("Out",F961)),ISNUMBER(SEARCH("11025002",F961)),H961&lt;0),"OUT","IN"))</f>
        <v/>
      </c>
      <c r="K961" s="11" t="inlineStr"/>
    </row>
    <row r="962">
      <c r="A962" s="13">
        <f>IF(GL_RAW!A962="","",ROW()-1)</f>
        <v/>
      </c>
      <c r="B962" s="10">
        <f>IF(GL_RAW!A962="","",IF(ISNUMBER(GL_RAW!A962),GL_RAW!A962,DATEVALUE(TEXT(GL_RAW!A962,"YYYY-MM-DD"))))</f>
        <v/>
      </c>
      <c r="C962" s="11">
        <f>IF(GL_RAW!A962="","",TRIM(GL_RAW!B962))</f>
        <v/>
      </c>
      <c r="D962" s="11">
        <f>IF(GL_RAW!A962="","",TRIM(GL_RAW!C962))</f>
        <v/>
      </c>
      <c r="E962" s="11">
        <f>IF(GL_RAW!A962="","",TRIM(GL_RAW!D962))</f>
        <v/>
      </c>
      <c r="F962" s="11">
        <f>IF(GL_RAW!A962="","",TRIM(GL_RAW!F962))</f>
        <v/>
      </c>
      <c r="G962" s="11">
        <f>IF(GL_RAW!A962="","",TRIM(GL_RAW!G962))</f>
        <v/>
      </c>
      <c r="H962" s="12">
        <f>IF(GL_RAW!A962="","",IFERROR(GL_RAW!E962,0))</f>
        <v/>
      </c>
      <c r="I962" s="12">
        <f>IF(GL_RAW!A962="","",ABS(H962))</f>
        <v/>
      </c>
      <c r="J962" s="11">
        <f>IF(GL_RAW!A962="","",IF(OR(ISNUMBER(SEARCH("Out",F962)),ISNUMBER(SEARCH("11025002",F962)),H962&lt;0),"OUT","IN"))</f>
        <v/>
      </c>
      <c r="K962" s="11" t="inlineStr"/>
    </row>
    <row r="963">
      <c r="A963" s="13">
        <f>IF(GL_RAW!A963="","",ROW()-1)</f>
        <v/>
      </c>
      <c r="B963" s="10">
        <f>IF(GL_RAW!A963="","",IF(ISNUMBER(GL_RAW!A963),GL_RAW!A963,DATEVALUE(TEXT(GL_RAW!A963,"YYYY-MM-DD"))))</f>
        <v/>
      </c>
      <c r="C963" s="11">
        <f>IF(GL_RAW!A963="","",TRIM(GL_RAW!B963))</f>
        <v/>
      </c>
      <c r="D963" s="11">
        <f>IF(GL_RAW!A963="","",TRIM(GL_RAW!C963))</f>
        <v/>
      </c>
      <c r="E963" s="11">
        <f>IF(GL_RAW!A963="","",TRIM(GL_RAW!D963))</f>
        <v/>
      </c>
      <c r="F963" s="11">
        <f>IF(GL_RAW!A963="","",TRIM(GL_RAW!F963))</f>
        <v/>
      </c>
      <c r="G963" s="11">
        <f>IF(GL_RAW!A963="","",TRIM(GL_RAW!G963))</f>
        <v/>
      </c>
      <c r="H963" s="12">
        <f>IF(GL_RAW!A963="","",IFERROR(GL_RAW!E963,0))</f>
        <v/>
      </c>
      <c r="I963" s="12">
        <f>IF(GL_RAW!A963="","",ABS(H963))</f>
        <v/>
      </c>
      <c r="J963" s="11">
        <f>IF(GL_RAW!A963="","",IF(OR(ISNUMBER(SEARCH("Out",F963)),ISNUMBER(SEARCH("11025002",F963)),H963&lt;0),"OUT","IN"))</f>
        <v/>
      </c>
      <c r="K963" s="11" t="inlineStr"/>
    </row>
    <row r="964">
      <c r="A964" s="13">
        <f>IF(GL_RAW!A964="","",ROW()-1)</f>
        <v/>
      </c>
      <c r="B964" s="10">
        <f>IF(GL_RAW!A964="","",IF(ISNUMBER(GL_RAW!A964),GL_RAW!A964,DATEVALUE(TEXT(GL_RAW!A964,"YYYY-MM-DD"))))</f>
        <v/>
      </c>
      <c r="C964" s="11">
        <f>IF(GL_RAW!A964="","",TRIM(GL_RAW!B964))</f>
        <v/>
      </c>
      <c r="D964" s="11">
        <f>IF(GL_RAW!A964="","",TRIM(GL_RAW!C964))</f>
        <v/>
      </c>
      <c r="E964" s="11">
        <f>IF(GL_RAW!A964="","",TRIM(GL_RAW!D964))</f>
        <v/>
      </c>
      <c r="F964" s="11">
        <f>IF(GL_RAW!A964="","",TRIM(GL_RAW!F964))</f>
        <v/>
      </c>
      <c r="G964" s="11">
        <f>IF(GL_RAW!A964="","",TRIM(GL_RAW!G964))</f>
        <v/>
      </c>
      <c r="H964" s="12">
        <f>IF(GL_RAW!A964="","",IFERROR(GL_RAW!E964,0))</f>
        <v/>
      </c>
      <c r="I964" s="12">
        <f>IF(GL_RAW!A964="","",ABS(H964))</f>
        <v/>
      </c>
      <c r="J964" s="11">
        <f>IF(GL_RAW!A964="","",IF(OR(ISNUMBER(SEARCH("Out",F964)),ISNUMBER(SEARCH("11025002",F964)),H964&lt;0),"OUT","IN"))</f>
        <v/>
      </c>
      <c r="K964" s="11" t="inlineStr"/>
    </row>
    <row r="965">
      <c r="A965" s="13">
        <f>IF(GL_RAW!A965="","",ROW()-1)</f>
        <v/>
      </c>
      <c r="B965" s="10">
        <f>IF(GL_RAW!A965="","",IF(ISNUMBER(GL_RAW!A965),GL_RAW!A965,DATEVALUE(TEXT(GL_RAW!A965,"YYYY-MM-DD"))))</f>
        <v/>
      </c>
      <c r="C965" s="11">
        <f>IF(GL_RAW!A965="","",TRIM(GL_RAW!B965))</f>
        <v/>
      </c>
      <c r="D965" s="11">
        <f>IF(GL_RAW!A965="","",TRIM(GL_RAW!C965))</f>
        <v/>
      </c>
      <c r="E965" s="11">
        <f>IF(GL_RAW!A965="","",TRIM(GL_RAW!D965))</f>
        <v/>
      </c>
      <c r="F965" s="11">
        <f>IF(GL_RAW!A965="","",TRIM(GL_RAW!F965))</f>
        <v/>
      </c>
      <c r="G965" s="11">
        <f>IF(GL_RAW!A965="","",TRIM(GL_RAW!G965))</f>
        <v/>
      </c>
      <c r="H965" s="12">
        <f>IF(GL_RAW!A965="","",IFERROR(GL_RAW!E965,0))</f>
        <v/>
      </c>
      <c r="I965" s="12">
        <f>IF(GL_RAW!A965="","",ABS(H965))</f>
        <v/>
      </c>
      <c r="J965" s="11">
        <f>IF(GL_RAW!A965="","",IF(OR(ISNUMBER(SEARCH("Out",F965)),ISNUMBER(SEARCH("11025002",F965)),H965&lt;0),"OUT","IN"))</f>
        <v/>
      </c>
      <c r="K965" s="11" t="inlineStr"/>
    </row>
    <row r="966">
      <c r="A966" s="13">
        <f>IF(GL_RAW!A966="","",ROW()-1)</f>
        <v/>
      </c>
      <c r="B966" s="10">
        <f>IF(GL_RAW!A966="","",IF(ISNUMBER(GL_RAW!A966),GL_RAW!A966,DATEVALUE(TEXT(GL_RAW!A966,"YYYY-MM-DD"))))</f>
        <v/>
      </c>
      <c r="C966" s="11">
        <f>IF(GL_RAW!A966="","",TRIM(GL_RAW!B966))</f>
        <v/>
      </c>
      <c r="D966" s="11">
        <f>IF(GL_RAW!A966="","",TRIM(GL_RAW!C966))</f>
        <v/>
      </c>
      <c r="E966" s="11">
        <f>IF(GL_RAW!A966="","",TRIM(GL_RAW!D966))</f>
        <v/>
      </c>
      <c r="F966" s="11">
        <f>IF(GL_RAW!A966="","",TRIM(GL_RAW!F966))</f>
        <v/>
      </c>
      <c r="G966" s="11">
        <f>IF(GL_RAW!A966="","",TRIM(GL_RAW!G966))</f>
        <v/>
      </c>
      <c r="H966" s="12">
        <f>IF(GL_RAW!A966="","",IFERROR(GL_RAW!E966,0))</f>
        <v/>
      </c>
      <c r="I966" s="12">
        <f>IF(GL_RAW!A966="","",ABS(H966))</f>
        <v/>
      </c>
      <c r="J966" s="11">
        <f>IF(GL_RAW!A966="","",IF(OR(ISNUMBER(SEARCH("Out",F966)),ISNUMBER(SEARCH("11025002",F966)),H966&lt;0),"OUT","IN"))</f>
        <v/>
      </c>
      <c r="K966" s="11" t="inlineStr"/>
    </row>
    <row r="967">
      <c r="A967" s="13">
        <f>IF(GL_RAW!A967="","",ROW()-1)</f>
        <v/>
      </c>
      <c r="B967" s="10">
        <f>IF(GL_RAW!A967="","",IF(ISNUMBER(GL_RAW!A967),GL_RAW!A967,DATEVALUE(TEXT(GL_RAW!A967,"YYYY-MM-DD"))))</f>
        <v/>
      </c>
      <c r="C967" s="11">
        <f>IF(GL_RAW!A967="","",TRIM(GL_RAW!B967))</f>
        <v/>
      </c>
      <c r="D967" s="11">
        <f>IF(GL_RAW!A967="","",TRIM(GL_RAW!C967))</f>
        <v/>
      </c>
      <c r="E967" s="11">
        <f>IF(GL_RAW!A967="","",TRIM(GL_RAW!D967))</f>
        <v/>
      </c>
      <c r="F967" s="11">
        <f>IF(GL_RAW!A967="","",TRIM(GL_RAW!F967))</f>
        <v/>
      </c>
      <c r="G967" s="11">
        <f>IF(GL_RAW!A967="","",TRIM(GL_RAW!G967))</f>
        <v/>
      </c>
      <c r="H967" s="12">
        <f>IF(GL_RAW!A967="","",IFERROR(GL_RAW!E967,0))</f>
        <v/>
      </c>
      <c r="I967" s="12">
        <f>IF(GL_RAW!A967="","",ABS(H967))</f>
        <v/>
      </c>
      <c r="J967" s="11">
        <f>IF(GL_RAW!A967="","",IF(OR(ISNUMBER(SEARCH("Out",F967)),ISNUMBER(SEARCH("11025002",F967)),H967&lt;0),"OUT","IN"))</f>
        <v/>
      </c>
      <c r="K967" s="11" t="inlineStr"/>
    </row>
    <row r="968">
      <c r="A968" s="13">
        <f>IF(GL_RAW!A968="","",ROW()-1)</f>
        <v/>
      </c>
      <c r="B968" s="10">
        <f>IF(GL_RAW!A968="","",IF(ISNUMBER(GL_RAW!A968),GL_RAW!A968,DATEVALUE(TEXT(GL_RAW!A968,"YYYY-MM-DD"))))</f>
        <v/>
      </c>
      <c r="C968" s="11">
        <f>IF(GL_RAW!A968="","",TRIM(GL_RAW!B968))</f>
        <v/>
      </c>
      <c r="D968" s="11">
        <f>IF(GL_RAW!A968="","",TRIM(GL_RAW!C968))</f>
        <v/>
      </c>
      <c r="E968" s="11">
        <f>IF(GL_RAW!A968="","",TRIM(GL_RAW!D968))</f>
        <v/>
      </c>
      <c r="F968" s="11">
        <f>IF(GL_RAW!A968="","",TRIM(GL_RAW!F968))</f>
        <v/>
      </c>
      <c r="G968" s="11">
        <f>IF(GL_RAW!A968="","",TRIM(GL_RAW!G968))</f>
        <v/>
      </c>
      <c r="H968" s="12">
        <f>IF(GL_RAW!A968="","",IFERROR(GL_RAW!E968,0))</f>
        <v/>
      </c>
      <c r="I968" s="12">
        <f>IF(GL_RAW!A968="","",ABS(H968))</f>
        <v/>
      </c>
      <c r="J968" s="11">
        <f>IF(GL_RAW!A968="","",IF(OR(ISNUMBER(SEARCH("Out",F968)),ISNUMBER(SEARCH("11025002",F968)),H968&lt;0),"OUT","IN"))</f>
        <v/>
      </c>
      <c r="K968" s="11" t="inlineStr"/>
    </row>
    <row r="969">
      <c r="A969" s="13">
        <f>IF(GL_RAW!A969="","",ROW()-1)</f>
        <v/>
      </c>
      <c r="B969" s="10">
        <f>IF(GL_RAW!A969="","",IF(ISNUMBER(GL_RAW!A969),GL_RAW!A969,DATEVALUE(TEXT(GL_RAW!A969,"YYYY-MM-DD"))))</f>
        <v/>
      </c>
      <c r="C969" s="11">
        <f>IF(GL_RAW!A969="","",TRIM(GL_RAW!B969))</f>
        <v/>
      </c>
      <c r="D969" s="11">
        <f>IF(GL_RAW!A969="","",TRIM(GL_RAW!C969))</f>
        <v/>
      </c>
      <c r="E969" s="11">
        <f>IF(GL_RAW!A969="","",TRIM(GL_RAW!D969))</f>
        <v/>
      </c>
      <c r="F969" s="11">
        <f>IF(GL_RAW!A969="","",TRIM(GL_RAW!F969))</f>
        <v/>
      </c>
      <c r="G969" s="11">
        <f>IF(GL_RAW!A969="","",TRIM(GL_RAW!G969))</f>
        <v/>
      </c>
      <c r="H969" s="12">
        <f>IF(GL_RAW!A969="","",IFERROR(GL_RAW!E969,0))</f>
        <v/>
      </c>
      <c r="I969" s="12">
        <f>IF(GL_RAW!A969="","",ABS(H969))</f>
        <v/>
      </c>
      <c r="J969" s="11">
        <f>IF(GL_RAW!A969="","",IF(OR(ISNUMBER(SEARCH("Out",F969)),ISNUMBER(SEARCH("11025002",F969)),H969&lt;0),"OUT","IN"))</f>
        <v/>
      </c>
      <c r="K969" s="11" t="inlineStr"/>
    </row>
    <row r="970">
      <c r="A970" s="13">
        <f>IF(GL_RAW!A970="","",ROW()-1)</f>
        <v/>
      </c>
      <c r="B970" s="10">
        <f>IF(GL_RAW!A970="","",IF(ISNUMBER(GL_RAW!A970),GL_RAW!A970,DATEVALUE(TEXT(GL_RAW!A970,"YYYY-MM-DD"))))</f>
        <v/>
      </c>
      <c r="C970" s="11">
        <f>IF(GL_RAW!A970="","",TRIM(GL_RAW!B970))</f>
        <v/>
      </c>
      <c r="D970" s="11">
        <f>IF(GL_RAW!A970="","",TRIM(GL_RAW!C970))</f>
        <v/>
      </c>
      <c r="E970" s="11">
        <f>IF(GL_RAW!A970="","",TRIM(GL_RAW!D970))</f>
        <v/>
      </c>
      <c r="F970" s="11">
        <f>IF(GL_RAW!A970="","",TRIM(GL_RAW!F970))</f>
        <v/>
      </c>
      <c r="G970" s="11">
        <f>IF(GL_RAW!A970="","",TRIM(GL_RAW!G970))</f>
        <v/>
      </c>
      <c r="H970" s="12">
        <f>IF(GL_RAW!A970="","",IFERROR(GL_RAW!E970,0))</f>
        <v/>
      </c>
      <c r="I970" s="12">
        <f>IF(GL_RAW!A970="","",ABS(H970))</f>
        <v/>
      </c>
      <c r="J970" s="11">
        <f>IF(GL_RAW!A970="","",IF(OR(ISNUMBER(SEARCH("Out",F970)),ISNUMBER(SEARCH("11025002",F970)),H970&lt;0),"OUT","IN"))</f>
        <v/>
      </c>
      <c r="K970" s="11" t="inlineStr"/>
    </row>
    <row r="971">
      <c r="A971" s="13">
        <f>IF(GL_RAW!A971="","",ROW()-1)</f>
        <v/>
      </c>
      <c r="B971" s="10">
        <f>IF(GL_RAW!A971="","",IF(ISNUMBER(GL_RAW!A971),GL_RAW!A971,DATEVALUE(TEXT(GL_RAW!A971,"YYYY-MM-DD"))))</f>
        <v/>
      </c>
      <c r="C971" s="11">
        <f>IF(GL_RAW!A971="","",TRIM(GL_RAW!B971))</f>
        <v/>
      </c>
      <c r="D971" s="11">
        <f>IF(GL_RAW!A971="","",TRIM(GL_RAW!C971))</f>
        <v/>
      </c>
      <c r="E971" s="11">
        <f>IF(GL_RAW!A971="","",TRIM(GL_RAW!D971))</f>
        <v/>
      </c>
      <c r="F971" s="11">
        <f>IF(GL_RAW!A971="","",TRIM(GL_RAW!F971))</f>
        <v/>
      </c>
      <c r="G971" s="11">
        <f>IF(GL_RAW!A971="","",TRIM(GL_RAW!G971))</f>
        <v/>
      </c>
      <c r="H971" s="12">
        <f>IF(GL_RAW!A971="","",IFERROR(GL_RAW!E971,0))</f>
        <v/>
      </c>
      <c r="I971" s="12">
        <f>IF(GL_RAW!A971="","",ABS(H971))</f>
        <v/>
      </c>
      <c r="J971" s="11">
        <f>IF(GL_RAW!A971="","",IF(OR(ISNUMBER(SEARCH("Out",F971)),ISNUMBER(SEARCH("11025002",F971)),H971&lt;0),"OUT","IN"))</f>
        <v/>
      </c>
      <c r="K971" s="11" t="inlineStr"/>
    </row>
    <row r="972">
      <c r="A972" s="13">
        <f>IF(GL_RAW!A972="","",ROW()-1)</f>
        <v/>
      </c>
      <c r="B972" s="10">
        <f>IF(GL_RAW!A972="","",IF(ISNUMBER(GL_RAW!A972),GL_RAW!A972,DATEVALUE(TEXT(GL_RAW!A972,"YYYY-MM-DD"))))</f>
        <v/>
      </c>
      <c r="C972" s="11">
        <f>IF(GL_RAW!A972="","",TRIM(GL_RAW!B972))</f>
        <v/>
      </c>
      <c r="D972" s="11">
        <f>IF(GL_RAW!A972="","",TRIM(GL_RAW!C972))</f>
        <v/>
      </c>
      <c r="E972" s="11">
        <f>IF(GL_RAW!A972="","",TRIM(GL_RAW!D972))</f>
        <v/>
      </c>
      <c r="F972" s="11">
        <f>IF(GL_RAW!A972="","",TRIM(GL_RAW!F972))</f>
        <v/>
      </c>
      <c r="G972" s="11">
        <f>IF(GL_RAW!A972="","",TRIM(GL_RAW!G972))</f>
        <v/>
      </c>
      <c r="H972" s="12">
        <f>IF(GL_RAW!A972="","",IFERROR(GL_RAW!E972,0))</f>
        <v/>
      </c>
      <c r="I972" s="12">
        <f>IF(GL_RAW!A972="","",ABS(H972))</f>
        <v/>
      </c>
      <c r="J972" s="11">
        <f>IF(GL_RAW!A972="","",IF(OR(ISNUMBER(SEARCH("Out",F972)),ISNUMBER(SEARCH("11025002",F972)),H972&lt;0),"OUT","IN"))</f>
        <v/>
      </c>
      <c r="K972" s="11" t="inlineStr"/>
    </row>
    <row r="973">
      <c r="A973" s="13">
        <f>IF(GL_RAW!A973="","",ROW()-1)</f>
        <v/>
      </c>
      <c r="B973" s="10">
        <f>IF(GL_RAW!A973="","",IF(ISNUMBER(GL_RAW!A973),GL_RAW!A973,DATEVALUE(TEXT(GL_RAW!A973,"YYYY-MM-DD"))))</f>
        <v/>
      </c>
      <c r="C973" s="11">
        <f>IF(GL_RAW!A973="","",TRIM(GL_RAW!B973))</f>
        <v/>
      </c>
      <c r="D973" s="11">
        <f>IF(GL_RAW!A973="","",TRIM(GL_RAW!C973))</f>
        <v/>
      </c>
      <c r="E973" s="11">
        <f>IF(GL_RAW!A973="","",TRIM(GL_RAW!D973))</f>
        <v/>
      </c>
      <c r="F973" s="11">
        <f>IF(GL_RAW!A973="","",TRIM(GL_RAW!F973))</f>
        <v/>
      </c>
      <c r="G973" s="11">
        <f>IF(GL_RAW!A973="","",TRIM(GL_RAW!G973))</f>
        <v/>
      </c>
      <c r="H973" s="12">
        <f>IF(GL_RAW!A973="","",IFERROR(GL_RAW!E973,0))</f>
        <v/>
      </c>
      <c r="I973" s="12">
        <f>IF(GL_RAW!A973="","",ABS(H973))</f>
        <v/>
      </c>
      <c r="J973" s="11">
        <f>IF(GL_RAW!A973="","",IF(OR(ISNUMBER(SEARCH("Out",F973)),ISNUMBER(SEARCH("11025002",F973)),H973&lt;0),"OUT","IN"))</f>
        <v/>
      </c>
      <c r="K973" s="11" t="inlineStr"/>
    </row>
    <row r="974">
      <c r="A974" s="13">
        <f>IF(GL_RAW!A974="","",ROW()-1)</f>
        <v/>
      </c>
      <c r="B974" s="10">
        <f>IF(GL_RAW!A974="","",IF(ISNUMBER(GL_RAW!A974),GL_RAW!A974,DATEVALUE(TEXT(GL_RAW!A974,"YYYY-MM-DD"))))</f>
        <v/>
      </c>
      <c r="C974" s="11">
        <f>IF(GL_RAW!A974="","",TRIM(GL_RAW!B974))</f>
        <v/>
      </c>
      <c r="D974" s="11">
        <f>IF(GL_RAW!A974="","",TRIM(GL_RAW!C974))</f>
        <v/>
      </c>
      <c r="E974" s="11">
        <f>IF(GL_RAW!A974="","",TRIM(GL_RAW!D974))</f>
        <v/>
      </c>
      <c r="F974" s="11">
        <f>IF(GL_RAW!A974="","",TRIM(GL_RAW!F974))</f>
        <v/>
      </c>
      <c r="G974" s="11">
        <f>IF(GL_RAW!A974="","",TRIM(GL_RAW!G974))</f>
        <v/>
      </c>
      <c r="H974" s="12">
        <f>IF(GL_RAW!A974="","",IFERROR(GL_RAW!E974,0))</f>
        <v/>
      </c>
      <c r="I974" s="12">
        <f>IF(GL_RAW!A974="","",ABS(H974))</f>
        <v/>
      </c>
      <c r="J974" s="11">
        <f>IF(GL_RAW!A974="","",IF(OR(ISNUMBER(SEARCH("Out",F974)),ISNUMBER(SEARCH("11025002",F974)),H974&lt;0),"OUT","IN"))</f>
        <v/>
      </c>
      <c r="K974" s="11" t="inlineStr"/>
    </row>
    <row r="975">
      <c r="A975" s="13">
        <f>IF(GL_RAW!A975="","",ROW()-1)</f>
        <v/>
      </c>
      <c r="B975" s="10">
        <f>IF(GL_RAW!A975="","",IF(ISNUMBER(GL_RAW!A975),GL_RAW!A975,DATEVALUE(TEXT(GL_RAW!A975,"YYYY-MM-DD"))))</f>
        <v/>
      </c>
      <c r="C975" s="11">
        <f>IF(GL_RAW!A975="","",TRIM(GL_RAW!B975))</f>
        <v/>
      </c>
      <c r="D975" s="11">
        <f>IF(GL_RAW!A975="","",TRIM(GL_RAW!C975))</f>
        <v/>
      </c>
      <c r="E975" s="11">
        <f>IF(GL_RAW!A975="","",TRIM(GL_RAW!D975))</f>
        <v/>
      </c>
      <c r="F975" s="11">
        <f>IF(GL_RAW!A975="","",TRIM(GL_RAW!F975))</f>
        <v/>
      </c>
      <c r="G975" s="11">
        <f>IF(GL_RAW!A975="","",TRIM(GL_RAW!G975))</f>
        <v/>
      </c>
      <c r="H975" s="12">
        <f>IF(GL_RAW!A975="","",IFERROR(GL_RAW!E975,0))</f>
        <v/>
      </c>
      <c r="I975" s="12">
        <f>IF(GL_RAW!A975="","",ABS(H975))</f>
        <v/>
      </c>
      <c r="J975" s="11">
        <f>IF(GL_RAW!A975="","",IF(OR(ISNUMBER(SEARCH("Out",F975)),ISNUMBER(SEARCH("11025002",F975)),H975&lt;0),"OUT","IN"))</f>
        <v/>
      </c>
      <c r="K975" s="11" t="inlineStr"/>
    </row>
    <row r="976">
      <c r="A976" s="13">
        <f>IF(GL_RAW!A976="","",ROW()-1)</f>
        <v/>
      </c>
      <c r="B976" s="10">
        <f>IF(GL_RAW!A976="","",IF(ISNUMBER(GL_RAW!A976),GL_RAW!A976,DATEVALUE(TEXT(GL_RAW!A976,"YYYY-MM-DD"))))</f>
        <v/>
      </c>
      <c r="C976" s="11">
        <f>IF(GL_RAW!A976="","",TRIM(GL_RAW!B976))</f>
        <v/>
      </c>
      <c r="D976" s="11">
        <f>IF(GL_RAW!A976="","",TRIM(GL_RAW!C976))</f>
        <v/>
      </c>
      <c r="E976" s="11">
        <f>IF(GL_RAW!A976="","",TRIM(GL_RAW!D976))</f>
        <v/>
      </c>
      <c r="F976" s="11">
        <f>IF(GL_RAW!A976="","",TRIM(GL_RAW!F976))</f>
        <v/>
      </c>
      <c r="G976" s="11">
        <f>IF(GL_RAW!A976="","",TRIM(GL_RAW!G976))</f>
        <v/>
      </c>
      <c r="H976" s="12">
        <f>IF(GL_RAW!A976="","",IFERROR(GL_RAW!E976,0))</f>
        <v/>
      </c>
      <c r="I976" s="12">
        <f>IF(GL_RAW!A976="","",ABS(H976))</f>
        <v/>
      </c>
      <c r="J976" s="11">
        <f>IF(GL_RAW!A976="","",IF(OR(ISNUMBER(SEARCH("Out",F976)),ISNUMBER(SEARCH("11025002",F976)),H976&lt;0),"OUT","IN"))</f>
        <v/>
      </c>
      <c r="K976" s="11" t="inlineStr"/>
    </row>
    <row r="977">
      <c r="A977" s="13">
        <f>IF(GL_RAW!A977="","",ROW()-1)</f>
        <v/>
      </c>
      <c r="B977" s="10">
        <f>IF(GL_RAW!A977="","",IF(ISNUMBER(GL_RAW!A977),GL_RAW!A977,DATEVALUE(TEXT(GL_RAW!A977,"YYYY-MM-DD"))))</f>
        <v/>
      </c>
      <c r="C977" s="11">
        <f>IF(GL_RAW!A977="","",TRIM(GL_RAW!B977))</f>
        <v/>
      </c>
      <c r="D977" s="11">
        <f>IF(GL_RAW!A977="","",TRIM(GL_RAW!C977))</f>
        <v/>
      </c>
      <c r="E977" s="11">
        <f>IF(GL_RAW!A977="","",TRIM(GL_RAW!D977))</f>
        <v/>
      </c>
      <c r="F977" s="11">
        <f>IF(GL_RAW!A977="","",TRIM(GL_RAW!F977))</f>
        <v/>
      </c>
      <c r="G977" s="11">
        <f>IF(GL_RAW!A977="","",TRIM(GL_RAW!G977))</f>
        <v/>
      </c>
      <c r="H977" s="12">
        <f>IF(GL_RAW!A977="","",IFERROR(GL_RAW!E977,0))</f>
        <v/>
      </c>
      <c r="I977" s="12">
        <f>IF(GL_RAW!A977="","",ABS(H977))</f>
        <v/>
      </c>
      <c r="J977" s="11">
        <f>IF(GL_RAW!A977="","",IF(OR(ISNUMBER(SEARCH("Out",F977)),ISNUMBER(SEARCH("11025002",F977)),H977&lt;0),"OUT","IN"))</f>
        <v/>
      </c>
      <c r="K977" s="11" t="inlineStr"/>
    </row>
    <row r="978">
      <c r="A978" s="13">
        <f>IF(GL_RAW!A978="","",ROW()-1)</f>
        <v/>
      </c>
      <c r="B978" s="10">
        <f>IF(GL_RAW!A978="","",IF(ISNUMBER(GL_RAW!A978),GL_RAW!A978,DATEVALUE(TEXT(GL_RAW!A978,"YYYY-MM-DD"))))</f>
        <v/>
      </c>
      <c r="C978" s="11">
        <f>IF(GL_RAW!A978="","",TRIM(GL_RAW!B978))</f>
        <v/>
      </c>
      <c r="D978" s="11">
        <f>IF(GL_RAW!A978="","",TRIM(GL_RAW!C978))</f>
        <v/>
      </c>
      <c r="E978" s="11">
        <f>IF(GL_RAW!A978="","",TRIM(GL_RAW!D978))</f>
        <v/>
      </c>
      <c r="F978" s="11">
        <f>IF(GL_RAW!A978="","",TRIM(GL_RAW!F978))</f>
        <v/>
      </c>
      <c r="G978" s="11">
        <f>IF(GL_RAW!A978="","",TRIM(GL_RAW!G978))</f>
        <v/>
      </c>
      <c r="H978" s="12">
        <f>IF(GL_RAW!A978="","",IFERROR(GL_RAW!E978,0))</f>
        <v/>
      </c>
      <c r="I978" s="12">
        <f>IF(GL_RAW!A978="","",ABS(H978))</f>
        <v/>
      </c>
      <c r="J978" s="11">
        <f>IF(GL_RAW!A978="","",IF(OR(ISNUMBER(SEARCH("Out",F978)),ISNUMBER(SEARCH("11025002",F978)),H978&lt;0),"OUT","IN"))</f>
        <v/>
      </c>
      <c r="K978" s="11" t="inlineStr"/>
    </row>
    <row r="979">
      <c r="A979" s="13">
        <f>IF(GL_RAW!A979="","",ROW()-1)</f>
        <v/>
      </c>
      <c r="B979" s="10">
        <f>IF(GL_RAW!A979="","",IF(ISNUMBER(GL_RAW!A979),GL_RAW!A979,DATEVALUE(TEXT(GL_RAW!A979,"YYYY-MM-DD"))))</f>
        <v/>
      </c>
      <c r="C979" s="11">
        <f>IF(GL_RAW!A979="","",TRIM(GL_RAW!B979))</f>
        <v/>
      </c>
      <c r="D979" s="11">
        <f>IF(GL_RAW!A979="","",TRIM(GL_RAW!C979))</f>
        <v/>
      </c>
      <c r="E979" s="11">
        <f>IF(GL_RAW!A979="","",TRIM(GL_RAW!D979))</f>
        <v/>
      </c>
      <c r="F979" s="11">
        <f>IF(GL_RAW!A979="","",TRIM(GL_RAW!F979))</f>
        <v/>
      </c>
      <c r="G979" s="11">
        <f>IF(GL_RAW!A979="","",TRIM(GL_RAW!G979))</f>
        <v/>
      </c>
      <c r="H979" s="12">
        <f>IF(GL_RAW!A979="","",IFERROR(GL_RAW!E979,0))</f>
        <v/>
      </c>
      <c r="I979" s="12">
        <f>IF(GL_RAW!A979="","",ABS(H979))</f>
        <v/>
      </c>
      <c r="J979" s="11">
        <f>IF(GL_RAW!A979="","",IF(OR(ISNUMBER(SEARCH("Out",F979)),ISNUMBER(SEARCH("11025002",F979)),H979&lt;0),"OUT","IN"))</f>
        <v/>
      </c>
      <c r="K979" s="11" t="inlineStr"/>
    </row>
    <row r="980">
      <c r="A980" s="13">
        <f>IF(GL_RAW!A980="","",ROW()-1)</f>
        <v/>
      </c>
      <c r="B980" s="10">
        <f>IF(GL_RAW!A980="","",IF(ISNUMBER(GL_RAW!A980),GL_RAW!A980,DATEVALUE(TEXT(GL_RAW!A980,"YYYY-MM-DD"))))</f>
        <v/>
      </c>
      <c r="C980" s="11">
        <f>IF(GL_RAW!A980="","",TRIM(GL_RAW!B980))</f>
        <v/>
      </c>
      <c r="D980" s="11">
        <f>IF(GL_RAW!A980="","",TRIM(GL_RAW!C980))</f>
        <v/>
      </c>
      <c r="E980" s="11">
        <f>IF(GL_RAW!A980="","",TRIM(GL_RAW!D980))</f>
        <v/>
      </c>
      <c r="F980" s="11">
        <f>IF(GL_RAW!A980="","",TRIM(GL_RAW!F980))</f>
        <v/>
      </c>
      <c r="G980" s="11">
        <f>IF(GL_RAW!A980="","",TRIM(GL_RAW!G980))</f>
        <v/>
      </c>
      <c r="H980" s="12">
        <f>IF(GL_RAW!A980="","",IFERROR(GL_RAW!E980,0))</f>
        <v/>
      </c>
      <c r="I980" s="12">
        <f>IF(GL_RAW!A980="","",ABS(H980))</f>
        <v/>
      </c>
      <c r="J980" s="11">
        <f>IF(GL_RAW!A980="","",IF(OR(ISNUMBER(SEARCH("Out",F980)),ISNUMBER(SEARCH("11025002",F980)),H980&lt;0),"OUT","IN"))</f>
        <v/>
      </c>
      <c r="K980" s="11" t="inlineStr"/>
    </row>
    <row r="981">
      <c r="A981" s="13">
        <f>IF(GL_RAW!A981="","",ROW()-1)</f>
        <v/>
      </c>
      <c r="B981" s="10">
        <f>IF(GL_RAW!A981="","",IF(ISNUMBER(GL_RAW!A981),GL_RAW!A981,DATEVALUE(TEXT(GL_RAW!A981,"YYYY-MM-DD"))))</f>
        <v/>
      </c>
      <c r="C981" s="11">
        <f>IF(GL_RAW!A981="","",TRIM(GL_RAW!B981))</f>
        <v/>
      </c>
      <c r="D981" s="11">
        <f>IF(GL_RAW!A981="","",TRIM(GL_RAW!C981))</f>
        <v/>
      </c>
      <c r="E981" s="11">
        <f>IF(GL_RAW!A981="","",TRIM(GL_RAW!D981))</f>
        <v/>
      </c>
      <c r="F981" s="11">
        <f>IF(GL_RAW!A981="","",TRIM(GL_RAW!F981))</f>
        <v/>
      </c>
      <c r="G981" s="11">
        <f>IF(GL_RAW!A981="","",TRIM(GL_RAW!G981))</f>
        <v/>
      </c>
      <c r="H981" s="12">
        <f>IF(GL_RAW!A981="","",IFERROR(GL_RAW!E981,0))</f>
        <v/>
      </c>
      <c r="I981" s="12">
        <f>IF(GL_RAW!A981="","",ABS(H981))</f>
        <v/>
      </c>
      <c r="J981" s="11">
        <f>IF(GL_RAW!A981="","",IF(OR(ISNUMBER(SEARCH("Out",F981)),ISNUMBER(SEARCH("11025002",F981)),H981&lt;0),"OUT","IN"))</f>
        <v/>
      </c>
      <c r="K981" s="11" t="inlineStr"/>
    </row>
    <row r="982">
      <c r="A982" s="13">
        <f>IF(GL_RAW!A982="","",ROW()-1)</f>
        <v/>
      </c>
      <c r="B982" s="10">
        <f>IF(GL_RAW!A982="","",IF(ISNUMBER(GL_RAW!A982),GL_RAW!A982,DATEVALUE(TEXT(GL_RAW!A982,"YYYY-MM-DD"))))</f>
        <v/>
      </c>
      <c r="C982" s="11">
        <f>IF(GL_RAW!A982="","",TRIM(GL_RAW!B982))</f>
        <v/>
      </c>
      <c r="D982" s="11">
        <f>IF(GL_RAW!A982="","",TRIM(GL_RAW!C982))</f>
        <v/>
      </c>
      <c r="E982" s="11">
        <f>IF(GL_RAW!A982="","",TRIM(GL_RAW!D982))</f>
        <v/>
      </c>
      <c r="F982" s="11">
        <f>IF(GL_RAW!A982="","",TRIM(GL_RAW!F982))</f>
        <v/>
      </c>
      <c r="G982" s="11">
        <f>IF(GL_RAW!A982="","",TRIM(GL_RAW!G982))</f>
        <v/>
      </c>
      <c r="H982" s="12">
        <f>IF(GL_RAW!A982="","",IFERROR(GL_RAW!E982,0))</f>
        <v/>
      </c>
      <c r="I982" s="12">
        <f>IF(GL_RAW!A982="","",ABS(H982))</f>
        <v/>
      </c>
      <c r="J982" s="11">
        <f>IF(GL_RAW!A982="","",IF(OR(ISNUMBER(SEARCH("Out",F982)),ISNUMBER(SEARCH("11025002",F982)),H982&lt;0),"OUT","IN"))</f>
        <v/>
      </c>
      <c r="K982" s="11" t="inlineStr"/>
    </row>
    <row r="983">
      <c r="A983" s="13">
        <f>IF(GL_RAW!A983="","",ROW()-1)</f>
        <v/>
      </c>
      <c r="B983" s="10">
        <f>IF(GL_RAW!A983="","",IF(ISNUMBER(GL_RAW!A983),GL_RAW!A983,DATEVALUE(TEXT(GL_RAW!A983,"YYYY-MM-DD"))))</f>
        <v/>
      </c>
      <c r="C983" s="11">
        <f>IF(GL_RAW!A983="","",TRIM(GL_RAW!B983))</f>
        <v/>
      </c>
      <c r="D983" s="11">
        <f>IF(GL_RAW!A983="","",TRIM(GL_RAW!C983))</f>
        <v/>
      </c>
      <c r="E983" s="11">
        <f>IF(GL_RAW!A983="","",TRIM(GL_RAW!D983))</f>
        <v/>
      </c>
      <c r="F983" s="11">
        <f>IF(GL_RAW!A983="","",TRIM(GL_RAW!F983))</f>
        <v/>
      </c>
      <c r="G983" s="11">
        <f>IF(GL_RAW!A983="","",TRIM(GL_RAW!G983))</f>
        <v/>
      </c>
      <c r="H983" s="12">
        <f>IF(GL_RAW!A983="","",IFERROR(GL_RAW!E983,0))</f>
        <v/>
      </c>
      <c r="I983" s="12">
        <f>IF(GL_RAW!A983="","",ABS(H983))</f>
        <v/>
      </c>
      <c r="J983" s="11">
        <f>IF(GL_RAW!A983="","",IF(OR(ISNUMBER(SEARCH("Out",F983)),ISNUMBER(SEARCH("11025002",F983)),H983&lt;0),"OUT","IN"))</f>
        <v/>
      </c>
      <c r="K983" s="11" t="inlineStr"/>
    </row>
    <row r="984">
      <c r="A984" s="13">
        <f>IF(GL_RAW!A984="","",ROW()-1)</f>
        <v/>
      </c>
      <c r="B984" s="10">
        <f>IF(GL_RAW!A984="","",IF(ISNUMBER(GL_RAW!A984),GL_RAW!A984,DATEVALUE(TEXT(GL_RAW!A984,"YYYY-MM-DD"))))</f>
        <v/>
      </c>
      <c r="C984" s="11">
        <f>IF(GL_RAW!A984="","",TRIM(GL_RAW!B984))</f>
        <v/>
      </c>
      <c r="D984" s="11">
        <f>IF(GL_RAW!A984="","",TRIM(GL_RAW!C984))</f>
        <v/>
      </c>
      <c r="E984" s="11">
        <f>IF(GL_RAW!A984="","",TRIM(GL_RAW!D984))</f>
        <v/>
      </c>
      <c r="F984" s="11">
        <f>IF(GL_RAW!A984="","",TRIM(GL_RAW!F984))</f>
        <v/>
      </c>
      <c r="G984" s="11">
        <f>IF(GL_RAW!A984="","",TRIM(GL_RAW!G984))</f>
        <v/>
      </c>
      <c r="H984" s="12">
        <f>IF(GL_RAW!A984="","",IFERROR(GL_RAW!E984,0))</f>
        <v/>
      </c>
      <c r="I984" s="12">
        <f>IF(GL_RAW!A984="","",ABS(H984))</f>
        <v/>
      </c>
      <c r="J984" s="11">
        <f>IF(GL_RAW!A984="","",IF(OR(ISNUMBER(SEARCH("Out",F984)),ISNUMBER(SEARCH("11025002",F984)),H984&lt;0),"OUT","IN"))</f>
        <v/>
      </c>
      <c r="K984" s="11" t="inlineStr"/>
    </row>
    <row r="985">
      <c r="A985" s="13">
        <f>IF(GL_RAW!A985="","",ROW()-1)</f>
        <v/>
      </c>
      <c r="B985" s="10">
        <f>IF(GL_RAW!A985="","",IF(ISNUMBER(GL_RAW!A985),GL_RAW!A985,DATEVALUE(TEXT(GL_RAW!A985,"YYYY-MM-DD"))))</f>
        <v/>
      </c>
      <c r="C985" s="11">
        <f>IF(GL_RAW!A985="","",TRIM(GL_RAW!B985))</f>
        <v/>
      </c>
      <c r="D985" s="11">
        <f>IF(GL_RAW!A985="","",TRIM(GL_RAW!C985))</f>
        <v/>
      </c>
      <c r="E985" s="11">
        <f>IF(GL_RAW!A985="","",TRIM(GL_RAW!D985))</f>
        <v/>
      </c>
      <c r="F985" s="11">
        <f>IF(GL_RAW!A985="","",TRIM(GL_RAW!F985))</f>
        <v/>
      </c>
      <c r="G985" s="11">
        <f>IF(GL_RAW!A985="","",TRIM(GL_RAW!G985))</f>
        <v/>
      </c>
      <c r="H985" s="12">
        <f>IF(GL_RAW!A985="","",IFERROR(GL_RAW!E985,0))</f>
        <v/>
      </c>
      <c r="I985" s="12">
        <f>IF(GL_RAW!A985="","",ABS(H985))</f>
        <v/>
      </c>
      <c r="J985" s="11">
        <f>IF(GL_RAW!A985="","",IF(OR(ISNUMBER(SEARCH("Out",F985)),ISNUMBER(SEARCH("11025002",F985)),H985&lt;0),"OUT","IN"))</f>
        <v/>
      </c>
      <c r="K985" s="11" t="inlineStr"/>
    </row>
    <row r="986">
      <c r="A986" s="13">
        <f>IF(GL_RAW!A986="","",ROW()-1)</f>
        <v/>
      </c>
      <c r="B986" s="10">
        <f>IF(GL_RAW!A986="","",IF(ISNUMBER(GL_RAW!A986),GL_RAW!A986,DATEVALUE(TEXT(GL_RAW!A986,"YYYY-MM-DD"))))</f>
        <v/>
      </c>
      <c r="C986" s="11">
        <f>IF(GL_RAW!A986="","",TRIM(GL_RAW!B986))</f>
        <v/>
      </c>
      <c r="D986" s="11">
        <f>IF(GL_RAW!A986="","",TRIM(GL_RAW!C986))</f>
        <v/>
      </c>
      <c r="E986" s="11">
        <f>IF(GL_RAW!A986="","",TRIM(GL_RAW!D986))</f>
        <v/>
      </c>
      <c r="F986" s="11">
        <f>IF(GL_RAW!A986="","",TRIM(GL_RAW!F986))</f>
        <v/>
      </c>
      <c r="G986" s="11">
        <f>IF(GL_RAW!A986="","",TRIM(GL_RAW!G986))</f>
        <v/>
      </c>
      <c r="H986" s="12">
        <f>IF(GL_RAW!A986="","",IFERROR(GL_RAW!E986,0))</f>
        <v/>
      </c>
      <c r="I986" s="12">
        <f>IF(GL_RAW!A986="","",ABS(H986))</f>
        <v/>
      </c>
      <c r="J986" s="11">
        <f>IF(GL_RAW!A986="","",IF(OR(ISNUMBER(SEARCH("Out",F986)),ISNUMBER(SEARCH("11025002",F986)),H986&lt;0),"OUT","IN"))</f>
        <v/>
      </c>
      <c r="K986" s="11" t="inlineStr"/>
    </row>
    <row r="987">
      <c r="A987" s="13">
        <f>IF(GL_RAW!A987="","",ROW()-1)</f>
        <v/>
      </c>
      <c r="B987" s="10">
        <f>IF(GL_RAW!A987="","",IF(ISNUMBER(GL_RAW!A987),GL_RAW!A987,DATEVALUE(TEXT(GL_RAW!A987,"YYYY-MM-DD"))))</f>
        <v/>
      </c>
      <c r="C987" s="11">
        <f>IF(GL_RAW!A987="","",TRIM(GL_RAW!B987))</f>
        <v/>
      </c>
      <c r="D987" s="11">
        <f>IF(GL_RAW!A987="","",TRIM(GL_RAW!C987))</f>
        <v/>
      </c>
      <c r="E987" s="11">
        <f>IF(GL_RAW!A987="","",TRIM(GL_RAW!D987))</f>
        <v/>
      </c>
      <c r="F987" s="11">
        <f>IF(GL_RAW!A987="","",TRIM(GL_RAW!F987))</f>
        <v/>
      </c>
      <c r="G987" s="11">
        <f>IF(GL_RAW!A987="","",TRIM(GL_RAW!G987))</f>
        <v/>
      </c>
      <c r="H987" s="12">
        <f>IF(GL_RAW!A987="","",IFERROR(GL_RAW!E987,0))</f>
        <v/>
      </c>
      <c r="I987" s="12">
        <f>IF(GL_RAW!A987="","",ABS(H987))</f>
        <v/>
      </c>
      <c r="J987" s="11">
        <f>IF(GL_RAW!A987="","",IF(OR(ISNUMBER(SEARCH("Out",F987)),ISNUMBER(SEARCH("11025002",F987)),H987&lt;0),"OUT","IN"))</f>
        <v/>
      </c>
      <c r="K987" s="11" t="inlineStr"/>
    </row>
    <row r="988">
      <c r="A988" s="13">
        <f>IF(GL_RAW!A988="","",ROW()-1)</f>
        <v/>
      </c>
      <c r="B988" s="10">
        <f>IF(GL_RAW!A988="","",IF(ISNUMBER(GL_RAW!A988),GL_RAW!A988,DATEVALUE(TEXT(GL_RAW!A988,"YYYY-MM-DD"))))</f>
        <v/>
      </c>
      <c r="C988" s="11">
        <f>IF(GL_RAW!A988="","",TRIM(GL_RAW!B988))</f>
        <v/>
      </c>
      <c r="D988" s="11">
        <f>IF(GL_RAW!A988="","",TRIM(GL_RAW!C988))</f>
        <v/>
      </c>
      <c r="E988" s="11">
        <f>IF(GL_RAW!A988="","",TRIM(GL_RAW!D988))</f>
        <v/>
      </c>
      <c r="F988" s="11">
        <f>IF(GL_RAW!A988="","",TRIM(GL_RAW!F988))</f>
        <v/>
      </c>
      <c r="G988" s="11">
        <f>IF(GL_RAW!A988="","",TRIM(GL_RAW!G988))</f>
        <v/>
      </c>
      <c r="H988" s="12">
        <f>IF(GL_RAW!A988="","",IFERROR(GL_RAW!E988,0))</f>
        <v/>
      </c>
      <c r="I988" s="12">
        <f>IF(GL_RAW!A988="","",ABS(H988))</f>
        <v/>
      </c>
      <c r="J988" s="11">
        <f>IF(GL_RAW!A988="","",IF(OR(ISNUMBER(SEARCH("Out",F988)),ISNUMBER(SEARCH("11025002",F988)),H988&lt;0),"OUT","IN"))</f>
        <v/>
      </c>
      <c r="K988" s="11" t="inlineStr"/>
    </row>
    <row r="989">
      <c r="A989" s="13">
        <f>IF(GL_RAW!A989="","",ROW()-1)</f>
        <v/>
      </c>
      <c r="B989" s="10">
        <f>IF(GL_RAW!A989="","",IF(ISNUMBER(GL_RAW!A989),GL_RAW!A989,DATEVALUE(TEXT(GL_RAW!A989,"YYYY-MM-DD"))))</f>
        <v/>
      </c>
      <c r="C989" s="11">
        <f>IF(GL_RAW!A989="","",TRIM(GL_RAW!B989))</f>
        <v/>
      </c>
      <c r="D989" s="11">
        <f>IF(GL_RAW!A989="","",TRIM(GL_RAW!C989))</f>
        <v/>
      </c>
      <c r="E989" s="11">
        <f>IF(GL_RAW!A989="","",TRIM(GL_RAW!D989))</f>
        <v/>
      </c>
      <c r="F989" s="11">
        <f>IF(GL_RAW!A989="","",TRIM(GL_RAW!F989))</f>
        <v/>
      </c>
      <c r="G989" s="11">
        <f>IF(GL_RAW!A989="","",TRIM(GL_RAW!G989))</f>
        <v/>
      </c>
      <c r="H989" s="12">
        <f>IF(GL_RAW!A989="","",IFERROR(GL_RAW!E989,0))</f>
        <v/>
      </c>
      <c r="I989" s="12">
        <f>IF(GL_RAW!A989="","",ABS(H989))</f>
        <v/>
      </c>
      <c r="J989" s="11">
        <f>IF(GL_RAW!A989="","",IF(OR(ISNUMBER(SEARCH("Out",F989)),ISNUMBER(SEARCH("11025002",F989)),H989&lt;0),"OUT","IN"))</f>
        <v/>
      </c>
      <c r="K989" s="11" t="inlineStr"/>
    </row>
    <row r="990">
      <c r="A990" s="13">
        <f>IF(GL_RAW!A990="","",ROW()-1)</f>
        <v/>
      </c>
      <c r="B990" s="10">
        <f>IF(GL_RAW!A990="","",IF(ISNUMBER(GL_RAW!A990),GL_RAW!A990,DATEVALUE(TEXT(GL_RAW!A990,"YYYY-MM-DD"))))</f>
        <v/>
      </c>
      <c r="C990" s="11">
        <f>IF(GL_RAW!A990="","",TRIM(GL_RAW!B990))</f>
        <v/>
      </c>
      <c r="D990" s="11">
        <f>IF(GL_RAW!A990="","",TRIM(GL_RAW!C990))</f>
        <v/>
      </c>
      <c r="E990" s="11">
        <f>IF(GL_RAW!A990="","",TRIM(GL_RAW!D990))</f>
        <v/>
      </c>
      <c r="F990" s="11">
        <f>IF(GL_RAW!A990="","",TRIM(GL_RAW!F990))</f>
        <v/>
      </c>
      <c r="G990" s="11">
        <f>IF(GL_RAW!A990="","",TRIM(GL_RAW!G990))</f>
        <v/>
      </c>
      <c r="H990" s="12">
        <f>IF(GL_RAW!A990="","",IFERROR(GL_RAW!E990,0))</f>
        <v/>
      </c>
      <c r="I990" s="12">
        <f>IF(GL_RAW!A990="","",ABS(H990))</f>
        <v/>
      </c>
      <c r="J990" s="11">
        <f>IF(GL_RAW!A990="","",IF(OR(ISNUMBER(SEARCH("Out",F990)),ISNUMBER(SEARCH("11025002",F990)),H990&lt;0),"OUT","IN"))</f>
        <v/>
      </c>
      <c r="K990" s="11" t="inlineStr"/>
    </row>
    <row r="991">
      <c r="A991" s="13">
        <f>IF(GL_RAW!A991="","",ROW()-1)</f>
        <v/>
      </c>
      <c r="B991" s="10">
        <f>IF(GL_RAW!A991="","",IF(ISNUMBER(GL_RAW!A991),GL_RAW!A991,DATEVALUE(TEXT(GL_RAW!A991,"YYYY-MM-DD"))))</f>
        <v/>
      </c>
      <c r="C991" s="11">
        <f>IF(GL_RAW!A991="","",TRIM(GL_RAW!B991))</f>
        <v/>
      </c>
      <c r="D991" s="11">
        <f>IF(GL_RAW!A991="","",TRIM(GL_RAW!C991))</f>
        <v/>
      </c>
      <c r="E991" s="11">
        <f>IF(GL_RAW!A991="","",TRIM(GL_RAW!D991))</f>
        <v/>
      </c>
      <c r="F991" s="11">
        <f>IF(GL_RAW!A991="","",TRIM(GL_RAW!F991))</f>
        <v/>
      </c>
      <c r="G991" s="11">
        <f>IF(GL_RAW!A991="","",TRIM(GL_RAW!G991))</f>
        <v/>
      </c>
      <c r="H991" s="12">
        <f>IF(GL_RAW!A991="","",IFERROR(GL_RAW!E991,0))</f>
        <v/>
      </c>
      <c r="I991" s="12">
        <f>IF(GL_RAW!A991="","",ABS(H991))</f>
        <v/>
      </c>
      <c r="J991" s="11">
        <f>IF(GL_RAW!A991="","",IF(OR(ISNUMBER(SEARCH("Out",F991)),ISNUMBER(SEARCH("11025002",F991)),H991&lt;0),"OUT","IN"))</f>
        <v/>
      </c>
      <c r="K991" s="11" t="inlineStr"/>
    </row>
    <row r="992">
      <c r="A992" s="13">
        <f>IF(GL_RAW!A992="","",ROW()-1)</f>
        <v/>
      </c>
      <c r="B992" s="10">
        <f>IF(GL_RAW!A992="","",IF(ISNUMBER(GL_RAW!A992),GL_RAW!A992,DATEVALUE(TEXT(GL_RAW!A992,"YYYY-MM-DD"))))</f>
        <v/>
      </c>
      <c r="C992" s="11">
        <f>IF(GL_RAW!A992="","",TRIM(GL_RAW!B992))</f>
        <v/>
      </c>
      <c r="D992" s="11">
        <f>IF(GL_RAW!A992="","",TRIM(GL_RAW!C992))</f>
        <v/>
      </c>
      <c r="E992" s="11">
        <f>IF(GL_RAW!A992="","",TRIM(GL_RAW!D992))</f>
        <v/>
      </c>
      <c r="F992" s="11">
        <f>IF(GL_RAW!A992="","",TRIM(GL_RAW!F992))</f>
        <v/>
      </c>
      <c r="G992" s="11">
        <f>IF(GL_RAW!A992="","",TRIM(GL_RAW!G992))</f>
        <v/>
      </c>
      <c r="H992" s="12">
        <f>IF(GL_RAW!A992="","",IFERROR(GL_RAW!E992,0))</f>
        <v/>
      </c>
      <c r="I992" s="12">
        <f>IF(GL_RAW!A992="","",ABS(H992))</f>
        <v/>
      </c>
      <c r="J992" s="11">
        <f>IF(GL_RAW!A992="","",IF(OR(ISNUMBER(SEARCH("Out",F992)),ISNUMBER(SEARCH("11025002",F992)),H992&lt;0),"OUT","IN"))</f>
        <v/>
      </c>
      <c r="K992" s="11" t="inlineStr"/>
    </row>
    <row r="993">
      <c r="A993" s="13">
        <f>IF(GL_RAW!A993="","",ROW()-1)</f>
        <v/>
      </c>
      <c r="B993" s="10">
        <f>IF(GL_RAW!A993="","",IF(ISNUMBER(GL_RAW!A993),GL_RAW!A993,DATEVALUE(TEXT(GL_RAW!A993,"YYYY-MM-DD"))))</f>
        <v/>
      </c>
      <c r="C993" s="11">
        <f>IF(GL_RAW!A993="","",TRIM(GL_RAW!B993))</f>
        <v/>
      </c>
      <c r="D993" s="11">
        <f>IF(GL_RAW!A993="","",TRIM(GL_RAW!C993))</f>
        <v/>
      </c>
      <c r="E993" s="11">
        <f>IF(GL_RAW!A993="","",TRIM(GL_RAW!D993))</f>
        <v/>
      </c>
      <c r="F993" s="11">
        <f>IF(GL_RAW!A993="","",TRIM(GL_RAW!F993))</f>
        <v/>
      </c>
      <c r="G993" s="11">
        <f>IF(GL_RAW!A993="","",TRIM(GL_RAW!G993))</f>
        <v/>
      </c>
      <c r="H993" s="12">
        <f>IF(GL_RAW!A993="","",IFERROR(GL_RAW!E993,0))</f>
        <v/>
      </c>
      <c r="I993" s="12">
        <f>IF(GL_RAW!A993="","",ABS(H993))</f>
        <v/>
      </c>
      <c r="J993" s="11">
        <f>IF(GL_RAW!A993="","",IF(OR(ISNUMBER(SEARCH("Out",F993)),ISNUMBER(SEARCH("11025002",F993)),H993&lt;0),"OUT","IN"))</f>
        <v/>
      </c>
      <c r="K993" s="11" t="inlineStr"/>
    </row>
    <row r="994">
      <c r="A994" s="13">
        <f>IF(GL_RAW!A994="","",ROW()-1)</f>
        <v/>
      </c>
      <c r="B994" s="10">
        <f>IF(GL_RAW!A994="","",IF(ISNUMBER(GL_RAW!A994),GL_RAW!A994,DATEVALUE(TEXT(GL_RAW!A994,"YYYY-MM-DD"))))</f>
        <v/>
      </c>
      <c r="C994" s="11">
        <f>IF(GL_RAW!A994="","",TRIM(GL_RAW!B994))</f>
        <v/>
      </c>
      <c r="D994" s="11">
        <f>IF(GL_RAW!A994="","",TRIM(GL_RAW!C994))</f>
        <v/>
      </c>
      <c r="E994" s="11">
        <f>IF(GL_RAW!A994="","",TRIM(GL_RAW!D994))</f>
        <v/>
      </c>
      <c r="F994" s="11">
        <f>IF(GL_RAW!A994="","",TRIM(GL_RAW!F994))</f>
        <v/>
      </c>
      <c r="G994" s="11">
        <f>IF(GL_RAW!A994="","",TRIM(GL_RAW!G994))</f>
        <v/>
      </c>
      <c r="H994" s="12">
        <f>IF(GL_RAW!A994="","",IFERROR(GL_RAW!E994,0))</f>
        <v/>
      </c>
      <c r="I994" s="12">
        <f>IF(GL_RAW!A994="","",ABS(H994))</f>
        <v/>
      </c>
      <c r="J994" s="11">
        <f>IF(GL_RAW!A994="","",IF(OR(ISNUMBER(SEARCH("Out",F994)),ISNUMBER(SEARCH("11025002",F994)),H994&lt;0),"OUT","IN"))</f>
        <v/>
      </c>
      <c r="K994" s="11" t="inlineStr"/>
    </row>
    <row r="995">
      <c r="A995" s="13">
        <f>IF(GL_RAW!A995="","",ROW()-1)</f>
        <v/>
      </c>
      <c r="B995" s="10">
        <f>IF(GL_RAW!A995="","",IF(ISNUMBER(GL_RAW!A995),GL_RAW!A995,DATEVALUE(TEXT(GL_RAW!A995,"YYYY-MM-DD"))))</f>
        <v/>
      </c>
      <c r="C995" s="11">
        <f>IF(GL_RAW!A995="","",TRIM(GL_RAW!B995))</f>
        <v/>
      </c>
      <c r="D995" s="11">
        <f>IF(GL_RAW!A995="","",TRIM(GL_RAW!C995))</f>
        <v/>
      </c>
      <c r="E995" s="11">
        <f>IF(GL_RAW!A995="","",TRIM(GL_RAW!D995))</f>
        <v/>
      </c>
      <c r="F995" s="11">
        <f>IF(GL_RAW!A995="","",TRIM(GL_RAW!F995))</f>
        <v/>
      </c>
      <c r="G995" s="11">
        <f>IF(GL_RAW!A995="","",TRIM(GL_RAW!G995))</f>
        <v/>
      </c>
      <c r="H995" s="12">
        <f>IF(GL_RAW!A995="","",IFERROR(GL_RAW!E995,0))</f>
        <v/>
      </c>
      <c r="I995" s="12">
        <f>IF(GL_RAW!A995="","",ABS(H995))</f>
        <v/>
      </c>
      <c r="J995" s="11">
        <f>IF(GL_RAW!A995="","",IF(OR(ISNUMBER(SEARCH("Out",F995)),ISNUMBER(SEARCH("11025002",F995)),H995&lt;0),"OUT","IN"))</f>
        <v/>
      </c>
      <c r="K995" s="11" t="inlineStr"/>
    </row>
    <row r="996">
      <c r="A996" s="13">
        <f>IF(GL_RAW!A996="","",ROW()-1)</f>
        <v/>
      </c>
      <c r="B996" s="10">
        <f>IF(GL_RAW!A996="","",IF(ISNUMBER(GL_RAW!A996),GL_RAW!A996,DATEVALUE(TEXT(GL_RAW!A996,"YYYY-MM-DD"))))</f>
        <v/>
      </c>
      <c r="C996" s="11">
        <f>IF(GL_RAW!A996="","",TRIM(GL_RAW!B996))</f>
        <v/>
      </c>
      <c r="D996" s="11">
        <f>IF(GL_RAW!A996="","",TRIM(GL_RAW!C996))</f>
        <v/>
      </c>
      <c r="E996" s="11">
        <f>IF(GL_RAW!A996="","",TRIM(GL_RAW!D996))</f>
        <v/>
      </c>
      <c r="F996" s="11">
        <f>IF(GL_RAW!A996="","",TRIM(GL_RAW!F996))</f>
        <v/>
      </c>
      <c r="G996" s="11">
        <f>IF(GL_RAW!A996="","",TRIM(GL_RAW!G996))</f>
        <v/>
      </c>
      <c r="H996" s="12">
        <f>IF(GL_RAW!A996="","",IFERROR(GL_RAW!E996,0))</f>
        <v/>
      </c>
      <c r="I996" s="12">
        <f>IF(GL_RAW!A996="","",ABS(H996))</f>
        <v/>
      </c>
      <c r="J996" s="11">
        <f>IF(GL_RAW!A996="","",IF(OR(ISNUMBER(SEARCH("Out",F996)),ISNUMBER(SEARCH("11025002",F996)),H996&lt;0),"OUT","IN"))</f>
        <v/>
      </c>
      <c r="K996" s="11" t="inlineStr"/>
    </row>
    <row r="997">
      <c r="A997" s="13">
        <f>IF(GL_RAW!A997="","",ROW()-1)</f>
        <v/>
      </c>
      <c r="B997" s="10">
        <f>IF(GL_RAW!A997="","",IF(ISNUMBER(GL_RAW!A997),GL_RAW!A997,DATEVALUE(TEXT(GL_RAW!A997,"YYYY-MM-DD"))))</f>
        <v/>
      </c>
      <c r="C997" s="11">
        <f>IF(GL_RAW!A997="","",TRIM(GL_RAW!B997))</f>
        <v/>
      </c>
      <c r="D997" s="11">
        <f>IF(GL_RAW!A997="","",TRIM(GL_RAW!C997))</f>
        <v/>
      </c>
      <c r="E997" s="11">
        <f>IF(GL_RAW!A997="","",TRIM(GL_RAW!D997))</f>
        <v/>
      </c>
      <c r="F997" s="11">
        <f>IF(GL_RAW!A997="","",TRIM(GL_RAW!F997))</f>
        <v/>
      </c>
      <c r="G997" s="11">
        <f>IF(GL_RAW!A997="","",TRIM(GL_RAW!G997))</f>
        <v/>
      </c>
      <c r="H997" s="12">
        <f>IF(GL_RAW!A997="","",IFERROR(GL_RAW!E997,0))</f>
        <v/>
      </c>
      <c r="I997" s="12">
        <f>IF(GL_RAW!A997="","",ABS(H997))</f>
        <v/>
      </c>
      <c r="J997" s="11">
        <f>IF(GL_RAW!A997="","",IF(OR(ISNUMBER(SEARCH("Out",F997)),ISNUMBER(SEARCH("11025002",F997)),H997&lt;0),"OUT","IN"))</f>
        <v/>
      </c>
      <c r="K997" s="11" t="inlineStr"/>
    </row>
    <row r="998">
      <c r="A998" s="13">
        <f>IF(GL_RAW!A998="","",ROW()-1)</f>
        <v/>
      </c>
      <c r="B998" s="10">
        <f>IF(GL_RAW!A998="","",IF(ISNUMBER(GL_RAW!A998),GL_RAW!A998,DATEVALUE(TEXT(GL_RAW!A998,"YYYY-MM-DD"))))</f>
        <v/>
      </c>
      <c r="C998" s="11">
        <f>IF(GL_RAW!A998="","",TRIM(GL_RAW!B998))</f>
        <v/>
      </c>
      <c r="D998" s="11">
        <f>IF(GL_RAW!A998="","",TRIM(GL_RAW!C998))</f>
        <v/>
      </c>
      <c r="E998" s="11">
        <f>IF(GL_RAW!A998="","",TRIM(GL_RAW!D998))</f>
        <v/>
      </c>
      <c r="F998" s="11">
        <f>IF(GL_RAW!A998="","",TRIM(GL_RAW!F998))</f>
        <v/>
      </c>
      <c r="G998" s="11">
        <f>IF(GL_RAW!A998="","",TRIM(GL_RAW!G998))</f>
        <v/>
      </c>
      <c r="H998" s="12">
        <f>IF(GL_RAW!A998="","",IFERROR(GL_RAW!E998,0))</f>
        <v/>
      </c>
      <c r="I998" s="12">
        <f>IF(GL_RAW!A998="","",ABS(H998))</f>
        <v/>
      </c>
      <c r="J998" s="11">
        <f>IF(GL_RAW!A998="","",IF(OR(ISNUMBER(SEARCH("Out",F998)),ISNUMBER(SEARCH("11025002",F998)),H998&lt;0),"OUT","IN"))</f>
        <v/>
      </c>
      <c r="K998" s="11" t="inlineStr"/>
    </row>
    <row r="999">
      <c r="A999" s="13">
        <f>IF(GL_RAW!A999="","",ROW()-1)</f>
        <v/>
      </c>
      <c r="B999" s="10">
        <f>IF(GL_RAW!A999="","",IF(ISNUMBER(GL_RAW!A999),GL_RAW!A999,DATEVALUE(TEXT(GL_RAW!A999,"YYYY-MM-DD"))))</f>
        <v/>
      </c>
      <c r="C999" s="11">
        <f>IF(GL_RAW!A999="","",TRIM(GL_RAW!B999))</f>
        <v/>
      </c>
      <c r="D999" s="11">
        <f>IF(GL_RAW!A999="","",TRIM(GL_RAW!C999))</f>
        <v/>
      </c>
      <c r="E999" s="11">
        <f>IF(GL_RAW!A999="","",TRIM(GL_RAW!D999))</f>
        <v/>
      </c>
      <c r="F999" s="11">
        <f>IF(GL_RAW!A999="","",TRIM(GL_RAW!F999))</f>
        <v/>
      </c>
      <c r="G999" s="11">
        <f>IF(GL_RAW!A999="","",TRIM(GL_RAW!G999))</f>
        <v/>
      </c>
      <c r="H999" s="12">
        <f>IF(GL_RAW!A999="","",IFERROR(GL_RAW!E999,0))</f>
        <v/>
      </c>
      <c r="I999" s="12">
        <f>IF(GL_RAW!A999="","",ABS(H999))</f>
        <v/>
      </c>
      <c r="J999" s="11">
        <f>IF(GL_RAW!A999="","",IF(OR(ISNUMBER(SEARCH("Out",F999)),ISNUMBER(SEARCH("11025002",F999)),H999&lt;0),"OUT","IN"))</f>
        <v/>
      </c>
      <c r="K999" s="11" t="inlineStr"/>
    </row>
    <row r="1000">
      <c r="A1000" s="13">
        <f>IF(GL_RAW!A1000="","",ROW()-1)</f>
        <v/>
      </c>
      <c r="B1000" s="10">
        <f>IF(GL_RAW!A1000="","",IF(ISNUMBER(GL_RAW!A1000),GL_RAW!A1000,DATEVALUE(TEXT(GL_RAW!A1000,"YYYY-MM-DD"))))</f>
        <v/>
      </c>
      <c r="C1000" s="11">
        <f>IF(GL_RAW!A1000="","",TRIM(GL_RAW!B1000))</f>
        <v/>
      </c>
      <c r="D1000" s="11">
        <f>IF(GL_RAW!A1000="","",TRIM(GL_RAW!C1000))</f>
        <v/>
      </c>
      <c r="E1000" s="11">
        <f>IF(GL_RAW!A1000="","",TRIM(GL_RAW!D1000))</f>
        <v/>
      </c>
      <c r="F1000" s="11">
        <f>IF(GL_RAW!A1000="","",TRIM(GL_RAW!F1000))</f>
        <v/>
      </c>
      <c r="G1000" s="11">
        <f>IF(GL_RAW!A1000="","",TRIM(GL_RAW!G1000))</f>
        <v/>
      </c>
      <c r="H1000" s="12">
        <f>IF(GL_RAW!A1000="","",IFERROR(GL_RAW!E1000,0))</f>
        <v/>
      </c>
      <c r="I1000" s="12">
        <f>IF(GL_RAW!A1000="","",ABS(H1000))</f>
        <v/>
      </c>
      <c r="J1000" s="11">
        <f>IF(GL_RAW!A1000="","",IF(OR(ISNUMBER(SEARCH("Out",F1000)),ISNUMBER(SEARCH("11025002",F1000)),H1000&lt;0),"OUT","IN"))</f>
        <v/>
      </c>
      <c r="K1000" s="11" t="inlineStr"/>
    </row>
    <row r="1001">
      <c r="A1001" s="13">
        <f>IF(GL_RAW!A1001="","",ROW()-1)</f>
        <v/>
      </c>
      <c r="B1001" s="10">
        <f>IF(GL_RAW!A1001="","",IF(ISNUMBER(GL_RAW!A1001),GL_RAW!A1001,DATEVALUE(TEXT(GL_RAW!A1001,"YYYY-MM-DD"))))</f>
        <v/>
      </c>
      <c r="C1001" s="11">
        <f>IF(GL_RAW!A1001="","",TRIM(GL_RAW!B1001))</f>
        <v/>
      </c>
      <c r="D1001" s="11">
        <f>IF(GL_RAW!A1001="","",TRIM(GL_RAW!C1001))</f>
        <v/>
      </c>
      <c r="E1001" s="11">
        <f>IF(GL_RAW!A1001="","",TRIM(GL_RAW!D1001))</f>
        <v/>
      </c>
      <c r="F1001" s="11">
        <f>IF(GL_RAW!A1001="","",TRIM(GL_RAW!F1001))</f>
        <v/>
      </c>
      <c r="G1001" s="11">
        <f>IF(GL_RAW!A1001="","",TRIM(GL_RAW!G1001))</f>
        <v/>
      </c>
      <c r="H1001" s="12">
        <f>IF(GL_RAW!A1001="","",IFERROR(GL_RAW!E1001,0))</f>
        <v/>
      </c>
      <c r="I1001" s="12">
        <f>IF(GL_RAW!A1001="","",ABS(H1001))</f>
        <v/>
      </c>
      <c r="J1001" s="11">
        <f>IF(GL_RAW!A1001="","",IF(OR(ISNUMBER(SEARCH("Out",F1001)),ISNUMBER(SEARCH("11025002",F1001)),H1001&lt;0),"OUT","IN"))</f>
        <v/>
      </c>
      <c r="K1001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0202E"/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5" customWidth="1" min="5" max="5"/>
    <col width="10" customWidth="1" min="6" max="6"/>
    <col width="10" customWidth="1" min="7" max="7"/>
    <col width="12" customWidth="1" min="8" max="8"/>
    <col width="14" customWidth="1" min="9" max="9"/>
    <col width="15" customWidth="1" min="10" max="10"/>
    <col width="13" customWidth="1" min="11" max="11"/>
    <col width="11" customWidth="1" min="12" max="12"/>
    <col width="13" customWidth="1" min="13" max="13"/>
    <col width="16" customWidth="1" min="14" max="14"/>
  </cols>
  <sheetData>
    <row r="1" ht="36" customHeight="1">
      <c r="A1" s="7" t="inlineStr">
        <is>
          <t>GL Row
معرف GL</t>
        </is>
      </c>
      <c r="B1" s="7" t="inlineStr">
        <is>
          <t>GL Date
تاريخ GL</t>
        </is>
      </c>
      <c r="C1" s="7" t="inlineStr">
        <is>
          <t>GL JE
رقم القيد</t>
        </is>
      </c>
      <c r="D1" s="7" t="inlineStr">
        <is>
          <t>GL Amount
مبلغ GL</t>
        </is>
      </c>
      <c r="E1" s="7" t="inlineStr">
        <is>
          <t>GL Abs Amt
المبلغ المطلق</t>
        </is>
      </c>
      <c r="F1" s="7" t="inlineStr">
        <is>
          <t>GL Direction
الاتجاه</t>
        </is>
      </c>
      <c r="G1" s="7" t="inlineStr">
        <is>
          <t>Bank Pool
مجموعة البنك</t>
        </is>
      </c>
      <c r="H1" s="7" t="inlineStr">
        <is>
          <t>Best Bank Row
أفضل صف بنك</t>
        </is>
      </c>
      <c r="I1" s="7" t="inlineStr">
        <is>
          <t>Best Bank Date
تاريخ البنك</t>
        </is>
      </c>
      <c r="J1" s="7" t="inlineStr">
        <is>
          <t>Best Bank Amt
مبلغ البنك</t>
        </is>
      </c>
      <c r="K1" s="7" t="inlineStr">
        <is>
          <t>Amt Diff
فرق المبلغ</t>
        </is>
      </c>
      <c r="L1" s="7" t="inlineStr">
        <is>
          <t>Days Diff
فرق الأيام</t>
        </is>
      </c>
      <c r="M1" s="7" t="inlineStr">
        <is>
          <t>Match Score
نسبة التطابق</t>
        </is>
      </c>
      <c r="N1" s="7" t="inlineStr">
        <is>
          <t>Status
الحالة</t>
        </is>
      </c>
    </row>
    <row r="2">
      <c r="A2" s="13">
        <f>IF(GL_CLEAN!A2="","",GL_CLEAN!A2)</f>
        <v/>
      </c>
      <c r="B2" s="10">
        <f>IF(A2="","",GL_CLEAN!B2)</f>
        <v/>
      </c>
      <c r="C2" s="11">
        <f>IF(A2="","",GL_CLEAN!C2)</f>
        <v/>
      </c>
      <c r="D2" s="14">
        <f>IF(A2="","",GL_CLEAN!H2)</f>
        <v/>
      </c>
      <c r="E2" s="14">
        <f>IF(A2="","",GL_CLEAN!I2)</f>
        <v/>
      </c>
      <c r="F2" s="11">
        <f>IF(A2="","",GL_CLEAN!J2)</f>
        <v/>
      </c>
      <c r="G2" s="11">
        <f>IF(A2="","",IF(F2="OUT","DR","CR"))</f>
        <v/>
      </c>
      <c r="H2" s="11">
        <f>IF(A2="","",IFERROR(INDEX(BANK_CLEAN!$A$2:$A$1001,MATCH(MINIFS(BANK_CLEAN!$J$2:$J$1001,BANK_CLEAN!$H$2:$H$1001,G2,BANK_CLEAN!$L$2:$L$1001,""),BANK_CLEAN!$J$2:$J$1001,0)),""))</f>
        <v/>
      </c>
      <c r="I2" s="10">
        <f>IF(H2="","",INDEX(BANK_CLEAN!$B$2:$B$1001,H2))</f>
        <v/>
      </c>
      <c r="J2" s="14">
        <f>IF(H2="","",IF(F2="OUT",INDEX(BANK_CLEAN!$F$2:$F$1001,H2),INDEX(BANK_CLEAN!$E$2:$E$1001,H2)))</f>
        <v/>
      </c>
      <c r="K2" s="14">
        <f>IF(H2="","",ABS(E2-J2))</f>
        <v/>
      </c>
      <c r="L2" s="11">
        <f>IF(OR(H2="",B2="",I2=""),"",ABS(B2-I2))</f>
        <v/>
      </c>
      <c r="M2" s="15">
        <f>IF(H2="",0,LET(pct,IF(E2&gt;0,K2/E2,1),days,IFERROR(L2,999),100-pct*200-days*3))</f>
        <v/>
      </c>
      <c r="N2" s="11">
        <f>IF(A2="","",IF(H2="","Unmatched GL",IF(AND(K2&lt;=Tol_Amount,L2&lt;=Tol_Days),"Matched",IF(M2&gt;Tol_NearPct,"Near Match","Unmatched GL"))))</f>
        <v/>
      </c>
    </row>
    <row r="3">
      <c r="A3" s="13">
        <f>IF(GL_CLEAN!A3="","",GL_CLEAN!A3)</f>
        <v/>
      </c>
      <c r="B3" s="10">
        <f>IF(A3="","",GL_CLEAN!B3)</f>
        <v/>
      </c>
      <c r="C3" s="11">
        <f>IF(A3="","",GL_CLEAN!C3)</f>
        <v/>
      </c>
      <c r="D3" s="14">
        <f>IF(A3="","",GL_CLEAN!H3)</f>
        <v/>
      </c>
      <c r="E3" s="14">
        <f>IF(A3="","",GL_CLEAN!I3)</f>
        <v/>
      </c>
      <c r="F3" s="11">
        <f>IF(A3="","",GL_CLEAN!J3)</f>
        <v/>
      </c>
      <c r="G3" s="11">
        <f>IF(A3="","",IF(F3="OUT","DR","CR"))</f>
        <v/>
      </c>
      <c r="H3" s="11">
        <f>IF(A3="","",IFERROR(INDEX(BANK_CLEAN!$A$2:$A$1001,MATCH(MINIFS(BANK_CLEAN!$J$2:$J$1001,BANK_CLEAN!$H$2:$H$1001,G3,BANK_CLEAN!$L$2:$L$1001,""),BANK_CLEAN!$J$2:$J$1001,0)),""))</f>
        <v/>
      </c>
      <c r="I3" s="10">
        <f>IF(H3="","",INDEX(BANK_CLEAN!$B$2:$B$1001,H3))</f>
        <v/>
      </c>
      <c r="J3" s="14">
        <f>IF(H3="","",IF(F3="OUT",INDEX(BANK_CLEAN!$F$2:$F$1001,H3),INDEX(BANK_CLEAN!$E$2:$E$1001,H3)))</f>
        <v/>
      </c>
      <c r="K3" s="14">
        <f>IF(H3="","",ABS(E3-J3))</f>
        <v/>
      </c>
      <c r="L3" s="11">
        <f>IF(OR(H3="",B3="",I3=""),"",ABS(B3-I3))</f>
        <v/>
      </c>
      <c r="M3" s="15">
        <f>IF(H3="",0,LET(pct,IF(E3&gt;0,K3/E3,1),days,IFERROR(L3,999),100-pct*200-days*3))</f>
        <v/>
      </c>
      <c r="N3" s="11">
        <f>IF(A3="","",IF(H3="","Unmatched GL",IF(AND(K3&lt;=Tol_Amount,L3&lt;=Tol_Days),"Matched",IF(M3&gt;Tol_NearPct,"Near Match","Unmatched GL"))))</f>
        <v/>
      </c>
    </row>
    <row r="4">
      <c r="A4" s="13">
        <f>IF(GL_CLEAN!A4="","",GL_CLEAN!A4)</f>
        <v/>
      </c>
      <c r="B4" s="10">
        <f>IF(A4="","",GL_CLEAN!B4)</f>
        <v/>
      </c>
      <c r="C4" s="11">
        <f>IF(A4="","",GL_CLEAN!C4)</f>
        <v/>
      </c>
      <c r="D4" s="14">
        <f>IF(A4="","",GL_CLEAN!H4)</f>
        <v/>
      </c>
      <c r="E4" s="14">
        <f>IF(A4="","",GL_CLEAN!I4)</f>
        <v/>
      </c>
      <c r="F4" s="11">
        <f>IF(A4="","",GL_CLEAN!J4)</f>
        <v/>
      </c>
      <c r="G4" s="11">
        <f>IF(A4="","",IF(F4="OUT","DR","CR"))</f>
        <v/>
      </c>
      <c r="H4" s="11">
        <f>IF(A4="","",IFERROR(INDEX(BANK_CLEAN!$A$2:$A$1001,MATCH(MINIFS(BANK_CLEAN!$J$2:$J$1001,BANK_CLEAN!$H$2:$H$1001,G4,BANK_CLEAN!$L$2:$L$1001,""),BANK_CLEAN!$J$2:$J$1001,0)),""))</f>
        <v/>
      </c>
      <c r="I4" s="10">
        <f>IF(H4="","",INDEX(BANK_CLEAN!$B$2:$B$1001,H4))</f>
        <v/>
      </c>
      <c r="J4" s="14">
        <f>IF(H4="","",IF(F4="OUT",INDEX(BANK_CLEAN!$F$2:$F$1001,H4),INDEX(BANK_CLEAN!$E$2:$E$1001,H4)))</f>
        <v/>
      </c>
      <c r="K4" s="14">
        <f>IF(H4="","",ABS(E4-J4))</f>
        <v/>
      </c>
      <c r="L4" s="11">
        <f>IF(OR(H4="",B4="",I4=""),"",ABS(B4-I4))</f>
        <v/>
      </c>
      <c r="M4" s="15">
        <f>IF(H4="",0,LET(pct,IF(E4&gt;0,K4/E4,1),days,IFERROR(L4,999),100-pct*200-days*3))</f>
        <v/>
      </c>
      <c r="N4" s="11">
        <f>IF(A4="","",IF(H4="","Unmatched GL",IF(AND(K4&lt;=Tol_Amount,L4&lt;=Tol_Days),"Matched",IF(M4&gt;Tol_NearPct,"Near Match","Unmatched GL"))))</f>
        <v/>
      </c>
    </row>
    <row r="5">
      <c r="A5" s="13">
        <f>IF(GL_CLEAN!A5="","",GL_CLEAN!A5)</f>
        <v/>
      </c>
      <c r="B5" s="10">
        <f>IF(A5="","",GL_CLEAN!B5)</f>
        <v/>
      </c>
      <c r="C5" s="11">
        <f>IF(A5="","",GL_CLEAN!C5)</f>
        <v/>
      </c>
      <c r="D5" s="14">
        <f>IF(A5="","",GL_CLEAN!H5)</f>
        <v/>
      </c>
      <c r="E5" s="14">
        <f>IF(A5="","",GL_CLEAN!I5)</f>
        <v/>
      </c>
      <c r="F5" s="11">
        <f>IF(A5="","",GL_CLEAN!J5)</f>
        <v/>
      </c>
      <c r="G5" s="11">
        <f>IF(A5="","",IF(F5="OUT","DR","CR"))</f>
        <v/>
      </c>
      <c r="H5" s="11">
        <f>IF(A5="","",IFERROR(INDEX(BANK_CLEAN!$A$2:$A$1001,MATCH(MINIFS(BANK_CLEAN!$J$2:$J$1001,BANK_CLEAN!$H$2:$H$1001,G5,BANK_CLEAN!$L$2:$L$1001,""),BANK_CLEAN!$J$2:$J$1001,0)),""))</f>
        <v/>
      </c>
      <c r="I5" s="10">
        <f>IF(H5="","",INDEX(BANK_CLEAN!$B$2:$B$1001,H5))</f>
        <v/>
      </c>
      <c r="J5" s="14">
        <f>IF(H5="","",IF(F5="OUT",INDEX(BANK_CLEAN!$F$2:$F$1001,H5),INDEX(BANK_CLEAN!$E$2:$E$1001,H5)))</f>
        <v/>
      </c>
      <c r="K5" s="14">
        <f>IF(H5="","",ABS(E5-J5))</f>
        <v/>
      </c>
      <c r="L5" s="11">
        <f>IF(OR(H5="",B5="",I5=""),"",ABS(B5-I5))</f>
        <v/>
      </c>
      <c r="M5" s="15">
        <f>IF(H5="",0,LET(pct,IF(E5&gt;0,K5/E5,1),days,IFERROR(L5,999),100-pct*200-days*3))</f>
        <v/>
      </c>
      <c r="N5" s="11">
        <f>IF(A5="","",IF(H5="","Unmatched GL",IF(AND(K5&lt;=Tol_Amount,L5&lt;=Tol_Days),"Matched",IF(M5&gt;Tol_NearPct,"Near Match","Unmatched GL"))))</f>
        <v/>
      </c>
    </row>
    <row r="6">
      <c r="A6" s="13">
        <f>IF(GL_CLEAN!A6="","",GL_CLEAN!A6)</f>
        <v/>
      </c>
      <c r="B6" s="10">
        <f>IF(A6="","",GL_CLEAN!B6)</f>
        <v/>
      </c>
      <c r="C6" s="11">
        <f>IF(A6="","",GL_CLEAN!C6)</f>
        <v/>
      </c>
      <c r="D6" s="14">
        <f>IF(A6="","",GL_CLEAN!H6)</f>
        <v/>
      </c>
      <c r="E6" s="14">
        <f>IF(A6="","",GL_CLEAN!I6)</f>
        <v/>
      </c>
      <c r="F6" s="11">
        <f>IF(A6="","",GL_CLEAN!J6)</f>
        <v/>
      </c>
      <c r="G6" s="11">
        <f>IF(A6="","",IF(F6="OUT","DR","CR"))</f>
        <v/>
      </c>
      <c r="H6" s="11">
        <f>IF(A6="","",IFERROR(INDEX(BANK_CLEAN!$A$2:$A$1001,MATCH(MINIFS(BANK_CLEAN!$J$2:$J$1001,BANK_CLEAN!$H$2:$H$1001,G6,BANK_CLEAN!$L$2:$L$1001,""),BANK_CLEAN!$J$2:$J$1001,0)),""))</f>
        <v/>
      </c>
      <c r="I6" s="10">
        <f>IF(H6="","",INDEX(BANK_CLEAN!$B$2:$B$1001,H6))</f>
        <v/>
      </c>
      <c r="J6" s="14">
        <f>IF(H6="","",IF(F6="OUT",INDEX(BANK_CLEAN!$F$2:$F$1001,H6),INDEX(BANK_CLEAN!$E$2:$E$1001,H6)))</f>
        <v/>
      </c>
      <c r="K6" s="14">
        <f>IF(H6="","",ABS(E6-J6))</f>
        <v/>
      </c>
      <c r="L6" s="11">
        <f>IF(OR(H6="",B6="",I6=""),"",ABS(B6-I6))</f>
        <v/>
      </c>
      <c r="M6" s="15">
        <f>IF(H6="",0,LET(pct,IF(E6&gt;0,K6/E6,1),days,IFERROR(L6,999),100-pct*200-days*3))</f>
        <v/>
      </c>
      <c r="N6" s="11">
        <f>IF(A6="","",IF(H6="","Unmatched GL",IF(AND(K6&lt;=Tol_Amount,L6&lt;=Tol_Days),"Matched",IF(M6&gt;Tol_NearPct,"Near Match","Unmatched GL"))))</f>
        <v/>
      </c>
    </row>
    <row r="7">
      <c r="A7" s="13">
        <f>IF(GL_CLEAN!A7="","",GL_CLEAN!A7)</f>
        <v/>
      </c>
      <c r="B7" s="10">
        <f>IF(A7="","",GL_CLEAN!B7)</f>
        <v/>
      </c>
      <c r="C7" s="11">
        <f>IF(A7="","",GL_CLEAN!C7)</f>
        <v/>
      </c>
      <c r="D7" s="14">
        <f>IF(A7="","",GL_CLEAN!H7)</f>
        <v/>
      </c>
      <c r="E7" s="14">
        <f>IF(A7="","",GL_CLEAN!I7)</f>
        <v/>
      </c>
      <c r="F7" s="11">
        <f>IF(A7="","",GL_CLEAN!J7)</f>
        <v/>
      </c>
      <c r="G7" s="11">
        <f>IF(A7="","",IF(F7="OUT","DR","CR"))</f>
        <v/>
      </c>
      <c r="H7" s="11">
        <f>IF(A7="","",IFERROR(INDEX(BANK_CLEAN!$A$2:$A$1001,MATCH(MINIFS(BANK_CLEAN!$J$2:$J$1001,BANK_CLEAN!$H$2:$H$1001,G7,BANK_CLEAN!$L$2:$L$1001,""),BANK_CLEAN!$J$2:$J$1001,0)),""))</f>
        <v/>
      </c>
      <c r="I7" s="10">
        <f>IF(H7="","",INDEX(BANK_CLEAN!$B$2:$B$1001,H7))</f>
        <v/>
      </c>
      <c r="J7" s="14">
        <f>IF(H7="","",IF(F7="OUT",INDEX(BANK_CLEAN!$F$2:$F$1001,H7),INDEX(BANK_CLEAN!$E$2:$E$1001,H7)))</f>
        <v/>
      </c>
      <c r="K7" s="14">
        <f>IF(H7="","",ABS(E7-J7))</f>
        <v/>
      </c>
      <c r="L7" s="11">
        <f>IF(OR(H7="",B7="",I7=""),"",ABS(B7-I7))</f>
        <v/>
      </c>
      <c r="M7" s="15">
        <f>IF(H7="",0,LET(pct,IF(E7&gt;0,K7/E7,1),days,IFERROR(L7,999),100-pct*200-days*3))</f>
        <v/>
      </c>
      <c r="N7" s="11">
        <f>IF(A7="","",IF(H7="","Unmatched GL",IF(AND(K7&lt;=Tol_Amount,L7&lt;=Tol_Days),"Matched",IF(M7&gt;Tol_NearPct,"Near Match","Unmatched GL"))))</f>
        <v/>
      </c>
    </row>
    <row r="8">
      <c r="A8" s="13">
        <f>IF(GL_CLEAN!A8="","",GL_CLEAN!A8)</f>
        <v/>
      </c>
      <c r="B8" s="10">
        <f>IF(A8="","",GL_CLEAN!B8)</f>
        <v/>
      </c>
      <c r="C8" s="11">
        <f>IF(A8="","",GL_CLEAN!C8)</f>
        <v/>
      </c>
      <c r="D8" s="14">
        <f>IF(A8="","",GL_CLEAN!H8)</f>
        <v/>
      </c>
      <c r="E8" s="14">
        <f>IF(A8="","",GL_CLEAN!I8)</f>
        <v/>
      </c>
      <c r="F8" s="11">
        <f>IF(A8="","",GL_CLEAN!J8)</f>
        <v/>
      </c>
      <c r="G8" s="11">
        <f>IF(A8="","",IF(F8="OUT","DR","CR"))</f>
        <v/>
      </c>
      <c r="H8" s="11">
        <f>IF(A8="","",IFERROR(INDEX(BANK_CLEAN!$A$2:$A$1001,MATCH(MINIFS(BANK_CLEAN!$J$2:$J$1001,BANK_CLEAN!$H$2:$H$1001,G8,BANK_CLEAN!$L$2:$L$1001,""),BANK_CLEAN!$J$2:$J$1001,0)),""))</f>
        <v/>
      </c>
      <c r="I8" s="10">
        <f>IF(H8="","",INDEX(BANK_CLEAN!$B$2:$B$1001,H8))</f>
        <v/>
      </c>
      <c r="J8" s="14">
        <f>IF(H8="","",IF(F8="OUT",INDEX(BANK_CLEAN!$F$2:$F$1001,H8),INDEX(BANK_CLEAN!$E$2:$E$1001,H8)))</f>
        <v/>
      </c>
      <c r="K8" s="14">
        <f>IF(H8="","",ABS(E8-J8))</f>
        <v/>
      </c>
      <c r="L8" s="11">
        <f>IF(OR(H8="",B8="",I8=""),"",ABS(B8-I8))</f>
        <v/>
      </c>
      <c r="M8" s="15">
        <f>IF(H8="",0,LET(pct,IF(E8&gt;0,K8/E8,1),days,IFERROR(L8,999),100-pct*200-days*3))</f>
        <v/>
      </c>
      <c r="N8" s="11">
        <f>IF(A8="","",IF(H8="","Unmatched GL",IF(AND(K8&lt;=Tol_Amount,L8&lt;=Tol_Days),"Matched",IF(M8&gt;Tol_NearPct,"Near Match","Unmatched GL"))))</f>
        <v/>
      </c>
    </row>
    <row r="9">
      <c r="A9" s="13">
        <f>IF(GL_CLEAN!A9="","",GL_CLEAN!A9)</f>
        <v/>
      </c>
      <c r="B9" s="10">
        <f>IF(A9="","",GL_CLEAN!B9)</f>
        <v/>
      </c>
      <c r="C9" s="11">
        <f>IF(A9="","",GL_CLEAN!C9)</f>
        <v/>
      </c>
      <c r="D9" s="14">
        <f>IF(A9="","",GL_CLEAN!H9)</f>
        <v/>
      </c>
      <c r="E9" s="14">
        <f>IF(A9="","",GL_CLEAN!I9)</f>
        <v/>
      </c>
      <c r="F9" s="11">
        <f>IF(A9="","",GL_CLEAN!J9)</f>
        <v/>
      </c>
      <c r="G9" s="11">
        <f>IF(A9="","",IF(F9="OUT","DR","CR"))</f>
        <v/>
      </c>
      <c r="H9" s="11">
        <f>IF(A9="","",IFERROR(INDEX(BANK_CLEAN!$A$2:$A$1001,MATCH(MINIFS(BANK_CLEAN!$J$2:$J$1001,BANK_CLEAN!$H$2:$H$1001,G9,BANK_CLEAN!$L$2:$L$1001,""),BANK_CLEAN!$J$2:$J$1001,0)),""))</f>
        <v/>
      </c>
      <c r="I9" s="10">
        <f>IF(H9="","",INDEX(BANK_CLEAN!$B$2:$B$1001,H9))</f>
        <v/>
      </c>
      <c r="J9" s="14">
        <f>IF(H9="","",IF(F9="OUT",INDEX(BANK_CLEAN!$F$2:$F$1001,H9),INDEX(BANK_CLEAN!$E$2:$E$1001,H9)))</f>
        <v/>
      </c>
      <c r="K9" s="14">
        <f>IF(H9="","",ABS(E9-J9))</f>
        <v/>
      </c>
      <c r="L9" s="11">
        <f>IF(OR(H9="",B9="",I9=""),"",ABS(B9-I9))</f>
        <v/>
      </c>
      <c r="M9" s="15">
        <f>IF(H9="",0,LET(pct,IF(E9&gt;0,K9/E9,1),days,IFERROR(L9,999),100-pct*200-days*3))</f>
        <v/>
      </c>
      <c r="N9" s="11">
        <f>IF(A9="","",IF(H9="","Unmatched GL",IF(AND(K9&lt;=Tol_Amount,L9&lt;=Tol_Days),"Matched",IF(M9&gt;Tol_NearPct,"Near Match","Unmatched GL"))))</f>
        <v/>
      </c>
    </row>
    <row r="10">
      <c r="A10" s="13">
        <f>IF(GL_CLEAN!A10="","",GL_CLEAN!A10)</f>
        <v/>
      </c>
      <c r="B10" s="10">
        <f>IF(A10="","",GL_CLEAN!B10)</f>
        <v/>
      </c>
      <c r="C10" s="11">
        <f>IF(A10="","",GL_CLEAN!C10)</f>
        <v/>
      </c>
      <c r="D10" s="14">
        <f>IF(A10="","",GL_CLEAN!H10)</f>
        <v/>
      </c>
      <c r="E10" s="14">
        <f>IF(A10="","",GL_CLEAN!I10)</f>
        <v/>
      </c>
      <c r="F10" s="11">
        <f>IF(A10="","",GL_CLEAN!J10)</f>
        <v/>
      </c>
      <c r="G10" s="11">
        <f>IF(A10="","",IF(F10="OUT","DR","CR"))</f>
        <v/>
      </c>
      <c r="H10" s="11">
        <f>IF(A10="","",IFERROR(INDEX(BANK_CLEAN!$A$2:$A$1001,MATCH(MINIFS(BANK_CLEAN!$J$2:$J$1001,BANK_CLEAN!$H$2:$H$1001,G10,BANK_CLEAN!$L$2:$L$1001,""),BANK_CLEAN!$J$2:$J$1001,0)),""))</f>
        <v/>
      </c>
      <c r="I10" s="10">
        <f>IF(H10="","",INDEX(BANK_CLEAN!$B$2:$B$1001,H10))</f>
        <v/>
      </c>
      <c r="J10" s="14">
        <f>IF(H10="","",IF(F10="OUT",INDEX(BANK_CLEAN!$F$2:$F$1001,H10),INDEX(BANK_CLEAN!$E$2:$E$1001,H10)))</f>
        <v/>
      </c>
      <c r="K10" s="14">
        <f>IF(H10="","",ABS(E10-J10))</f>
        <v/>
      </c>
      <c r="L10" s="11">
        <f>IF(OR(H10="",B10="",I10=""),"",ABS(B10-I10))</f>
        <v/>
      </c>
      <c r="M10" s="15">
        <f>IF(H10="",0,LET(pct,IF(E10&gt;0,K10/E10,1),days,IFERROR(L10,999),100-pct*200-days*3))</f>
        <v/>
      </c>
      <c r="N10" s="11">
        <f>IF(A10="","",IF(H10="","Unmatched GL",IF(AND(K10&lt;=Tol_Amount,L10&lt;=Tol_Days),"Matched",IF(M10&gt;Tol_NearPct,"Near Match","Unmatched GL"))))</f>
        <v/>
      </c>
    </row>
    <row r="11">
      <c r="A11" s="13">
        <f>IF(GL_CLEAN!A11="","",GL_CLEAN!A11)</f>
        <v/>
      </c>
      <c r="B11" s="10">
        <f>IF(A11="","",GL_CLEAN!B11)</f>
        <v/>
      </c>
      <c r="C11" s="11">
        <f>IF(A11="","",GL_CLEAN!C11)</f>
        <v/>
      </c>
      <c r="D11" s="14">
        <f>IF(A11="","",GL_CLEAN!H11)</f>
        <v/>
      </c>
      <c r="E11" s="14">
        <f>IF(A11="","",GL_CLEAN!I11)</f>
        <v/>
      </c>
      <c r="F11" s="11">
        <f>IF(A11="","",GL_CLEAN!J11)</f>
        <v/>
      </c>
      <c r="G11" s="11">
        <f>IF(A11="","",IF(F11="OUT","DR","CR"))</f>
        <v/>
      </c>
      <c r="H11" s="11">
        <f>IF(A11="","",IFERROR(INDEX(BANK_CLEAN!$A$2:$A$1001,MATCH(MINIFS(BANK_CLEAN!$J$2:$J$1001,BANK_CLEAN!$H$2:$H$1001,G11,BANK_CLEAN!$L$2:$L$1001,""),BANK_CLEAN!$J$2:$J$1001,0)),""))</f>
        <v/>
      </c>
      <c r="I11" s="10">
        <f>IF(H11="","",INDEX(BANK_CLEAN!$B$2:$B$1001,H11))</f>
        <v/>
      </c>
      <c r="J11" s="14">
        <f>IF(H11="","",IF(F11="OUT",INDEX(BANK_CLEAN!$F$2:$F$1001,H11),INDEX(BANK_CLEAN!$E$2:$E$1001,H11)))</f>
        <v/>
      </c>
      <c r="K11" s="14">
        <f>IF(H11="","",ABS(E11-J11))</f>
        <v/>
      </c>
      <c r="L11" s="11">
        <f>IF(OR(H11="",B11="",I11=""),"",ABS(B11-I11))</f>
        <v/>
      </c>
      <c r="M11" s="15">
        <f>IF(H11="",0,LET(pct,IF(E11&gt;0,K11/E11,1),days,IFERROR(L11,999),100-pct*200-days*3))</f>
        <v/>
      </c>
      <c r="N11" s="11">
        <f>IF(A11="","",IF(H11="","Unmatched GL",IF(AND(K11&lt;=Tol_Amount,L11&lt;=Tol_Days),"Matched",IF(M11&gt;Tol_NearPct,"Near Match","Unmatched GL"))))</f>
        <v/>
      </c>
    </row>
    <row r="12">
      <c r="A12" s="13">
        <f>IF(GL_CLEAN!A12="","",GL_CLEAN!A12)</f>
        <v/>
      </c>
      <c r="B12" s="10">
        <f>IF(A12="","",GL_CLEAN!B12)</f>
        <v/>
      </c>
      <c r="C12" s="11">
        <f>IF(A12="","",GL_CLEAN!C12)</f>
        <v/>
      </c>
      <c r="D12" s="14">
        <f>IF(A12="","",GL_CLEAN!H12)</f>
        <v/>
      </c>
      <c r="E12" s="14">
        <f>IF(A12="","",GL_CLEAN!I12)</f>
        <v/>
      </c>
      <c r="F12" s="11">
        <f>IF(A12="","",GL_CLEAN!J12)</f>
        <v/>
      </c>
      <c r="G12" s="11">
        <f>IF(A12="","",IF(F12="OUT","DR","CR"))</f>
        <v/>
      </c>
      <c r="H12" s="11">
        <f>IF(A12="","",IFERROR(INDEX(BANK_CLEAN!$A$2:$A$1001,MATCH(MINIFS(BANK_CLEAN!$J$2:$J$1001,BANK_CLEAN!$H$2:$H$1001,G12,BANK_CLEAN!$L$2:$L$1001,""),BANK_CLEAN!$J$2:$J$1001,0)),""))</f>
        <v/>
      </c>
      <c r="I12" s="10">
        <f>IF(H12="","",INDEX(BANK_CLEAN!$B$2:$B$1001,H12))</f>
        <v/>
      </c>
      <c r="J12" s="14">
        <f>IF(H12="","",IF(F12="OUT",INDEX(BANK_CLEAN!$F$2:$F$1001,H12),INDEX(BANK_CLEAN!$E$2:$E$1001,H12)))</f>
        <v/>
      </c>
      <c r="K12" s="14">
        <f>IF(H12="","",ABS(E12-J12))</f>
        <v/>
      </c>
      <c r="L12" s="11">
        <f>IF(OR(H12="",B12="",I12=""),"",ABS(B12-I12))</f>
        <v/>
      </c>
      <c r="M12" s="15">
        <f>IF(H12="",0,LET(pct,IF(E12&gt;0,K12/E12,1),days,IFERROR(L12,999),100-pct*200-days*3))</f>
        <v/>
      </c>
      <c r="N12" s="11">
        <f>IF(A12="","",IF(H12="","Unmatched GL",IF(AND(K12&lt;=Tol_Amount,L12&lt;=Tol_Days),"Matched",IF(M12&gt;Tol_NearPct,"Near Match","Unmatched GL"))))</f>
        <v/>
      </c>
    </row>
    <row r="13">
      <c r="A13" s="13">
        <f>IF(GL_CLEAN!A13="","",GL_CLEAN!A13)</f>
        <v/>
      </c>
      <c r="B13" s="10">
        <f>IF(A13="","",GL_CLEAN!B13)</f>
        <v/>
      </c>
      <c r="C13" s="11">
        <f>IF(A13="","",GL_CLEAN!C13)</f>
        <v/>
      </c>
      <c r="D13" s="14">
        <f>IF(A13="","",GL_CLEAN!H13)</f>
        <v/>
      </c>
      <c r="E13" s="14">
        <f>IF(A13="","",GL_CLEAN!I13)</f>
        <v/>
      </c>
      <c r="F13" s="11">
        <f>IF(A13="","",GL_CLEAN!J13)</f>
        <v/>
      </c>
      <c r="G13" s="11">
        <f>IF(A13="","",IF(F13="OUT","DR","CR"))</f>
        <v/>
      </c>
      <c r="H13" s="11">
        <f>IF(A13="","",IFERROR(INDEX(BANK_CLEAN!$A$2:$A$1001,MATCH(MINIFS(BANK_CLEAN!$J$2:$J$1001,BANK_CLEAN!$H$2:$H$1001,G13,BANK_CLEAN!$L$2:$L$1001,""),BANK_CLEAN!$J$2:$J$1001,0)),""))</f>
        <v/>
      </c>
      <c r="I13" s="10">
        <f>IF(H13="","",INDEX(BANK_CLEAN!$B$2:$B$1001,H13))</f>
        <v/>
      </c>
      <c r="J13" s="14">
        <f>IF(H13="","",IF(F13="OUT",INDEX(BANK_CLEAN!$F$2:$F$1001,H13),INDEX(BANK_CLEAN!$E$2:$E$1001,H13)))</f>
        <v/>
      </c>
      <c r="K13" s="14">
        <f>IF(H13="","",ABS(E13-J13))</f>
        <v/>
      </c>
      <c r="L13" s="11">
        <f>IF(OR(H13="",B13="",I13=""),"",ABS(B13-I13))</f>
        <v/>
      </c>
      <c r="M13" s="15">
        <f>IF(H13="",0,LET(pct,IF(E13&gt;0,K13/E13,1),days,IFERROR(L13,999),100-pct*200-days*3))</f>
        <v/>
      </c>
      <c r="N13" s="11">
        <f>IF(A13="","",IF(H13="","Unmatched GL",IF(AND(K13&lt;=Tol_Amount,L13&lt;=Tol_Days),"Matched",IF(M13&gt;Tol_NearPct,"Near Match","Unmatched GL"))))</f>
        <v/>
      </c>
    </row>
    <row r="14">
      <c r="A14" s="13">
        <f>IF(GL_CLEAN!A14="","",GL_CLEAN!A14)</f>
        <v/>
      </c>
      <c r="B14" s="10">
        <f>IF(A14="","",GL_CLEAN!B14)</f>
        <v/>
      </c>
      <c r="C14" s="11">
        <f>IF(A14="","",GL_CLEAN!C14)</f>
        <v/>
      </c>
      <c r="D14" s="14">
        <f>IF(A14="","",GL_CLEAN!H14)</f>
        <v/>
      </c>
      <c r="E14" s="14">
        <f>IF(A14="","",GL_CLEAN!I14)</f>
        <v/>
      </c>
      <c r="F14" s="11">
        <f>IF(A14="","",GL_CLEAN!J14)</f>
        <v/>
      </c>
      <c r="G14" s="11">
        <f>IF(A14="","",IF(F14="OUT","DR","CR"))</f>
        <v/>
      </c>
      <c r="H14" s="11">
        <f>IF(A14="","",IFERROR(INDEX(BANK_CLEAN!$A$2:$A$1001,MATCH(MINIFS(BANK_CLEAN!$J$2:$J$1001,BANK_CLEAN!$H$2:$H$1001,G14,BANK_CLEAN!$L$2:$L$1001,""),BANK_CLEAN!$J$2:$J$1001,0)),""))</f>
        <v/>
      </c>
      <c r="I14" s="10">
        <f>IF(H14="","",INDEX(BANK_CLEAN!$B$2:$B$1001,H14))</f>
        <v/>
      </c>
      <c r="J14" s="14">
        <f>IF(H14="","",IF(F14="OUT",INDEX(BANK_CLEAN!$F$2:$F$1001,H14),INDEX(BANK_CLEAN!$E$2:$E$1001,H14)))</f>
        <v/>
      </c>
      <c r="K14" s="14">
        <f>IF(H14="","",ABS(E14-J14))</f>
        <v/>
      </c>
      <c r="L14" s="11">
        <f>IF(OR(H14="",B14="",I14=""),"",ABS(B14-I14))</f>
        <v/>
      </c>
      <c r="M14" s="15">
        <f>IF(H14="",0,LET(pct,IF(E14&gt;0,K14/E14,1),days,IFERROR(L14,999),100-pct*200-days*3))</f>
        <v/>
      </c>
      <c r="N14" s="11">
        <f>IF(A14="","",IF(H14="","Unmatched GL",IF(AND(K14&lt;=Tol_Amount,L14&lt;=Tol_Days),"Matched",IF(M14&gt;Tol_NearPct,"Near Match","Unmatched GL"))))</f>
        <v/>
      </c>
    </row>
    <row r="15">
      <c r="A15" s="13">
        <f>IF(GL_CLEAN!A15="","",GL_CLEAN!A15)</f>
        <v/>
      </c>
      <c r="B15" s="10">
        <f>IF(A15="","",GL_CLEAN!B15)</f>
        <v/>
      </c>
      <c r="C15" s="11">
        <f>IF(A15="","",GL_CLEAN!C15)</f>
        <v/>
      </c>
      <c r="D15" s="14">
        <f>IF(A15="","",GL_CLEAN!H15)</f>
        <v/>
      </c>
      <c r="E15" s="14">
        <f>IF(A15="","",GL_CLEAN!I15)</f>
        <v/>
      </c>
      <c r="F15" s="11">
        <f>IF(A15="","",GL_CLEAN!J15)</f>
        <v/>
      </c>
      <c r="G15" s="11">
        <f>IF(A15="","",IF(F15="OUT","DR","CR"))</f>
        <v/>
      </c>
      <c r="H15" s="11">
        <f>IF(A15="","",IFERROR(INDEX(BANK_CLEAN!$A$2:$A$1001,MATCH(MINIFS(BANK_CLEAN!$J$2:$J$1001,BANK_CLEAN!$H$2:$H$1001,G15,BANK_CLEAN!$L$2:$L$1001,""),BANK_CLEAN!$J$2:$J$1001,0)),""))</f>
        <v/>
      </c>
      <c r="I15" s="10">
        <f>IF(H15="","",INDEX(BANK_CLEAN!$B$2:$B$1001,H15))</f>
        <v/>
      </c>
      <c r="J15" s="14">
        <f>IF(H15="","",IF(F15="OUT",INDEX(BANK_CLEAN!$F$2:$F$1001,H15),INDEX(BANK_CLEAN!$E$2:$E$1001,H15)))</f>
        <v/>
      </c>
      <c r="K15" s="14">
        <f>IF(H15="","",ABS(E15-J15))</f>
        <v/>
      </c>
      <c r="L15" s="11">
        <f>IF(OR(H15="",B15="",I15=""),"",ABS(B15-I15))</f>
        <v/>
      </c>
      <c r="M15" s="15">
        <f>IF(H15="",0,LET(pct,IF(E15&gt;0,K15/E15,1),days,IFERROR(L15,999),100-pct*200-days*3))</f>
        <v/>
      </c>
      <c r="N15" s="11">
        <f>IF(A15="","",IF(H15="","Unmatched GL",IF(AND(K15&lt;=Tol_Amount,L15&lt;=Tol_Days),"Matched",IF(M15&gt;Tol_NearPct,"Near Match","Unmatched GL"))))</f>
        <v/>
      </c>
    </row>
    <row r="16">
      <c r="A16" s="13">
        <f>IF(GL_CLEAN!A16="","",GL_CLEAN!A16)</f>
        <v/>
      </c>
      <c r="B16" s="10">
        <f>IF(A16="","",GL_CLEAN!B16)</f>
        <v/>
      </c>
      <c r="C16" s="11">
        <f>IF(A16="","",GL_CLEAN!C16)</f>
        <v/>
      </c>
      <c r="D16" s="14">
        <f>IF(A16="","",GL_CLEAN!H16)</f>
        <v/>
      </c>
      <c r="E16" s="14">
        <f>IF(A16="","",GL_CLEAN!I16)</f>
        <v/>
      </c>
      <c r="F16" s="11">
        <f>IF(A16="","",GL_CLEAN!J16)</f>
        <v/>
      </c>
      <c r="G16" s="11">
        <f>IF(A16="","",IF(F16="OUT","DR","CR"))</f>
        <v/>
      </c>
      <c r="H16" s="11">
        <f>IF(A16="","",IFERROR(INDEX(BANK_CLEAN!$A$2:$A$1001,MATCH(MINIFS(BANK_CLEAN!$J$2:$J$1001,BANK_CLEAN!$H$2:$H$1001,G16,BANK_CLEAN!$L$2:$L$1001,""),BANK_CLEAN!$J$2:$J$1001,0)),""))</f>
        <v/>
      </c>
      <c r="I16" s="10">
        <f>IF(H16="","",INDEX(BANK_CLEAN!$B$2:$B$1001,H16))</f>
        <v/>
      </c>
      <c r="J16" s="14">
        <f>IF(H16="","",IF(F16="OUT",INDEX(BANK_CLEAN!$F$2:$F$1001,H16),INDEX(BANK_CLEAN!$E$2:$E$1001,H16)))</f>
        <v/>
      </c>
      <c r="K16" s="14">
        <f>IF(H16="","",ABS(E16-J16))</f>
        <v/>
      </c>
      <c r="L16" s="11">
        <f>IF(OR(H16="",B16="",I16=""),"",ABS(B16-I16))</f>
        <v/>
      </c>
      <c r="M16" s="15">
        <f>IF(H16="",0,LET(pct,IF(E16&gt;0,K16/E16,1),days,IFERROR(L16,999),100-pct*200-days*3))</f>
        <v/>
      </c>
      <c r="N16" s="11">
        <f>IF(A16="","",IF(H16="","Unmatched GL",IF(AND(K16&lt;=Tol_Amount,L16&lt;=Tol_Days),"Matched",IF(M16&gt;Tol_NearPct,"Near Match","Unmatched GL"))))</f>
        <v/>
      </c>
    </row>
    <row r="17">
      <c r="A17" s="13">
        <f>IF(GL_CLEAN!A17="","",GL_CLEAN!A17)</f>
        <v/>
      </c>
      <c r="B17" s="10">
        <f>IF(A17="","",GL_CLEAN!B17)</f>
        <v/>
      </c>
      <c r="C17" s="11">
        <f>IF(A17="","",GL_CLEAN!C17)</f>
        <v/>
      </c>
      <c r="D17" s="14">
        <f>IF(A17="","",GL_CLEAN!H17)</f>
        <v/>
      </c>
      <c r="E17" s="14">
        <f>IF(A17="","",GL_CLEAN!I17)</f>
        <v/>
      </c>
      <c r="F17" s="11">
        <f>IF(A17="","",GL_CLEAN!J17)</f>
        <v/>
      </c>
      <c r="G17" s="11">
        <f>IF(A17="","",IF(F17="OUT","DR","CR"))</f>
        <v/>
      </c>
      <c r="H17" s="11">
        <f>IF(A17="","",IFERROR(INDEX(BANK_CLEAN!$A$2:$A$1001,MATCH(MINIFS(BANK_CLEAN!$J$2:$J$1001,BANK_CLEAN!$H$2:$H$1001,G17,BANK_CLEAN!$L$2:$L$1001,""),BANK_CLEAN!$J$2:$J$1001,0)),""))</f>
        <v/>
      </c>
      <c r="I17" s="10">
        <f>IF(H17="","",INDEX(BANK_CLEAN!$B$2:$B$1001,H17))</f>
        <v/>
      </c>
      <c r="J17" s="14">
        <f>IF(H17="","",IF(F17="OUT",INDEX(BANK_CLEAN!$F$2:$F$1001,H17),INDEX(BANK_CLEAN!$E$2:$E$1001,H17)))</f>
        <v/>
      </c>
      <c r="K17" s="14">
        <f>IF(H17="","",ABS(E17-J17))</f>
        <v/>
      </c>
      <c r="L17" s="11">
        <f>IF(OR(H17="",B17="",I17=""),"",ABS(B17-I17))</f>
        <v/>
      </c>
      <c r="M17" s="15">
        <f>IF(H17="",0,LET(pct,IF(E17&gt;0,K17/E17,1),days,IFERROR(L17,999),100-pct*200-days*3))</f>
        <v/>
      </c>
      <c r="N17" s="11">
        <f>IF(A17="","",IF(H17="","Unmatched GL",IF(AND(K17&lt;=Tol_Amount,L17&lt;=Tol_Days),"Matched",IF(M17&gt;Tol_NearPct,"Near Match","Unmatched GL"))))</f>
        <v/>
      </c>
    </row>
    <row r="18">
      <c r="A18" s="13">
        <f>IF(GL_CLEAN!A18="","",GL_CLEAN!A18)</f>
        <v/>
      </c>
      <c r="B18" s="10">
        <f>IF(A18="","",GL_CLEAN!B18)</f>
        <v/>
      </c>
      <c r="C18" s="11">
        <f>IF(A18="","",GL_CLEAN!C18)</f>
        <v/>
      </c>
      <c r="D18" s="14">
        <f>IF(A18="","",GL_CLEAN!H18)</f>
        <v/>
      </c>
      <c r="E18" s="14">
        <f>IF(A18="","",GL_CLEAN!I18)</f>
        <v/>
      </c>
      <c r="F18" s="11">
        <f>IF(A18="","",GL_CLEAN!J18)</f>
        <v/>
      </c>
      <c r="G18" s="11">
        <f>IF(A18="","",IF(F18="OUT","DR","CR"))</f>
        <v/>
      </c>
      <c r="H18" s="11">
        <f>IF(A18="","",IFERROR(INDEX(BANK_CLEAN!$A$2:$A$1001,MATCH(MINIFS(BANK_CLEAN!$J$2:$J$1001,BANK_CLEAN!$H$2:$H$1001,G18,BANK_CLEAN!$L$2:$L$1001,""),BANK_CLEAN!$J$2:$J$1001,0)),""))</f>
        <v/>
      </c>
      <c r="I18" s="10">
        <f>IF(H18="","",INDEX(BANK_CLEAN!$B$2:$B$1001,H18))</f>
        <v/>
      </c>
      <c r="J18" s="14">
        <f>IF(H18="","",IF(F18="OUT",INDEX(BANK_CLEAN!$F$2:$F$1001,H18),INDEX(BANK_CLEAN!$E$2:$E$1001,H18)))</f>
        <v/>
      </c>
      <c r="K18" s="14">
        <f>IF(H18="","",ABS(E18-J18))</f>
        <v/>
      </c>
      <c r="L18" s="11">
        <f>IF(OR(H18="",B18="",I18=""),"",ABS(B18-I18))</f>
        <v/>
      </c>
      <c r="M18" s="15">
        <f>IF(H18="",0,LET(pct,IF(E18&gt;0,K18/E18,1),days,IFERROR(L18,999),100-pct*200-days*3))</f>
        <v/>
      </c>
      <c r="N18" s="11">
        <f>IF(A18="","",IF(H18="","Unmatched GL",IF(AND(K18&lt;=Tol_Amount,L18&lt;=Tol_Days),"Matched",IF(M18&gt;Tol_NearPct,"Near Match","Unmatched GL"))))</f>
        <v/>
      </c>
    </row>
    <row r="19">
      <c r="A19" s="13">
        <f>IF(GL_CLEAN!A19="","",GL_CLEAN!A19)</f>
        <v/>
      </c>
      <c r="B19" s="10">
        <f>IF(A19="","",GL_CLEAN!B19)</f>
        <v/>
      </c>
      <c r="C19" s="11">
        <f>IF(A19="","",GL_CLEAN!C19)</f>
        <v/>
      </c>
      <c r="D19" s="14">
        <f>IF(A19="","",GL_CLEAN!H19)</f>
        <v/>
      </c>
      <c r="E19" s="14">
        <f>IF(A19="","",GL_CLEAN!I19)</f>
        <v/>
      </c>
      <c r="F19" s="11">
        <f>IF(A19="","",GL_CLEAN!J19)</f>
        <v/>
      </c>
      <c r="G19" s="11">
        <f>IF(A19="","",IF(F19="OUT","DR","CR"))</f>
        <v/>
      </c>
      <c r="H19" s="11">
        <f>IF(A19="","",IFERROR(INDEX(BANK_CLEAN!$A$2:$A$1001,MATCH(MINIFS(BANK_CLEAN!$J$2:$J$1001,BANK_CLEAN!$H$2:$H$1001,G19,BANK_CLEAN!$L$2:$L$1001,""),BANK_CLEAN!$J$2:$J$1001,0)),""))</f>
        <v/>
      </c>
      <c r="I19" s="10">
        <f>IF(H19="","",INDEX(BANK_CLEAN!$B$2:$B$1001,H19))</f>
        <v/>
      </c>
      <c r="J19" s="14">
        <f>IF(H19="","",IF(F19="OUT",INDEX(BANK_CLEAN!$F$2:$F$1001,H19),INDEX(BANK_CLEAN!$E$2:$E$1001,H19)))</f>
        <v/>
      </c>
      <c r="K19" s="14">
        <f>IF(H19="","",ABS(E19-J19))</f>
        <v/>
      </c>
      <c r="L19" s="11">
        <f>IF(OR(H19="",B19="",I19=""),"",ABS(B19-I19))</f>
        <v/>
      </c>
      <c r="M19" s="15">
        <f>IF(H19="",0,LET(pct,IF(E19&gt;0,K19/E19,1),days,IFERROR(L19,999),100-pct*200-days*3))</f>
        <v/>
      </c>
      <c r="N19" s="11">
        <f>IF(A19="","",IF(H19="","Unmatched GL",IF(AND(K19&lt;=Tol_Amount,L19&lt;=Tol_Days),"Matched",IF(M19&gt;Tol_NearPct,"Near Match","Unmatched GL"))))</f>
        <v/>
      </c>
    </row>
    <row r="20">
      <c r="A20" s="13">
        <f>IF(GL_CLEAN!A20="","",GL_CLEAN!A20)</f>
        <v/>
      </c>
      <c r="B20" s="10">
        <f>IF(A20="","",GL_CLEAN!B20)</f>
        <v/>
      </c>
      <c r="C20" s="11">
        <f>IF(A20="","",GL_CLEAN!C20)</f>
        <v/>
      </c>
      <c r="D20" s="14">
        <f>IF(A20="","",GL_CLEAN!H20)</f>
        <v/>
      </c>
      <c r="E20" s="14">
        <f>IF(A20="","",GL_CLEAN!I20)</f>
        <v/>
      </c>
      <c r="F20" s="11">
        <f>IF(A20="","",GL_CLEAN!J20)</f>
        <v/>
      </c>
      <c r="G20" s="11">
        <f>IF(A20="","",IF(F20="OUT","DR","CR"))</f>
        <v/>
      </c>
      <c r="H20" s="11">
        <f>IF(A20="","",IFERROR(INDEX(BANK_CLEAN!$A$2:$A$1001,MATCH(MINIFS(BANK_CLEAN!$J$2:$J$1001,BANK_CLEAN!$H$2:$H$1001,G20,BANK_CLEAN!$L$2:$L$1001,""),BANK_CLEAN!$J$2:$J$1001,0)),""))</f>
        <v/>
      </c>
      <c r="I20" s="10">
        <f>IF(H20="","",INDEX(BANK_CLEAN!$B$2:$B$1001,H20))</f>
        <v/>
      </c>
      <c r="J20" s="14">
        <f>IF(H20="","",IF(F20="OUT",INDEX(BANK_CLEAN!$F$2:$F$1001,H20),INDEX(BANK_CLEAN!$E$2:$E$1001,H20)))</f>
        <v/>
      </c>
      <c r="K20" s="14">
        <f>IF(H20="","",ABS(E20-J20))</f>
        <v/>
      </c>
      <c r="L20" s="11">
        <f>IF(OR(H20="",B20="",I20=""),"",ABS(B20-I20))</f>
        <v/>
      </c>
      <c r="M20" s="15">
        <f>IF(H20="",0,LET(pct,IF(E20&gt;0,K20/E20,1),days,IFERROR(L20,999),100-pct*200-days*3))</f>
        <v/>
      </c>
      <c r="N20" s="11">
        <f>IF(A20="","",IF(H20="","Unmatched GL",IF(AND(K20&lt;=Tol_Amount,L20&lt;=Tol_Days),"Matched",IF(M20&gt;Tol_NearPct,"Near Match","Unmatched GL"))))</f>
        <v/>
      </c>
    </row>
    <row r="21">
      <c r="A21" s="13">
        <f>IF(GL_CLEAN!A21="","",GL_CLEAN!A21)</f>
        <v/>
      </c>
      <c r="B21" s="10">
        <f>IF(A21="","",GL_CLEAN!B21)</f>
        <v/>
      </c>
      <c r="C21" s="11">
        <f>IF(A21="","",GL_CLEAN!C21)</f>
        <v/>
      </c>
      <c r="D21" s="14">
        <f>IF(A21="","",GL_CLEAN!H21)</f>
        <v/>
      </c>
      <c r="E21" s="14">
        <f>IF(A21="","",GL_CLEAN!I21)</f>
        <v/>
      </c>
      <c r="F21" s="11">
        <f>IF(A21="","",GL_CLEAN!J21)</f>
        <v/>
      </c>
      <c r="G21" s="11">
        <f>IF(A21="","",IF(F21="OUT","DR","CR"))</f>
        <v/>
      </c>
      <c r="H21" s="11">
        <f>IF(A21="","",IFERROR(INDEX(BANK_CLEAN!$A$2:$A$1001,MATCH(MINIFS(BANK_CLEAN!$J$2:$J$1001,BANK_CLEAN!$H$2:$H$1001,G21,BANK_CLEAN!$L$2:$L$1001,""),BANK_CLEAN!$J$2:$J$1001,0)),""))</f>
        <v/>
      </c>
      <c r="I21" s="10">
        <f>IF(H21="","",INDEX(BANK_CLEAN!$B$2:$B$1001,H21))</f>
        <v/>
      </c>
      <c r="J21" s="14">
        <f>IF(H21="","",IF(F21="OUT",INDEX(BANK_CLEAN!$F$2:$F$1001,H21),INDEX(BANK_CLEAN!$E$2:$E$1001,H21)))</f>
        <v/>
      </c>
      <c r="K21" s="14">
        <f>IF(H21="","",ABS(E21-J21))</f>
        <v/>
      </c>
      <c r="L21" s="11">
        <f>IF(OR(H21="",B21="",I21=""),"",ABS(B21-I21))</f>
        <v/>
      </c>
      <c r="M21" s="15">
        <f>IF(H21="",0,LET(pct,IF(E21&gt;0,K21/E21,1),days,IFERROR(L21,999),100-pct*200-days*3))</f>
        <v/>
      </c>
      <c r="N21" s="11">
        <f>IF(A21="","",IF(H21="","Unmatched GL",IF(AND(K21&lt;=Tol_Amount,L21&lt;=Tol_Days),"Matched",IF(M21&gt;Tol_NearPct,"Near Match","Unmatched GL"))))</f>
        <v/>
      </c>
    </row>
    <row r="22">
      <c r="A22" s="13">
        <f>IF(GL_CLEAN!A22="","",GL_CLEAN!A22)</f>
        <v/>
      </c>
      <c r="B22" s="10">
        <f>IF(A22="","",GL_CLEAN!B22)</f>
        <v/>
      </c>
      <c r="C22" s="11">
        <f>IF(A22="","",GL_CLEAN!C22)</f>
        <v/>
      </c>
      <c r="D22" s="14">
        <f>IF(A22="","",GL_CLEAN!H22)</f>
        <v/>
      </c>
      <c r="E22" s="14">
        <f>IF(A22="","",GL_CLEAN!I22)</f>
        <v/>
      </c>
      <c r="F22" s="11">
        <f>IF(A22="","",GL_CLEAN!J22)</f>
        <v/>
      </c>
      <c r="G22" s="11">
        <f>IF(A22="","",IF(F22="OUT","DR","CR"))</f>
        <v/>
      </c>
      <c r="H22" s="11">
        <f>IF(A22="","",IFERROR(INDEX(BANK_CLEAN!$A$2:$A$1001,MATCH(MINIFS(BANK_CLEAN!$J$2:$J$1001,BANK_CLEAN!$H$2:$H$1001,G22,BANK_CLEAN!$L$2:$L$1001,""),BANK_CLEAN!$J$2:$J$1001,0)),""))</f>
        <v/>
      </c>
      <c r="I22" s="10">
        <f>IF(H22="","",INDEX(BANK_CLEAN!$B$2:$B$1001,H22))</f>
        <v/>
      </c>
      <c r="J22" s="14">
        <f>IF(H22="","",IF(F22="OUT",INDEX(BANK_CLEAN!$F$2:$F$1001,H22),INDEX(BANK_CLEAN!$E$2:$E$1001,H22)))</f>
        <v/>
      </c>
      <c r="K22" s="14">
        <f>IF(H22="","",ABS(E22-J22))</f>
        <v/>
      </c>
      <c r="L22" s="11">
        <f>IF(OR(H22="",B22="",I22=""),"",ABS(B22-I22))</f>
        <v/>
      </c>
      <c r="M22" s="15">
        <f>IF(H22="",0,LET(pct,IF(E22&gt;0,K22/E22,1),days,IFERROR(L22,999),100-pct*200-days*3))</f>
        <v/>
      </c>
      <c r="N22" s="11">
        <f>IF(A22="","",IF(H22="","Unmatched GL",IF(AND(K22&lt;=Tol_Amount,L22&lt;=Tol_Days),"Matched",IF(M22&gt;Tol_NearPct,"Near Match","Unmatched GL"))))</f>
        <v/>
      </c>
    </row>
    <row r="23">
      <c r="A23" s="13">
        <f>IF(GL_CLEAN!A23="","",GL_CLEAN!A23)</f>
        <v/>
      </c>
      <c r="B23" s="10">
        <f>IF(A23="","",GL_CLEAN!B23)</f>
        <v/>
      </c>
      <c r="C23" s="11">
        <f>IF(A23="","",GL_CLEAN!C23)</f>
        <v/>
      </c>
      <c r="D23" s="14">
        <f>IF(A23="","",GL_CLEAN!H23)</f>
        <v/>
      </c>
      <c r="E23" s="14">
        <f>IF(A23="","",GL_CLEAN!I23)</f>
        <v/>
      </c>
      <c r="F23" s="11">
        <f>IF(A23="","",GL_CLEAN!J23)</f>
        <v/>
      </c>
      <c r="G23" s="11">
        <f>IF(A23="","",IF(F23="OUT","DR","CR"))</f>
        <v/>
      </c>
      <c r="H23" s="11">
        <f>IF(A23="","",IFERROR(INDEX(BANK_CLEAN!$A$2:$A$1001,MATCH(MINIFS(BANK_CLEAN!$J$2:$J$1001,BANK_CLEAN!$H$2:$H$1001,G23,BANK_CLEAN!$L$2:$L$1001,""),BANK_CLEAN!$J$2:$J$1001,0)),""))</f>
        <v/>
      </c>
      <c r="I23" s="10">
        <f>IF(H23="","",INDEX(BANK_CLEAN!$B$2:$B$1001,H23))</f>
        <v/>
      </c>
      <c r="J23" s="14">
        <f>IF(H23="","",IF(F23="OUT",INDEX(BANK_CLEAN!$F$2:$F$1001,H23),INDEX(BANK_CLEAN!$E$2:$E$1001,H23)))</f>
        <v/>
      </c>
      <c r="K23" s="14">
        <f>IF(H23="","",ABS(E23-J23))</f>
        <v/>
      </c>
      <c r="L23" s="11">
        <f>IF(OR(H23="",B23="",I23=""),"",ABS(B23-I23))</f>
        <v/>
      </c>
      <c r="M23" s="15">
        <f>IF(H23="",0,LET(pct,IF(E23&gt;0,K23/E23,1),days,IFERROR(L23,999),100-pct*200-days*3))</f>
        <v/>
      </c>
      <c r="N23" s="11">
        <f>IF(A23="","",IF(H23="","Unmatched GL",IF(AND(K23&lt;=Tol_Amount,L23&lt;=Tol_Days),"Matched",IF(M23&gt;Tol_NearPct,"Near Match","Unmatched GL"))))</f>
        <v/>
      </c>
    </row>
    <row r="24">
      <c r="A24" s="13">
        <f>IF(GL_CLEAN!A24="","",GL_CLEAN!A24)</f>
        <v/>
      </c>
      <c r="B24" s="10">
        <f>IF(A24="","",GL_CLEAN!B24)</f>
        <v/>
      </c>
      <c r="C24" s="11">
        <f>IF(A24="","",GL_CLEAN!C24)</f>
        <v/>
      </c>
      <c r="D24" s="14">
        <f>IF(A24="","",GL_CLEAN!H24)</f>
        <v/>
      </c>
      <c r="E24" s="14">
        <f>IF(A24="","",GL_CLEAN!I24)</f>
        <v/>
      </c>
      <c r="F24" s="11">
        <f>IF(A24="","",GL_CLEAN!J24)</f>
        <v/>
      </c>
      <c r="G24" s="11">
        <f>IF(A24="","",IF(F24="OUT","DR","CR"))</f>
        <v/>
      </c>
      <c r="H24" s="11">
        <f>IF(A24="","",IFERROR(INDEX(BANK_CLEAN!$A$2:$A$1001,MATCH(MINIFS(BANK_CLEAN!$J$2:$J$1001,BANK_CLEAN!$H$2:$H$1001,G24,BANK_CLEAN!$L$2:$L$1001,""),BANK_CLEAN!$J$2:$J$1001,0)),""))</f>
        <v/>
      </c>
      <c r="I24" s="10">
        <f>IF(H24="","",INDEX(BANK_CLEAN!$B$2:$B$1001,H24))</f>
        <v/>
      </c>
      <c r="J24" s="14">
        <f>IF(H24="","",IF(F24="OUT",INDEX(BANK_CLEAN!$F$2:$F$1001,H24),INDEX(BANK_CLEAN!$E$2:$E$1001,H24)))</f>
        <v/>
      </c>
      <c r="K24" s="14">
        <f>IF(H24="","",ABS(E24-J24))</f>
        <v/>
      </c>
      <c r="L24" s="11">
        <f>IF(OR(H24="",B24="",I24=""),"",ABS(B24-I24))</f>
        <v/>
      </c>
      <c r="M24" s="15">
        <f>IF(H24="",0,LET(pct,IF(E24&gt;0,K24/E24,1),days,IFERROR(L24,999),100-pct*200-days*3))</f>
        <v/>
      </c>
      <c r="N24" s="11">
        <f>IF(A24="","",IF(H24="","Unmatched GL",IF(AND(K24&lt;=Tol_Amount,L24&lt;=Tol_Days),"Matched",IF(M24&gt;Tol_NearPct,"Near Match","Unmatched GL"))))</f>
        <v/>
      </c>
    </row>
    <row r="25">
      <c r="A25" s="13">
        <f>IF(GL_CLEAN!A25="","",GL_CLEAN!A25)</f>
        <v/>
      </c>
      <c r="B25" s="10">
        <f>IF(A25="","",GL_CLEAN!B25)</f>
        <v/>
      </c>
      <c r="C25" s="11">
        <f>IF(A25="","",GL_CLEAN!C25)</f>
        <v/>
      </c>
      <c r="D25" s="14">
        <f>IF(A25="","",GL_CLEAN!H25)</f>
        <v/>
      </c>
      <c r="E25" s="14">
        <f>IF(A25="","",GL_CLEAN!I25)</f>
        <v/>
      </c>
      <c r="F25" s="11">
        <f>IF(A25="","",GL_CLEAN!J25)</f>
        <v/>
      </c>
      <c r="G25" s="11">
        <f>IF(A25="","",IF(F25="OUT","DR","CR"))</f>
        <v/>
      </c>
      <c r="H25" s="11">
        <f>IF(A25="","",IFERROR(INDEX(BANK_CLEAN!$A$2:$A$1001,MATCH(MINIFS(BANK_CLEAN!$J$2:$J$1001,BANK_CLEAN!$H$2:$H$1001,G25,BANK_CLEAN!$L$2:$L$1001,""),BANK_CLEAN!$J$2:$J$1001,0)),""))</f>
        <v/>
      </c>
      <c r="I25" s="10">
        <f>IF(H25="","",INDEX(BANK_CLEAN!$B$2:$B$1001,H25))</f>
        <v/>
      </c>
      <c r="J25" s="14">
        <f>IF(H25="","",IF(F25="OUT",INDEX(BANK_CLEAN!$F$2:$F$1001,H25),INDEX(BANK_CLEAN!$E$2:$E$1001,H25)))</f>
        <v/>
      </c>
      <c r="K25" s="14">
        <f>IF(H25="","",ABS(E25-J25))</f>
        <v/>
      </c>
      <c r="L25" s="11">
        <f>IF(OR(H25="",B25="",I25=""),"",ABS(B25-I25))</f>
        <v/>
      </c>
      <c r="M25" s="15">
        <f>IF(H25="",0,LET(pct,IF(E25&gt;0,K25/E25,1),days,IFERROR(L25,999),100-pct*200-days*3))</f>
        <v/>
      </c>
      <c r="N25" s="11">
        <f>IF(A25="","",IF(H25="","Unmatched GL",IF(AND(K25&lt;=Tol_Amount,L25&lt;=Tol_Days),"Matched",IF(M25&gt;Tol_NearPct,"Near Match","Unmatched GL"))))</f>
        <v/>
      </c>
    </row>
    <row r="26">
      <c r="A26" s="13">
        <f>IF(GL_CLEAN!A26="","",GL_CLEAN!A26)</f>
        <v/>
      </c>
      <c r="B26" s="10">
        <f>IF(A26="","",GL_CLEAN!B26)</f>
        <v/>
      </c>
      <c r="C26" s="11">
        <f>IF(A26="","",GL_CLEAN!C26)</f>
        <v/>
      </c>
      <c r="D26" s="14">
        <f>IF(A26="","",GL_CLEAN!H26)</f>
        <v/>
      </c>
      <c r="E26" s="14">
        <f>IF(A26="","",GL_CLEAN!I26)</f>
        <v/>
      </c>
      <c r="F26" s="11">
        <f>IF(A26="","",GL_CLEAN!J26)</f>
        <v/>
      </c>
      <c r="G26" s="11">
        <f>IF(A26="","",IF(F26="OUT","DR","CR"))</f>
        <v/>
      </c>
      <c r="H26" s="11">
        <f>IF(A26="","",IFERROR(INDEX(BANK_CLEAN!$A$2:$A$1001,MATCH(MINIFS(BANK_CLEAN!$J$2:$J$1001,BANK_CLEAN!$H$2:$H$1001,G26,BANK_CLEAN!$L$2:$L$1001,""),BANK_CLEAN!$J$2:$J$1001,0)),""))</f>
        <v/>
      </c>
      <c r="I26" s="10">
        <f>IF(H26="","",INDEX(BANK_CLEAN!$B$2:$B$1001,H26))</f>
        <v/>
      </c>
      <c r="J26" s="14">
        <f>IF(H26="","",IF(F26="OUT",INDEX(BANK_CLEAN!$F$2:$F$1001,H26),INDEX(BANK_CLEAN!$E$2:$E$1001,H26)))</f>
        <v/>
      </c>
      <c r="K26" s="14">
        <f>IF(H26="","",ABS(E26-J26))</f>
        <v/>
      </c>
      <c r="L26" s="11">
        <f>IF(OR(H26="",B26="",I26=""),"",ABS(B26-I26))</f>
        <v/>
      </c>
      <c r="M26" s="15">
        <f>IF(H26="",0,LET(pct,IF(E26&gt;0,K26/E26,1),days,IFERROR(L26,999),100-pct*200-days*3))</f>
        <v/>
      </c>
      <c r="N26" s="11">
        <f>IF(A26="","",IF(H26="","Unmatched GL",IF(AND(K26&lt;=Tol_Amount,L26&lt;=Tol_Days),"Matched",IF(M26&gt;Tol_NearPct,"Near Match","Unmatched GL"))))</f>
        <v/>
      </c>
    </row>
    <row r="27">
      <c r="A27" s="13">
        <f>IF(GL_CLEAN!A27="","",GL_CLEAN!A27)</f>
        <v/>
      </c>
      <c r="B27" s="10">
        <f>IF(A27="","",GL_CLEAN!B27)</f>
        <v/>
      </c>
      <c r="C27" s="11">
        <f>IF(A27="","",GL_CLEAN!C27)</f>
        <v/>
      </c>
      <c r="D27" s="14">
        <f>IF(A27="","",GL_CLEAN!H27)</f>
        <v/>
      </c>
      <c r="E27" s="14">
        <f>IF(A27="","",GL_CLEAN!I27)</f>
        <v/>
      </c>
      <c r="F27" s="11">
        <f>IF(A27="","",GL_CLEAN!J27)</f>
        <v/>
      </c>
      <c r="G27" s="11">
        <f>IF(A27="","",IF(F27="OUT","DR","CR"))</f>
        <v/>
      </c>
      <c r="H27" s="11">
        <f>IF(A27="","",IFERROR(INDEX(BANK_CLEAN!$A$2:$A$1001,MATCH(MINIFS(BANK_CLEAN!$J$2:$J$1001,BANK_CLEAN!$H$2:$H$1001,G27,BANK_CLEAN!$L$2:$L$1001,""),BANK_CLEAN!$J$2:$J$1001,0)),""))</f>
        <v/>
      </c>
      <c r="I27" s="10">
        <f>IF(H27="","",INDEX(BANK_CLEAN!$B$2:$B$1001,H27))</f>
        <v/>
      </c>
      <c r="J27" s="14">
        <f>IF(H27="","",IF(F27="OUT",INDEX(BANK_CLEAN!$F$2:$F$1001,H27),INDEX(BANK_CLEAN!$E$2:$E$1001,H27)))</f>
        <v/>
      </c>
      <c r="K27" s="14">
        <f>IF(H27="","",ABS(E27-J27))</f>
        <v/>
      </c>
      <c r="L27" s="11">
        <f>IF(OR(H27="",B27="",I27=""),"",ABS(B27-I27))</f>
        <v/>
      </c>
      <c r="M27" s="15">
        <f>IF(H27="",0,LET(pct,IF(E27&gt;0,K27/E27,1),days,IFERROR(L27,999),100-pct*200-days*3))</f>
        <v/>
      </c>
      <c r="N27" s="11">
        <f>IF(A27="","",IF(H27="","Unmatched GL",IF(AND(K27&lt;=Tol_Amount,L27&lt;=Tol_Days),"Matched",IF(M27&gt;Tol_NearPct,"Near Match","Unmatched GL"))))</f>
        <v/>
      </c>
    </row>
    <row r="28">
      <c r="A28" s="13">
        <f>IF(GL_CLEAN!A28="","",GL_CLEAN!A28)</f>
        <v/>
      </c>
      <c r="B28" s="10">
        <f>IF(A28="","",GL_CLEAN!B28)</f>
        <v/>
      </c>
      <c r="C28" s="11">
        <f>IF(A28="","",GL_CLEAN!C28)</f>
        <v/>
      </c>
      <c r="D28" s="14">
        <f>IF(A28="","",GL_CLEAN!H28)</f>
        <v/>
      </c>
      <c r="E28" s="14">
        <f>IF(A28="","",GL_CLEAN!I28)</f>
        <v/>
      </c>
      <c r="F28" s="11">
        <f>IF(A28="","",GL_CLEAN!J28)</f>
        <v/>
      </c>
      <c r="G28" s="11">
        <f>IF(A28="","",IF(F28="OUT","DR","CR"))</f>
        <v/>
      </c>
      <c r="H28" s="11">
        <f>IF(A28="","",IFERROR(INDEX(BANK_CLEAN!$A$2:$A$1001,MATCH(MINIFS(BANK_CLEAN!$J$2:$J$1001,BANK_CLEAN!$H$2:$H$1001,G28,BANK_CLEAN!$L$2:$L$1001,""),BANK_CLEAN!$J$2:$J$1001,0)),""))</f>
        <v/>
      </c>
      <c r="I28" s="10">
        <f>IF(H28="","",INDEX(BANK_CLEAN!$B$2:$B$1001,H28))</f>
        <v/>
      </c>
      <c r="J28" s="14">
        <f>IF(H28="","",IF(F28="OUT",INDEX(BANK_CLEAN!$F$2:$F$1001,H28),INDEX(BANK_CLEAN!$E$2:$E$1001,H28)))</f>
        <v/>
      </c>
      <c r="K28" s="14">
        <f>IF(H28="","",ABS(E28-J28))</f>
        <v/>
      </c>
      <c r="L28" s="11">
        <f>IF(OR(H28="",B28="",I28=""),"",ABS(B28-I28))</f>
        <v/>
      </c>
      <c r="M28" s="15">
        <f>IF(H28="",0,LET(pct,IF(E28&gt;0,K28/E28,1),days,IFERROR(L28,999),100-pct*200-days*3))</f>
        <v/>
      </c>
      <c r="N28" s="11">
        <f>IF(A28="","",IF(H28="","Unmatched GL",IF(AND(K28&lt;=Tol_Amount,L28&lt;=Tol_Days),"Matched",IF(M28&gt;Tol_NearPct,"Near Match","Unmatched GL"))))</f>
        <v/>
      </c>
    </row>
    <row r="29">
      <c r="A29" s="13">
        <f>IF(GL_CLEAN!A29="","",GL_CLEAN!A29)</f>
        <v/>
      </c>
      <c r="B29" s="10">
        <f>IF(A29="","",GL_CLEAN!B29)</f>
        <v/>
      </c>
      <c r="C29" s="11">
        <f>IF(A29="","",GL_CLEAN!C29)</f>
        <v/>
      </c>
      <c r="D29" s="14">
        <f>IF(A29="","",GL_CLEAN!H29)</f>
        <v/>
      </c>
      <c r="E29" s="14">
        <f>IF(A29="","",GL_CLEAN!I29)</f>
        <v/>
      </c>
      <c r="F29" s="11">
        <f>IF(A29="","",GL_CLEAN!J29)</f>
        <v/>
      </c>
      <c r="G29" s="11">
        <f>IF(A29="","",IF(F29="OUT","DR","CR"))</f>
        <v/>
      </c>
      <c r="H29" s="11">
        <f>IF(A29="","",IFERROR(INDEX(BANK_CLEAN!$A$2:$A$1001,MATCH(MINIFS(BANK_CLEAN!$J$2:$J$1001,BANK_CLEAN!$H$2:$H$1001,G29,BANK_CLEAN!$L$2:$L$1001,""),BANK_CLEAN!$J$2:$J$1001,0)),""))</f>
        <v/>
      </c>
      <c r="I29" s="10">
        <f>IF(H29="","",INDEX(BANK_CLEAN!$B$2:$B$1001,H29))</f>
        <v/>
      </c>
      <c r="J29" s="14">
        <f>IF(H29="","",IF(F29="OUT",INDEX(BANK_CLEAN!$F$2:$F$1001,H29),INDEX(BANK_CLEAN!$E$2:$E$1001,H29)))</f>
        <v/>
      </c>
      <c r="K29" s="14">
        <f>IF(H29="","",ABS(E29-J29))</f>
        <v/>
      </c>
      <c r="L29" s="11">
        <f>IF(OR(H29="",B29="",I29=""),"",ABS(B29-I29))</f>
        <v/>
      </c>
      <c r="M29" s="15">
        <f>IF(H29="",0,LET(pct,IF(E29&gt;0,K29/E29,1),days,IFERROR(L29,999),100-pct*200-days*3))</f>
        <v/>
      </c>
      <c r="N29" s="11">
        <f>IF(A29="","",IF(H29="","Unmatched GL",IF(AND(K29&lt;=Tol_Amount,L29&lt;=Tol_Days),"Matched",IF(M29&gt;Tol_NearPct,"Near Match","Unmatched GL"))))</f>
        <v/>
      </c>
    </row>
    <row r="30">
      <c r="A30" s="13">
        <f>IF(GL_CLEAN!A30="","",GL_CLEAN!A30)</f>
        <v/>
      </c>
      <c r="B30" s="10">
        <f>IF(A30="","",GL_CLEAN!B30)</f>
        <v/>
      </c>
      <c r="C30" s="11">
        <f>IF(A30="","",GL_CLEAN!C30)</f>
        <v/>
      </c>
      <c r="D30" s="14">
        <f>IF(A30="","",GL_CLEAN!H30)</f>
        <v/>
      </c>
      <c r="E30" s="14">
        <f>IF(A30="","",GL_CLEAN!I30)</f>
        <v/>
      </c>
      <c r="F30" s="11">
        <f>IF(A30="","",GL_CLEAN!J30)</f>
        <v/>
      </c>
      <c r="G30" s="11">
        <f>IF(A30="","",IF(F30="OUT","DR","CR"))</f>
        <v/>
      </c>
      <c r="H30" s="11">
        <f>IF(A30="","",IFERROR(INDEX(BANK_CLEAN!$A$2:$A$1001,MATCH(MINIFS(BANK_CLEAN!$J$2:$J$1001,BANK_CLEAN!$H$2:$H$1001,G30,BANK_CLEAN!$L$2:$L$1001,""),BANK_CLEAN!$J$2:$J$1001,0)),""))</f>
        <v/>
      </c>
      <c r="I30" s="10">
        <f>IF(H30="","",INDEX(BANK_CLEAN!$B$2:$B$1001,H30))</f>
        <v/>
      </c>
      <c r="J30" s="14">
        <f>IF(H30="","",IF(F30="OUT",INDEX(BANK_CLEAN!$F$2:$F$1001,H30),INDEX(BANK_CLEAN!$E$2:$E$1001,H30)))</f>
        <v/>
      </c>
      <c r="K30" s="14">
        <f>IF(H30="","",ABS(E30-J30))</f>
        <v/>
      </c>
      <c r="L30" s="11">
        <f>IF(OR(H30="",B30="",I30=""),"",ABS(B30-I30))</f>
        <v/>
      </c>
      <c r="M30" s="15">
        <f>IF(H30="",0,LET(pct,IF(E30&gt;0,K30/E30,1),days,IFERROR(L30,999),100-pct*200-days*3))</f>
        <v/>
      </c>
      <c r="N30" s="11">
        <f>IF(A30="","",IF(H30="","Unmatched GL",IF(AND(K30&lt;=Tol_Amount,L30&lt;=Tol_Days),"Matched",IF(M30&gt;Tol_NearPct,"Near Match","Unmatched GL"))))</f>
        <v/>
      </c>
    </row>
    <row r="31">
      <c r="A31" s="13">
        <f>IF(GL_CLEAN!A31="","",GL_CLEAN!A31)</f>
        <v/>
      </c>
      <c r="B31" s="10">
        <f>IF(A31="","",GL_CLEAN!B31)</f>
        <v/>
      </c>
      <c r="C31" s="11">
        <f>IF(A31="","",GL_CLEAN!C31)</f>
        <v/>
      </c>
      <c r="D31" s="14">
        <f>IF(A31="","",GL_CLEAN!H31)</f>
        <v/>
      </c>
      <c r="E31" s="14">
        <f>IF(A31="","",GL_CLEAN!I31)</f>
        <v/>
      </c>
      <c r="F31" s="11">
        <f>IF(A31="","",GL_CLEAN!J31)</f>
        <v/>
      </c>
      <c r="G31" s="11">
        <f>IF(A31="","",IF(F31="OUT","DR","CR"))</f>
        <v/>
      </c>
      <c r="H31" s="11">
        <f>IF(A31="","",IFERROR(INDEX(BANK_CLEAN!$A$2:$A$1001,MATCH(MINIFS(BANK_CLEAN!$J$2:$J$1001,BANK_CLEAN!$H$2:$H$1001,G31,BANK_CLEAN!$L$2:$L$1001,""),BANK_CLEAN!$J$2:$J$1001,0)),""))</f>
        <v/>
      </c>
      <c r="I31" s="10">
        <f>IF(H31="","",INDEX(BANK_CLEAN!$B$2:$B$1001,H31))</f>
        <v/>
      </c>
      <c r="J31" s="14">
        <f>IF(H31="","",IF(F31="OUT",INDEX(BANK_CLEAN!$F$2:$F$1001,H31),INDEX(BANK_CLEAN!$E$2:$E$1001,H31)))</f>
        <v/>
      </c>
      <c r="K31" s="14">
        <f>IF(H31="","",ABS(E31-J31))</f>
        <v/>
      </c>
      <c r="L31" s="11">
        <f>IF(OR(H31="",B31="",I31=""),"",ABS(B31-I31))</f>
        <v/>
      </c>
      <c r="M31" s="15">
        <f>IF(H31="",0,LET(pct,IF(E31&gt;0,K31/E31,1),days,IFERROR(L31,999),100-pct*200-days*3))</f>
        <v/>
      </c>
      <c r="N31" s="11">
        <f>IF(A31="","",IF(H31="","Unmatched GL",IF(AND(K31&lt;=Tol_Amount,L31&lt;=Tol_Days),"Matched",IF(M31&gt;Tol_NearPct,"Near Match","Unmatched GL"))))</f>
        <v/>
      </c>
    </row>
    <row r="32">
      <c r="A32" s="13">
        <f>IF(GL_CLEAN!A32="","",GL_CLEAN!A32)</f>
        <v/>
      </c>
      <c r="B32" s="10">
        <f>IF(A32="","",GL_CLEAN!B32)</f>
        <v/>
      </c>
      <c r="C32" s="11">
        <f>IF(A32="","",GL_CLEAN!C32)</f>
        <v/>
      </c>
      <c r="D32" s="14">
        <f>IF(A32="","",GL_CLEAN!H32)</f>
        <v/>
      </c>
      <c r="E32" s="14">
        <f>IF(A32="","",GL_CLEAN!I32)</f>
        <v/>
      </c>
      <c r="F32" s="11">
        <f>IF(A32="","",GL_CLEAN!J32)</f>
        <v/>
      </c>
      <c r="G32" s="11">
        <f>IF(A32="","",IF(F32="OUT","DR","CR"))</f>
        <v/>
      </c>
      <c r="H32" s="11">
        <f>IF(A32="","",IFERROR(INDEX(BANK_CLEAN!$A$2:$A$1001,MATCH(MINIFS(BANK_CLEAN!$J$2:$J$1001,BANK_CLEAN!$H$2:$H$1001,G32,BANK_CLEAN!$L$2:$L$1001,""),BANK_CLEAN!$J$2:$J$1001,0)),""))</f>
        <v/>
      </c>
      <c r="I32" s="10">
        <f>IF(H32="","",INDEX(BANK_CLEAN!$B$2:$B$1001,H32))</f>
        <v/>
      </c>
      <c r="J32" s="14">
        <f>IF(H32="","",IF(F32="OUT",INDEX(BANK_CLEAN!$F$2:$F$1001,H32),INDEX(BANK_CLEAN!$E$2:$E$1001,H32)))</f>
        <v/>
      </c>
      <c r="K32" s="14">
        <f>IF(H32="","",ABS(E32-J32))</f>
        <v/>
      </c>
      <c r="L32" s="11">
        <f>IF(OR(H32="",B32="",I32=""),"",ABS(B32-I32))</f>
        <v/>
      </c>
      <c r="M32" s="15">
        <f>IF(H32="",0,LET(pct,IF(E32&gt;0,K32/E32,1),days,IFERROR(L32,999),100-pct*200-days*3))</f>
        <v/>
      </c>
      <c r="N32" s="11">
        <f>IF(A32="","",IF(H32="","Unmatched GL",IF(AND(K32&lt;=Tol_Amount,L32&lt;=Tol_Days),"Matched",IF(M32&gt;Tol_NearPct,"Near Match","Unmatched GL"))))</f>
        <v/>
      </c>
    </row>
    <row r="33">
      <c r="A33" s="13">
        <f>IF(GL_CLEAN!A33="","",GL_CLEAN!A33)</f>
        <v/>
      </c>
      <c r="B33" s="10">
        <f>IF(A33="","",GL_CLEAN!B33)</f>
        <v/>
      </c>
      <c r="C33" s="11">
        <f>IF(A33="","",GL_CLEAN!C33)</f>
        <v/>
      </c>
      <c r="D33" s="14">
        <f>IF(A33="","",GL_CLEAN!H33)</f>
        <v/>
      </c>
      <c r="E33" s="14">
        <f>IF(A33="","",GL_CLEAN!I33)</f>
        <v/>
      </c>
      <c r="F33" s="11">
        <f>IF(A33="","",GL_CLEAN!J33)</f>
        <v/>
      </c>
      <c r="G33" s="11">
        <f>IF(A33="","",IF(F33="OUT","DR","CR"))</f>
        <v/>
      </c>
      <c r="H33" s="11">
        <f>IF(A33="","",IFERROR(INDEX(BANK_CLEAN!$A$2:$A$1001,MATCH(MINIFS(BANK_CLEAN!$J$2:$J$1001,BANK_CLEAN!$H$2:$H$1001,G33,BANK_CLEAN!$L$2:$L$1001,""),BANK_CLEAN!$J$2:$J$1001,0)),""))</f>
        <v/>
      </c>
      <c r="I33" s="10">
        <f>IF(H33="","",INDEX(BANK_CLEAN!$B$2:$B$1001,H33))</f>
        <v/>
      </c>
      <c r="J33" s="14">
        <f>IF(H33="","",IF(F33="OUT",INDEX(BANK_CLEAN!$F$2:$F$1001,H33),INDEX(BANK_CLEAN!$E$2:$E$1001,H33)))</f>
        <v/>
      </c>
      <c r="K33" s="14">
        <f>IF(H33="","",ABS(E33-J33))</f>
        <v/>
      </c>
      <c r="L33" s="11">
        <f>IF(OR(H33="",B33="",I33=""),"",ABS(B33-I33))</f>
        <v/>
      </c>
      <c r="M33" s="15">
        <f>IF(H33="",0,LET(pct,IF(E33&gt;0,K33/E33,1),days,IFERROR(L33,999),100-pct*200-days*3))</f>
        <v/>
      </c>
      <c r="N33" s="11">
        <f>IF(A33="","",IF(H33="","Unmatched GL",IF(AND(K33&lt;=Tol_Amount,L33&lt;=Tol_Days),"Matched",IF(M33&gt;Tol_NearPct,"Near Match","Unmatched GL"))))</f>
        <v/>
      </c>
    </row>
    <row r="34">
      <c r="A34" s="13">
        <f>IF(GL_CLEAN!A34="","",GL_CLEAN!A34)</f>
        <v/>
      </c>
      <c r="B34" s="10">
        <f>IF(A34="","",GL_CLEAN!B34)</f>
        <v/>
      </c>
      <c r="C34" s="11">
        <f>IF(A34="","",GL_CLEAN!C34)</f>
        <v/>
      </c>
      <c r="D34" s="14">
        <f>IF(A34="","",GL_CLEAN!H34)</f>
        <v/>
      </c>
      <c r="E34" s="14">
        <f>IF(A34="","",GL_CLEAN!I34)</f>
        <v/>
      </c>
      <c r="F34" s="11">
        <f>IF(A34="","",GL_CLEAN!J34)</f>
        <v/>
      </c>
      <c r="G34" s="11">
        <f>IF(A34="","",IF(F34="OUT","DR","CR"))</f>
        <v/>
      </c>
      <c r="H34" s="11">
        <f>IF(A34="","",IFERROR(INDEX(BANK_CLEAN!$A$2:$A$1001,MATCH(MINIFS(BANK_CLEAN!$J$2:$J$1001,BANK_CLEAN!$H$2:$H$1001,G34,BANK_CLEAN!$L$2:$L$1001,""),BANK_CLEAN!$J$2:$J$1001,0)),""))</f>
        <v/>
      </c>
      <c r="I34" s="10">
        <f>IF(H34="","",INDEX(BANK_CLEAN!$B$2:$B$1001,H34))</f>
        <v/>
      </c>
      <c r="J34" s="14">
        <f>IF(H34="","",IF(F34="OUT",INDEX(BANK_CLEAN!$F$2:$F$1001,H34),INDEX(BANK_CLEAN!$E$2:$E$1001,H34)))</f>
        <v/>
      </c>
      <c r="K34" s="14">
        <f>IF(H34="","",ABS(E34-J34))</f>
        <v/>
      </c>
      <c r="L34" s="11">
        <f>IF(OR(H34="",B34="",I34=""),"",ABS(B34-I34))</f>
        <v/>
      </c>
      <c r="M34" s="15">
        <f>IF(H34="",0,LET(pct,IF(E34&gt;0,K34/E34,1),days,IFERROR(L34,999),100-pct*200-days*3))</f>
        <v/>
      </c>
      <c r="N34" s="11">
        <f>IF(A34="","",IF(H34="","Unmatched GL",IF(AND(K34&lt;=Tol_Amount,L34&lt;=Tol_Days),"Matched",IF(M34&gt;Tol_NearPct,"Near Match","Unmatched GL"))))</f>
        <v/>
      </c>
    </row>
    <row r="35">
      <c r="A35" s="13">
        <f>IF(GL_CLEAN!A35="","",GL_CLEAN!A35)</f>
        <v/>
      </c>
      <c r="B35" s="10">
        <f>IF(A35="","",GL_CLEAN!B35)</f>
        <v/>
      </c>
      <c r="C35" s="11">
        <f>IF(A35="","",GL_CLEAN!C35)</f>
        <v/>
      </c>
      <c r="D35" s="14">
        <f>IF(A35="","",GL_CLEAN!H35)</f>
        <v/>
      </c>
      <c r="E35" s="14">
        <f>IF(A35="","",GL_CLEAN!I35)</f>
        <v/>
      </c>
      <c r="F35" s="11">
        <f>IF(A35="","",GL_CLEAN!J35)</f>
        <v/>
      </c>
      <c r="G35" s="11">
        <f>IF(A35="","",IF(F35="OUT","DR","CR"))</f>
        <v/>
      </c>
      <c r="H35" s="11">
        <f>IF(A35="","",IFERROR(INDEX(BANK_CLEAN!$A$2:$A$1001,MATCH(MINIFS(BANK_CLEAN!$J$2:$J$1001,BANK_CLEAN!$H$2:$H$1001,G35,BANK_CLEAN!$L$2:$L$1001,""),BANK_CLEAN!$J$2:$J$1001,0)),""))</f>
        <v/>
      </c>
      <c r="I35" s="10">
        <f>IF(H35="","",INDEX(BANK_CLEAN!$B$2:$B$1001,H35))</f>
        <v/>
      </c>
      <c r="J35" s="14">
        <f>IF(H35="","",IF(F35="OUT",INDEX(BANK_CLEAN!$F$2:$F$1001,H35),INDEX(BANK_CLEAN!$E$2:$E$1001,H35)))</f>
        <v/>
      </c>
      <c r="K35" s="14">
        <f>IF(H35="","",ABS(E35-J35))</f>
        <v/>
      </c>
      <c r="L35" s="11">
        <f>IF(OR(H35="",B35="",I35=""),"",ABS(B35-I35))</f>
        <v/>
      </c>
      <c r="M35" s="15">
        <f>IF(H35="",0,LET(pct,IF(E35&gt;0,K35/E35,1),days,IFERROR(L35,999),100-pct*200-days*3))</f>
        <v/>
      </c>
      <c r="N35" s="11">
        <f>IF(A35="","",IF(H35="","Unmatched GL",IF(AND(K35&lt;=Tol_Amount,L35&lt;=Tol_Days),"Matched",IF(M35&gt;Tol_NearPct,"Near Match","Unmatched GL"))))</f>
        <v/>
      </c>
    </row>
    <row r="36">
      <c r="A36" s="13">
        <f>IF(GL_CLEAN!A36="","",GL_CLEAN!A36)</f>
        <v/>
      </c>
      <c r="B36" s="10">
        <f>IF(A36="","",GL_CLEAN!B36)</f>
        <v/>
      </c>
      <c r="C36" s="11">
        <f>IF(A36="","",GL_CLEAN!C36)</f>
        <v/>
      </c>
      <c r="D36" s="14">
        <f>IF(A36="","",GL_CLEAN!H36)</f>
        <v/>
      </c>
      <c r="E36" s="14">
        <f>IF(A36="","",GL_CLEAN!I36)</f>
        <v/>
      </c>
      <c r="F36" s="11">
        <f>IF(A36="","",GL_CLEAN!J36)</f>
        <v/>
      </c>
      <c r="G36" s="11">
        <f>IF(A36="","",IF(F36="OUT","DR","CR"))</f>
        <v/>
      </c>
      <c r="H36" s="11">
        <f>IF(A36="","",IFERROR(INDEX(BANK_CLEAN!$A$2:$A$1001,MATCH(MINIFS(BANK_CLEAN!$J$2:$J$1001,BANK_CLEAN!$H$2:$H$1001,G36,BANK_CLEAN!$L$2:$L$1001,""),BANK_CLEAN!$J$2:$J$1001,0)),""))</f>
        <v/>
      </c>
      <c r="I36" s="10">
        <f>IF(H36="","",INDEX(BANK_CLEAN!$B$2:$B$1001,H36))</f>
        <v/>
      </c>
      <c r="J36" s="14">
        <f>IF(H36="","",IF(F36="OUT",INDEX(BANK_CLEAN!$F$2:$F$1001,H36),INDEX(BANK_CLEAN!$E$2:$E$1001,H36)))</f>
        <v/>
      </c>
      <c r="K36" s="14">
        <f>IF(H36="","",ABS(E36-J36))</f>
        <v/>
      </c>
      <c r="L36" s="11">
        <f>IF(OR(H36="",B36="",I36=""),"",ABS(B36-I36))</f>
        <v/>
      </c>
      <c r="M36" s="15">
        <f>IF(H36="",0,LET(pct,IF(E36&gt;0,K36/E36,1),days,IFERROR(L36,999),100-pct*200-days*3))</f>
        <v/>
      </c>
      <c r="N36" s="11">
        <f>IF(A36="","",IF(H36="","Unmatched GL",IF(AND(K36&lt;=Tol_Amount,L36&lt;=Tol_Days),"Matched",IF(M36&gt;Tol_NearPct,"Near Match","Unmatched GL"))))</f>
        <v/>
      </c>
    </row>
    <row r="37">
      <c r="A37" s="13">
        <f>IF(GL_CLEAN!A37="","",GL_CLEAN!A37)</f>
        <v/>
      </c>
      <c r="B37" s="10">
        <f>IF(A37="","",GL_CLEAN!B37)</f>
        <v/>
      </c>
      <c r="C37" s="11">
        <f>IF(A37="","",GL_CLEAN!C37)</f>
        <v/>
      </c>
      <c r="D37" s="14">
        <f>IF(A37="","",GL_CLEAN!H37)</f>
        <v/>
      </c>
      <c r="E37" s="14">
        <f>IF(A37="","",GL_CLEAN!I37)</f>
        <v/>
      </c>
      <c r="F37" s="11">
        <f>IF(A37="","",GL_CLEAN!J37)</f>
        <v/>
      </c>
      <c r="G37" s="11">
        <f>IF(A37="","",IF(F37="OUT","DR","CR"))</f>
        <v/>
      </c>
      <c r="H37" s="11">
        <f>IF(A37="","",IFERROR(INDEX(BANK_CLEAN!$A$2:$A$1001,MATCH(MINIFS(BANK_CLEAN!$J$2:$J$1001,BANK_CLEAN!$H$2:$H$1001,G37,BANK_CLEAN!$L$2:$L$1001,""),BANK_CLEAN!$J$2:$J$1001,0)),""))</f>
        <v/>
      </c>
      <c r="I37" s="10">
        <f>IF(H37="","",INDEX(BANK_CLEAN!$B$2:$B$1001,H37))</f>
        <v/>
      </c>
      <c r="J37" s="14">
        <f>IF(H37="","",IF(F37="OUT",INDEX(BANK_CLEAN!$F$2:$F$1001,H37),INDEX(BANK_CLEAN!$E$2:$E$1001,H37)))</f>
        <v/>
      </c>
      <c r="K37" s="14">
        <f>IF(H37="","",ABS(E37-J37))</f>
        <v/>
      </c>
      <c r="L37" s="11">
        <f>IF(OR(H37="",B37="",I37=""),"",ABS(B37-I37))</f>
        <v/>
      </c>
      <c r="M37" s="15">
        <f>IF(H37="",0,LET(pct,IF(E37&gt;0,K37/E37,1),days,IFERROR(L37,999),100-pct*200-days*3))</f>
        <v/>
      </c>
      <c r="N37" s="11">
        <f>IF(A37="","",IF(H37="","Unmatched GL",IF(AND(K37&lt;=Tol_Amount,L37&lt;=Tol_Days),"Matched",IF(M37&gt;Tol_NearPct,"Near Match","Unmatched GL"))))</f>
        <v/>
      </c>
    </row>
    <row r="38">
      <c r="A38" s="13">
        <f>IF(GL_CLEAN!A38="","",GL_CLEAN!A38)</f>
        <v/>
      </c>
      <c r="B38" s="10">
        <f>IF(A38="","",GL_CLEAN!B38)</f>
        <v/>
      </c>
      <c r="C38" s="11">
        <f>IF(A38="","",GL_CLEAN!C38)</f>
        <v/>
      </c>
      <c r="D38" s="14">
        <f>IF(A38="","",GL_CLEAN!H38)</f>
        <v/>
      </c>
      <c r="E38" s="14">
        <f>IF(A38="","",GL_CLEAN!I38)</f>
        <v/>
      </c>
      <c r="F38" s="11">
        <f>IF(A38="","",GL_CLEAN!J38)</f>
        <v/>
      </c>
      <c r="G38" s="11">
        <f>IF(A38="","",IF(F38="OUT","DR","CR"))</f>
        <v/>
      </c>
      <c r="H38" s="11">
        <f>IF(A38="","",IFERROR(INDEX(BANK_CLEAN!$A$2:$A$1001,MATCH(MINIFS(BANK_CLEAN!$J$2:$J$1001,BANK_CLEAN!$H$2:$H$1001,G38,BANK_CLEAN!$L$2:$L$1001,""),BANK_CLEAN!$J$2:$J$1001,0)),""))</f>
        <v/>
      </c>
      <c r="I38" s="10">
        <f>IF(H38="","",INDEX(BANK_CLEAN!$B$2:$B$1001,H38))</f>
        <v/>
      </c>
      <c r="J38" s="14">
        <f>IF(H38="","",IF(F38="OUT",INDEX(BANK_CLEAN!$F$2:$F$1001,H38),INDEX(BANK_CLEAN!$E$2:$E$1001,H38)))</f>
        <v/>
      </c>
      <c r="K38" s="14">
        <f>IF(H38="","",ABS(E38-J38))</f>
        <v/>
      </c>
      <c r="L38" s="11">
        <f>IF(OR(H38="",B38="",I38=""),"",ABS(B38-I38))</f>
        <v/>
      </c>
      <c r="M38" s="15">
        <f>IF(H38="",0,LET(pct,IF(E38&gt;0,K38/E38,1),days,IFERROR(L38,999),100-pct*200-days*3))</f>
        <v/>
      </c>
      <c r="N38" s="11">
        <f>IF(A38="","",IF(H38="","Unmatched GL",IF(AND(K38&lt;=Tol_Amount,L38&lt;=Tol_Days),"Matched",IF(M38&gt;Tol_NearPct,"Near Match","Unmatched GL"))))</f>
        <v/>
      </c>
    </row>
    <row r="39">
      <c r="A39" s="13">
        <f>IF(GL_CLEAN!A39="","",GL_CLEAN!A39)</f>
        <v/>
      </c>
      <c r="B39" s="10">
        <f>IF(A39="","",GL_CLEAN!B39)</f>
        <v/>
      </c>
      <c r="C39" s="11">
        <f>IF(A39="","",GL_CLEAN!C39)</f>
        <v/>
      </c>
      <c r="D39" s="14">
        <f>IF(A39="","",GL_CLEAN!H39)</f>
        <v/>
      </c>
      <c r="E39" s="14">
        <f>IF(A39="","",GL_CLEAN!I39)</f>
        <v/>
      </c>
      <c r="F39" s="11">
        <f>IF(A39="","",GL_CLEAN!J39)</f>
        <v/>
      </c>
      <c r="G39" s="11">
        <f>IF(A39="","",IF(F39="OUT","DR","CR"))</f>
        <v/>
      </c>
      <c r="H39" s="11">
        <f>IF(A39="","",IFERROR(INDEX(BANK_CLEAN!$A$2:$A$1001,MATCH(MINIFS(BANK_CLEAN!$J$2:$J$1001,BANK_CLEAN!$H$2:$H$1001,G39,BANK_CLEAN!$L$2:$L$1001,""),BANK_CLEAN!$J$2:$J$1001,0)),""))</f>
        <v/>
      </c>
      <c r="I39" s="10">
        <f>IF(H39="","",INDEX(BANK_CLEAN!$B$2:$B$1001,H39))</f>
        <v/>
      </c>
      <c r="J39" s="14">
        <f>IF(H39="","",IF(F39="OUT",INDEX(BANK_CLEAN!$F$2:$F$1001,H39),INDEX(BANK_CLEAN!$E$2:$E$1001,H39)))</f>
        <v/>
      </c>
      <c r="K39" s="14">
        <f>IF(H39="","",ABS(E39-J39))</f>
        <v/>
      </c>
      <c r="L39" s="11">
        <f>IF(OR(H39="",B39="",I39=""),"",ABS(B39-I39))</f>
        <v/>
      </c>
      <c r="M39" s="15">
        <f>IF(H39="",0,LET(pct,IF(E39&gt;0,K39/E39,1),days,IFERROR(L39,999),100-pct*200-days*3))</f>
        <v/>
      </c>
      <c r="N39" s="11">
        <f>IF(A39="","",IF(H39="","Unmatched GL",IF(AND(K39&lt;=Tol_Amount,L39&lt;=Tol_Days),"Matched",IF(M39&gt;Tol_NearPct,"Near Match","Unmatched GL"))))</f>
        <v/>
      </c>
    </row>
    <row r="40">
      <c r="A40" s="13">
        <f>IF(GL_CLEAN!A40="","",GL_CLEAN!A40)</f>
        <v/>
      </c>
      <c r="B40" s="10">
        <f>IF(A40="","",GL_CLEAN!B40)</f>
        <v/>
      </c>
      <c r="C40" s="11">
        <f>IF(A40="","",GL_CLEAN!C40)</f>
        <v/>
      </c>
      <c r="D40" s="14">
        <f>IF(A40="","",GL_CLEAN!H40)</f>
        <v/>
      </c>
      <c r="E40" s="14">
        <f>IF(A40="","",GL_CLEAN!I40)</f>
        <v/>
      </c>
      <c r="F40" s="11">
        <f>IF(A40="","",GL_CLEAN!J40)</f>
        <v/>
      </c>
      <c r="G40" s="11">
        <f>IF(A40="","",IF(F40="OUT","DR","CR"))</f>
        <v/>
      </c>
      <c r="H40" s="11">
        <f>IF(A40="","",IFERROR(INDEX(BANK_CLEAN!$A$2:$A$1001,MATCH(MINIFS(BANK_CLEAN!$J$2:$J$1001,BANK_CLEAN!$H$2:$H$1001,G40,BANK_CLEAN!$L$2:$L$1001,""),BANK_CLEAN!$J$2:$J$1001,0)),""))</f>
        <v/>
      </c>
      <c r="I40" s="10">
        <f>IF(H40="","",INDEX(BANK_CLEAN!$B$2:$B$1001,H40))</f>
        <v/>
      </c>
      <c r="J40" s="14">
        <f>IF(H40="","",IF(F40="OUT",INDEX(BANK_CLEAN!$F$2:$F$1001,H40),INDEX(BANK_CLEAN!$E$2:$E$1001,H40)))</f>
        <v/>
      </c>
      <c r="K40" s="14">
        <f>IF(H40="","",ABS(E40-J40))</f>
        <v/>
      </c>
      <c r="L40" s="11">
        <f>IF(OR(H40="",B40="",I40=""),"",ABS(B40-I40))</f>
        <v/>
      </c>
      <c r="M40" s="15">
        <f>IF(H40="",0,LET(pct,IF(E40&gt;0,K40/E40,1),days,IFERROR(L40,999),100-pct*200-days*3))</f>
        <v/>
      </c>
      <c r="N40" s="11">
        <f>IF(A40="","",IF(H40="","Unmatched GL",IF(AND(K40&lt;=Tol_Amount,L40&lt;=Tol_Days),"Matched",IF(M40&gt;Tol_NearPct,"Near Match","Unmatched GL"))))</f>
        <v/>
      </c>
    </row>
    <row r="41">
      <c r="A41" s="13">
        <f>IF(GL_CLEAN!A41="","",GL_CLEAN!A41)</f>
        <v/>
      </c>
      <c r="B41" s="10">
        <f>IF(A41="","",GL_CLEAN!B41)</f>
        <v/>
      </c>
      <c r="C41" s="11">
        <f>IF(A41="","",GL_CLEAN!C41)</f>
        <v/>
      </c>
      <c r="D41" s="14">
        <f>IF(A41="","",GL_CLEAN!H41)</f>
        <v/>
      </c>
      <c r="E41" s="14">
        <f>IF(A41="","",GL_CLEAN!I41)</f>
        <v/>
      </c>
      <c r="F41" s="11">
        <f>IF(A41="","",GL_CLEAN!J41)</f>
        <v/>
      </c>
      <c r="G41" s="11">
        <f>IF(A41="","",IF(F41="OUT","DR","CR"))</f>
        <v/>
      </c>
      <c r="H41" s="11">
        <f>IF(A41="","",IFERROR(INDEX(BANK_CLEAN!$A$2:$A$1001,MATCH(MINIFS(BANK_CLEAN!$J$2:$J$1001,BANK_CLEAN!$H$2:$H$1001,G41,BANK_CLEAN!$L$2:$L$1001,""),BANK_CLEAN!$J$2:$J$1001,0)),""))</f>
        <v/>
      </c>
      <c r="I41" s="10">
        <f>IF(H41="","",INDEX(BANK_CLEAN!$B$2:$B$1001,H41))</f>
        <v/>
      </c>
      <c r="J41" s="14">
        <f>IF(H41="","",IF(F41="OUT",INDEX(BANK_CLEAN!$F$2:$F$1001,H41),INDEX(BANK_CLEAN!$E$2:$E$1001,H41)))</f>
        <v/>
      </c>
      <c r="K41" s="14">
        <f>IF(H41="","",ABS(E41-J41))</f>
        <v/>
      </c>
      <c r="L41" s="11">
        <f>IF(OR(H41="",B41="",I41=""),"",ABS(B41-I41))</f>
        <v/>
      </c>
      <c r="M41" s="15">
        <f>IF(H41="",0,LET(pct,IF(E41&gt;0,K41/E41,1),days,IFERROR(L41,999),100-pct*200-days*3))</f>
        <v/>
      </c>
      <c r="N41" s="11">
        <f>IF(A41="","",IF(H41="","Unmatched GL",IF(AND(K41&lt;=Tol_Amount,L41&lt;=Tol_Days),"Matched",IF(M41&gt;Tol_NearPct,"Near Match","Unmatched GL"))))</f>
        <v/>
      </c>
    </row>
    <row r="42">
      <c r="A42" s="13">
        <f>IF(GL_CLEAN!A42="","",GL_CLEAN!A42)</f>
        <v/>
      </c>
      <c r="B42" s="10">
        <f>IF(A42="","",GL_CLEAN!B42)</f>
        <v/>
      </c>
      <c r="C42" s="11">
        <f>IF(A42="","",GL_CLEAN!C42)</f>
        <v/>
      </c>
      <c r="D42" s="14">
        <f>IF(A42="","",GL_CLEAN!H42)</f>
        <v/>
      </c>
      <c r="E42" s="14">
        <f>IF(A42="","",GL_CLEAN!I42)</f>
        <v/>
      </c>
      <c r="F42" s="11">
        <f>IF(A42="","",GL_CLEAN!J42)</f>
        <v/>
      </c>
      <c r="G42" s="11">
        <f>IF(A42="","",IF(F42="OUT","DR","CR"))</f>
        <v/>
      </c>
      <c r="H42" s="11">
        <f>IF(A42="","",IFERROR(INDEX(BANK_CLEAN!$A$2:$A$1001,MATCH(MINIFS(BANK_CLEAN!$J$2:$J$1001,BANK_CLEAN!$H$2:$H$1001,G42,BANK_CLEAN!$L$2:$L$1001,""),BANK_CLEAN!$J$2:$J$1001,0)),""))</f>
        <v/>
      </c>
      <c r="I42" s="10">
        <f>IF(H42="","",INDEX(BANK_CLEAN!$B$2:$B$1001,H42))</f>
        <v/>
      </c>
      <c r="J42" s="14">
        <f>IF(H42="","",IF(F42="OUT",INDEX(BANK_CLEAN!$F$2:$F$1001,H42),INDEX(BANK_CLEAN!$E$2:$E$1001,H42)))</f>
        <v/>
      </c>
      <c r="K42" s="14">
        <f>IF(H42="","",ABS(E42-J42))</f>
        <v/>
      </c>
      <c r="L42" s="11">
        <f>IF(OR(H42="",B42="",I42=""),"",ABS(B42-I42))</f>
        <v/>
      </c>
      <c r="M42" s="15">
        <f>IF(H42="",0,LET(pct,IF(E42&gt;0,K42/E42,1),days,IFERROR(L42,999),100-pct*200-days*3))</f>
        <v/>
      </c>
      <c r="N42" s="11">
        <f>IF(A42="","",IF(H42="","Unmatched GL",IF(AND(K42&lt;=Tol_Amount,L42&lt;=Tol_Days),"Matched",IF(M42&gt;Tol_NearPct,"Near Match","Unmatched GL"))))</f>
        <v/>
      </c>
    </row>
    <row r="43">
      <c r="A43" s="13">
        <f>IF(GL_CLEAN!A43="","",GL_CLEAN!A43)</f>
        <v/>
      </c>
      <c r="B43" s="10">
        <f>IF(A43="","",GL_CLEAN!B43)</f>
        <v/>
      </c>
      <c r="C43" s="11">
        <f>IF(A43="","",GL_CLEAN!C43)</f>
        <v/>
      </c>
      <c r="D43" s="14">
        <f>IF(A43="","",GL_CLEAN!H43)</f>
        <v/>
      </c>
      <c r="E43" s="14">
        <f>IF(A43="","",GL_CLEAN!I43)</f>
        <v/>
      </c>
      <c r="F43" s="11">
        <f>IF(A43="","",GL_CLEAN!J43)</f>
        <v/>
      </c>
      <c r="G43" s="11">
        <f>IF(A43="","",IF(F43="OUT","DR","CR"))</f>
        <v/>
      </c>
      <c r="H43" s="11">
        <f>IF(A43="","",IFERROR(INDEX(BANK_CLEAN!$A$2:$A$1001,MATCH(MINIFS(BANK_CLEAN!$J$2:$J$1001,BANK_CLEAN!$H$2:$H$1001,G43,BANK_CLEAN!$L$2:$L$1001,""),BANK_CLEAN!$J$2:$J$1001,0)),""))</f>
        <v/>
      </c>
      <c r="I43" s="10">
        <f>IF(H43="","",INDEX(BANK_CLEAN!$B$2:$B$1001,H43))</f>
        <v/>
      </c>
      <c r="J43" s="14">
        <f>IF(H43="","",IF(F43="OUT",INDEX(BANK_CLEAN!$F$2:$F$1001,H43),INDEX(BANK_CLEAN!$E$2:$E$1001,H43)))</f>
        <v/>
      </c>
      <c r="K43" s="14">
        <f>IF(H43="","",ABS(E43-J43))</f>
        <v/>
      </c>
      <c r="L43" s="11">
        <f>IF(OR(H43="",B43="",I43=""),"",ABS(B43-I43))</f>
        <v/>
      </c>
      <c r="M43" s="15">
        <f>IF(H43="",0,LET(pct,IF(E43&gt;0,K43/E43,1),days,IFERROR(L43,999),100-pct*200-days*3))</f>
        <v/>
      </c>
      <c r="N43" s="11">
        <f>IF(A43="","",IF(H43="","Unmatched GL",IF(AND(K43&lt;=Tol_Amount,L43&lt;=Tol_Days),"Matched",IF(M43&gt;Tol_NearPct,"Near Match","Unmatched GL"))))</f>
        <v/>
      </c>
    </row>
    <row r="44">
      <c r="A44" s="13">
        <f>IF(GL_CLEAN!A44="","",GL_CLEAN!A44)</f>
        <v/>
      </c>
      <c r="B44" s="10">
        <f>IF(A44="","",GL_CLEAN!B44)</f>
        <v/>
      </c>
      <c r="C44" s="11">
        <f>IF(A44="","",GL_CLEAN!C44)</f>
        <v/>
      </c>
      <c r="D44" s="14">
        <f>IF(A44="","",GL_CLEAN!H44)</f>
        <v/>
      </c>
      <c r="E44" s="14">
        <f>IF(A44="","",GL_CLEAN!I44)</f>
        <v/>
      </c>
      <c r="F44" s="11">
        <f>IF(A44="","",GL_CLEAN!J44)</f>
        <v/>
      </c>
      <c r="G44" s="11">
        <f>IF(A44="","",IF(F44="OUT","DR","CR"))</f>
        <v/>
      </c>
      <c r="H44" s="11">
        <f>IF(A44="","",IFERROR(INDEX(BANK_CLEAN!$A$2:$A$1001,MATCH(MINIFS(BANK_CLEAN!$J$2:$J$1001,BANK_CLEAN!$H$2:$H$1001,G44,BANK_CLEAN!$L$2:$L$1001,""),BANK_CLEAN!$J$2:$J$1001,0)),""))</f>
        <v/>
      </c>
      <c r="I44" s="10">
        <f>IF(H44="","",INDEX(BANK_CLEAN!$B$2:$B$1001,H44))</f>
        <v/>
      </c>
      <c r="J44" s="14">
        <f>IF(H44="","",IF(F44="OUT",INDEX(BANK_CLEAN!$F$2:$F$1001,H44),INDEX(BANK_CLEAN!$E$2:$E$1001,H44)))</f>
        <v/>
      </c>
      <c r="K44" s="14">
        <f>IF(H44="","",ABS(E44-J44))</f>
        <v/>
      </c>
      <c r="L44" s="11">
        <f>IF(OR(H44="",B44="",I44=""),"",ABS(B44-I44))</f>
        <v/>
      </c>
      <c r="M44" s="15">
        <f>IF(H44="",0,LET(pct,IF(E44&gt;0,K44/E44,1),days,IFERROR(L44,999),100-pct*200-days*3))</f>
        <v/>
      </c>
      <c r="N44" s="11">
        <f>IF(A44="","",IF(H44="","Unmatched GL",IF(AND(K44&lt;=Tol_Amount,L44&lt;=Tol_Days),"Matched",IF(M44&gt;Tol_NearPct,"Near Match","Unmatched GL"))))</f>
        <v/>
      </c>
    </row>
    <row r="45">
      <c r="A45" s="13">
        <f>IF(GL_CLEAN!A45="","",GL_CLEAN!A45)</f>
        <v/>
      </c>
      <c r="B45" s="10">
        <f>IF(A45="","",GL_CLEAN!B45)</f>
        <v/>
      </c>
      <c r="C45" s="11">
        <f>IF(A45="","",GL_CLEAN!C45)</f>
        <v/>
      </c>
      <c r="D45" s="14">
        <f>IF(A45="","",GL_CLEAN!H45)</f>
        <v/>
      </c>
      <c r="E45" s="14">
        <f>IF(A45="","",GL_CLEAN!I45)</f>
        <v/>
      </c>
      <c r="F45" s="11">
        <f>IF(A45="","",GL_CLEAN!J45)</f>
        <v/>
      </c>
      <c r="G45" s="11">
        <f>IF(A45="","",IF(F45="OUT","DR","CR"))</f>
        <v/>
      </c>
      <c r="H45" s="11">
        <f>IF(A45="","",IFERROR(INDEX(BANK_CLEAN!$A$2:$A$1001,MATCH(MINIFS(BANK_CLEAN!$J$2:$J$1001,BANK_CLEAN!$H$2:$H$1001,G45,BANK_CLEAN!$L$2:$L$1001,""),BANK_CLEAN!$J$2:$J$1001,0)),""))</f>
        <v/>
      </c>
      <c r="I45" s="10">
        <f>IF(H45="","",INDEX(BANK_CLEAN!$B$2:$B$1001,H45))</f>
        <v/>
      </c>
      <c r="J45" s="14">
        <f>IF(H45="","",IF(F45="OUT",INDEX(BANK_CLEAN!$F$2:$F$1001,H45),INDEX(BANK_CLEAN!$E$2:$E$1001,H45)))</f>
        <v/>
      </c>
      <c r="K45" s="14">
        <f>IF(H45="","",ABS(E45-J45))</f>
        <v/>
      </c>
      <c r="L45" s="11">
        <f>IF(OR(H45="",B45="",I45=""),"",ABS(B45-I45))</f>
        <v/>
      </c>
      <c r="M45" s="15">
        <f>IF(H45="",0,LET(pct,IF(E45&gt;0,K45/E45,1),days,IFERROR(L45,999),100-pct*200-days*3))</f>
        <v/>
      </c>
      <c r="N45" s="11">
        <f>IF(A45="","",IF(H45="","Unmatched GL",IF(AND(K45&lt;=Tol_Amount,L45&lt;=Tol_Days),"Matched",IF(M45&gt;Tol_NearPct,"Near Match","Unmatched GL"))))</f>
        <v/>
      </c>
    </row>
    <row r="46">
      <c r="A46" s="13">
        <f>IF(GL_CLEAN!A46="","",GL_CLEAN!A46)</f>
        <v/>
      </c>
      <c r="B46" s="10">
        <f>IF(A46="","",GL_CLEAN!B46)</f>
        <v/>
      </c>
      <c r="C46" s="11">
        <f>IF(A46="","",GL_CLEAN!C46)</f>
        <v/>
      </c>
      <c r="D46" s="14">
        <f>IF(A46="","",GL_CLEAN!H46)</f>
        <v/>
      </c>
      <c r="E46" s="14">
        <f>IF(A46="","",GL_CLEAN!I46)</f>
        <v/>
      </c>
      <c r="F46" s="11">
        <f>IF(A46="","",GL_CLEAN!J46)</f>
        <v/>
      </c>
      <c r="G46" s="11">
        <f>IF(A46="","",IF(F46="OUT","DR","CR"))</f>
        <v/>
      </c>
      <c r="H46" s="11">
        <f>IF(A46="","",IFERROR(INDEX(BANK_CLEAN!$A$2:$A$1001,MATCH(MINIFS(BANK_CLEAN!$J$2:$J$1001,BANK_CLEAN!$H$2:$H$1001,G46,BANK_CLEAN!$L$2:$L$1001,""),BANK_CLEAN!$J$2:$J$1001,0)),""))</f>
        <v/>
      </c>
      <c r="I46" s="10">
        <f>IF(H46="","",INDEX(BANK_CLEAN!$B$2:$B$1001,H46))</f>
        <v/>
      </c>
      <c r="J46" s="14">
        <f>IF(H46="","",IF(F46="OUT",INDEX(BANK_CLEAN!$F$2:$F$1001,H46),INDEX(BANK_CLEAN!$E$2:$E$1001,H46)))</f>
        <v/>
      </c>
      <c r="K46" s="14">
        <f>IF(H46="","",ABS(E46-J46))</f>
        <v/>
      </c>
      <c r="L46" s="11">
        <f>IF(OR(H46="",B46="",I46=""),"",ABS(B46-I46))</f>
        <v/>
      </c>
      <c r="M46" s="15">
        <f>IF(H46="",0,LET(pct,IF(E46&gt;0,K46/E46,1),days,IFERROR(L46,999),100-pct*200-days*3))</f>
        <v/>
      </c>
      <c r="N46" s="11">
        <f>IF(A46="","",IF(H46="","Unmatched GL",IF(AND(K46&lt;=Tol_Amount,L46&lt;=Tol_Days),"Matched",IF(M46&gt;Tol_NearPct,"Near Match","Unmatched GL"))))</f>
        <v/>
      </c>
    </row>
    <row r="47">
      <c r="A47" s="13">
        <f>IF(GL_CLEAN!A47="","",GL_CLEAN!A47)</f>
        <v/>
      </c>
      <c r="B47" s="10">
        <f>IF(A47="","",GL_CLEAN!B47)</f>
        <v/>
      </c>
      <c r="C47" s="11">
        <f>IF(A47="","",GL_CLEAN!C47)</f>
        <v/>
      </c>
      <c r="D47" s="14">
        <f>IF(A47="","",GL_CLEAN!H47)</f>
        <v/>
      </c>
      <c r="E47" s="14">
        <f>IF(A47="","",GL_CLEAN!I47)</f>
        <v/>
      </c>
      <c r="F47" s="11">
        <f>IF(A47="","",GL_CLEAN!J47)</f>
        <v/>
      </c>
      <c r="G47" s="11">
        <f>IF(A47="","",IF(F47="OUT","DR","CR"))</f>
        <v/>
      </c>
      <c r="H47" s="11">
        <f>IF(A47="","",IFERROR(INDEX(BANK_CLEAN!$A$2:$A$1001,MATCH(MINIFS(BANK_CLEAN!$J$2:$J$1001,BANK_CLEAN!$H$2:$H$1001,G47,BANK_CLEAN!$L$2:$L$1001,""),BANK_CLEAN!$J$2:$J$1001,0)),""))</f>
        <v/>
      </c>
      <c r="I47" s="10">
        <f>IF(H47="","",INDEX(BANK_CLEAN!$B$2:$B$1001,H47))</f>
        <v/>
      </c>
      <c r="J47" s="14">
        <f>IF(H47="","",IF(F47="OUT",INDEX(BANK_CLEAN!$F$2:$F$1001,H47),INDEX(BANK_CLEAN!$E$2:$E$1001,H47)))</f>
        <v/>
      </c>
      <c r="K47" s="14">
        <f>IF(H47="","",ABS(E47-J47))</f>
        <v/>
      </c>
      <c r="L47" s="11">
        <f>IF(OR(H47="",B47="",I47=""),"",ABS(B47-I47))</f>
        <v/>
      </c>
      <c r="M47" s="15">
        <f>IF(H47="",0,LET(pct,IF(E47&gt;0,K47/E47,1),days,IFERROR(L47,999),100-pct*200-days*3))</f>
        <v/>
      </c>
      <c r="N47" s="11">
        <f>IF(A47="","",IF(H47="","Unmatched GL",IF(AND(K47&lt;=Tol_Amount,L47&lt;=Tol_Days),"Matched",IF(M47&gt;Tol_NearPct,"Near Match","Unmatched GL"))))</f>
        <v/>
      </c>
    </row>
    <row r="48">
      <c r="A48" s="13">
        <f>IF(GL_CLEAN!A48="","",GL_CLEAN!A48)</f>
        <v/>
      </c>
      <c r="B48" s="10">
        <f>IF(A48="","",GL_CLEAN!B48)</f>
        <v/>
      </c>
      <c r="C48" s="11">
        <f>IF(A48="","",GL_CLEAN!C48)</f>
        <v/>
      </c>
      <c r="D48" s="14">
        <f>IF(A48="","",GL_CLEAN!H48)</f>
        <v/>
      </c>
      <c r="E48" s="14">
        <f>IF(A48="","",GL_CLEAN!I48)</f>
        <v/>
      </c>
      <c r="F48" s="11">
        <f>IF(A48="","",GL_CLEAN!J48)</f>
        <v/>
      </c>
      <c r="G48" s="11">
        <f>IF(A48="","",IF(F48="OUT","DR","CR"))</f>
        <v/>
      </c>
      <c r="H48" s="11">
        <f>IF(A48="","",IFERROR(INDEX(BANK_CLEAN!$A$2:$A$1001,MATCH(MINIFS(BANK_CLEAN!$J$2:$J$1001,BANK_CLEAN!$H$2:$H$1001,G48,BANK_CLEAN!$L$2:$L$1001,""),BANK_CLEAN!$J$2:$J$1001,0)),""))</f>
        <v/>
      </c>
      <c r="I48" s="10">
        <f>IF(H48="","",INDEX(BANK_CLEAN!$B$2:$B$1001,H48))</f>
        <v/>
      </c>
      <c r="J48" s="14">
        <f>IF(H48="","",IF(F48="OUT",INDEX(BANK_CLEAN!$F$2:$F$1001,H48),INDEX(BANK_CLEAN!$E$2:$E$1001,H48)))</f>
        <v/>
      </c>
      <c r="K48" s="14">
        <f>IF(H48="","",ABS(E48-J48))</f>
        <v/>
      </c>
      <c r="L48" s="11">
        <f>IF(OR(H48="",B48="",I48=""),"",ABS(B48-I48))</f>
        <v/>
      </c>
      <c r="M48" s="15">
        <f>IF(H48="",0,LET(pct,IF(E48&gt;0,K48/E48,1),days,IFERROR(L48,999),100-pct*200-days*3))</f>
        <v/>
      </c>
      <c r="N48" s="11">
        <f>IF(A48="","",IF(H48="","Unmatched GL",IF(AND(K48&lt;=Tol_Amount,L48&lt;=Tol_Days),"Matched",IF(M48&gt;Tol_NearPct,"Near Match","Unmatched GL"))))</f>
        <v/>
      </c>
    </row>
    <row r="49">
      <c r="A49" s="13">
        <f>IF(GL_CLEAN!A49="","",GL_CLEAN!A49)</f>
        <v/>
      </c>
      <c r="B49" s="10">
        <f>IF(A49="","",GL_CLEAN!B49)</f>
        <v/>
      </c>
      <c r="C49" s="11">
        <f>IF(A49="","",GL_CLEAN!C49)</f>
        <v/>
      </c>
      <c r="D49" s="14">
        <f>IF(A49="","",GL_CLEAN!H49)</f>
        <v/>
      </c>
      <c r="E49" s="14">
        <f>IF(A49="","",GL_CLEAN!I49)</f>
        <v/>
      </c>
      <c r="F49" s="11">
        <f>IF(A49="","",GL_CLEAN!J49)</f>
        <v/>
      </c>
      <c r="G49" s="11">
        <f>IF(A49="","",IF(F49="OUT","DR","CR"))</f>
        <v/>
      </c>
      <c r="H49" s="11">
        <f>IF(A49="","",IFERROR(INDEX(BANK_CLEAN!$A$2:$A$1001,MATCH(MINIFS(BANK_CLEAN!$J$2:$J$1001,BANK_CLEAN!$H$2:$H$1001,G49,BANK_CLEAN!$L$2:$L$1001,""),BANK_CLEAN!$J$2:$J$1001,0)),""))</f>
        <v/>
      </c>
      <c r="I49" s="10">
        <f>IF(H49="","",INDEX(BANK_CLEAN!$B$2:$B$1001,H49))</f>
        <v/>
      </c>
      <c r="J49" s="14">
        <f>IF(H49="","",IF(F49="OUT",INDEX(BANK_CLEAN!$F$2:$F$1001,H49),INDEX(BANK_CLEAN!$E$2:$E$1001,H49)))</f>
        <v/>
      </c>
      <c r="K49" s="14">
        <f>IF(H49="","",ABS(E49-J49))</f>
        <v/>
      </c>
      <c r="L49" s="11">
        <f>IF(OR(H49="",B49="",I49=""),"",ABS(B49-I49))</f>
        <v/>
      </c>
      <c r="M49" s="15">
        <f>IF(H49="",0,LET(pct,IF(E49&gt;0,K49/E49,1),days,IFERROR(L49,999),100-pct*200-days*3))</f>
        <v/>
      </c>
      <c r="N49" s="11">
        <f>IF(A49="","",IF(H49="","Unmatched GL",IF(AND(K49&lt;=Tol_Amount,L49&lt;=Tol_Days),"Matched",IF(M49&gt;Tol_NearPct,"Near Match","Unmatched GL"))))</f>
        <v/>
      </c>
    </row>
    <row r="50">
      <c r="A50" s="13">
        <f>IF(GL_CLEAN!A50="","",GL_CLEAN!A50)</f>
        <v/>
      </c>
      <c r="B50" s="10">
        <f>IF(A50="","",GL_CLEAN!B50)</f>
        <v/>
      </c>
      <c r="C50" s="11">
        <f>IF(A50="","",GL_CLEAN!C50)</f>
        <v/>
      </c>
      <c r="D50" s="14">
        <f>IF(A50="","",GL_CLEAN!H50)</f>
        <v/>
      </c>
      <c r="E50" s="14">
        <f>IF(A50="","",GL_CLEAN!I50)</f>
        <v/>
      </c>
      <c r="F50" s="11">
        <f>IF(A50="","",GL_CLEAN!J50)</f>
        <v/>
      </c>
      <c r="G50" s="11">
        <f>IF(A50="","",IF(F50="OUT","DR","CR"))</f>
        <v/>
      </c>
      <c r="H50" s="11">
        <f>IF(A50="","",IFERROR(INDEX(BANK_CLEAN!$A$2:$A$1001,MATCH(MINIFS(BANK_CLEAN!$J$2:$J$1001,BANK_CLEAN!$H$2:$H$1001,G50,BANK_CLEAN!$L$2:$L$1001,""),BANK_CLEAN!$J$2:$J$1001,0)),""))</f>
        <v/>
      </c>
      <c r="I50" s="10">
        <f>IF(H50="","",INDEX(BANK_CLEAN!$B$2:$B$1001,H50))</f>
        <v/>
      </c>
      <c r="J50" s="14">
        <f>IF(H50="","",IF(F50="OUT",INDEX(BANK_CLEAN!$F$2:$F$1001,H50),INDEX(BANK_CLEAN!$E$2:$E$1001,H50)))</f>
        <v/>
      </c>
      <c r="K50" s="14">
        <f>IF(H50="","",ABS(E50-J50))</f>
        <v/>
      </c>
      <c r="L50" s="11">
        <f>IF(OR(H50="",B50="",I50=""),"",ABS(B50-I50))</f>
        <v/>
      </c>
      <c r="M50" s="15">
        <f>IF(H50="",0,LET(pct,IF(E50&gt;0,K50/E50,1),days,IFERROR(L50,999),100-pct*200-days*3))</f>
        <v/>
      </c>
      <c r="N50" s="11">
        <f>IF(A50="","",IF(H50="","Unmatched GL",IF(AND(K50&lt;=Tol_Amount,L50&lt;=Tol_Days),"Matched",IF(M50&gt;Tol_NearPct,"Near Match","Unmatched GL"))))</f>
        <v/>
      </c>
    </row>
    <row r="51">
      <c r="A51" s="13">
        <f>IF(GL_CLEAN!A51="","",GL_CLEAN!A51)</f>
        <v/>
      </c>
      <c r="B51" s="10">
        <f>IF(A51="","",GL_CLEAN!B51)</f>
        <v/>
      </c>
      <c r="C51" s="11">
        <f>IF(A51="","",GL_CLEAN!C51)</f>
        <v/>
      </c>
      <c r="D51" s="14">
        <f>IF(A51="","",GL_CLEAN!H51)</f>
        <v/>
      </c>
      <c r="E51" s="14">
        <f>IF(A51="","",GL_CLEAN!I51)</f>
        <v/>
      </c>
      <c r="F51" s="11">
        <f>IF(A51="","",GL_CLEAN!J51)</f>
        <v/>
      </c>
      <c r="G51" s="11">
        <f>IF(A51="","",IF(F51="OUT","DR","CR"))</f>
        <v/>
      </c>
      <c r="H51" s="11">
        <f>IF(A51="","",IFERROR(INDEX(BANK_CLEAN!$A$2:$A$1001,MATCH(MINIFS(BANK_CLEAN!$J$2:$J$1001,BANK_CLEAN!$H$2:$H$1001,G51,BANK_CLEAN!$L$2:$L$1001,""),BANK_CLEAN!$J$2:$J$1001,0)),""))</f>
        <v/>
      </c>
      <c r="I51" s="10">
        <f>IF(H51="","",INDEX(BANK_CLEAN!$B$2:$B$1001,H51))</f>
        <v/>
      </c>
      <c r="J51" s="14">
        <f>IF(H51="","",IF(F51="OUT",INDEX(BANK_CLEAN!$F$2:$F$1001,H51),INDEX(BANK_CLEAN!$E$2:$E$1001,H51)))</f>
        <v/>
      </c>
      <c r="K51" s="14">
        <f>IF(H51="","",ABS(E51-J51))</f>
        <v/>
      </c>
      <c r="L51" s="11">
        <f>IF(OR(H51="",B51="",I51=""),"",ABS(B51-I51))</f>
        <v/>
      </c>
      <c r="M51" s="15">
        <f>IF(H51="",0,LET(pct,IF(E51&gt;0,K51/E51,1),days,IFERROR(L51,999),100-pct*200-days*3))</f>
        <v/>
      </c>
      <c r="N51" s="11">
        <f>IF(A51="","",IF(H51="","Unmatched GL",IF(AND(K51&lt;=Tol_Amount,L51&lt;=Tol_Days),"Matched",IF(M51&gt;Tol_NearPct,"Near Match","Unmatched GL"))))</f>
        <v/>
      </c>
    </row>
    <row r="52">
      <c r="A52" s="13">
        <f>IF(GL_CLEAN!A52="","",GL_CLEAN!A52)</f>
        <v/>
      </c>
      <c r="B52" s="10">
        <f>IF(A52="","",GL_CLEAN!B52)</f>
        <v/>
      </c>
      <c r="C52" s="11">
        <f>IF(A52="","",GL_CLEAN!C52)</f>
        <v/>
      </c>
      <c r="D52" s="14">
        <f>IF(A52="","",GL_CLEAN!H52)</f>
        <v/>
      </c>
      <c r="E52" s="14">
        <f>IF(A52="","",GL_CLEAN!I52)</f>
        <v/>
      </c>
      <c r="F52" s="11">
        <f>IF(A52="","",GL_CLEAN!J52)</f>
        <v/>
      </c>
      <c r="G52" s="11">
        <f>IF(A52="","",IF(F52="OUT","DR","CR"))</f>
        <v/>
      </c>
      <c r="H52" s="11">
        <f>IF(A52="","",IFERROR(INDEX(BANK_CLEAN!$A$2:$A$1001,MATCH(MINIFS(BANK_CLEAN!$J$2:$J$1001,BANK_CLEAN!$H$2:$H$1001,G52,BANK_CLEAN!$L$2:$L$1001,""),BANK_CLEAN!$J$2:$J$1001,0)),""))</f>
        <v/>
      </c>
      <c r="I52" s="10">
        <f>IF(H52="","",INDEX(BANK_CLEAN!$B$2:$B$1001,H52))</f>
        <v/>
      </c>
      <c r="J52" s="14">
        <f>IF(H52="","",IF(F52="OUT",INDEX(BANK_CLEAN!$F$2:$F$1001,H52),INDEX(BANK_CLEAN!$E$2:$E$1001,H52)))</f>
        <v/>
      </c>
      <c r="K52" s="14">
        <f>IF(H52="","",ABS(E52-J52))</f>
        <v/>
      </c>
      <c r="L52" s="11">
        <f>IF(OR(H52="",B52="",I52=""),"",ABS(B52-I52))</f>
        <v/>
      </c>
      <c r="M52" s="15">
        <f>IF(H52="",0,LET(pct,IF(E52&gt;0,K52/E52,1),days,IFERROR(L52,999),100-pct*200-days*3))</f>
        <v/>
      </c>
      <c r="N52" s="11">
        <f>IF(A52="","",IF(H52="","Unmatched GL",IF(AND(K52&lt;=Tol_Amount,L52&lt;=Tol_Days),"Matched",IF(M52&gt;Tol_NearPct,"Near Match","Unmatched GL"))))</f>
        <v/>
      </c>
    </row>
    <row r="53">
      <c r="A53" s="13">
        <f>IF(GL_CLEAN!A53="","",GL_CLEAN!A53)</f>
        <v/>
      </c>
      <c r="B53" s="10">
        <f>IF(A53="","",GL_CLEAN!B53)</f>
        <v/>
      </c>
      <c r="C53" s="11">
        <f>IF(A53="","",GL_CLEAN!C53)</f>
        <v/>
      </c>
      <c r="D53" s="14">
        <f>IF(A53="","",GL_CLEAN!H53)</f>
        <v/>
      </c>
      <c r="E53" s="14">
        <f>IF(A53="","",GL_CLEAN!I53)</f>
        <v/>
      </c>
      <c r="F53" s="11">
        <f>IF(A53="","",GL_CLEAN!J53)</f>
        <v/>
      </c>
      <c r="G53" s="11">
        <f>IF(A53="","",IF(F53="OUT","DR","CR"))</f>
        <v/>
      </c>
      <c r="H53" s="11">
        <f>IF(A53="","",IFERROR(INDEX(BANK_CLEAN!$A$2:$A$1001,MATCH(MINIFS(BANK_CLEAN!$J$2:$J$1001,BANK_CLEAN!$H$2:$H$1001,G53,BANK_CLEAN!$L$2:$L$1001,""),BANK_CLEAN!$J$2:$J$1001,0)),""))</f>
        <v/>
      </c>
      <c r="I53" s="10">
        <f>IF(H53="","",INDEX(BANK_CLEAN!$B$2:$B$1001,H53))</f>
        <v/>
      </c>
      <c r="J53" s="14">
        <f>IF(H53="","",IF(F53="OUT",INDEX(BANK_CLEAN!$F$2:$F$1001,H53),INDEX(BANK_CLEAN!$E$2:$E$1001,H53)))</f>
        <v/>
      </c>
      <c r="K53" s="14">
        <f>IF(H53="","",ABS(E53-J53))</f>
        <v/>
      </c>
      <c r="L53" s="11">
        <f>IF(OR(H53="",B53="",I53=""),"",ABS(B53-I53))</f>
        <v/>
      </c>
      <c r="M53" s="15">
        <f>IF(H53="",0,LET(pct,IF(E53&gt;0,K53/E53,1),days,IFERROR(L53,999),100-pct*200-days*3))</f>
        <v/>
      </c>
      <c r="N53" s="11">
        <f>IF(A53="","",IF(H53="","Unmatched GL",IF(AND(K53&lt;=Tol_Amount,L53&lt;=Tol_Days),"Matched",IF(M53&gt;Tol_NearPct,"Near Match","Unmatched GL"))))</f>
        <v/>
      </c>
    </row>
    <row r="54">
      <c r="A54" s="13">
        <f>IF(GL_CLEAN!A54="","",GL_CLEAN!A54)</f>
        <v/>
      </c>
      <c r="B54" s="10">
        <f>IF(A54="","",GL_CLEAN!B54)</f>
        <v/>
      </c>
      <c r="C54" s="11">
        <f>IF(A54="","",GL_CLEAN!C54)</f>
        <v/>
      </c>
      <c r="D54" s="14">
        <f>IF(A54="","",GL_CLEAN!H54)</f>
        <v/>
      </c>
      <c r="E54" s="14">
        <f>IF(A54="","",GL_CLEAN!I54)</f>
        <v/>
      </c>
      <c r="F54" s="11">
        <f>IF(A54="","",GL_CLEAN!J54)</f>
        <v/>
      </c>
      <c r="G54" s="11">
        <f>IF(A54="","",IF(F54="OUT","DR","CR"))</f>
        <v/>
      </c>
      <c r="H54" s="11">
        <f>IF(A54="","",IFERROR(INDEX(BANK_CLEAN!$A$2:$A$1001,MATCH(MINIFS(BANK_CLEAN!$J$2:$J$1001,BANK_CLEAN!$H$2:$H$1001,G54,BANK_CLEAN!$L$2:$L$1001,""),BANK_CLEAN!$J$2:$J$1001,0)),""))</f>
        <v/>
      </c>
      <c r="I54" s="10">
        <f>IF(H54="","",INDEX(BANK_CLEAN!$B$2:$B$1001,H54))</f>
        <v/>
      </c>
      <c r="J54" s="14">
        <f>IF(H54="","",IF(F54="OUT",INDEX(BANK_CLEAN!$F$2:$F$1001,H54),INDEX(BANK_CLEAN!$E$2:$E$1001,H54)))</f>
        <v/>
      </c>
      <c r="K54" s="14">
        <f>IF(H54="","",ABS(E54-J54))</f>
        <v/>
      </c>
      <c r="L54" s="11">
        <f>IF(OR(H54="",B54="",I54=""),"",ABS(B54-I54))</f>
        <v/>
      </c>
      <c r="M54" s="15">
        <f>IF(H54="",0,LET(pct,IF(E54&gt;0,K54/E54,1),days,IFERROR(L54,999),100-pct*200-days*3))</f>
        <v/>
      </c>
      <c r="N54" s="11">
        <f>IF(A54="","",IF(H54="","Unmatched GL",IF(AND(K54&lt;=Tol_Amount,L54&lt;=Tol_Days),"Matched",IF(M54&gt;Tol_NearPct,"Near Match","Unmatched GL"))))</f>
        <v/>
      </c>
    </row>
    <row r="55">
      <c r="A55" s="13">
        <f>IF(GL_CLEAN!A55="","",GL_CLEAN!A55)</f>
        <v/>
      </c>
      <c r="B55" s="10">
        <f>IF(A55="","",GL_CLEAN!B55)</f>
        <v/>
      </c>
      <c r="C55" s="11">
        <f>IF(A55="","",GL_CLEAN!C55)</f>
        <v/>
      </c>
      <c r="D55" s="14">
        <f>IF(A55="","",GL_CLEAN!H55)</f>
        <v/>
      </c>
      <c r="E55" s="14">
        <f>IF(A55="","",GL_CLEAN!I55)</f>
        <v/>
      </c>
      <c r="F55" s="11">
        <f>IF(A55="","",GL_CLEAN!J55)</f>
        <v/>
      </c>
      <c r="G55" s="11">
        <f>IF(A55="","",IF(F55="OUT","DR","CR"))</f>
        <v/>
      </c>
      <c r="H55" s="11">
        <f>IF(A55="","",IFERROR(INDEX(BANK_CLEAN!$A$2:$A$1001,MATCH(MINIFS(BANK_CLEAN!$J$2:$J$1001,BANK_CLEAN!$H$2:$H$1001,G55,BANK_CLEAN!$L$2:$L$1001,""),BANK_CLEAN!$J$2:$J$1001,0)),""))</f>
        <v/>
      </c>
      <c r="I55" s="10">
        <f>IF(H55="","",INDEX(BANK_CLEAN!$B$2:$B$1001,H55))</f>
        <v/>
      </c>
      <c r="J55" s="14">
        <f>IF(H55="","",IF(F55="OUT",INDEX(BANK_CLEAN!$F$2:$F$1001,H55),INDEX(BANK_CLEAN!$E$2:$E$1001,H55)))</f>
        <v/>
      </c>
      <c r="K55" s="14">
        <f>IF(H55="","",ABS(E55-J55))</f>
        <v/>
      </c>
      <c r="L55" s="11">
        <f>IF(OR(H55="",B55="",I55=""),"",ABS(B55-I55))</f>
        <v/>
      </c>
      <c r="M55" s="15">
        <f>IF(H55="",0,LET(pct,IF(E55&gt;0,K55/E55,1),days,IFERROR(L55,999),100-pct*200-days*3))</f>
        <v/>
      </c>
      <c r="N55" s="11">
        <f>IF(A55="","",IF(H55="","Unmatched GL",IF(AND(K55&lt;=Tol_Amount,L55&lt;=Tol_Days),"Matched",IF(M55&gt;Tol_NearPct,"Near Match","Unmatched GL"))))</f>
        <v/>
      </c>
    </row>
    <row r="56">
      <c r="A56" s="13">
        <f>IF(GL_CLEAN!A56="","",GL_CLEAN!A56)</f>
        <v/>
      </c>
      <c r="B56" s="10">
        <f>IF(A56="","",GL_CLEAN!B56)</f>
        <v/>
      </c>
      <c r="C56" s="11">
        <f>IF(A56="","",GL_CLEAN!C56)</f>
        <v/>
      </c>
      <c r="D56" s="14">
        <f>IF(A56="","",GL_CLEAN!H56)</f>
        <v/>
      </c>
      <c r="E56" s="14">
        <f>IF(A56="","",GL_CLEAN!I56)</f>
        <v/>
      </c>
      <c r="F56" s="11">
        <f>IF(A56="","",GL_CLEAN!J56)</f>
        <v/>
      </c>
      <c r="G56" s="11">
        <f>IF(A56="","",IF(F56="OUT","DR","CR"))</f>
        <v/>
      </c>
      <c r="H56" s="11">
        <f>IF(A56="","",IFERROR(INDEX(BANK_CLEAN!$A$2:$A$1001,MATCH(MINIFS(BANK_CLEAN!$J$2:$J$1001,BANK_CLEAN!$H$2:$H$1001,G56,BANK_CLEAN!$L$2:$L$1001,""),BANK_CLEAN!$J$2:$J$1001,0)),""))</f>
        <v/>
      </c>
      <c r="I56" s="10">
        <f>IF(H56="","",INDEX(BANK_CLEAN!$B$2:$B$1001,H56))</f>
        <v/>
      </c>
      <c r="J56" s="14">
        <f>IF(H56="","",IF(F56="OUT",INDEX(BANK_CLEAN!$F$2:$F$1001,H56),INDEX(BANK_CLEAN!$E$2:$E$1001,H56)))</f>
        <v/>
      </c>
      <c r="K56" s="14">
        <f>IF(H56="","",ABS(E56-J56))</f>
        <v/>
      </c>
      <c r="L56" s="11">
        <f>IF(OR(H56="",B56="",I56=""),"",ABS(B56-I56))</f>
        <v/>
      </c>
      <c r="M56" s="15">
        <f>IF(H56="",0,LET(pct,IF(E56&gt;0,K56/E56,1),days,IFERROR(L56,999),100-pct*200-days*3))</f>
        <v/>
      </c>
      <c r="N56" s="11">
        <f>IF(A56="","",IF(H56="","Unmatched GL",IF(AND(K56&lt;=Tol_Amount,L56&lt;=Tol_Days),"Matched",IF(M56&gt;Tol_NearPct,"Near Match","Unmatched GL"))))</f>
        <v/>
      </c>
    </row>
    <row r="57">
      <c r="A57" s="13">
        <f>IF(GL_CLEAN!A57="","",GL_CLEAN!A57)</f>
        <v/>
      </c>
      <c r="B57" s="10">
        <f>IF(A57="","",GL_CLEAN!B57)</f>
        <v/>
      </c>
      <c r="C57" s="11">
        <f>IF(A57="","",GL_CLEAN!C57)</f>
        <v/>
      </c>
      <c r="D57" s="14">
        <f>IF(A57="","",GL_CLEAN!H57)</f>
        <v/>
      </c>
      <c r="E57" s="14">
        <f>IF(A57="","",GL_CLEAN!I57)</f>
        <v/>
      </c>
      <c r="F57" s="11">
        <f>IF(A57="","",GL_CLEAN!J57)</f>
        <v/>
      </c>
      <c r="G57" s="11">
        <f>IF(A57="","",IF(F57="OUT","DR","CR"))</f>
        <v/>
      </c>
      <c r="H57" s="11">
        <f>IF(A57="","",IFERROR(INDEX(BANK_CLEAN!$A$2:$A$1001,MATCH(MINIFS(BANK_CLEAN!$J$2:$J$1001,BANK_CLEAN!$H$2:$H$1001,G57,BANK_CLEAN!$L$2:$L$1001,""),BANK_CLEAN!$J$2:$J$1001,0)),""))</f>
        <v/>
      </c>
      <c r="I57" s="10">
        <f>IF(H57="","",INDEX(BANK_CLEAN!$B$2:$B$1001,H57))</f>
        <v/>
      </c>
      <c r="J57" s="14">
        <f>IF(H57="","",IF(F57="OUT",INDEX(BANK_CLEAN!$F$2:$F$1001,H57),INDEX(BANK_CLEAN!$E$2:$E$1001,H57)))</f>
        <v/>
      </c>
      <c r="K57" s="14">
        <f>IF(H57="","",ABS(E57-J57))</f>
        <v/>
      </c>
      <c r="L57" s="11">
        <f>IF(OR(H57="",B57="",I57=""),"",ABS(B57-I57))</f>
        <v/>
      </c>
      <c r="M57" s="15">
        <f>IF(H57="",0,LET(pct,IF(E57&gt;0,K57/E57,1),days,IFERROR(L57,999),100-pct*200-days*3))</f>
        <v/>
      </c>
      <c r="N57" s="11">
        <f>IF(A57="","",IF(H57="","Unmatched GL",IF(AND(K57&lt;=Tol_Amount,L57&lt;=Tol_Days),"Matched",IF(M57&gt;Tol_NearPct,"Near Match","Unmatched GL"))))</f>
        <v/>
      </c>
    </row>
    <row r="58">
      <c r="A58" s="13">
        <f>IF(GL_CLEAN!A58="","",GL_CLEAN!A58)</f>
        <v/>
      </c>
      <c r="B58" s="10">
        <f>IF(A58="","",GL_CLEAN!B58)</f>
        <v/>
      </c>
      <c r="C58" s="11">
        <f>IF(A58="","",GL_CLEAN!C58)</f>
        <v/>
      </c>
      <c r="D58" s="14">
        <f>IF(A58="","",GL_CLEAN!H58)</f>
        <v/>
      </c>
      <c r="E58" s="14">
        <f>IF(A58="","",GL_CLEAN!I58)</f>
        <v/>
      </c>
      <c r="F58" s="11">
        <f>IF(A58="","",GL_CLEAN!J58)</f>
        <v/>
      </c>
      <c r="G58" s="11">
        <f>IF(A58="","",IF(F58="OUT","DR","CR"))</f>
        <v/>
      </c>
      <c r="H58" s="11">
        <f>IF(A58="","",IFERROR(INDEX(BANK_CLEAN!$A$2:$A$1001,MATCH(MINIFS(BANK_CLEAN!$J$2:$J$1001,BANK_CLEAN!$H$2:$H$1001,G58,BANK_CLEAN!$L$2:$L$1001,""),BANK_CLEAN!$J$2:$J$1001,0)),""))</f>
        <v/>
      </c>
      <c r="I58" s="10">
        <f>IF(H58="","",INDEX(BANK_CLEAN!$B$2:$B$1001,H58))</f>
        <v/>
      </c>
      <c r="J58" s="14">
        <f>IF(H58="","",IF(F58="OUT",INDEX(BANK_CLEAN!$F$2:$F$1001,H58),INDEX(BANK_CLEAN!$E$2:$E$1001,H58)))</f>
        <v/>
      </c>
      <c r="K58" s="14">
        <f>IF(H58="","",ABS(E58-J58))</f>
        <v/>
      </c>
      <c r="L58" s="11">
        <f>IF(OR(H58="",B58="",I58=""),"",ABS(B58-I58))</f>
        <v/>
      </c>
      <c r="M58" s="15">
        <f>IF(H58="",0,LET(pct,IF(E58&gt;0,K58/E58,1),days,IFERROR(L58,999),100-pct*200-days*3))</f>
        <v/>
      </c>
      <c r="N58" s="11">
        <f>IF(A58="","",IF(H58="","Unmatched GL",IF(AND(K58&lt;=Tol_Amount,L58&lt;=Tol_Days),"Matched",IF(M58&gt;Tol_NearPct,"Near Match","Unmatched GL"))))</f>
        <v/>
      </c>
    </row>
    <row r="59">
      <c r="A59" s="13">
        <f>IF(GL_CLEAN!A59="","",GL_CLEAN!A59)</f>
        <v/>
      </c>
      <c r="B59" s="10">
        <f>IF(A59="","",GL_CLEAN!B59)</f>
        <v/>
      </c>
      <c r="C59" s="11">
        <f>IF(A59="","",GL_CLEAN!C59)</f>
        <v/>
      </c>
      <c r="D59" s="14">
        <f>IF(A59="","",GL_CLEAN!H59)</f>
        <v/>
      </c>
      <c r="E59" s="14">
        <f>IF(A59="","",GL_CLEAN!I59)</f>
        <v/>
      </c>
      <c r="F59" s="11">
        <f>IF(A59="","",GL_CLEAN!J59)</f>
        <v/>
      </c>
      <c r="G59" s="11">
        <f>IF(A59="","",IF(F59="OUT","DR","CR"))</f>
        <v/>
      </c>
      <c r="H59" s="11">
        <f>IF(A59="","",IFERROR(INDEX(BANK_CLEAN!$A$2:$A$1001,MATCH(MINIFS(BANK_CLEAN!$J$2:$J$1001,BANK_CLEAN!$H$2:$H$1001,G59,BANK_CLEAN!$L$2:$L$1001,""),BANK_CLEAN!$J$2:$J$1001,0)),""))</f>
        <v/>
      </c>
      <c r="I59" s="10">
        <f>IF(H59="","",INDEX(BANK_CLEAN!$B$2:$B$1001,H59))</f>
        <v/>
      </c>
      <c r="J59" s="14">
        <f>IF(H59="","",IF(F59="OUT",INDEX(BANK_CLEAN!$F$2:$F$1001,H59),INDEX(BANK_CLEAN!$E$2:$E$1001,H59)))</f>
        <v/>
      </c>
      <c r="K59" s="14">
        <f>IF(H59="","",ABS(E59-J59))</f>
        <v/>
      </c>
      <c r="L59" s="11">
        <f>IF(OR(H59="",B59="",I59=""),"",ABS(B59-I59))</f>
        <v/>
      </c>
      <c r="M59" s="15">
        <f>IF(H59="",0,LET(pct,IF(E59&gt;0,K59/E59,1),days,IFERROR(L59,999),100-pct*200-days*3))</f>
        <v/>
      </c>
      <c r="N59" s="11">
        <f>IF(A59="","",IF(H59="","Unmatched GL",IF(AND(K59&lt;=Tol_Amount,L59&lt;=Tol_Days),"Matched",IF(M59&gt;Tol_NearPct,"Near Match","Unmatched GL"))))</f>
        <v/>
      </c>
    </row>
    <row r="60">
      <c r="A60" s="13">
        <f>IF(GL_CLEAN!A60="","",GL_CLEAN!A60)</f>
        <v/>
      </c>
      <c r="B60" s="10">
        <f>IF(A60="","",GL_CLEAN!B60)</f>
        <v/>
      </c>
      <c r="C60" s="11">
        <f>IF(A60="","",GL_CLEAN!C60)</f>
        <v/>
      </c>
      <c r="D60" s="14">
        <f>IF(A60="","",GL_CLEAN!H60)</f>
        <v/>
      </c>
      <c r="E60" s="14">
        <f>IF(A60="","",GL_CLEAN!I60)</f>
        <v/>
      </c>
      <c r="F60" s="11">
        <f>IF(A60="","",GL_CLEAN!J60)</f>
        <v/>
      </c>
      <c r="G60" s="11">
        <f>IF(A60="","",IF(F60="OUT","DR","CR"))</f>
        <v/>
      </c>
      <c r="H60" s="11">
        <f>IF(A60="","",IFERROR(INDEX(BANK_CLEAN!$A$2:$A$1001,MATCH(MINIFS(BANK_CLEAN!$J$2:$J$1001,BANK_CLEAN!$H$2:$H$1001,G60,BANK_CLEAN!$L$2:$L$1001,""),BANK_CLEAN!$J$2:$J$1001,0)),""))</f>
        <v/>
      </c>
      <c r="I60" s="10">
        <f>IF(H60="","",INDEX(BANK_CLEAN!$B$2:$B$1001,H60))</f>
        <v/>
      </c>
      <c r="J60" s="14">
        <f>IF(H60="","",IF(F60="OUT",INDEX(BANK_CLEAN!$F$2:$F$1001,H60),INDEX(BANK_CLEAN!$E$2:$E$1001,H60)))</f>
        <v/>
      </c>
      <c r="K60" s="14">
        <f>IF(H60="","",ABS(E60-J60))</f>
        <v/>
      </c>
      <c r="L60" s="11">
        <f>IF(OR(H60="",B60="",I60=""),"",ABS(B60-I60))</f>
        <v/>
      </c>
      <c r="M60" s="15">
        <f>IF(H60="",0,LET(pct,IF(E60&gt;0,K60/E60,1),days,IFERROR(L60,999),100-pct*200-days*3))</f>
        <v/>
      </c>
      <c r="N60" s="11">
        <f>IF(A60="","",IF(H60="","Unmatched GL",IF(AND(K60&lt;=Tol_Amount,L60&lt;=Tol_Days),"Matched",IF(M60&gt;Tol_NearPct,"Near Match","Unmatched GL"))))</f>
        <v/>
      </c>
    </row>
    <row r="61">
      <c r="A61" s="13">
        <f>IF(GL_CLEAN!A61="","",GL_CLEAN!A61)</f>
        <v/>
      </c>
      <c r="B61" s="10">
        <f>IF(A61="","",GL_CLEAN!B61)</f>
        <v/>
      </c>
      <c r="C61" s="11">
        <f>IF(A61="","",GL_CLEAN!C61)</f>
        <v/>
      </c>
      <c r="D61" s="14">
        <f>IF(A61="","",GL_CLEAN!H61)</f>
        <v/>
      </c>
      <c r="E61" s="14">
        <f>IF(A61="","",GL_CLEAN!I61)</f>
        <v/>
      </c>
      <c r="F61" s="11">
        <f>IF(A61="","",GL_CLEAN!J61)</f>
        <v/>
      </c>
      <c r="G61" s="11">
        <f>IF(A61="","",IF(F61="OUT","DR","CR"))</f>
        <v/>
      </c>
      <c r="H61" s="11">
        <f>IF(A61="","",IFERROR(INDEX(BANK_CLEAN!$A$2:$A$1001,MATCH(MINIFS(BANK_CLEAN!$J$2:$J$1001,BANK_CLEAN!$H$2:$H$1001,G61,BANK_CLEAN!$L$2:$L$1001,""),BANK_CLEAN!$J$2:$J$1001,0)),""))</f>
        <v/>
      </c>
      <c r="I61" s="10">
        <f>IF(H61="","",INDEX(BANK_CLEAN!$B$2:$B$1001,H61))</f>
        <v/>
      </c>
      <c r="J61" s="14">
        <f>IF(H61="","",IF(F61="OUT",INDEX(BANK_CLEAN!$F$2:$F$1001,H61),INDEX(BANK_CLEAN!$E$2:$E$1001,H61)))</f>
        <v/>
      </c>
      <c r="K61" s="14">
        <f>IF(H61="","",ABS(E61-J61))</f>
        <v/>
      </c>
      <c r="L61" s="11">
        <f>IF(OR(H61="",B61="",I61=""),"",ABS(B61-I61))</f>
        <v/>
      </c>
      <c r="M61" s="15">
        <f>IF(H61="",0,LET(pct,IF(E61&gt;0,K61/E61,1),days,IFERROR(L61,999),100-pct*200-days*3))</f>
        <v/>
      </c>
      <c r="N61" s="11">
        <f>IF(A61="","",IF(H61="","Unmatched GL",IF(AND(K61&lt;=Tol_Amount,L61&lt;=Tol_Days),"Matched",IF(M61&gt;Tol_NearPct,"Near Match","Unmatched GL"))))</f>
        <v/>
      </c>
    </row>
    <row r="62">
      <c r="A62" s="13">
        <f>IF(GL_CLEAN!A62="","",GL_CLEAN!A62)</f>
        <v/>
      </c>
      <c r="B62" s="10">
        <f>IF(A62="","",GL_CLEAN!B62)</f>
        <v/>
      </c>
      <c r="C62" s="11">
        <f>IF(A62="","",GL_CLEAN!C62)</f>
        <v/>
      </c>
      <c r="D62" s="14">
        <f>IF(A62="","",GL_CLEAN!H62)</f>
        <v/>
      </c>
      <c r="E62" s="14">
        <f>IF(A62="","",GL_CLEAN!I62)</f>
        <v/>
      </c>
      <c r="F62" s="11">
        <f>IF(A62="","",GL_CLEAN!J62)</f>
        <v/>
      </c>
      <c r="G62" s="11">
        <f>IF(A62="","",IF(F62="OUT","DR","CR"))</f>
        <v/>
      </c>
      <c r="H62" s="11">
        <f>IF(A62="","",IFERROR(INDEX(BANK_CLEAN!$A$2:$A$1001,MATCH(MINIFS(BANK_CLEAN!$J$2:$J$1001,BANK_CLEAN!$H$2:$H$1001,G62,BANK_CLEAN!$L$2:$L$1001,""),BANK_CLEAN!$J$2:$J$1001,0)),""))</f>
        <v/>
      </c>
      <c r="I62" s="10">
        <f>IF(H62="","",INDEX(BANK_CLEAN!$B$2:$B$1001,H62))</f>
        <v/>
      </c>
      <c r="J62" s="14">
        <f>IF(H62="","",IF(F62="OUT",INDEX(BANK_CLEAN!$F$2:$F$1001,H62),INDEX(BANK_CLEAN!$E$2:$E$1001,H62)))</f>
        <v/>
      </c>
      <c r="K62" s="14">
        <f>IF(H62="","",ABS(E62-J62))</f>
        <v/>
      </c>
      <c r="L62" s="11">
        <f>IF(OR(H62="",B62="",I62=""),"",ABS(B62-I62))</f>
        <v/>
      </c>
      <c r="M62" s="15">
        <f>IF(H62="",0,LET(pct,IF(E62&gt;0,K62/E62,1),days,IFERROR(L62,999),100-pct*200-days*3))</f>
        <v/>
      </c>
      <c r="N62" s="11">
        <f>IF(A62="","",IF(H62="","Unmatched GL",IF(AND(K62&lt;=Tol_Amount,L62&lt;=Tol_Days),"Matched",IF(M62&gt;Tol_NearPct,"Near Match","Unmatched GL"))))</f>
        <v/>
      </c>
    </row>
    <row r="63">
      <c r="A63" s="13">
        <f>IF(GL_CLEAN!A63="","",GL_CLEAN!A63)</f>
        <v/>
      </c>
      <c r="B63" s="10">
        <f>IF(A63="","",GL_CLEAN!B63)</f>
        <v/>
      </c>
      <c r="C63" s="11">
        <f>IF(A63="","",GL_CLEAN!C63)</f>
        <v/>
      </c>
      <c r="D63" s="14">
        <f>IF(A63="","",GL_CLEAN!H63)</f>
        <v/>
      </c>
      <c r="E63" s="14">
        <f>IF(A63="","",GL_CLEAN!I63)</f>
        <v/>
      </c>
      <c r="F63" s="11">
        <f>IF(A63="","",GL_CLEAN!J63)</f>
        <v/>
      </c>
      <c r="G63" s="11">
        <f>IF(A63="","",IF(F63="OUT","DR","CR"))</f>
        <v/>
      </c>
      <c r="H63" s="11">
        <f>IF(A63="","",IFERROR(INDEX(BANK_CLEAN!$A$2:$A$1001,MATCH(MINIFS(BANK_CLEAN!$J$2:$J$1001,BANK_CLEAN!$H$2:$H$1001,G63,BANK_CLEAN!$L$2:$L$1001,""),BANK_CLEAN!$J$2:$J$1001,0)),""))</f>
        <v/>
      </c>
      <c r="I63" s="10">
        <f>IF(H63="","",INDEX(BANK_CLEAN!$B$2:$B$1001,H63))</f>
        <v/>
      </c>
      <c r="J63" s="14">
        <f>IF(H63="","",IF(F63="OUT",INDEX(BANK_CLEAN!$F$2:$F$1001,H63),INDEX(BANK_CLEAN!$E$2:$E$1001,H63)))</f>
        <v/>
      </c>
      <c r="K63" s="14">
        <f>IF(H63="","",ABS(E63-J63))</f>
        <v/>
      </c>
      <c r="L63" s="11">
        <f>IF(OR(H63="",B63="",I63=""),"",ABS(B63-I63))</f>
        <v/>
      </c>
      <c r="M63" s="15">
        <f>IF(H63="",0,LET(pct,IF(E63&gt;0,K63/E63,1),days,IFERROR(L63,999),100-pct*200-days*3))</f>
        <v/>
      </c>
      <c r="N63" s="11">
        <f>IF(A63="","",IF(H63="","Unmatched GL",IF(AND(K63&lt;=Tol_Amount,L63&lt;=Tol_Days),"Matched",IF(M63&gt;Tol_NearPct,"Near Match","Unmatched GL"))))</f>
        <v/>
      </c>
    </row>
    <row r="64">
      <c r="A64" s="13">
        <f>IF(GL_CLEAN!A64="","",GL_CLEAN!A64)</f>
        <v/>
      </c>
      <c r="B64" s="10">
        <f>IF(A64="","",GL_CLEAN!B64)</f>
        <v/>
      </c>
      <c r="C64" s="11">
        <f>IF(A64="","",GL_CLEAN!C64)</f>
        <v/>
      </c>
      <c r="D64" s="14">
        <f>IF(A64="","",GL_CLEAN!H64)</f>
        <v/>
      </c>
      <c r="E64" s="14">
        <f>IF(A64="","",GL_CLEAN!I64)</f>
        <v/>
      </c>
      <c r="F64" s="11">
        <f>IF(A64="","",GL_CLEAN!J64)</f>
        <v/>
      </c>
      <c r="G64" s="11">
        <f>IF(A64="","",IF(F64="OUT","DR","CR"))</f>
        <v/>
      </c>
      <c r="H64" s="11">
        <f>IF(A64="","",IFERROR(INDEX(BANK_CLEAN!$A$2:$A$1001,MATCH(MINIFS(BANK_CLEAN!$J$2:$J$1001,BANK_CLEAN!$H$2:$H$1001,G64,BANK_CLEAN!$L$2:$L$1001,""),BANK_CLEAN!$J$2:$J$1001,0)),""))</f>
        <v/>
      </c>
      <c r="I64" s="10">
        <f>IF(H64="","",INDEX(BANK_CLEAN!$B$2:$B$1001,H64))</f>
        <v/>
      </c>
      <c r="J64" s="14">
        <f>IF(H64="","",IF(F64="OUT",INDEX(BANK_CLEAN!$F$2:$F$1001,H64),INDEX(BANK_CLEAN!$E$2:$E$1001,H64)))</f>
        <v/>
      </c>
      <c r="K64" s="14">
        <f>IF(H64="","",ABS(E64-J64))</f>
        <v/>
      </c>
      <c r="L64" s="11">
        <f>IF(OR(H64="",B64="",I64=""),"",ABS(B64-I64))</f>
        <v/>
      </c>
      <c r="M64" s="15">
        <f>IF(H64="",0,LET(pct,IF(E64&gt;0,K64/E64,1),days,IFERROR(L64,999),100-pct*200-days*3))</f>
        <v/>
      </c>
      <c r="N64" s="11">
        <f>IF(A64="","",IF(H64="","Unmatched GL",IF(AND(K64&lt;=Tol_Amount,L64&lt;=Tol_Days),"Matched",IF(M64&gt;Tol_NearPct,"Near Match","Unmatched GL"))))</f>
        <v/>
      </c>
    </row>
    <row r="65">
      <c r="A65" s="13">
        <f>IF(GL_CLEAN!A65="","",GL_CLEAN!A65)</f>
        <v/>
      </c>
      <c r="B65" s="10">
        <f>IF(A65="","",GL_CLEAN!B65)</f>
        <v/>
      </c>
      <c r="C65" s="11">
        <f>IF(A65="","",GL_CLEAN!C65)</f>
        <v/>
      </c>
      <c r="D65" s="14">
        <f>IF(A65="","",GL_CLEAN!H65)</f>
        <v/>
      </c>
      <c r="E65" s="14">
        <f>IF(A65="","",GL_CLEAN!I65)</f>
        <v/>
      </c>
      <c r="F65" s="11">
        <f>IF(A65="","",GL_CLEAN!J65)</f>
        <v/>
      </c>
      <c r="G65" s="11">
        <f>IF(A65="","",IF(F65="OUT","DR","CR"))</f>
        <v/>
      </c>
      <c r="H65" s="11">
        <f>IF(A65="","",IFERROR(INDEX(BANK_CLEAN!$A$2:$A$1001,MATCH(MINIFS(BANK_CLEAN!$J$2:$J$1001,BANK_CLEAN!$H$2:$H$1001,G65,BANK_CLEAN!$L$2:$L$1001,""),BANK_CLEAN!$J$2:$J$1001,0)),""))</f>
        <v/>
      </c>
      <c r="I65" s="10">
        <f>IF(H65="","",INDEX(BANK_CLEAN!$B$2:$B$1001,H65))</f>
        <v/>
      </c>
      <c r="J65" s="14">
        <f>IF(H65="","",IF(F65="OUT",INDEX(BANK_CLEAN!$F$2:$F$1001,H65),INDEX(BANK_CLEAN!$E$2:$E$1001,H65)))</f>
        <v/>
      </c>
      <c r="K65" s="14">
        <f>IF(H65="","",ABS(E65-J65))</f>
        <v/>
      </c>
      <c r="L65" s="11">
        <f>IF(OR(H65="",B65="",I65=""),"",ABS(B65-I65))</f>
        <v/>
      </c>
      <c r="M65" s="15">
        <f>IF(H65="",0,LET(pct,IF(E65&gt;0,K65/E65,1),days,IFERROR(L65,999),100-pct*200-days*3))</f>
        <v/>
      </c>
      <c r="N65" s="11">
        <f>IF(A65="","",IF(H65="","Unmatched GL",IF(AND(K65&lt;=Tol_Amount,L65&lt;=Tol_Days),"Matched",IF(M65&gt;Tol_NearPct,"Near Match","Unmatched GL"))))</f>
        <v/>
      </c>
    </row>
    <row r="66">
      <c r="A66" s="13">
        <f>IF(GL_CLEAN!A66="","",GL_CLEAN!A66)</f>
        <v/>
      </c>
      <c r="B66" s="10">
        <f>IF(A66="","",GL_CLEAN!B66)</f>
        <v/>
      </c>
      <c r="C66" s="11">
        <f>IF(A66="","",GL_CLEAN!C66)</f>
        <v/>
      </c>
      <c r="D66" s="14">
        <f>IF(A66="","",GL_CLEAN!H66)</f>
        <v/>
      </c>
      <c r="E66" s="14">
        <f>IF(A66="","",GL_CLEAN!I66)</f>
        <v/>
      </c>
      <c r="F66" s="11">
        <f>IF(A66="","",GL_CLEAN!J66)</f>
        <v/>
      </c>
      <c r="G66" s="11">
        <f>IF(A66="","",IF(F66="OUT","DR","CR"))</f>
        <v/>
      </c>
      <c r="H66" s="11">
        <f>IF(A66="","",IFERROR(INDEX(BANK_CLEAN!$A$2:$A$1001,MATCH(MINIFS(BANK_CLEAN!$J$2:$J$1001,BANK_CLEAN!$H$2:$H$1001,G66,BANK_CLEAN!$L$2:$L$1001,""),BANK_CLEAN!$J$2:$J$1001,0)),""))</f>
        <v/>
      </c>
      <c r="I66" s="10">
        <f>IF(H66="","",INDEX(BANK_CLEAN!$B$2:$B$1001,H66))</f>
        <v/>
      </c>
      <c r="J66" s="14">
        <f>IF(H66="","",IF(F66="OUT",INDEX(BANK_CLEAN!$F$2:$F$1001,H66),INDEX(BANK_CLEAN!$E$2:$E$1001,H66)))</f>
        <v/>
      </c>
      <c r="K66" s="14">
        <f>IF(H66="","",ABS(E66-J66))</f>
        <v/>
      </c>
      <c r="L66" s="11">
        <f>IF(OR(H66="",B66="",I66=""),"",ABS(B66-I66))</f>
        <v/>
      </c>
      <c r="M66" s="15">
        <f>IF(H66="",0,LET(pct,IF(E66&gt;0,K66/E66,1),days,IFERROR(L66,999),100-pct*200-days*3))</f>
        <v/>
      </c>
      <c r="N66" s="11">
        <f>IF(A66="","",IF(H66="","Unmatched GL",IF(AND(K66&lt;=Tol_Amount,L66&lt;=Tol_Days),"Matched",IF(M66&gt;Tol_NearPct,"Near Match","Unmatched GL"))))</f>
        <v/>
      </c>
    </row>
    <row r="67">
      <c r="A67" s="13">
        <f>IF(GL_CLEAN!A67="","",GL_CLEAN!A67)</f>
        <v/>
      </c>
      <c r="B67" s="10">
        <f>IF(A67="","",GL_CLEAN!B67)</f>
        <v/>
      </c>
      <c r="C67" s="11">
        <f>IF(A67="","",GL_CLEAN!C67)</f>
        <v/>
      </c>
      <c r="D67" s="14">
        <f>IF(A67="","",GL_CLEAN!H67)</f>
        <v/>
      </c>
      <c r="E67" s="14">
        <f>IF(A67="","",GL_CLEAN!I67)</f>
        <v/>
      </c>
      <c r="F67" s="11">
        <f>IF(A67="","",GL_CLEAN!J67)</f>
        <v/>
      </c>
      <c r="G67" s="11">
        <f>IF(A67="","",IF(F67="OUT","DR","CR"))</f>
        <v/>
      </c>
      <c r="H67" s="11">
        <f>IF(A67="","",IFERROR(INDEX(BANK_CLEAN!$A$2:$A$1001,MATCH(MINIFS(BANK_CLEAN!$J$2:$J$1001,BANK_CLEAN!$H$2:$H$1001,G67,BANK_CLEAN!$L$2:$L$1001,""),BANK_CLEAN!$J$2:$J$1001,0)),""))</f>
        <v/>
      </c>
      <c r="I67" s="10">
        <f>IF(H67="","",INDEX(BANK_CLEAN!$B$2:$B$1001,H67))</f>
        <v/>
      </c>
      <c r="J67" s="14">
        <f>IF(H67="","",IF(F67="OUT",INDEX(BANK_CLEAN!$F$2:$F$1001,H67),INDEX(BANK_CLEAN!$E$2:$E$1001,H67)))</f>
        <v/>
      </c>
      <c r="K67" s="14">
        <f>IF(H67="","",ABS(E67-J67))</f>
        <v/>
      </c>
      <c r="L67" s="11">
        <f>IF(OR(H67="",B67="",I67=""),"",ABS(B67-I67))</f>
        <v/>
      </c>
      <c r="M67" s="15">
        <f>IF(H67="",0,LET(pct,IF(E67&gt;0,K67/E67,1),days,IFERROR(L67,999),100-pct*200-days*3))</f>
        <v/>
      </c>
      <c r="N67" s="11">
        <f>IF(A67="","",IF(H67="","Unmatched GL",IF(AND(K67&lt;=Tol_Amount,L67&lt;=Tol_Days),"Matched",IF(M67&gt;Tol_NearPct,"Near Match","Unmatched GL"))))</f>
        <v/>
      </c>
    </row>
    <row r="68">
      <c r="A68" s="13">
        <f>IF(GL_CLEAN!A68="","",GL_CLEAN!A68)</f>
        <v/>
      </c>
      <c r="B68" s="10">
        <f>IF(A68="","",GL_CLEAN!B68)</f>
        <v/>
      </c>
      <c r="C68" s="11">
        <f>IF(A68="","",GL_CLEAN!C68)</f>
        <v/>
      </c>
      <c r="D68" s="14">
        <f>IF(A68="","",GL_CLEAN!H68)</f>
        <v/>
      </c>
      <c r="E68" s="14">
        <f>IF(A68="","",GL_CLEAN!I68)</f>
        <v/>
      </c>
      <c r="F68" s="11">
        <f>IF(A68="","",GL_CLEAN!J68)</f>
        <v/>
      </c>
      <c r="G68" s="11">
        <f>IF(A68="","",IF(F68="OUT","DR","CR"))</f>
        <v/>
      </c>
      <c r="H68" s="11">
        <f>IF(A68="","",IFERROR(INDEX(BANK_CLEAN!$A$2:$A$1001,MATCH(MINIFS(BANK_CLEAN!$J$2:$J$1001,BANK_CLEAN!$H$2:$H$1001,G68,BANK_CLEAN!$L$2:$L$1001,""),BANK_CLEAN!$J$2:$J$1001,0)),""))</f>
        <v/>
      </c>
      <c r="I68" s="10">
        <f>IF(H68="","",INDEX(BANK_CLEAN!$B$2:$B$1001,H68))</f>
        <v/>
      </c>
      <c r="J68" s="14">
        <f>IF(H68="","",IF(F68="OUT",INDEX(BANK_CLEAN!$F$2:$F$1001,H68),INDEX(BANK_CLEAN!$E$2:$E$1001,H68)))</f>
        <v/>
      </c>
      <c r="K68" s="14">
        <f>IF(H68="","",ABS(E68-J68))</f>
        <v/>
      </c>
      <c r="L68" s="11">
        <f>IF(OR(H68="",B68="",I68=""),"",ABS(B68-I68))</f>
        <v/>
      </c>
      <c r="M68" s="15">
        <f>IF(H68="",0,LET(pct,IF(E68&gt;0,K68/E68,1),days,IFERROR(L68,999),100-pct*200-days*3))</f>
        <v/>
      </c>
      <c r="N68" s="11">
        <f>IF(A68="","",IF(H68="","Unmatched GL",IF(AND(K68&lt;=Tol_Amount,L68&lt;=Tol_Days),"Matched",IF(M68&gt;Tol_NearPct,"Near Match","Unmatched GL"))))</f>
        <v/>
      </c>
    </row>
    <row r="69">
      <c r="A69" s="13">
        <f>IF(GL_CLEAN!A69="","",GL_CLEAN!A69)</f>
        <v/>
      </c>
      <c r="B69" s="10">
        <f>IF(A69="","",GL_CLEAN!B69)</f>
        <v/>
      </c>
      <c r="C69" s="11">
        <f>IF(A69="","",GL_CLEAN!C69)</f>
        <v/>
      </c>
      <c r="D69" s="14">
        <f>IF(A69="","",GL_CLEAN!H69)</f>
        <v/>
      </c>
      <c r="E69" s="14">
        <f>IF(A69="","",GL_CLEAN!I69)</f>
        <v/>
      </c>
      <c r="F69" s="11">
        <f>IF(A69="","",GL_CLEAN!J69)</f>
        <v/>
      </c>
      <c r="G69" s="11">
        <f>IF(A69="","",IF(F69="OUT","DR","CR"))</f>
        <v/>
      </c>
      <c r="H69" s="11">
        <f>IF(A69="","",IFERROR(INDEX(BANK_CLEAN!$A$2:$A$1001,MATCH(MINIFS(BANK_CLEAN!$J$2:$J$1001,BANK_CLEAN!$H$2:$H$1001,G69,BANK_CLEAN!$L$2:$L$1001,""),BANK_CLEAN!$J$2:$J$1001,0)),""))</f>
        <v/>
      </c>
      <c r="I69" s="10">
        <f>IF(H69="","",INDEX(BANK_CLEAN!$B$2:$B$1001,H69))</f>
        <v/>
      </c>
      <c r="J69" s="14">
        <f>IF(H69="","",IF(F69="OUT",INDEX(BANK_CLEAN!$F$2:$F$1001,H69),INDEX(BANK_CLEAN!$E$2:$E$1001,H69)))</f>
        <v/>
      </c>
      <c r="K69" s="14">
        <f>IF(H69="","",ABS(E69-J69))</f>
        <v/>
      </c>
      <c r="L69" s="11">
        <f>IF(OR(H69="",B69="",I69=""),"",ABS(B69-I69))</f>
        <v/>
      </c>
      <c r="M69" s="15">
        <f>IF(H69="",0,LET(pct,IF(E69&gt;0,K69/E69,1),days,IFERROR(L69,999),100-pct*200-days*3))</f>
        <v/>
      </c>
      <c r="N69" s="11">
        <f>IF(A69="","",IF(H69="","Unmatched GL",IF(AND(K69&lt;=Tol_Amount,L69&lt;=Tol_Days),"Matched",IF(M69&gt;Tol_NearPct,"Near Match","Unmatched GL"))))</f>
        <v/>
      </c>
    </row>
    <row r="70">
      <c r="A70" s="13">
        <f>IF(GL_CLEAN!A70="","",GL_CLEAN!A70)</f>
        <v/>
      </c>
      <c r="B70" s="10">
        <f>IF(A70="","",GL_CLEAN!B70)</f>
        <v/>
      </c>
      <c r="C70" s="11">
        <f>IF(A70="","",GL_CLEAN!C70)</f>
        <v/>
      </c>
      <c r="D70" s="14">
        <f>IF(A70="","",GL_CLEAN!H70)</f>
        <v/>
      </c>
      <c r="E70" s="14">
        <f>IF(A70="","",GL_CLEAN!I70)</f>
        <v/>
      </c>
      <c r="F70" s="11">
        <f>IF(A70="","",GL_CLEAN!J70)</f>
        <v/>
      </c>
      <c r="G70" s="11">
        <f>IF(A70="","",IF(F70="OUT","DR","CR"))</f>
        <v/>
      </c>
      <c r="H70" s="11">
        <f>IF(A70="","",IFERROR(INDEX(BANK_CLEAN!$A$2:$A$1001,MATCH(MINIFS(BANK_CLEAN!$J$2:$J$1001,BANK_CLEAN!$H$2:$H$1001,G70,BANK_CLEAN!$L$2:$L$1001,""),BANK_CLEAN!$J$2:$J$1001,0)),""))</f>
        <v/>
      </c>
      <c r="I70" s="10">
        <f>IF(H70="","",INDEX(BANK_CLEAN!$B$2:$B$1001,H70))</f>
        <v/>
      </c>
      <c r="J70" s="14">
        <f>IF(H70="","",IF(F70="OUT",INDEX(BANK_CLEAN!$F$2:$F$1001,H70),INDEX(BANK_CLEAN!$E$2:$E$1001,H70)))</f>
        <v/>
      </c>
      <c r="K70" s="14">
        <f>IF(H70="","",ABS(E70-J70))</f>
        <v/>
      </c>
      <c r="L70" s="11">
        <f>IF(OR(H70="",B70="",I70=""),"",ABS(B70-I70))</f>
        <v/>
      </c>
      <c r="M70" s="15">
        <f>IF(H70="",0,LET(pct,IF(E70&gt;0,K70/E70,1),days,IFERROR(L70,999),100-pct*200-days*3))</f>
        <v/>
      </c>
      <c r="N70" s="11">
        <f>IF(A70="","",IF(H70="","Unmatched GL",IF(AND(K70&lt;=Tol_Amount,L70&lt;=Tol_Days),"Matched",IF(M70&gt;Tol_NearPct,"Near Match","Unmatched GL"))))</f>
        <v/>
      </c>
    </row>
    <row r="71">
      <c r="A71" s="13">
        <f>IF(GL_CLEAN!A71="","",GL_CLEAN!A71)</f>
        <v/>
      </c>
      <c r="B71" s="10">
        <f>IF(A71="","",GL_CLEAN!B71)</f>
        <v/>
      </c>
      <c r="C71" s="11">
        <f>IF(A71="","",GL_CLEAN!C71)</f>
        <v/>
      </c>
      <c r="D71" s="14">
        <f>IF(A71="","",GL_CLEAN!H71)</f>
        <v/>
      </c>
      <c r="E71" s="14">
        <f>IF(A71="","",GL_CLEAN!I71)</f>
        <v/>
      </c>
      <c r="F71" s="11">
        <f>IF(A71="","",GL_CLEAN!J71)</f>
        <v/>
      </c>
      <c r="G71" s="11">
        <f>IF(A71="","",IF(F71="OUT","DR","CR"))</f>
        <v/>
      </c>
      <c r="H71" s="11">
        <f>IF(A71="","",IFERROR(INDEX(BANK_CLEAN!$A$2:$A$1001,MATCH(MINIFS(BANK_CLEAN!$J$2:$J$1001,BANK_CLEAN!$H$2:$H$1001,G71,BANK_CLEAN!$L$2:$L$1001,""),BANK_CLEAN!$J$2:$J$1001,0)),""))</f>
        <v/>
      </c>
      <c r="I71" s="10">
        <f>IF(H71="","",INDEX(BANK_CLEAN!$B$2:$B$1001,H71))</f>
        <v/>
      </c>
      <c r="J71" s="14">
        <f>IF(H71="","",IF(F71="OUT",INDEX(BANK_CLEAN!$F$2:$F$1001,H71),INDEX(BANK_CLEAN!$E$2:$E$1001,H71)))</f>
        <v/>
      </c>
      <c r="K71" s="14">
        <f>IF(H71="","",ABS(E71-J71))</f>
        <v/>
      </c>
      <c r="L71" s="11">
        <f>IF(OR(H71="",B71="",I71=""),"",ABS(B71-I71))</f>
        <v/>
      </c>
      <c r="M71" s="15">
        <f>IF(H71="",0,LET(pct,IF(E71&gt;0,K71/E71,1),days,IFERROR(L71,999),100-pct*200-days*3))</f>
        <v/>
      </c>
      <c r="N71" s="11">
        <f>IF(A71="","",IF(H71="","Unmatched GL",IF(AND(K71&lt;=Tol_Amount,L71&lt;=Tol_Days),"Matched",IF(M71&gt;Tol_NearPct,"Near Match","Unmatched GL"))))</f>
        <v/>
      </c>
    </row>
    <row r="72">
      <c r="A72" s="13">
        <f>IF(GL_CLEAN!A72="","",GL_CLEAN!A72)</f>
        <v/>
      </c>
      <c r="B72" s="10">
        <f>IF(A72="","",GL_CLEAN!B72)</f>
        <v/>
      </c>
      <c r="C72" s="11">
        <f>IF(A72="","",GL_CLEAN!C72)</f>
        <v/>
      </c>
      <c r="D72" s="14">
        <f>IF(A72="","",GL_CLEAN!H72)</f>
        <v/>
      </c>
      <c r="E72" s="14">
        <f>IF(A72="","",GL_CLEAN!I72)</f>
        <v/>
      </c>
      <c r="F72" s="11">
        <f>IF(A72="","",GL_CLEAN!J72)</f>
        <v/>
      </c>
      <c r="G72" s="11">
        <f>IF(A72="","",IF(F72="OUT","DR","CR"))</f>
        <v/>
      </c>
      <c r="H72" s="11">
        <f>IF(A72="","",IFERROR(INDEX(BANK_CLEAN!$A$2:$A$1001,MATCH(MINIFS(BANK_CLEAN!$J$2:$J$1001,BANK_CLEAN!$H$2:$H$1001,G72,BANK_CLEAN!$L$2:$L$1001,""),BANK_CLEAN!$J$2:$J$1001,0)),""))</f>
        <v/>
      </c>
      <c r="I72" s="10">
        <f>IF(H72="","",INDEX(BANK_CLEAN!$B$2:$B$1001,H72))</f>
        <v/>
      </c>
      <c r="J72" s="14">
        <f>IF(H72="","",IF(F72="OUT",INDEX(BANK_CLEAN!$F$2:$F$1001,H72),INDEX(BANK_CLEAN!$E$2:$E$1001,H72)))</f>
        <v/>
      </c>
      <c r="K72" s="14">
        <f>IF(H72="","",ABS(E72-J72))</f>
        <v/>
      </c>
      <c r="L72" s="11">
        <f>IF(OR(H72="",B72="",I72=""),"",ABS(B72-I72))</f>
        <v/>
      </c>
      <c r="M72" s="15">
        <f>IF(H72="",0,LET(pct,IF(E72&gt;0,K72/E72,1),days,IFERROR(L72,999),100-pct*200-days*3))</f>
        <v/>
      </c>
      <c r="N72" s="11">
        <f>IF(A72="","",IF(H72="","Unmatched GL",IF(AND(K72&lt;=Tol_Amount,L72&lt;=Tol_Days),"Matched",IF(M72&gt;Tol_NearPct,"Near Match","Unmatched GL"))))</f>
        <v/>
      </c>
    </row>
    <row r="73">
      <c r="A73" s="13">
        <f>IF(GL_CLEAN!A73="","",GL_CLEAN!A73)</f>
        <v/>
      </c>
      <c r="B73" s="10">
        <f>IF(A73="","",GL_CLEAN!B73)</f>
        <v/>
      </c>
      <c r="C73" s="11">
        <f>IF(A73="","",GL_CLEAN!C73)</f>
        <v/>
      </c>
      <c r="D73" s="14">
        <f>IF(A73="","",GL_CLEAN!H73)</f>
        <v/>
      </c>
      <c r="E73" s="14">
        <f>IF(A73="","",GL_CLEAN!I73)</f>
        <v/>
      </c>
      <c r="F73" s="11">
        <f>IF(A73="","",GL_CLEAN!J73)</f>
        <v/>
      </c>
      <c r="G73" s="11">
        <f>IF(A73="","",IF(F73="OUT","DR","CR"))</f>
        <v/>
      </c>
      <c r="H73" s="11">
        <f>IF(A73="","",IFERROR(INDEX(BANK_CLEAN!$A$2:$A$1001,MATCH(MINIFS(BANK_CLEAN!$J$2:$J$1001,BANK_CLEAN!$H$2:$H$1001,G73,BANK_CLEAN!$L$2:$L$1001,""),BANK_CLEAN!$J$2:$J$1001,0)),""))</f>
        <v/>
      </c>
      <c r="I73" s="10">
        <f>IF(H73="","",INDEX(BANK_CLEAN!$B$2:$B$1001,H73))</f>
        <v/>
      </c>
      <c r="J73" s="14">
        <f>IF(H73="","",IF(F73="OUT",INDEX(BANK_CLEAN!$F$2:$F$1001,H73),INDEX(BANK_CLEAN!$E$2:$E$1001,H73)))</f>
        <v/>
      </c>
      <c r="K73" s="14">
        <f>IF(H73="","",ABS(E73-J73))</f>
        <v/>
      </c>
      <c r="L73" s="11">
        <f>IF(OR(H73="",B73="",I73=""),"",ABS(B73-I73))</f>
        <v/>
      </c>
      <c r="M73" s="15">
        <f>IF(H73="",0,LET(pct,IF(E73&gt;0,K73/E73,1),days,IFERROR(L73,999),100-pct*200-days*3))</f>
        <v/>
      </c>
      <c r="N73" s="11">
        <f>IF(A73="","",IF(H73="","Unmatched GL",IF(AND(K73&lt;=Tol_Amount,L73&lt;=Tol_Days),"Matched",IF(M73&gt;Tol_NearPct,"Near Match","Unmatched GL"))))</f>
        <v/>
      </c>
    </row>
    <row r="74">
      <c r="A74" s="13">
        <f>IF(GL_CLEAN!A74="","",GL_CLEAN!A74)</f>
        <v/>
      </c>
      <c r="B74" s="10">
        <f>IF(A74="","",GL_CLEAN!B74)</f>
        <v/>
      </c>
      <c r="C74" s="11">
        <f>IF(A74="","",GL_CLEAN!C74)</f>
        <v/>
      </c>
      <c r="D74" s="14">
        <f>IF(A74="","",GL_CLEAN!H74)</f>
        <v/>
      </c>
      <c r="E74" s="14">
        <f>IF(A74="","",GL_CLEAN!I74)</f>
        <v/>
      </c>
      <c r="F74" s="11">
        <f>IF(A74="","",GL_CLEAN!J74)</f>
        <v/>
      </c>
      <c r="G74" s="11">
        <f>IF(A74="","",IF(F74="OUT","DR","CR"))</f>
        <v/>
      </c>
      <c r="H74" s="11">
        <f>IF(A74="","",IFERROR(INDEX(BANK_CLEAN!$A$2:$A$1001,MATCH(MINIFS(BANK_CLEAN!$J$2:$J$1001,BANK_CLEAN!$H$2:$H$1001,G74,BANK_CLEAN!$L$2:$L$1001,""),BANK_CLEAN!$J$2:$J$1001,0)),""))</f>
        <v/>
      </c>
      <c r="I74" s="10">
        <f>IF(H74="","",INDEX(BANK_CLEAN!$B$2:$B$1001,H74))</f>
        <v/>
      </c>
      <c r="J74" s="14">
        <f>IF(H74="","",IF(F74="OUT",INDEX(BANK_CLEAN!$F$2:$F$1001,H74),INDEX(BANK_CLEAN!$E$2:$E$1001,H74)))</f>
        <v/>
      </c>
      <c r="K74" s="14">
        <f>IF(H74="","",ABS(E74-J74))</f>
        <v/>
      </c>
      <c r="L74" s="11">
        <f>IF(OR(H74="",B74="",I74=""),"",ABS(B74-I74))</f>
        <v/>
      </c>
      <c r="M74" s="15">
        <f>IF(H74="",0,LET(pct,IF(E74&gt;0,K74/E74,1),days,IFERROR(L74,999),100-pct*200-days*3))</f>
        <v/>
      </c>
      <c r="N74" s="11">
        <f>IF(A74="","",IF(H74="","Unmatched GL",IF(AND(K74&lt;=Tol_Amount,L74&lt;=Tol_Days),"Matched",IF(M74&gt;Tol_NearPct,"Near Match","Unmatched GL"))))</f>
        <v/>
      </c>
    </row>
    <row r="75">
      <c r="A75" s="13">
        <f>IF(GL_CLEAN!A75="","",GL_CLEAN!A75)</f>
        <v/>
      </c>
      <c r="B75" s="10">
        <f>IF(A75="","",GL_CLEAN!B75)</f>
        <v/>
      </c>
      <c r="C75" s="11">
        <f>IF(A75="","",GL_CLEAN!C75)</f>
        <v/>
      </c>
      <c r="D75" s="14">
        <f>IF(A75="","",GL_CLEAN!H75)</f>
        <v/>
      </c>
      <c r="E75" s="14">
        <f>IF(A75="","",GL_CLEAN!I75)</f>
        <v/>
      </c>
      <c r="F75" s="11">
        <f>IF(A75="","",GL_CLEAN!J75)</f>
        <v/>
      </c>
      <c r="G75" s="11">
        <f>IF(A75="","",IF(F75="OUT","DR","CR"))</f>
        <v/>
      </c>
      <c r="H75" s="11">
        <f>IF(A75="","",IFERROR(INDEX(BANK_CLEAN!$A$2:$A$1001,MATCH(MINIFS(BANK_CLEAN!$J$2:$J$1001,BANK_CLEAN!$H$2:$H$1001,G75,BANK_CLEAN!$L$2:$L$1001,""),BANK_CLEAN!$J$2:$J$1001,0)),""))</f>
        <v/>
      </c>
      <c r="I75" s="10">
        <f>IF(H75="","",INDEX(BANK_CLEAN!$B$2:$B$1001,H75))</f>
        <v/>
      </c>
      <c r="J75" s="14">
        <f>IF(H75="","",IF(F75="OUT",INDEX(BANK_CLEAN!$F$2:$F$1001,H75),INDEX(BANK_CLEAN!$E$2:$E$1001,H75)))</f>
        <v/>
      </c>
      <c r="K75" s="14">
        <f>IF(H75="","",ABS(E75-J75))</f>
        <v/>
      </c>
      <c r="L75" s="11">
        <f>IF(OR(H75="",B75="",I75=""),"",ABS(B75-I75))</f>
        <v/>
      </c>
      <c r="M75" s="15">
        <f>IF(H75="",0,LET(pct,IF(E75&gt;0,K75/E75,1),days,IFERROR(L75,999),100-pct*200-days*3))</f>
        <v/>
      </c>
      <c r="N75" s="11">
        <f>IF(A75="","",IF(H75="","Unmatched GL",IF(AND(K75&lt;=Tol_Amount,L75&lt;=Tol_Days),"Matched",IF(M75&gt;Tol_NearPct,"Near Match","Unmatched GL"))))</f>
        <v/>
      </c>
    </row>
    <row r="76">
      <c r="A76" s="13">
        <f>IF(GL_CLEAN!A76="","",GL_CLEAN!A76)</f>
        <v/>
      </c>
      <c r="B76" s="10">
        <f>IF(A76="","",GL_CLEAN!B76)</f>
        <v/>
      </c>
      <c r="C76" s="11">
        <f>IF(A76="","",GL_CLEAN!C76)</f>
        <v/>
      </c>
      <c r="D76" s="14">
        <f>IF(A76="","",GL_CLEAN!H76)</f>
        <v/>
      </c>
      <c r="E76" s="14">
        <f>IF(A76="","",GL_CLEAN!I76)</f>
        <v/>
      </c>
      <c r="F76" s="11">
        <f>IF(A76="","",GL_CLEAN!J76)</f>
        <v/>
      </c>
      <c r="G76" s="11">
        <f>IF(A76="","",IF(F76="OUT","DR","CR"))</f>
        <v/>
      </c>
      <c r="H76" s="11">
        <f>IF(A76="","",IFERROR(INDEX(BANK_CLEAN!$A$2:$A$1001,MATCH(MINIFS(BANK_CLEAN!$J$2:$J$1001,BANK_CLEAN!$H$2:$H$1001,G76,BANK_CLEAN!$L$2:$L$1001,""),BANK_CLEAN!$J$2:$J$1001,0)),""))</f>
        <v/>
      </c>
      <c r="I76" s="10">
        <f>IF(H76="","",INDEX(BANK_CLEAN!$B$2:$B$1001,H76))</f>
        <v/>
      </c>
      <c r="J76" s="14">
        <f>IF(H76="","",IF(F76="OUT",INDEX(BANK_CLEAN!$F$2:$F$1001,H76),INDEX(BANK_CLEAN!$E$2:$E$1001,H76)))</f>
        <v/>
      </c>
      <c r="K76" s="14">
        <f>IF(H76="","",ABS(E76-J76))</f>
        <v/>
      </c>
      <c r="L76" s="11">
        <f>IF(OR(H76="",B76="",I76=""),"",ABS(B76-I76))</f>
        <v/>
      </c>
      <c r="M76" s="15">
        <f>IF(H76="",0,LET(pct,IF(E76&gt;0,K76/E76,1),days,IFERROR(L76,999),100-pct*200-days*3))</f>
        <v/>
      </c>
      <c r="N76" s="11">
        <f>IF(A76="","",IF(H76="","Unmatched GL",IF(AND(K76&lt;=Tol_Amount,L76&lt;=Tol_Days),"Matched",IF(M76&gt;Tol_NearPct,"Near Match","Unmatched GL"))))</f>
        <v/>
      </c>
    </row>
    <row r="77">
      <c r="A77" s="13">
        <f>IF(GL_CLEAN!A77="","",GL_CLEAN!A77)</f>
        <v/>
      </c>
      <c r="B77" s="10">
        <f>IF(A77="","",GL_CLEAN!B77)</f>
        <v/>
      </c>
      <c r="C77" s="11">
        <f>IF(A77="","",GL_CLEAN!C77)</f>
        <v/>
      </c>
      <c r="D77" s="14">
        <f>IF(A77="","",GL_CLEAN!H77)</f>
        <v/>
      </c>
      <c r="E77" s="14">
        <f>IF(A77="","",GL_CLEAN!I77)</f>
        <v/>
      </c>
      <c r="F77" s="11">
        <f>IF(A77="","",GL_CLEAN!J77)</f>
        <v/>
      </c>
      <c r="G77" s="11">
        <f>IF(A77="","",IF(F77="OUT","DR","CR"))</f>
        <v/>
      </c>
      <c r="H77" s="11">
        <f>IF(A77="","",IFERROR(INDEX(BANK_CLEAN!$A$2:$A$1001,MATCH(MINIFS(BANK_CLEAN!$J$2:$J$1001,BANK_CLEAN!$H$2:$H$1001,G77,BANK_CLEAN!$L$2:$L$1001,""),BANK_CLEAN!$J$2:$J$1001,0)),""))</f>
        <v/>
      </c>
      <c r="I77" s="10">
        <f>IF(H77="","",INDEX(BANK_CLEAN!$B$2:$B$1001,H77))</f>
        <v/>
      </c>
      <c r="J77" s="14">
        <f>IF(H77="","",IF(F77="OUT",INDEX(BANK_CLEAN!$F$2:$F$1001,H77),INDEX(BANK_CLEAN!$E$2:$E$1001,H77)))</f>
        <v/>
      </c>
      <c r="K77" s="14">
        <f>IF(H77="","",ABS(E77-J77))</f>
        <v/>
      </c>
      <c r="L77" s="11">
        <f>IF(OR(H77="",B77="",I77=""),"",ABS(B77-I77))</f>
        <v/>
      </c>
      <c r="M77" s="15">
        <f>IF(H77="",0,LET(pct,IF(E77&gt;0,K77/E77,1),days,IFERROR(L77,999),100-pct*200-days*3))</f>
        <v/>
      </c>
      <c r="N77" s="11">
        <f>IF(A77="","",IF(H77="","Unmatched GL",IF(AND(K77&lt;=Tol_Amount,L77&lt;=Tol_Days),"Matched",IF(M77&gt;Tol_NearPct,"Near Match","Unmatched GL"))))</f>
        <v/>
      </c>
    </row>
    <row r="78">
      <c r="A78" s="13">
        <f>IF(GL_CLEAN!A78="","",GL_CLEAN!A78)</f>
        <v/>
      </c>
      <c r="B78" s="10">
        <f>IF(A78="","",GL_CLEAN!B78)</f>
        <v/>
      </c>
      <c r="C78" s="11">
        <f>IF(A78="","",GL_CLEAN!C78)</f>
        <v/>
      </c>
      <c r="D78" s="14">
        <f>IF(A78="","",GL_CLEAN!H78)</f>
        <v/>
      </c>
      <c r="E78" s="14">
        <f>IF(A78="","",GL_CLEAN!I78)</f>
        <v/>
      </c>
      <c r="F78" s="11">
        <f>IF(A78="","",GL_CLEAN!J78)</f>
        <v/>
      </c>
      <c r="G78" s="11">
        <f>IF(A78="","",IF(F78="OUT","DR","CR"))</f>
        <v/>
      </c>
      <c r="H78" s="11">
        <f>IF(A78="","",IFERROR(INDEX(BANK_CLEAN!$A$2:$A$1001,MATCH(MINIFS(BANK_CLEAN!$J$2:$J$1001,BANK_CLEAN!$H$2:$H$1001,G78,BANK_CLEAN!$L$2:$L$1001,""),BANK_CLEAN!$J$2:$J$1001,0)),""))</f>
        <v/>
      </c>
      <c r="I78" s="10">
        <f>IF(H78="","",INDEX(BANK_CLEAN!$B$2:$B$1001,H78))</f>
        <v/>
      </c>
      <c r="J78" s="14">
        <f>IF(H78="","",IF(F78="OUT",INDEX(BANK_CLEAN!$F$2:$F$1001,H78),INDEX(BANK_CLEAN!$E$2:$E$1001,H78)))</f>
        <v/>
      </c>
      <c r="K78" s="14">
        <f>IF(H78="","",ABS(E78-J78))</f>
        <v/>
      </c>
      <c r="L78" s="11">
        <f>IF(OR(H78="",B78="",I78=""),"",ABS(B78-I78))</f>
        <v/>
      </c>
      <c r="M78" s="15">
        <f>IF(H78="",0,LET(pct,IF(E78&gt;0,K78/E78,1),days,IFERROR(L78,999),100-pct*200-days*3))</f>
        <v/>
      </c>
      <c r="N78" s="11">
        <f>IF(A78="","",IF(H78="","Unmatched GL",IF(AND(K78&lt;=Tol_Amount,L78&lt;=Tol_Days),"Matched",IF(M78&gt;Tol_NearPct,"Near Match","Unmatched GL"))))</f>
        <v/>
      </c>
    </row>
    <row r="79">
      <c r="A79" s="13">
        <f>IF(GL_CLEAN!A79="","",GL_CLEAN!A79)</f>
        <v/>
      </c>
      <c r="B79" s="10">
        <f>IF(A79="","",GL_CLEAN!B79)</f>
        <v/>
      </c>
      <c r="C79" s="11">
        <f>IF(A79="","",GL_CLEAN!C79)</f>
        <v/>
      </c>
      <c r="D79" s="14">
        <f>IF(A79="","",GL_CLEAN!H79)</f>
        <v/>
      </c>
      <c r="E79" s="14">
        <f>IF(A79="","",GL_CLEAN!I79)</f>
        <v/>
      </c>
      <c r="F79" s="11">
        <f>IF(A79="","",GL_CLEAN!J79)</f>
        <v/>
      </c>
      <c r="G79" s="11">
        <f>IF(A79="","",IF(F79="OUT","DR","CR"))</f>
        <v/>
      </c>
      <c r="H79" s="11">
        <f>IF(A79="","",IFERROR(INDEX(BANK_CLEAN!$A$2:$A$1001,MATCH(MINIFS(BANK_CLEAN!$J$2:$J$1001,BANK_CLEAN!$H$2:$H$1001,G79,BANK_CLEAN!$L$2:$L$1001,""),BANK_CLEAN!$J$2:$J$1001,0)),""))</f>
        <v/>
      </c>
      <c r="I79" s="10">
        <f>IF(H79="","",INDEX(BANK_CLEAN!$B$2:$B$1001,H79))</f>
        <v/>
      </c>
      <c r="J79" s="14">
        <f>IF(H79="","",IF(F79="OUT",INDEX(BANK_CLEAN!$F$2:$F$1001,H79),INDEX(BANK_CLEAN!$E$2:$E$1001,H79)))</f>
        <v/>
      </c>
      <c r="K79" s="14">
        <f>IF(H79="","",ABS(E79-J79))</f>
        <v/>
      </c>
      <c r="L79" s="11">
        <f>IF(OR(H79="",B79="",I79=""),"",ABS(B79-I79))</f>
        <v/>
      </c>
      <c r="M79" s="15">
        <f>IF(H79="",0,LET(pct,IF(E79&gt;0,K79/E79,1),days,IFERROR(L79,999),100-pct*200-days*3))</f>
        <v/>
      </c>
      <c r="N79" s="11">
        <f>IF(A79="","",IF(H79="","Unmatched GL",IF(AND(K79&lt;=Tol_Amount,L79&lt;=Tol_Days),"Matched",IF(M79&gt;Tol_NearPct,"Near Match","Unmatched GL"))))</f>
        <v/>
      </c>
    </row>
    <row r="80">
      <c r="A80" s="13">
        <f>IF(GL_CLEAN!A80="","",GL_CLEAN!A80)</f>
        <v/>
      </c>
      <c r="B80" s="10">
        <f>IF(A80="","",GL_CLEAN!B80)</f>
        <v/>
      </c>
      <c r="C80" s="11">
        <f>IF(A80="","",GL_CLEAN!C80)</f>
        <v/>
      </c>
      <c r="D80" s="14">
        <f>IF(A80="","",GL_CLEAN!H80)</f>
        <v/>
      </c>
      <c r="E80" s="14">
        <f>IF(A80="","",GL_CLEAN!I80)</f>
        <v/>
      </c>
      <c r="F80" s="11">
        <f>IF(A80="","",GL_CLEAN!J80)</f>
        <v/>
      </c>
      <c r="G80" s="11">
        <f>IF(A80="","",IF(F80="OUT","DR","CR"))</f>
        <v/>
      </c>
      <c r="H80" s="11">
        <f>IF(A80="","",IFERROR(INDEX(BANK_CLEAN!$A$2:$A$1001,MATCH(MINIFS(BANK_CLEAN!$J$2:$J$1001,BANK_CLEAN!$H$2:$H$1001,G80,BANK_CLEAN!$L$2:$L$1001,""),BANK_CLEAN!$J$2:$J$1001,0)),""))</f>
        <v/>
      </c>
      <c r="I80" s="10">
        <f>IF(H80="","",INDEX(BANK_CLEAN!$B$2:$B$1001,H80))</f>
        <v/>
      </c>
      <c r="J80" s="14">
        <f>IF(H80="","",IF(F80="OUT",INDEX(BANK_CLEAN!$F$2:$F$1001,H80),INDEX(BANK_CLEAN!$E$2:$E$1001,H80)))</f>
        <v/>
      </c>
      <c r="K80" s="14">
        <f>IF(H80="","",ABS(E80-J80))</f>
        <v/>
      </c>
      <c r="L80" s="11">
        <f>IF(OR(H80="",B80="",I80=""),"",ABS(B80-I80))</f>
        <v/>
      </c>
      <c r="M80" s="15">
        <f>IF(H80="",0,LET(pct,IF(E80&gt;0,K80/E80,1),days,IFERROR(L80,999),100-pct*200-days*3))</f>
        <v/>
      </c>
      <c r="N80" s="11">
        <f>IF(A80="","",IF(H80="","Unmatched GL",IF(AND(K80&lt;=Tol_Amount,L80&lt;=Tol_Days),"Matched",IF(M80&gt;Tol_NearPct,"Near Match","Unmatched GL"))))</f>
        <v/>
      </c>
    </row>
    <row r="81">
      <c r="A81" s="13">
        <f>IF(GL_CLEAN!A81="","",GL_CLEAN!A81)</f>
        <v/>
      </c>
      <c r="B81" s="10">
        <f>IF(A81="","",GL_CLEAN!B81)</f>
        <v/>
      </c>
      <c r="C81" s="11">
        <f>IF(A81="","",GL_CLEAN!C81)</f>
        <v/>
      </c>
      <c r="D81" s="14">
        <f>IF(A81="","",GL_CLEAN!H81)</f>
        <v/>
      </c>
      <c r="E81" s="14">
        <f>IF(A81="","",GL_CLEAN!I81)</f>
        <v/>
      </c>
      <c r="F81" s="11">
        <f>IF(A81="","",GL_CLEAN!J81)</f>
        <v/>
      </c>
      <c r="G81" s="11">
        <f>IF(A81="","",IF(F81="OUT","DR","CR"))</f>
        <v/>
      </c>
      <c r="H81" s="11">
        <f>IF(A81="","",IFERROR(INDEX(BANK_CLEAN!$A$2:$A$1001,MATCH(MINIFS(BANK_CLEAN!$J$2:$J$1001,BANK_CLEAN!$H$2:$H$1001,G81,BANK_CLEAN!$L$2:$L$1001,""),BANK_CLEAN!$J$2:$J$1001,0)),""))</f>
        <v/>
      </c>
      <c r="I81" s="10">
        <f>IF(H81="","",INDEX(BANK_CLEAN!$B$2:$B$1001,H81))</f>
        <v/>
      </c>
      <c r="J81" s="14">
        <f>IF(H81="","",IF(F81="OUT",INDEX(BANK_CLEAN!$F$2:$F$1001,H81),INDEX(BANK_CLEAN!$E$2:$E$1001,H81)))</f>
        <v/>
      </c>
      <c r="K81" s="14">
        <f>IF(H81="","",ABS(E81-J81))</f>
        <v/>
      </c>
      <c r="L81" s="11">
        <f>IF(OR(H81="",B81="",I81=""),"",ABS(B81-I81))</f>
        <v/>
      </c>
      <c r="M81" s="15">
        <f>IF(H81="",0,LET(pct,IF(E81&gt;0,K81/E81,1),days,IFERROR(L81,999),100-pct*200-days*3))</f>
        <v/>
      </c>
      <c r="N81" s="11">
        <f>IF(A81="","",IF(H81="","Unmatched GL",IF(AND(K81&lt;=Tol_Amount,L81&lt;=Tol_Days),"Matched",IF(M81&gt;Tol_NearPct,"Near Match","Unmatched GL"))))</f>
        <v/>
      </c>
    </row>
    <row r="82">
      <c r="A82" s="13">
        <f>IF(GL_CLEAN!A82="","",GL_CLEAN!A82)</f>
        <v/>
      </c>
      <c r="B82" s="10">
        <f>IF(A82="","",GL_CLEAN!B82)</f>
        <v/>
      </c>
      <c r="C82" s="11">
        <f>IF(A82="","",GL_CLEAN!C82)</f>
        <v/>
      </c>
      <c r="D82" s="14">
        <f>IF(A82="","",GL_CLEAN!H82)</f>
        <v/>
      </c>
      <c r="E82" s="14">
        <f>IF(A82="","",GL_CLEAN!I82)</f>
        <v/>
      </c>
      <c r="F82" s="11">
        <f>IF(A82="","",GL_CLEAN!J82)</f>
        <v/>
      </c>
      <c r="G82" s="11">
        <f>IF(A82="","",IF(F82="OUT","DR","CR"))</f>
        <v/>
      </c>
      <c r="H82" s="11">
        <f>IF(A82="","",IFERROR(INDEX(BANK_CLEAN!$A$2:$A$1001,MATCH(MINIFS(BANK_CLEAN!$J$2:$J$1001,BANK_CLEAN!$H$2:$H$1001,G82,BANK_CLEAN!$L$2:$L$1001,""),BANK_CLEAN!$J$2:$J$1001,0)),""))</f>
        <v/>
      </c>
      <c r="I82" s="10">
        <f>IF(H82="","",INDEX(BANK_CLEAN!$B$2:$B$1001,H82))</f>
        <v/>
      </c>
      <c r="J82" s="14">
        <f>IF(H82="","",IF(F82="OUT",INDEX(BANK_CLEAN!$F$2:$F$1001,H82),INDEX(BANK_CLEAN!$E$2:$E$1001,H82)))</f>
        <v/>
      </c>
      <c r="K82" s="14">
        <f>IF(H82="","",ABS(E82-J82))</f>
        <v/>
      </c>
      <c r="L82" s="11">
        <f>IF(OR(H82="",B82="",I82=""),"",ABS(B82-I82))</f>
        <v/>
      </c>
      <c r="M82" s="15">
        <f>IF(H82="",0,LET(pct,IF(E82&gt;0,K82/E82,1),days,IFERROR(L82,999),100-pct*200-days*3))</f>
        <v/>
      </c>
      <c r="N82" s="11">
        <f>IF(A82="","",IF(H82="","Unmatched GL",IF(AND(K82&lt;=Tol_Amount,L82&lt;=Tol_Days),"Matched",IF(M82&gt;Tol_NearPct,"Near Match","Unmatched GL"))))</f>
        <v/>
      </c>
    </row>
    <row r="83">
      <c r="A83" s="13">
        <f>IF(GL_CLEAN!A83="","",GL_CLEAN!A83)</f>
        <v/>
      </c>
      <c r="B83" s="10">
        <f>IF(A83="","",GL_CLEAN!B83)</f>
        <v/>
      </c>
      <c r="C83" s="11">
        <f>IF(A83="","",GL_CLEAN!C83)</f>
        <v/>
      </c>
      <c r="D83" s="14">
        <f>IF(A83="","",GL_CLEAN!H83)</f>
        <v/>
      </c>
      <c r="E83" s="14">
        <f>IF(A83="","",GL_CLEAN!I83)</f>
        <v/>
      </c>
      <c r="F83" s="11">
        <f>IF(A83="","",GL_CLEAN!J83)</f>
        <v/>
      </c>
      <c r="G83" s="11">
        <f>IF(A83="","",IF(F83="OUT","DR","CR"))</f>
        <v/>
      </c>
      <c r="H83" s="11">
        <f>IF(A83="","",IFERROR(INDEX(BANK_CLEAN!$A$2:$A$1001,MATCH(MINIFS(BANK_CLEAN!$J$2:$J$1001,BANK_CLEAN!$H$2:$H$1001,G83,BANK_CLEAN!$L$2:$L$1001,""),BANK_CLEAN!$J$2:$J$1001,0)),""))</f>
        <v/>
      </c>
      <c r="I83" s="10">
        <f>IF(H83="","",INDEX(BANK_CLEAN!$B$2:$B$1001,H83))</f>
        <v/>
      </c>
      <c r="J83" s="14">
        <f>IF(H83="","",IF(F83="OUT",INDEX(BANK_CLEAN!$F$2:$F$1001,H83),INDEX(BANK_CLEAN!$E$2:$E$1001,H83)))</f>
        <v/>
      </c>
      <c r="K83" s="14">
        <f>IF(H83="","",ABS(E83-J83))</f>
        <v/>
      </c>
      <c r="L83" s="11">
        <f>IF(OR(H83="",B83="",I83=""),"",ABS(B83-I83))</f>
        <v/>
      </c>
      <c r="M83" s="15">
        <f>IF(H83="",0,LET(pct,IF(E83&gt;0,K83/E83,1),days,IFERROR(L83,999),100-pct*200-days*3))</f>
        <v/>
      </c>
      <c r="N83" s="11">
        <f>IF(A83="","",IF(H83="","Unmatched GL",IF(AND(K83&lt;=Tol_Amount,L83&lt;=Tol_Days),"Matched",IF(M83&gt;Tol_NearPct,"Near Match","Unmatched GL"))))</f>
        <v/>
      </c>
    </row>
    <row r="84">
      <c r="A84" s="13">
        <f>IF(GL_CLEAN!A84="","",GL_CLEAN!A84)</f>
        <v/>
      </c>
      <c r="B84" s="10">
        <f>IF(A84="","",GL_CLEAN!B84)</f>
        <v/>
      </c>
      <c r="C84" s="11">
        <f>IF(A84="","",GL_CLEAN!C84)</f>
        <v/>
      </c>
      <c r="D84" s="14">
        <f>IF(A84="","",GL_CLEAN!H84)</f>
        <v/>
      </c>
      <c r="E84" s="14">
        <f>IF(A84="","",GL_CLEAN!I84)</f>
        <v/>
      </c>
      <c r="F84" s="11">
        <f>IF(A84="","",GL_CLEAN!J84)</f>
        <v/>
      </c>
      <c r="G84" s="11">
        <f>IF(A84="","",IF(F84="OUT","DR","CR"))</f>
        <v/>
      </c>
      <c r="H84" s="11">
        <f>IF(A84="","",IFERROR(INDEX(BANK_CLEAN!$A$2:$A$1001,MATCH(MINIFS(BANK_CLEAN!$J$2:$J$1001,BANK_CLEAN!$H$2:$H$1001,G84,BANK_CLEAN!$L$2:$L$1001,""),BANK_CLEAN!$J$2:$J$1001,0)),""))</f>
        <v/>
      </c>
      <c r="I84" s="10">
        <f>IF(H84="","",INDEX(BANK_CLEAN!$B$2:$B$1001,H84))</f>
        <v/>
      </c>
      <c r="J84" s="14">
        <f>IF(H84="","",IF(F84="OUT",INDEX(BANK_CLEAN!$F$2:$F$1001,H84),INDEX(BANK_CLEAN!$E$2:$E$1001,H84)))</f>
        <v/>
      </c>
      <c r="K84" s="14">
        <f>IF(H84="","",ABS(E84-J84))</f>
        <v/>
      </c>
      <c r="L84" s="11">
        <f>IF(OR(H84="",B84="",I84=""),"",ABS(B84-I84))</f>
        <v/>
      </c>
      <c r="M84" s="15">
        <f>IF(H84="",0,LET(pct,IF(E84&gt;0,K84/E84,1),days,IFERROR(L84,999),100-pct*200-days*3))</f>
        <v/>
      </c>
      <c r="N84" s="11">
        <f>IF(A84="","",IF(H84="","Unmatched GL",IF(AND(K84&lt;=Tol_Amount,L84&lt;=Tol_Days),"Matched",IF(M84&gt;Tol_NearPct,"Near Match","Unmatched GL"))))</f>
        <v/>
      </c>
    </row>
    <row r="85">
      <c r="A85" s="13">
        <f>IF(GL_CLEAN!A85="","",GL_CLEAN!A85)</f>
        <v/>
      </c>
      <c r="B85" s="10">
        <f>IF(A85="","",GL_CLEAN!B85)</f>
        <v/>
      </c>
      <c r="C85" s="11">
        <f>IF(A85="","",GL_CLEAN!C85)</f>
        <v/>
      </c>
      <c r="D85" s="14">
        <f>IF(A85="","",GL_CLEAN!H85)</f>
        <v/>
      </c>
      <c r="E85" s="14">
        <f>IF(A85="","",GL_CLEAN!I85)</f>
        <v/>
      </c>
      <c r="F85" s="11">
        <f>IF(A85="","",GL_CLEAN!J85)</f>
        <v/>
      </c>
      <c r="G85" s="11">
        <f>IF(A85="","",IF(F85="OUT","DR","CR"))</f>
        <v/>
      </c>
      <c r="H85" s="11">
        <f>IF(A85="","",IFERROR(INDEX(BANK_CLEAN!$A$2:$A$1001,MATCH(MINIFS(BANK_CLEAN!$J$2:$J$1001,BANK_CLEAN!$H$2:$H$1001,G85,BANK_CLEAN!$L$2:$L$1001,""),BANK_CLEAN!$J$2:$J$1001,0)),""))</f>
        <v/>
      </c>
      <c r="I85" s="10">
        <f>IF(H85="","",INDEX(BANK_CLEAN!$B$2:$B$1001,H85))</f>
        <v/>
      </c>
      <c r="J85" s="14">
        <f>IF(H85="","",IF(F85="OUT",INDEX(BANK_CLEAN!$F$2:$F$1001,H85),INDEX(BANK_CLEAN!$E$2:$E$1001,H85)))</f>
        <v/>
      </c>
      <c r="K85" s="14">
        <f>IF(H85="","",ABS(E85-J85))</f>
        <v/>
      </c>
      <c r="L85" s="11">
        <f>IF(OR(H85="",B85="",I85=""),"",ABS(B85-I85))</f>
        <v/>
      </c>
      <c r="M85" s="15">
        <f>IF(H85="",0,LET(pct,IF(E85&gt;0,K85/E85,1),days,IFERROR(L85,999),100-pct*200-days*3))</f>
        <v/>
      </c>
      <c r="N85" s="11">
        <f>IF(A85="","",IF(H85="","Unmatched GL",IF(AND(K85&lt;=Tol_Amount,L85&lt;=Tol_Days),"Matched",IF(M85&gt;Tol_NearPct,"Near Match","Unmatched GL"))))</f>
        <v/>
      </c>
    </row>
    <row r="86">
      <c r="A86" s="13">
        <f>IF(GL_CLEAN!A86="","",GL_CLEAN!A86)</f>
        <v/>
      </c>
      <c r="B86" s="10">
        <f>IF(A86="","",GL_CLEAN!B86)</f>
        <v/>
      </c>
      <c r="C86" s="11">
        <f>IF(A86="","",GL_CLEAN!C86)</f>
        <v/>
      </c>
      <c r="D86" s="14">
        <f>IF(A86="","",GL_CLEAN!H86)</f>
        <v/>
      </c>
      <c r="E86" s="14">
        <f>IF(A86="","",GL_CLEAN!I86)</f>
        <v/>
      </c>
      <c r="F86" s="11">
        <f>IF(A86="","",GL_CLEAN!J86)</f>
        <v/>
      </c>
      <c r="G86" s="11">
        <f>IF(A86="","",IF(F86="OUT","DR","CR"))</f>
        <v/>
      </c>
      <c r="H86" s="11">
        <f>IF(A86="","",IFERROR(INDEX(BANK_CLEAN!$A$2:$A$1001,MATCH(MINIFS(BANK_CLEAN!$J$2:$J$1001,BANK_CLEAN!$H$2:$H$1001,G86,BANK_CLEAN!$L$2:$L$1001,""),BANK_CLEAN!$J$2:$J$1001,0)),""))</f>
        <v/>
      </c>
      <c r="I86" s="10">
        <f>IF(H86="","",INDEX(BANK_CLEAN!$B$2:$B$1001,H86))</f>
        <v/>
      </c>
      <c r="J86" s="14">
        <f>IF(H86="","",IF(F86="OUT",INDEX(BANK_CLEAN!$F$2:$F$1001,H86),INDEX(BANK_CLEAN!$E$2:$E$1001,H86)))</f>
        <v/>
      </c>
      <c r="K86" s="14">
        <f>IF(H86="","",ABS(E86-J86))</f>
        <v/>
      </c>
      <c r="L86" s="11">
        <f>IF(OR(H86="",B86="",I86=""),"",ABS(B86-I86))</f>
        <v/>
      </c>
      <c r="M86" s="15">
        <f>IF(H86="",0,LET(pct,IF(E86&gt;0,K86/E86,1),days,IFERROR(L86,999),100-pct*200-days*3))</f>
        <v/>
      </c>
      <c r="N86" s="11">
        <f>IF(A86="","",IF(H86="","Unmatched GL",IF(AND(K86&lt;=Tol_Amount,L86&lt;=Tol_Days),"Matched",IF(M86&gt;Tol_NearPct,"Near Match","Unmatched GL"))))</f>
        <v/>
      </c>
    </row>
    <row r="87">
      <c r="A87" s="13">
        <f>IF(GL_CLEAN!A87="","",GL_CLEAN!A87)</f>
        <v/>
      </c>
      <c r="B87" s="10">
        <f>IF(A87="","",GL_CLEAN!B87)</f>
        <v/>
      </c>
      <c r="C87" s="11">
        <f>IF(A87="","",GL_CLEAN!C87)</f>
        <v/>
      </c>
      <c r="D87" s="14">
        <f>IF(A87="","",GL_CLEAN!H87)</f>
        <v/>
      </c>
      <c r="E87" s="14">
        <f>IF(A87="","",GL_CLEAN!I87)</f>
        <v/>
      </c>
      <c r="F87" s="11">
        <f>IF(A87="","",GL_CLEAN!J87)</f>
        <v/>
      </c>
      <c r="G87" s="11">
        <f>IF(A87="","",IF(F87="OUT","DR","CR"))</f>
        <v/>
      </c>
      <c r="H87" s="11">
        <f>IF(A87="","",IFERROR(INDEX(BANK_CLEAN!$A$2:$A$1001,MATCH(MINIFS(BANK_CLEAN!$J$2:$J$1001,BANK_CLEAN!$H$2:$H$1001,G87,BANK_CLEAN!$L$2:$L$1001,""),BANK_CLEAN!$J$2:$J$1001,0)),""))</f>
        <v/>
      </c>
      <c r="I87" s="10">
        <f>IF(H87="","",INDEX(BANK_CLEAN!$B$2:$B$1001,H87))</f>
        <v/>
      </c>
      <c r="J87" s="14">
        <f>IF(H87="","",IF(F87="OUT",INDEX(BANK_CLEAN!$F$2:$F$1001,H87),INDEX(BANK_CLEAN!$E$2:$E$1001,H87)))</f>
        <v/>
      </c>
      <c r="K87" s="14">
        <f>IF(H87="","",ABS(E87-J87))</f>
        <v/>
      </c>
      <c r="L87" s="11">
        <f>IF(OR(H87="",B87="",I87=""),"",ABS(B87-I87))</f>
        <v/>
      </c>
      <c r="M87" s="15">
        <f>IF(H87="",0,LET(pct,IF(E87&gt;0,K87/E87,1),days,IFERROR(L87,999),100-pct*200-days*3))</f>
        <v/>
      </c>
      <c r="N87" s="11">
        <f>IF(A87="","",IF(H87="","Unmatched GL",IF(AND(K87&lt;=Tol_Amount,L87&lt;=Tol_Days),"Matched",IF(M87&gt;Tol_NearPct,"Near Match","Unmatched GL"))))</f>
        <v/>
      </c>
    </row>
    <row r="88">
      <c r="A88" s="13">
        <f>IF(GL_CLEAN!A88="","",GL_CLEAN!A88)</f>
        <v/>
      </c>
      <c r="B88" s="10">
        <f>IF(A88="","",GL_CLEAN!B88)</f>
        <v/>
      </c>
      <c r="C88" s="11">
        <f>IF(A88="","",GL_CLEAN!C88)</f>
        <v/>
      </c>
      <c r="D88" s="14">
        <f>IF(A88="","",GL_CLEAN!H88)</f>
        <v/>
      </c>
      <c r="E88" s="14">
        <f>IF(A88="","",GL_CLEAN!I88)</f>
        <v/>
      </c>
      <c r="F88" s="11">
        <f>IF(A88="","",GL_CLEAN!J88)</f>
        <v/>
      </c>
      <c r="G88" s="11">
        <f>IF(A88="","",IF(F88="OUT","DR","CR"))</f>
        <v/>
      </c>
      <c r="H88" s="11">
        <f>IF(A88="","",IFERROR(INDEX(BANK_CLEAN!$A$2:$A$1001,MATCH(MINIFS(BANK_CLEAN!$J$2:$J$1001,BANK_CLEAN!$H$2:$H$1001,G88,BANK_CLEAN!$L$2:$L$1001,""),BANK_CLEAN!$J$2:$J$1001,0)),""))</f>
        <v/>
      </c>
      <c r="I88" s="10">
        <f>IF(H88="","",INDEX(BANK_CLEAN!$B$2:$B$1001,H88))</f>
        <v/>
      </c>
      <c r="J88" s="14">
        <f>IF(H88="","",IF(F88="OUT",INDEX(BANK_CLEAN!$F$2:$F$1001,H88),INDEX(BANK_CLEAN!$E$2:$E$1001,H88)))</f>
        <v/>
      </c>
      <c r="K88" s="14">
        <f>IF(H88="","",ABS(E88-J88))</f>
        <v/>
      </c>
      <c r="L88" s="11">
        <f>IF(OR(H88="",B88="",I88=""),"",ABS(B88-I88))</f>
        <v/>
      </c>
      <c r="M88" s="15">
        <f>IF(H88="",0,LET(pct,IF(E88&gt;0,K88/E88,1),days,IFERROR(L88,999),100-pct*200-days*3))</f>
        <v/>
      </c>
      <c r="N88" s="11">
        <f>IF(A88="","",IF(H88="","Unmatched GL",IF(AND(K88&lt;=Tol_Amount,L88&lt;=Tol_Days),"Matched",IF(M88&gt;Tol_NearPct,"Near Match","Unmatched GL"))))</f>
        <v/>
      </c>
    </row>
    <row r="89">
      <c r="A89" s="13">
        <f>IF(GL_CLEAN!A89="","",GL_CLEAN!A89)</f>
        <v/>
      </c>
      <c r="B89" s="10">
        <f>IF(A89="","",GL_CLEAN!B89)</f>
        <v/>
      </c>
      <c r="C89" s="11">
        <f>IF(A89="","",GL_CLEAN!C89)</f>
        <v/>
      </c>
      <c r="D89" s="14">
        <f>IF(A89="","",GL_CLEAN!H89)</f>
        <v/>
      </c>
      <c r="E89" s="14">
        <f>IF(A89="","",GL_CLEAN!I89)</f>
        <v/>
      </c>
      <c r="F89" s="11">
        <f>IF(A89="","",GL_CLEAN!J89)</f>
        <v/>
      </c>
      <c r="G89" s="11">
        <f>IF(A89="","",IF(F89="OUT","DR","CR"))</f>
        <v/>
      </c>
      <c r="H89" s="11">
        <f>IF(A89="","",IFERROR(INDEX(BANK_CLEAN!$A$2:$A$1001,MATCH(MINIFS(BANK_CLEAN!$J$2:$J$1001,BANK_CLEAN!$H$2:$H$1001,G89,BANK_CLEAN!$L$2:$L$1001,""),BANK_CLEAN!$J$2:$J$1001,0)),""))</f>
        <v/>
      </c>
      <c r="I89" s="10">
        <f>IF(H89="","",INDEX(BANK_CLEAN!$B$2:$B$1001,H89))</f>
        <v/>
      </c>
      <c r="J89" s="14">
        <f>IF(H89="","",IF(F89="OUT",INDEX(BANK_CLEAN!$F$2:$F$1001,H89),INDEX(BANK_CLEAN!$E$2:$E$1001,H89)))</f>
        <v/>
      </c>
      <c r="K89" s="14">
        <f>IF(H89="","",ABS(E89-J89))</f>
        <v/>
      </c>
      <c r="L89" s="11">
        <f>IF(OR(H89="",B89="",I89=""),"",ABS(B89-I89))</f>
        <v/>
      </c>
      <c r="M89" s="15">
        <f>IF(H89="",0,LET(pct,IF(E89&gt;0,K89/E89,1),days,IFERROR(L89,999),100-pct*200-days*3))</f>
        <v/>
      </c>
      <c r="N89" s="11">
        <f>IF(A89="","",IF(H89="","Unmatched GL",IF(AND(K89&lt;=Tol_Amount,L89&lt;=Tol_Days),"Matched",IF(M89&gt;Tol_NearPct,"Near Match","Unmatched GL"))))</f>
        <v/>
      </c>
    </row>
    <row r="90">
      <c r="A90" s="13">
        <f>IF(GL_CLEAN!A90="","",GL_CLEAN!A90)</f>
        <v/>
      </c>
      <c r="B90" s="10">
        <f>IF(A90="","",GL_CLEAN!B90)</f>
        <v/>
      </c>
      <c r="C90" s="11">
        <f>IF(A90="","",GL_CLEAN!C90)</f>
        <v/>
      </c>
      <c r="D90" s="14">
        <f>IF(A90="","",GL_CLEAN!H90)</f>
        <v/>
      </c>
      <c r="E90" s="14">
        <f>IF(A90="","",GL_CLEAN!I90)</f>
        <v/>
      </c>
      <c r="F90" s="11">
        <f>IF(A90="","",GL_CLEAN!J90)</f>
        <v/>
      </c>
      <c r="G90" s="11">
        <f>IF(A90="","",IF(F90="OUT","DR","CR"))</f>
        <v/>
      </c>
      <c r="H90" s="11">
        <f>IF(A90="","",IFERROR(INDEX(BANK_CLEAN!$A$2:$A$1001,MATCH(MINIFS(BANK_CLEAN!$J$2:$J$1001,BANK_CLEAN!$H$2:$H$1001,G90,BANK_CLEAN!$L$2:$L$1001,""),BANK_CLEAN!$J$2:$J$1001,0)),""))</f>
        <v/>
      </c>
      <c r="I90" s="10">
        <f>IF(H90="","",INDEX(BANK_CLEAN!$B$2:$B$1001,H90))</f>
        <v/>
      </c>
      <c r="J90" s="14">
        <f>IF(H90="","",IF(F90="OUT",INDEX(BANK_CLEAN!$F$2:$F$1001,H90),INDEX(BANK_CLEAN!$E$2:$E$1001,H90)))</f>
        <v/>
      </c>
      <c r="K90" s="14">
        <f>IF(H90="","",ABS(E90-J90))</f>
        <v/>
      </c>
      <c r="L90" s="11">
        <f>IF(OR(H90="",B90="",I90=""),"",ABS(B90-I90))</f>
        <v/>
      </c>
      <c r="M90" s="15">
        <f>IF(H90="",0,LET(pct,IF(E90&gt;0,K90/E90,1),days,IFERROR(L90,999),100-pct*200-days*3))</f>
        <v/>
      </c>
      <c r="N90" s="11">
        <f>IF(A90="","",IF(H90="","Unmatched GL",IF(AND(K90&lt;=Tol_Amount,L90&lt;=Tol_Days),"Matched",IF(M90&gt;Tol_NearPct,"Near Match","Unmatched GL"))))</f>
        <v/>
      </c>
    </row>
    <row r="91">
      <c r="A91" s="13">
        <f>IF(GL_CLEAN!A91="","",GL_CLEAN!A91)</f>
        <v/>
      </c>
      <c r="B91" s="10">
        <f>IF(A91="","",GL_CLEAN!B91)</f>
        <v/>
      </c>
      <c r="C91" s="11">
        <f>IF(A91="","",GL_CLEAN!C91)</f>
        <v/>
      </c>
      <c r="D91" s="14">
        <f>IF(A91="","",GL_CLEAN!H91)</f>
        <v/>
      </c>
      <c r="E91" s="14">
        <f>IF(A91="","",GL_CLEAN!I91)</f>
        <v/>
      </c>
      <c r="F91" s="11">
        <f>IF(A91="","",GL_CLEAN!J91)</f>
        <v/>
      </c>
      <c r="G91" s="11">
        <f>IF(A91="","",IF(F91="OUT","DR","CR"))</f>
        <v/>
      </c>
      <c r="H91" s="11">
        <f>IF(A91="","",IFERROR(INDEX(BANK_CLEAN!$A$2:$A$1001,MATCH(MINIFS(BANK_CLEAN!$J$2:$J$1001,BANK_CLEAN!$H$2:$H$1001,G91,BANK_CLEAN!$L$2:$L$1001,""),BANK_CLEAN!$J$2:$J$1001,0)),""))</f>
        <v/>
      </c>
      <c r="I91" s="10">
        <f>IF(H91="","",INDEX(BANK_CLEAN!$B$2:$B$1001,H91))</f>
        <v/>
      </c>
      <c r="J91" s="14">
        <f>IF(H91="","",IF(F91="OUT",INDEX(BANK_CLEAN!$F$2:$F$1001,H91),INDEX(BANK_CLEAN!$E$2:$E$1001,H91)))</f>
        <v/>
      </c>
      <c r="K91" s="14">
        <f>IF(H91="","",ABS(E91-J91))</f>
        <v/>
      </c>
      <c r="L91" s="11">
        <f>IF(OR(H91="",B91="",I91=""),"",ABS(B91-I91))</f>
        <v/>
      </c>
      <c r="M91" s="15">
        <f>IF(H91="",0,LET(pct,IF(E91&gt;0,K91/E91,1),days,IFERROR(L91,999),100-pct*200-days*3))</f>
        <v/>
      </c>
      <c r="N91" s="11">
        <f>IF(A91="","",IF(H91="","Unmatched GL",IF(AND(K91&lt;=Tol_Amount,L91&lt;=Tol_Days),"Matched",IF(M91&gt;Tol_NearPct,"Near Match","Unmatched GL"))))</f>
        <v/>
      </c>
    </row>
    <row r="92">
      <c r="A92" s="13">
        <f>IF(GL_CLEAN!A92="","",GL_CLEAN!A92)</f>
        <v/>
      </c>
      <c r="B92" s="10">
        <f>IF(A92="","",GL_CLEAN!B92)</f>
        <v/>
      </c>
      <c r="C92" s="11">
        <f>IF(A92="","",GL_CLEAN!C92)</f>
        <v/>
      </c>
      <c r="D92" s="14">
        <f>IF(A92="","",GL_CLEAN!H92)</f>
        <v/>
      </c>
      <c r="E92" s="14">
        <f>IF(A92="","",GL_CLEAN!I92)</f>
        <v/>
      </c>
      <c r="F92" s="11">
        <f>IF(A92="","",GL_CLEAN!J92)</f>
        <v/>
      </c>
      <c r="G92" s="11">
        <f>IF(A92="","",IF(F92="OUT","DR","CR"))</f>
        <v/>
      </c>
      <c r="H92" s="11">
        <f>IF(A92="","",IFERROR(INDEX(BANK_CLEAN!$A$2:$A$1001,MATCH(MINIFS(BANK_CLEAN!$J$2:$J$1001,BANK_CLEAN!$H$2:$H$1001,G92,BANK_CLEAN!$L$2:$L$1001,""),BANK_CLEAN!$J$2:$J$1001,0)),""))</f>
        <v/>
      </c>
      <c r="I92" s="10">
        <f>IF(H92="","",INDEX(BANK_CLEAN!$B$2:$B$1001,H92))</f>
        <v/>
      </c>
      <c r="J92" s="14">
        <f>IF(H92="","",IF(F92="OUT",INDEX(BANK_CLEAN!$F$2:$F$1001,H92),INDEX(BANK_CLEAN!$E$2:$E$1001,H92)))</f>
        <v/>
      </c>
      <c r="K92" s="14">
        <f>IF(H92="","",ABS(E92-J92))</f>
        <v/>
      </c>
      <c r="L92" s="11">
        <f>IF(OR(H92="",B92="",I92=""),"",ABS(B92-I92))</f>
        <v/>
      </c>
      <c r="M92" s="15">
        <f>IF(H92="",0,LET(pct,IF(E92&gt;0,K92/E92,1),days,IFERROR(L92,999),100-pct*200-days*3))</f>
        <v/>
      </c>
      <c r="N92" s="11">
        <f>IF(A92="","",IF(H92="","Unmatched GL",IF(AND(K92&lt;=Tol_Amount,L92&lt;=Tol_Days),"Matched",IF(M92&gt;Tol_NearPct,"Near Match","Unmatched GL"))))</f>
        <v/>
      </c>
    </row>
    <row r="93">
      <c r="A93" s="13">
        <f>IF(GL_CLEAN!A93="","",GL_CLEAN!A93)</f>
        <v/>
      </c>
      <c r="B93" s="10">
        <f>IF(A93="","",GL_CLEAN!B93)</f>
        <v/>
      </c>
      <c r="C93" s="11">
        <f>IF(A93="","",GL_CLEAN!C93)</f>
        <v/>
      </c>
      <c r="D93" s="14">
        <f>IF(A93="","",GL_CLEAN!H93)</f>
        <v/>
      </c>
      <c r="E93" s="14">
        <f>IF(A93="","",GL_CLEAN!I93)</f>
        <v/>
      </c>
      <c r="F93" s="11">
        <f>IF(A93="","",GL_CLEAN!J93)</f>
        <v/>
      </c>
      <c r="G93" s="11">
        <f>IF(A93="","",IF(F93="OUT","DR","CR"))</f>
        <v/>
      </c>
      <c r="H93" s="11">
        <f>IF(A93="","",IFERROR(INDEX(BANK_CLEAN!$A$2:$A$1001,MATCH(MINIFS(BANK_CLEAN!$J$2:$J$1001,BANK_CLEAN!$H$2:$H$1001,G93,BANK_CLEAN!$L$2:$L$1001,""),BANK_CLEAN!$J$2:$J$1001,0)),""))</f>
        <v/>
      </c>
      <c r="I93" s="10">
        <f>IF(H93="","",INDEX(BANK_CLEAN!$B$2:$B$1001,H93))</f>
        <v/>
      </c>
      <c r="J93" s="14">
        <f>IF(H93="","",IF(F93="OUT",INDEX(BANK_CLEAN!$F$2:$F$1001,H93),INDEX(BANK_CLEAN!$E$2:$E$1001,H93)))</f>
        <v/>
      </c>
      <c r="K93" s="14">
        <f>IF(H93="","",ABS(E93-J93))</f>
        <v/>
      </c>
      <c r="L93" s="11">
        <f>IF(OR(H93="",B93="",I93=""),"",ABS(B93-I93))</f>
        <v/>
      </c>
      <c r="M93" s="15">
        <f>IF(H93="",0,LET(pct,IF(E93&gt;0,K93/E93,1),days,IFERROR(L93,999),100-pct*200-days*3))</f>
        <v/>
      </c>
      <c r="N93" s="11">
        <f>IF(A93="","",IF(H93="","Unmatched GL",IF(AND(K93&lt;=Tol_Amount,L93&lt;=Tol_Days),"Matched",IF(M93&gt;Tol_NearPct,"Near Match","Unmatched GL"))))</f>
        <v/>
      </c>
    </row>
    <row r="94">
      <c r="A94" s="13">
        <f>IF(GL_CLEAN!A94="","",GL_CLEAN!A94)</f>
        <v/>
      </c>
      <c r="B94" s="10">
        <f>IF(A94="","",GL_CLEAN!B94)</f>
        <v/>
      </c>
      <c r="C94" s="11">
        <f>IF(A94="","",GL_CLEAN!C94)</f>
        <v/>
      </c>
      <c r="D94" s="14">
        <f>IF(A94="","",GL_CLEAN!H94)</f>
        <v/>
      </c>
      <c r="E94" s="14">
        <f>IF(A94="","",GL_CLEAN!I94)</f>
        <v/>
      </c>
      <c r="F94" s="11">
        <f>IF(A94="","",GL_CLEAN!J94)</f>
        <v/>
      </c>
      <c r="G94" s="11">
        <f>IF(A94="","",IF(F94="OUT","DR","CR"))</f>
        <v/>
      </c>
      <c r="H94" s="11">
        <f>IF(A94="","",IFERROR(INDEX(BANK_CLEAN!$A$2:$A$1001,MATCH(MINIFS(BANK_CLEAN!$J$2:$J$1001,BANK_CLEAN!$H$2:$H$1001,G94,BANK_CLEAN!$L$2:$L$1001,""),BANK_CLEAN!$J$2:$J$1001,0)),""))</f>
        <v/>
      </c>
      <c r="I94" s="10">
        <f>IF(H94="","",INDEX(BANK_CLEAN!$B$2:$B$1001,H94))</f>
        <v/>
      </c>
      <c r="J94" s="14">
        <f>IF(H94="","",IF(F94="OUT",INDEX(BANK_CLEAN!$F$2:$F$1001,H94),INDEX(BANK_CLEAN!$E$2:$E$1001,H94)))</f>
        <v/>
      </c>
      <c r="K94" s="14">
        <f>IF(H94="","",ABS(E94-J94))</f>
        <v/>
      </c>
      <c r="L94" s="11">
        <f>IF(OR(H94="",B94="",I94=""),"",ABS(B94-I94))</f>
        <v/>
      </c>
      <c r="M94" s="15">
        <f>IF(H94="",0,LET(pct,IF(E94&gt;0,K94/E94,1),days,IFERROR(L94,999),100-pct*200-days*3))</f>
        <v/>
      </c>
      <c r="N94" s="11">
        <f>IF(A94="","",IF(H94="","Unmatched GL",IF(AND(K94&lt;=Tol_Amount,L94&lt;=Tol_Days),"Matched",IF(M94&gt;Tol_NearPct,"Near Match","Unmatched GL"))))</f>
        <v/>
      </c>
    </row>
    <row r="95">
      <c r="A95" s="13">
        <f>IF(GL_CLEAN!A95="","",GL_CLEAN!A95)</f>
        <v/>
      </c>
      <c r="B95" s="10">
        <f>IF(A95="","",GL_CLEAN!B95)</f>
        <v/>
      </c>
      <c r="C95" s="11">
        <f>IF(A95="","",GL_CLEAN!C95)</f>
        <v/>
      </c>
      <c r="D95" s="14">
        <f>IF(A95="","",GL_CLEAN!H95)</f>
        <v/>
      </c>
      <c r="E95" s="14">
        <f>IF(A95="","",GL_CLEAN!I95)</f>
        <v/>
      </c>
      <c r="F95" s="11">
        <f>IF(A95="","",GL_CLEAN!J95)</f>
        <v/>
      </c>
      <c r="G95" s="11">
        <f>IF(A95="","",IF(F95="OUT","DR","CR"))</f>
        <v/>
      </c>
      <c r="H95" s="11">
        <f>IF(A95="","",IFERROR(INDEX(BANK_CLEAN!$A$2:$A$1001,MATCH(MINIFS(BANK_CLEAN!$J$2:$J$1001,BANK_CLEAN!$H$2:$H$1001,G95,BANK_CLEAN!$L$2:$L$1001,""),BANK_CLEAN!$J$2:$J$1001,0)),""))</f>
        <v/>
      </c>
      <c r="I95" s="10">
        <f>IF(H95="","",INDEX(BANK_CLEAN!$B$2:$B$1001,H95))</f>
        <v/>
      </c>
      <c r="J95" s="14">
        <f>IF(H95="","",IF(F95="OUT",INDEX(BANK_CLEAN!$F$2:$F$1001,H95),INDEX(BANK_CLEAN!$E$2:$E$1001,H95)))</f>
        <v/>
      </c>
      <c r="K95" s="14">
        <f>IF(H95="","",ABS(E95-J95))</f>
        <v/>
      </c>
      <c r="L95" s="11">
        <f>IF(OR(H95="",B95="",I95=""),"",ABS(B95-I95))</f>
        <v/>
      </c>
      <c r="M95" s="15">
        <f>IF(H95="",0,LET(pct,IF(E95&gt;0,K95/E95,1),days,IFERROR(L95,999),100-pct*200-days*3))</f>
        <v/>
      </c>
      <c r="N95" s="11">
        <f>IF(A95="","",IF(H95="","Unmatched GL",IF(AND(K95&lt;=Tol_Amount,L95&lt;=Tol_Days),"Matched",IF(M95&gt;Tol_NearPct,"Near Match","Unmatched GL"))))</f>
        <v/>
      </c>
    </row>
    <row r="96">
      <c r="A96" s="13">
        <f>IF(GL_CLEAN!A96="","",GL_CLEAN!A96)</f>
        <v/>
      </c>
      <c r="B96" s="10">
        <f>IF(A96="","",GL_CLEAN!B96)</f>
        <v/>
      </c>
      <c r="C96" s="11">
        <f>IF(A96="","",GL_CLEAN!C96)</f>
        <v/>
      </c>
      <c r="D96" s="14">
        <f>IF(A96="","",GL_CLEAN!H96)</f>
        <v/>
      </c>
      <c r="E96" s="14">
        <f>IF(A96="","",GL_CLEAN!I96)</f>
        <v/>
      </c>
      <c r="F96" s="11">
        <f>IF(A96="","",GL_CLEAN!J96)</f>
        <v/>
      </c>
      <c r="G96" s="11">
        <f>IF(A96="","",IF(F96="OUT","DR","CR"))</f>
        <v/>
      </c>
      <c r="H96" s="11">
        <f>IF(A96="","",IFERROR(INDEX(BANK_CLEAN!$A$2:$A$1001,MATCH(MINIFS(BANK_CLEAN!$J$2:$J$1001,BANK_CLEAN!$H$2:$H$1001,G96,BANK_CLEAN!$L$2:$L$1001,""),BANK_CLEAN!$J$2:$J$1001,0)),""))</f>
        <v/>
      </c>
      <c r="I96" s="10">
        <f>IF(H96="","",INDEX(BANK_CLEAN!$B$2:$B$1001,H96))</f>
        <v/>
      </c>
      <c r="J96" s="14">
        <f>IF(H96="","",IF(F96="OUT",INDEX(BANK_CLEAN!$F$2:$F$1001,H96),INDEX(BANK_CLEAN!$E$2:$E$1001,H96)))</f>
        <v/>
      </c>
      <c r="K96" s="14">
        <f>IF(H96="","",ABS(E96-J96))</f>
        <v/>
      </c>
      <c r="L96" s="11">
        <f>IF(OR(H96="",B96="",I96=""),"",ABS(B96-I96))</f>
        <v/>
      </c>
      <c r="M96" s="15">
        <f>IF(H96="",0,LET(pct,IF(E96&gt;0,K96/E96,1),days,IFERROR(L96,999),100-pct*200-days*3))</f>
        <v/>
      </c>
      <c r="N96" s="11">
        <f>IF(A96="","",IF(H96="","Unmatched GL",IF(AND(K96&lt;=Tol_Amount,L96&lt;=Tol_Days),"Matched",IF(M96&gt;Tol_NearPct,"Near Match","Unmatched GL"))))</f>
        <v/>
      </c>
    </row>
    <row r="97">
      <c r="A97" s="13">
        <f>IF(GL_CLEAN!A97="","",GL_CLEAN!A97)</f>
        <v/>
      </c>
      <c r="B97" s="10">
        <f>IF(A97="","",GL_CLEAN!B97)</f>
        <v/>
      </c>
      <c r="C97" s="11">
        <f>IF(A97="","",GL_CLEAN!C97)</f>
        <v/>
      </c>
      <c r="D97" s="14">
        <f>IF(A97="","",GL_CLEAN!H97)</f>
        <v/>
      </c>
      <c r="E97" s="14">
        <f>IF(A97="","",GL_CLEAN!I97)</f>
        <v/>
      </c>
      <c r="F97" s="11">
        <f>IF(A97="","",GL_CLEAN!J97)</f>
        <v/>
      </c>
      <c r="G97" s="11">
        <f>IF(A97="","",IF(F97="OUT","DR","CR"))</f>
        <v/>
      </c>
      <c r="H97" s="11">
        <f>IF(A97="","",IFERROR(INDEX(BANK_CLEAN!$A$2:$A$1001,MATCH(MINIFS(BANK_CLEAN!$J$2:$J$1001,BANK_CLEAN!$H$2:$H$1001,G97,BANK_CLEAN!$L$2:$L$1001,""),BANK_CLEAN!$J$2:$J$1001,0)),""))</f>
        <v/>
      </c>
      <c r="I97" s="10">
        <f>IF(H97="","",INDEX(BANK_CLEAN!$B$2:$B$1001,H97))</f>
        <v/>
      </c>
      <c r="J97" s="14">
        <f>IF(H97="","",IF(F97="OUT",INDEX(BANK_CLEAN!$F$2:$F$1001,H97),INDEX(BANK_CLEAN!$E$2:$E$1001,H97)))</f>
        <v/>
      </c>
      <c r="K97" s="14">
        <f>IF(H97="","",ABS(E97-J97))</f>
        <v/>
      </c>
      <c r="L97" s="11">
        <f>IF(OR(H97="",B97="",I97=""),"",ABS(B97-I97))</f>
        <v/>
      </c>
      <c r="M97" s="15">
        <f>IF(H97="",0,LET(pct,IF(E97&gt;0,K97/E97,1),days,IFERROR(L97,999),100-pct*200-days*3))</f>
        <v/>
      </c>
      <c r="N97" s="11">
        <f>IF(A97="","",IF(H97="","Unmatched GL",IF(AND(K97&lt;=Tol_Amount,L97&lt;=Tol_Days),"Matched",IF(M97&gt;Tol_NearPct,"Near Match","Unmatched GL"))))</f>
        <v/>
      </c>
    </row>
    <row r="98">
      <c r="A98" s="13">
        <f>IF(GL_CLEAN!A98="","",GL_CLEAN!A98)</f>
        <v/>
      </c>
      <c r="B98" s="10">
        <f>IF(A98="","",GL_CLEAN!B98)</f>
        <v/>
      </c>
      <c r="C98" s="11">
        <f>IF(A98="","",GL_CLEAN!C98)</f>
        <v/>
      </c>
      <c r="D98" s="14">
        <f>IF(A98="","",GL_CLEAN!H98)</f>
        <v/>
      </c>
      <c r="E98" s="14">
        <f>IF(A98="","",GL_CLEAN!I98)</f>
        <v/>
      </c>
      <c r="F98" s="11">
        <f>IF(A98="","",GL_CLEAN!J98)</f>
        <v/>
      </c>
      <c r="G98" s="11">
        <f>IF(A98="","",IF(F98="OUT","DR","CR"))</f>
        <v/>
      </c>
      <c r="H98" s="11">
        <f>IF(A98="","",IFERROR(INDEX(BANK_CLEAN!$A$2:$A$1001,MATCH(MINIFS(BANK_CLEAN!$J$2:$J$1001,BANK_CLEAN!$H$2:$H$1001,G98,BANK_CLEAN!$L$2:$L$1001,""),BANK_CLEAN!$J$2:$J$1001,0)),""))</f>
        <v/>
      </c>
      <c r="I98" s="10">
        <f>IF(H98="","",INDEX(BANK_CLEAN!$B$2:$B$1001,H98))</f>
        <v/>
      </c>
      <c r="J98" s="14">
        <f>IF(H98="","",IF(F98="OUT",INDEX(BANK_CLEAN!$F$2:$F$1001,H98),INDEX(BANK_CLEAN!$E$2:$E$1001,H98)))</f>
        <v/>
      </c>
      <c r="K98" s="14">
        <f>IF(H98="","",ABS(E98-J98))</f>
        <v/>
      </c>
      <c r="L98" s="11">
        <f>IF(OR(H98="",B98="",I98=""),"",ABS(B98-I98))</f>
        <v/>
      </c>
      <c r="M98" s="15">
        <f>IF(H98="",0,LET(pct,IF(E98&gt;0,K98/E98,1),days,IFERROR(L98,999),100-pct*200-days*3))</f>
        <v/>
      </c>
      <c r="N98" s="11">
        <f>IF(A98="","",IF(H98="","Unmatched GL",IF(AND(K98&lt;=Tol_Amount,L98&lt;=Tol_Days),"Matched",IF(M98&gt;Tol_NearPct,"Near Match","Unmatched GL"))))</f>
        <v/>
      </c>
    </row>
    <row r="99">
      <c r="A99" s="13">
        <f>IF(GL_CLEAN!A99="","",GL_CLEAN!A99)</f>
        <v/>
      </c>
      <c r="B99" s="10">
        <f>IF(A99="","",GL_CLEAN!B99)</f>
        <v/>
      </c>
      <c r="C99" s="11">
        <f>IF(A99="","",GL_CLEAN!C99)</f>
        <v/>
      </c>
      <c r="D99" s="14">
        <f>IF(A99="","",GL_CLEAN!H99)</f>
        <v/>
      </c>
      <c r="E99" s="14">
        <f>IF(A99="","",GL_CLEAN!I99)</f>
        <v/>
      </c>
      <c r="F99" s="11">
        <f>IF(A99="","",GL_CLEAN!J99)</f>
        <v/>
      </c>
      <c r="G99" s="11">
        <f>IF(A99="","",IF(F99="OUT","DR","CR"))</f>
        <v/>
      </c>
      <c r="H99" s="11">
        <f>IF(A99="","",IFERROR(INDEX(BANK_CLEAN!$A$2:$A$1001,MATCH(MINIFS(BANK_CLEAN!$J$2:$J$1001,BANK_CLEAN!$H$2:$H$1001,G99,BANK_CLEAN!$L$2:$L$1001,""),BANK_CLEAN!$J$2:$J$1001,0)),""))</f>
        <v/>
      </c>
      <c r="I99" s="10">
        <f>IF(H99="","",INDEX(BANK_CLEAN!$B$2:$B$1001,H99))</f>
        <v/>
      </c>
      <c r="J99" s="14">
        <f>IF(H99="","",IF(F99="OUT",INDEX(BANK_CLEAN!$F$2:$F$1001,H99),INDEX(BANK_CLEAN!$E$2:$E$1001,H99)))</f>
        <v/>
      </c>
      <c r="K99" s="14">
        <f>IF(H99="","",ABS(E99-J99))</f>
        <v/>
      </c>
      <c r="L99" s="11">
        <f>IF(OR(H99="",B99="",I99=""),"",ABS(B99-I99))</f>
        <v/>
      </c>
      <c r="M99" s="15">
        <f>IF(H99="",0,LET(pct,IF(E99&gt;0,K99/E99,1),days,IFERROR(L99,999),100-pct*200-days*3))</f>
        <v/>
      </c>
      <c r="N99" s="11">
        <f>IF(A99="","",IF(H99="","Unmatched GL",IF(AND(K99&lt;=Tol_Amount,L99&lt;=Tol_Days),"Matched",IF(M99&gt;Tol_NearPct,"Near Match","Unmatched GL"))))</f>
        <v/>
      </c>
    </row>
    <row r="100">
      <c r="A100" s="13">
        <f>IF(GL_CLEAN!A100="","",GL_CLEAN!A100)</f>
        <v/>
      </c>
      <c r="B100" s="10">
        <f>IF(A100="","",GL_CLEAN!B100)</f>
        <v/>
      </c>
      <c r="C100" s="11">
        <f>IF(A100="","",GL_CLEAN!C100)</f>
        <v/>
      </c>
      <c r="D100" s="14">
        <f>IF(A100="","",GL_CLEAN!H100)</f>
        <v/>
      </c>
      <c r="E100" s="14">
        <f>IF(A100="","",GL_CLEAN!I100)</f>
        <v/>
      </c>
      <c r="F100" s="11">
        <f>IF(A100="","",GL_CLEAN!J100)</f>
        <v/>
      </c>
      <c r="G100" s="11">
        <f>IF(A100="","",IF(F100="OUT","DR","CR"))</f>
        <v/>
      </c>
      <c r="H100" s="11">
        <f>IF(A100="","",IFERROR(INDEX(BANK_CLEAN!$A$2:$A$1001,MATCH(MINIFS(BANK_CLEAN!$J$2:$J$1001,BANK_CLEAN!$H$2:$H$1001,G100,BANK_CLEAN!$L$2:$L$1001,""),BANK_CLEAN!$J$2:$J$1001,0)),""))</f>
        <v/>
      </c>
      <c r="I100" s="10">
        <f>IF(H100="","",INDEX(BANK_CLEAN!$B$2:$B$1001,H100))</f>
        <v/>
      </c>
      <c r="J100" s="14">
        <f>IF(H100="","",IF(F100="OUT",INDEX(BANK_CLEAN!$F$2:$F$1001,H100),INDEX(BANK_CLEAN!$E$2:$E$1001,H100)))</f>
        <v/>
      </c>
      <c r="K100" s="14">
        <f>IF(H100="","",ABS(E100-J100))</f>
        <v/>
      </c>
      <c r="L100" s="11">
        <f>IF(OR(H100="",B100="",I100=""),"",ABS(B100-I100))</f>
        <v/>
      </c>
      <c r="M100" s="15">
        <f>IF(H100="",0,LET(pct,IF(E100&gt;0,K100/E100,1),days,IFERROR(L100,999),100-pct*200-days*3))</f>
        <v/>
      </c>
      <c r="N100" s="11">
        <f>IF(A100="","",IF(H100="","Unmatched GL",IF(AND(K100&lt;=Tol_Amount,L100&lt;=Tol_Days),"Matched",IF(M100&gt;Tol_NearPct,"Near Match","Unmatched GL"))))</f>
        <v/>
      </c>
    </row>
    <row r="101">
      <c r="A101" s="13">
        <f>IF(GL_CLEAN!A101="","",GL_CLEAN!A101)</f>
        <v/>
      </c>
      <c r="B101" s="10">
        <f>IF(A101="","",GL_CLEAN!B101)</f>
        <v/>
      </c>
      <c r="C101" s="11">
        <f>IF(A101="","",GL_CLEAN!C101)</f>
        <v/>
      </c>
      <c r="D101" s="14">
        <f>IF(A101="","",GL_CLEAN!H101)</f>
        <v/>
      </c>
      <c r="E101" s="14">
        <f>IF(A101="","",GL_CLEAN!I101)</f>
        <v/>
      </c>
      <c r="F101" s="11">
        <f>IF(A101="","",GL_CLEAN!J101)</f>
        <v/>
      </c>
      <c r="G101" s="11">
        <f>IF(A101="","",IF(F101="OUT","DR","CR"))</f>
        <v/>
      </c>
      <c r="H101" s="11">
        <f>IF(A101="","",IFERROR(INDEX(BANK_CLEAN!$A$2:$A$1001,MATCH(MINIFS(BANK_CLEAN!$J$2:$J$1001,BANK_CLEAN!$H$2:$H$1001,G101,BANK_CLEAN!$L$2:$L$1001,""),BANK_CLEAN!$J$2:$J$1001,0)),""))</f>
        <v/>
      </c>
      <c r="I101" s="10">
        <f>IF(H101="","",INDEX(BANK_CLEAN!$B$2:$B$1001,H101))</f>
        <v/>
      </c>
      <c r="J101" s="14">
        <f>IF(H101="","",IF(F101="OUT",INDEX(BANK_CLEAN!$F$2:$F$1001,H101),INDEX(BANK_CLEAN!$E$2:$E$1001,H101)))</f>
        <v/>
      </c>
      <c r="K101" s="14">
        <f>IF(H101="","",ABS(E101-J101))</f>
        <v/>
      </c>
      <c r="L101" s="11">
        <f>IF(OR(H101="",B101="",I101=""),"",ABS(B101-I101))</f>
        <v/>
      </c>
      <c r="M101" s="15">
        <f>IF(H101="",0,LET(pct,IF(E101&gt;0,K101/E101,1),days,IFERROR(L101,999),100-pct*200-days*3))</f>
        <v/>
      </c>
      <c r="N101" s="11">
        <f>IF(A101="","",IF(H101="","Unmatched GL",IF(AND(K101&lt;=Tol_Amount,L101&lt;=Tol_Days),"Matched",IF(M101&gt;Tol_NearPct,"Near Match","Unmatched GL"))))</f>
        <v/>
      </c>
    </row>
    <row r="102">
      <c r="A102" s="13">
        <f>IF(GL_CLEAN!A102="","",GL_CLEAN!A102)</f>
        <v/>
      </c>
      <c r="B102" s="10">
        <f>IF(A102="","",GL_CLEAN!B102)</f>
        <v/>
      </c>
      <c r="C102" s="11">
        <f>IF(A102="","",GL_CLEAN!C102)</f>
        <v/>
      </c>
      <c r="D102" s="14">
        <f>IF(A102="","",GL_CLEAN!H102)</f>
        <v/>
      </c>
      <c r="E102" s="14">
        <f>IF(A102="","",GL_CLEAN!I102)</f>
        <v/>
      </c>
      <c r="F102" s="11">
        <f>IF(A102="","",GL_CLEAN!J102)</f>
        <v/>
      </c>
      <c r="G102" s="11">
        <f>IF(A102="","",IF(F102="OUT","DR","CR"))</f>
        <v/>
      </c>
      <c r="H102" s="11">
        <f>IF(A102="","",IFERROR(INDEX(BANK_CLEAN!$A$2:$A$1001,MATCH(MINIFS(BANK_CLEAN!$J$2:$J$1001,BANK_CLEAN!$H$2:$H$1001,G102,BANK_CLEAN!$L$2:$L$1001,""),BANK_CLEAN!$J$2:$J$1001,0)),""))</f>
        <v/>
      </c>
      <c r="I102" s="10">
        <f>IF(H102="","",INDEX(BANK_CLEAN!$B$2:$B$1001,H102))</f>
        <v/>
      </c>
      <c r="J102" s="14">
        <f>IF(H102="","",IF(F102="OUT",INDEX(BANK_CLEAN!$F$2:$F$1001,H102),INDEX(BANK_CLEAN!$E$2:$E$1001,H102)))</f>
        <v/>
      </c>
      <c r="K102" s="14">
        <f>IF(H102="","",ABS(E102-J102))</f>
        <v/>
      </c>
      <c r="L102" s="11">
        <f>IF(OR(H102="",B102="",I102=""),"",ABS(B102-I102))</f>
        <v/>
      </c>
      <c r="M102" s="15">
        <f>IF(H102="",0,LET(pct,IF(E102&gt;0,K102/E102,1),days,IFERROR(L102,999),100-pct*200-days*3))</f>
        <v/>
      </c>
      <c r="N102" s="11">
        <f>IF(A102="","",IF(H102="","Unmatched GL",IF(AND(K102&lt;=Tol_Amount,L102&lt;=Tol_Days),"Matched",IF(M102&gt;Tol_NearPct,"Near Match","Unmatched GL"))))</f>
        <v/>
      </c>
    </row>
    <row r="103">
      <c r="A103" s="13">
        <f>IF(GL_CLEAN!A103="","",GL_CLEAN!A103)</f>
        <v/>
      </c>
      <c r="B103" s="10">
        <f>IF(A103="","",GL_CLEAN!B103)</f>
        <v/>
      </c>
      <c r="C103" s="11">
        <f>IF(A103="","",GL_CLEAN!C103)</f>
        <v/>
      </c>
      <c r="D103" s="14">
        <f>IF(A103="","",GL_CLEAN!H103)</f>
        <v/>
      </c>
      <c r="E103" s="14">
        <f>IF(A103="","",GL_CLEAN!I103)</f>
        <v/>
      </c>
      <c r="F103" s="11">
        <f>IF(A103="","",GL_CLEAN!J103)</f>
        <v/>
      </c>
      <c r="G103" s="11">
        <f>IF(A103="","",IF(F103="OUT","DR","CR"))</f>
        <v/>
      </c>
      <c r="H103" s="11">
        <f>IF(A103="","",IFERROR(INDEX(BANK_CLEAN!$A$2:$A$1001,MATCH(MINIFS(BANK_CLEAN!$J$2:$J$1001,BANK_CLEAN!$H$2:$H$1001,G103,BANK_CLEAN!$L$2:$L$1001,""),BANK_CLEAN!$J$2:$J$1001,0)),""))</f>
        <v/>
      </c>
      <c r="I103" s="10">
        <f>IF(H103="","",INDEX(BANK_CLEAN!$B$2:$B$1001,H103))</f>
        <v/>
      </c>
      <c r="J103" s="14">
        <f>IF(H103="","",IF(F103="OUT",INDEX(BANK_CLEAN!$F$2:$F$1001,H103),INDEX(BANK_CLEAN!$E$2:$E$1001,H103)))</f>
        <v/>
      </c>
      <c r="K103" s="14">
        <f>IF(H103="","",ABS(E103-J103))</f>
        <v/>
      </c>
      <c r="L103" s="11">
        <f>IF(OR(H103="",B103="",I103=""),"",ABS(B103-I103))</f>
        <v/>
      </c>
      <c r="M103" s="15">
        <f>IF(H103="",0,LET(pct,IF(E103&gt;0,K103/E103,1),days,IFERROR(L103,999),100-pct*200-days*3))</f>
        <v/>
      </c>
      <c r="N103" s="11">
        <f>IF(A103="","",IF(H103="","Unmatched GL",IF(AND(K103&lt;=Tol_Amount,L103&lt;=Tol_Days),"Matched",IF(M103&gt;Tol_NearPct,"Near Match","Unmatched GL"))))</f>
        <v/>
      </c>
    </row>
    <row r="104">
      <c r="A104" s="13">
        <f>IF(GL_CLEAN!A104="","",GL_CLEAN!A104)</f>
        <v/>
      </c>
      <c r="B104" s="10">
        <f>IF(A104="","",GL_CLEAN!B104)</f>
        <v/>
      </c>
      <c r="C104" s="11">
        <f>IF(A104="","",GL_CLEAN!C104)</f>
        <v/>
      </c>
      <c r="D104" s="14">
        <f>IF(A104="","",GL_CLEAN!H104)</f>
        <v/>
      </c>
      <c r="E104" s="14">
        <f>IF(A104="","",GL_CLEAN!I104)</f>
        <v/>
      </c>
      <c r="F104" s="11">
        <f>IF(A104="","",GL_CLEAN!J104)</f>
        <v/>
      </c>
      <c r="G104" s="11">
        <f>IF(A104="","",IF(F104="OUT","DR","CR"))</f>
        <v/>
      </c>
      <c r="H104" s="11">
        <f>IF(A104="","",IFERROR(INDEX(BANK_CLEAN!$A$2:$A$1001,MATCH(MINIFS(BANK_CLEAN!$J$2:$J$1001,BANK_CLEAN!$H$2:$H$1001,G104,BANK_CLEAN!$L$2:$L$1001,""),BANK_CLEAN!$J$2:$J$1001,0)),""))</f>
        <v/>
      </c>
      <c r="I104" s="10">
        <f>IF(H104="","",INDEX(BANK_CLEAN!$B$2:$B$1001,H104))</f>
        <v/>
      </c>
      <c r="J104" s="14">
        <f>IF(H104="","",IF(F104="OUT",INDEX(BANK_CLEAN!$F$2:$F$1001,H104),INDEX(BANK_CLEAN!$E$2:$E$1001,H104)))</f>
        <v/>
      </c>
      <c r="K104" s="14">
        <f>IF(H104="","",ABS(E104-J104))</f>
        <v/>
      </c>
      <c r="L104" s="11">
        <f>IF(OR(H104="",B104="",I104=""),"",ABS(B104-I104))</f>
        <v/>
      </c>
      <c r="M104" s="15">
        <f>IF(H104="",0,LET(pct,IF(E104&gt;0,K104/E104,1),days,IFERROR(L104,999),100-pct*200-days*3))</f>
        <v/>
      </c>
      <c r="N104" s="11">
        <f>IF(A104="","",IF(H104="","Unmatched GL",IF(AND(K104&lt;=Tol_Amount,L104&lt;=Tol_Days),"Matched",IF(M104&gt;Tol_NearPct,"Near Match","Unmatched GL"))))</f>
        <v/>
      </c>
    </row>
    <row r="105">
      <c r="A105" s="13">
        <f>IF(GL_CLEAN!A105="","",GL_CLEAN!A105)</f>
        <v/>
      </c>
      <c r="B105" s="10">
        <f>IF(A105="","",GL_CLEAN!B105)</f>
        <v/>
      </c>
      <c r="C105" s="11">
        <f>IF(A105="","",GL_CLEAN!C105)</f>
        <v/>
      </c>
      <c r="D105" s="14">
        <f>IF(A105="","",GL_CLEAN!H105)</f>
        <v/>
      </c>
      <c r="E105" s="14">
        <f>IF(A105="","",GL_CLEAN!I105)</f>
        <v/>
      </c>
      <c r="F105" s="11">
        <f>IF(A105="","",GL_CLEAN!J105)</f>
        <v/>
      </c>
      <c r="G105" s="11">
        <f>IF(A105="","",IF(F105="OUT","DR","CR"))</f>
        <v/>
      </c>
      <c r="H105" s="11">
        <f>IF(A105="","",IFERROR(INDEX(BANK_CLEAN!$A$2:$A$1001,MATCH(MINIFS(BANK_CLEAN!$J$2:$J$1001,BANK_CLEAN!$H$2:$H$1001,G105,BANK_CLEAN!$L$2:$L$1001,""),BANK_CLEAN!$J$2:$J$1001,0)),""))</f>
        <v/>
      </c>
      <c r="I105" s="10">
        <f>IF(H105="","",INDEX(BANK_CLEAN!$B$2:$B$1001,H105))</f>
        <v/>
      </c>
      <c r="J105" s="14">
        <f>IF(H105="","",IF(F105="OUT",INDEX(BANK_CLEAN!$F$2:$F$1001,H105),INDEX(BANK_CLEAN!$E$2:$E$1001,H105)))</f>
        <v/>
      </c>
      <c r="K105" s="14">
        <f>IF(H105="","",ABS(E105-J105))</f>
        <v/>
      </c>
      <c r="L105" s="11">
        <f>IF(OR(H105="",B105="",I105=""),"",ABS(B105-I105))</f>
        <v/>
      </c>
      <c r="M105" s="15">
        <f>IF(H105="",0,LET(pct,IF(E105&gt;0,K105/E105,1),days,IFERROR(L105,999),100-pct*200-days*3))</f>
        <v/>
      </c>
      <c r="N105" s="11">
        <f>IF(A105="","",IF(H105="","Unmatched GL",IF(AND(K105&lt;=Tol_Amount,L105&lt;=Tol_Days),"Matched",IF(M105&gt;Tol_NearPct,"Near Match","Unmatched GL"))))</f>
        <v/>
      </c>
    </row>
    <row r="106">
      <c r="A106" s="13">
        <f>IF(GL_CLEAN!A106="","",GL_CLEAN!A106)</f>
        <v/>
      </c>
      <c r="B106" s="10">
        <f>IF(A106="","",GL_CLEAN!B106)</f>
        <v/>
      </c>
      <c r="C106" s="11">
        <f>IF(A106="","",GL_CLEAN!C106)</f>
        <v/>
      </c>
      <c r="D106" s="14">
        <f>IF(A106="","",GL_CLEAN!H106)</f>
        <v/>
      </c>
      <c r="E106" s="14">
        <f>IF(A106="","",GL_CLEAN!I106)</f>
        <v/>
      </c>
      <c r="F106" s="11">
        <f>IF(A106="","",GL_CLEAN!J106)</f>
        <v/>
      </c>
      <c r="G106" s="11">
        <f>IF(A106="","",IF(F106="OUT","DR","CR"))</f>
        <v/>
      </c>
      <c r="H106" s="11">
        <f>IF(A106="","",IFERROR(INDEX(BANK_CLEAN!$A$2:$A$1001,MATCH(MINIFS(BANK_CLEAN!$J$2:$J$1001,BANK_CLEAN!$H$2:$H$1001,G106,BANK_CLEAN!$L$2:$L$1001,""),BANK_CLEAN!$J$2:$J$1001,0)),""))</f>
        <v/>
      </c>
      <c r="I106" s="10">
        <f>IF(H106="","",INDEX(BANK_CLEAN!$B$2:$B$1001,H106))</f>
        <v/>
      </c>
      <c r="J106" s="14">
        <f>IF(H106="","",IF(F106="OUT",INDEX(BANK_CLEAN!$F$2:$F$1001,H106),INDEX(BANK_CLEAN!$E$2:$E$1001,H106)))</f>
        <v/>
      </c>
      <c r="K106" s="14">
        <f>IF(H106="","",ABS(E106-J106))</f>
        <v/>
      </c>
      <c r="L106" s="11">
        <f>IF(OR(H106="",B106="",I106=""),"",ABS(B106-I106))</f>
        <v/>
      </c>
      <c r="M106" s="15">
        <f>IF(H106="",0,LET(pct,IF(E106&gt;0,K106/E106,1),days,IFERROR(L106,999),100-pct*200-days*3))</f>
        <v/>
      </c>
      <c r="N106" s="11">
        <f>IF(A106="","",IF(H106="","Unmatched GL",IF(AND(K106&lt;=Tol_Amount,L106&lt;=Tol_Days),"Matched",IF(M106&gt;Tol_NearPct,"Near Match","Unmatched GL"))))</f>
        <v/>
      </c>
    </row>
    <row r="107">
      <c r="A107" s="13">
        <f>IF(GL_CLEAN!A107="","",GL_CLEAN!A107)</f>
        <v/>
      </c>
      <c r="B107" s="10">
        <f>IF(A107="","",GL_CLEAN!B107)</f>
        <v/>
      </c>
      <c r="C107" s="11">
        <f>IF(A107="","",GL_CLEAN!C107)</f>
        <v/>
      </c>
      <c r="D107" s="14">
        <f>IF(A107="","",GL_CLEAN!H107)</f>
        <v/>
      </c>
      <c r="E107" s="14">
        <f>IF(A107="","",GL_CLEAN!I107)</f>
        <v/>
      </c>
      <c r="F107" s="11">
        <f>IF(A107="","",GL_CLEAN!J107)</f>
        <v/>
      </c>
      <c r="G107" s="11">
        <f>IF(A107="","",IF(F107="OUT","DR","CR"))</f>
        <v/>
      </c>
      <c r="H107" s="11">
        <f>IF(A107="","",IFERROR(INDEX(BANK_CLEAN!$A$2:$A$1001,MATCH(MINIFS(BANK_CLEAN!$J$2:$J$1001,BANK_CLEAN!$H$2:$H$1001,G107,BANK_CLEAN!$L$2:$L$1001,""),BANK_CLEAN!$J$2:$J$1001,0)),""))</f>
        <v/>
      </c>
      <c r="I107" s="10">
        <f>IF(H107="","",INDEX(BANK_CLEAN!$B$2:$B$1001,H107))</f>
        <v/>
      </c>
      <c r="J107" s="14">
        <f>IF(H107="","",IF(F107="OUT",INDEX(BANK_CLEAN!$F$2:$F$1001,H107),INDEX(BANK_CLEAN!$E$2:$E$1001,H107)))</f>
        <v/>
      </c>
      <c r="K107" s="14">
        <f>IF(H107="","",ABS(E107-J107))</f>
        <v/>
      </c>
      <c r="L107" s="11">
        <f>IF(OR(H107="",B107="",I107=""),"",ABS(B107-I107))</f>
        <v/>
      </c>
      <c r="M107" s="15">
        <f>IF(H107="",0,LET(pct,IF(E107&gt;0,K107/E107,1),days,IFERROR(L107,999),100-pct*200-days*3))</f>
        <v/>
      </c>
      <c r="N107" s="11">
        <f>IF(A107="","",IF(H107="","Unmatched GL",IF(AND(K107&lt;=Tol_Amount,L107&lt;=Tol_Days),"Matched",IF(M107&gt;Tol_NearPct,"Near Match","Unmatched GL"))))</f>
        <v/>
      </c>
    </row>
    <row r="108">
      <c r="A108" s="13">
        <f>IF(GL_CLEAN!A108="","",GL_CLEAN!A108)</f>
        <v/>
      </c>
      <c r="B108" s="10">
        <f>IF(A108="","",GL_CLEAN!B108)</f>
        <v/>
      </c>
      <c r="C108" s="11">
        <f>IF(A108="","",GL_CLEAN!C108)</f>
        <v/>
      </c>
      <c r="D108" s="14">
        <f>IF(A108="","",GL_CLEAN!H108)</f>
        <v/>
      </c>
      <c r="E108" s="14">
        <f>IF(A108="","",GL_CLEAN!I108)</f>
        <v/>
      </c>
      <c r="F108" s="11">
        <f>IF(A108="","",GL_CLEAN!J108)</f>
        <v/>
      </c>
      <c r="G108" s="11">
        <f>IF(A108="","",IF(F108="OUT","DR","CR"))</f>
        <v/>
      </c>
      <c r="H108" s="11">
        <f>IF(A108="","",IFERROR(INDEX(BANK_CLEAN!$A$2:$A$1001,MATCH(MINIFS(BANK_CLEAN!$J$2:$J$1001,BANK_CLEAN!$H$2:$H$1001,G108,BANK_CLEAN!$L$2:$L$1001,""),BANK_CLEAN!$J$2:$J$1001,0)),""))</f>
        <v/>
      </c>
      <c r="I108" s="10">
        <f>IF(H108="","",INDEX(BANK_CLEAN!$B$2:$B$1001,H108))</f>
        <v/>
      </c>
      <c r="J108" s="14">
        <f>IF(H108="","",IF(F108="OUT",INDEX(BANK_CLEAN!$F$2:$F$1001,H108),INDEX(BANK_CLEAN!$E$2:$E$1001,H108)))</f>
        <v/>
      </c>
      <c r="K108" s="14">
        <f>IF(H108="","",ABS(E108-J108))</f>
        <v/>
      </c>
      <c r="L108" s="11">
        <f>IF(OR(H108="",B108="",I108=""),"",ABS(B108-I108))</f>
        <v/>
      </c>
      <c r="M108" s="15">
        <f>IF(H108="",0,LET(pct,IF(E108&gt;0,K108/E108,1),days,IFERROR(L108,999),100-pct*200-days*3))</f>
        <v/>
      </c>
      <c r="N108" s="11">
        <f>IF(A108="","",IF(H108="","Unmatched GL",IF(AND(K108&lt;=Tol_Amount,L108&lt;=Tol_Days),"Matched",IF(M108&gt;Tol_NearPct,"Near Match","Unmatched GL"))))</f>
        <v/>
      </c>
    </row>
    <row r="109">
      <c r="A109" s="13">
        <f>IF(GL_CLEAN!A109="","",GL_CLEAN!A109)</f>
        <v/>
      </c>
      <c r="B109" s="10">
        <f>IF(A109="","",GL_CLEAN!B109)</f>
        <v/>
      </c>
      <c r="C109" s="11">
        <f>IF(A109="","",GL_CLEAN!C109)</f>
        <v/>
      </c>
      <c r="D109" s="14">
        <f>IF(A109="","",GL_CLEAN!H109)</f>
        <v/>
      </c>
      <c r="E109" s="14">
        <f>IF(A109="","",GL_CLEAN!I109)</f>
        <v/>
      </c>
      <c r="F109" s="11">
        <f>IF(A109="","",GL_CLEAN!J109)</f>
        <v/>
      </c>
      <c r="G109" s="11">
        <f>IF(A109="","",IF(F109="OUT","DR","CR"))</f>
        <v/>
      </c>
      <c r="H109" s="11">
        <f>IF(A109="","",IFERROR(INDEX(BANK_CLEAN!$A$2:$A$1001,MATCH(MINIFS(BANK_CLEAN!$J$2:$J$1001,BANK_CLEAN!$H$2:$H$1001,G109,BANK_CLEAN!$L$2:$L$1001,""),BANK_CLEAN!$J$2:$J$1001,0)),""))</f>
        <v/>
      </c>
      <c r="I109" s="10">
        <f>IF(H109="","",INDEX(BANK_CLEAN!$B$2:$B$1001,H109))</f>
        <v/>
      </c>
      <c r="J109" s="14">
        <f>IF(H109="","",IF(F109="OUT",INDEX(BANK_CLEAN!$F$2:$F$1001,H109),INDEX(BANK_CLEAN!$E$2:$E$1001,H109)))</f>
        <v/>
      </c>
      <c r="K109" s="14">
        <f>IF(H109="","",ABS(E109-J109))</f>
        <v/>
      </c>
      <c r="L109" s="11">
        <f>IF(OR(H109="",B109="",I109=""),"",ABS(B109-I109))</f>
        <v/>
      </c>
      <c r="M109" s="15">
        <f>IF(H109="",0,LET(pct,IF(E109&gt;0,K109/E109,1),days,IFERROR(L109,999),100-pct*200-days*3))</f>
        <v/>
      </c>
      <c r="N109" s="11">
        <f>IF(A109="","",IF(H109="","Unmatched GL",IF(AND(K109&lt;=Tol_Amount,L109&lt;=Tol_Days),"Matched",IF(M109&gt;Tol_NearPct,"Near Match","Unmatched GL"))))</f>
        <v/>
      </c>
    </row>
    <row r="110">
      <c r="A110" s="13">
        <f>IF(GL_CLEAN!A110="","",GL_CLEAN!A110)</f>
        <v/>
      </c>
      <c r="B110" s="10">
        <f>IF(A110="","",GL_CLEAN!B110)</f>
        <v/>
      </c>
      <c r="C110" s="11">
        <f>IF(A110="","",GL_CLEAN!C110)</f>
        <v/>
      </c>
      <c r="D110" s="14">
        <f>IF(A110="","",GL_CLEAN!H110)</f>
        <v/>
      </c>
      <c r="E110" s="14">
        <f>IF(A110="","",GL_CLEAN!I110)</f>
        <v/>
      </c>
      <c r="F110" s="11">
        <f>IF(A110="","",GL_CLEAN!J110)</f>
        <v/>
      </c>
      <c r="G110" s="11">
        <f>IF(A110="","",IF(F110="OUT","DR","CR"))</f>
        <v/>
      </c>
      <c r="H110" s="11">
        <f>IF(A110="","",IFERROR(INDEX(BANK_CLEAN!$A$2:$A$1001,MATCH(MINIFS(BANK_CLEAN!$J$2:$J$1001,BANK_CLEAN!$H$2:$H$1001,G110,BANK_CLEAN!$L$2:$L$1001,""),BANK_CLEAN!$J$2:$J$1001,0)),""))</f>
        <v/>
      </c>
      <c r="I110" s="10">
        <f>IF(H110="","",INDEX(BANK_CLEAN!$B$2:$B$1001,H110))</f>
        <v/>
      </c>
      <c r="J110" s="14">
        <f>IF(H110="","",IF(F110="OUT",INDEX(BANK_CLEAN!$F$2:$F$1001,H110),INDEX(BANK_CLEAN!$E$2:$E$1001,H110)))</f>
        <v/>
      </c>
      <c r="K110" s="14">
        <f>IF(H110="","",ABS(E110-J110))</f>
        <v/>
      </c>
      <c r="L110" s="11">
        <f>IF(OR(H110="",B110="",I110=""),"",ABS(B110-I110))</f>
        <v/>
      </c>
      <c r="M110" s="15">
        <f>IF(H110="",0,LET(pct,IF(E110&gt;0,K110/E110,1),days,IFERROR(L110,999),100-pct*200-days*3))</f>
        <v/>
      </c>
      <c r="N110" s="11">
        <f>IF(A110="","",IF(H110="","Unmatched GL",IF(AND(K110&lt;=Tol_Amount,L110&lt;=Tol_Days),"Matched",IF(M110&gt;Tol_NearPct,"Near Match","Unmatched GL"))))</f>
        <v/>
      </c>
    </row>
    <row r="111">
      <c r="A111" s="13">
        <f>IF(GL_CLEAN!A111="","",GL_CLEAN!A111)</f>
        <v/>
      </c>
      <c r="B111" s="10">
        <f>IF(A111="","",GL_CLEAN!B111)</f>
        <v/>
      </c>
      <c r="C111" s="11">
        <f>IF(A111="","",GL_CLEAN!C111)</f>
        <v/>
      </c>
      <c r="D111" s="14">
        <f>IF(A111="","",GL_CLEAN!H111)</f>
        <v/>
      </c>
      <c r="E111" s="14">
        <f>IF(A111="","",GL_CLEAN!I111)</f>
        <v/>
      </c>
      <c r="F111" s="11">
        <f>IF(A111="","",GL_CLEAN!J111)</f>
        <v/>
      </c>
      <c r="G111" s="11">
        <f>IF(A111="","",IF(F111="OUT","DR","CR"))</f>
        <v/>
      </c>
      <c r="H111" s="11">
        <f>IF(A111="","",IFERROR(INDEX(BANK_CLEAN!$A$2:$A$1001,MATCH(MINIFS(BANK_CLEAN!$J$2:$J$1001,BANK_CLEAN!$H$2:$H$1001,G111,BANK_CLEAN!$L$2:$L$1001,""),BANK_CLEAN!$J$2:$J$1001,0)),""))</f>
        <v/>
      </c>
      <c r="I111" s="10">
        <f>IF(H111="","",INDEX(BANK_CLEAN!$B$2:$B$1001,H111))</f>
        <v/>
      </c>
      <c r="J111" s="14">
        <f>IF(H111="","",IF(F111="OUT",INDEX(BANK_CLEAN!$F$2:$F$1001,H111),INDEX(BANK_CLEAN!$E$2:$E$1001,H111)))</f>
        <v/>
      </c>
      <c r="K111" s="14">
        <f>IF(H111="","",ABS(E111-J111))</f>
        <v/>
      </c>
      <c r="L111" s="11">
        <f>IF(OR(H111="",B111="",I111=""),"",ABS(B111-I111))</f>
        <v/>
      </c>
      <c r="M111" s="15">
        <f>IF(H111="",0,LET(pct,IF(E111&gt;0,K111/E111,1),days,IFERROR(L111,999),100-pct*200-days*3))</f>
        <v/>
      </c>
      <c r="N111" s="11">
        <f>IF(A111="","",IF(H111="","Unmatched GL",IF(AND(K111&lt;=Tol_Amount,L111&lt;=Tol_Days),"Matched",IF(M111&gt;Tol_NearPct,"Near Match","Unmatched GL"))))</f>
        <v/>
      </c>
    </row>
    <row r="112">
      <c r="A112" s="13">
        <f>IF(GL_CLEAN!A112="","",GL_CLEAN!A112)</f>
        <v/>
      </c>
      <c r="B112" s="10">
        <f>IF(A112="","",GL_CLEAN!B112)</f>
        <v/>
      </c>
      <c r="C112" s="11">
        <f>IF(A112="","",GL_CLEAN!C112)</f>
        <v/>
      </c>
      <c r="D112" s="14">
        <f>IF(A112="","",GL_CLEAN!H112)</f>
        <v/>
      </c>
      <c r="E112" s="14">
        <f>IF(A112="","",GL_CLEAN!I112)</f>
        <v/>
      </c>
      <c r="F112" s="11">
        <f>IF(A112="","",GL_CLEAN!J112)</f>
        <v/>
      </c>
      <c r="G112" s="11">
        <f>IF(A112="","",IF(F112="OUT","DR","CR"))</f>
        <v/>
      </c>
      <c r="H112" s="11">
        <f>IF(A112="","",IFERROR(INDEX(BANK_CLEAN!$A$2:$A$1001,MATCH(MINIFS(BANK_CLEAN!$J$2:$J$1001,BANK_CLEAN!$H$2:$H$1001,G112,BANK_CLEAN!$L$2:$L$1001,""),BANK_CLEAN!$J$2:$J$1001,0)),""))</f>
        <v/>
      </c>
      <c r="I112" s="10">
        <f>IF(H112="","",INDEX(BANK_CLEAN!$B$2:$B$1001,H112))</f>
        <v/>
      </c>
      <c r="J112" s="14">
        <f>IF(H112="","",IF(F112="OUT",INDEX(BANK_CLEAN!$F$2:$F$1001,H112),INDEX(BANK_CLEAN!$E$2:$E$1001,H112)))</f>
        <v/>
      </c>
      <c r="K112" s="14">
        <f>IF(H112="","",ABS(E112-J112))</f>
        <v/>
      </c>
      <c r="L112" s="11">
        <f>IF(OR(H112="",B112="",I112=""),"",ABS(B112-I112))</f>
        <v/>
      </c>
      <c r="M112" s="15">
        <f>IF(H112="",0,LET(pct,IF(E112&gt;0,K112/E112,1),days,IFERROR(L112,999),100-pct*200-days*3))</f>
        <v/>
      </c>
      <c r="N112" s="11">
        <f>IF(A112="","",IF(H112="","Unmatched GL",IF(AND(K112&lt;=Tol_Amount,L112&lt;=Tol_Days),"Matched",IF(M112&gt;Tol_NearPct,"Near Match","Unmatched GL"))))</f>
        <v/>
      </c>
    </row>
    <row r="113">
      <c r="A113" s="13">
        <f>IF(GL_CLEAN!A113="","",GL_CLEAN!A113)</f>
        <v/>
      </c>
      <c r="B113" s="10">
        <f>IF(A113="","",GL_CLEAN!B113)</f>
        <v/>
      </c>
      <c r="C113" s="11">
        <f>IF(A113="","",GL_CLEAN!C113)</f>
        <v/>
      </c>
      <c r="D113" s="14">
        <f>IF(A113="","",GL_CLEAN!H113)</f>
        <v/>
      </c>
      <c r="E113" s="14">
        <f>IF(A113="","",GL_CLEAN!I113)</f>
        <v/>
      </c>
      <c r="F113" s="11">
        <f>IF(A113="","",GL_CLEAN!J113)</f>
        <v/>
      </c>
      <c r="G113" s="11">
        <f>IF(A113="","",IF(F113="OUT","DR","CR"))</f>
        <v/>
      </c>
      <c r="H113" s="11">
        <f>IF(A113="","",IFERROR(INDEX(BANK_CLEAN!$A$2:$A$1001,MATCH(MINIFS(BANK_CLEAN!$J$2:$J$1001,BANK_CLEAN!$H$2:$H$1001,G113,BANK_CLEAN!$L$2:$L$1001,""),BANK_CLEAN!$J$2:$J$1001,0)),""))</f>
        <v/>
      </c>
      <c r="I113" s="10">
        <f>IF(H113="","",INDEX(BANK_CLEAN!$B$2:$B$1001,H113))</f>
        <v/>
      </c>
      <c r="J113" s="14">
        <f>IF(H113="","",IF(F113="OUT",INDEX(BANK_CLEAN!$F$2:$F$1001,H113),INDEX(BANK_CLEAN!$E$2:$E$1001,H113)))</f>
        <v/>
      </c>
      <c r="K113" s="14">
        <f>IF(H113="","",ABS(E113-J113))</f>
        <v/>
      </c>
      <c r="L113" s="11">
        <f>IF(OR(H113="",B113="",I113=""),"",ABS(B113-I113))</f>
        <v/>
      </c>
      <c r="M113" s="15">
        <f>IF(H113="",0,LET(pct,IF(E113&gt;0,K113/E113,1),days,IFERROR(L113,999),100-pct*200-days*3))</f>
        <v/>
      </c>
      <c r="N113" s="11">
        <f>IF(A113="","",IF(H113="","Unmatched GL",IF(AND(K113&lt;=Tol_Amount,L113&lt;=Tol_Days),"Matched",IF(M113&gt;Tol_NearPct,"Near Match","Unmatched GL"))))</f>
        <v/>
      </c>
    </row>
    <row r="114">
      <c r="A114" s="13">
        <f>IF(GL_CLEAN!A114="","",GL_CLEAN!A114)</f>
        <v/>
      </c>
      <c r="B114" s="10">
        <f>IF(A114="","",GL_CLEAN!B114)</f>
        <v/>
      </c>
      <c r="C114" s="11">
        <f>IF(A114="","",GL_CLEAN!C114)</f>
        <v/>
      </c>
      <c r="D114" s="14">
        <f>IF(A114="","",GL_CLEAN!H114)</f>
        <v/>
      </c>
      <c r="E114" s="14">
        <f>IF(A114="","",GL_CLEAN!I114)</f>
        <v/>
      </c>
      <c r="F114" s="11">
        <f>IF(A114="","",GL_CLEAN!J114)</f>
        <v/>
      </c>
      <c r="G114" s="11">
        <f>IF(A114="","",IF(F114="OUT","DR","CR"))</f>
        <v/>
      </c>
      <c r="H114" s="11">
        <f>IF(A114="","",IFERROR(INDEX(BANK_CLEAN!$A$2:$A$1001,MATCH(MINIFS(BANK_CLEAN!$J$2:$J$1001,BANK_CLEAN!$H$2:$H$1001,G114,BANK_CLEAN!$L$2:$L$1001,""),BANK_CLEAN!$J$2:$J$1001,0)),""))</f>
        <v/>
      </c>
      <c r="I114" s="10">
        <f>IF(H114="","",INDEX(BANK_CLEAN!$B$2:$B$1001,H114))</f>
        <v/>
      </c>
      <c r="J114" s="14">
        <f>IF(H114="","",IF(F114="OUT",INDEX(BANK_CLEAN!$F$2:$F$1001,H114),INDEX(BANK_CLEAN!$E$2:$E$1001,H114)))</f>
        <v/>
      </c>
      <c r="K114" s="14">
        <f>IF(H114="","",ABS(E114-J114))</f>
        <v/>
      </c>
      <c r="L114" s="11">
        <f>IF(OR(H114="",B114="",I114=""),"",ABS(B114-I114))</f>
        <v/>
      </c>
      <c r="M114" s="15">
        <f>IF(H114="",0,LET(pct,IF(E114&gt;0,K114/E114,1),days,IFERROR(L114,999),100-pct*200-days*3))</f>
        <v/>
      </c>
      <c r="N114" s="11">
        <f>IF(A114="","",IF(H114="","Unmatched GL",IF(AND(K114&lt;=Tol_Amount,L114&lt;=Tol_Days),"Matched",IF(M114&gt;Tol_NearPct,"Near Match","Unmatched GL"))))</f>
        <v/>
      </c>
    </row>
    <row r="115">
      <c r="A115" s="13">
        <f>IF(GL_CLEAN!A115="","",GL_CLEAN!A115)</f>
        <v/>
      </c>
      <c r="B115" s="10">
        <f>IF(A115="","",GL_CLEAN!B115)</f>
        <v/>
      </c>
      <c r="C115" s="11">
        <f>IF(A115="","",GL_CLEAN!C115)</f>
        <v/>
      </c>
      <c r="D115" s="14">
        <f>IF(A115="","",GL_CLEAN!H115)</f>
        <v/>
      </c>
      <c r="E115" s="14">
        <f>IF(A115="","",GL_CLEAN!I115)</f>
        <v/>
      </c>
      <c r="F115" s="11">
        <f>IF(A115="","",GL_CLEAN!J115)</f>
        <v/>
      </c>
      <c r="G115" s="11">
        <f>IF(A115="","",IF(F115="OUT","DR","CR"))</f>
        <v/>
      </c>
      <c r="H115" s="11">
        <f>IF(A115="","",IFERROR(INDEX(BANK_CLEAN!$A$2:$A$1001,MATCH(MINIFS(BANK_CLEAN!$J$2:$J$1001,BANK_CLEAN!$H$2:$H$1001,G115,BANK_CLEAN!$L$2:$L$1001,""),BANK_CLEAN!$J$2:$J$1001,0)),""))</f>
        <v/>
      </c>
      <c r="I115" s="10">
        <f>IF(H115="","",INDEX(BANK_CLEAN!$B$2:$B$1001,H115))</f>
        <v/>
      </c>
      <c r="J115" s="14">
        <f>IF(H115="","",IF(F115="OUT",INDEX(BANK_CLEAN!$F$2:$F$1001,H115),INDEX(BANK_CLEAN!$E$2:$E$1001,H115)))</f>
        <v/>
      </c>
      <c r="K115" s="14">
        <f>IF(H115="","",ABS(E115-J115))</f>
        <v/>
      </c>
      <c r="L115" s="11">
        <f>IF(OR(H115="",B115="",I115=""),"",ABS(B115-I115))</f>
        <v/>
      </c>
      <c r="M115" s="15">
        <f>IF(H115="",0,LET(pct,IF(E115&gt;0,K115/E115,1),days,IFERROR(L115,999),100-pct*200-days*3))</f>
        <v/>
      </c>
      <c r="N115" s="11">
        <f>IF(A115="","",IF(H115="","Unmatched GL",IF(AND(K115&lt;=Tol_Amount,L115&lt;=Tol_Days),"Matched",IF(M115&gt;Tol_NearPct,"Near Match","Unmatched GL"))))</f>
        <v/>
      </c>
    </row>
    <row r="116">
      <c r="A116" s="13">
        <f>IF(GL_CLEAN!A116="","",GL_CLEAN!A116)</f>
        <v/>
      </c>
      <c r="B116" s="10">
        <f>IF(A116="","",GL_CLEAN!B116)</f>
        <v/>
      </c>
      <c r="C116" s="11">
        <f>IF(A116="","",GL_CLEAN!C116)</f>
        <v/>
      </c>
      <c r="D116" s="14">
        <f>IF(A116="","",GL_CLEAN!H116)</f>
        <v/>
      </c>
      <c r="E116" s="14">
        <f>IF(A116="","",GL_CLEAN!I116)</f>
        <v/>
      </c>
      <c r="F116" s="11">
        <f>IF(A116="","",GL_CLEAN!J116)</f>
        <v/>
      </c>
      <c r="G116" s="11">
        <f>IF(A116="","",IF(F116="OUT","DR","CR"))</f>
        <v/>
      </c>
      <c r="H116" s="11">
        <f>IF(A116="","",IFERROR(INDEX(BANK_CLEAN!$A$2:$A$1001,MATCH(MINIFS(BANK_CLEAN!$J$2:$J$1001,BANK_CLEAN!$H$2:$H$1001,G116,BANK_CLEAN!$L$2:$L$1001,""),BANK_CLEAN!$J$2:$J$1001,0)),""))</f>
        <v/>
      </c>
      <c r="I116" s="10">
        <f>IF(H116="","",INDEX(BANK_CLEAN!$B$2:$B$1001,H116))</f>
        <v/>
      </c>
      <c r="J116" s="14">
        <f>IF(H116="","",IF(F116="OUT",INDEX(BANK_CLEAN!$F$2:$F$1001,H116),INDEX(BANK_CLEAN!$E$2:$E$1001,H116)))</f>
        <v/>
      </c>
      <c r="K116" s="14">
        <f>IF(H116="","",ABS(E116-J116))</f>
        <v/>
      </c>
      <c r="L116" s="11">
        <f>IF(OR(H116="",B116="",I116=""),"",ABS(B116-I116))</f>
        <v/>
      </c>
      <c r="M116" s="15">
        <f>IF(H116="",0,LET(pct,IF(E116&gt;0,K116/E116,1),days,IFERROR(L116,999),100-pct*200-days*3))</f>
        <v/>
      </c>
      <c r="N116" s="11">
        <f>IF(A116="","",IF(H116="","Unmatched GL",IF(AND(K116&lt;=Tol_Amount,L116&lt;=Tol_Days),"Matched",IF(M116&gt;Tol_NearPct,"Near Match","Unmatched GL"))))</f>
        <v/>
      </c>
    </row>
    <row r="117">
      <c r="A117" s="13">
        <f>IF(GL_CLEAN!A117="","",GL_CLEAN!A117)</f>
        <v/>
      </c>
      <c r="B117" s="10">
        <f>IF(A117="","",GL_CLEAN!B117)</f>
        <v/>
      </c>
      <c r="C117" s="11">
        <f>IF(A117="","",GL_CLEAN!C117)</f>
        <v/>
      </c>
      <c r="D117" s="14">
        <f>IF(A117="","",GL_CLEAN!H117)</f>
        <v/>
      </c>
      <c r="E117" s="14">
        <f>IF(A117="","",GL_CLEAN!I117)</f>
        <v/>
      </c>
      <c r="F117" s="11">
        <f>IF(A117="","",GL_CLEAN!J117)</f>
        <v/>
      </c>
      <c r="G117" s="11">
        <f>IF(A117="","",IF(F117="OUT","DR","CR"))</f>
        <v/>
      </c>
      <c r="H117" s="11">
        <f>IF(A117="","",IFERROR(INDEX(BANK_CLEAN!$A$2:$A$1001,MATCH(MINIFS(BANK_CLEAN!$J$2:$J$1001,BANK_CLEAN!$H$2:$H$1001,G117,BANK_CLEAN!$L$2:$L$1001,""),BANK_CLEAN!$J$2:$J$1001,0)),""))</f>
        <v/>
      </c>
      <c r="I117" s="10">
        <f>IF(H117="","",INDEX(BANK_CLEAN!$B$2:$B$1001,H117))</f>
        <v/>
      </c>
      <c r="J117" s="14">
        <f>IF(H117="","",IF(F117="OUT",INDEX(BANK_CLEAN!$F$2:$F$1001,H117),INDEX(BANK_CLEAN!$E$2:$E$1001,H117)))</f>
        <v/>
      </c>
      <c r="K117" s="14">
        <f>IF(H117="","",ABS(E117-J117))</f>
        <v/>
      </c>
      <c r="L117" s="11">
        <f>IF(OR(H117="",B117="",I117=""),"",ABS(B117-I117))</f>
        <v/>
      </c>
      <c r="M117" s="15">
        <f>IF(H117="",0,LET(pct,IF(E117&gt;0,K117/E117,1),days,IFERROR(L117,999),100-pct*200-days*3))</f>
        <v/>
      </c>
      <c r="N117" s="11">
        <f>IF(A117="","",IF(H117="","Unmatched GL",IF(AND(K117&lt;=Tol_Amount,L117&lt;=Tol_Days),"Matched",IF(M117&gt;Tol_NearPct,"Near Match","Unmatched GL"))))</f>
        <v/>
      </c>
    </row>
    <row r="118">
      <c r="A118" s="13">
        <f>IF(GL_CLEAN!A118="","",GL_CLEAN!A118)</f>
        <v/>
      </c>
      <c r="B118" s="10">
        <f>IF(A118="","",GL_CLEAN!B118)</f>
        <v/>
      </c>
      <c r="C118" s="11">
        <f>IF(A118="","",GL_CLEAN!C118)</f>
        <v/>
      </c>
      <c r="D118" s="14">
        <f>IF(A118="","",GL_CLEAN!H118)</f>
        <v/>
      </c>
      <c r="E118" s="14">
        <f>IF(A118="","",GL_CLEAN!I118)</f>
        <v/>
      </c>
      <c r="F118" s="11">
        <f>IF(A118="","",GL_CLEAN!J118)</f>
        <v/>
      </c>
      <c r="G118" s="11">
        <f>IF(A118="","",IF(F118="OUT","DR","CR"))</f>
        <v/>
      </c>
      <c r="H118" s="11">
        <f>IF(A118="","",IFERROR(INDEX(BANK_CLEAN!$A$2:$A$1001,MATCH(MINIFS(BANK_CLEAN!$J$2:$J$1001,BANK_CLEAN!$H$2:$H$1001,G118,BANK_CLEAN!$L$2:$L$1001,""),BANK_CLEAN!$J$2:$J$1001,0)),""))</f>
        <v/>
      </c>
      <c r="I118" s="10">
        <f>IF(H118="","",INDEX(BANK_CLEAN!$B$2:$B$1001,H118))</f>
        <v/>
      </c>
      <c r="J118" s="14">
        <f>IF(H118="","",IF(F118="OUT",INDEX(BANK_CLEAN!$F$2:$F$1001,H118),INDEX(BANK_CLEAN!$E$2:$E$1001,H118)))</f>
        <v/>
      </c>
      <c r="K118" s="14">
        <f>IF(H118="","",ABS(E118-J118))</f>
        <v/>
      </c>
      <c r="L118" s="11">
        <f>IF(OR(H118="",B118="",I118=""),"",ABS(B118-I118))</f>
        <v/>
      </c>
      <c r="M118" s="15">
        <f>IF(H118="",0,LET(pct,IF(E118&gt;0,K118/E118,1),days,IFERROR(L118,999),100-pct*200-days*3))</f>
        <v/>
      </c>
      <c r="N118" s="11">
        <f>IF(A118="","",IF(H118="","Unmatched GL",IF(AND(K118&lt;=Tol_Amount,L118&lt;=Tol_Days),"Matched",IF(M118&gt;Tol_NearPct,"Near Match","Unmatched GL"))))</f>
        <v/>
      </c>
    </row>
    <row r="119">
      <c r="A119" s="13">
        <f>IF(GL_CLEAN!A119="","",GL_CLEAN!A119)</f>
        <v/>
      </c>
      <c r="B119" s="10">
        <f>IF(A119="","",GL_CLEAN!B119)</f>
        <v/>
      </c>
      <c r="C119" s="11">
        <f>IF(A119="","",GL_CLEAN!C119)</f>
        <v/>
      </c>
      <c r="D119" s="14">
        <f>IF(A119="","",GL_CLEAN!H119)</f>
        <v/>
      </c>
      <c r="E119" s="14">
        <f>IF(A119="","",GL_CLEAN!I119)</f>
        <v/>
      </c>
      <c r="F119" s="11">
        <f>IF(A119="","",GL_CLEAN!J119)</f>
        <v/>
      </c>
      <c r="G119" s="11">
        <f>IF(A119="","",IF(F119="OUT","DR","CR"))</f>
        <v/>
      </c>
      <c r="H119" s="11">
        <f>IF(A119="","",IFERROR(INDEX(BANK_CLEAN!$A$2:$A$1001,MATCH(MINIFS(BANK_CLEAN!$J$2:$J$1001,BANK_CLEAN!$H$2:$H$1001,G119,BANK_CLEAN!$L$2:$L$1001,""),BANK_CLEAN!$J$2:$J$1001,0)),""))</f>
        <v/>
      </c>
      <c r="I119" s="10">
        <f>IF(H119="","",INDEX(BANK_CLEAN!$B$2:$B$1001,H119))</f>
        <v/>
      </c>
      <c r="J119" s="14">
        <f>IF(H119="","",IF(F119="OUT",INDEX(BANK_CLEAN!$F$2:$F$1001,H119),INDEX(BANK_CLEAN!$E$2:$E$1001,H119)))</f>
        <v/>
      </c>
      <c r="K119" s="14">
        <f>IF(H119="","",ABS(E119-J119))</f>
        <v/>
      </c>
      <c r="L119" s="11">
        <f>IF(OR(H119="",B119="",I119=""),"",ABS(B119-I119))</f>
        <v/>
      </c>
      <c r="M119" s="15">
        <f>IF(H119="",0,LET(pct,IF(E119&gt;0,K119/E119,1),days,IFERROR(L119,999),100-pct*200-days*3))</f>
        <v/>
      </c>
      <c r="N119" s="11">
        <f>IF(A119="","",IF(H119="","Unmatched GL",IF(AND(K119&lt;=Tol_Amount,L119&lt;=Tol_Days),"Matched",IF(M119&gt;Tol_NearPct,"Near Match","Unmatched GL"))))</f>
        <v/>
      </c>
    </row>
    <row r="120">
      <c r="A120" s="13">
        <f>IF(GL_CLEAN!A120="","",GL_CLEAN!A120)</f>
        <v/>
      </c>
      <c r="B120" s="10">
        <f>IF(A120="","",GL_CLEAN!B120)</f>
        <v/>
      </c>
      <c r="C120" s="11">
        <f>IF(A120="","",GL_CLEAN!C120)</f>
        <v/>
      </c>
      <c r="D120" s="14">
        <f>IF(A120="","",GL_CLEAN!H120)</f>
        <v/>
      </c>
      <c r="E120" s="14">
        <f>IF(A120="","",GL_CLEAN!I120)</f>
        <v/>
      </c>
      <c r="F120" s="11">
        <f>IF(A120="","",GL_CLEAN!J120)</f>
        <v/>
      </c>
      <c r="G120" s="11">
        <f>IF(A120="","",IF(F120="OUT","DR","CR"))</f>
        <v/>
      </c>
      <c r="H120" s="11">
        <f>IF(A120="","",IFERROR(INDEX(BANK_CLEAN!$A$2:$A$1001,MATCH(MINIFS(BANK_CLEAN!$J$2:$J$1001,BANK_CLEAN!$H$2:$H$1001,G120,BANK_CLEAN!$L$2:$L$1001,""),BANK_CLEAN!$J$2:$J$1001,0)),""))</f>
        <v/>
      </c>
      <c r="I120" s="10">
        <f>IF(H120="","",INDEX(BANK_CLEAN!$B$2:$B$1001,H120))</f>
        <v/>
      </c>
      <c r="J120" s="14">
        <f>IF(H120="","",IF(F120="OUT",INDEX(BANK_CLEAN!$F$2:$F$1001,H120),INDEX(BANK_CLEAN!$E$2:$E$1001,H120)))</f>
        <v/>
      </c>
      <c r="K120" s="14">
        <f>IF(H120="","",ABS(E120-J120))</f>
        <v/>
      </c>
      <c r="L120" s="11">
        <f>IF(OR(H120="",B120="",I120=""),"",ABS(B120-I120))</f>
        <v/>
      </c>
      <c r="M120" s="15">
        <f>IF(H120="",0,LET(pct,IF(E120&gt;0,K120/E120,1),days,IFERROR(L120,999),100-pct*200-days*3))</f>
        <v/>
      </c>
      <c r="N120" s="11">
        <f>IF(A120="","",IF(H120="","Unmatched GL",IF(AND(K120&lt;=Tol_Amount,L120&lt;=Tol_Days),"Matched",IF(M120&gt;Tol_NearPct,"Near Match","Unmatched GL"))))</f>
        <v/>
      </c>
    </row>
    <row r="121">
      <c r="A121" s="13">
        <f>IF(GL_CLEAN!A121="","",GL_CLEAN!A121)</f>
        <v/>
      </c>
      <c r="B121" s="10">
        <f>IF(A121="","",GL_CLEAN!B121)</f>
        <v/>
      </c>
      <c r="C121" s="11">
        <f>IF(A121="","",GL_CLEAN!C121)</f>
        <v/>
      </c>
      <c r="D121" s="14">
        <f>IF(A121="","",GL_CLEAN!H121)</f>
        <v/>
      </c>
      <c r="E121" s="14">
        <f>IF(A121="","",GL_CLEAN!I121)</f>
        <v/>
      </c>
      <c r="F121" s="11">
        <f>IF(A121="","",GL_CLEAN!J121)</f>
        <v/>
      </c>
      <c r="G121" s="11">
        <f>IF(A121="","",IF(F121="OUT","DR","CR"))</f>
        <v/>
      </c>
      <c r="H121" s="11">
        <f>IF(A121="","",IFERROR(INDEX(BANK_CLEAN!$A$2:$A$1001,MATCH(MINIFS(BANK_CLEAN!$J$2:$J$1001,BANK_CLEAN!$H$2:$H$1001,G121,BANK_CLEAN!$L$2:$L$1001,""),BANK_CLEAN!$J$2:$J$1001,0)),""))</f>
        <v/>
      </c>
      <c r="I121" s="10">
        <f>IF(H121="","",INDEX(BANK_CLEAN!$B$2:$B$1001,H121))</f>
        <v/>
      </c>
      <c r="J121" s="14">
        <f>IF(H121="","",IF(F121="OUT",INDEX(BANK_CLEAN!$F$2:$F$1001,H121),INDEX(BANK_CLEAN!$E$2:$E$1001,H121)))</f>
        <v/>
      </c>
      <c r="K121" s="14">
        <f>IF(H121="","",ABS(E121-J121))</f>
        <v/>
      </c>
      <c r="L121" s="11">
        <f>IF(OR(H121="",B121="",I121=""),"",ABS(B121-I121))</f>
        <v/>
      </c>
      <c r="M121" s="15">
        <f>IF(H121="",0,LET(pct,IF(E121&gt;0,K121/E121,1),days,IFERROR(L121,999),100-pct*200-days*3))</f>
        <v/>
      </c>
      <c r="N121" s="11">
        <f>IF(A121="","",IF(H121="","Unmatched GL",IF(AND(K121&lt;=Tol_Amount,L121&lt;=Tol_Days),"Matched",IF(M121&gt;Tol_NearPct,"Near Match","Unmatched GL"))))</f>
        <v/>
      </c>
    </row>
    <row r="122">
      <c r="A122" s="13">
        <f>IF(GL_CLEAN!A122="","",GL_CLEAN!A122)</f>
        <v/>
      </c>
      <c r="B122" s="10">
        <f>IF(A122="","",GL_CLEAN!B122)</f>
        <v/>
      </c>
      <c r="C122" s="11">
        <f>IF(A122="","",GL_CLEAN!C122)</f>
        <v/>
      </c>
      <c r="D122" s="14">
        <f>IF(A122="","",GL_CLEAN!H122)</f>
        <v/>
      </c>
      <c r="E122" s="14">
        <f>IF(A122="","",GL_CLEAN!I122)</f>
        <v/>
      </c>
      <c r="F122" s="11">
        <f>IF(A122="","",GL_CLEAN!J122)</f>
        <v/>
      </c>
      <c r="G122" s="11">
        <f>IF(A122="","",IF(F122="OUT","DR","CR"))</f>
        <v/>
      </c>
      <c r="H122" s="11">
        <f>IF(A122="","",IFERROR(INDEX(BANK_CLEAN!$A$2:$A$1001,MATCH(MINIFS(BANK_CLEAN!$J$2:$J$1001,BANK_CLEAN!$H$2:$H$1001,G122,BANK_CLEAN!$L$2:$L$1001,""),BANK_CLEAN!$J$2:$J$1001,0)),""))</f>
        <v/>
      </c>
      <c r="I122" s="10">
        <f>IF(H122="","",INDEX(BANK_CLEAN!$B$2:$B$1001,H122))</f>
        <v/>
      </c>
      <c r="J122" s="14">
        <f>IF(H122="","",IF(F122="OUT",INDEX(BANK_CLEAN!$F$2:$F$1001,H122),INDEX(BANK_CLEAN!$E$2:$E$1001,H122)))</f>
        <v/>
      </c>
      <c r="K122" s="14">
        <f>IF(H122="","",ABS(E122-J122))</f>
        <v/>
      </c>
      <c r="L122" s="11">
        <f>IF(OR(H122="",B122="",I122=""),"",ABS(B122-I122))</f>
        <v/>
      </c>
      <c r="M122" s="15">
        <f>IF(H122="",0,LET(pct,IF(E122&gt;0,K122/E122,1),days,IFERROR(L122,999),100-pct*200-days*3))</f>
        <v/>
      </c>
      <c r="N122" s="11">
        <f>IF(A122="","",IF(H122="","Unmatched GL",IF(AND(K122&lt;=Tol_Amount,L122&lt;=Tol_Days),"Matched",IF(M122&gt;Tol_NearPct,"Near Match","Unmatched GL"))))</f>
        <v/>
      </c>
    </row>
    <row r="123">
      <c r="A123" s="13">
        <f>IF(GL_CLEAN!A123="","",GL_CLEAN!A123)</f>
        <v/>
      </c>
      <c r="B123" s="10">
        <f>IF(A123="","",GL_CLEAN!B123)</f>
        <v/>
      </c>
      <c r="C123" s="11">
        <f>IF(A123="","",GL_CLEAN!C123)</f>
        <v/>
      </c>
      <c r="D123" s="14">
        <f>IF(A123="","",GL_CLEAN!H123)</f>
        <v/>
      </c>
      <c r="E123" s="14">
        <f>IF(A123="","",GL_CLEAN!I123)</f>
        <v/>
      </c>
      <c r="F123" s="11">
        <f>IF(A123="","",GL_CLEAN!J123)</f>
        <v/>
      </c>
      <c r="G123" s="11">
        <f>IF(A123="","",IF(F123="OUT","DR","CR"))</f>
        <v/>
      </c>
      <c r="H123" s="11">
        <f>IF(A123="","",IFERROR(INDEX(BANK_CLEAN!$A$2:$A$1001,MATCH(MINIFS(BANK_CLEAN!$J$2:$J$1001,BANK_CLEAN!$H$2:$H$1001,G123,BANK_CLEAN!$L$2:$L$1001,""),BANK_CLEAN!$J$2:$J$1001,0)),""))</f>
        <v/>
      </c>
      <c r="I123" s="10">
        <f>IF(H123="","",INDEX(BANK_CLEAN!$B$2:$B$1001,H123))</f>
        <v/>
      </c>
      <c r="J123" s="14">
        <f>IF(H123="","",IF(F123="OUT",INDEX(BANK_CLEAN!$F$2:$F$1001,H123),INDEX(BANK_CLEAN!$E$2:$E$1001,H123)))</f>
        <v/>
      </c>
      <c r="K123" s="14">
        <f>IF(H123="","",ABS(E123-J123))</f>
        <v/>
      </c>
      <c r="L123" s="11">
        <f>IF(OR(H123="",B123="",I123=""),"",ABS(B123-I123))</f>
        <v/>
      </c>
      <c r="M123" s="15">
        <f>IF(H123="",0,LET(pct,IF(E123&gt;0,K123/E123,1),days,IFERROR(L123,999),100-pct*200-days*3))</f>
        <v/>
      </c>
      <c r="N123" s="11">
        <f>IF(A123="","",IF(H123="","Unmatched GL",IF(AND(K123&lt;=Tol_Amount,L123&lt;=Tol_Days),"Matched",IF(M123&gt;Tol_NearPct,"Near Match","Unmatched GL"))))</f>
        <v/>
      </c>
    </row>
    <row r="124">
      <c r="A124" s="13">
        <f>IF(GL_CLEAN!A124="","",GL_CLEAN!A124)</f>
        <v/>
      </c>
      <c r="B124" s="10">
        <f>IF(A124="","",GL_CLEAN!B124)</f>
        <v/>
      </c>
      <c r="C124" s="11">
        <f>IF(A124="","",GL_CLEAN!C124)</f>
        <v/>
      </c>
      <c r="D124" s="14">
        <f>IF(A124="","",GL_CLEAN!H124)</f>
        <v/>
      </c>
      <c r="E124" s="14">
        <f>IF(A124="","",GL_CLEAN!I124)</f>
        <v/>
      </c>
      <c r="F124" s="11">
        <f>IF(A124="","",GL_CLEAN!J124)</f>
        <v/>
      </c>
      <c r="G124" s="11">
        <f>IF(A124="","",IF(F124="OUT","DR","CR"))</f>
        <v/>
      </c>
      <c r="H124" s="11">
        <f>IF(A124="","",IFERROR(INDEX(BANK_CLEAN!$A$2:$A$1001,MATCH(MINIFS(BANK_CLEAN!$J$2:$J$1001,BANK_CLEAN!$H$2:$H$1001,G124,BANK_CLEAN!$L$2:$L$1001,""),BANK_CLEAN!$J$2:$J$1001,0)),""))</f>
        <v/>
      </c>
      <c r="I124" s="10">
        <f>IF(H124="","",INDEX(BANK_CLEAN!$B$2:$B$1001,H124))</f>
        <v/>
      </c>
      <c r="J124" s="14">
        <f>IF(H124="","",IF(F124="OUT",INDEX(BANK_CLEAN!$F$2:$F$1001,H124),INDEX(BANK_CLEAN!$E$2:$E$1001,H124)))</f>
        <v/>
      </c>
      <c r="K124" s="14">
        <f>IF(H124="","",ABS(E124-J124))</f>
        <v/>
      </c>
      <c r="L124" s="11">
        <f>IF(OR(H124="",B124="",I124=""),"",ABS(B124-I124))</f>
        <v/>
      </c>
      <c r="M124" s="15">
        <f>IF(H124="",0,LET(pct,IF(E124&gt;0,K124/E124,1),days,IFERROR(L124,999),100-pct*200-days*3))</f>
        <v/>
      </c>
      <c r="N124" s="11">
        <f>IF(A124="","",IF(H124="","Unmatched GL",IF(AND(K124&lt;=Tol_Amount,L124&lt;=Tol_Days),"Matched",IF(M124&gt;Tol_NearPct,"Near Match","Unmatched GL"))))</f>
        <v/>
      </c>
    </row>
    <row r="125">
      <c r="A125" s="13">
        <f>IF(GL_CLEAN!A125="","",GL_CLEAN!A125)</f>
        <v/>
      </c>
      <c r="B125" s="10">
        <f>IF(A125="","",GL_CLEAN!B125)</f>
        <v/>
      </c>
      <c r="C125" s="11">
        <f>IF(A125="","",GL_CLEAN!C125)</f>
        <v/>
      </c>
      <c r="D125" s="14">
        <f>IF(A125="","",GL_CLEAN!H125)</f>
        <v/>
      </c>
      <c r="E125" s="14">
        <f>IF(A125="","",GL_CLEAN!I125)</f>
        <v/>
      </c>
      <c r="F125" s="11">
        <f>IF(A125="","",GL_CLEAN!J125)</f>
        <v/>
      </c>
      <c r="G125" s="11">
        <f>IF(A125="","",IF(F125="OUT","DR","CR"))</f>
        <v/>
      </c>
      <c r="H125" s="11">
        <f>IF(A125="","",IFERROR(INDEX(BANK_CLEAN!$A$2:$A$1001,MATCH(MINIFS(BANK_CLEAN!$J$2:$J$1001,BANK_CLEAN!$H$2:$H$1001,G125,BANK_CLEAN!$L$2:$L$1001,""),BANK_CLEAN!$J$2:$J$1001,0)),""))</f>
        <v/>
      </c>
      <c r="I125" s="10">
        <f>IF(H125="","",INDEX(BANK_CLEAN!$B$2:$B$1001,H125))</f>
        <v/>
      </c>
      <c r="J125" s="14">
        <f>IF(H125="","",IF(F125="OUT",INDEX(BANK_CLEAN!$F$2:$F$1001,H125),INDEX(BANK_CLEAN!$E$2:$E$1001,H125)))</f>
        <v/>
      </c>
      <c r="K125" s="14">
        <f>IF(H125="","",ABS(E125-J125))</f>
        <v/>
      </c>
      <c r="L125" s="11">
        <f>IF(OR(H125="",B125="",I125=""),"",ABS(B125-I125))</f>
        <v/>
      </c>
      <c r="M125" s="15">
        <f>IF(H125="",0,LET(pct,IF(E125&gt;0,K125/E125,1),days,IFERROR(L125,999),100-pct*200-days*3))</f>
        <v/>
      </c>
      <c r="N125" s="11">
        <f>IF(A125="","",IF(H125="","Unmatched GL",IF(AND(K125&lt;=Tol_Amount,L125&lt;=Tol_Days),"Matched",IF(M125&gt;Tol_NearPct,"Near Match","Unmatched GL"))))</f>
        <v/>
      </c>
    </row>
    <row r="126">
      <c r="A126" s="13">
        <f>IF(GL_CLEAN!A126="","",GL_CLEAN!A126)</f>
        <v/>
      </c>
      <c r="B126" s="10">
        <f>IF(A126="","",GL_CLEAN!B126)</f>
        <v/>
      </c>
      <c r="C126" s="11">
        <f>IF(A126="","",GL_CLEAN!C126)</f>
        <v/>
      </c>
      <c r="D126" s="14">
        <f>IF(A126="","",GL_CLEAN!H126)</f>
        <v/>
      </c>
      <c r="E126" s="14">
        <f>IF(A126="","",GL_CLEAN!I126)</f>
        <v/>
      </c>
      <c r="F126" s="11">
        <f>IF(A126="","",GL_CLEAN!J126)</f>
        <v/>
      </c>
      <c r="G126" s="11">
        <f>IF(A126="","",IF(F126="OUT","DR","CR"))</f>
        <v/>
      </c>
      <c r="H126" s="11">
        <f>IF(A126="","",IFERROR(INDEX(BANK_CLEAN!$A$2:$A$1001,MATCH(MINIFS(BANK_CLEAN!$J$2:$J$1001,BANK_CLEAN!$H$2:$H$1001,G126,BANK_CLEAN!$L$2:$L$1001,""),BANK_CLEAN!$J$2:$J$1001,0)),""))</f>
        <v/>
      </c>
      <c r="I126" s="10">
        <f>IF(H126="","",INDEX(BANK_CLEAN!$B$2:$B$1001,H126))</f>
        <v/>
      </c>
      <c r="J126" s="14">
        <f>IF(H126="","",IF(F126="OUT",INDEX(BANK_CLEAN!$F$2:$F$1001,H126),INDEX(BANK_CLEAN!$E$2:$E$1001,H126)))</f>
        <v/>
      </c>
      <c r="K126" s="14">
        <f>IF(H126="","",ABS(E126-J126))</f>
        <v/>
      </c>
      <c r="L126" s="11">
        <f>IF(OR(H126="",B126="",I126=""),"",ABS(B126-I126))</f>
        <v/>
      </c>
      <c r="M126" s="15">
        <f>IF(H126="",0,LET(pct,IF(E126&gt;0,K126/E126,1),days,IFERROR(L126,999),100-pct*200-days*3))</f>
        <v/>
      </c>
      <c r="N126" s="11">
        <f>IF(A126="","",IF(H126="","Unmatched GL",IF(AND(K126&lt;=Tol_Amount,L126&lt;=Tol_Days),"Matched",IF(M126&gt;Tol_NearPct,"Near Match","Unmatched GL"))))</f>
        <v/>
      </c>
    </row>
    <row r="127">
      <c r="A127" s="13">
        <f>IF(GL_CLEAN!A127="","",GL_CLEAN!A127)</f>
        <v/>
      </c>
      <c r="B127" s="10">
        <f>IF(A127="","",GL_CLEAN!B127)</f>
        <v/>
      </c>
      <c r="C127" s="11">
        <f>IF(A127="","",GL_CLEAN!C127)</f>
        <v/>
      </c>
      <c r="D127" s="14">
        <f>IF(A127="","",GL_CLEAN!H127)</f>
        <v/>
      </c>
      <c r="E127" s="14">
        <f>IF(A127="","",GL_CLEAN!I127)</f>
        <v/>
      </c>
      <c r="F127" s="11">
        <f>IF(A127="","",GL_CLEAN!J127)</f>
        <v/>
      </c>
      <c r="G127" s="11">
        <f>IF(A127="","",IF(F127="OUT","DR","CR"))</f>
        <v/>
      </c>
      <c r="H127" s="11">
        <f>IF(A127="","",IFERROR(INDEX(BANK_CLEAN!$A$2:$A$1001,MATCH(MINIFS(BANK_CLEAN!$J$2:$J$1001,BANK_CLEAN!$H$2:$H$1001,G127,BANK_CLEAN!$L$2:$L$1001,""),BANK_CLEAN!$J$2:$J$1001,0)),""))</f>
        <v/>
      </c>
      <c r="I127" s="10">
        <f>IF(H127="","",INDEX(BANK_CLEAN!$B$2:$B$1001,H127))</f>
        <v/>
      </c>
      <c r="J127" s="14">
        <f>IF(H127="","",IF(F127="OUT",INDEX(BANK_CLEAN!$F$2:$F$1001,H127),INDEX(BANK_CLEAN!$E$2:$E$1001,H127)))</f>
        <v/>
      </c>
      <c r="K127" s="14">
        <f>IF(H127="","",ABS(E127-J127))</f>
        <v/>
      </c>
      <c r="L127" s="11">
        <f>IF(OR(H127="",B127="",I127=""),"",ABS(B127-I127))</f>
        <v/>
      </c>
      <c r="M127" s="15">
        <f>IF(H127="",0,LET(pct,IF(E127&gt;0,K127/E127,1),days,IFERROR(L127,999),100-pct*200-days*3))</f>
        <v/>
      </c>
      <c r="N127" s="11">
        <f>IF(A127="","",IF(H127="","Unmatched GL",IF(AND(K127&lt;=Tol_Amount,L127&lt;=Tol_Days),"Matched",IF(M127&gt;Tol_NearPct,"Near Match","Unmatched GL"))))</f>
        <v/>
      </c>
    </row>
    <row r="128">
      <c r="A128" s="13">
        <f>IF(GL_CLEAN!A128="","",GL_CLEAN!A128)</f>
        <v/>
      </c>
      <c r="B128" s="10">
        <f>IF(A128="","",GL_CLEAN!B128)</f>
        <v/>
      </c>
      <c r="C128" s="11">
        <f>IF(A128="","",GL_CLEAN!C128)</f>
        <v/>
      </c>
      <c r="D128" s="14">
        <f>IF(A128="","",GL_CLEAN!H128)</f>
        <v/>
      </c>
      <c r="E128" s="14">
        <f>IF(A128="","",GL_CLEAN!I128)</f>
        <v/>
      </c>
      <c r="F128" s="11">
        <f>IF(A128="","",GL_CLEAN!J128)</f>
        <v/>
      </c>
      <c r="G128" s="11">
        <f>IF(A128="","",IF(F128="OUT","DR","CR"))</f>
        <v/>
      </c>
      <c r="H128" s="11">
        <f>IF(A128="","",IFERROR(INDEX(BANK_CLEAN!$A$2:$A$1001,MATCH(MINIFS(BANK_CLEAN!$J$2:$J$1001,BANK_CLEAN!$H$2:$H$1001,G128,BANK_CLEAN!$L$2:$L$1001,""),BANK_CLEAN!$J$2:$J$1001,0)),""))</f>
        <v/>
      </c>
      <c r="I128" s="10">
        <f>IF(H128="","",INDEX(BANK_CLEAN!$B$2:$B$1001,H128))</f>
        <v/>
      </c>
      <c r="J128" s="14">
        <f>IF(H128="","",IF(F128="OUT",INDEX(BANK_CLEAN!$F$2:$F$1001,H128),INDEX(BANK_CLEAN!$E$2:$E$1001,H128)))</f>
        <v/>
      </c>
      <c r="K128" s="14">
        <f>IF(H128="","",ABS(E128-J128))</f>
        <v/>
      </c>
      <c r="L128" s="11">
        <f>IF(OR(H128="",B128="",I128=""),"",ABS(B128-I128))</f>
        <v/>
      </c>
      <c r="M128" s="15">
        <f>IF(H128="",0,LET(pct,IF(E128&gt;0,K128/E128,1),days,IFERROR(L128,999),100-pct*200-days*3))</f>
        <v/>
      </c>
      <c r="N128" s="11">
        <f>IF(A128="","",IF(H128="","Unmatched GL",IF(AND(K128&lt;=Tol_Amount,L128&lt;=Tol_Days),"Matched",IF(M128&gt;Tol_NearPct,"Near Match","Unmatched GL"))))</f>
        <v/>
      </c>
    </row>
    <row r="129">
      <c r="A129" s="13">
        <f>IF(GL_CLEAN!A129="","",GL_CLEAN!A129)</f>
        <v/>
      </c>
      <c r="B129" s="10">
        <f>IF(A129="","",GL_CLEAN!B129)</f>
        <v/>
      </c>
      <c r="C129" s="11">
        <f>IF(A129="","",GL_CLEAN!C129)</f>
        <v/>
      </c>
      <c r="D129" s="14">
        <f>IF(A129="","",GL_CLEAN!H129)</f>
        <v/>
      </c>
      <c r="E129" s="14">
        <f>IF(A129="","",GL_CLEAN!I129)</f>
        <v/>
      </c>
      <c r="F129" s="11">
        <f>IF(A129="","",GL_CLEAN!J129)</f>
        <v/>
      </c>
      <c r="G129" s="11">
        <f>IF(A129="","",IF(F129="OUT","DR","CR"))</f>
        <v/>
      </c>
      <c r="H129" s="11">
        <f>IF(A129="","",IFERROR(INDEX(BANK_CLEAN!$A$2:$A$1001,MATCH(MINIFS(BANK_CLEAN!$J$2:$J$1001,BANK_CLEAN!$H$2:$H$1001,G129,BANK_CLEAN!$L$2:$L$1001,""),BANK_CLEAN!$J$2:$J$1001,0)),""))</f>
        <v/>
      </c>
      <c r="I129" s="10">
        <f>IF(H129="","",INDEX(BANK_CLEAN!$B$2:$B$1001,H129))</f>
        <v/>
      </c>
      <c r="J129" s="14">
        <f>IF(H129="","",IF(F129="OUT",INDEX(BANK_CLEAN!$F$2:$F$1001,H129),INDEX(BANK_CLEAN!$E$2:$E$1001,H129)))</f>
        <v/>
      </c>
      <c r="K129" s="14">
        <f>IF(H129="","",ABS(E129-J129))</f>
        <v/>
      </c>
      <c r="L129" s="11">
        <f>IF(OR(H129="",B129="",I129=""),"",ABS(B129-I129))</f>
        <v/>
      </c>
      <c r="M129" s="15">
        <f>IF(H129="",0,LET(pct,IF(E129&gt;0,K129/E129,1),days,IFERROR(L129,999),100-pct*200-days*3))</f>
        <v/>
      </c>
      <c r="N129" s="11">
        <f>IF(A129="","",IF(H129="","Unmatched GL",IF(AND(K129&lt;=Tol_Amount,L129&lt;=Tol_Days),"Matched",IF(M129&gt;Tol_NearPct,"Near Match","Unmatched GL"))))</f>
        <v/>
      </c>
    </row>
    <row r="130">
      <c r="A130" s="13">
        <f>IF(GL_CLEAN!A130="","",GL_CLEAN!A130)</f>
        <v/>
      </c>
      <c r="B130" s="10">
        <f>IF(A130="","",GL_CLEAN!B130)</f>
        <v/>
      </c>
      <c r="C130" s="11">
        <f>IF(A130="","",GL_CLEAN!C130)</f>
        <v/>
      </c>
      <c r="D130" s="14">
        <f>IF(A130="","",GL_CLEAN!H130)</f>
        <v/>
      </c>
      <c r="E130" s="14">
        <f>IF(A130="","",GL_CLEAN!I130)</f>
        <v/>
      </c>
      <c r="F130" s="11">
        <f>IF(A130="","",GL_CLEAN!J130)</f>
        <v/>
      </c>
      <c r="G130" s="11">
        <f>IF(A130="","",IF(F130="OUT","DR","CR"))</f>
        <v/>
      </c>
      <c r="H130" s="11">
        <f>IF(A130="","",IFERROR(INDEX(BANK_CLEAN!$A$2:$A$1001,MATCH(MINIFS(BANK_CLEAN!$J$2:$J$1001,BANK_CLEAN!$H$2:$H$1001,G130,BANK_CLEAN!$L$2:$L$1001,""),BANK_CLEAN!$J$2:$J$1001,0)),""))</f>
        <v/>
      </c>
      <c r="I130" s="10">
        <f>IF(H130="","",INDEX(BANK_CLEAN!$B$2:$B$1001,H130))</f>
        <v/>
      </c>
      <c r="J130" s="14">
        <f>IF(H130="","",IF(F130="OUT",INDEX(BANK_CLEAN!$F$2:$F$1001,H130),INDEX(BANK_CLEAN!$E$2:$E$1001,H130)))</f>
        <v/>
      </c>
      <c r="K130" s="14">
        <f>IF(H130="","",ABS(E130-J130))</f>
        <v/>
      </c>
      <c r="L130" s="11">
        <f>IF(OR(H130="",B130="",I130=""),"",ABS(B130-I130))</f>
        <v/>
      </c>
      <c r="M130" s="15">
        <f>IF(H130="",0,LET(pct,IF(E130&gt;0,K130/E130,1),days,IFERROR(L130,999),100-pct*200-days*3))</f>
        <v/>
      </c>
      <c r="N130" s="11">
        <f>IF(A130="","",IF(H130="","Unmatched GL",IF(AND(K130&lt;=Tol_Amount,L130&lt;=Tol_Days),"Matched",IF(M130&gt;Tol_NearPct,"Near Match","Unmatched GL"))))</f>
        <v/>
      </c>
    </row>
    <row r="131">
      <c r="A131" s="13">
        <f>IF(GL_CLEAN!A131="","",GL_CLEAN!A131)</f>
        <v/>
      </c>
      <c r="B131" s="10">
        <f>IF(A131="","",GL_CLEAN!B131)</f>
        <v/>
      </c>
      <c r="C131" s="11">
        <f>IF(A131="","",GL_CLEAN!C131)</f>
        <v/>
      </c>
      <c r="D131" s="14">
        <f>IF(A131="","",GL_CLEAN!H131)</f>
        <v/>
      </c>
      <c r="E131" s="14">
        <f>IF(A131="","",GL_CLEAN!I131)</f>
        <v/>
      </c>
      <c r="F131" s="11">
        <f>IF(A131="","",GL_CLEAN!J131)</f>
        <v/>
      </c>
      <c r="G131" s="11">
        <f>IF(A131="","",IF(F131="OUT","DR","CR"))</f>
        <v/>
      </c>
      <c r="H131" s="11">
        <f>IF(A131="","",IFERROR(INDEX(BANK_CLEAN!$A$2:$A$1001,MATCH(MINIFS(BANK_CLEAN!$J$2:$J$1001,BANK_CLEAN!$H$2:$H$1001,G131,BANK_CLEAN!$L$2:$L$1001,""),BANK_CLEAN!$J$2:$J$1001,0)),""))</f>
        <v/>
      </c>
      <c r="I131" s="10">
        <f>IF(H131="","",INDEX(BANK_CLEAN!$B$2:$B$1001,H131))</f>
        <v/>
      </c>
      <c r="J131" s="14">
        <f>IF(H131="","",IF(F131="OUT",INDEX(BANK_CLEAN!$F$2:$F$1001,H131),INDEX(BANK_CLEAN!$E$2:$E$1001,H131)))</f>
        <v/>
      </c>
      <c r="K131" s="14">
        <f>IF(H131="","",ABS(E131-J131))</f>
        <v/>
      </c>
      <c r="L131" s="11">
        <f>IF(OR(H131="",B131="",I131=""),"",ABS(B131-I131))</f>
        <v/>
      </c>
      <c r="M131" s="15">
        <f>IF(H131="",0,LET(pct,IF(E131&gt;0,K131/E131,1),days,IFERROR(L131,999),100-pct*200-days*3))</f>
        <v/>
      </c>
      <c r="N131" s="11">
        <f>IF(A131="","",IF(H131="","Unmatched GL",IF(AND(K131&lt;=Tol_Amount,L131&lt;=Tol_Days),"Matched",IF(M131&gt;Tol_NearPct,"Near Match","Unmatched GL"))))</f>
        <v/>
      </c>
    </row>
    <row r="132">
      <c r="A132" s="13">
        <f>IF(GL_CLEAN!A132="","",GL_CLEAN!A132)</f>
        <v/>
      </c>
      <c r="B132" s="10">
        <f>IF(A132="","",GL_CLEAN!B132)</f>
        <v/>
      </c>
      <c r="C132" s="11">
        <f>IF(A132="","",GL_CLEAN!C132)</f>
        <v/>
      </c>
      <c r="D132" s="14">
        <f>IF(A132="","",GL_CLEAN!H132)</f>
        <v/>
      </c>
      <c r="E132" s="14">
        <f>IF(A132="","",GL_CLEAN!I132)</f>
        <v/>
      </c>
      <c r="F132" s="11">
        <f>IF(A132="","",GL_CLEAN!J132)</f>
        <v/>
      </c>
      <c r="G132" s="11">
        <f>IF(A132="","",IF(F132="OUT","DR","CR"))</f>
        <v/>
      </c>
      <c r="H132" s="11">
        <f>IF(A132="","",IFERROR(INDEX(BANK_CLEAN!$A$2:$A$1001,MATCH(MINIFS(BANK_CLEAN!$J$2:$J$1001,BANK_CLEAN!$H$2:$H$1001,G132,BANK_CLEAN!$L$2:$L$1001,""),BANK_CLEAN!$J$2:$J$1001,0)),""))</f>
        <v/>
      </c>
      <c r="I132" s="10">
        <f>IF(H132="","",INDEX(BANK_CLEAN!$B$2:$B$1001,H132))</f>
        <v/>
      </c>
      <c r="J132" s="14">
        <f>IF(H132="","",IF(F132="OUT",INDEX(BANK_CLEAN!$F$2:$F$1001,H132),INDEX(BANK_CLEAN!$E$2:$E$1001,H132)))</f>
        <v/>
      </c>
      <c r="K132" s="14">
        <f>IF(H132="","",ABS(E132-J132))</f>
        <v/>
      </c>
      <c r="L132" s="11">
        <f>IF(OR(H132="",B132="",I132=""),"",ABS(B132-I132))</f>
        <v/>
      </c>
      <c r="M132" s="15">
        <f>IF(H132="",0,LET(pct,IF(E132&gt;0,K132/E132,1),days,IFERROR(L132,999),100-pct*200-days*3))</f>
        <v/>
      </c>
      <c r="N132" s="11">
        <f>IF(A132="","",IF(H132="","Unmatched GL",IF(AND(K132&lt;=Tol_Amount,L132&lt;=Tol_Days),"Matched",IF(M132&gt;Tol_NearPct,"Near Match","Unmatched GL"))))</f>
        <v/>
      </c>
    </row>
    <row r="133">
      <c r="A133" s="13">
        <f>IF(GL_CLEAN!A133="","",GL_CLEAN!A133)</f>
        <v/>
      </c>
      <c r="B133" s="10">
        <f>IF(A133="","",GL_CLEAN!B133)</f>
        <v/>
      </c>
      <c r="C133" s="11">
        <f>IF(A133="","",GL_CLEAN!C133)</f>
        <v/>
      </c>
      <c r="D133" s="14">
        <f>IF(A133="","",GL_CLEAN!H133)</f>
        <v/>
      </c>
      <c r="E133" s="14">
        <f>IF(A133="","",GL_CLEAN!I133)</f>
        <v/>
      </c>
      <c r="F133" s="11">
        <f>IF(A133="","",GL_CLEAN!J133)</f>
        <v/>
      </c>
      <c r="G133" s="11">
        <f>IF(A133="","",IF(F133="OUT","DR","CR"))</f>
        <v/>
      </c>
      <c r="H133" s="11">
        <f>IF(A133="","",IFERROR(INDEX(BANK_CLEAN!$A$2:$A$1001,MATCH(MINIFS(BANK_CLEAN!$J$2:$J$1001,BANK_CLEAN!$H$2:$H$1001,G133,BANK_CLEAN!$L$2:$L$1001,""),BANK_CLEAN!$J$2:$J$1001,0)),""))</f>
        <v/>
      </c>
      <c r="I133" s="10">
        <f>IF(H133="","",INDEX(BANK_CLEAN!$B$2:$B$1001,H133))</f>
        <v/>
      </c>
      <c r="J133" s="14">
        <f>IF(H133="","",IF(F133="OUT",INDEX(BANK_CLEAN!$F$2:$F$1001,H133),INDEX(BANK_CLEAN!$E$2:$E$1001,H133)))</f>
        <v/>
      </c>
      <c r="K133" s="14">
        <f>IF(H133="","",ABS(E133-J133))</f>
        <v/>
      </c>
      <c r="L133" s="11">
        <f>IF(OR(H133="",B133="",I133=""),"",ABS(B133-I133))</f>
        <v/>
      </c>
      <c r="M133" s="15">
        <f>IF(H133="",0,LET(pct,IF(E133&gt;0,K133/E133,1),days,IFERROR(L133,999),100-pct*200-days*3))</f>
        <v/>
      </c>
      <c r="N133" s="11">
        <f>IF(A133="","",IF(H133="","Unmatched GL",IF(AND(K133&lt;=Tol_Amount,L133&lt;=Tol_Days),"Matched",IF(M133&gt;Tol_NearPct,"Near Match","Unmatched GL"))))</f>
        <v/>
      </c>
    </row>
    <row r="134">
      <c r="A134" s="13">
        <f>IF(GL_CLEAN!A134="","",GL_CLEAN!A134)</f>
        <v/>
      </c>
      <c r="B134" s="10">
        <f>IF(A134="","",GL_CLEAN!B134)</f>
        <v/>
      </c>
      <c r="C134" s="11">
        <f>IF(A134="","",GL_CLEAN!C134)</f>
        <v/>
      </c>
      <c r="D134" s="14">
        <f>IF(A134="","",GL_CLEAN!H134)</f>
        <v/>
      </c>
      <c r="E134" s="14">
        <f>IF(A134="","",GL_CLEAN!I134)</f>
        <v/>
      </c>
      <c r="F134" s="11">
        <f>IF(A134="","",GL_CLEAN!J134)</f>
        <v/>
      </c>
      <c r="G134" s="11">
        <f>IF(A134="","",IF(F134="OUT","DR","CR"))</f>
        <v/>
      </c>
      <c r="H134" s="11">
        <f>IF(A134="","",IFERROR(INDEX(BANK_CLEAN!$A$2:$A$1001,MATCH(MINIFS(BANK_CLEAN!$J$2:$J$1001,BANK_CLEAN!$H$2:$H$1001,G134,BANK_CLEAN!$L$2:$L$1001,""),BANK_CLEAN!$J$2:$J$1001,0)),""))</f>
        <v/>
      </c>
      <c r="I134" s="10">
        <f>IF(H134="","",INDEX(BANK_CLEAN!$B$2:$B$1001,H134))</f>
        <v/>
      </c>
      <c r="J134" s="14">
        <f>IF(H134="","",IF(F134="OUT",INDEX(BANK_CLEAN!$F$2:$F$1001,H134),INDEX(BANK_CLEAN!$E$2:$E$1001,H134)))</f>
        <v/>
      </c>
      <c r="K134" s="14">
        <f>IF(H134="","",ABS(E134-J134))</f>
        <v/>
      </c>
      <c r="L134" s="11">
        <f>IF(OR(H134="",B134="",I134=""),"",ABS(B134-I134))</f>
        <v/>
      </c>
      <c r="M134" s="15">
        <f>IF(H134="",0,LET(pct,IF(E134&gt;0,K134/E134,1),days,IFERROR(L134,999),100-pct*200-days*3))</f>
        <v/>
      </c>
      <c r="N134" s="11">
        <f>IF(A134="","",IF(H134="","Unmatched GL",IF(AND(K134&lt;=Tol_Amount,L134&lt;=Tol_Days),"Matched",IF(M134&gt;Tol_NearPct,"Near Match","Unmatched GL"))))</f>
        <v/>
      </c>
    </row>
    <row r="135">
      <c r="A135" s="13">
        <f>IF(GL_CLEAN!A135="","",GL_CLEAN!A135)</f>
        <v/>
      </c>
      <c r="B135" s="10">
        <f>IF(A135="","",GL_CLEAN!B135)</f>
        <v/>
      </c>
      <c r="C135" s="11">
        <f>IF(A135="","",GL_CLEAN!C135)</f>
        <v/>
      </c>
      <c r="D135" s="14">
        <f>IF(A135="","",GL_CLEAN!H135)</f>
        <v/>
      </c>
      <c r="E135" s="14">
        <f>IF(A135="","",GL_CLEAN!I135)</f>
        <v/>
      </c>
      <c r="F135" s="11">
        <f>IF(A135="","",GL_CLEAN!J135)</f>
        <v/>
      </c>
      <c r="G135" s="11">
        <f>IF(A135="","",IF(F135="OUT","DR","CR"))</f>
        <v/>
      </c>
      <c r="H135" s="11">
        <f>IF(A135="","",IFERROR(INDEX(BANK_CLEAN!$A$2:$A$1001,MATCH(MINIFS(BANK_CLEAN!$J$2:$J$1001,BANK_CLEAN!$H$2:$H$1001,G135,BANK_CLEAN!$L$2:$L$1001,""),BANK_CLEAN!$J$2:$J$1001,0)),""))</f>
        <v/>
      </c>
      <c r="I135" s="10">
        <f>IF(H135="","",INDEX(BANK_CLEAN!$B$2:$B$1001,H135))</f>
        <v/>
      </c>
      <c r="J135" s="14">
        <f>IF(H135="","",IF(F135="OUT",INDEX(BANK_CLEAN!$F$2:$F$1001,H135),INDEX(BANK_CLEAN!$E$2:$E$1001,H135)))</f>
        <v/>
      </c>
      <c r="K135" s="14">
        <f>IF(H135="","",ABS(E135-J135))</f>
        <v/>
      </c>
      <c r="L135" s="11">
        <f>IF(OR(H135="",B135="",I135=""),"",ABS(B135-I135))</f>
        <v/>
      </c>
      <c r="M135" s="15">
        <f>IF(H135="",0,LET(pct,IF(E135&gt;0,K135/E135,1),days,IFERROR(L135,999),100-pct*200-days*3))</f>
        <v/>
      </c>
      <c r="N135" s="11">
        <f>IF(A135="","",IF(H135="","Unmatched GL",IF(AND(K135&lt;=Tol_Amount,L135&lt;=Tol_Days),"Matched",IF(M135&gt;Tol_NearPct,"Near Match","Unmatched GL"))))</f>
        <v/>
      </c>
    </row>
    <row r="136">
      <c r="A136" s="13">
        <f>IF(GL_CLEAN!A136="","",GL_CLEAN!A136)</f>
        <v/>
      </c>
      <c r="B136" s="10">
        <f>IF(A136="","",GL_CLEAN!B136)</f>
        <v/>
      </c>
      <c r="C136" s="11">
        <f>IF(A136="","",GL_CLEAN!C136)</f>
        <v/>
      </c>
      <c r="D136" s="14">
        <f>IF(A136="","",GL_CLEAN!H136)</f>
        <v/>
      </c>
      <c r="E136" s="14">
        <f>IF(A136="","",GL_CLEAN!I136)</f>
        <v/>
      </c>
      <c r="F136" s="11">
        <f>IF(A136="","",GL_CLEAN!J136)</f>
        <v/>
      </c>
      <c r="G136" s="11">
        <f>IF(A136="","",IF(F136="OUT","DR","CR"))</f>
        <v/>
      </c>
      <c r="H136" s="11">
        <f>IF(A136="","",IFERROR(INDEX(BANK_CLEAN!$A$2:$A$1001,MATCH(MINIFS(BANK_CLEAN!$J$2:$J$1001,BANK_CLEAN!$H$2:$H$1001,G136,BANK_CLEAN!$L$2:$L$1001,""),BANK_CLEAN!$J$2:$J$1001,0)),""))</f>
        <v/>
      </c>
      <c r="I136" s="10">
        <f>IF(H136="","",INDEX(BANK_CLEAN!$B$2:$B$1001,H136))</f>
        <v/>
      </c>
      <c r="J136" s="14">
        <f>IF(H136="","",IF(F136="OUT",INDEX(BANK_CLEAN!$F$2:$F$1001,H136),INDEX(BANK_CLEAN!$E$2:$E$1001,H136)))</f>
        <v/>
      </c>
      <c r="K136" s="14">
        <f>IF(H136="","",ABS(E136-J136))</f>
        <v/>
      </c>
      <c r="L136" s="11">
        <f>IF(OR(H136="",B136="",I136=""),"",ABS(B136-I136))</f>
        <v/>
      </c>
      <c r="M136" s="15">
        <f>IF(H136="",0,LET(pct,IF(E136&gt;0,K136/E136,1),days,IFERROR(L136,999),100-pct*200-days*3))</f>
        <v/>
      </c>
      <c r="N136" s="11">
        <f>IF(A136="","",IF(H136="","Unmatched GL",IF(AND(K136&lt;=Tol_Amount,L136&lt;=Tol_Days),"Matched",IF(M136&gt;Tol_NearPct,"Near Match","Unmatched GL"))))</f>
        <v/>
      </c>
    </row>
    <row r="137">
      <c r="A137" s="13">
        <f>IF(GL_CLEAN!A137="","",GL_CLEAN!A137)</f>
        <v/>
      </c>
      <c r="B137" s="10">
        <f>IF(A137="","",GL_CLEAN!B137)</f>
        <v/>
      </c>
      <c r="C137" s="11">
        <f>IF(A137="","",GL_CLEAN!C137)</f>
        <v/>
      </c>
      <c r="D137" s="14">
        <f>IF(A137="","",GL_CLEAN!H137)</f>
        <v/>
      </c>
      <c r="E137" s="14">
        <f>IF(A137="","",GL_CLEAN!I137)</f>
        <v/>
      </c>
      <c r="F137" s="11">
        <f>IF(A137="","",GL_CLEAN!J137)</f>
        <v/>
      </c>
      <c r="G137" s="11">
        <f>IF(A137="","",IF(F137="OUT","DR","CR"))</f>
        <v/>
      </c>
      <c r="H137" s="11">
        <f>IF(A137="","",IFERROR(INDEX(BANK_CLEAN!$A$2:$A$1001,MATCH(MINIFS(BANK_CLEAN!$J$2:$J$1001,BANK_CLEAN!$H$2:$H$1001,G137,BANK_CLEAN!$L$2:$L$1001,""),BANK_CLEAN!$J$2:$J$1001,0)),""))</f>
        <v/>
      </c>
      <c r="I137" s="10">
        <f>IF(H137="","",INDEX(BANK_CLEAN!$B$2:$B$1001,H137))</f>
        <v/>
      </c>
      <c r="J137" s="14">
        <f>IF(H137="","",IF(F137="OUT",INDEX(BANK_CLEAN!$F$2:$F$1001,H137),INDEX(BANK_CLEAN!$E$2:$E$1001,H137)))</f>
        <v/>
      </c>
      <c r="K137" s="14">
        <f>IF(H137="","",ABS(E137-J137))</f>
        <v/>
      </c>
      <c r="L137" s="11">
        <f>IF(OR(H137="",B137="",I137=""),"",ABS(B137-I137))</f>
        <v/>
      </c>
      <c r="M137" s="15">
        <f>IF(H137="",0,LET(pct,IF(E137&gt;0,K137/E137,1),days,IFERROR(L137,999),100-pct*200-days*3))</f>
        <v/>
      </c>
      <c r="N137" s="11">
        <f>IF(A137="","",IF(H137="","Unmatched GL",IF(AND(K137&lt;=Tol_Amount,L137&lt;=Tol_Days),"Matched",IF(M137&gt;Tol_NearPct,"Near Match","Unmatched GL"))))</f>
        <v/>
      </c>
    </row>
    <row r="138">
      <c r="A138" s="13">
        <f>IF(GL_CLEAN!A138="","",GL_CLEAN!A138)</f>
        <v/>
      </c>
      <c r="B138" s="10">
        <f>IF(A138="","",GL_CLEAN!B138)</f>
        <v/>
      </c>
      <c r="C138" s="11">
        <f>IF(A138="","",GL_CLEAN!C138)</f>
        <v/>
      </c>
      <c r="D138" s="14">
        <f>IF(A138="","",GL_CLEAN!H138)</f>
        <v/>
      </c>
      <c r="E138" s="14">
        <f>IF(A138="","",GL_CLEAN!I138)</f>
        <v/>
      </c>
      <c r="F138" s="11">
        <f>IF(A138="","",GL_CLEAN!J138)</f>
        <v/>
      </c>
      <c r="G138" s="11">
        <f>IF(A138="","",IF(F138="OUT","DR","CR"))</f>
        <v/>
      </c>
      <c r="H138" s="11">
        <f>IF(A138="","",IFERROR(INDEX(BANK_CLEAN!$A$2:$A$1001,MATCH(MINIFS(BANK_CLEAN!$J$2:$J$1001,BANK_CLEAN!$H$2:$H$1001,G138,BANK_CLEAN!$L$2:$L$1001,""),BANK_CLEAN!$J$2:$J$1001,0)),""))</f>
        <v/>
      </c>
      <c r="I138" s="10">
        <f>IF(H138="","",INDEX(BANK_CLEAN!$B$2:$B$1001,H138))</f>
        <v/>
      </c>
      <c r="J138" s="14">
        <f>IF(H138="","",IF(F138="OUT",INDEX(BANK_CLEAN!$F$2:$F$1001,H138),INDEX(BANK_CLEAN!$E$2:$E$1001,H138)))</f>
        <v/>
      </c>
      <c r="K138" s="14">
        <f>IF(H138="","",ABS(E138-J138))</f>
        <v/>
      </c>
      <c r="L138" s="11">
        <f>IF(OR(H138="",B138="",I138=""),"",ABS(B138-I138))</f>
        <v/>
      </c>
      <c r="M138" s="15">
        <f>IF(H138="",0,LET(pct,IF(E138&gt;0,K138/E138,1),days,IFERROR(L138,999),100-pct*200-days*3))</f>
        <v/>
      </c>
      <c r="N138" s="11">
        <f>IF(A138="","",IF(H138="","Unmatched GL",IF(AND(K138&lt;=Tol_Amount,L138&lt;=Tol_Days),"Matched",IF(M138&gt;Tol_NearPct,"Near Match","Unmatched GL"))))</f>
        <v/>
      </c>
    </row>
    <row r="139">
      <c r="A139" s="13">
        <f>IF(GL_CLEAN!A139="","",GL_CLEAN!A139)</f>
        <v/>
      </c>
      <c r="B139" s="10">
        <f>IF(A139="","",GL_CLEAN!B139)</f>
        <v/>
      </c>
      <c r="C139" s="11">
        <f>IF(A139="","",GL_CLEAN!C139)</f>
        <v/>
      </c>
      <c r="D139" s="14">
        <f>IF(A139="","",GL_CLEAN!H139)</f>
        <v/>
      </c>
      <c r="E139" s="14">
        <f>IF(A139="","",GL_CLEAN!I139)</f>
        <v/>
      </c>
      <c r="F139" s="11">
        <f>IF(A139="","",GL_CLEAN!J139)</f>
        <v/>
      </c>
      <c r="G139" s="11">
        <f>IF(A139="","",IF(F139="OUT","DR","CR"))</f>
        <v/>
      </c>
      <c r="H139" s="11">
        <f>IF(A139="","",IFERROR(INDEX(BANK_CLEAN!$A$2:$A$1001,MATCH(MINIFS(BANK_CLEAN!$J$2:$J$1001,BANK_CLEAN!$H$2:$H$1001,G139,BANK_CLEAN!$L$2:$L$1001,""),BANK_CLEAN!$J$2:$J$1001,0)),""))</f>
        <v/>
      </c>
      <c r="I139" s="10">
        <f>IF(H139="","",INDEX(BANK_CLEAN!$B$2:$B$1001,H139))</f>
        <v/>
      </c>
      <c r="J139" s="14">
        <f>IF(H139="","",IF(F139="OUT",INDEX(BANK_CLEAN!$F$2:$F$1001,H139),INDEX(BANK_CLEAN!$E$2:$E$1001,H139)))</f>
        <v/>
      </c>
      <c r="K139" s="14">
        <f>IF(H139="","",ABS(E139-J139))</f>
        <v/>
      </c>
      <c r="L139" s="11">
        <f>IF(OR(H139="",B139="",I139=""),"",ABS(B139-I139))</f>
        <v/>
      </c>
      <c r="M139" s="15">
        <f>IF(H139="",0,LET(pct,IF(E139&gt;0,K139/E139,1),days,IFERROR(L139,999),100-pct*200-days*3))</f>
        <v/>
      </c>
      <c r="N139" s="11">
        <f>IF(A139="","",IF(H139="","Unmatched GL",IF(AND(K139&lt;=Tol_Amount,L139&lt;=Tol_Days),"Matched",IF(M139&gt;Tol_NearPct,"Near Match","Unmatched GL"))))</f>
        <v/>
      </c>
    </row>
    <row r="140">
      <c r="A140" s="13">
        <f>IF(GL_CLEAN!A140="","",GL_CLEAN!A140)</f>
        <v/>
      </c>
      <c r="B140" s="10">
        <f>IF(A140="","",GL_CLEAN!B140)</f>
        <v/>
      </c>
      <c r="C140" s="11">
        <f>IF(A140="","",GL_CLEAN!C140)</f>
        <v/>
      </c>
      <c r="D140" s="14">
        <f>IF(A140="","",GL_CLEAN!H140)</f>
        <v/>
      </c>
      <c r="E140" s="14">
        <f>IF(A140="","",GL_CLEAN!I140)</f>
        <v/>
      </c>
      <c r="F140" s="11">
        <f>IF(A140="","",GL_CLEAN!J140)</f>
        <v/>
      </c>
      <c r="G140" s="11">
        <f>IF(A140="","",IF(F140="OUT","DR","CR"))</f>
        <v/>
      </c>
      <c r="H140" s="11">
        <f>IF(A140="","",IFERROR(INDEX(BANK_CLEAN!$A$2:$A$1001,MATCH(MINIFS(BANK_CLEAN!$J$2:$J$1001,BANK_CLEAN!$H$2:$H$1001,G140,BANK_CLEAN!$L$2:$L$1001,""),BANK_CLEAN!$J$2:$J$1001,0)),""))</f>
        <v/>
      </c>
      <c r="I140" s="10">
        <f>IF(H140="","",INDEX(BANK_CLEAN!$B$2:$B$1001,H140))</f>
        <v/>
      </c>
      <c r="J140" s="14">
        <f>IF(H140="","",IF(F140="OUT",INDEX(BANK_CLEAN!$F$2:$F$1001,H140),INDEX(BANK_CLEAN!$E$2:$E$1001,H140)))</f>
        <v/>
      </c>
      <c r="K140" s="14">
        <f>IF(H140="","",ABS(E140-J140))</f>
        <v/>
      </c>
      <c r="L140" s="11">
        <f>IF(OR(H140="",B140="",I140=""),"",ABS(B140-I140))</f>
        <v/>
      </c>
      <c r="M140" s="15">
        <f>IF(H140="",0,LET(pct,IF(E140&gt;0,K140/E140,1),days,IFERROR(L140,999),100-pct*200-days*3))</f>
        <v/>
      </c>
      <c r="N140" s="11">
        <f>IF(A140="","",IF(H140="","Unmatched GL",IF(AND(K140&lt;=Tol_Amount,L140&lt;=Tol_Days),"Matched",IF(M140&gt;Tol_NearPct,"Near Match","Unmatched GL"))))</f>
        <v/>
      </c>
    </row>
    <row r="141">
      <c r="A141" s="13">
        <f>IF(GL_CLEAN!A141="","",GL_CLEAN!A141)</f>
        <v/>
      </c>
      <c r="B141" s="10">
        <f>IF(A141="","",GL_CLEAN!B141)</f>
        <v/>
      </c>
      <c r="C141" s="11">
        <f>IF(A141="","",GL_CLEAN!C141)</f>
        <v/>
      </c>
      <c r="D141" s="14">
        <f>IF(A141="","",GL_CLEAN!H141)</f>
        <v/>
      </c>
      <c r="E141" s="14">
        <f>IF(A141="","",GL_CLEAN!I141)</f>
        <v/>
      </c>
      <c r="F141" s="11">
        <f>IF(A141="","",GL_CLEAN!J141)</f>
        <v/>
      </c>
      <c r="G141" s="11">
        <f>IF(A141="","",IF(F141="OUT","DR","CR"))</f>
        <v/>
      </c>
      <c r="H141" s="11">
        <f>IF(A141="","",IFERROR(INDEX(BANK_CLEAN!$A$2:$A$1001,MATCH(MINIFS(BANK_CLEAN!$J$2:$J$1001,BANK_CLEAN!$H$2:$H$1001,G141,BANK_CLEAN!$L$2:$L$1001,""),BANK_CLEAN!$J$2:$J$1001,0)),""))</f>
        <v/>
      </c>
      <c r="I141" s="10">
        <f>IF(H141="","",INDEX(BANK_CLEAN!$B$2:$B$1001,H141))</f>
        <v/>
      </c>
      <c r="J141" s="14">
        <f>IF(H141="","",IF(F141="OUT",INDEX(BANK_CLEAN!$F$2:$F$1001,H141),INDEX(BANK_CLEAN!$E$2:$E$1001,H141)))</f>
        <v/>
      </c>
      <c r="K141" s="14">
        <f>IF(H141="","",ABS(E141-J141))</f>
        <v/>
      </c>
      <c r="L141" s="11">
        <f>IF(OR(H141="",B141="",I141=""),"",ABS(B141-I141))</f>
        <v/>
      </c>
      <c r="M141" s="15">
        <f>IF(H141="",0,LET(pct,IF(E141&gt;0,K141/E141,1),days,IFERROR(L141,999),100-pct*200-days*3))</f>
        <v/>
      </c>
      <c r="N141" s="11">
        <f>IF(A141="","",IF(H141="","Unmatched GL",IF(AND(K141&lt;=Tol_Amount,L141&lt;=Tol_Days),"Matched",IF(M141&gt;Tol_NearPct,"Near Match","Unmatched GL"))))</f>
        <v/>
      </c>
    </row>
    <row r="142">
      <c r="A142" s="13">
        <f>IF(GL_CLEAN!A142="","",GL_CLEAN!A142)</f>
        <v/>
      </c>
      <c r="B142" s="10">
        <f>IF(A142="","",GL_CLEAN!B142)</f>
        <v/>
      </c>
      <c r="C142" s="11">
        <f>IF(A142="","",GL_CLEAN!C142)</f>
        <v/>
      </c>
      <c r="D142" s="14">
        <f>IF(A142="","",GL_CLEAN!H142)</f>
        <v/>
      </c>
      <c r="E142" s="14">
        <f>IF(A142="","",GL_CLEAN!I142)</f>
        <v/>
      </c>
      <c r="F142" s="11">
        <f>IF(A142="","",GL_CLEAN!J142)</f>
        <v/>
      </c>
      <c r="G142" s="11">
        <f>IF(A142="","",IF(F142="OUT","DR","CR"))</f>
        <v/>
      </c>
      <c r="H142" s="11">
        <f>IF(A142="","",IFERROR(INDEX(BANK_CLEAN!$A$2:$A$1001,MATCH(MINIFS(BANK_CLEAN!$J$2:$J$1001,BANK_CLEAN!$H$2:$H$1001,G142,BANK_CLEAN!$L$2:$L$1001,""),BANK_CLEAN!$J$2:$J$1001,0)),""))</f>
        <v/>
      </c>
      <c r="I142" s="10">
        <f>IF(H142="","",INDEX(BANK_CLEAN!$B$2:$B$1001,H142))</f>
        <v/>
      </c>
      <c r="J142" s="14">
        <f>IF(H142="","",IF(F142="OUT",INDEX(BANK_CLEAN!$F$2:$F$1001,H142),INDEX(BANK_CLEAN!$E$2:$E$1001,H142)))</f>
        <v/>
      </c>
      <c r="K142" s="14">
        <f>IF(H142="","",ABS(E142-J142))</f>
        <v/>
      </c>
      <c r="L142" s="11">
        <f>IF(OR(H142="",B142="",I142=""),"",ABS(B142-I142))</f>
        <v/>
      </c>
      <c r="M142" s="15">
        <f>IF(H142="",0,LET(pct,IF(E142&gt;0,K142/E142,1),days,IFERROR(L142,999),100-pct*200-days*3))</f>
        <v/>
      </c>
      <c r="N142" s="11">
        <f>IF(A142="","",IF(H142="","Unmatched GL",IF(AND(K142&lt;=Tol_Amount,L142&lt;=Tol_Days),"Matched",IF(M142&gt;Tol_NearPct,"Near Match","Unmatched GL"))))</f>
        <v/>
      </c>
    </row>
    <row r="143">
      <c r="A143" s="13">
        <f>IF(GL_CLEAN!A143="","",GL_CLEAN!A143)</f>
        <v/>
      </c>
      <c r="B143" s="10">
        <f>IF(A143="","",GL_CLEAN!B143)</f>
        <v/>
      </c>
      <c r="C143" s="11">
        <f>IF(A143="","",GL_CLEAN!C143)</f>
        <v/>
      </c>
      <c r="D143" s="14">
        <f>IF(A143="","",GL_CLEAN!H143)</f>
        <v/>
      </c>
      <c r="E143" s="14">
        <f>IF(A143="","",GL_CLEAN!I143)</f>
        <v/>
      </c>
      <c r="F143" s="11">
        <f>IF(A143="","",GL_CLEAN!J143)</f>
        <v/>
      </c>
      <c r="G143" s="11">
        <f>IF(A143="","",IF(F143="OUT","DR","CR"))</f>
        <v/>
      </c>
      <c r="H143" s="11">
        <f>IF(A143="","",IFERROR(INDEX(BANK_CLEAN!$A$2:$A$1001,MATCH(MINIFS(BANK_CLEAN!$J$2:$J$1001,BANK_CLEAN!$H$2:$H$1001,G143,BANK_CLEAN!$L$2:$L$1001,""),BANK_CLEAN!$J$2:$J$1001,0)),""))</f>
        <v/>
      </c>
      <c r="I143" s="10">
        <f>IF(H143="","",INDEX(BANK_CLEAN!$B$2:$B$1001,H143))</f>
        <v/>
      </c>
      <c r="J143" s="14">
        <f>IF(H143="","",IF(F143="OUT",INDEX(BANK_CLEAN!$F$2:$F$1001,H143),INDEX(BANK_CLEAN!$E$2:$E$1001,H143)))</f>
        <v/>
      </c>
      <c r="K143" s="14">
        <f>IF(H143="","",ABS(E143-J143))</f>
        <v/>
      </c>
      <c r="L143" s="11">
        <f>IF(OR(H143="",B143="",I143=""),"",ABS(B143-I143))</f>
        <v/>
      </c>
      <c r="M143" s="15">
        <f>IF(H143="",0,LET(pct,IF(E143&gt;0,K143/E143,1),days,IFERROR(L143,999),100-pct*200-days*3))</f>
        <v/>
      </c>
      <c r="N143" s="11">
        <f>IF(A143="","",IF(H143="","Unmatched GL",IF(AND(K143&lt;=Tol_Amount,L143&lt;=Tol_Days),"Matched",IF(M143&gt;Tol_NearPct,"Near Match","Unmatched GL"))))</f>
        <v/>
      </c>
    </row>
    <row r="144">
      <c r="A144" s="13">
        <f>IF(GL_CLEAN!A144="","",GL_CLEAN!A144)</f>
        <v/>
      </c>
      <c r="B144" s="10">
        <f>IF(A144="","",GL_CLEAN!B144)</f>
        <v/>
      </c>
      <c r="C144" s="11">
        <f>IF(A144="","",GL_CLEAN!C144)</f>
        <v/>
      </c>
      <c r="D144" s="14">
        <f>IF(A144="","",GL_CLEAN!H144)</f>
        <v/>
      </c>
      <c r="E144" s="14">
        <f>IF(A144="","",GL_CLEAN!I144)</f>
        <v/>
      </c>
      <c r="F144" s="11">
        <f>IF(A144="","",GL_CLEAN!J144)</f>
        <v/>
      </c>
      <c r="G144" s="11">
        <f>IF(A144="","",IF(F144="OUT","DR","CR"))</f>
        <v/>
      </c>
      <c r="H144" s="11">
        <f>IF(A144="","",IFERROR(INDEX(BANK_CLEAN!$A$2:$A$1001,MATCH(MINIFS(BANK_CLEAN!$J$2:$J$1001,BANK_CLEAN!$H$2:$H$1001,G144,BANK_CLEAN!$L$2:$L$1001,""),BANK_CLEAN!$J$2:$J$1001,0)),""))</f>
        <v/>
      </c>
      <c r="I144" s="10">
        <f>IF(H144="","",INDEX(BANK_CLEAN!$B$2:$B$1001,H144))</f>
        <v/>
      </c>
      <c r="J144" s="14">
        <f>IF(H144="","",IF(F144="OUT",INDEX(BANK_CLEAN!$F$2:$F$1001,H144),INDEX(BANK_CLEAN!$E$2:$E$1001,H144)))</f>
        <v/>
      </c>
      <c r="K144" s="14">
        <f>IF(H144="","",ABS(E144-J144))</f>
        <v/>
      </c>
      <c r="L144" s="11">
        <f>IF(OR(H144="",B144="",I144=""),"",ABS(B144-I144))</f>
        <v/>
      </c>
      <c r="M144" s="15">
        <f>IF(H144="",0,LET(pct,IF(E144&gt;0,K144/E144,1),days,IFERROR(L144,999),100-pct*200-days*3))</f>
        <v/>
      </c>
      <c r="N144" s="11">
        <f>IF(A144="","",IF(H144="","Unmatched GL",IF(AND(K144&lt;=Tol_Amount,L144&lt;=Tol_Days),"Matched",IF(M144&gt;Tol_NearPct,"Near Match","Unmatched GL"))))</f>
        <v/>
      </c>
    </row>
    <row r="145">
      <c r="A145" s="13">
        <f>IF(GL_CLEAN!A145="","",GL_CLEAN!A145)</f>
        <v/>
      </c>
      <c r="B145" s="10">
        <f>IF(A145="","",GL_CLEAN!B145)</f>
        <v/>
      </c>
      <c r="C145" s="11">
        <f>IF(A145="","",GL_CLEAN!C145)</f>
        <v/>
      </c>
      <c r="D145" s="14">
        <f>IF(A145="","",GL_CLEAN!H145)</f>
        <v/>
      </c>
      <c r="E145" s="14">
        <f>IF(A145="","",GL_CLEAN!I145)</f>
        <v/>
      </c>
      <c r="F145" s="11">
        <f>IF(A145="","",GL_CLEAN!J145)</f>
        <v/>
      </c>
      <c r="G145" s="11">
        <f>IF(A145="","",IF(F145="OUT","DR","CR"))</f>
        <v/>
      </c>
      <c r="H145" s="11">
        <f>IF(A145="","",IFERROR(INDEX(BANK_CLEAN!$A$2:$A$1001,MATCH(MINIFS(BANK_CLEAN!$J$2:$J$1001,BANK_CLEAN!$H$2:$H$1001,G145,BANK_CLEAN!$L$2:$L$1001,""),BANK_CLEAN!$J$2:$J$1001,0)),""))</f>
        <v/>
      </c>
      <c r="I145" s="10">
        <f>IF(H145="","",INDEX(BANK_CLEAN!$B$2:$B$1001,H145))</f>
        <v/>
      </c>
      <c r="J145" s="14">
        <f>IF(H145="","",IF(F145="OUT",INDEX(BANK_CLEAN!$F$2:$F$1001,H145),INDEX(BANK_CLEAN!$E$2:$E$1001,H145)))</f>
        <v/>
      </c>
      <c r="K145" s="14">
        <f>IF(H145="","",ABS(E145-J145))</f>
        <v/>
      </c>
      <c r="L145" s="11">
        <f>IF(OR(H145="",B145="",I145=""),"",ABS(B145-I145))</f>
        <v/>
      </c>
      <c r="M145" s="15">
        <f>IF(H145="",0,LET(pct,IF(E145&gt;0,K145/E145,1),days,IFERROR(L145,999),100-pct*200-days*3))</f>
        <v/>
      </c>
      <c r="N145" s="11">
        <f>IF(A145="","",IF(H145="","Unmatched GL",IF(AND(K145&lt;=Tol_Amount,L145&lt;=Tol_Days),"Matched",IF(M145&gt;Tol_NearPct,"Near Match","Unmatched GL"))))</f>
        <v/>
      </c>
    </row>
    <row r="146">
      <c r="A146" s="13">
        <f>IF(GL_CLEAN!A146="","",GL_CLEAN!A146)</f>
        <v/>
      </c>
      <c r="B146" s="10">
        <f>IF(A146="","",GL_CLEAN!B146)</f>
        <v/>
      </c>
      <c r="C146" s="11">
        <f>IF(A146="","",GL_CLEAN!C146)</f>
        <v/>
      </c>
      <c r="D146" s="14">
        <f>IF(A146="","",GL_CLEAN!H146)</f>
        <v/>
      </c>
      <c r="E146" s="14">
        <f>IF(A146="","",GL_CLEAN!I146)</f>
        <v/>
      </c>
      <c r="F146" s="11">
        <f>IF(A146="","",GL_CLEAN!J146)</f>
        <v/>
      </c>
      <c r="G146" s="11">
        <f>IF(A146="","",IF(F146="OUT","DR","CR"))</f>
        <v/>
      </c>
      <c r="H146" s="11">
        <f>IF(A146="","",IFERROR(INDEX(BANK_CLEAN!$A$2:$A$1001,MATCH(MINIFS(BANK_CLEAN!$J$2:$J$1001,BANK_CLEAN!$H$2:$H$1001,G146,BANK_CLEAN!$L$2:$L$1001,""),BANK_CLEAN!$J$2:$J$1001,0)),""))</f>
        <v/>
      </c>
      <c r="I146" s="10">
        <f>IF(H146="","",INDEX(BANK_CLEAN!$B$2:$B$1001,H146))</f>
        <v/>
      </c>
      <c r="J146" s="14">
        <f>IF(H146="","",IF(F146="OUT",INDEX(BANK_CLEAN!$F$2:$F$1001,H146),INDEX(BANK_CLEAN!$E$2:$E$1001,H146)))</f>
        <v/>
      </c>
      <c r="K146" s="14">
        <f>IF(H146="","",ABS(E146-J146))</f>
        <v/>
      </c>
      <c r="L146" s="11">
        <f>IF(OR(H146="",B146="",I146=""),"",ABS(B146-I146))</f>
        <v/>
      </c>
      <c r="M146" s="15">
        <f>IF(H146="",0,LET(pct,IF(E146&gt;0,K146/E146,1),days,IFERROR(L146,999),100-pct*200-days*3))</f>
        <v/>
      </c>
      <c r="N146" s="11">
        <f>IF(A146="","",IF(H146="","Unmatched GL",IF(AND(K146&lt;=Tol_Amount,L146&lt;=Tol_Days),"Matched",IF(M146&gt;Tol_NearPct,"Near Match","Unmatched GL"))))</f>
        <v/>
      </c>
    </row>
    <row r="147">
      <c r="A147" s="13">
        <f>IF(GL_CLEAN!A147="","",GL_CLEAN!A147)</f>
        <v/>
      </c>
      <c r="B147" s="10">
        <f>IF(A147="","",GL_CLEAN!B147)</f>
        <v/>
      </c>
      <c r="C147" s="11">
        <f>IF(A147="","",GL_CLEAN!C147)</f>
        <v/>
      </c>
      <c r="D147" s="14">
        <f>IF(A147="","",GL_CLEAN!H147)</f>
        <v/>
      </c>
      <c r="E147" s="14">
        <f>IF(A147="","",GL_CLEAN!I147)</f>
        <v/>
      </c>
      <c r="F147" s="11">
        <f>IF(A147="","",GL_CLEAN!J147)</f>
        <v/>
      </c>
      <c r="G147" s="11">
        <f>IF(A147="","",IF(F147="OUT","DR","CR"))</f>
        <v/>
      </c>
      <c r="H147" s="11">
        <f>IF(A147="","",IFERROR(INDEX(BANK_CLEAN!$A$2:$A$1001,MATCH(MINIFS(BANK_CLEAN!$J$2:$J$1001,BANK_CLEAN!$H$2:$H$1001,G147,BANK_CLEAN!$L$2:$L$1001,""),BANK_CLEAN!$J$2:$J$1001,0)),""))</f>
        <v/>
      </c>
      <c r="I147" s="10">
        <f>IF(H147="","",INDEX(BANK_CLEAN!$B$2:$B$1001,H147))</f>
        <v/>
      </c>
      <c r="J147" s="14">
        <f>IF(H147="","",IF(F147="OUT",INDEX(BANK_CLEAN!$F$2:$F$1001,H147),INDEX(BANK_CLEAN!$E$2:$E$1001,H147)))</f>
        <v/>
      </c>
      <c r="K147" s="14">
        <f>IF(H147="","",ABS(E147-J147))</f>
        <v/>
      </c>
      <c r="L147" s="11">
        <f>IF(OR(H147="",B147="",I147=""),"",ABS(B147-I147))</f>
        <v/>
      </c>
      <c r="M147" s="15">
        <f>IF(H147="",0,LET(pct,IF(E147&gt;0,K147/E147,1),days,IFERROR(L147,999),100-pct*200-days*3))</f>
        <v/>
      </c>
      <c r="N147" s="11">
        <f>IF(A147="","",IF(H147="","Unmatched GL",IF(AND(K147&lt;=Tol_Amount,L147&lt;=Tol_Days),"Matched",IF(M147&gt;Tol_NearPct,"Near Match","Unmatched GL"))))</f>
        <v/>
      </c>
    </row>
    <row r="148">
      <c r="A148" s="13">
        <f>IF(GL_CLEAN!A148="","",GL_CLEAN!A148)</f>
        <v/>
      </c>
      <c r="B148" s="10">
        <f>IF(A148="","",GL_CLEAN!B148)</f>
        <v/>
      </c>
      <c r="C148" s="11">
        <f>IF(A148="","",GL_CLEAN!C148)</f>
        <v/>
      </c>
      <c r="D148" s="14">
        <f>IF(A148="","",GL_CLEAN!H148)</f>
        <v/>
      </c>
      <c r="E148" s="14">
        <f>IF(A148="","",GL_CLEAN!I148)</f>
        <v/>
      </c>
      <c r="F148" s="11">
        <f>IF(A148="","",GL_CLEAN!J148)</f>
        <v/>
      </c>
      <c r="G148" s="11">
        <f>IF(A148="","",IF(F148="OUT","DR","CR"))</f>
        <v/>
      </c>
      <c r="H148" s="11">
        <f>IF(A148="","",IFERROR(INDEX(BANK_CLEAN!$A$2:$A$1001,MATCH(MINIFS(BANK_CLEAN!$J$2:$J$1001,BANK_CLEAN!$H$2:$H$1001,G148,BANK_CLEAN!$L$2:$L$1001,""),BANK_CLEAN!$J$2:$J$1001,0)),""))</f>
        <v/>
      </c>
      <c r="I148" s="10">
        <f>IF(H148="","",INDEX(BANK_CLEAN!$B$2:$B$1001,H148))</f>
        <v/>
      </c>
      <c r="J148" s="14">
        <f>IF(H148="","",IF(F148="OUT",INDEX(BANK_CLEAN!$F$2:$F$1001,H148),INDEX(BANK_CLEAN!$E$2:$E$1001,H148)))</f>
        <v/>
      </c>
      <c r="K148" s="14">
        <f>IF(H148="","",ABS(E148-J148))</f>
        <v/>
      </c>
      <c r="L148" s="11">
        <f>IF(OR(H148="",B148="",I148=""),"",ABS(B148-I148))</f>
        <v/>
      </c>
      <c r="M148" s="15">
        <f>IF(H148="",0,LET(pct,IF(E148&gt;0,K148/E148,1),days,IFERROR(L148,999),100-pct*200-days*3))</f>
        <v/>
      </c>
      <c r="N148" s="11">
        <f>IF(A148="","",IF(H148="","Unmatched GL",IF(AND(K148&lt;=Tol_Amount,L148&lt;=Tol_Days),"Matched",IF(M148&gt;Tol_NearPct,"Near Match","Unmatched GL"))))</f>
        <v/>
      </c>
    </row>
    <row r="149">
      <c r="A149" s="13">
        <f>IF(GL_CLEAN!A149="","",GL_CLEAN!A149)</f>
        <v/>
      </c>
      <c r="B149" s="10">
        <f>IF(A149="","",GL_CLEAN!B149)</f>
        <v/>
      </c>
      <c r="C149" s="11">
        <f>IF(A149="","",GL_CLEAN!C149)</f>
        <v/>
      </c>
      <c r="D149" s="14">
        <f>IF(A149="","",GL_CLEAN!H149)</f>
        <v/>
      </c>
      <c r="E149" s="14">
        <f>IF(A149="","",GL_CLEAN!I149)</f>
        <v/>
      </c>
      <c r="F149" s="11">
        <f>IF(A149="","",GL_CLEAN!J149)</f>
        <v/>
      </c>
      <c r="G149" s="11">
        <f>IF(A149="","",IF(F149="OUT","DR","CR"))</f>
        <v/>
      </c>
      <c r="H149" s="11">
        <f>IF(A149="","",IFERROR(INDEX(BANK_CLEAN!$A$2:$A$1001,MATCH(MINIFS(BANK_CLEAN!$J$2:$J$1001,BANK_CLEAN!$H$2:$H$1001,G149,BANK_CLEAN!$L$2:$L$1001,""),BANK_CLEAN!$J$2:$J$1001,0)),""))</f>
        <v/>
      </c>
      <c r="I149" s="10">
        <f>IF(H149="","",INDEX(BANK_CLEAN!$B$2:$B$1001,H149))</f>
        <v/>
      </c>
      <c r="J149" s="14">
        <f>IF(H149="","",IF(F149="OUT",INDEX(BANK_CLEAN!$F$2:$F$1001,H149),INDEX(BANK_CLEAN!$E$2:$E$1001,H149)))</f>
        <v/>
      </c>
      <c r="K149" s="14">
        <f>IF(H149="","",ABS(E149-J149))</f>
        <v/>
      </c>
      <c r="L149" s="11">
        <f>IF(OR(H149="",B149="",I149=""),"",ABS(B149-I149))</f>
        <v/>
      </c>
      <c r="M149" s="15">
        <f>IF(H149="",0,LET(pct,IF(E149&gt;0,K149/E149,1),days,IFERROR(L149,999),100-pct*200-days*3))</f>
        <v/>
      </c>
      <c r="N149" s="11">
        <f>IF(A149="","",IF(H149="","Unmatched GL",IF(AND(K149&lt;=Tol_Amount,L149&lt;=Tol_Days),"Matched",IF(M149&gt;Tol_NearPct,"Near Match","Unmatched GL"))))</f>
        <v/>
      </c>
    </row>
    <row r="150">
      <c r="A150" s="13">
        <f>IF(GL_CLEAN!A150="","",GL_CLEAN!A150)</f>
        <v/>
      </c>
      <c r="B150" s="10">
        <f>IF(A150="","",GL_CLEAN!B150)</f>
        <v/>
      </c>
      <c r="C150" s="11">
        <f>IF(A150="","",GL_CLEAN!C150)</f>
        <v/>
      </c>
      <c r="D150" s="14">
        <f>IF(A150="","",GL_CLEAN!H150)</f>
        <v/>
      </c>
      <c r="E150" s="14">
        <f>IF(A150="","",GL_CLEAN!I150)</f>
        <v/>
      </c>
      <c r="F150" s="11">
        <f>IF(A150="","",GL_CLEAN!J150)</f>
        <v/>
      </c>
      <c r="G150" s="11">
        <f>IF(A150="","",IF(F150="OUT","DR","CR"))</f>
        <v/>
      </c>
      <c r="H150" s="11">
        <f>IF(A150="","",IFERROR(INDEX(BANK_CLEAN!$A$2:$A$1001,MATCH(MINIFS(BANK_CLEAN!$J$2:$J$1001,BANK_CLEAN!$H$2:$H$1001,G150,BANK_CLEAN!$L$2:$L$1001,""),BANK_CLEAN!$J$2:$J$1001,0)),""))</f>
        <v/>
      </c>
      <c r="I150" s="10">
        <f>IF(H150="","",INDEX(BANK_CLEAN!$B$2:$B$1001,H150))</f>
        <v/>
      </c>
      <c r="J150" s="14">
        <f>IF(H150="","",IF(F150="OUT",INDEX(BANK_CLEAN!$F$2:$F$1001,H150),INDEX(BANK_CLEAN!$E$2:$E$1001,H150)))</f>
        <v/>
      </c>
      <c r="K150" s="14">
        <f>IF(H150="","",ABS(E150-J150))</f>
        <v/>
      </c>
      <c r="L150" s="11">
        <f>IF(OR(H150="",B150="",I150=""),"",ABS(B150-I150))</f>
        <v/>
      </c>
      <c r="M150" s="15">
        <f>IF(H150="",0,LET(pct,IF(E150&gt;0,K150/E150,1),days,IFERROR(L150,999),100-pct*200-days*3))</f>
        <v/>
      </c>
      <c r="N150" s="11">
        <f>IF(A150="","",IF(H150="","Unmatched GL",IF(AND(K150&lt;=Tol_Amount,L150&lt;=Tol_Days),"Matched",IF(M150&gt;Tol_NearPct,"Near Match","Unmatched GL"))))</f>
        <v/>
      </c>
    </row>
    <row r="151">
      <c r="A151" s="13">
        <f>IF(GL_CLEAN!A151="","",GL_CLEAN!A151)</f>
        <v/>
      </c>
      <c r="B151" s="10">
        <f>IF(A151="","",GL_CLEAN!B151)</f>
        <v/>
      </c>
      <c r="C151" s="11">
        <f>IF(A151="","",GL_CLEAN!C151)</f>
        <v/>
      </c>
      <c r="D151" s="14">
        <f>IF(A151="","",GL_CLEAN!H151)</f>
        <v/>
      </c>
      <c r="E151" s="14">
        <f>IF(A151="","",GL_CLEAN!I151)</f>
        <v/>
      </c>
      <c r="F151" s="11">
        <f>IF(A151="","",GL_CLEAN!J151)</f>
        <v/>
      </c>
      <c r="G151" s="11">
        <f>IF(A151="","",IF(F151="OUT","DR","CR"))</f>
        <v/>
      </c>
      <c r="H151" s="11">
        <f>IF(A151="","",IFERROR(INDEX(BANK_CLEAN!$A$2:$A$1001,MATCH(MINIFS(BANK_CLEAN!$J$2:$J$1001,BANK_CLEAN!$H$2:$H$1001,G151,BANK_CLEAN!$L$2:$L$1001,""),BANK_CLEAN!$J$2:$J$1001,0)),""))</f>
        <v/>
      </c>
      <c r="I151" s="10">
        <f>IF(H151="","",INDEX(BANK_CLEAN!$B$2:$B$1001,H151))</f>
        <v/>
      </c>
      <c r="J151" s="14">
        <f>IF(H151="","",IF(F151="OUT",INDEX(BANK_CLEAN!$F$2:$F$1001,H151),INDEX(BANK_CLEAN!$E$2:$E$1001,H151)))</f>
        <v/>
      </c>
      <c r="K151" s="14">
        <f>IF(H151="","",ABS(E151-J151))</f>
        <v/>
      </c>
      <c r="L151" s="11">
        <f>IF(OR(H151="",B151="",I151=""),"",ABS(B151-I151))</f>
        <v/>
      </c>
      <c r="M151" s="15">
        <f>IF(H151="",0,LET(pct,IF(E151&gt;0,K151/E151,1),days,IFERROR(L151,999),100-pct*200-days*3))</f>
        <v/>
      </c>
      <c r="N151" s="11">
        <f>IF(A151="","",IF(H151="","Unmatched GL",IF(AND(K151&lt;=Tol_Amount,L151&lt;=Tol_Days),"Matched",IF(M151&gt;Tol_NearPct,"Near Match","Unmatched GL"))))</f>
        <v/>
      </c>
    </row>
    <row r="152">
      <c r="A152" s="13">
        <f>IF(GL_CLEAN!A152="","",GL_CLEAN!A152)</f>
        <v/>
      </c>
      <c r="B152" s="10">
        <f>IF(A152="","",GL_CLEAN!B152)</f>
        <v/>
      </c>
      <c r="C152" s="11">
        <f>IF(A152="","",GL_CLEAN!C152)</f>
        <v/>
      </c>
      <c r="D152" s="14">
        <f>IF(A152="","",GL_CLEAN!H152)</f>
        <v/>
      </c>
      <c r="E152" s="14">
        <f>IF(A152="","",GL_CLEAN!I152)</f>
        <v/>
      </c>
      <c r="F152" s="11">
        <f>IF(A152="","",GL_CLEAN!J152)</f>
        <v/>
      </c>
      <c r="G152" s="11">
        <f>IF(A152="","",IF(F152="OUT","DR","CR"))</f>
        <v/>
      </c>
      <c r="H152" s="11">
        <f>IF(A152="","",IFERROR(INDEX(BANK_CLEAN!$A$2:$A$1001,MATCH(MINIFS(BANK_CLEAN!$J$2:$J$1001,BANK_CLEAN!$H$2:$H$1001,G152,BANK_CLEAN!$L$2:$L$1001,""),BANK_CLEAN!$J$2:$J$1001,0)),""))</f>
        <v/>
      </c>
      <c r="I152" s="10">
        <f>IF(H152="","",INDEX(BANK_CLEAN!$B$2:$B$1001,H152))</f>
        <v/>
      </c>
      <c r="J152" s="14">
        <f>IF(H152="","",IF(F152="OUT",INDEX(BANK_CLEAN!$F$2:$F$1001,H152),INDEX(BANK_CLEAN!$E$2:$E$1001,H152)))</f>
        <v/>
      </c>
      <c r="K152" s="14">
        <f>IF(H152="","",ABS(E152-J152))</f>
        <v/>
      </c>
      <c r="L152" s="11">
        <f>IF(OR(H152="",B152="",I152=""),"",ABS(B152-I152))</f>
        <v/>
      </c>
      <c r="M152" s="15">
        <f>IF(H152="",0,LET(pct,IF(E152&gt;0,K152/E152,1),days,IFERROR(L152,999),100-pct*200-days*3))</f>
        <v/>
      </c>
      <c r="N152" s="11">
        <f>IF(A152="","",IF(H152="","Unmatched GL",IF(AND(K152&lt;=Tol_Amount,L152&lt;=Tol_Days),"Matched",IF(M152&gt;Tol_NearPct,"Near Match","Unmatched GL"))))</f>
        <v/>
      </c>
    </row>
    <row r="153">
      <c r="A153" s="13">
        <f>IF(GL_CLEAN!A153="","",GL_CLEAN!A153)</f>
        <v/>
      </c>
      <c r="B153" s="10">
        <f>IF(A153="","",GL_CLEAN!B153)</f>
        <v/>
      </c>
      <c r="C153" s="11">
        <f>IF(A153="","",GL_CLEAN!C153)</f>
        <v/>
      </c>
      <c r="D153" s="14">
        <f>IF(A153="","",GL_CLEAN!H153)</f>
        <v/>
      </c>
      <c r="E153" s="14">
        <f>IF(A153="","",GL_CLEAN!I153)</f>
        <v/>
      </c>
      <c r="F153" s="11">
        <f>IF(A153="","",GL_CLEAN!J153)</f>
        <v/>
      </c>
      <c r="G153" s="11">
        <f>IF(A153="","",IF(F153="OUT","DR","CR"))</f>
        <v/>
      </c>
      <c r="H153" s="11">
        <f>IF(A153="","",IFERROR(INDEX(BANK_CLEAN!$A$2:$A$1001,MATCH(MINIFS(BANK_CLEAN!$J$2:$J$1001,BANK_CLEAN!$H$2:$H$1001,G153,BANK_CLEAN!$L$2:$L$1001,""),BANK_CLEAN!$J$2:$J$1001,0)),""))</f>
        <v/>
      </c>
      <c r="I153" s="10">
        <f>IF(H153="","",INDEX(BANK_CLEAN!$B$2:$B$1001,H153))</f>
        <v/>
      </c>
      <c r="J153" s="14">
        <f>IF(H153="","",IF(F153="OUT",INDEX(BANK_CLEAN!$F$2:$F$1001,H153),INDEX(BANK_CLEAN!$E$2:$E$1001,H153)))</f>
        <v/>
      </c>
      <c r="K153" s="14">
        <f>IF(H153="","",ABS(E153-J153))</f>
        <v/>
      </c>
      <c r="L153" s="11">
        <f>IF(OR(H153="",B153="",I153=""),"",ABS(B153-I153))</f>
        <v/>
      </c>
      <c r="M153" s="15">
        <f>IF(H153="",0,LET(pct,IF(E153&gt;0,K153/E153,1),days,IFERROR(L153,999),100-pct*200-days*3))</f>
        <v/>
      </c>
      <c r="N153" s="11">
        <f>IF(A153="","",IF(H153="","Unmatched GL",IF(AND(K153&lt;=Tol_Amount,L153&lt;=Tol_Days),"Matched",IF(M153&gt;Tol_NearPct,"Near Match","Unmatched GL"))))</f>
        <v/>
      </c>
    </row>
    <row r="154">
      <c r="A154" s="13">
        <f>IF(GL_CLEAN!A154="","",GL_CLEAN!A154)</f>
        <v/>
      </c>
      <c r="B154" s="10">
        <f>IF(A154="","",GL_CLEAN!B154)</f>
        <v/>
      </c>
      <c r="C154" s="11">
        <f>IF(A154="","",GL_CLEAN!C154)</f>
        <v/>
      </c>
      <c r="D154" s="14">
        <f>IF(A154="","",GL_CLEAN!H154)</f>
        <v/>
      </c>
      <c r="E154" s="14">
        <f>IF(A154="","",GL_CLEAN!I154)</f>
        <v/>
      </c>
      <c r="F154" s="11">
        <f>IF(A154="","",GL_CLEAN!J154)</f>
        <v/>
      </c>
      <c r="G154" s="11">
        <f>IF(A154="","",IF(F154="OUT","DR","CR"))</f>
        <v/>
      </c>
      <c r="H154" s="11">
        <f>IF(A154="","",IFERROR(INDEX(BANK_CLEAN!$A$2:$A$1001,MATCH(MINIFS(BANK_CLEAN!$J$2:$J$1001,BANK_CLEAN!$H$2:$H$1001,G154,BANK_CLEAN!$L$2:$L$1001,""),BANK_CLEAN!$J$2:$J$1001,0)),""))</f>
        <v/>
      </c>
      <c r="I154" s="10">
        <f>IF(H154="","",INDEX(BANK_CLEAN!$B$2:$B$1001,H154))</f>
        <v/>
      </c>
      <c r="J154" s="14">
        <f>IF(H154="","",IF(F154="OUT",INDEX(BANK_CLEAN!$F$2:$F$1001,H154),INDEX(BANK_CLEAN!$E$2:$E$1001,H154)))</f>
        <v/>
      </c>
      <c r="K154" s="14">
        <f>IF(H154="","",ABS(E154-J154))</f>
        <v/>
      </c>
      <c r="L154" s="11">
        <f>IF(OR(H154="",B154="",I154=""),"",ABS(B154-I154))</f>
        <v/>
      </c>
      <c r="M154" s="15">
        <f>IF(H154="",0,LET(pct,IF(E154&gt;0,K154/E154,1),days,IFERROR(L154,999),100-pct*200-days*3))</f>
        <v/>
      </c>
      <c r="N154" s="11">
        <f>IF(A154="","",IF(H154="","Unmatched GL",IF(AND(K154&lt;=Tol_Amount,L154&lt;=Tol_Days),"Matched",IF(M154&gt;Tol_NearPct,"Near Match","Unmatched GL"))))</f>
        <v/>
      </c>
    </row>
    <row r="155">
      <c r="A155" s="13">
        <f>IF(GL_CLEAN!A155="","",GL_CLEAN!A155)</f>
        <v/>
      </c>
      <c r="B155" s="10">
        <f>IF(A155="","",GL_CLEAN!B155)</f>
        <v/>
      </c>
      <c r="C155" s="11">
        <f>IF(A155="","",GL_CLEAN!C155)</f>
        <v/>
      </c>
      <c r="D155" s="14">
        <f>IF(A155="","",GL_CLEAN!H155)</f>
        <v/>
      </c>
      <c r="E155" s="14">
        <f>IF(A155="","",GL_CLEAN!I155)</f>
        <v/>
      </c>
      <c r="F155" s="11">
        <f>IF(A155="","",GL_CLEAN!J155)</f>
        <v/>
      </c>
      <c r="G155" s="11">
        <f>IF(A155="","",IF(F155="OUT","DR","CR"))</f>
        <v/>
      </c>
      <c r="H155" s="11">
        <f>IF(A155="","",IFERROR(INDEX(BANK_CLEAN!$A$2:$A$1001,MATCH(MINIFS(BANK_CLEAN!$J$2:$J$1001,BANK_CLEAN!$H$2:$H$1001,G155,BANK_CLEAN!$L$2:$L$1001,""),BANK_CLEAN!$J$2:$J$1001,0)),""))</f>
        <v/>
      </c>
      <c r="I155" s="10">
        <f>IF(H155="","",INDEX(BANK_CLEAN!$B$2:$B$1001,H155))</f>
        <v/>
      </c>
      <c r="J155" s="14">
        <f>IF(H155="","",IF(F155="OUT",INDEX(BANK_CLEAN!$F$2:$F$1001,H155),INDEX(BANK_CLEAN!$E$2:$E$1001,H155)))</f>
        <v/>
      </c>
      <c r="K155" s="14">
        <f>IF(H155="","",ABS(E155-J155))</f>
        <v/>
      </c>
      <c r="L155" s="11">
        <f>IF(OR(H155="",B155="",I155=""),"",ABS(B155-I155))</f>
        <v/>
      </c>
      <c r="M155" s="15">
        <f>IF(H155="",0,LET(pct,IF(E155&gt;0,K155/E155,1),days,IFERROR(L155,999),100-pct*200-days*3))</f>
        <v/>
      </c>
      <c r="N155" s="11">
        <f>IF(A155="","",IF(H155="","Unmatched GL",IF(AND(K155&lt;=Tol_Amount,L155&lt;=Tol_Days),"Matched",IF(M155&gt;Tol_NearPct,"Near Match","Unmatched GL"))))</f>
        <v/>
      </c>
    </row>
    <row r="156">
      <c r="A156" s="13">
        <f>IF(GL_CLEAN!A156="","",GL_CLEAN!A156)</f>
        <v/>
      </c>
      <c r="B156" s="10">
        <f>IF(A156="","",GL_CLEAN!B156)</f>
        <v/>
      </c>
      <c r="C156" s="11">
        <f>IF(A156="","",GL_CLEAN!C156)</f>
        <v/>
      </c>
      <c r="D156" s="14">
        <f>IF(A156="","",GL_CLEAN!H156)</f>
        <v/>
      </c>
      <c r="E156" s="14">
        <f>IF(A156="","",GL_CLEAN!I156)</f>
        <v/>
      </c>
      <c r="F156" s="11">
        <f>IF(A156="","",GL_CLEAN!J156)</f>
        <v/>
      </c>
      <c r="G156" s="11">
        <f>IF(A156="","",IF(F156="OUT","DR","CR"))</f>
        <v/>
      </c>
      <c r="H156" s="11">
        <f>IF(A156="","",IFERROR(INDEX(BANK_CLEAN!$A$2:$A$1001,MATCH(MINIFS(BANK_CLEAN!$J$2:$J$1001,BANK_CLEAN!$H$2:$H$1001,G156,BANK_CLEAN!$L$2:$L$1001,""),BANK_CLEAN!$J$2:$J$1001,0)),""))</f>
        <v/>
      </c>
      <c r="I156" s="10">
        <f>IF(H156="","",INDEX(BANK_CLEAN!$B$2:$B$1001,H156))</f>
        <v/>
      </c>
      <c r="J156" s="14">
        <f>IF(H156="","",IF(F156="OUT",INDEX(BANK_CLEAN!$F$2:$F$1001,H156),INDEX(BANK_CLEAN!$E$2:$E$1001,H156)))</f>
        <v/>
      </c>
      <c r="K156" s="14">
        <f>IF(H156="","",ABS(E156-J156))</f>
        <v/>
      </c>
      <c r="L156" s="11">
        <f>IF(OR(H156="",B156="",I156=""),"",ABS(B156-I156))</f>
        <v/>
      </c>
      <c r="M156" s="15">
        <f>IF(H156="",0,LET(pct,IF(E156&gt;0,K156/E156,1),days,IFERROR(L156,999),100-pct*200-days*3))</f>
        <v/>
      </c>
      <c r="N156" s="11">
        <f>IF(A156="","",IF(H156="","Unmatched GL",IF(AND(K156&lt;=Tol_Amount,L156&lt;=Tol_Days),"Matched",IF(M156&gt;Tol_NearPct,"Near Match","Unmatched GL"))))</f>
        <v/>
      </c>
    </row>
    <row r="157">
      <c r="A157" s="13">
        <f>IF(GL_CLEAN!A157="","",GL_CLEAN!A157)</f>
        <v/>
      </c>
      <c r="B157" s="10">
        <f>IF(A157="","",GL_CLEAN!B157)</f>
        <v/>
      </c>
      <c r="C157" s="11">
        <f>IF(A157="","",GL_CLEAN!C157)</f>
        <v/>
      </c>
      <c r="D157" s="14">
        <f>IF(A157="","",GL_CLEAN!H157)</f>
        <v/>
      </c>
      <c r="E157" s="14">
        <f>IF(A157="","",GL_CLEAN!I157)</f>
        <v/>
      </c>
      <c r="F157" s="11">
        <f>IF(A157="","",GL_CLEAN!J157)</f>
        <v/>
      </c>
      <c r="G157" s="11">
        <f>IF(A157="","",IF(F157="OUT","DR","CR"))</f>
        <v/>
      </c>
      <c r="H157" s="11">
        <f>IF(A157="","",IFERROR(INDEX(BANK_CLEAN!$A$2:$A$1001,MATCH(MINIFS(BANK_CLEAN!$J$2:$J$1001,BANK_CLEAN!$H$2:$H$1001,G157,BANK_CLEAN!$L$2:$L$1001,""),BANK_CLEAN!$J$2:$J$1001,0)),""))</f>
        <v/>
      </c>
      <c r="I157" s="10">
        <f>IF(H157="","",INDEX(BANK_CLEAN!$B$2:$B$1001,H157))</f>
        <v/>
      </c>
      <c r="J157" s="14">
        <f>IF(H157="","",IF(F157="OUT",INDEX(BANK_CLEAN!$F$2:$F$1001,H157),INDEX(BANK_CLEAN!$E$2:$E$1001,H157)))</f>
        <v/>
      </c>
      <c r="K157" s="14">
        <f>IF(H157="","",ABS(E157-J157))</f>
        <v/>
      </c>
      <c r="L157" s="11">
        <f>IF(OR(H157="",B157="",I157=""),"",ABS(B157-I157))</f>
        <v/>
      </c>
      <c r="M157" s="15">
        <f>IF(H157="",0,LET(pct,IF(E157&gt;0,K157/E157,1),days,IFERROR(L157,999),100-pct*200-days*3))</f>
        <v/>
      </c>
      <c r="N157" s="11">
        <f>IF(A157="","",IF(H157="","Unmatched GL",IF(AND(K157&lt;=Tol_Amount,L157&lt;=Tol_Days),"Matched",IF(M157&gt;Tol_NearPct,"Near Match","Unmatched GL"))))</f>
        <v/>
      </c>
    </row>
    <row r="158">
      <c r="A158" s="13">
        <f>IF(GL_CLEAN!A158="","",GL_CLEAN!A158)</f>
        <v/>
      </c>
      <c r="B158" s="10">
        <f>IF(A158="","",GL_CLEAN!B158)</f>
        <v/>
      </c>
      <c r="C158" s="11">
        <f>IF(A158="","",GL_CLEAN!C158)</f>
        <v/>
      </c>
      <c r="D158" s="14">
        <f>IF(A158="","",GL_CLEAN!H158)</f>
        <v/>
      </c>
      <c r="E158" s="14">
        <f>IF(A158="","",GL_CLEAN!I158)</f>
        <v/>
      </c>
      <c r="F158" s="11">
        <f>IF(A158="","",GL_CLEAN!J158)</f>
        <v/>
      </c>
      <c r="G158" s="11">
        <f>IF(A158="","",IF(F158="OUT","DR","CR"))</f>
        <v/>
      </c>
      <c r="H158" s="11">
        <f>IF(A158="","",IFERROR(INDEX(BANK_CLEAN!$A$2:$A$1001,MATCH(MINIFS(BANK_CLEAN!$J$2:$J$1001,BANK_CLEAN!$H$2:$H$1001,G158,BANK_CLEAN!$L$2:$L$1001,""),BANK_CLEAN!$J$2:$J$1001,0)),""))</f>
        <v/>
      </c>
      <c r="I158" s="10">
        <f>IF(H158="","",INDEX(BANK_CLEAN!$B$2:$B$1001,H158))</f>
        <v/>
      </c>
      <c r="J158" s="14">
        <f>IF(H158="","",IF(F158="OUT",INDEX(BANK_CLEAN!$F$2:$F$1001,H158),INDEX(BANK_CLEAN!$E$2:$E$1001,H158)))</f>
        <v/>
      </c>
      <c r="K158" s="14">
        <f>IF(H158="","",ABS(E158-J158))</f>
        <v/>
      </c>
      <c r="L158" s="11">
        <f>IF(OR(H158="",B158="",I158=""),"",ABS(B158-I158))</f>
        <v/>
      </c>
      <c r="M158" s="15">
        <f>IF(H158="",0,LET(pct,IF(E158&gt;0,K158/E158,1),days,IFERROR(L158,999),100-pct*200-days*3))</f>
        <v/>
      </c>
      <c r="N158" s="11">
        <f>IF(A158="","",IF(H158="","Unmatched GL",IF(AND(K158&lt;=Tol_Amount,L158&lt;=Tol_Days),"Matched",IF(M158&gt;Tol_NearPct,"Near Match","Unmatched GL"))))</f>
        <v/>
      </c>
    </row>
    <row r="159">
      <c r="A159" s="13">
        <f>IF(GL_CLEAN!A159="","",GL_CLEAN!A159)</f>
        <v/>
      </c>
      <c r="B159" s="10">
        <f>IF(A159="","",GL_CLEAN!B159)</f>
        <v/>
      </c>
      <c r="C159" s="11">
        <f>IF(A159="","",GL_CLEAN!C159)</f>
        <v/>
      </c>
      <c r="D159" s="14">
        <f>IF(A159="","",GL_CLEAN!H159)</f>
        <v/>
      </c>
      <c r="E159" s="14">
        <f>IF(A159="","",GL_CLEAN!I159)</f>
        <v/>
      </c>
      <c r="F159" s="11">
        <f>IF(A159="","",GL_CLEAN!J159)</f>
        <v/>
      </c>
      <c r="G159" s="11">
        <f>IF(A159="","",IF(F159="OUT","DR","CR"))</f>
        <v/>
      </c>
      <c r="H159" s="11">
        <f>IF(A159="","",IFERROR(INDEX(BANK_CLEAN!$A$2:$A$1001,MATCH(MINIFS(BANK_CLEAN!$J$2:$J$1001,BANK_CLEAN!$H$2:$H$1001,G159,BANK_CLEAN!$L$2:$L$1001,""),BANK_CLEAN!$J$2:$J$1001,0)),""))</f>
        <v/>
      </c>
      <c r="I159" s="10">
        <f>IF(H159="","",INDEX(BANK_CLEAN!$B$2:$B$1001,H159))</f>
        <v/>
      </c>
      <c r="J159" s="14">
        <f>IF(H159="","",IF(F159="OUT",INDEX(BANK_CLEAN!$F$2:$F$1001,H159),INDEX(BANK_CLEAN!$E$2:$E$1001,H159)))</f>
        <v/>
      </c>
      <c r="K159" s="14">
        <f>IF(H159="","",ABS(E159-J159))</f>
        <v/>
      </c>
      <c r="L159" s="11">
        <f>IF(OR(H159="",B159="",I159=""),"",ABS(B159-I159))</f>
        <v/>
      </c>
      <c r="M159" s="15">
        <f>IF(H159="",0,LET(pct,IF(E159&gt;0,K159/E159,1),days,IFERROR(L159,999),100-pct*200-days*3))</f>
        <v/>
      </c>
      <c r="N159" s="11">
        <f>IF(A159="","",IF(H159="","Unmatched GL",IF(AND(K159&lt;=Tol_Amount,L159&lt;=Tol_Days),"Matched",IF(M159&gt;Tol_NearPct,"Near Match","Unmatched GL"))))</f>
        <v/>
      </c>
    </row>
    <row r="160">
      <c r="A160" s="13">
        <f>IF(GL_CLEAN!A160="","",GL_CLEAN!A160)</f>
        <v/>
      </c>
      <c r="B160" s="10">
        <f>IF(A160="","",GL_CLEAN!B160)</f>
        <v/>
      </c>
      <c r="C160" s="11">
        <f>IF(A160="","",GL_CLEAN!C160)</f>
        <v/>
      </c>
      <c r="D160" s="14">
        <f>IF(A160="","",GL_CLEAN!H160)</f>
        <v/>
      </c>
      <c r="E160" s="14">
        <f>IF(A160="","",GL_CLEAN!I160)</f>
        <v/>
      </c>
      <c r="F160" s="11">
        <f>IF(A160="","",GL_CLEAN!J160)</f>
        <v/>
      </c>
      <c r="G160" s="11">
        <f>IF(A160="","",IF(F160="OUT","DR","CR"))</f>
        <v/>
      </c>
      <c r="H160" s="11">
        <f>IF(A160="","",IFERROR(INDEX(BANK_CLEAN!$A$2:$A$1001,MATCH(MINIFS(BANK_CLEAN!$J$2:$J$1001,BANK_CLEAN!$H$2:$H$1001,G160,BANK_CLEAN!$L$2:$L$1001,""),BANK_CLEAN!$J$2:$J$1001,0)),""))</f>
        <v/>
      </c>
      <c r="I160" s="10">
        <f>IF(H160="","",INDEX(BANK_CLEAN!$B$2:$B$1001,H160))</f>
        <v/>
      </c>
      <c r="J160" s="14">
        <f>IF(H160="","",IF(F160="OUT",INDEX(BANK_CLEAN!$F$2:$F$1001,H160),INDEX(BANK_CLEAN!$E$2:$E$1001,H160)))</f>
        <v/>
      </c>
      <c r="K160" s="14">
        <f>IF(H160="","",ABS(E160-J160))</f>
        <v/>
      </c>
      <c r="L160" s="11">
        <f>IF(OR(H160="",B160="",I160=""),"",ABS(B160-I160))</f>
        <v/>
      </c>
      <c r="M160" s="15">
        <f>IF(H160="",0,LET(pct,IF(E160&gt;0,K160/E160,1),days,IFERROR(L160,999),100-pct*200-days*3))</f>
        <v/>
      </c>
      <c r="N160" s="11">
        <f>IF(A160="","",IF(H160="","Unmatched GL",IF(AND(K160&lt;=Tol_Amount,L160&lt;=Tol_Days),"Matched",IF(M160&gt;Tol_NearPct,"Near Match","Unmatched GL"))))</f>
        <v/>
      </c>
    </row>
    <row r="161">
      <c r="A161" s="13">
        <f>IF(GL_CLEAN!A161="","",GL_CLEAN!A161)</f>
        <v/>
      </c>
      <c r="B161" s="10">
        <f>IF(A161="","",GL_CLEAN!B161)</f>
        <v/>
      </c>
      <c r="C161" s="11">
        <f>IF(A161="","",GL_CLEAN!C161)</f>
        <v/>
      </c>
      <c r="D161" s="14">
        <f>IF(A161="","",GL_CLEAN!H161)</f>
        <v/>
      </c>
      <c r="E161" s="14">
        <f>IF(A161="","",GL_CLEAN!I161)</f>
        <v/>
      </c>
      <c r="F161" s="11">
        <f>IF(A161="","",GL_CLEAN!J161)</f>
        <v/>
      </c>
      <c r="G161" s="11">
        <f>IF(A161="","",IF(F161="OUT","DR","CR"))</f>
        <v/>
      </c>
      <c r="H161" s="11">
        <f>IF(A161="","",IFERROR(INDEX(BANK_CLEAN!$A$2:$A$1001,MATCH(MINIFS(BANK_CLEAN!$J$2:$J$1001,BANK_CLEAN!$H$2:$H$1001,G161,BANK_CLEAN!$L$2:$L$1001,""),BANK_CLEAN!$J$2:$J$1001,0)),""))</f>
        <v/>
      </c>
      <c r="I161" s="10">
        <f>IF(H161="","",INDEX(BANK_CLEAN!$B$2:$B$1001,H161))</f>
        <v/>
      </c>
      <c r="J161" s="14">
        <f>IF(H161="","",IF(F161="OUT",INDEX(BANK_CLEAN!$F$2:$F$1001,H161),INDEX(BANK_CLEAN!$E$2:$E$1001,H161)))</f>
        <v/>
      </c>
      <c r="K161" s="14">
        <f>IF(H161="","",ABS(E161-J161))</f>
        <v/>
      </c>
      <c r="L161" s="11">
        <f>IF(OR(H161="",B161="",I161=""),"",ABS(B161-I161))</f>
        <v/>
      </c>
      <c r="M161" s="15">
        <f>IF(H161="",0,LET(pct,IF(E161&gt;0,K161/E161,1),days,IFERROR(L161,999),100-pct*200-days*3))</f>
        <v/>
      </c>
      <c r="N161" s="11">
        <f>IF(A161="","",IF(H161="","Unmatched GL",IF(AND(K161&lt;=Tol_Amount,L161&lt;=Tol_Days),"Matched",IF(M161&gt;Tol_NearPct,"Near Match","Unmatched GL"))))</f>
        <v/>
      </c>
    </row>
    <row r="162">
      <c r="A162" s="13">
        <f>IF(GL_CLEAN!A162="","",GL_CLEAN!A162)</f>
        <v/>
      </c>
      <c r="B162" s="10">
        <f>IF(A162="","",GL_CLEAN!B162)</f>
        <v/>
      </c>
      <c r="C162" s="11">
        <f>IF(A162="","",GL_CLEAN!C162)</f>
        <v/>
      </c>
      <c r="D162" s="14">
        <f>IF(A162="","",GL_CLEAN!H162)</f>
        <v/>
      </c>
      <c r="E162" s="14">
        <f>IF(A162="","",GL_CLEAN!I162)</f>
        <v/>
      </c>
      <c r="F162" s="11">
        <f>IF(A162="","",GL_CLEAN!J162)</f>
        <v/>
      </c>
      <c r="G162" s="11">
        <f>IF(A162="","",IF(F162="OUT","DR","CR"))</f>
        <v/>
      </c>
      <c r="H162" s="11">
        <f>IF(A162="","",IFERROR(INDEX(BANK_CLEAN!$A$2:$A$1001,MATCH(MINIFS(BANK_CLEAN!$J$2:$J$1001,BANK_CLEAN!$H$2:$H$1001,G162,BANK_CLEAN!$L$2:$L$1001,""),BANK_CLEAN!$J$2:$J$1001,0)),""))</f>
        <v/>
      </c>
      <c r="I162" s="10">
        <f>IF(H162="","",INDEX(BANK_CLEAN!$B$2:$B$1001,H162))</f>
        <v/>
      </c>
      <c r="J162" s="14">
        <f>IF(H162="","",IF(F162="OUT",INDEX(BANK_CLEAN!$F$2:$F$1001,H162),INDEX(BANK_CLEAN!$E$2:$E$1001,H162)))</f>
        <v/>
      </c>
      <c r="K162" s="14">
        <f>IF(H162="","",ABS(E162-J162))</f>
        <v/>
      </c>
      <c r="L162" s="11">
        <f>IF(OR(H162="",B162="",I162=""),"",ABS(B162-I162))</f>
        <v/>
      </c>
      <c r="M162" s="15">
        <f>IF(H162="",0,LET(pct,IF(E162&gt;0,K162/E162,1),days,IFERROR(L162,999),100-pct*200-days*3))</f>
        <v/>
      </c>
      <c r="N162" s="11">
        <f>IF(A162="","",IF(H162="","Unmatched GL",IF(AND(K162&lt;=Tol_Amount,L162&lt;=Tol_Days),"Matched",IF(M162&gt;Tol_NearPct,"Near Match","Unmatched GL"))))</f>
        <v/>
      </c>
    </row>
    <row r="163">
      <c r="A163" s="13">
        <f>IF(GL_CLEAN!A163="","",GL_CLEAN!A163)</f>
        <v/>
      </c>
      <c r="B163" s="10">
        <f>IF(A163="","",GL_CLEAN!B163)</f>
        <v/>
      </c>
      <c r="C163" s="11">
        <f>IF(A163="","",GL_CLEAN!C163)</f>
        <v/>
      </c>
      <c r="D163" s="14">
        <f>IF(A163="","",GL_CLEAN!H163)</f>
        <v/>
      </c>
      <c r="E163" s="14">
        <f>IF(A163="","",GL_CLEAN!I163)</f>
        <v/>
      </c>
      <c r="F163" s="11">
        <f>IF(A163="","",GL_CLEAN!J163)</f>
        <v/>
      </c>
      <c r="G163" s="11">
        <f>IF(A163="","",IF(F163="OUT","DR","CR"))</f>
        <v/>
      </c>
      <c r="H163" s="11">
        <f>IF(A163="","",IFERROR(INDEX(BANK_CLEAN!$A$2:$A$1001,MATCH(MINIFS(BANK_CLEAN!$J$2:$J$1001,BANK_CLEAN!$H$2:$H$1001,G163,BANK_CLEAN!$L$2:$L$1001,""),BANK_CLEAN!$J$2:$J$1001,0)),""))</f>
        <v/>
      </c>
      <c r="I163" s="10">
        <f>IF(H163="","",INDEX(BANK_CLEAN!$B$2:$B$1001,H163))</f>
        <v/>
      </c>
      <c r="J163" s="14">
        <f>IF(H163="","",IF(F163="OUT",INDEX(BANK_CLEAN!$F$2:$F$1001,H163),INDEX(BANK_CLEAN!$E$2:$E$1001,H163)))</f>
        <v/>
      </c>
      <c r="K163" s="14">
        <f>IF(H163="","",ABS(E163-J163))</f>
        <v/>
      </c>
      <c r="L163" s="11">
        <f>IF(OR(H163="",B163="",I163=""),"",ABS(B163-I163))</f>
        <v/>
      </c>
      <c r="M163" s="15">
        <f>IF(H163="",0,LET(pct,IF(E163&gt;0,K163/E163,1),days,IFERROR(L163,999),100-pct*200-days*3))</f>
        <v/>
      </c>
      <c r="N163" s="11">
        <f>IF(A163="","",IF(H163="","Unmatched GL",IF(AND(K163&lt;=Tol_Amount,L163&lt;=Tol_Days),"Matched",IF(M163&gt;Tol_NearPct,"Near Match","Unmatched GL"))))</f>
        <v/>
      </c>
    </row>
    <row r="164">
      <c r="A164" s="13">
        <f>IF(GL_CLEAN!A164="","",GL_CLEAN!A164)</f>
        <v/>
      </c>
      <c r="B164" s="10">
        <f>IF(A164="","",GL_CLEAN!B164)</f>
        <v/>
      </c>
      <c r="C164" s="11">
        <f>IF(A164="","",GL_CLEAN!C164)</f>
        <v/>
      </c>
      <c r="D164" s="14">
        <f>IF(A164="","",GL_CLEAN!H164)</f>
        <v/>
      </c>
      <c r="E164" s="14">
        <f>IF(A164="","",GL_CLEAN!I164)</f>
        <v/>
      </c>
      <c r="F164" s="11">
        <f>IF(A164="","",GL_CLEAN!J164)</f>
        <v/>
      </c>
      <c r="G164" s="11">
        <f>IF(A164="","",IF(F164="OUT","DR","CR"))</f>
        <v/>
      </c>
      <c r="H164" s="11">
        <f>IF(A164="","",IFERROR(INDEX(BANK_CLEAN!$A$2:$A$1001,MATCH(MINIFS(BANK_CLEAN!$J$2:$J$1001,BANK_CLEAN!$H$2:$H$1001,G164,BANK_CLEAN!$L$2:$L$1001,""),BANK_CLEAN!$J$2:$J$1001,0)),""))</f>
        <v/>
      </c>
      <c r="I164" s="10">
        <f>IF(H164="","",INDEX(BANK_CLEAN!$B$2:$B$1001,H164))</f>
        <v/>
      </c>
      <c r="J164" s="14">
        <f>IF(H164="","",IF(F164="OUT",INDEX(BANK_CLEAN!$F$2:$F$1001,H164),INDEX(BANK_CLEAN!$E$2:$E$1001,H164)))</f>
        <v/>
      </c>
      <c r="K164" s="14">
        <f>IF(H164="","",ABS(E164-J164))</f>
        <v/>
      </c>
      <c r="L164" s="11">
        <f>IF(OR(H164="",B164="",I164=""),"",ABS(B164-I164))</f>
        <v/>
      </c>
      <c r="M164" s="15">
        <f>IF(H164="",0,LET(pct,IF(E164&gt;0,K164/E164,1),days,IFERROR(L164,999),100-pct*200-days*3))</f>
        <v/>
      </c>
      <c r="N164" s="11">
        <f>IF(A164="","",IF(H164="","Unmatched GL",IF(AND(K164&lt;=Tol_Amount,L164&lt;=Tol_Days),"Matched",IF(M164&gt;Tol_NearPct,"Near Match","Unmatched GL"))))</f>
        <v/>
      </c>
    </row>
    <row r="165">
      <c r="A165" s="13">
        <f>IF(GL_CLEAN!A165="","",GL_CLEAN!A165)</f>
        <v/>
      </c>
      <c r="B165" s="10">
        <f>IF(A165="","",GL_CLEAN!B165)</f>
        <v/>
      </c>
      <c r="C165" s="11">
        <f>IF(A165="","",GL_CLEAN!C165)</f>
        <v/>
      </c>
      <c r="D165" s="14">
        <f>IF(A165="","",GL_CLEAN!H165)</f>
        <v/>
      </c>
      <c r="E165" s="14">
        <f>IF(A165="","",GL_CLEAN!I165)</f>
        <v/>
      </c>
      <c r="F165" s="11">
        <f>IF(A165="","",GL_CLEAN!J165)</f>
        <v/>
      </c>
      <c r="G165" s="11">
        <f>IF(A165="","",IF(F165="OUT","DR","CR"))</f>
        <v/>
      </c>
      <c r="H165" s="11">
        <f>IF(A165="","",IFERROR(INDEX(BANK_CLEAN!$A$2:$A$1001,MATCH(MINIFS(BANK_CLEAN!$J$2:$J$1001,BANK_CLEAN!$H$2:$H$1001,G165,BANK_CLEAN!$L$2:$L$1001,""),BANK_CLEAN!$J$2:$J$1001,0)),""))</f>
        <v/>
      </c>
      <c r="I165" s="10">
        <f>IF(H165="","",INDEX(BANK_CLEAN!$B$2:$B$1001,H165))</f>
        <v/>
      </c>
      <c r="J165" s="14">
        <f>IF(H165="","",IF(F165="OUT",INDEX(BANK_CLEAN!$F$2:$F$1001,H165),INDEX(BANK_CLEAN!$E$2:$E$1001,H165)))</f>
        <v/>
      </c>
      <c r="K165" s="14">
        <f>IF(H165="","",ABS(E165-J165))</f>
        <v/>
      </c>
      <c r="L165" s="11">
        <f>IF(OR(H165="",B165="",I165=""),"",ABS(B165-I165))</f>
        <v/>
      </c>
      <c r="M165" s="15">
        <f>IF(H165="",0,LET(pct,IF(E165&gt;0,K165/E165,1),days,IFERROR(L165,999),100-pct*200-days*3))</f>
        <v/>
      </c>
      <c r="N165" s="11">
        <f>IF(A165="","",IF(H165="","Unmatched GL",IF(AND(K165&lt;=Tol_Amount,L165&lt;=Tol_Days),"Matched",IF(M165&gt;Tol_NearPct,"Near Match","Unmatched GL"))))</f>
        <v/>
      </c>
    </row>
    <row r="166">
      <c r="A166" s="13">
        <f>IF(GL_CLEAN!A166="","",GL_CLEAN!A166)</f>
        <v/>
      </c>
      <c r="B166" s="10">
        <f>IF(A166="","",GL_CLEAN!B166)</f>
        <v/>
      </c>
      <c r="C166" s="11">
        <f>IF(A166="","",GL_CLEAN!C166)</f>
        <v/>
      </c>
      <c r="D166" s="14">
        <f>IF(A166="","",GL_CLEAN!H166)</f>
        <v/>
      </c>
      <c r="E166" s="14">
        <f>IF(A166="","",GL_CLEAN!I166)</f>
        <v/>
      </c>
      <c r="F166" s="11">
        <f>IF(A166="","",GL_CLEAN!J166)</f>
        <v/>
      </c>
      <c r="G166" s="11">
        <f>IF(A166="","",IF(F166="OUT","DR","CR"))</f>
        <v/>
      </c>
      <c r="H166" s="11">
        <f>IF(A166="","",IFERROR(INDEX(BANK_CLEAN!$A$2:$A$1001,MATCH(MINIFS(BANK_CLEAN!$J$2:$J$1001,BANK_CLEAN!$H$2:$H$1001,G166,BANK_CLEAN!$L$2:$L$1001,""),BANK_CLEAN!$J$2:$J$1001,0)),""))</f>
        <v/>
      </c>
      <c r="I166" s="10">
        <f>IF(H166="","",INDEX(BANK_CLEAN!$B$2:$B$1001,H166))</f>
        <v/>
      </c>
      <c r="J166" s="14">
        <f>IF(H166="","",IF(F166="OUT",INDEX(BANK_CLEAN!$F$2:$F$1001,H166),INDEX(BANK_CLEAN!$E$2:$E$1001,H166)))</f>
        <v/>
      </c>
      <c r="K166" s="14">
        <f>IF(H166="","",ABS(E166-J166))</f>
        <v/>
      </c>
      <c r="L166" s="11">
        <f>IF(OR(H166="",B166="",I166=""),"",ABS(B166-I166))</f>
        <v/>
      </c>
      <c r="M166" s="15">
        <f>IF(H166="",0,LET(pct,IF(E166&gt;0,K166/E166,1),days,IFERROR(L166,999),100-pct*200-days*3))</f>
        <v/>
      </c>
      <c r="N166" s="11">
        <f>IF(A166="","",IF(H166="","Unmatched GL",IF(AND(K166&lt;=Tol_Amount,L166&lt;=Tol_Days),"Matched",IF(M166&gt;Tol_NearPct,"Near Match","Unmatched GL"))))</f>
        <v/>
      </c>
    </row>
    <row r="167">
      <c r="A167" s="13">
        <f>IF(GL_CLEAN!A167="","",GL_CLEAN!A167)</f>
        <v/>
      </c>
      <c r="B167" s="10">
        <f>IF(A167="","",GL_CLEAN!B167)</f>
        <v/>
      </c>
      <c r="C167" s="11">
        <f>IF(A167="","",GL_CLEAN!C167)</f>
        <v/>
      </c>
      <c r="D167" s="14">
        <f>IF(A167="","",GL_CLEAN!H167)</f>
        <v/>
      </c>
      <c r="E167" s="14">
        <f>IF(A167="","",GL_CLEAN!I167)</f>
        <v/>
      </c>
      <c r="F167" s="11">
        <f>IF(A167="","",GL_CLEAN!J167)</f>
        <v/>
      </c>
      <c r="G167" s="11">
        <f>IF(A167="","",IF(F167="OUT","DR","CR"))</f>
        <v/>
      </c>
      <c r="H167" s="11">
        <f>IF(A167="","",IFERROR(INDEX(BANK_CLEAN!$A$2:$A$1001,MATCH(MINIFS(BANK_CLEAN!$J$2:$J$1001,BANK_CLEAN!$H$2:$H$1001,G167,BANK_CLEAN!$L$2:$L$1001,""),BANK_CLEAN!$J$2:$J$1001,0)),""))</f>
        <v/>
      </c>
      <c r="I167" s="10">
        <f>IF(H167="","",INDEX(BANK_CLEAN!$B$2:$B$1001,H167))</f>
        <v/>
      </c>
      <c r="J167" s="14">
        <f>IF(H167="","",IF(F167="OUT",INDEX(BANK_CLEAN!$F$2:$F$1001,H167),INDEX(BANK_CLEAN!$E$2:$E$1001,H167)))</f>
        <v/>
      </c>
      <c r="K167" s="14">
        <f>IF(H167="","",ABS(E167-J167))</f>
        <v/>
      </c>
      <c r="L167" s="11">
        <f>IF(OR(H167="",B167="",I167=""),"",ABS(B167-I167))</f>
        <v/>
      </c>
      <c r="M167" s="15">
        <f>IF(H167="",0,LET(pct,IF(E167&gt;0,K167/E167,1),days,IFERROR(L167,999),100-pct*200-days*3))</f>
        <v/>
      </c>
      <c r="N167" s="11">
        <f>IF(A167="","",IF(H167="","Unmatched GL",IF(AND(K167&lt;=Tol_Amount,L167&lt;=Tol_Days),"Matched",IF(M167&gt;Tol_NearPct,"Near Match","Unmatched GL"))))</f>
        <v/>
      </c>
    </row>
    <row r="168">
      <c r="A168" s="13">
        <f>IF(GL_CLEAN!A168="","",GL_CLEAN!A168)</f>
        <v/>
      </c>
      <c r="B168" s="10">
        <f>IF(A168="","",GL_CLEAN!B168)</f>
        <v/>
      </c>
      <c r="C168" s="11">
        <f>IF(A168="","",GL_CLEAN!C168)</f>
        <v/>
      </c>
      <c r="D168" s="14">
        <f>IF(A168="","",GL_CLEAN!H168)</f>
        <v/>
      </c>
      <c r="E168" s="14">
        <f>IF(A168="","",GL_CLEAN!I168)</f>
        <v/>
      </c>
      <c r="F168" s="11">
        <f>IF(A168="","",GL_CLEAN!J168)</f>
        <v/>
      </c>
      <c r="G168" s="11">
        <f>IF(A168="","",IF(F168="OUT","DR","CR"))</f>
        <v/>
      </c>
      <c r="H168" s="11">
        <f>IF(A168="","",IFERROR(INDEX(BANK_CLEAN!$A$2:$A$1001,MATCH(MINIFS(BANK_CLEAN!$J$2:$J$1001,BANK_CLEAN!$H$2:$H$1001,G168,BANK_CLEAN!$L$2:$L$1001,""),BANK_CLEAN!$J$2:$J$1001,0)),""))</f>
        <v/>
      </c>
      <c r="I168" s="10">
        <f>IF(H168="","",INDEX(BANK_CLEAN!$B$2:$B$1001,H168))</f>
        <v/>
      </c>
      <c r="J168" s="14">
        <f>IF(H168="","",IF(F168="OUT",INDEX(BANK_CLEAN!$F$2:$F$1001,H168),INDEX(BANK_CLEAN!$E$2:$E$1001,H168)))</f>
        <v/>
      </c>
      <c r="K168" s="14">
        <f>IF(H168="","",ABS(E168-J168))</f>
        <v/>
      </c>
      <c r="L168" s="11">
        <f>IF(OR(H168="",B168="",I168=""),"",ABS(B168-I168))</f>
        <v/>
      </c>
      <c r="M168" s="15">
        <f>IF(H168="",0,LET(pct,IF(E168&gt;0,K168/E168,1),days,IFERROR(L168,999),100-pct*200-days*3))</f>
        <v/>
      </c>
      <c r="N168" s="11">
        <f>IF(A168="","",IF(H168="","Unmatched GL",IF(AND(K168&lt;=Tol_Amount,L168&lt;=Tol_Days),"Matched",IF(M168&gt;Tol_NearPct,"Near Match","Unmatched GL"))))</f>
        <v/>
      </c>
    </row>
    <row r="169">
      <c r="A169" s="13">
        <f>IF(GL_CLEAN!A169="","",GL_CLEAN!A169)</f>
        <v/>
      </c>
      <c r="B169" s="10">
        <f>IF(A169="","",GL_CLEAN!B169)</f>
        <v/>
      </c>
      <c r="C169" s="11">
        <f>IF(A169="","",GL_CLEAN!C169)</f>
        <v/>
      </c>
      <c r="D169" s="14">
        <f>IF(A169="","",GL_CLEAN!H169)</f>
        <v/>
      </c>
      <c r="E169" s="14">
        <f>IF(A169="","",GL_CLEAN!I169)</f>
        <v/>
      </c>
      <c r="F169" s="11">
        <f>IF(A169="","",GL_CLEAN!J169)</f>
        <v/>
      </c>
      <c r="G169" s="11">
        <f>IF(A169="","",IF(F169="OUT","DR","CR"))</f>
        <v/>
      </c>
      <c r="H169" s="11">
        <f>IF(A169="","",IFERROR(INDEX(BANK_CLEAN!$A$2:$A$1001,MATCH(MINIFS(BANK_CLEAN!$J$2:$J$1001,BANK_CLEAN!$H$2:$H$1001,G169,BANK_CLEAN!$L$2:$L$1001,""),BANK_CLEAN!$J$2:$J$1001,0)),""))</f>
        <v/>
      </c>
      <c r="I169" s="10">
        <f>IF(H169="","",INDEX(BANK_CLEAN!$B$2:$B$1001,H169))</f>
        <v/>
      </c>
      <c r="J169" s="14">
        <f>IF(H169="","",IF(F169="OUT",INDEX(BANK_CLEAN!$F$2:$F$1001,H169),INDEX(BANK_CLEAN!$E$2:$E$1001,H169)))</f>
        <v/>
      </c>
      <c r="K169" s="14">
        <f>IF(H169="","",ABS(E169-J169))</f>
        <v/>
      </c>
      <c r="L169" s="11">
        <f>IF(OR(H169="",B169="",I169=""),"",ABS(B169-I169))</f>
        <v/>
      </c>
      <c r="M169" s="15">
        <f>IF(H169="",0,LET(pct,IF(E169&gt;0,K169/E169,1),days,IFERROR(L169,999),100-pct*200-days*3))</f>
        <v/>
      </c>
      <c r="N169" s="11">
        <f>IF(A169="","",IF(H169="","Unmatched GL",IF(AND(K169&lt;=Tol_Amount,L169&lt;=Tol_Days),"Matched",IF(M169&gt;Tol_NearPct,"Near Match","Unmatched GL"))))</f>
        <v/>
      </c>
    </row>
    <row r="170">
      <c r="A170" s="13">
        <f>IF(GL_CLEAN!A170="","",GL_CLEAN!A170)</f>
        <v/>
      </c>
      <c r="B170" s="10">
        <f>IF(A170="","",GL_CLEAN!B170)</f>
        <v/>
      </c>
      <c r="C170" s="11">
        <f>IF(A170="","",GL_CLEAN!C170)</f>
        <v/>
      </c>
      <c r="D170" s="14">
        <f>IF(A170="","",GL_CLEAN!H170)</f>
        <v/>
      </c>
      <c r="E170" s="14">
        <f>IF(A170="","",GL_CLEAN!I170)</f>
        <v/>
      </c>
      <c r="F170" s="11">
        <f>IF(A170="","",GL_CLEAN!J170)</f>
        <v/>
      </c>
      <c r="G170" s="11">
        <f>IF(A170="","",IF(F170="OUT","DR","CR"))</f>
        <v/>
      </c>
      <c r="H170" s="11">
        <f>IF(A170="","",IFERROR(INDEX(BANK_CLEAN!$A$2:$A$1001,MATCH(MINIFS(BANK_CLEAN!$J$2:$J$1001,BANK_CLEAN!$H$2:$H$1001,G170,BANK_CLEAN!$L$2:$L$1001,""),BANK_CLEAN!$J$2:$J$1001,0)),""))</f>
        <v/>
      </c>
      <c r="I170" s="10">
        <f>IF(H170="","",INDEX(BANK_CLEAN!$B$2:$B$1001,H170))</f>
        <v/>
      </c>
      <c r="J170" s="14">
        <f>IF(H170="","",IF(F170="OUT",INDEX(BANK_CLEAN!$F$2:$F$1001,H170),INDEX(BANK_CLEAN!$E$2:$E$1001,H170)))</f>
        <v/>
      </c>
      <c r="K170" s="14">
        <f>IF(H170="","",ABS(E170-J170))</f>
        <v/>
      </c>
      <c r="L170" s="11">
        <f>IF(OR(H170="",B170="",I170=""),"",ABS(B170-I170))</f>
        <v/>
      </c>
      <c r="M170" s="15">
        <f>IF(H170="",0,LET(pct,IF(E170&gt;0,K170/E170,1),days,IFERROR(L170,999),100-pct*200-days*3))</f>
        <v/>
      </c>
      <c r="N170" s="11">
        <f>IF(A170="","",IF(H170="","Unmatched GL",IF(AND(K170&lt;=Tol_Amount,L170&lt;=Tol_Days),"Matched",IF(M170&gt;Tol_NearPct,"Near Match","Unmatched GL"))))</f>
        <v/>
      </c>
    </row>
    <row r="171">
      <c r="A171" s="13">
        <f>IF(GL_CLEAN!A171="","",GL_CLEAN!A171)</f>
        <v/>
      </c>
      <c r="B171" s="10">
        <f>IF(A171="","",GL_CLEAN!B171)</f>
        <v/>
      </c>
      <c r="C171" s="11">
        <f>IF(A171="","",GL_CLEAN!C171)</f>
        <v/>
      </c>
      <c r="D171" s="14">
        <f>IF(A171="","",GL_CLEAN!H171)</f>
        <v/>
      </c>
      <c r="E171" s="14">
        <f>IF(A171="","",GL_CLEAN!I171)</f>
        <v/>
      </c>
      <c r="F171" s="11">
        <f>IF(A171="","",GL_CLEAN!J171)</f>
        <v/>
      </c>
      <c r="G171" s="11">
        <f>IF(A171="","",IF(F171="OUT","DR","CR"))</f>
        <v/>
      </c>
      <c r="H171" s="11">
        <f>IF(A171="","",IFERROR(INDEX(BANK_CLEAN!$A$2:$A$1001,MATCH(MINIFS(BANK_CLEAN!$J$2:$J$1001,BANK_CLEAN!$H$2:$H$1001,G171,BANK_CLEAN!$L$2:$L$1001,""),BANK_CLEAN!$J$2:$J$1001,0)),""))</f>
        <v/>
      </c>
      <c r="I171" s="10">
        <f>IF(H171="","",INDEX(BANK_CLEAN!$B$2:$B$1001,H171))</f>
        <v/>
      </c>
      <c r="J171" s="14">
        <f>IF(H171="","",IF(F171="OUT",INDEX(BANK_CLEAN!$F$2:$F$1001,H171),INDEX(BANK_CLEAN!$E$2:$E$1001,H171)))</f>
        <v/>
      </c>
      <c r="K171" s="14">
        <f>IF(H171="","",ABS(E171-J171))</f>
        <v/>
      </c>
      <c r="L171" s="11">
        <f>IF(OR(H171="",B171="",I171=""),"",ABS(B171-I171))</f>
        <v/>
      </c>
      <c r="M171" s="15">
        <f>IF(H171="",0,LET(pct,IF(E171&gt;0,K171/E171,1),days,IFERROR(L171,999),100-pct*200-days*3))</f>
        <v/>
      </c>
      <c r="N171" s="11">
        <f>IF(A171="","",IF(H171="","Unmatched GL",IF(AND(K171&lt;=Tol_Amount,L171&lt;=Tol_Days),"Matched",IF(M171&gt;Tol_NearPct,"Near Match","Unmatched GL"))))</f>
        <v/>
      </c>
    </row>
    <row r="172">
      <c r="A172" s="13">
        <f>IF(GL_CLEAN!A172="","",GL_CLEAN!A172)</f>
        <v/>
      </c>
      <c r="B172" s="10">
        <f>IF(A172="","",GL_CLEAN!B172)</f>
        <v/>
      </c>
      <c r="C172" s="11">
        <f>IF(A172="","",GL_CLEAN!C172)</f>
        <v/>
      </c>
      <c r="D172" s="14">
        <f>IF(A172="","",GL_CLEAN!H172)</f>
        <v/>
      </c>
      <c r="E172" s="14">
        <f>IF(A172="","",GL_CLEAN!I172)</f>
        <v/>
      </c>
      <c r="F172" s="11">
        <f>IF(A172="","",GL_CLEAN!J172)</f>
        <v/>
      </c>
      <c r="G172" s="11">
        <f>IF(A172="","",IF(F172="OUT","DR","CR"))</f>
        <v/>
      </c>
      <c r="H172" s="11">
        <f>IF(A172="","",IFERROR(INDEX(BANK_CLEAN!$A$2:$A$1001,MATCH(MINIFS(BANK_CLEAN!$J$2:$J$1001,BANK_CLEAN!$H$2:$H$1001,G172,BANK_CLEAN!$L$2:$L$1001,""),BANK_CLEAN!$J$2:$J$1001,0)),""))</f>
        <v/>
      </c>
      <c r="I172" s="10">
        <f>IF(H172="","",INDEX(BANK_CLEAN!$B$2:$B$1001,H172))</f>
        <v/>
      </c>
      <c r="J172" s="14">
        <f>IF(H172="","",IF(F172="OUT",INDEX(BANK_CLEAN!$F$2:$F$1001,H172),INDEX(BANK_CLEAN!$E$2:$E$1001,H172)))</f>
        <v/>
      </c>
      <c r="K172" s="14">
        <f>IF(H172="","",ABS(E172-J172))</f>
        <v/>
      </c>
      <c r="L172" s="11">
        <f>IF(OR(H172="",B172="",I172=""),"",ABS(B172-I172))</f>
        <v/>
      </c>
      <c r="M172" s="15">
        <f>IF(H172="",0,LET(pct,IF(E172&gt;0,K172/E172,1),days,IFERROR(L172,999),100-pct*200-days*3))</f>
        <v/>
      </c>
      <c r="N172" s="11">
        <f>IF(A172="","",IF(H172="","Unmatched GL",IF(AND(K172&lt;=Tol_Amount,L172&lt;=Tol_Days),"Matched",IF(M172&gt;Tol_NearPct,"Near Match","Unmatched GL"))))</f>
        <v/>
      </c>
    </row>
    <row r="173">
      <c r="A173" s="13">
        <f>IF(GL_CLEAN!A173="","",GL_CLEAN!A173)</f>
        <v/>
      </c>
      <c r="B173" s="10">
        <f>IF(A173="","",GL_CLEAN!B173)</f>
        <v/>
      </c>
      <c r="C173" s="11">
        <f>IF(A173="","",GL_CLEAN!C173)</f>
        <v/>
      </c>
      <c r="D173" s="14">
        <f>IF(A173="","",GL_CLEAN!H173)</f>
        <v/>
      </c>
      <c r="E173" s="14">
        <f>IF(A173="","",GL_CLEAN!I173)</f>
        <v/>
      </c>
      <c r="F173" s="11">
        <f>IF(A173="","",GL_CLEAN!J173)</f>
        <v/>
      </c>
      <c r="G173" s="11">
        <f>IF(A173="","",IF(F173="OUT","DR","CR"))</f>
        <v/>
      </c>
      <c r="H173" s="11">
        <f>IF(A173="","",IFERROR(INDEX(BANK_CLEAN!$A$2:$A$1001,MATCH(MINIFS(BANK_CLEAN!$J$2:$J$1001,BANK_CLEAN!$H$2:$H$1001,G173,BANK_CLEAN!$L$2:$L$1001,""),BANK_CLEAN!$J$2:$J$1001,0)),""))</f>
        <v/>
      </c>
      <c r="I173" s="10">
        <f>IF(H173="","",INDEX(BANK_CLEAN!$B$2:$B$1001,H173))</f>
        <v/>
      </c>
      <c r="J173" s="14">
        <f>IF(H173="","",IF(F173="OUT",INDEX(BANK_CLEAN!$F$2:$F$1001,H173),INDEX(BANK_CLEAN!$E$2:$E$1001,H173)))</f>
        <v/>
      </c>
      <c r="K173" s="14">
        <f>IF(H173="","",ABS(E173-J173))</f>
        <v/>
      </c>
      <c r="L173" s="11">
        <f>IF(OR(H173="",B173="",I173=""),"",ABS(B173-I173))</f>
        <v/>
      </c>
      <c r="M173" s="15">
        <f>IF(H173="",0,LET(pct,IF(E173&gt;0,K173/E173,1),days,IFERROR(L173,999),100-pct*200-days*3))</f>
        <v/>
      </c>
      <c r="N173" s="11">
        <f>IF(A173="","",IF(H173="","Unmatched GL",IF(AND(K173&lt;=Tol_Amount,L173&lt;=Tol_Days),"Matched",IF(M173&gt;Tol_NearPct,"Near Match","Unmatched GL"))))</f>
        <v/>
      </c>
    </row>
    <row r="174">
      <c r="A174" s="13">
        <f>IF(GL_CLEAN!A174="","",GL_CLEAN!A174)</f>
        <v/>
      </c>
      <c r="B174" s="10">
        <f>IF(A174="","",GL_CLEAN!B174)</f>
        <v/>
      </c>
      <c r="C174" s="11">
        <f>IF(A174="","",GL_CLEAN!C174)</f>
        <v/>
      </c>
      <c r="D174" s="14">
        <f>IF(A174="","",GL_CLEAN!H174)</f>
        <v/>
      </c>
      <c r="E174" s="14">
        <f>IF(A174="","",GL_CLEAN!I174)</f>
        <v/>
      </c>
      <c r="F174" s="11">
        <f>IF(A174="","",GL_CLEAN!J174)</f>
        <v/>
      </c>
      <c r="G174" s="11">
        <f>IF(A174="","",IF(F174="OUT","DR","CR"))</f>
        <v/>
      </c>
      <c r="H174" s="11">
        <f>IF(A174="","",IFERROR(INDEX(BANK_CLEAN!$A$2:$A$1001,MATCH(MINIFS(BANK_CLEAN!$J$2:$J$1001,BANK_CLEAN!$H$2:$H$1001,G174,BANK_CLEAN!$L$2:$L$1001,""),BANK_CLEAN!$J$2:$J$1001,0)),""))</f>
        <v/>
      </c>
      <c r="I174" s="10">
        <f>IF(H174="","",INDEX(BANK_CLEAN!$B$2:$B$1001,H174))</f>
        <v/>
      </c>
      <c r="J174" s="14">
        <f>IF(H174="","",IF(F174="OUT",INDEX(BANK_CLEAN!$F$2:$F$1001,H174),INDEX(BANK_CLEAN!$E$2:$E$1001,H174)))</f>
        <v/>
      </c>
      <c r="K174" s="14">
        <f>IF(H174="","",ABS(E174-J174))</f>
        <v/>
      </c>
      <c r="L174" s="11">
        <f>IF(OR(H174="",B174="",I174=""),"",ABS(B174-I174))</f>
        <v/>
      </c>
      <c r="M174" s="15">
        <f>IF(H174="",0,LET(pct,IF(E174&gt;0,K174/E174,1),days,IFERROR(L174,999),100-pct*200-days*3))</f>
        <v/>
      </c>
      <c r="N174" s="11">
        <f>IF(A174="","",IF(H174="","Unmatched GL",IF(AND(K174&lt;=Tol_Amount,L174&lt;=Tol_Days),"Matched",IF(M174&gt;Tol_NearPct,"Near Match","Unmatched GL"))))</f>
        <v/>
      </c>
    </row>
    <row r="175">
      <c r="A175" s="13">
        <f>IF(GL_CLEAN!A175="","",GL_CLEAN!A175)</f>
        <v/>
      </c>
      <c r="B175" s="10">
        <f>IF(A175="","",GL_CLEAN!B175)</f>
        <v/>
      </c>
      <c r="C175" s="11">
        <f>IF(A175="","",GL_CLEAN!C175)</f>
        <v/>
      </c>
      <c r="D175" s="14">
        <f>IF(A175="","",GL_CLEAN!H175)</f>
        <v/>
      </c>
      <c r="E175" s="14">
        <f>IF(A175="","",GL_CLEAN!I175)</f>
        <v/>
      </c>
      <c r="F175" s="11">
        <f>IF(A175="","",GL_CLEAN!J175)</f>
        <v/>
      </c>
      <c r="G175" s="11">
        <f>IF(A175="","",IF(F175="OUT","DR","CR"))</f>
        <v/>
      </c>
      <c r="H175" s="11">
        <f>IF(A175="","",IFERROR(INDEX(BANK_CLEAN!$A$2:$A$1001,MATCH(MINIFS(BANK_CLEAN!$J$2:$J$1001,BANK_CLEAN!$H$2:$H$1001,G175,BANK_CLEAN!$L$2:$L$1001,""),BANK_CLEAN!$J$2:$J$1001,0)),""))</f>
        <v/>
      </c>
      <c r="I175" s="10">
        <f>IF(H175="","",INDEX(BANK_CLEAN!$B$2:$B$1001,H175))</f>
        <v/>
      </c>
      <c r="J175" s="14">
        <f>IF(H175="","",IF(F175="OUT",INDEX(BANK_CLEAN!$F$2:$F$1001,H175),INDEX(BANK_CLEAN!$E$2:$E$1001,H175)))</f>
        <v/>
      </c>
      <c r="K175" s="14">
        <f>IF(H175="","",ABS(E175-J175))</f>
        <v/>
      </c>
      <c r="L175" s="11">
        <f>IF(OR(H175="",B175="",I175=""),"",ABS(B175-I175))</f>
        <v/>
      </c>
      <c r="M175" s="15">
        <f>IF(H175="",0,LET(pct,IF(E175&gt;0,K175/E175,1),days,IFERROR(L175,999),100-pct*200-days*3))</f>
        <v/>
      </c>
      <c r="N175" s="11">
        <f>IF(A175="","",IF(H175="","Unmatched GL",IF(AND(K175&lt;=Tol_Amount,L175&lt;=Tol_Days),"Matched",IF(M175&gt;Tol_NearPct,"Near Match","Unmatched GL"))))</f>
        <v/>
      </c>
    </row>
    <row r="176">
      <c r="A176" s="13">
        <f>IF(GL_CLEAN!A176="","",GL_CLEAN!A176)</f>
        <v/>
      </c>
      <c r="B176" s="10">
        <f>IF(A176="","",GL_CLEAN!B176)</f>
        <v/>
      </c>
      <c r="C176" s="11">
        <f>IF(A176="","",GL_CLEAN!C176)</f>
        <v/>
      </c>
      <c r="D176" s="14">
        <f>IF(A176="","",GL_CLEAN!H176)</f>
        <v/>
      </c>
      <c r="E176" s="14">
        <f>IF(A176="","",GL_CLEAN!I176)</f>
        <v/>
      </c>
      <c r="F176" s="11">
        <f>IF(A176="","",GL_CLEAN!J176)</f>
        <v/>
      </c>
      <c r="G176" s="11">
        <f>IF(A176="","",IF(F176="OUT","DR","CR"))</f>
        <v/>
      </c>
      <c r="H176" s="11">
        <f>IF(A176="","",IFERROR(INDEX(BANK_CLEAN!$A$2:$A$1001,MATCH(MINIFS(BANK_CLEAN!$J$2:$J$1001,BANK_CLEAN!$H$2:$H$1001,G176,BANK_CLEAN!$L$2:$L$1001,""),BANK_CLEAN!$J$2:$J$1001,0)),""))</f>
        <v/>
      </c>
      <c r="I176" s="10">
        <f>IF(H176="","",INDEX(BANK_CLEAN!$B$2:$B$1001,H176))</f>
        <v/>
      </c>
      <c r="J176" s="14">
        <f>IF(H176="","",IF(F176="OUT",INDEX(BANK_CLEAN!$F$2:$F$1001,H176),INDEX(BANK_CLEAN!$E$2:$E$1001,H176)))</f>
        <v/>
      </c>
      <c r="K176" s="14">
        <f>IF(H176="","",ABS(E176-J176))</f>
        <v/>
      </c>
      <c r="L176" s="11">
        <f>IF(OR(H176="",B176="",I176=""),"",ABS(B176-I176))</f>
        <v/>
      </c>
      <c r="M176" s="15">
        <f>IF(H176="",0,LET(pct,IF(E176&gt;0,K176/E176,1),days,IFERROR(L176,999),100-pct*200-days*3))</f>
        <v/>
      </c>
      <c r="N176" s="11">
        <f>IF(A176="","",IF(H176="","Unmatched GL",IF(AND(K176&lt;=Tol_Amount,L176&lt;=Tol_Days),"Matched",IF(M176&gt;Tol_NearPct,"Near Match","Unmatched GL"))))</f>
        <v/>
      </c>
    </row>
    <row r="177">
      <c r="A177" s="13">
        <f>IF(GL_CLEAN!A177="","",GL_CLEAN!A177)</f>
        <v/>
      </c>
      <c r="B177" s="10">
        <f>IF(A177="","",GL_CLEAN!B177)</f>
        <v/>
      </c>
      <c r="C177" s="11">
        <f>IF(A177="","",GL_CLEAN!C177)</f>
        <v/>
      </c>
      <c r="D177" s="14">
        <f>IF(A177="","",GL_CLEAN!H177)</f>
        <v/>
      </c>
      <c r="E177" s="14">
        <f>IF(A177="","",GL_CLEAN!I177)</f>
        <v/>
      </c>
      <c r="F177" s="11">
        <f>IF(A177="","",GL_CLEAN!J177)</f>
        <v/>
      </c>
      <c r="G177" s="11">
        <f>IF(A177="","",IF(F177="OUT","DR","CR"))</f>
        <v/>
      </c>
      <c r="H177" s="11">
        <f>IF(A177="","",IFERROR(INDEX(BANK_CLEAN!$A$2:$A$1001,MATCH(MINIFS(BANK_CLEAN!$J$2:$J$1001,BANK_CLEAN!$H$2:$H$1001,G177,BANK_CLEAN!$L$2:$L$1001,""),BANK_CLEAN!$J$2:$J$1001,0)),""))</f>
        <v/>
      </c>
      <c r="I177" s="10">
        <f>IF(H177="","",INDEX(BANK_CLEAN!$B$2:$B$1001,H177))</f>
        <v/>
      </c>
      <c r="J177" s="14">
        <f>IF(H177="","",IF(F177="OUT",INDEX(BANK_CLEAN!$F$2:$F$1001,H177),INDEX(BANK_CLEAN!$E$2:$E$1001,H177)))</f>
        <v/>
      </c>
      <c r="K177" s="14">
        <f>IF(H177="","",ABS(E177-J177))</f>
        <v/>
      </c>
      <c r="L177" s="11">
        <f>IF(OR(H177="",B177="",I177=""),"",ABS(B177-I177))</f>
        <v/>
      </c>
      <c r="M177" s="15">
        <f>IF(H177="",0,LET(pct,IF(E177&gt;0,K177/E177,1),days,IFERROR(L177,999),100-pct*200-days*3))</f>
        <v/>
      </c>
      <c r="N177" s="11">
        <f>IF(A177="","",IF(H177="","Unmatched GL",IF(AND(K177&lt;=Tol_Amount,L177&lt;=Tol_Days),"Matched",IF(M177&gt;Tol_NearPct,"Near Match","Unmatched GL"))))</f>
        <v/>
      </c>
    </row>
    <row r="178">
      <c r="A178" s="13">
        <f>IF(GL_CLEAN!A178="","",GL_CLEAN!A178)</f>
        <v/>
      </c>
      <c r="B178" s="10">
        <f>IF(A178="","",GL_CLEAN!B178)</f>
        <v/>
      </c>
      <c r="C178" s="11">
        <f>IF(A178="","",GL_CLEAN!C178)</f>
        <v/>
      </c>
      <c r="D178" s="14">
        <f>IF(A178="","",GL_CLEAN!H178)</f>
        <v/>
      </c>
      <c r="E178" s="14">
        <f>IF(A178="","",GL_CLEAN!I178)</f>
        <v/>
      </c>
      <c r="F178" s="11">
        <f>IF(A178="","",GL_CLEAN!J178)</f>
        <v/>
      </c>
      <c r="G178" s="11">
        <f>IF(A178="","",IF(F178="OUT","DR","CR"))</f>
        <v/>
      </c>
      <c r="H178" s="11">
        <f>IF(A178="","",IFERROR(INDEX(BANK_CLEAN!$A$2:$A$1001,MATCH(MINIFS(BANK_CLEAN!$J$2:$J$1001,BANK_CLEAN!$H$2:$H$1001,G178,BANK_CLEAN!$L$2:$L$1001,""),BANK_CLEAN!$J$2:$J$1001,0)),""))</f>
        <v/>
      </c>
      <c r="I178" s="10">
        <f>IF(H178="","",INDEX(BANK_CLEAN!$B$2:$B$1001,H178))</f>
        <v/>
      </c>
      <c r="J178" s="14">
        <f>IF(H178="","",IF(F178="OUT",INDEX(BANK_CLEAN!$F$2:$F$1001,H178),INDEX(BANK_CLEAN!$E$2:$E$1001,H178)))</f>
        <v/>
      </c>
      <c r="K178" s="14">
        <f>IF(H178="","",ABS(E178-J178))</f>
        <v/>
      </c>
      <c r="L178" s="11">
        <f>IF(OR(H178="",B178="",I178=""),"",ABS(B178-I178))</f>
        <v/>
      </c>
      <c r="M178" s="15">
        <f>IF(H178="",0,LET(pct,IF(E178&gt;0,K178/E178,1),days,IFERROR(L178,999),100-pct*200-days*3))</f>
        <v/>
      </c>
      <c r="N178" s="11">
        <f>IF(A178="","",IF(H178="","Unmatched GL",IF(AND(K178&lt;=Tol_Amount,L178&lt;=Tol_Days),"Matched",IF(M178&gt;Tol_NearPct,"Near Match","Unmatched GL"))))</f>
        <v/>
      </c>
    </row>
    <row r="179">
      <c r="A179" s="13">
        <f>IF(GL_CLEAN!A179="","",GL_CLEAN!A179)</f>
        <v/>
      </c>
      <c r="B179" s="10">
        <f>IF(A179="","",GL_CLEAN!B179)</f>
        <v/>
      </c>
      <c r="C179" s="11">
        <f>IF(A179="","",GL_CLEAN!C179)</f>
        <v/>
      </c>
      <c r="D179" s="14">
        <f>IF(A179="","",GL_CLEAN!H179)</f>
        <v/>
      </c>
      <c r="E179" s="14">
        <f>IF(A179="","",GL_CLEAN!I179)</f>
        <v/>
      </c>
      <c r="F179" s="11">
        <f>IF(A179="","",GL_CLEAN!J179)</f>
        <v/>
      </c>
      <c r="G179" s="11">
        <f>IF(A179="","",IF(F179="OUT","DR","CR"))</f>
        <v/>
      </c>
      <c r="H179" s="11">
        <f>IF(A179="","",IFERROR(INDEX(BANK_CLEAN!$A$2:$A$1001,MATCH(MINIFS(BANK_CLEAN!$J$2:$J$1001,BANK_CLEAN!$H$2:$H$1001,G179,BANK_CLEAN!$L$2:$L$1001,""),BANK_CLEAN!$J$2:$J$1001,0)),""))</f>
        <v/>
      </c>
      <c r="I179" s="10">
        <f>IF(H179="","",INDEX(BANK_CLEAN!$B$2:$B$1001,H179))</f>
        <v/>
      </c>
      <c r="J179" s="14">
        <f>IF(H179="","",IF(F179="OUT",INDEX(BANK_CLEAN!$F$2:$F$1001,H179),INDEX(BANK_CLEAN!$E$2:$E$1001,H179)))</f>
        <v/>
      </c>
      <c r="K179" s="14">
        <f>IF(H179="","",ABS(E179-J179))</f>
        <v/>
      </c>
      <c r="L179" s="11">
        <f>IF(OR(H179="",B179="",I179=""),"",ABS(B179-I179))</f>
        <v/>
      </c>
      <c r="M179" s="15">
        <f>IF(H179="",0,LET(pct,IF(E179&gt;0,K179/E179,1),days,IFERROR(L179,999),100-pct*200-days*3))</f>
        <v/>
      </c>
      <c r="N179" s="11">
        <f>IF(A179="","",IF(H179="","Unmatched GL",IF(AND(K179&lt;=Tol_Amount,L179&lt;=Tol_Days),"Matched",IF(M179&gt;Tol_NearPct,"Near Match","Unmatched GL"))))</f>
        <v/>
      </c>
    </row>
    <row r="180">
      <c r="A180" s="13">
        <f>IF(GL_CLEAN!A180="","",GL_CLEAN!A180)</f>
        <v/>
      </c>
      <c r="B180" s="10">
        <f>IF(A180="","",GL_CLEAN!B180)</f>
        <v/>
      </c>
      <c r="C180" s="11">
        <f>IF(A180="","",GL_CLEAN!C180)</f>
        <v/>
      </c>
      <c r="D180" s="14">
        <f>IF(A180="","",GL_CLEAN!H180)</f>
        <v/>
      </c>
      <c r="E180" s="14">
        <f>IF(A180="","",GL_CLEAN!I180)</f>
        <v/>
      </c>
      <c r="F180" s="11">
        <f>IF(A180="","",GL_CLEAN!J180)</f>
        <v/>
      </c>
      <c r="G180" s="11">
        <f>IF(A180="","",IF(F180="OUT","DR","CR"))</f>
        <v/>
      </c>
      <c r="H180" s="11">
        <f>IF(A180="","",IFERROR(INDEX(BANK_CLEAN!$A$2:$A$1001,MATCH(MINIFS(BANK_CLEAN!$J$2:$J$1001,BANK_CLEAN!$H$2:$H$1001,G180,BANK_CLEAN!$L$2:$L$1001,""),BANK_CLEAN!$J$2:$J$1001,0)),""))</f>
        <v/>
      </c>
      <c r="I180" s="10">
        <f>IF(H180="","",INDEX(BANK_CLEAN!$B$2:$B$1001,H180))</f>
        <v/>
      </c>
      <c r="J180" s="14">
        <f>IF(H180="","",IF(F180="OUT",INDEX(BANK_CLEAN!$F$2:$F$1001,H180),INDEX(BANK_CLEAN!$E$2:$E$1001,H180)))</f>
        <v/>
      </c>
      <c r="K180" s="14">
        <f>IF(H180="","",ABS(E180-J180))</f>
        <v/>
      </c>
      <c r="L180" s="11">
        <f>IF(OR(H180="",B180="",I180=""),"",ABS(B180-I180))</f>
        <v/>
      </c>
      <c r="M180" s="15">
        <f>IF(H180="",0,LET(pct,IF(E180&gt;0,K180/E180,1),days,IFERROR(L180,999),100-pct*200-days*3))</f>
        <v/>
      </c>
      <c r="N180" s="11">
        <f>IF(A180="","",IF(H180="","Unmatched GL",IF(AND(K180&lt;=Tol_Amount,L180&lt;=Tol_Days),"Matched",IF(M180&gt;Tol_NearPct,"Near Match","Unmatched GL"))))</f>
        <v/>
      </c>
    </row>
    <row r="181">
      <c r="A181" s="13">
        <f>IF(GL_CLEAN!A181="","",GL_CLEAN!A181)</f>
        <v/>
      </c>
      <c r="B181" s="10">
        <f>IF(A181="","",GL_CLEAN!B181)</f>
        <v/>
      </c>
      <c r="C181" s="11">
        <f>IF(A181="","",GL_CLEAN!C181)</f>
        <v/>
      </c>
      <c r="D181" s="14">
        <f>IF(A181="","",GL_CLEAN!H181)</f>
        <v/>
      </c>
      <c r="E181" s="14">
        <f>IF(A181="","",GL_CLEAN!I181)</f>
        <v/>
      </c>
      <c r="F181" s="11">
        <f>IF(A181="","",GL_CLEAN!J181)</f>
        <v/>
      </c>
      <c r="G181" s="11">
        <f>IF(A181="","",IF(F181="OUT","DR","CR"))</f>
        <v/>
      </c>
      <c r="H181" s="11">
        <f>IF(A181="","",IFERROR(INDEX(BANK_CLEAN!$A$2:$A$1001,MATCH(MINIFS(BANK_CLEAN!$J$2:$J$1001,BANK_CLEAN!$H$2:$H$1001,G181,BANK_CLEAN!$L$2:$L$1001,""),BANK_CLEAN!$J$2:$J$1001,0)),""))</f>
        <v/>
      </c>
      <c r="I181" s="10">
        <f>IF(H181="","",INDEX(BANK_CLEAN!$B$2:$B$1001,H181))</f>
        <v/>
      </c>
      <c r="J181" s="14">
        <f>IF(H181="","",IF(F181="OUT",INDEX(BANK_CLEAN!$F$2:$F$1001,H181),INDEX(BANK_CLEAN!$E$2:$E$1001,H181)))</f>
        <v/>
      </c>
      <c r="K181" s="14">
        <f>IF(H181="","",ABS(E181-J181))</f>
        <v/>
      </c>
      <c r="L181" s="11">
        <f>IF(OR(H181="",B181="",I181=""),"",ABS(B181-I181))</f>
        <v/>
      </c>
      <c r="M181" s="15">
        <f>IF(H181="",0,LET(pct,IF(E181&gt;0,K181/E181,1),days,IFERROR(L181,999),100-pct*200-days*3))</f>
        <v/>
      </c>
      <c r="N181" s="11">
        <f>IF(A181="","",IF(H181="","Unmatched GL",IF(AND(K181&lt;=Tol_Amount,L181&lt;=Tol_Days),"Matched",IF(M181&gt;Tol_NearPct,"Near Match","Unmatched GL"))))</f>
        <v/>
      </c>
    </row>
    <row r="182">
      <c r="A182" s="13">
        <f>IF(GL_CLEAN!A182="","",GL_CLEAN!A182)</f>
        <v/>
      </c>
      <c r="B182" s="10">
        <f>IF(A182="","",GL_CLEAN!B182)</f>
        <v/>
      </c>
      <c r="C182" s="11">
        <f>IF(A182="","",GL_CLEAN!C182)</f>
        <v/>
      </c>
      <c r="D182" s="14">
        <f>IF(A182="","",GL_CLEAN!H182)</f>
        <v/>
      </c>
      <c r="E182" s="14">
        <f>IF(A182="","",GL_CLEAN!I182)</f>
        <v/>
      </c>
      <c r="F182" s="11">
        <f>IF(A182="","",GL_CLEAN!J182)</f>
        <v/>
      </c>
      <c r="G182" s="11">
        <f>IF(A182="","",IF(F182="OUT","DR","CR"))</f>
        <v/>
      </c>
      <c r="H182" s="11">
        <f>IF(A182="","",IFERROR(INDEX(BANK_CLEAN!$A$2:$A$1001,MATCH(MINIFS(BANK_CLEAN!$J$2:$J$1001,BANK_CLEAN!$H$2:$H$1001,G182,BANK_CLEAN!$L$2:$L$1001,""),BANK_CLEAN!$J$2:$J$1001,0)),""))</f>
        <v/>
      </c>
      <c r="I182" s="10">
        <f>IF(H182="","",INDEX(BANK_CLEAN!$B$2:$B$1001,H182))</f>
        <v/>
      </c>
      <c r="J182" s="14">
        <f>IF(H182="","",IF(F182="OUT",INDEX(BANK_CLEAN!$F$2:$F$1001,H182),INDEX(BANK_CLEAN!$E$2:$E$1001,H182)))</f>
        <v/>
      </c>
      <c r="K182" s="14">
        <f>IF(H182="","",ABS(E182-J182))</f>
        <v/>
      </c>
      <c r="L182" s="11">
        <f>IF(OR(H182="",B182="",I182=""),"",ABS(B182-I182))</f>
        <v/>
      </c>
      <c r="M182" s="15">
        <f>IF(H182="",0,LET(pct,IF(E182&gt;0,K182/E182,1),days,IFERROR(L182,999),100-pct*200-days*3))</f>
        <v/>
      </c>
      <c r="N182" s="11">
        <f>IF(A182="","",IF(H182="","Unmatched GL",IF(AND(K182&lt;=Tol_Amount,L182&lt;=Tol_Days),"Matched",IF(M182&gt;Tol_NearPct,"Near Match","Unmatched GL"))))</f>
        <v/>
      </c>
    </row>
    <row r="183">
      <c r="A183" s="13">
        <f>IF(GL_CLEAN!A183="","",GL_CLEAN!A183)</f>
        <v/>
      </c>
      <c r="B183" s="10">
        <f>IF(A183="","",GL_CLEAN!B183)</f>
        <v/>
      </c>
      <c r="C183" s="11">
        <f>IF(A183="","",GL_CLEAN!C183)</f>
        <v/>
      </c>
      <c r="D183" s="14">
        <f>IF(A183="","",GL_CLEAN!H183)</f>
        <v/>
      </c>
      <c r="E183" s="14">
        <f>IF(A183="","",GL_CLEAN!I183)</f>
        <v/>
      </c>
      <c r="F183" s="11">
        <f>IF(A183="","",GL_CLEAN!J183)</f>
        <v/>
      </c>
      <c r="G183" s="11">
        <f>IF(A183="","",IF(F183="OUT","DR","CR"))</f>
        <v/>
      </c>
      <c r="H183" s="11">
        <f>IF(A183="","",IFERROR(INDEX(BANK_CLEAN!$A$2:$A$1001,MATCH(MINIFS(BANK_CLEAN!$J$2:$J$1001,BANK_CLEAN!$H$2:$H$1001,G183,BANK_CLEAN!$L$2:$L$1001,""),BANK_CLEAN!$J$2:$J$1001,0)),""))</f>
        <v/>
      </c>
      <c r="I183" s="10">
        <f>IF(H183="","",INDEX(BANK_CLEAN!$B$2:$B$1001,H183))</f>
        <v/>
      </c>
      <c r="J183" s="14">
        <f>IF(H183="","",IF(F183="OUT",INDEX(BANK_CLEAN!$F$2:$F$1001,H183),INDEX(BANK_CLEAN!$E$2:$E$1001,H183)))</f>
        <v/>
      </c>
      <c r="K183" s="14">
        <f>IF(H183="","",ABS(E183-J183))</f>
        <v/>
      </c>
      <c r="L183" s="11">
        <f>IF(OR(H183="",B183="",I183=""),"",ABS(B183-I183))</f>
        <v/>
      </c>
      <c r="M183" s="15">
        <f>IF(H183="",0,LET(pct,IF(E183&gt;0,K183/E183,1),days,IFERROR(L183,999),100-pct*200-days*3))</f>
        <v/>
      </c>
      <c r="N183" s="11">
        <f>IF(A183="","",IF(H183="","Unmatched GL",IF(AND(K183&lt;=Tol_Amount,L183&lt;=Tol_Days),"Matched",IF(M183&gt;Tol_NearPct,"Near Match","Unmatched GL"))))</f>
        <v/>
      </c>
    </row>
    <row r="184">
      <c r="A184" s="13">
        <f>IF(GL_CLEAN!A184="","",GL_CLEAN!A184)</f>
        <v/>
      </c>
      <c r="B184" s="10">
        <f>IF(A184="","",GL_CLEAN!B184)</f>
        <v/>
      </c>
      <c r="C184" s="11">
        <f>IF(A184="","",GL_CLEAN!C184)</f>
        <v/>
      </c>
      <c r="D184" s="14">
        <f>IF(A184="","",GL_CLEAN!H184)</f>
        <v/>
      </c>
      <c r="E184" s="14">
        <f>IF(A184="","",GL_CLEAN!I184)</f>
        <v/>
      </c>
      <c r="F184" s="11">
        <f>IF(A184="","",GL_CLEAN!J184)</f>
        <v/>
      </c>
      <c r="G184" s="11">
        <f>IF(A184="","",IF(F184="OUT","DR","CR"))</f>
        <v/>
      </c>
      <c r="H184" s="11">
        <f>IF(A184="","",IFERROR(INDEX(BANK_CLEAN!$A$2:$A$1001,MATCH(MINIFS(BANK_CLEAN!$J$2:$J$1001,BANK_CLEAN!$H$2:$H$1001,G184,BANK_CLEAN!$L$2:$L$1001,""),BANK_CLEAN!$J$2:$J$1001,0)),""))</f>
        <v/>
      </c>
      <c r="I184" s="10">
        <f>IF(H184="","",INDEX(BANK_CLEAN!$B$2:$B$1001,H184))</f>
        <v/>
      </c>
      <c r="J184" s="14">
        <f>IF(H184="","",IF(F184="OUT",INDEX(BANK_CLEAN!$F$2:$F$1001,H184),INDEX(BANK_CLEAN!$E$2:$E$1001,H184)))</f>
        <v/>
      </c>
      <c r="K184" s="14">
        <f>IF(H184="","",ABS(E184-J184))</f>
        <v/>
      </c>
      <c r="L184" s="11">
        <f>IF(OR(H184="",B184="",I184=""),"",ABS(B184-I184))</f>
        <v/>
      </c>
      <c r="M184" s="15">
        <f>IF(H184="",0,LET(pct,IF(E184&gt;0,K184/E184,1),days,IFERROR(L184,999),100-pct*200-days*3))</f>
        <v/>
      </c>
      <c r="N184" s="11">
        <f>IF(A184="","",IF(H184="","Unmatched GL",IF(AND(K184&lt;=Tol_Amount,L184&lt;=Tol_Days),"Matched",IF(M184&gt;Tol_NearPct,"Near Match","Unmatched GL"))))</f>
        <v/>
      </c>
    </row>
    <row r="185">
      <c r="A185" s="13">
        <f>IF(GL_CLEAN!A185="","",GL_CLEAN!A185)</f>
        <v/>
      </c>
      <c r="B185" s="10">
        <f>IF(A185="","",GL_CLEAN!B185)</f>
        <v/>
      </c>
      <c r="C185" s="11">
        <f>IF(A185="","",GL_CLEAN!C185)</f>
        <v/>
      </c>
      <c r="D185" s="14">
        <f>IF(A185="","",GL_CLEAN!H185)</f>
        <v/>
      </c>
      <c r="E185" s="14">
        <f>IF(A185="","",GL_CLEAN!I185)</f>
        <v/>
      </c>
      <c r="F185" s="11">
        <f>IF(A185="","",GL_CLEAN!J185)</f>
        <v/>
      </c>
      <c r="G185" s="11">
        <f>IF(A185="","",IF(F185="OUT","DR","CR"))</f>
        <v/>
      </c>
      <c r="H185" s="11">
        <f>IF(A185="","",IFERROR(INDEX(BANK_CLEAN!$A$2:$A$1001,MATCH(MINIFS(BANK_CLEAN!$J$2:$J$1001,BANK_CLEAN!$H$2:$H$1001,G185,BANK_CLEAN!$L$2:$L$1001,""),BANK_CLEAN!$J$2:$J$1001,0)),""))</f>
        <v/>
      </c>
      <c r="I185" s="10">
        <f>IF(H185="","",INDEX(BANK_CLEAN!$B$2:$B$1001,H185))</f>
        <v/>
      </c>
      <c r="J185" s="14">
        <f>IF(H185="","",IF(F185="OUT",INDEX(BANK_CLEAN!$F$2:$F$1001,H185),INDEX(BANK_CLEAN!$E$2:$E$1001,H185)))</f>
        <v/>
      </c>
      <c r="K185" s="14">
        <f>IF(H185="","",ABS(E185-J185))</f>
        <v/>
      </c>
      <c r="L185" s="11">
        <f>IF(OR(H185="",B185="",I185=""),"",ABS(B185-I185))</f>
        <v/>
      </c>
      <c r="M185" s="15">
        <f>IF(H185="",0,LET(pct,IF(E185&gt;0,K185/E185,1),days,IFERROR(L185,999),100-pct*200-days*3))</f>
        <v/>
      </c>
      <c r="N185" s="11">
        <f>IF(A185="","",IF(H185="","Unmatched GL",IF(AND(K185&lt;=Tol_Amount,L185&lt;=Tol_Days),"Matched",IF(M185&gt;Tol_NearPct,"Near Match","Unmatched GL"))))</f>
        <v/>
      </c>
    </row>
    <row r="186">
      <c r="A186" s="13">
        <f>IF(GL_CLEAN!A186="","",GL_CLEAN!A186)</f>
        <v/>
      </c>
      <c r="B186" s="10">
        <f>IF(A186="","",GL_CLEAN!B186)</f>
        <v/>
      </c>
      <c r="C186" s="11">
        <f>IF(A186="","",GL_CLEAN!C186)</f>
        <v/>
      </c>
      <c r="D186" s="14">
        <f>IF(A186="","",GL_CLEAN!H186)</f>
        <v/>
      </c>
      <c r="E186" s="14">
        <f>IF(A186="","",GL_CLEAN!I186)</f>
        <v/>
      </c>
      <c r="F186" s="11">
        <f>IF(A186="","",GL_CLEAN!J186)</f>
        <v/>
      </c>
      <c r="G186" s="11">
        <f>IF(A186="","",IF(F186="OUT","DR","CR"))</f>
        <v/>
      </c>
      <c r="H186" s="11">
        <f>IF(A186="","",IFERROR(INDEX(BANK_CLEAN!$A$2:$A$1001,MATCH(MINIFS(BANK_CLEAN!$J$2:$J$1001,BANK_CLEAN!$H$2:$H$1001,G186,BANK_CLEAN!$L$2:$L$1001,""),BANK_CLEAN!$J$2:$J$1001,0)),""))</f>
        <v/>
      </c>
      <c r="I186" s="10">
        <f>IF(H186="","",INDEX(BANK_CLEAN!$B$2:$B$1001,H186))</f>
        <v/>
      </c>
      <c r="J186" s="14">
        <f>IF(H186="","",IF(F186="OUT",INDEX(BANK_CLEAN!$F$2:$F$1001,H186),INDEX(BANK_CLEAN!$E$2:$E$1001,H186)))</f>
        <v/>
      </c>
      <c r="K186" s="14">
        <f>IF(H186="","",ABS(E186-J186))</f>
        <v/>
      </c>
      <c r="L186" s="11">
        <f>IF(OR(H186="",B186="",I186=""),"",ABS(B186-I186))</f>
        <v/>
      </c>
      <c r="M186" s="15">
        <f>IF(H186="",0,LET(pct,IF(E186&gt;0,K186/E186,1),days,IFERROR(L186,999),100-pct*200-days*3))</f>
        <v/>
      </c>
      <c r="N186" s="11">
        <f>IF(A186="","",IF(H186="","Unmatched GL",IF(AND(K186&lt;=Tol_Amount,L186&lt;=Tol_Days),"Matched",IF(M186&gt;Tol_NearPct,"Near Match","Unmatched GL"))))</f>
        <v/>
      </c>
    </row>
    <row r="187">
      <c r="A187" s="13">
        <f>IF(GL_CLEAN!A187="","",GL_CLEAN!A187)</f>
        <v/>
      </c>
      <c r="B187" s="10">
        <f>IF(A187="","",GL_CLEAN!B187)</f>
        <v/>
      </c>
      <c r="C187" s="11">
        <f>IF(A187="","",GL_CLEAN!C187)</f>
        <v/>
      </c>
      <c r="D187" s="14">
        <f>IF(A187="","",GL_CLEAN!H187)</f>
        <v/>
      </c>
      <c r="E187" s="14">
        <f>IF(A187="","",GL_CLEAN!I187)</f>
        <v/>
      </c>
      <c r="F187" s="11">
        <f>IF(A187="","",GL_CLEAN!J187)</f>
        <v/>
      </c>
      <c r="G187" s="11">
        <f>IF(A187="","",IF(F187="OUT","DR","CR"))</f>
        <v/>
      </c>
      <c r="H187" s="11">
        <f>IF(A187="","",IFERROR(INDEX(BANK_CLEAN!$A$2:$A$1001,MATCH(MINIFS(BANK_CLEAN!$J$2:$J$1001,BANK_CLEAN!$H$2:$H$1001,G187,BANK_CLEAN!$L$2:$L$1001,""),BANK_CLEAN!$J$2:$J$1001,0)),""))</f>
        <v/>
      </c>
      <c r="I187" s="10">
        <f>IF(H187="","",INDEX(BANK_CLEAN!$B$2:$B$1001,H187))</f>
        <v/>
      </c>
      <c r="J187" s="14">
        <f>IF(H187="","",IF(F187="OUT",INDEX(BANK_CLEAN!$F$2:$F$1001,H187),INDEX(BANK_CLEAN!$E$2:$E$1001,H187)))</f>
        <v/>
      </c>
      <c r="K187" s="14">
        <f>IF(H187="","",ABS(E187-J187))</f>
        <v/>
      </c>
      <c r="L187" s="11">
        <f>IF(OR(H187="",B187="",I187=""),"",ABS(B187-I187))</f>
        <v/>
      </c>
      <c r="M187" s="15">
        <f>IF(H187="",0,LET(pct,IF(E187&gt;0,K187/E187,1),days,IFERROR(L187,999),100-pct*200-days*3))</f>
        <v/>
      </c>
      <c r="N187" s="11">
        <f>IF(A187="","",IF(H187="","Unmatched GL",IF(AND(K187&lt;=Tol_Amount,L187&lt;=Tol_Days),"Matched",IF(M187&gt;Tol_NearPct,"Near Match","Unmatched GL"))))</f>
        <v/>
      </c>
    </row>
    <row r="188">
      <c r="A188" s="13">
        <f>IF(GL_CLEAN!A188="","",GL_CLEAN!A188)</f>
        <v/>
      </c>
      <c r="B188" s="10">
        <f>IF(A188="","",GL_CLEAN!B188)</f>
        <v/>
      </c>
      <c r="C188" s="11">
        <f>IF(A188="","",GL_CLEAN!C188)</f>
        <v/>
      </c>
      <c r="D188" s="14">
        <f>IF(A188="","",GL_CLEAN!H188)</f>
        <v/>
      </c>
      <c r="E188" s="14">
        <f>IF(A188="","",GL_CLEAN!I188)</f>
        <v/>
      </c>
      <c r="F188" s="11">
        <f>IF(A188="","",GL_CLEAN!J188)</f>
        <v/>
      </c>
      <c r="G188" s="11">
        <f>IF(A188="","",IF(F188="OUT","DR","CR"))</f>
        <v/>
      </c>
      <c r="H188" s="11">
        <f>IF(A188="","",IFERROR(INDEX(BANK_CLEAN!$A$2:$A$1001,MATCH(MINIFS(BANK_CLEAN!$J$2:$J$1001,BANK_CLEAN!$H$2:$H$1001,G188,BANK_CLEAN!$L$2:$L$1001,""),BANK_CLEAN!$J$2:$J$1001,0)),""))</f>
        <v/>
      </c>
      <c r="I188" s="10">
        <f>IF(H188="","",INDEX(BANK_CLEAN!$B$2:$B$1001,H188))</f>
        <v/>
      </c>
      <c r="J188" s="14">
        <f>IF(H188="","",IF(F188="OUT",INDEX(BANK_CLEAN!$F$2:$F$1001,H188),INDEX(BANK_CLEAN!$E$2:$E$1001,H188)))</f>
        <v/>
      </c>
      <c r="K188" s="14">
        <f>IF(H188="","",ABS(E188-J188))</f>
        <v/>
      </c>
      <c r="L188" s="11">
        <f>IF(OR(H188="",B188="",I188=""),"",ABS(B188-I188))</f>
        <v/>
      </c>
      <c r="M188" s="15">
        <f>IF(H188="",0,LET(pct,IF(E188&gt;0,K188/E188,1),days,IFERROR(L188,999),100-pct*200-days*3))</f>
        <v/>
      </c>
      <c r="N188" s="11">
        <f>IF(A188="","",IF(H188="","Unmatched GL",IF(AND(K188&lt;=Tol_Amount,L188&lt;=Tol_Days),"Matched",IF(M188&gt;Tol_NearPct,"Near Match","Unmatched GL"))))</f>
        <v/>
      </c>
    </row>
    <row r="189">
      <c r="A189" s="13">
        <f>IF(GL_CLEAN!A189="","",GL_CLEAN!A189)</f>
        <v/>
      </c>
      <c r="B189" s="10">
        <f>IF(A189="","",GL_CLEAN!B189)</f>
        <v/>
      </c>
      <c r="C189" s="11">
        <f>IF(A189="","",GL_CLEAN!C189)</f>
        <v/>
      </c>
      <c r="D189" s="14">
        <f>IF(A189="","",GL_CLEAN!H189)</f>
        <v/>
      </c>
      <c r="E189" s="14">
        <f>IF(A189="","",GL_CLEAN!I189)</f>
        <v/>
      </c>
      <c r="F189" s="11">
        <f>IF(A189="","",GL_CLEAN!J189)</f>
        <v/>
      </c>
      <c r="G189" s="11">
        <f>IF(A189="","",IF(F189="OUT","DR","CR"))</f>
        <v/>
      </c>
      <c r="H189" s="11">
        <f>IF(A189="","",IFERROR(INDEX(BANK_CLEAN!$A$2:$A$1001,MATCH(MINIFS(BANK_CLEAN!$J$2:$J$1001,BANK_CLEAN!$H$2:$H$1001,G189,BANK_CLEAN!$L$2:$L$1001,""),BANK_CLEAN!$J$2:$J$1001,0)),""))</f>
        <v/>
      </c>
      <c r="I189" s="10">
        <f>IF(H189="","",INDEX(BANK_CLEAN!$B$2:$B$1001,H189))</f>
        <v/>
      </c>
      <c r="J189" s="14">
        <f>IF(H189="","",IF(F189="OUT",INDEX(BANK_CLEAN!$F$2:$F$1001,H189),INDEX(BANK_CLEAN!$E$2:$E$1001,H189)))</f>
        <v/>
      </c>
      <c r="K189" s="14">
        <f>IF(H189="","",ABS(E189-J189))</f>
        <v/>
      </c>
      <c r="L189" s="11">
        <f>IF(OR(H189="",B189="",I189=""),"",ABS(B189-I189))</f>
        <v/>
      </c>
      <c r="M189" s="15">
        <f>IF(H189="",0,LET(pct,IF(E189&gt;0,K189/E189,1),days,IFERROR(L189,999),100-pct*200-days*3))</f>
        <v/>
      </c>
      <c r="N189" s="11">
        <f>IF(A189="","",IF(H189="","Unmatched GL",IF(AND(K189&lt;=Tol_Amount,L189&lt;=Tol_Days),"Matched",IF(M189&gt;Tol_NearPct,"Near Match","Unmatched GL"))))</f>
        <v/>
      </c>
    </row>
    <row r="190">
      <c r="A190" s="13">
        <f>IF(GL_CLEAN!A190="","",GL_CLEAN!A190)</f>
        <v/>
      </c>
      <c r="B190" s="10">
        <f>IF(A190="","",GL_CLEAN!B190)</f>
        <v/>
      </c>
      <c r="C190" s="11">
        <f>IF(A190="","",GL_CLEAN!C190)</f>
        <v/>
      </c>
      <c r="D190" s="14">
        <f>IF(A190="","",GL_CLEAN!H190)</f>
        <v/>
      </c>
      <c r="E190" s="14">
        <f>IF(A190="","",GL_CLEAN!I190)</f>
        <v/>
      </c>
      <c r="F190" s="11">
        <f>IF(A190="","",GL_CLEAN!J190)</f>
        <v/>
      </c>
      <c r="G190" s="11">
        <f>IF(A190="","",IF(F190="OUT","DR","CR"))</f>
        <v/>
      </c>
      <c r="H190" s="11">
        <f>IF(A190="","",IFERROR(INDEX(BANK_CLEAN!$A$2:$A$1001,MATCH(MINIFS(BANK_CLEAN!$J$2:$J$1001,BANK_CLEAN!$H$2:$H$1001,G190,BANK_CLEAN!$L$2:$L$1001,""),BANK_CLEAN!$J$2:$J$1001,0)),""))</f>
        <v/>
      </c>
      <c r="I190" s="10">
        <f>IF(H190="","",INDEX(BANK_CLEAN!$B$2:$B$1001,H190))</f>
        <v/>
      </c>
      <c r="J190" s="14">
        <f>IF(H190="","",IF(F190="OUT",INDEX(BANK_CLEAN!$F$2:$F$1001,H190),INDEX(BANK_CLEAN!$E$2:$E$1001,H190)))</f>
        <v/>
      </c>
      <c r="K190" s="14">
        <f>IF(H190="","",ABS(E190-J190))</f>
        <v/>
      </c>
      <c r="L190" s="11">
        <f>IF(OR(H190="",B190="",I190=""),"",ABS(B190-I190))</f>
        <v/>
      </c>
      <c r="M190" s="15">
        <f>IF(H190="",0,LET(pct,IF(E190&gt;0,K190/E190,1),days,IFERROR(L190,999),100-pct*200-days*3))</f>
        <v/>
      </c>
      <c r="N190" s="11">
        <f>IF(A190="","",IF(H190="","Unmatched GL",IF(AND(K190&lt;=Tol_Amount,L190&lt;=Tol_Days),"Matched",IF(M190&gt;Tol_NearPct,"Near Match","Unmatched GL"))))</f>
        <v/>
      </c>
    </row>
    <row r="191">
      <c r="A191" s="13">
        <f>IF(GL_CLEAN!A191="","",GL_CLEAN!A191)</f>
        <v/>
      </c>
      <c r="B191" s="10">
        <f>IF(A191="","",GL_CLEAN!B191)</f>
        <v/>
      </c>
      <c r="C191" s="11">
        <f>IF(A191="","",GL_CLEAN!C191)</f>
        <v/>
      </c>
      <c r="D191" s="14">
        <f>IF(A191="","",GL_CLEAN!H191)</f>
        <v/>
      </c>
      <c r="E191" s="14">
        <f>IF(A191="","",GL_CLEAN!I191)</f>
        <v/>
      </c>
      <c r="F191" s="11">
        <f>IF(A191="","",GL_CLEAN!J191)</f>
        <v/>
      </c>
      <c r="G191" s="11">
        <f>IF(A191="","",IF(F191="OUT","DR","CR"))</f>
        <v/>
      </c>
      <c r="H191" s="11">
        <f>IF(A191="","",IFERROR(INDEX(BANK_CLEAN!$A$2:$A$1001,MATCH(MINIFS(BANK_CLEAN!$J$2:$J$1001,BANK_CLEAN!$H$2:$H$1001,G191,BANK_CLEAN!$L$2:$L$1001,""),BANK_CLEAN!$J$2:$J$1001,0)),""))</f>
        <v/>
      </c>
      <c r="I191" s="10">
        <f>IF(H191="","",INDEX(BANK_CLEAN!$B$2:$B$1001,H191))</f>
        <v/>
      </c>
      <c r="J191" s="14">
        <f>IF(H191="","",IF(F191="OUT",INDEX(BANK_CLEAN!$F$2:$F$1001,H191),INDEX(BANK_CLEAN!$E$2:$E$1001,H191)))</f>
        <v/>
      </c>
      <c r="K191" s="14">
        <f>IF(H191="","",ABS(E191-J191))</f>
        <v/>
      </c>
      <c r="L191" s="11">
        <f>IF(OR(H191="",B191="",I191=""),"",ABS(B191-I191))</f>
        <v/>
      </c>
      <c r="M191" s="15">
        <f>IF(H191="",0,LET(pct,IF(E191&gt;0,K191/E191,1),days,IFERROR(L191,999),100-pct*200-days*3))</f>
        <v/>
      </c>
      <c r="N191" s="11">
        <f>IF(A191="","",IF(H191="","Unmatched GL",IF(AND(K191&lt;=Tol_Amount,L191&lt;=Tol_Days),"Matched",IF(M191&gt;Tol_NearPct,"Near Match","Unmatched GL"))))</f>
        <v/>
      </c>
    </row>
    <row r="192">
      <c r="A192" s="13">
        <f>IF(GL_CLEAN!A192="","",GL_CLEAN!A192)</f>
        <v/>
      </c>
      <c r="B192" s="10">
        <f>IF(A192="","",GL_CLEAN!B192)</f>
        <v/>
      </c>
      <c r="C192" s="11">
        <f>IF(A192="","",GL_CLEAN!C192)</f>
        <v/>
      </c>
      <c r="D192" s="14">
        <f>IF(A192="","",GL_CLEAN!H192)</f>
        <v/>
      </c>
      <c r="E192" s="14">
        <f>IF(A192="","",GL_CLEAN!I192)</f>
        <v/>
      </c>
      <c r="F192" s="11">
        <f>IF(A192="","",GL_CLEAN!J192)</f>
        <v/>
      </c>
      <c r="G192" s="11">
        <f>IF(A192="","",IF(F192="OUT","DR","CR"))</f>
        <v/>
      </c>
      <c r="H192" s="11">
        <f>IF(A192="","",IFERROR(INDEX(BANK_CLEAN!$A$2:$A$1001,MATCH(MINIFS(BANK_CLEAN!$J$2:$J$1001,BANK_CLEAN!$H$2:$H$1001,G192,BANK_CLEAN!$L$2:$L$1001,""),BANK_CLEAN!$J$2:$J$1001,0)),""))</f>
        <v/>
      </c>
      <c r="I192" s="10">
        <f>IF(H192="","",INDEX(BANK_CLEAN!$B$2:$B$1001,H192))</f>
        <v/>
      </c>
      <c r="J192" s="14">
        <f>IF(H192="","",IF(F192="OUT",INDEX(BANK_CLEAN!$F$2:$F$1001,H192),INDEX(BANK_CLEAN!$E$2:$E$1001,H192)))</f>
        <v/>
      </c>
      <c r="K192" s="14">
        <f>IF(H192="","",ABS(E192-J192))</f>
        <v/>
      </c>
      <c r="L192" s="11">
        <f>IF(OR(H192="",B192="",I192=""),"",ABS(B192-I192))</f>
        <v/>
      </c>
      <c r="M192" s="15">
        <f>IF(H192="",0,LET(pct,IF(E192&gt;0,K192/E192,1),days,IFERROR(L192,999),100-pct*200-days*3))</f>
        <v/>
      </c>
      <c r="N192" s="11">
        <f>IF(A192="","",IF(H192="","Unmatched GL",IF(AND(K192&lt;=Tol_Amount,L192&lt;=Tol_Days),"Matched",IF(M192&gt;Tol_NearPct,"Near Match","Unmatched GL"))))</f>
        <v/>
      </c>
    </row>
    <row r="193">
      <c r="A193" s="13">
        <f>IF(GL_CLEAN!A193="","",GL_CLEAN!A193)</f>
        <v/>
      </c>
      <c r="B193" s="10">
        <f>IF(A193="","",GL_CLEAN!B193)</f>
        <v/>
      </c>
      <c r="C193" s="11">
        <f>IF(A193="","",GL_CLEAN!C193)</f>
        <v/>
      </c>
      <c r="D193" s="14">
        <f>IF(A193="","",GL_CLEAN!H193)</f>
        <v/>
      </c>
      <c r="E193" s="14">
        <f>IF(A193="","",GL_CLEAN!I193)</f>
        <v/>
      </c>
      <c r="F193" s="11">
        <f>IF(A193="","",GL_CLEAN!J193)</f>
        <v/>
      </c>
      <c r="G193" s="11">
        <f>IF(A193="","",IF(F193="OUT","DR","CR"))</f>
        <v/>
      </c>
      <c r="H193" s="11">
        <f>IF(A193="","",IFERROR(INDEX(BANK_CLEAN!$A$2:$A$1001,MATCH(MINIFS(BANK_CLEAN!$J$2:$J$1001,BANK_CLEAN!$H$2:$H$1001,G193,BANK_CLEAN!$L$2:$L$1001,""),BANK_CLEAN!$J$2:$J$1001,0)),""))</f>
        <v/>
      </c>
      <c r="I193" s="10">
        <f>IF(H193="","",INDEX(BANK_CLEAN!$B$2:$B$1001,H193))</f>
        <v/>
      </c>
      <c r="J193" s="14">
        <f>IF(H193="","",IF(F193="OUT",INDEX(BANK_CLEAN!$F$2:$F$1001,H193),INDEX(BANK_CLEAN!$E$2:$E$1001,H193)))</f>
        <v/>
      </c>
      <c r="K193" s="14">
        <f>IF(H193="","",ABS(E193-J193))</f>
        <v/>
      </c>
      <c r="L193" s="11">
        <f>IF(OR(H193="",B193="",I193=""),"",ABS(B193-I193))</f>
        <v/>
      </c>
      <c r="M193" s="15">
        <f>IF(H193="",0,LET(pct,IF(E193&gt;0,K193/E193,1),days,IFERROR(L193,999),100-pct*200-days*3))</f>
        <v/>
      </c>
      <c r="N193" s="11">
        <f>IF(A193="","",IF(H193="","Unmatched GL",IF(AND(K193&lt;=Tol_Amount,L193&lt;=Tol_Days),"Matched",IF(M193&gt;Tol_NearPct,"Near Match","Unmatched GL"))))</f>
        <v/>
      </c>
    </row>
    <row r="194">
      <c r="A194" s="13">
        <f>IF(GL_CLEAN!A194="","",GL_CLEAN!A194)</f>
        <v/>
      </c>
      <c r="B194" s="10">
        <f>IF(A194="","",GL_CLEAN!B194)</f>
        <v/>
      </c>
      <c r="C194" s="11">
        <f>IF(A194="","",GL_CLEAN!C194)</f>
        <v/>
      </c>
      <c r="D194" s="14">
        <f>IF(A194="","",GL_CLEAN!H194)</f>
        <v/>
      </c>
      <c r="E194" s="14">
        <f>IF(A194="","",GL_CLEAN!I194)</f>
        <v/>
      </c>
      <c r="F194" s="11">
        <f>IF(A194="","",GL_CLEAN!J194)</f>
        <v/>
      </c>
      <c r="G194" s="11">
        <f>IF(A194="","",IF(F194="OUT","DR","CR"))</f>
        <v/>
      </c>
      <c r="H194" s="11">
        <f>IF(A194="","",IFERROR(INDEX(BANK_CLEAN!$A$2:$A$1001,MATCH(MINIFS(BANK_CLEAN!$J$2:$J$1001,BANK_CLEAN!$H$2:$H$1001,G194,BANK_CLEAN!$L$2:$L$1001,""),BANK_CLEAN!$J$2:$J$1001,0)),""))</f>
        <v/>
      </c>
      <c r="I194" s="10">
        <f>IF(H194="","",INDEX(BANK_CLEAN!$B$2:$B$1001,H194))</f>
        <v/>
      </c>
      <c r="J194" s="14">
        <f>IF(H194="","",IF(F194="OUT",INDEX(BANK_CLEAN!$F$2:$F$1001,H194),INDEX(BANK_CLEAN!$E$2:$E$1001,H194)))</f>
        <v/>
      </c>
      <c r="K194" s="14">
        <f>IF(H194="","",ABS(E194-J194))</f>
        <v/>
      </c>
      <c r="L194" s="11">
        <f>IF(OR(H194="",B194="",I194=""),"",ABS(B194-I194))</f>
        <v/>
      </c>
      <c r="M194" s="15">
        <f>IF(H194="",0,LET(pct,IF(E194&gt;0,K194/E194,1),days,IFERROR(L194,999),100-pct*200-days*3))</f>
        <v/>
      </c>
      <c r="N194" s="11">
        <f>IF(A194="","",IF(H194="","Unmatched GL",IF(AND(K194&lt;=Tol_Amount,L194&lt;=Tol_Days),"Matched",IF(M194&gt;Tol_NearPct,"Near Match","Unmatched GL"))))</f>
        <v/>
      </c>
    </row>
    <row r="195">
      <c r="A195" s="13">
        <f>IF(GL_CLEAN!A195="","",GL_CLEAN!A195)</f>
        <v/>
      </c>
      <c r="B195" s="10">
        <f>IF(A195="","",GL_CLEAN!B195)</f>
        <v/>
      </c>
      <c r="C195" s="11">
        <f>IF(A195="","",GL_CLEAN!C195)</f>
        <v/>
      </c>
      <c r="D195" s="14">
        <f>IF(A195="","",GL_CLEAN!H195)</f>
        <v/>
      </c>
      <c r="E195" s="14">
        <f>IF(A195="","",GL_CLEAN!I195)</f>
        <v/>
      </c>
      <c r="F195" s="11">
        <f>IF(A195="","",GL_CLEAN!J195)</f>
        <v/>
      </c>
      <c r="G195" s="11">
        <f>IF(A195="","",IF(F195="OUT","DR","CR"))</f>
        <v/>
      </c>
      <c r="H195" s="11">
        <f>IF(A195="","",IFERROR(INDEX(BANK_CLEAN!$A$2:$A$1001,MATCH(MINIFS(BANK_CLEAN!$J$2:$J$1001,BANK_CLEAN!$H$2:$H$1001,G195,BANK_CLEAN!$L$2:$L$1001,""),BANK_CLEAN!$J$2:$J$1001,0)),""))</f>
        <v/>
      </c>
      <c r="I195" s="10">
        <f>IF(H195="","",INDEX(BANK_CLEAN!$B$2:$B$1001,H195))</f>
        <v/>
      </c>
      <c r="J195" s="14">
        <f>IF(H195="","",IF(F195="OUT",INDEX(BANK_CLEAN!$F$2:$F$1001,H195),INDEX(BANK_CLEAN!$E$2:$E$1001,H195)))</f>
        <v/>
      </c>
      <c r="K195" s="14">
        <f>IF(H195="","",ABS(E195-J195))</f>
        <v/>
      </c>
      <c r="L195" s="11">
        <f>IF(OR(H195="",B195="",I195=""),"",ABS(B195-I195))</f>
        <v/>
      </c>
      <c r="M195" s="15">
        <f>IF(H195="",0,LET(pct,IF(E195&gt;0,K195/E195,1),days,IFERROR(L195,999),100-pct*200-days*3))</f>
        <v/>
      </c>
      <c r="N195" s="11">
        <f>IF(A195="","",IF(H195="","Unmatched GL",IF(AND(K195&lt;=Tol_Amount,L195&lt;=Tol_Days),"Matched",IF(M195&gt;Tol_NearPct,"Near Match","Unmatched GL"))))</f>
        <v/>
      </c>
    </row>
    <row r="196">
      <c r="A196" s="13">
        <f>IF(GL_CLEAN!A196="","",GL_CLEAN!A196)</f>
        <v/>
      </c>
      <c r="B196" s="10">
        <f>IF(A196="","",GL_CLEAN!B196)</f>
        <v/>
      </c>
      <c r="C196" s="11">
        <f>IF(A196="","",GL_CLEAN!C196)</f>
        <v/>
      </c>
      <c r="D196" s="14">
        <f>IF(A196="","",GL_CLEAN!H196)</f>
        <v/>
      </c>
      <c r="E196" s="14">
        <f>IF(A196="","",GL_CLEAN!I196)</f>
        <v/>
      </c>
      <c r="F196" s="11">
        <f>IF(A196="","",GL_CLEAN!J196)</f>
        <v/>
      </c>
      <c r="G196" s="11">
        <f>IF(A196="","",IF(F196="OUT","DR","CR"))</f>
        <v/>
      </c>
      <c r="H196" s="11">
        <f>IF(A196="","",IFERROR(INDEX(BANK_CLEAN!$A$2:$A$1001,MATCH(MINIFS(BANK_CLEAN!$J$2:$J$1001,BANK_CLEAN!$H$2:$H$1001,G196,BANK_CLEAN!$L$2:$L$1001,""),BANK_CLEAN!$J$2:$J$1001,0)),""))</f>
        <v/>
      </c>
      <c r="I196" s="10">
        <f>IF(H196="","",INDEX(BANK_CLEAN!$B$2:$B$1001,H196))</f>
        <v/>
      </c>
      <c r="J196" s="14">
        <f>IF(H196="","",IF(F196="OUT",INDEX(BANK_CLEAN!$F$2:$F$1001,H196),INDEX(BANK_CLEAN!$E$2:$E$1001,H196)))</f>
        <v/>
      </c>
      <c r="K196" s="14">
        <f>IF(H196="","",ABS(E196-J196))</f>
        <v/>
      </c>
      <c r="L196" s="11">
        <f>IF(OR(H196="",B196="",I196=""),"",ABS(B196-I196))</f>
        <v/>
      </c>
      <c r="M196" s="15">
        <f>IF(H196="",0,LET(pct,IF(E196&gt;0,K196/E196,1),days,IFERROR(L196,999),100-pct*200-days*3))</f>
        <v/>
      </c>
      <c r="N196" s="11">
        <f>IF(A196="","",IF(H196="","Unmatched GL",IF(AND(K196&lt;=Tol_Amount,L196&lt;=Tol_Days),"Matched",IF(M196&gt;Tol_NearPct,"Near Match","Unmatched GL"))))</f>
        <v/>
      </c>
    </row>
    <row r="197">
      <c r="A197" s="13">
        <f>IF(GL_CLEAN!A197="","",GL_CLEAN!A197)</f>
        <v/>
      </c>
      <c r="B197" s="10">
        <f>IF(A197="","",GL_CLEAN!B197)</f>
        <v/>
      </c>
      <c r="C197" s="11">
        <f>IF(A197="","",GL_CLEAN!C197)</f>
        <v/>
      </c>
      <c r="D197" s="14">
        <f>IF(A197="","",GL_CLEAN!H197)</f>
        <v/>
      </c>
      <c r="E197" s="14">
        <f>IF(A197="","",GL_CLEAN!I197)</f>
        <v/>
      </c>
      <c r="F197" s="11">
        <f>IF(A197="","",GL_CLEAN!J197)</f>
        <v/>
      </c>
      <c r="G197" s="11">
        <f>IF(A197="","",IF(F197="OUT","DR","CR"))</f>
        <v/>
      </c>
      <c r="H197" s="11">
        <f>IF(A197="","",IFERROR(INDEX(BANK_CLEAN!$A$2:$A$1001,MATCH(MINIFS(BANK_CLEAN!$J$2:$J$1001,BANK_CLEAN!$H$2:$H$1001,G197,BANK_CLEAN!$L$2:$L$1001,""),BANK_CLEAN!$J$2:$J$1001,0)),""))</f>
        <v/>
      </c>
      <c r="I197" s="10">
        <f>IF(H197="","",INDEX(BANK_CLEAN!$B$2:$B$1001,H197))</f>
        <v/>
      </c>
      <c r="J197" s="14">
        <f>IF(H197="","",IF(F197="OUT",INDEX(BANK_CLEAN!$F$2:$F$1001,H197),INDEX(BANK_CLEAN!$E$2:$E$1001,H197)))</f>
        <v/>
      </c>
      <c r="K197" s="14">
        <f>IF(H197="","",ABS(E197-J197))</f>
        <v/>
      </c>
      <c r="L197" s="11">
        <f>IF(OR(H197="",B197="",I197=""),"",ABS(B197-I197))</f>
        <v/>
      </c>
      <c r="M197" s="15">
        <f>IF(H197="",0,LET(pct,IF(E197&gt;0,K197/E197,1),days,IFERROR(L197,999),100-pct*200-days*3))</f>
        <v/>
      </c>
      <c r="N197" s="11">
        <f>IF(A197="","",IF(H197="","Unmatched GL",IF(AND(K197&lt;=Tol_Amount,L197&lt;=Tol_Days),"Matched",IF(M197&gt;Tol_NearPct,"Near Match","Unmatched GL"))))</f>
        <v/>
      </c>
    </row>
    <row r="198">
      <c r="A198" s="13">
        <f>IF(GL_CLEAN!A198="","",GL_CLEAN!A198)</f>
        <v/>
      </c>
      <c r="B198" s="10">
        <f>IF(A198="","",GL_CLEAN!B198)</f>
        <v/>
      </c>
      <c r="C198" s="11">
        <f>IF(A198="","",GL_CLEAN!C198)</f>
        <v/>
      </c>
      <c r="D198" s="14">
        <f>IF(A198="","",GL_CLEAN!H198)</f>
        <v/>
      </c>
      <c r="E198" s="14">
        <f>IF(A198="","",GL_CLEAN!I198)</f>
        <v/>
      </c>
      <c r="F198" s="11">
        <f>IF(A198="","",GL_CLEAN!J198)</f>
        <v/>
      </c>
      <c r="G198" s="11">
        <f>IF(A198="","",IF(F198="OUT","DR","CR"))</f>
        <v/>
      </c>
      <c r="H198" s="11">
        <f>IF(A198="","",IFERROR(INDEX(BANK_CLEAN!$A$2:$A$1001,MATCH(MINIFS(BANK_CLEAN!$J$2:$J$1001,BANK_CLEAN!$H$2:$H$1001,G198,BANK_CLEAN!$L$2:$L$1001,""),BANK_CLEAN!$J$2:$J$1001,0)),""))</f>
        <v/>
      </c>
      <c r="I198" s="10">
        <f>IF(H198="","",INDEX(BANK_CLEAN!$B$2:$B$1001,H198))</f>
        <v/>
      </c>
      <c r="J198" s="14">
        <f>IF(H198="","",IF(F198="OUT",INDEX(BANK_CLEAN!$F$2:$F$1001,H198),INDEX(BANK_CLEAN!$E$2:$E$1001,H198)))</f>
        <v/>
      </c>
      <c r="K198" s="14">
        <f>IF(H198="","",ABS(E198-J198))</f>
        <v/>
      </c>
      <c r="L198" s="11">
        <f>IF(OR(H198="",B198="",I198=""),"",ABS(B198-I198))</f>
        <v/>
      </c>
      <c r="M198" s="15">
        <f>IF(H198="",0,LET(pct,IF(E198&gt;0,K198/E198,1),days,IFERROR(L198,999),100-pct*200-days*3))</f>
        <v/>
      </c>
      <c r="N198" s="11">
        <f>IF(A198="","",IF(H198="","Unmatched GL",IF(AND(K198&lt;=Tol_Amount,L198&lt;=Tol_Days),"Matched",IF(M198&gt;Tol_NearPct,"Near Match","Unmatched GL"))))</f>
        <v/>
      </c>
    </row>
    <row r="199">
      <c r="A199" s="13">
        <f>IF(GL_CLEAN!A199="","",GL_CLEAN!A199)</f>
        <v/>
      </c>
      <c r="B199" s="10">
        <f>IF(A199="","",GL_CLEAN!B199)</f>
        <v/>
      </c>
      <c r="C199" s="11">
        <f>IF(A199="","",GL_CLEAN!C199)</f>
        <v/>
      </c>
      <c r="D199" s="14">
        <f>IF(A199="","",GL_CLEAN!H199)</f>
        <v/>
      </c>
      <c r="E199" s="14">
        <f>IF(A199="","",GL_CLEAN!I199)</f>
        <v/>
      </c>
      <c r="F199" s="11">
        <f>IF(A199="","",GL_CLEAN!J199)</f>
        <v/>
      </c>
      <c r="G199" s="11">
        <f>IF(A199="","",IF(F199="OUT","DR","CR"))</f>
        <v/>
      </c>
      <c r="H199" s="11">
        <f>IF(A199="","",IFERROR(INDEX(BANK_CLEAN!$A$2:$A$1001,MATCH(MINIFS(BANK_CLEAN!$J$2:$J$1001,BANK_CLEAN!$H$2:$H$1001,G199,BANK_CLEAN!$L$2:$L$1001,""),BANK_CLEAN!$J$2:$J$1001,0)),""))</f>
        <v/>
      </c>
      <c r="I199" s="10">
        <f>IF(H199="","",INDEX(BANK_CLEAN!$B$2:$B$1001,H199))</f>
        <v/>
      </c>
      <c r="J199" s="14">
        <f>IF(H199="","",IF(F199="OUT",INDEX(BANK_CLEAN!$F$2:$F$1001,H199),INDEX(BANK_CLEAN!$E$2:$E$1001,H199)))</f>
        <v/>
      </c>
      <c r="K199" s="14">
        <f>IF(H199="","",ABS(E199-J199))</f>
        <v/>
      </c>
      <c r="L199" s="11">
        <f>IF(OR(H199="",B199="",I199=""),"",ABS(B199-I199))</f>
        <v/>
      </c>
      <c r="M199" s="15">
        <f>IF(H199="",0,LET(pct,IF(E199&gt;0,K199/E199,1),days,IFERROR(L199,999),100-pct*200-days*3))</f>
        <v/>
      </c>
      <c r="N199" s="11">
        <f>IF(A199="","",IF(H199="","Unmatched GL",IF(AND(K199&lt;=Tol_Amount,L199&lt;=Tol_Days),"Matched",IF(M199&gt;Tol_NearPct,"Near Match","Unmatched GL"))))</f>
        <v/>
      </c>
    </row>
    <row r="200">
      <c r="A200" s="13">
        <f>IF(GL_CLEAN!A200="","",GL_CLEAN!A200)</f>
        <v/>
      </c>
      <c r="B200" s="10">
        <f>IF(A200="","",GL_CLEAN!B200)</f>
        <v/>
      </c>
      <c r="C200" s="11">
        <f>IF(A200="","",GL_CLEAN!C200)</f>
        <v/>
      </c>
      <c r="D200" s="14">
        <f>IF(A200="","",GL_CLEAN!H200)</f>
        <v/>
      </c>
      <c r="E200" s="14">
        <f>IF(A200="","",GL_CLEAN!I200)</f>
        <v/>
      </c>
      <c r="F200" s="11">
        <f>IF(A200="","",GL_CLEAN!J200)</f>
        <v/>
      </c>
      <c r="G200" s="11">
        <f>IF(A200="","",IF(F200="OUT","DR","CR"))</f>
        <v/>
      </c>
      <c r="H200" s="11">
        <f>IF(A200="","",IFERROR(INDEX(BANK_CLEAN!$A$2:$A$1001,MATCH(MINIFS(BANK_CLEAN!$J$2:$J$1001,BANK_CLEAN!$H$2:$H$1001,G200,BANK_CLEAN!$L$2:$L$1001,""),BANK_CLEAN!$J$2:$J$1001,0)),""))</f>
        <v/>
      </c>
      <c r="I200" s="10">
        <f>IF(H200="","",INDEX(BANK_CLEAN!$B$2:$B$1001,H200))</f>
        <v/>
      </c>
      <c r="J200" s="14">
        <f>IF(H200="","",IF(F200="OUT",INDEX(BANK_CLEAN!$F$2:$F$1001,H200),INDEX(BANK_CLEAN!$E$2:$E$1001,H200)))</f>
        <v/>
      </c>
      <c r="K200" s="14">
        <f>IF(H200="","",ABS(E200-J200))</f>
        <v/>
      </c>
      <c r="L200" s="11">
        <f>IF(OR(H200="",B200="",I200=""),"",ABS(B200-I200))</f>
        <v/>
      </c>
      <c r="M200" s="15">
        <f>IF(H200="",0,LET(pct,IF(E200&gt;0,K200/E200,1),days,IFERROR(L200,999),100-pct*200-days*3))</f>
        <v/>
      </c>
      <c r="N200" s="11">
        <f>IF(A200="","",IF(H200="","Unmatched GL",IF(AND(K200&lt;=Tol_Amount,L200&lt;=Tol_Days),"Matched",IF(M200&gt;Tol_NearPct,"Near Match","Unmatched GL"))))</f>
        <v/>
      </c>
    </row>
    <row r="201">
      <c r="A201" s="13">
        <f>IF(GL_CLEAN!A201="","",GL_CLEAN!A201)</f>
        <v/>
      </c>
      <c r="B201" s="10">
        <f>IF(A201="","",GL_CLEAN!B201)</f>
        <v/>
      </c>
      <c r="C201" s="11">
        <f>IF(A201="","",GL_CLEAN!C201)</f>
        <v/>
      </c>
      <c r="D201" s="14">
        <f>IF(A201="","",GL_CLEAN!H201)</f>
        <v/>
      </c>
      <c r="E201" s="14">
        <f>IF(A201="","",GL_CLEAN!I201)</f>
        <v/>
      </c>
      <c r="F201" s="11">
        <f>IF(A201="","",GL_CLEAN!J201)</f>
        <v/>
      </c>
      <c r="G201" s="11">
        <f>IF(A201="","",IF(F201="OUT","DR","CR"))</f>
        <v/>
      </c>
      <c r="H201" s="11">
        <f>IF(A201="","",IFERROR(INDEX(BANK_CLEAN!$A$2:$A$1001,MATCH(MINIFS(BANK_CLEAN!$J$2:$J$1001,BANK_CLEAN!$H$2:$H$1001,G201,BANK_CLEAN!$L$2:$L$1001,""),BANK_CLEAN!$J$2:$J$1001,0)),""))</f>
        <v/>
      </c>
      <c r="I201" s="10">
        <f>IF(H201="","",INDEX(BANK_CLEAN!$B$2:$B$1001,H201))</f>
        <v/>
      </c>
      <c r="J201" s="14">
        <f>IF(H201="","",IF(F201="OUT",INDEX(BANK_CLEAN!$F$2:$F$1001,H201),INDEX(BANK_CLEAN!$E$2:$E$1001,H201)))</f>
        <v/>
      </c>
      <c r="K201" s="14">
        <f>IF(H201="","",ABS(E201-J201))</f>
        <v/>
      </c>
      <c r="L201" s="11">
        <f>IF(OR(H201="",B201="",I201=""),"",ABS(B201-I201))</f>
        <v/>
      </c>
      <c r="M201" s="15">
        <f>IF(H201="",0,LET(pct,IF(E201&gt;0,K201/E201,1),days,IFERROR(L201,999),100-pct*200-days*3))</f>
        <v/>
      </c>
      <c r="N201" s="11">
        <f>IF(A201="","",IF(H201="","Unmatched GL",IF(AND(K201&lt;=Tol_Amount,L201&lt;=Tol_Days),"Matched",IF(M201&gt;Tol_NearPct,"Near Match","Unmatched GL"))))</f>
        <v/>
      </c>
    </row>
    <row r="202">
      <c r="A202" s="13">
        <f>IF(GL_CLEAN!A202="","",GL_CLEAN!A202)</f>
        <v/>
      </c>
      <c r="B202" s="10">
        <f>IF(A202="","",GL_CLEAN!B202)</f>
        <v/>
      </c>
      <c r="C202" s="11">
        <f>IF(A202="","",GL_CLEAN!C202)</f>
        <v/>
      </c>
      <c r="D202" s="14">
        <f>IF(A202="","",GL_CLEAN!H202)</f>
        <v/>
      </c>
      <c r="E202" s="14">
        <f>IF(A202="","",GL_CLEAN!I202)</f>
        <v/>
      </c>
      <c r="F202" s="11">
        <f>IF(A202="","",GL_CLEAN!J202)</f>
        <v/>
      </c>
      <c r="G202" s="11">
        <f>IF(A202="","",IF(F202="OUT","DR","CR"))</f>
        <v/>
      </c>
      <c r="H202" s="11">
        <f>IF(A202="","",IFERROR(INDEX(BANK_CLEAN!$A$2:$A$1001,MATCH(MINIFS(BANK_CLEAN!$J$2:$J$1001,BANK_CLEAN!$H$2:$H$1001,G202,BANK_CLEAN!$L$2:$L$1001,""),BANK_CLEAN!$J$2:$J$1001,0)),""))</f>
        <v/>
      </c>
      <c r="I202" s="10">
        <f>IF(H202="","",INDEX(BANK_CLEAN!$B$2:$B$1001,H202))</f>
        <v/>
      </c>
      <c r="J202" s="14">
        <f>IF(H202="","",IF(F202="OUT",INDEX(BANK_CLEAN!$F$2:$F$1001,H202),INDEX(BANK_CLEAN!$E$2:$E$1001,H202)))</f>
        <v/>
      </c>
      <c r="K202" s="14">
        <f>IF(H202="","",ABS(E202-J202))</f>
        <v/>
      </c>
      <c r="L202" s="11">
        <f>IF(OR(H202="",B202="",I202=""),"",ABS(B202-I202))</f>
        <v/>
      </c>
      <c r="M202" s="15">
        <f>IF(H202="",0,LET(pct,IF(E202&gt;0,K202/E202,1),days,IFERROR(L202,999),100-pct*200-days*3))</f>
        <v/>
      </c>
      <c r="N202" s="11">
        <f>IF(A202="","",IF(H202="","Unmatched GL",IF(AND(K202&lt;=Tol_Amount,L202&lt;=Tol_Days),"Matched",IF(M202&gt;Tol_NearPct,"Near Match","Unmatched GL"))))</f>
        <v/>
      </c>
    </row>
    <row r="203">
      <c r="A203" s="13">
        <f>IF(GL_CLEAN!A203="","",GL_CLEAN!A203)</f>
        <v/>
      </c>
      <c r="B203" s="10">
        <f>IF(A203="","",GL_CLEAN!B203)</f>
        <v/>
      </c>
      <c r="C203" s="11">
        <f>IF(A203="","",GL_CLEAN!C203)</f>
        <v/>
      </c>
      <c r="D203" s="14">
        <f>IF(A203="","",GL_CLEAN!H203)</f>
        <v/>
      </c>
      <c r="E203" s="14">
        <f>IF(A203="","",GL_CLEAN!I203)</f>
        <v/>
      </c>
      <c r="F203" s="11">
        <f>IF(A203="","",GL_CLEAN!J203)</f>
        <v/>
      </c>
      <c r="G203" s="11">
        <f>IF(A203="","",IF(F203="OUT","DR","CR"))</f>
        <v/>
      </c>
      <c r="H203" s="11">
        <f>IF(A203="","",IFERROR(INDEX(BANK_CLEAN!$A$2:$A$1001,MATCH(MINIFS(BANK_CLEAN!$J$2:$J$1001,BANK_CLEAN!$H$2:$H$1001,G203,BANK_CLEAN!$L$2:$L$1001,""),BANK_CLEAN!$J$2:$J$1001,0)),""))</f>
        <v/>
      </c>
      <c r="I203" s="10">
        <f>IF(H203="","",INDEX(BANK_CLEAN!$B$2:$B$1001,H203))</f>
        <v/>
      </c>
      <c r="J203" s="14">
        <f>IF(H203="","",IF(F203="OUT",INDEX(BANK_CLEAN!$F$2:$F$1001,H203),INDEX(BANK_CLEAN!$E$2:$E$1001,H203)))</f>
        <v/>
      </c>
      <c r="K203" s="14">
        <f>IF(H203="","",ABS(E203-J203))</f>
        <v/>
      </c>
      <c r="L203" s="11">
        <f>IF(OR(H203="",B203="",I203=""),"",ABS(B203-I203))</f>
        <v/>
      </c>
      <c r="M203" s="15">
        <f>IF(H203="",0,LET(pct,IF(E203&gt;0,K203/E203,1),days,IFERROR(L203,999),100-pct*200-days*3))</f>
        <v/>
      </c>
      <c r="N203" s="11">
        <f>IF(A203="","",IF(H203="","Unmatched GL",IF(AND(K203&lt;=Tol_Amount,L203&lt;=Tol_Days),"Matched",IF(M203&gt;Tol_NearPct,"Near Match","Unmatched GL"))))</f>
        <v/>
      </c>
    </row>
    <row r="204">
      <c r="A204" s="13">
        <f>IF(GL_CLEAN!A204="","",GL_CLEAN!A204)</f>
        <v/>
      </c>
      <c r="B204" s="10">
        <f>IF(A204="","",GL_CLEAN!B204)</f>
        <v/>
      </c>
      <c r="C204" s="11">
        <f>IF(A204="","",GL_CLEAN!C204)</f>
        <v/>
      </c>
      <c r="D204" s="14">
        <f>IF(A204="","",GL_CLEAN!H204)</f>
        <v/>
      </c>
      <c r="E204" s="14">
        <f>IF(A204="","",GL_CLEAN!I204)</f>
        <v/>
      </c>
      <c r="F204" s="11">
        <f>IF(A204="","",GL_CLEAN!J204)</f>
        <v/>
      </c>
      <c r="G204" s="11">
        <f>IF(A204="","",IF(F204="OUT","DR","CR"))</f>
        <v/>
      </c>
      <c r="H204" s="11">
        <f>IF(A204="","",IFERROR(INDEX(BANK_CLEAN!$A$2:$A$1001,MATCH(MINIFS(BANK_CLEAN!$J$2:$J$1001,BANK_CLEAN!$H$2:$H$1001,G204,BANK_CLEAN!$L$2:$L$1001,""),BANK_CLEAN!$J$2:$J$1001,0)),""))</f>
        <v/>
      </c>
      <c r="I204" s="10">
        <f>IF(H204="","",INDEX(BANK_CLEAN!$B$2:$B$1001,H204))</f>
        <v/>
      </c>
      <c r="J204" s="14">
        <f>IF(H204="","",IF(F204="OUT",INDEX(BANK_CLEAN!$F$2:$F$1001,H204),INDEX(BANK_CLEAN!$E$2:$E$1001,H204)))</f>
        <v/>
      </c>
      <c r="K204" s="14">
        <f>IF(H204="","",ABS(E204-J204))</f>
        <v/>
      </c>
      <c r="L204" s="11">
        <f>IF(OR(H204="",B204="",I204=""),"",ABS(B204-I204))</f>
        <v/>
      </c>
      <c r="M204" s="15">
        <f>IF(H204="",0,LET(pct,IF(E204&gt;0,K204/E204,1),days,IFERROR(L204,999),100-pct*200-days*3))</f>
        <v/>
      </c>
      <c r="N204" s="11">
        <f>IF(A204="","",IF(H204="","Unmatched GL",IF(AND(K204&lt;=Tol_Amount,L204&lt;=Tol_Days),"Matched",IF(M204&gt;Tol_NearPct,"Near Match","Unmatched GL"))))</f>
        <v/>
      </c>
    </row>
    <row r="205">
      <c r="A205" s="13">
        <f>IF(GL_CLEAN!A205="","",GL_CLEAN!A205)</f>
        <v/>
      </c>
      <c r="B205" s="10">
        <f>IF(A205="","",GL_CLEAN!B205)</f>
        <v/>
      </c>
      <c r="C205" s="11">
        <f>IF(A205="","",GL_CLEAN!C205)</f>
        <v/>
      </c>
      <c r="D205" s="14">
        <f>IF(A205="","",GL_CLEAN!H205)</f>
        <v/>
      </c>
      <c r="E205" s="14">
        <f>IF(A205="","",GL_CLEAN!I205)</f>
        <v/>
      </c>
      <c r="F205" s="11">
        <f>IF(A205="","",GL_CLEAN!J205)</f>
        <v/>
      </c>
      <c r="G205" s="11">
        <f>IF(A205="","",IF(F205="OUT","DR","CR"))</f>
        <v/>
      </c>
      <c r="H205" s="11">
        <f>IF(A205="","",IFERROR(INDEX(BANK_CLEAN!$A$2:$A$1001,MATCH(MINIFS(BANK_CLEAN!$J$2:$J$1001,BANK_CLEAN!$H$2:$H$1001,G205,BANK_CLEAN!$L$2:$L$1001,""),BANK_CLEAN!$J$2:$J$1001,0)),""))</f>
        <v/>
      </c>
      <c r="I205" s="10">
        <f>IF(H205="","",INDEX(BANK_CLEAN!$B$2:$B$1001,H205))</f>
        <v/>
      </c>
      <c r="J205" s="14">
        <f>IF(H205="","",IF(F205="OUT",INDEX(BANK_CLEAN!$F$2:$F$1001,H205),INDEX(BANK_CLEAN!$E$2:$E$1001,H205)))</f>
        <v/>
      </c>
      <c r="K205" s="14">
        <f>IF(H205="","",ABS(E205-J205))</f>
        <v/>
      </c>
      <c r="L205" s="11">
        <f>IF(OR(H205="",B205="",I205=""),"",ABS(B205-I205))</f>
        <v/>
      </c>
      <c r="M205" s="15">
        <f>IF(H205="",0,LET(pct,IF(E205&gt;0,K205/E205,1),days,IFERROR(L205,999),100-pct*200-days*3))</f>
        <v/>
      </c>
      <c r="N205" s="11">
        <f>IF(A205="","",IF(H205="","Unmatched GL",IF(AND(K205&lt;=Tol_Amount,L205&lt;=Tol_Days),"Matched",IF(M205&gt;Tol_NearPct,"Near Match","Unmatched GL"))))</f>
        <v/>
      </c>
    </row>
    <row r="206">
      <c r="A206" s="13">
        <f>IF(GL_CLEAN!A206="","",GL_CLEAN!A206)</f>
        <v/>
      </c>
      <c r="B206" s="10">
        <f>IF(A206="","",GL_CLEAN!B206)</f>
        <v/>
      </c>
      <c r="C206" s="11">
        <f>IF(A206="","",GL_CLEAN!C206)</f>
        <v/>
      </c>
      <c r="D206" s="14">
        <f>IF(A206="","",GL_CLEAN!H206)</f>
        <v/>
      </c>
      <c r="E206" s="14">
        <f>IF(A206="","",GL_CLEAN!I206)</f>
        <v/>
      </c>
      <c r="F206" s="11">
        <f>IF(A206="","",GL_CLEAN!J206)</f>
        <v/>
      </c>
      <c r="G206" s="11">
        <f>IF(A206="","",IF(F206="OUT","DR","CR"))</f>
        <v/>
      </c>
      <c r="H206" s="11">
        <f>IF(A206="","",IFERROR(INDEX(BANK_CLEAN!$A$2:$A$1001,MATCH(MINIFS(BANK_CLEAN!$J$2:$J$1001,BANK_CLEAN!$H$2:$H$1001,G206,BANK_CLEAN!$L$2:$L$1001,""),BANK_CLEAN!$J$2:$J$1001,0)),""))</f>
        <v/>
      </c>
      <c r="I206" s="10">
        <f>IF(H206="","",INDEX(BANK_CLEAN!$B$2:$B$1001,H206))</f>
        <v/>
      </c>
      <c r="J206" s="14">
        <f>IF(H206="","",IF(F206="OUT",INDEX(BANK_CLEAN!$F$2:$F$1001,H206),INDEX(BANK_CLEAN!$E$2:$E$1001,H206)))</f>
        <v/>
      </c>
      <c r="K206" s="14">
        <f>IF(H206="","",ABS(E206-J206))</f>
        <v/>
      </c>
      <c r="L206" s="11">
        <f>IF(OR(H206="",B206="",I206=""),"",ABS(B206-I206))</f>
        <v/>
      </c>
      <c r="M206" s="15">
        <f>IF(H206="",0,LET(pct,IF(E206&gt;0,K206/E206,1),days,IFERROR(L206,999),100-pct*200-days*3))</f>
        <v/>
      </c>
      <c r="N206" s="11">
        <f>IF(A206="","",IF(H206="","Unmatched GL",IF(AND(K206&lt;=Tol_Amount,L206&lt;=Tol_Days),"Matched",IF(M206&gt;Tol_NearPct,"Near Match","Unmatched GL"))))</f>
        <v/>
      </c>
    </row>
    <row r="207">
      <c r="A207" s="13">
        <f>IF(GL_CLEAN!A207="","",GL_CLEAN!A207)</f>
        <v/>
      </c>
      <c r="B207" s="10">
        <f>IF(A207="","",GL_CLEAN!B207)</f>
        <v/>
      </c>
      <c r="C207" s="11">
        <f>IF(A207="","",GL_CLEAN!C207)</f>
        <v/>
      </c>
      <c r="D207" s="14">
        <f>IF(A207="","",GL_CLEAN!H207)</f>
        <v/>
      </c>
      <c r="E207" s="14">
        <f>IF(A207="","",GL_CLEAN!I207)</f>
        <v/>
      </c>
      <c r="F207" s="11">
        <f>IF(A207="","",GL_CLEAN!J207)</f>
        <v/>
      </c>
      <c r="G207" s="11">
        <f>IF(A207="","",IF(F207="OUT","DR","CR"))</f>
        <v/>
      </c>
      <c r="H207" s="11">
        <f>IF(A207="","",IFERROR(INDEX(BANK_CLEAN!$A$2:$A$1001,MATCH(MINIFS(BANK_CLEAN!$J$2:$J$1001,BANK_CLEAN!$H$2:$H$1001,G207,BANK_CLEAN!$L$2:$L$1001,""),BANK_CLEAN!$J$2:$J$1001,0)),""))</f>
        <v/>
      </c>
      <c r="I207" s="10">
        <f>IF(H207="","",INDEX(BANK_CLEAN!$B$2:$B$1001,H207))</f>
        <v/>
      </c>
      <c r="J207" s="14">
        <f>IF(H207="","",IF(F207="OUT",INDEX(BANK_CLEAN!$F$2:$F$1001,H207),INDEX(BANK_CLEAN!$E$2:$E$1001,H207)))</f>
        <v/>
      </c>
      <c r="K207" s="14">
        <f>IF(H207="","",ABS(E207-J207))</f>
        <v/>
      </c>
      <c r="L207" s="11">
        <f>IF(OR(H207="",B207="",I207=""),"",ABS(B207-I207))</f>
        <v/>
      </c>
      <c r="M207" s="15">
        <f>IF(H207="",0,LET(pct,IF(E207&gt;0,K207/E207,1),days,IFERROR(L207,999),100-pct*200-days*3))</f>
        <v/>
      </c>
      <c r="N207" s="11">
        <f>IF(A207="","",IF(H207="","Unmatched GL",IF(AND(K207&lt;=Tol_Amount,L207&lt;=Tol_Days),"Matched",IF(M207&gt;Tol_NearPct,"Near Match","Unmatched GL"))))</f>
        <v/>
      </c>
    </row>
    <row r="208">
      <c r="A208" s="13">
        <f>IF(GL_CLEAN!A208="","",GL_CLEAN!A208)</f>
        <v/>
      </c>
      <c r="B208" s="10">
        <f>IF(A208="","",GL_CLEAN!B208)</f>
        <v/>
      </c>
      <c r="C208" s="11">
        <f>IF(A208="","",GL_CLEAN!C208)</f>
        <v/>
      </c>
      <c r="D208" s="14">
        <f>IF(A208="","",GL_CLEAN!H208)</f>
        <v/>
      </c>
      <c r="E208" s="14">
        <f>IF(A208="","",GL_CLEAN!I208)</f>
        <v/>
      </c>
      <c r="F208" s="11">
        <f>IF(A208="","",GL_CLEAN!J208)</f>
        <v/>
      </c>
      <c r="G208" s="11">
        <f>IF(A208="","",IF(F208="OUT","DR","CR"))</f>
        <v/>
      </c>
      <c r="H208" s="11">
        <f>IF(A208="","",IFERROR(INDEX(BANK_CLEAN!$A$2:$A$1001,MATCH(MINIFS(BANK_CLEAN!$J$2:$J$1001,BANK_CLEAN!$H$2:$H$1001,G208,BANK_CLEAN!$L$2:$L$1001,""),BANK_CLEAN!$J$2:$J$1001,0)),""))</f>
        <v/>
      </c>
      <c r="I208" s="10">
        <f>IF(H208="","",INDEX(BANK_CLEAN!$B$2:$B$1001,H208))</f>
        <v/>
      </c>
      <c r="J208" s="14">
        <f>IF(H208="","",IF(F208="OUT",INDEX(BANK_CLEAN!$F$2:$F$1001,H208),INDEX(BANK_CLEAN!$E$2:$E$1001,H208)))</f>
        <v/>
      </c>
      <c r="K208" s="14">
        <f>IF(H208="","",ABS(E208-J208))</f>
        <v/>
      </c>
      <c r="L208" s="11">
        <f>IF(OR(H208="",B208="",I208=""),"",ABS(B208-I208))</f>
        <v/>
      </c>
      <c r="M208" s="15">
        <f>IF(H208="",0,LET(pct,IF(E208&gt;0,K208/E208,1),days,IFERROR(L208,999),100-pct*200-days*3))</f>
        <v/>
      </c>
      <c r="N208" s="11">
        <f>IF(A208="","",IF(H208="","Unmatched GL",IF(AND(K208&lt;=Tol_Amount,L208&lt;=Tol_Days),"Matched",IF(M208&gt;Tol_NearPct,"Near Match","Unmatched GL"))))</f>
        <v/>
      </c>
    </row>
    <row r="209">
      <c r="A209" s="13">
        <f>IF(GL_CLEAN!A209="","",GL_CLEAN!A209)</f>
        <v/>
      </c>
      <c r="B209" s="10">
        <f>IF(A209="","",GL_CLEAN!B209)</f>
        <v/>
      </c>
      <c r="C209" s="11">
        <f>IF(A209="","",GL_CLEAN!C209)</f>
        <v/>
      </c>
      <c r="D209" s="14">
        <f>IF(A209="","",GL_CLEAN!H209)</f>
        <v/>
      </c>
      <c r="E209" s="14">
        <f>IF(A209="","",GL_CLEAN!I209)</f>
        <v/>
      </c>
      <c r="F209" s="11">
        <f>IF(A209="","",GL_CLEAN!J209)</f>
        <v/>
      </c>
      <c r="G209" s="11">
        <f>IF(A209="","",IF(F209="OUT","DR","CR"))</f>
        <v/>
      </c>
      <c r="H209" s="11">
        <f>IF(A209="","",IFERROR(INDEX(BANK_CLEAN!$A$2:$A$1001,MATCH(MINIFS(BANK_CLEAN!$J$2:$J$1001,BANK_CLEAN!$H$2:$H$1001,G209,BANK_CLEAN!$L$2:$L$1001,""),BANK_CLEAN!$J$2:$J$1001,0)),""))</f>
        <v/>
      </c>
      <c r="I209" s="10">
        <f>IF(H209="","",INDEX(BANK_CLEAN!$B$2:$B$1001,H209))</f>
        <v/>
      </c>
      <c r="J209" s="14">
        <f>IF(H209="","",IF(F209="OUT",INDEX(BANK_CLEAN!$F$2:$F$1001,H209),INDEX(BANK_CLEAN!$E$2:$E$1001,H209)))</f>
        <v/>
      </c>
      <c r="K209" s="14">
        <f>IF(H209="","",ABS(E209-J209))</f>
        <v/>
      </c>
      <c r="L209" s="11">
        <f>IF(OR(H209="",B209="",I209=""),"",ABS(B209-I209))</f>
        <v/>
      </c>
      <c r="M209" s="15">
        <f>IF(H209="",0,LET(pct,IF(E209&gt;0,K209/E209,1),days,IFERROR(L209,999),100-pct*200-days*3))</f>
        <v/>
      </c>
      <c r="N209" s="11">
        <f>IF(A209="","",IF(H209="","Unmatched GL",IF(AND(K209&lt;=Tol_Amount,L209&lt;=Tol_Days),"Matched",IF(M209&gt;Tol_NearPct,"Near Match","Unmatched GL"))))</f>
        <v/>
      </c>
    </row>
    <row r="210">
      <c r="A210" s="13">
        <f>IF(GL_CLEAN!A210="","",GL_CLEAN!A210)</f>
        <v/>
      </c>
      <c r="B210" s="10">
        <f>IF(A210="","",GL_CLEAN!B210)</f>
        <v/>
      </c>
      <c r="C210" s="11">
        <f>IF(A210="","",GL_CLEAN!C210)</f>
        <v/>
      </c>
      <c r="D210" s="14">
        <f>IF(A210="","",GL_CLEAN!H210)</f>
        <v/>
      </c>
      <c r="E210" s="14">
        <f>IF(A210="","",GL_CLEAN!I210)</f>
        <v/>
      </c>
      <c r="F210" s="11">
        <f>IF(A210="","",GL_CLEAN!J210)</f>
        <v/>
      </c>
      <c r="G210" s="11">
        <f>IF(A210="","",IF(F210="OUT","DR","CR"))</f>
        <v/>
      </c>
      <c r="H210" s="11">
        <f>IF(A210="","",IFERROR(INDEX(BANK_CLEAN!$A$2:$A$1001,MATCH(MINIFS(BANK_CLEAN!$J$2:$J$1001,BANK_CLEAN!$H$2:$H$1001,G210,BANK_CLEAN!$L$2:$L$1001,""),BANK_CLEAN!$J$2:$J$1001,0)),""))</f>
        <v/>
      </c>
      <c r="I210" s="10">
        <f>IF(H210="","",INDEX(BANK_CLEAN!$B$2:$B$1001,H210))</f>
        <v/>
      </c>
      <c r="J210" s="14">
        <f>IF(H210="","",IF(F210="OUT",INDEX(BANK_CLEAN!$F$2:$F$1001,H210),INDEX(BANK_CLEAN!$E$2:$E$1001,H210)))</f>
        <v/>
      </c>
      <c r="K210" s="14">
        <f>IF(H210="","",ABS(E210-J210))</f>
        <v/>
      </c>
      <c r="L210" s="11">
        <f>IF(OR(H210="",B210="",I210=""),"",ABS(B210-I210))</f>
        <v/>
      </c>
      <c r="M210" s="15">
        <f>IF(H210="",0,LET(pct,IF(E210&gt;0,K210/E210,1),days,IFERROR(L210,999),100-pct*200-days*3))</f>
        <v/>
      </c>
      <c r="N210" s="11">
        <f>IF(A210="","",IF(H210="","Unmatched GL",IF(AND(K210&lt;=Tol_Amount,L210&lt;=Tol_Days),"Matched",IF(M210&gt;Tol_NearPct,"Near Match","Unmatched GL"))))</f>
        <v/>
      </c>
    </row>
    <row r="211">
      <c r="A211" s="13">
        <f>IF(GL_CLEAN!A211="","",GL_CLEAN!A211)</f>
        <v/>
      </c>
      <c r="B211" s="10">
        <f>IF(A211="","",GL_CLEAN!B211)</f>
        <v/>
      </c>
      <c r="C211" s="11">
        <f>IF(A211="","",GL_CLEAN!C211)</f>
        <v/>
      </c>
      <c r="D211" s="14">
        <f>IF(A211="","",GL_CLEAN!H211)</f>
        <v/>
      </c>
      <c r="E211" s="14">
        <f>IF(A211="","",GL_CLEAN!I211)</f>
        <v/>
      </c>
      <c r="F211" s="11">
        <f>IF(A211="","",GL_CLEAN!J211)</f>
        <v/>
      </c>
      <c r="G211" s="11">
        <f>IF(A211="","",IF(F211="OUT","DR","CR"))</f>
        <v/>
      </c>
      <c r="H211" s="11">
        <f>IF(A211="","",IFERROR(INDEX(BANK_CLEAN!$A$2:$A$1001,MATCH(MINIFS(BANK_CLEAN!$J$2:$J$1001,BANK_CLEAN!$H$2:$H$1001,G211,BANK_CLEAN!$L$2:$L$1001,""),BANK_CLEAN!$J$2:$J$1001,0)),""))</f>
        <v/>
      </c>
      <c r="I211" s="10">
        <f>IF(H211="","",INDEX(BANK_CLEAN!$B$2:$B$1001,H211))</f>
        <v/>
      </c>
      <c r="J211" s="14">
        <f>IF(H211="","",IF(F211="OUT",INDEX(BANK_CLEAN!$F$2:$F$1001,H211),INDEX(BANK_CLEAN!$E$2:$E$1001,H211)))</f>
        <v/>
      </c>
      <c r="K211" s="14">
        <f>IF(H211="","",ABS(E211-J211))</f>
        <v/>
      </c>
      <c r="L211" s="11">
        <f>IF(OR(H211="",B211="",I211=""),"",ABS(B211-I211))</f>
        <v/>
      </c>
      <c r="M211" s="15">
        <f>IF(H211="",0,LET(pct,IF(E211&gt;0,K211/E211,1),days,IFERROR(L211,999),100-pct*200-days*3))</f>
        <v/>
      </c>
      <c r="N211" s="11">
        <f>IF(A211="","",IF(H211="","Unmatched GL",IF(AND(K211&lt;=Tol_Amount,L211&lt;=Tol_Days),"Matched",IF(M211&gt;Tol_NearPct,"Near Match","Unmatched GL"))))</f>
        <v/>
      </c>
    </row>
    <row r="212">
      <c r="A212" s="13">
        <f>IF(GL_CLEAN!A212="","",GL_CLEAN!A212)</f>
        <v/>
      </c>
      <c r="B212" s="10">
        <f>IF(A212="","",GL_CLEAN!B212)</f>
        <v/>
      </c>
      <c r="C212" s="11">
        <f>IF(A212="","",GL_CLEAN!C212)</f>
        <v/>
      </c>
      <c r="D212" s="14">
        <f>IF(A212="","",GL_CLEAN!H212)</f>
        <v/>
      </c>
      <c r="E212" s="14">
        <f>IF(A212="","",GL_CLEAN!I212)</f>
        <v/>
      </c>
      <c r="F212" s="11">
        <f>IF(A212="","",GL_CLEAN!J212)</f>
        <v/>
      </c>
      <c r="G212" s="11">
        <f>IF(A212="","",IF(F212="OUT","DR","CR"))</f>
        <v/>
      </c>
      <c r="H212" s="11">
        <f>IF(A212="","",IFERROR(INDEX(BANK_CLEAN!$A$2:$A$1001,MATCH(MINIFS(BANK_CLEAN!$J$2:$J$1001,BANK_CLEAN!$H$2:$H$1001,G212,BANK_CLEAN!$L$2:$L$1001,""),BANK_CLEAN!$J$2:$J$1001,0)),""))</f>
        <v/>
      </c>
      <c r="I212" s="10">
        <f>IF(H212="","",INDEX(BANK_CLEAN!$B$2:$B$1001,H212))</f>
        <v/>
      </c>
      <c r="J212" s="14">
        <f>IF(H212="","",IF(F212="OUT",INDEX(BANK_CLEAN!$F$2:$F$1001,H212),INDEX(BANK_CLEAN!$E$2:$E$1001,H212)))</f>
        <v/>
      </c>
      <c r="K212" s="14">
        <f>IF(H212="","",ABS(E212-J212))</f>
        <v/>
      </c>
      <c r="L212" s="11">
        <f>IF(OR(H212="",B212="",I212=""),"",ABS(B212-I212))</f>
        <v/>
      </c>
      <c r="M212" s="15">
        <f>IF(H212="",0,LET(pct,IF(E212&gt;0,K212/E212,1),days,IFERROR(L212,999),100-pct*200-days*3))</f>
        <v/>
      </c>
      <c r="N212" s="11">
        <f>IF(A212="","",IF(H212="","Unmatched GL",IF(AND(K212&lt;=Tol_Amount,L212&lt;=Tol_Days),"Matched",IF(M212&gt;Tol_NearPct,"Near Match","Unmatched GL"))))</f>
        <v/>
      </c>
    </row>
    <row r="213">
      <c r="A213" s="13">
        <f>IF(GL_CLEAN!A213="","",GL_CLEAN!A213)</f>
        <v/>
      </c>
      <c r="B213" s="10">
        <f>IF(A213="","",GL_CLEAN!B213)</f>
        <v/>
      </c>
      <c r="C213" s="11">
        <f>IF(A213="","",GL_CLEAN!C213)</f>
        <v/>
      </c>
      <c r="D213" s="14">
        <f>IF(A213="","",GL_CLEAN!H213)</f>
        <v/>
      </c>
      <c r="E213" s="14">
        <f>IF(A213="","",GL_CLEAN!I213)</f>
        <v/>
      </c>
      <c r="F213" s="11">
        <f>IF(A213="","",GL_CLEAN!J213)</f>
        <v/>
      </c>
      <c r="G213" s="11">
        <f>IF(A213="","",IF(F213="OUT","DR","CR"))</f>
        <v/>
      </c>
      <c r="H213" s="11">
        <f>IF(A213="","",IFERROR(INDEX(BANK_CLEAN!$A$2:$A$1001,MATCH(MINIFS(BANK_CLEAN!$J$2:$J$1001,BANK_CLEAN!$H$2:$H$1001,G213,BANK_CLEAN!$L$2:$L$1001,""),BANK_CLEAN!$J$2:$J$1001,0)),""))</f>
        <v/>
      </c>
      <c r="I213" s="10">
        <f>IF(H213="","",INDEX(BANK_CLEAN!$B$2:$B$1001,H213))</f>
        <v/>
      </c>
      <c r="J213" s="14">
        <f>IF(H213="","",IF(F213="OUT",INDEX(BANK_CLEAN!$F$2:$F$1001,H213),INDEX(BANK_CLEAN!$E$2:$E$1001,H213)))</f>
        <v/>
      </c>
      <c r="K213" s="14">
        <f>IF(H213="","",ABS(E213-J213))</f>
        <v/>
      </c>
      <c r="L213" s="11">
        <f>IF(OR(H213="",B213="",I213=""),"",ABS(B213-I213))</f>
        <v/>
      </c>
      <c r="M213" s="15">
        <f>IF(H213="",0,LET(pct,IF(E213&gt;0,K213/E213,1),days,IFERROR(L213,999),100-pct*200-days*3))</f>
        <v/>
      </c>
      <c r="N213" s="11">
        <f>IF(A213="","",IF(H213="","Unmatched GL",IF(AND(K213&lt;=Tol_Amount,L213&lt;=Tol_Days),"Matched",IF(M213&gt;Tol_NearPct,"Near Match","Unmatched GL"))))</f>
        <v/>
      </c>
    </row>
    <row r="214">
      <c r="A214" s="13">
        <f>IF(GL_CLEAN!A214="","",GL_CLEAN!A214)</f>
        <v/>
      </c>
      <c r="B214" s="10">
        <f>IF(A214="","",GL_CLEAN!B214)</f>
        <v/>
      </c>
      <c r="C214" s="11">
        <f>IF(A214="","",GL_CLEAN!C214)</f>
        <v/>
      </c>
      <c r="D214" s="14">
        <f>IF(A214="","",GL_CLEAN!H214)</f>
        <v/>
      </c>
      <c r="E214" s="14">
        <f>IF(A214="","",GL_CLEAN!I214)</f>
        <v/>
      </c>
      <c r="F214" s="11">
        <f>IF(A214="","",GL_CLEAN!J214)</f>
        <v/>
      </c>
      <c r="G214" s="11">
        <f>IF(A214="","",IF(F214="OUT","DR","CR"))</f>
        <v/>
      </c>
      <c r="H214" s="11">
        <f>IF(A214="","",IFERROR(INDEX(BANK_CLEAN!$A$2:$A$1001,MATCH(MINIFS(BANK_CLEAN!$J$2:$J$1001,BANK_CLEAN!$H$2:$H$1001,G214,BANK_CLEAN!$L$2:$L$1001,""),BANK_CLEAN!$J$2:$J$1001,0)),""))</f>
        <v/>
      </c>
      <c r="I214" s="10">
        <f>IF(H214="","",INDEX(BANK_CLEAN!$B$2:$B$1001,H214))</f>
        <v/>
      </c>
      <c r="J214" s="14">
        <f>IF(H214="","",IF(F214="OUT",INDEX(BANK_CLEAN!$F$2:$F$1001,H214),INDEX(BANK_CLEAN!$E$2:$E$1001,H214)))</f>
        <v/>
      </c>
      <c r="K214" s="14">
        <f>IF(H214="","",ABS(E214-J214))</f>
        <v/>
      </c>
      <c r="L214" s="11">
        <f>IF(OR(H214="",B214="",I214=""),"",ABS(B214-I214))</f>
        <v/>
      </c>
      <c r="M214" s="15">
        <f>IF(H214="",0,LET(pct,IF(E214&gt;0,K214/E214,1),days,IFERROR(L214,999),100-pct*200-days*3))</f>
        <v/>
      </c>
      <c r="N214" s="11">
        <f>IF(A214="","",IF(H214="","Unmatched GL",IF(AND(K214&lt;=Tol_Amount,L214&lt;=Tol_Days),"Matched",IF(M214&gt;Tol_NearPct,"Near Match","Unmatched GL"))))</f>
        <v/>
      </c>
    </row>
    <row r="215">
      <c r="A215" s="13">
        <f>IF(GL_CLEAN!A215="","",GL_CLEAN!A215)</f>
        <v/>
      </c>
      <c r="B215" s="10">
        <f>IF(A215="","",GL_CLEAN!B215)</f>
        <v/>
      </c>
      <c r="C215" s="11">
        <f>IF(A215="","",GL_CLEAN!C215)</f>
        <v/>
      </c>
      <c r="D215" s="14">
        <f>IF(A215="","",GL_CLEAN!H215)</f>
        <v/>
      </c>
      <c r="E215" s="14">
        <f>IF(A215="","",GL_CLEAN!I215)</f>
        <v/>
      </c>
      <c r="F215" s="11">
        <f>IF(A215="","",GL_CLEAN!J215)</f>
        <v/>
      </c>
      <c r="G215" s="11">
        <f>IF(A215="","",IF(F215="OUT","DR","CR"))</f>
        <v/>
      </c>
      <c r="H215" s="11">
        <f>IF(A215="","",IFERROR(INDEX(BANK_CLEAN!$A$2:$A$1001,MATCH(MINIFS(BANK_CLEAN!$J$2:$J$1001,BANK_CLEAN!$H$2:$H$1001,G215,BANK_CLEAN!$L$2:$L$1001,""),BANK_CLEAN!$J$2:$J$1001,0)),""))</f>
        <v/>
      </c>
      <c r="I215" s="10">
        <f>IF(H215="","",INDEX(BANK_CLEAN!$B$2:$B$1001,H215))</f>
        <v/>
      </c>
      <c r="J215" s="14">
        <f>IF(H215="","",IF(F215="OUT",INDEX(BANK_CLEAN!$F$2:$F$1001,H215),INDEX(BANK_CLEAN!$E$2:$E$1001,H215)))</f>
        <v/>
      </c>
      <c r="K215" s="14">
        <f>IF(H215="","",ABS(E215-J215))</f>
        <v/>
      </c>
      <c r="L215" s="11">
        <f>IF(OR(H215="",B215="",I215=""),"",ABS(B215-I215))</f>
        <v/>
      </c>
      <c r="M215" s="15">
        <f>IF(H215="",0,LET(pct,IF(E215&gt;0,K215/E215,1),days,IFERROR(L215,999),100-pct*200-days*3))</f>
        <v/>
      </c>
      <c r="N215" s="11">
        <f>IF(A215="","",IF(H215="","Unmatched GL",IF(AND(K215&lt;=Tol_Amount,L215&lt;=Tol_Days),"Matched",IF(M215&gt;Tol_NearPct,"Near Match","Unmatched GL"))))</f>
        <v/>
      </c>
    </row>
    <row r="216">
      <c r="A216" s="13">
        <f>IF(GL_CLEAN!A216="","",GL_CLEAN!A216)</f>
        <v/>
      </c>
      <c r="B216" s="10">
        <f>IF(A216="","",GL_CLEAN!B216)</f>
        <v/>
      </c>
      <c r="C216" s="11">
        <f>IF(A216="","",GL_CLEAN!C216)</f>
        <v/>
      </c>
      <c r="D216" s="14">
        <f>IF(A216="","",GL_CLEAN!H216)</f>
        <v/>
      </c>
      <c r="E216" s="14">
        <f>IF(A216="","",GL_CLEAN!I216)</f>
        <v/>
      </c>
      <c r="F216" s="11">
        <f>IF(A216="","",GL_CLEAN!J216)</f>
        <v/>
      </c>
      <c r="G216" s="11">
        <f>IF(A216="","",IF(F216="OUT","DR","CR"))</f>
        <v/>
      </c>
      <c r="H216" s="11">
        <f>IF(A216="","",IFERROR(INDEX(BANK_CLEAN!$A$2:$A$1001,MATCH(MINIFS(BANK_CLEAN!$J$2:$J$1001,BANK_CLEAN!$H$2:$H$1001,G216,BANK_CLEAN!$L$2:$L$1001,""),BANK_CLEAN!$J$2:$J$1001,0)),""))</f>
        <v/>
      </c>
      <c r="I216" s="10">
        <f>IF(H216="","",INDEX(BANK_CLEAN!$B$2:$B$1001,H216))</f>
        <v/>
      </c>
      <c r="J216" s="14">
        <f>IF(H216="","",IF(F216="OUT",INDEX(BANK_CLEAN!$F$2:$F$1001,H216),INDEX(BANK_CLEAN!$E$2:$E$1001,H216)))</f>
        <v/>
      </c>
      <c r="K216" s="14">
        <f>IF(H216="","",ABS(E216-J216))</f>
        <v/>
      </c>
      <c r="L216" s="11">
        <f>IF(OR(H216="",B216="",I216=""),"",ABS(B216-I216))</f>
        <v/>
      </c>
      <c r="M216" s="15">
        <f>IF(H216="",0,LET(pct,IF(E216&gt;0,K216/E216,1),days,IFERROR(L216,999),100-pct*200-days*3))</f>
        <v/>
      </c>
      <c r="N216" s="11">
        <f>IF(A216="","",IF(H216="","Unmatched GL",IF(AND(K216&lt;=Tol_Amount,L216&lt;=Tol_Days),"Matched",IF(M216&gt;Tol_NearPct,"Near Match","Unmatched GL"))))</f>
        <v/>
      </c>
    </row>
    <row r="217">
      <c r="A217" s="13">
        <f>IF(GL_CLEAN!A217="","",GL_CLEAN!A217)</f>
        <v/>
      </c>
      <c r="B217" s="10">
        <f>IF(A217="","",GL_CLEAN!B217)</f>
        <v/>
      </c>
      <c r="C217" s="11">
        <f>IF(A217="","",GL_CLEAN!C217)</f>
        <v/>
      </c>
      <c r="D217" s="14">
        <f>IF(A217="","",GL_CLEAN!H217)</f>
        <v/>
      </c>
      <c r="E217" s="14">
        <f>IF(A217="","",GL_CLEAN!I217)</f>
        <v/>
      </c>
      <c r="F217" s="11">
        <f>IF(A217="","",GL_CLEAN!J217)</f>
        <v/>
      </c>
      <c r="G217" s="11">
        <f>IF(A217="","",IF(F217="OUT","DR","CR"))</f>
        <v/>
      </c>
      <c r="H217" s="11">
        <f>IF(A217="","",IFERROR(INDEX(BANK_CLEAN!$A$2:$A$1001,MATCH(MINIFS(BANK_CLEAN!$J$2:$J$1001,BANK_CLEAN!$H$2:$H$1001,G217,BANK_CLEAN!$L$2:$L$1001,""),BANK_CLEAN!$J$2:$J$1001,0)),""))</f>
        <v/>
      </c>
      <c r="I217" s="10">
        <f>IF(H217="","",INDEX(BANK_CLEAN!$B$2:$B$1001,H217))</f>
        <v/>
      </c>
      <c r="J217" s="14">
        <f>IF(H217="","",IF(F217="OUT",INDEX(BANK_CLEAN!$F$2:$F$1001,H217),INDEX(BANK_CLEAN!$E$2:$E$1001,H217)))</f>
        <v/>
      </c>
      <c r="K217" s="14">
        <f>IF(H217="","",ABS(E217-J217))</f>
        <v/>
      </c>
      <c r="L217" s="11">
        <f>IF(OR(H217="",B217="",I217=""),"",ABS(B217-I217))</f>
        <v/>
      </c>
      <c r="M217" s="15">
        <f>IF(H217="",0,LET(pct,IF(E217&gt;0,K217/E217,1),days,IFERROR(L217,999),100-pct*200-days*3))</f>
        <v/>
      </c>
      <c r="N217" s="11">
        <f>IF(A217="","",IF(H217="","Unmatched GL",IF(AND(K217&lt;=Tol_Amount,L217&lt;=Tol_Days),"Matched",IF(M217&gt;Tol_NearPct,"Near Match","Unmatched GL"))))</f>
        <v/>
      </c>
    </row>
    <row r="218">
      <c r="A218" s="13">
        <f>IF(GL_CLEAN!A218="","",GL_CLEAN!A218)</f>
        <v/>
      </c>
      <c r="B218" s="10">
        <f>IF(A218="","",GL_CLEAN!B218)</f>
        <v/>
      </c>
      <c r="C218" s="11">
        <f>IF(A218="","",GL_CLEAN!C218)</f>
        <v/>
      </c>
      <c r="D218" s="14">
        <f>IF(A218="","",GL_CLEAN!H218)</f>
        <v/>
      </c>
      <c r="E218" s="14">
        <f>IF(A218="","",GL_CLEAN!I218)</f>
        <v/>
      </c>
      <c r="F218" s="11">
        <f>IF(A218="","",GL_CLEAN!J218)</f>
        <v/>
      </c>
      <c r="G218" s="11">
        <f>IF(A218="","",IF(F218="OUT","DR","CR"))</f>
        <v/>
      </c>
      <c r="H218" s="11">
        <f>IF(A218="","",IFERROR(INDEX(BANK_CLEAN!$A$2:$A$1001,MATCH(MINIFS(BANK_CLEAN!$J$2:$J$1001,BANK_CLEAN!$H$2:$H$1001,G218,BANK_CLEAN!$L$2:$L$1001,""),BANK_CLEAN!$J$2:$J$1001,0)),""))</f>
        <v/>
      </c>
      <c r="I218" s="10">
        <f>IF(H218="","",INDEX(BANK_CLEAN!$B$2:$B$1001,H218))</f>
        <v/>
      </c>
      <c r="J218" s="14">
        <f>IF(H218="","",IF(F218="OUT",INDEX(BANK_CLEAN!$F$2:$F$1001,H218),INDEX(BANK_CLEAN!$E$2:$E$1001,H218)))</f>
        <v/>
      </c>
      <c r="K218" s="14">
        <f>IF(H218="","",ABS(E218-J218))</f>
        <v/>
      </c>
      <c r="L218" s="11">
        <f>IF(OR(H218="",B218="",I218=""),"",ABS(B218-I218))</f>
        <v/>
      </c>
      <c r="M218" s="15">
        <f>IF(H218="",0,LET(pct,IF(E218&gt;0,K218/E218,1),days,IFERROR(L218,999),100-pct*200-days*3))</f>
        <v/>
      </c>
      <c r="N218" s="11">
        <f>IF(A218="","",IF(H218="","Unmatched GL",IF(AND(K218&lt;=Tol_Amount,L218&lt;=Tol_Days),"Matched",IF(M218&gt;Tol_NearPct,"Near Match","Unmatched GL"))))</f>
        <v/>
      </c>
    </row>
    <row r="219">
      <c r="A219" s="13">
        <f>IF(GL_CLEAN!A219="","",GL_CLEAN!A219)</f>
        <v/>
      </c>
      <c r="B219" s="10">
        <f>IF(A219="","",GL_CLEAN!B219)</f>
        <v/>
      </c>
      <c r="C219" s="11">
        <f>IF(A219="","",GL_CLEAN!C219)</f>
        <v/>
      </c>
      <c r="D219" s="14">
        <f>IF(A219="","",GL_CLEAN!H219)</f>
        <v/>
      </c>
      <c r="E219" s="14">
        <f>IF(A219="","",GL_CLEAN!I219)</f>
        <v/>
      </c>
      <c r="F219" s="11">
        <f>IF(A219="","",GL_CLEAN!J219)</f>
        <v/>
      </c>
      <c r="G219" s="11">
        <f>IF(A219="","",IF(F219="OUT","DR","CR"))</f>
        <v/>
      </c>
      <c r="H219" s="11">
        <f>IF(A219="","",IFERROR(INDEX(BANK_CLEAN!$A$2:$A$1001,MATCH(MINIFS(BANK_CLEAN!$J$2:$J$1001,BANK_CLEAN!$H$2:$H$1001,G219,BANK_CLEAN!$L$2:$L$1001,""),BANK_CLEAN!$J$2:$J$1001,0)),""))</f>
        <v/>
      </c>
      <c r="I219" s="10">
        <f>IF(H219="","",INDEX(BANK_CLEAN!$B$2:$B$1001,H219))</f>
        <v/>
      </c>
      <c r="J219" s="14">
        <f>IF(H219="","",IF(F219="OUT",INDEX(BANK_CLEAN!$F$2:$F$1001,H219),INDEX(BANK_CLEAN!$E$2:$E$1001,H219)))</f>
        <v/>
      </c>
      <c r="K219" s="14">
        <f>IF(H219="","",ABS(E219-J219))</f>
        <v/>
      </c>
      <c r="L219" s="11">
        <f>IF(OR(H219="",B219="",I219=""),"",ABS(B219-I219))</f>
        <v/>
      </c>
      <c r="M219" s="15">
        <f>IF(H219="",0,LET(pct,IF(E219&gt;0,K219/E219,1),days,IFERROR(L219,999),100-pct*200-days*3))</f>
        <v/>
      </c>
      <c r="N219" s="11">
        <f>IF(A219="","",IF(H219="","Unmatched GL",IF(AND(K219&lt;=Tol_Amount,L219&lt;=Tol_Days),"Matched",IF(M219&gt;Tol_NearPct,"Near Match","Unmatched GL"))))</f>
        <v/>
      </c>
    </row>
    <row r="220">
      <c r="A220" s="13">
        <f>IF(GL_CLEAN!A220="","",GL_CLEAN!A220)</f>
        <v/>
      </c>
      <c r="B220" s="10">
        <f>IF(A220="","",GL_CLEAN!B220)</f>
        <v/>
      </c>
      <c r="C220" s="11">
        <f>IF(A220="","",GL_CLEAN!C220)</f>
        <v/>
      </c>
      <c r="D220" s="14">
        <f>IF(A220="","",GL_CLEAN!H220)</f>
        <v/>
      </c>
      <c r="E220" s="14">
        <f>IF(A220="","",GL_CLEAN!I220)</f>
        <v/>
      </c>
      <c r="F220" s="11">
        <f>IF(A220="","",GL_CLEAN!J220)</f>
        <v/>
      </c>
      <c r="G220" s="11">
        <f>IF(A220="","",IF(F220="OUT","DR","CR"))</f>
        <v/>
      </c>
      <c r="H220" s="11">
        <f>IF(A220="","",IFERROR(INDEX(BANK_CLEAN!$A$2:$A$1001,MATCH(MINIFS(BANK_CLEAN!$J$2:$J$1001,BANK_CLEAN!$H$2:$H$1001,G220,BANK_CLEAN!$L$2:$L$1001,""),BANK_CLEAN!$J$2:$J$1001,0)),""))</f>
        <v/>
      </c>
      <c r="I220" s="10">
        <f>IF(H220="","",INDEX(BANK_CLEAN!$B$2:$B$1001,H220))</f>
        <v/>
      </c>
      <c r="J220" s="14">
        <f>IF(H220="","",IF(F220="OUT",INDEX(BANK_CLEAN!$F$2:$F$1001,H220),INDEX(BANK_CLEAN!$E$2:$E$1001,H220)))</f>
        <v/>
      </c>
      <c r="K220" s="14">
        <f>IF(H220="","",ABS(E220-J220))</f>
        <v/>
      </c>
      <c r="L220" s="11">
        <f>IF(OR(H220="",B220="",I220=""),"",ABS(B220-I220))</f>
        <v/>
      </c>
      <c r="M220" s="15">
        <f>IF(H220="",0,LET(pct,IF(E220&gt;0,K220/E220,1),days,IFERROR(L220,999),100-pct*200-days*3))</f>
        <v/>
      </c>
      <c r="N220" s="11">
        <f>IF(A220="","",IF(H220="","Unmatched GL",IF(AND(K220&lt;=Tol_Amount,L220&lt;=Tol_Days),"Matched",IF(M220&gt;Tol_NearPct,"Near Match","Unmatched GL"))))</f>
        <v/>
      </c>
    </row>
    <row r="221">
      <c r="A221" s="13">
        <f>IF(GL_CLEAN!A221="","",GL_CLEAN!A221)</f>
        <v/>
      </c>
      <c r="B221" s="10">
        <f>IF(A221="","",GL_CLEAN!B221)</f>
        <v/>
      </c>
      <c r="C221" s="11">
        <f>IF(A221="","",GL_CLEAN!C221)</f>
        <v/>
      </c>
      <c r="D221" s="14">
        <f>IF(A221="","",GL_CLEAN!H221)</f>
        <v/>
      </c>
      <c r="E221" s="14">
        <f>IF(A221="","",GL_CLEAN!I221)</f>
        <v/>
      </c>
      <c r="F221" s="11">
        <f>IF(A221="","",GL_CLEAN!J221)</f>
        <v/>
      </c>
      <c r="G221" s="11">
        <f>IF(A221="","",IF(F221="OUT","DR","CR"))</f>
        <v/>
      </c>
      <c r="H221" s="11">
        <f>IF(A221="","",IFERROR(INDEX(BANK_CLEAN!$A$2:$A$1001,MATCH(MINIFS(BANK_CLEAN!$J$2:$J$1001,BANK_CLEAN!$H$2:$H$1001,G221,BANK_CLEAN!$L$2:$L$1001,""),BANK_CLEAN!$J$2:$J$1001,0)),""))</f>
        <v/>
      </c>
      <c r="I221" s="10">
        <f>IF(H221="","",INDEX(BANK_CLEAN!$B$2:$B$1001,H221))</f>
        <v/>
      </c>
      <c r="J221" s="14">
        <f>IF(H221="","",IF(F221="OUT",INDEX(BANK_CLEAN!$F$2:$F$1001,H221),INDEX(BANK_CLEAN!$E$2:$E$1001,H221)))</f>
        <v/>
      </c>
      <c r="K221" s="14">
        <f>IF(H221="","",ABS(E221-J221))</f>
        <v/>
      </c>
      <c r="L221" s="11">
        <f>IF(OR(H221="",B221="",I221=""),"",ABS(B221-I221))</f>
        <v/>
      </c>
      <c r="M221" s="15">
        <f>IF(H221="",0,LET(pct,IF(E221&gt;0,K221/E221,1),days,IFERROR(L221,999),100-pct*200-days*3))</f>
        <v/>
      </c>
      <c r="N221" s="11">
        <f>IF(A221="","",IF(H221="","Unmatched GL",IF(AND(K221&lt;=Tol_Amount,L221&lt;=Tol_Days),"Matched",IF(M221&gt;Tol_NearPct,"Near Match","Unmatched GL"))))</f>
        <v/>
      </c>
    </row>
    <row r="222">
      <c r="A222" s="13">
        <f>IF(GL_CLEAN!A222="","",GL_CLEAN!A222)</f>
        <v/>
      </c>
      <c r="B222" s="10">
        <f>IF(A222="","",GL_CLEAN!B222)</f>
        <v/>
      </c>
      <c r="C222" s="11">
        <f>IF(A222="","",GL_CLEAN!C222)</f>
        <v/>
      </c>
      <c r="D222" s="14">
        <f>IF(A222="","",GL_CLEAN!H222)</f>
        <v/>
      </c>
      <c r="E222" s="14">
        <f>IF(A222="","",GL_CLEAN!I222)</f>
        <v/>
      </c>
      <c r="F222" s="11">
        <f>IF(A222="","",GL_CLEAN!J222)</f>
        <v/>
      </c>
      <c r="G222" s="11">
        <f>IF(A222="","",IF(F222="OUT","DR","CR"))</f>
        <v/>
      </c>
      <c r="H222" s="11">
        <f>IF(A222="","",IFERROR(INDEX(BANK_CLEAN!$A$2:$A$1001,MATCH(MINIFS(BANK_CLEAN!$J$2:$J$1001,BANK_CLEAN!$H$2:$H$1001,G222,BANK_CLEAN!$L$2:$L$1001,""),BANK_CLEAN!$J$2:$J$1001,0)),""))</f>
        <v/>
      </c>
      <c r="I222" s="10">
        <f>IF(H222="","",INDEX(BANK_CLEAN!$B$2:$B$1001,H222))</f>
        <v/>
      </c>
      <c r="J222" s="14">
        <f>IF(H222="","",IF(F222="OUT",INDEX(BANK_CLEAN!$F$2:$F$1001,H222),INDEX(BANK_CLEAN!$E$2:$E$1001,H222)))</f>
        <v/>
      </c>
      <c r="K222" s="14">
        <f>IF(H222="","",ABS(E222-J222))</f>
        <v/>
      </c>
      <c r="L222" s="11">
        <f>IF(OR(H222="",B222="",I222=""),"",ABS(B222-I222))</f>
        <v/>
      </c>
      <c r="M222" s="15">
        <f>IF(H222="",0,LET(pct,IF(E222&gt;0,K222/E222,1),days,IFERROR(L222,999),100-pct*200-days*3))</f>
        <v/>
      </c>
      <c r="N222" s="11">
        <f>IF(A222="","",IF(H222="","Unmatched GL",IF(AND(K222&lt;=Tol_Amount,L222&lt;=Tol_Days),"Matched",IF(M222&gt;Tol_NearPct,"Near Match","Unmatched GL"))))</f>
        <v/>
      </c>
    </row>
    <row r="223">
      <c r="A223" s="13">
        <f>IF(GL_CLEAN!A223="","",GL_CLEAN!A223)</f>
        <v/>
      </c>
      <c r="B223" s="10">
        <f>IF(A223="","",GL_CLEAN!B223)</f>
        <v/>
      </c>
      <c r="C223" s="11">
        <f>IF(A223="","",GL_CLEAN!C223)</f>
        <v/>
      </c>
      <c r="D223" s="14">
        <f>IF(A223="","",GL_CLEAN!H223)</f>
        <v/>
      </c>
      <c r="E223" s="14">
        <f>IF(A223="","",GL_CLEAN!I223)</f>
        <v/>
      </c>
      <c r="F223" s="11">
        <f>IF(A223="","",GL_CLEAN!J223)</f>
        <v/>
      </c>
      <c r="G223" s="11">
        <f>IF(A223="","",IF(F223="OUT","DR","CR"))</f>
        <v/>
      </c>
      <c r="H223" s="11">
        <f>IF(A223="","",IFERROR(INDEX(BANK_CLEAN!$A$2:$A$1001,MATCH(MINIFS(BANK_CLEAN!$J$2:$J$1001,BANK_CLEAN!$H$2:$H$1001,G223,BANK_CLEAN!$L$2:$L$1001,""),BANK_CLEAN!$J$2:$J$1001,0)),""))</f>
        <v/>
      </c>
      <c r="I223" s="10">
        <f>IF(H223="","",INDEX(BANK_CLEAN!$B$2:$B$1001,H223))</f>
        <v/>
      </c>
      <c r="J223" s="14">
        <f>IF(H223="","",IF(F223="OUT",INDEX(BANK_CLEAN!$F$2:$F$1001,H223),INDEX(BANK_CLEAN!$E$2:$E$1001,H223)))</f>
        <v/>
      </c>
      <c r="K223" s="14">
        <f>IF(H223="","",ABS(E223-J223))</f>
        <v/>
      </c>
      <c r="L223" s="11">
        <f>IF(OR(H223="",B223="",I223=""),"",ABS(B223-I223))</f>
        <v/>
      </c>
      <c r="M223" s="15">
        <f>IF(H223="",0,LET(pct,IF(E223&gt;0,K223/E223,1),days,IFERROR(L223,999),100-pct*200-days*3))</f>
        <v/>
      </c>
      <c r="N223" s="11">
        <f>IF(A223="","",IF(H223="","Unmatched GL",IF(AND(K223&lt;=Tol_Amount,L223&lt;=Tol_Days),"Matched",IF(M223&gt;Tol_NearPct,"Near Match","Unmatched GL"))))</f>
        <v/>
      </c>
    </row>
    <row r="224">
      <c r="A224" s="13">
        <f>IF(GL_CLEAN!A224="","",GL_CLEAN!A224)</f>
        <v/>
      </c>
      <c r="B224" s="10">
        <f>IF(A224="","",GL_CLEAN!B224)</f>
        <v/>
      </c>
      <c r="C224" s="11">
        <f>IF(A224="","",GL_CLEAN!C224)</f>
        <v/>
      </c>
      <c r="D224" s="14">
        <f>IF(A224="","",GL_CLEAN!H224)</f>
        <v/>
      </c>
      <c r="E224" s="14">
        <f>IF(A224="","",GL_CLEAN!I224)</f>
        <v/>
      </c>
      <c r="F224" s="11">
        <f>IF(A224="","",GL_CLEAN!J224)</f>
        <v/>
      </c>
      <c r="G224" s="11">
        <f>IF(A224="","",IF(F224="OUT","DR","CR"))</f>
        <v/>
      </c>
      <c r="H224" s="11">
        <f>IF(A224="","",IFERROR(INDEX(BANK_CLEAN!$A$2:$A$1001,MATCH(MINIFS(BANK_CLEAN!$J$2:$J$1001,BANK_CLEAN!$H$2:$H$1001,G224,BANK_CLEAN!$L$2:$L$1001,""),BANK_CLEAN!$J$2:$J$1001,0)),""))</f>
        <v/>
      </c>
      <c r="I224" s="10">
        <f>IF(H224="","",INDEX(BANK_CLEAN!$B$2:$B$1001,H224))</f>
        <v/>
      </c>
      <c r="J224" s="14">
        <f>IF(H224="","",IF(F224="OUT",INDEX(BANK_CLEAN!$F$2:$F$1001,H224),INDEX(BANK_CLEAN!$E$2:$E$1001,H224)))</f>
        <v/>
      </c>
      <c r="K224" s="14">
        <f>IF(H224="","",ABS(E224-J224))</f>
        <v/>
      </c>
      <c r="L224" s="11">
        <f>IF(OR(H224="",B224="",I224=""),"",ABS(B224-I224))</f>
        <v/>
      </c>
      <c r="M224" s="15">
        <f>IF(H224="",0,LET(pct,IF(E224&gt;0,K224/E224,1),days,IFERROR(L224,999),100-pct*200-days*3))</f>
        <v/>
      </c>
      <c r="N224" s="11">
        <f>IF(A224="","",IF(H224="","Unmatched GL",IF(AND(K224&lt;=Tol_Amount,L224&lt;=Tol_Days),"Matched",IF(M224&gt;Tol_NearPct,"Near Match","Unmatched GL"))))</f>
        <v/>
      </c>
    </row>
    <row r="225">
      <c r="A225" s="13">
        <f>IF(GL_CLEAN!A225="","",GL_CLEAN!A225)</f>
        <v/>
      </c>
      <c r="B225" s="10">
        <f>IF(A225="","",GL_CLEAN!B225)</f>
        <v/>
      </c>
      <c r="C225" s="11">
        <f>IF(A225="","",GL_CLEAN!C225)</f>
        <v/>
      </c>
      <c r="D225" s="14">
        <f>IF(A225="","",GL_CLEAN!H225)</f>
        <v/>
      </c>
      <c r="E225" s="14">
        <f>IF(A225="","",GL_CLEAN!I225)</f>
        <v/>
      </c>
      <c r="F225" s="11">
        <f>IF(A225="","",GL_CLEAN!J225)</f>
        <v/>
      </c>
      <c r="G225" s="11">
        <f>IF(A225="","",IF(F225="OUT","DR","CR"))</f>
        <v/>
      </c>
      <c r="H225" s="11">
        <f>IF(A225="","",IFERROR(INDEX(BANK_CLEAN!$A$2:$A$1001,MATCH(MINIFS(BANK_CLEAN!$J$2:$J$1001,BANK_CLEAN!$H$2:$H$1001,G225,BANK_CLEAN!$L$2:$L$1001,""),BANK_CLEAN!$J$2:$J$1001,0)),""))</f>
        <v/>
      </c>
      <c r="I225" s="10">
        <f>IF(H225="","",INDEX(BANK_CLEAN!$B$2:$B$1001,H225))</f>
        <v/>
      </c>
      <c r="J225" s="14">
        <f>IF(H225="","",IF(F225="OUT",INDEX(BANK_CLEAN!$F$2:$F$1001,H225),INDEX(BANK_CLEAN!$E$2:$E$1001,H225)))</f>
        <v/>
      </c>
      <c r="K225" s="14">
        <f>IF(H225="","",ABS(E225-J225))</f>
        <v/>
      </c>
      <c r="L225" s="11">
        <f>IF(OR(H225="",B225="",I225=""),"",ABS(B225-I225))</f>
        <v/>
      </c>
      <c r="M225" s="15">
        <f>IF(H225="",0,LET(pct,IF(E225&gt;0,K225/E225,1),days,IFERROR(L225,999),100-pct*200-days*3))</f>
        <v/>
      </c>
      <c r="N225" s="11">
        <f>IF(A225="","",IF(H225="","Unmatched GL",IF(AND(K225&lt;=Tol_Amount,L225&lt;=Tol_Days),"Matched",IF(M225&gt;Tol_NearPct,"Near Match","Unmatched GL"))))</f>
        <v/>
      </c>
    </row>
    <row r="226">
      <c r="A226" s="13">
        <f>IF(GL_CLEAN!A226="","",GL_CLEAN!A226)</f>
        <v/>
      </c>
      <c r="B226" s="10">
        <f>IF(A226="","",GL_CLEAN!B226)</f>
        <v/>
      </c>
      <c r="C226" s="11">
        <f>IF(A226="","",GL_CLEAN!C226)</f>
        <v/>
      </c>
      <c r="D226" s="14">
        <f>IF(A226="","",GL_CLEAN!H226)</f>
        <v/>
      </c>
      <c r="E226" s="14">
        <f>IF(A226="","",GL_CLEAN!I226)</f>
        <v/>
      </c>
      <c r="F226" s="11">
        <f>IF(A226="","",GL_CLEAN!J226)</f>
        <v/>
      </c>
      <c r="G226" s="11">
        <f>IF(A226="","",IF(F226="OUT","DR","CR"))</f>
        <v/>
      </c>
      <c r="H226" s="11">
        <f>IF(A226="","",IFERROR(INDEX(BANK_CLEAN!$A$2:$A$1001,MATCH(MINIFS(BANK_CLEAN!$J$2:$J$1001,BANK_CLEAN!$H$2:$H$1001,G226,BANK_CLEAN!$L$2:$L$1001,""),BANK_CLEAN!$J$2:$J$1001,0)),""))</f>
        <v/>
      </c>
      <c r="I226" s="10">
        <f>IF(H226="","",INDEX(BANK_CLEAN!$B$2:$B$1001,H226))</f>
        <v/>
      </c>
      <c r="J226" s="14">
        <f>IF(H226="","",IF(F226="OUT",INDEX(BANK_CLEAN!$F$2:$F$1001,H226),INDEX(BANK_CLEAN!$E$2:$E$1001,H226)))</f>
        <v/>
      </c>
      <c r="K226" s="14">
        <f>IF(H226="","",ABS(E226-J226))</f>
        <v/>
      </c>
      <c r="L226" s="11">
        <f>IF(OR(H226="",B226="",I226=""),"",ABS(B226-I226))</f>
        <v/>
      </c>
      <c r="M226" s="15">
        <f>IF(H226="",0,LET(pct,IF(E226&gt;0,K226/E226,1),days,IFERROR(L226,999),100-pct*200-days*3))</f>
        <v/>
      </c>
      <c r="N226" s="11">
        <f>IF(A226="","",IF(H226="","Unmatched GL",IF(AND(K226&lt;=Tol_Amount,L226&lt;=Tol_Days),"Matched",IF(M226&gt;Tol_NearPct,"Near Match","Unmatched GL"))))</f>
        <v/>
      </c>
    </row>
    <row r="227">
      <c r="A227" s="13">
        <f>IF(GL_CLEAN!A227="","",GL_CLEAN!A227)</f>
        <v/>
      </c>
      <c r="B227" s="10">
        <f>IF(A227="","",GL_CLEAN!B227)</f>
        <v/>
      </c>
      <c r="C227" s="11">
        <f>IF(A227="","",GL_CLEAN!C227)</f>
        <v/>
      </c>
      <c r="D227" s="14">
        <f>IF(A227="","",GL_CLEAN!H227)</f>
        <v/>
      </c>
      <c r="E227" s="14">
        <f>IF(A227="","",GL_CLEAN!I227)</f>
        <v/>
      </c>
      <c r="F227" s="11">
        <f>IF(A227="","",GL_CLEAN!J227)</f>
        <v/>
      </c>
      <c r="G227" s="11">
        <f>IF(A227="","",IF(F227="OUT","DR","CR"))</f>
        <v/>
      </c>
      <c r="H227" s="11">
        <f>IF(A227="","",IFERROR(INDEX(BANK_CLEAN!$A$2:$A$1001,MATCH(MINIFS(BANK_CLEAN!$J$2:$J$1001,BANK_CLEAN!$H$2:$H$1001,G227,BANK_CLEAN!$L$2:$L$1001,""),BANK_CLEAN!$J$2:$J$1001,0)),""))</f>
        <v/>
      </c>
      <c r="I227" s="10">
        <f>IF(H227="","",INDEX(BANK_CLEAN!$B$2:$B$1001,H227))</f>
        <v/>
      </c>
      <c r="J227" s="14">
        <f>IF(H227="","",IF(F227="OUT",INDEX(BANK_CLEAN!$F$2:$F$1001,H227),INDEX(BANK_CLEAN!$E$2:$E$1001,H227)))</f>
        <v/>
      </c>
      <c r="K227" s="14">
        <f>IF(H227="","",ABS(E227-J227))</f>
        <v/>
      </c>
      <c r="L227" s="11">
        <f>IF(OR(H227="",B227="",I227=""),"",ABS(B227-I227))</f>
        <v/>
      </c>
      <c r="M227" s="15">
        <f>IF(H227="",0,LET(pct,IF(E227&gt;0,K227/E227,1),days,IFERROR(L227,999),100-pct*200-days*3))</f>
        <v/>
      </c>
      <c r="N227" s="11">
        <f>IF(A227="","",IF(H227="","Unmatched GL",IF(AND(K227&lt;=Tol_Amount,L227&lt;=Tol_Days),"Matched",IF(M227&gt;Tol_NearPct,"Near Match","Unmatched GL"))))</f>
        <v/>
      </c>
    </row>
    <row r="228">
      <c r="A228" s="13">
        <f>IF(GL_CLEAN!A228="","",GL_CLEAN!A228)</f>
        <v/>
      </c>
      <c r="B228" s="10">
        <f>IF(A228="","",GL_CLEAN!B228)</f>
        <v/>
      </c>
      <c r="C228" s="11">
        <f>IF(A228="","",GL_CLEAN!C228)</f>
        <v/>
      </c>
      <c r="D228" s="14">
        <f>IF(A228="","",GL_CLEAN!H228)</f>
        <v/>
      </c>
      <c r="E228" s="14">
        <f>IF(A228="","",GL_CLEAN!I228)</f>
        <v/>
      </c>
      <c r="F228" s="11">
        <f>IF(A228="","",GL_CLEAN!J228)</f>
        <v/>
      </c>
      <c r="G228" s="11">
        <f>IF(A228="","",IF(F228="OUT","DR","CR"))</f>
        <v/>
      </c>
      <c r="H228" s="11">
        <f>IF(A228="","",IFERROR(INDEX(BANK_CLEAN!$A$2:$A$1001,MATCH(MINIFS(BANK_CLEAN!$J$2:$J$1001,BANK_CLEAN!$H$2:$H$1001,G228,BANK_CLEAN!$L$2:$L$1001,""),BANK_CLEAN!$J$2:$J$1001,0)),""))</f>
        <v/>
      </c>
      <c r="I228" s="10">
        <f>IF(H228="","",INDEX(BANK_CLEAN!$B$2:$B$1001,H228))</f>
        <v/>
      </c>
      <c r="J228" s="14">
        <f>IF(H228="","",IF(F228="OUT",INDEX(BANK_CLEAN!$F$2:$F$1001,H228),INDEX(BANK_CLEAN!$E$2:$E$1001,H228)))</f>
        <v/>
      </c>
      <c r="K228" s="14">
        <f>IF(H228="","",ABS(E228-J228))</f>
        <v/>
      </c>
      <c r="L228" s="11">
        <f>IF(OR(H228="",B228="",I228=""),"",ABS(B228-I228))</f>
        <v/>
      </c>
      <c r="M228" s="15">
        <f>IF(H228="",0,LET(pct,IF(E228&gt;0,K228/E228,1),days,IFERROR(L228,999),100-pct*200-days*3))</f>
        <v/>
      </c>
      <c r="N228" s="11">
        <f>IF(A228="","",IF(H228="","Unmatched GL",IF(AND(K228&lt;=Tol_Amount,L228&lt;=Tol_Days),"Matched",IF(M228&gt;Tol_NearPct,"Near Match","Unmatched GL"))))</f>
        <v/>
      </c>
    </row>
    <row r="229">
      <c r="A229" s="13">
        <f>IF(GL_CLEAN!A229="","",GL_CLEAN!A229)</f>
        <v/>
      </c>
      <c r="B229" s="10">
        <f>IF(A229="","",GL_CLEAN!B229)</f>
        <v/>
      </c>
      <c r="C229" s="11">
        <f>IF(A229="","",GL_CLEAN!C229)</f>
        <v/>
      </c>
      <c r="D229" s="14">
        <f>IF(A229="","",GL_CLEAN!H229)</f>
        <v/>
      </c>
      <c r="E229" s="14">
        <f>IF(A229="","",GL_CLEAN!I229)</f>
        <v/>
      </c>
      <c r="F229" s="11">
        <f>IF(A229="","",GL_CLEAN!J229)</f>
        <v/>
      </c>
      <c r="G229" s="11">
        <f>IF(A229="","",IF(F229="OUT","DR","CR"))</f>
        <v/>
      </c>
      <c r="H229" s="11">
        <f>IF(A229="","",IFERROR(INDEX(BANK_CLEAN!$A$2:$A$1001,MATCH(MINIFS(BANK_CLEAN!$J$2:$J$1001,BANK_CLEAN!$H$2:$H$1001,G229,BANK_CLEAN!$L$2:$L$1001,""),BANK_CLEAN!$J$2:$J$1001,0)),""))</f>
        <v/>
      </c>
      <c r="I229" s="10">
        <f>IF(H229="","",INDEX(BANK_CLEAN!$B$2:$B$1001,H229))</f>
        <v/>
      </c>
      <c r="J229" s="14">
        <f>IF(H229="","",IF(F229="OUT",INDEX(BANK_CLEAN!$F$2:$F$1001,H229),INDEX(BANK_CLEAN!$E$2:$E$1001,H229)))</f>
        <v/>
      </c>
      <c r="K229" s="14">
        <f>IF(H229="","",ABS(E229-J229))</f>
        <v/>
      </c>
      <c r="L229" s="11">
        <f>IF(OR(H229="",B229="",I229=""),"",ABS(B229-I229))</f>
        <v/>
      </c>
      <c r="M229" s="15">
        <f>IF(H229="",0,LET(pct,IF(E229&gt;0,K229/E229,1),days,IFERROR(L229,999),100-pct*200-days*3))</f>
        <v/>
      </c>
      <c r="N229" s="11">
        <f>IF(A229="","",IF(H229="","Unmatched GL",IF(AND(K229&lt;=Tol_Amount,L229&lt;=Tol_Days),"Matched",IF(M229&gt;Tol_NearPct,"Near Match","Unmatched GL"))))</f>
        <v/>
      </c>
    </row>
    <row r="230">
      <c r="A230" s="13">
        <f>IF(GL_CLEAN!A230="","",GL_CLEAN!A230)</f>
        <v/>
      </c>
      <c r="B230" s="10">
        <f>IF(A230="","",GL_CLEAN!B230)</f>
        <v/>
      </c>
      <c r="C230" s="11">
        <f>IF(A230="","",GL_CLEAN!C230)</f>
        <v/>
      </c>
      <c r="D230" s="14">
        <f>IF(A230="","",GL_CLEAN!H230)</f>
        <v/>
      </c>
      <c r="E230" s="14">
        <f>IF(A230="","",GL_CLEAN!I230)</f>
        <v/>
      </c>
      <c r="F230" s="11">
        <f>IF(A230="","",GL_CLEAN!J230)</f>
        <v/>
      </c>
      <c r="G230" s="11">
        <f>IF(A230="","",IF(F230="OUT","DR","CR"))</f>
        <v/>
      </c>
      <c r="H230" s="11">
        <f>IF(A230="","",IFERROR(INDEX(BANK_CLEAN!$A$2:$A$1001,MATCH(MINIFS(BANK_CLEAN!$J$2:$J$1001,BANK_CLEAN!$H$2:$H$1001,G230,BANK_CLEAN!$L$2:$L$1001,""),BANK_CLEAN!$J$2:$J$1001,0)),""))</f>
        <v/>
      </c>
      <c r="I230" s="10">
        <f>IF(H230="","",INDEX(BANK_CLEAN!$B$2:$B$1001,H230))</f>
        <v/>
      </c>
      <c r="J230" s="14">
        <f>IF(H230="","",IF(F230="OUT",INDEX(BANK_CLEAN!$F$2:$F$1001,H230),INDEX(BANK_CLEAN!$E$2:$E$1001,H230)))</f>
        <v/>
      </c>
      <c r="K230" s="14">
        <f>IF(H230="","",ABS(E230-J230))</f>
        <v/>
      </c>
      <c r="L230" s="11">
        <f>IF(OR(H230="",B230="",I230=""),"",ABS(B230-I230))</f>
        <v/>
      </c>
      <c r="M230" s="15">
        <f>IF(H230="",0,LET(pct,IF(E230&gt;0,K230/E230,1),days,IFERROR(L230,999),100-pct*200-days*3))</f>
        <v/>
      </c>
      <c r="N230" s="11">
        <f>IF(A230="","",IF(H230="","Unmatched GL",IF(AND(K230&lt;=Tol_Amount,L230&lt;=Tol_Days),"Matched",IF(M230&gt;Tol_NearPct,"Near Match","Unmatched GL"))))</f>
        <v/>
      </c>
    </row>
    <row r="231">
      <c r="A231" s="13">
        <f>IF(GL_CLEAN!A231="","",GL_CLEAN!A231)</f>
        <v/>
      </c>
      <c r="B231" s="10">
        <f>IF(A231="","",GL_CLEAN!B231)</f>
        <v/>
      </c>
      <c r="C231" s="11">
        <f>IF(A231="","",GL_CLEAN!C231)</f>
        <v/>
      </c>
      <c r="D231" s="14">
        <f>IF(A231="","",GL_CLEAN!H231)</f>
        <v/>
      </c>
      <c r="E231" s="14">
        <f>IF(A231="","",GL_CLEAN!I231)</f>
        <v/>
      </c>
      <c r="F231" s="11">
        <f>IF(A231="","",GL_CLEAN!J231)</f>
        <v/>
      </c>
      <c r="G231" s="11">
        <f>IF(A231="","",IF(F231="OUT","DR","CR"))</f>
        <v/>
      </c>
      <c r="H231" s="11">
        <f>IF(A231="","",IFERROR(INDEX(BANK_CLEAN!$A$2:$A$1001,MATCH(MINIFS(BANK_CLEAN!$J$2:$J$1001,BANK_CLEAN!$H$2:$H$1001,G231,BANK_CLEAN!$L$2:$L$1001,""),BANK_CLEAN!$J$2:$J$1001,0)),""))</f>
        <v/>
      </c>
      <c r="I231" s="10">
        <f>IF(H231="","",INDEX(BANK_CLEAN!$B$2:$B$1001,H231))</f>
        <v/>
      </c>
      <c r="J231" s="14">
        <f>IF(H231="","",IF(F231="OUT",INDEX(BANK_CLEAN!$F$2:$F$1001,H231),INDEX(BANK_CLEAN!$E$2:$E$1001,H231)))</f>
        <v/>
      </c>
      <c r="K231" s="14">
        <f>IF(H231="","",ABS(E231-J231))</f>
        <v/>
      </c>
      <c r="L231" s="11">
        <f>IF(OR(H231="",B231="",I231=""),"",ABS(B231-I231))</f>
        <v/>
      </c>
      <c r="M231" s="15">
        <f>IF(H231="",0,LET(pct,IF(E231&gt;0,K231/E231,1),days,IFERROR(L231,999),100-pct*200-days*3))</f>
        <v/>
      </c>
      <c r="N231" s="11">
        <f>IF(A231="","",IF(H231="","Unmatched GL",IF(AND(K231&lt;=Tol_Amount,L231&lt;=Tol_Days),"Matched",IF(M231&gt;Tol_NearPct,"Near Match","Unmatched GL"))))</f>
        <v/>
      </c>
    </row>
    <row r="232">
      <c r="A232" s="13">
        <f>IF(GL_CLEAN!A232="","",GL_CLEAN!A232)</f>
        <v/>
      </c>
      <c r="B232" s="10">
        <f>IF(A232="","",GL_CLEAN!B232)</f>
        <v/>
      </c>
      <c r="C232" s="11">
        <f>IF(A232="","",GL_CLEAN!C232)</f>
        <v/>
      </c>
      <c r="D232" s="14">
        <f>IF(A232="","",GL_CLEAN!H232)</f>
        <v/>
      </c>
      <c r="E232" s="14">
        <f>IF(A232="","",GL_CLEAN!I232)</f>
        <v/>
      </c>
      <c r="F232" s="11">
        <f>IF(A232="","",GL_CLEAN!J232)</f>
        <v/>
      </c>
      <c r="G232" s="11">
        <f>IF(A232="","",IF(F232="OUT","DR","CR"))</f>
        <v/>
      </c>
      <c r="H232" s="11">
        <f>IF(A232="","",IFERROR(INDEX(BANK_CLEAN!$A$2:$A$1001,MATCH(MINIFS(BANK_CLEAN!$J$2:$J$1001,BANK_CLEAN!$H$2:$H$1001,G232,BANK_CLEAN!$L$2:$L$1001,""),BANK_CLEAN!$J$2:$J$1001,0)),""))</f>
        <v/>
      </c>
      <c r="I232" s="10">
        <f>IF(H232="","",INDEX(BANK_CLEAN!$B$2:$B$1001,H232))</f>
        <v/>
      </c>
      <c r="J232" s="14">
        <f>IF(H232="","",IF(F232="OUT",INDEX(BANK_CLEAN!$F$2:$F$1001,H232),INDEX(BANK_CLEAN!$E$2:$E$1001,H232)))</f>
        <v/>
      </c>
      <c r="K232" s="14">
        <f>IF(H232="","",ABS(E232-J232))</f>
        <v/>
      </c>
      <c r="L232" s="11">
        <f>IF(OR(H232="",B232="",I232=""),"",ABS(B232-I232))</f>
        <v/>
      </c>
      <c r="M232" s="15">
        <f>IF(H232="",0,LET(pct,IF(E232&gt;0,K232/E232,1),days,IFERROR(L232,999),100-pct*200-days*3))</f>
        <v/>
      </c>
      <c r="N232" s="11">
        <f>IF(A232="","",IF(H232="","Unmatched GL",IF(AND(K232&lt;=Tol_Amount,L232&lt;=Tol_Days),"Matched",IF(M232&gt;Tol_NearPct,"Near Match","Unmatched GL"))))</f>
        <v/>
      </c>
    </row>
    <row r="233">
      <c r="A233" s="13">
        <f>IF(GL_CLEAN!A233="","",GL_CLEAN!A233)</f>
        <v/>
      </c>
      <c r="B233" s="10">
        <f>IF(A233="","",GL_CLEAN!B233)</f>
        <v/>
      </c>
      <c r="C233" s="11">
        <f>IF(A233="","",GL_CLEAN!C233)</f>
        <v/>
      </c>
      <c r="D233" s="14">
        <f>IF(A233="","",GL_CLEAN!H233)</f>
        <v/>
      </c>
      <c r="E233" s="14">
        <f>IF(A233="","",GL_CLEAN!I233)</f>
        <v/>
      </c>
      <c r="F233" s="11">
        <f>IF(A233="","",GL_CLEAN!J233)</f>
        <v/>
      </c>
      <c r="G233" s="11">
        <f>IF(A233="","",IF(F233="OUT","DR","CR"))</f>
        <v/>
      </c>
      <c r="H233" s="11">
        <f>IF(A233="","",IFERROR(INDEX(BANK_CLEAN!$A$2:$A$1001,MATCH(MINIFS(BANK_CLEAN!$J$2:$J$1001,BANK_CLEAN!$H$2:$H$1001,G233,BANK_CLEAN!$L$2:$L$1001,""),BANK_CLEAN!$J$2:$J$1001,0)),""))</f>
        <v/>
      </c>
      <c r="I233" s="10">
        <f>IF(H233="","",INDEX(BANK_CLEAN!$B$2:$B$1001,H233))</f>
        <v/>
      </c>
      <c r="J233" s="14">
        <f>IF(H233="","",IF(F233="OUT",INDEX(BANK_CLEAN!$F$2:$F$1001,H233),INDEX(BANK_CLEAN!$E$2:$E$1001,H233)))</f>
        <v/>
      </c>
      <c r="K233" s="14">
        <f>IF(H233="","",ABS(E233-J233))</f>
        <v/>
      </c>
      <c r="L233" s="11">
        <f>IF(OR(H233="",B233="",I233=""),"",ABS(B233-I233))</f>
        <v/>
      </c>
      <c r="M233" s="15">
        <f>IF(H233="",0,LET(pct,IF(E233&gt;0,K233/E233,1),days,IFERROR(L233,999),100-pct*200-days*3))</f>
        <v/>
      </c>
      <c r="N233" s="11">
        <f>IF(A233="","",IF(H233="","Unmatched GL",IF(AND(K233&lt;=Tol_Amount,L233&lt;=Tol_Days),"Matched",IF(M233&gt;Tol_NearPct,"Near Match","Unmatched GL"))))</f>
        <v/>
      </c>
    </row>
    <row r="234">
      <c r="A234" s="13">
        <f>IF(GL_CLEAN!A234="","",GL_CLEAN!A234)</f>
        <v/>
      </c>
      <c r="B234" s="10">
        <f>IF(A234="","",GL_CLEAN!B234)</f>
        <v/>
      </c>
      <c r="C234" s="11">
        <f>IF(A234="","",GL_CLEAN!C234)</f>
        <v/>
      </c>
      <c r="D234" s="14">
        <f>IF(A234="","",GL_CLEAN!H234)</f>
        <v/>
      </c>
      <c r="E234" s="14">
        <f>IF(A234="","",GL_CLEAN!I234)</f>
        <v/>
      </c>
      <c r="F234" s="11">
        <f>IF(A234="","",GL_CLEAN!J234)</f>
        <v/>
      </c>
      <c r="G234" s="11">
        <f>IF(A234="","",IF(F234="OUT","DR","CR"))</f>
        <v/>
      </c>
      <c r="H234" s="11">
        <f>IF(A234="","",IFERROR(INDEX(BANK_CLEAN!$A$2:$A$1001,MATCH(MINIFS(BANK_CLEAN!$J$2:$J$1001,BANK_CLEAN!$H$2:$H$1001,G234,BANK_CLEAN!$L$2:$L$1001,""),BANK_CLEAN!$J$2:$J$1001,0)),""))</f>
        <v/>
      </c>
      <c r="I234" s="10">
        <f>IF(H234="","",INDEX(BANK_CLEAN!$B$2:$B$1001,H234))</f>
        <v/>
      </c>
      <c r="J234" s="14">
        <f>IF(H234="","",IF(F234="OUT",INDEX(BANK_CLEAN!$F$2:$F$1001,H234),INDEX(BANK_CLEAN!$E$2:$E$1001,H234)))</f>
        <v/>
      </c>
      <c r="K234" s="14">
        <f>IF(H234="","",ABS(E234-J234))</f>
        <v/>
      </c>
      <c r="L234" s="11">
        <f>IF(OR(H234="",B234="",I234=""),"",ABS(B234-I234))</f>
        <v/>
      </c>
      <c r="M234" s="15">
        <f>IF(H234="",0,LET(pct,IF(E234&gt;0,K234/E234,1),days,IFERROR(L234,999),100-pct*200-days*3))</f>
        <v/>
      </c>
      <c r="N234" s="11">
        <f>IF(A234="","",IF(H234="","Unmatched GL",IF(AND(K234&lt;=Tol_Amount,L234&lt;=Tol_Days),"Matched",IF(M234&gt;Tol_NearPct,"Near Match","Unmatched GL"))))</f>
        <v/>
      </c>
    </row>
    <row r="235">
      <c r="A235" s="13">
        <f>IF(GL_CLEAN!A235="","",GL_CLEAN!A235)</f>
        <v/>
      </c>
      <c r="B235" s="10">
        <f>IF(A235="","",GL_CLEAN!B235)</f>
        <v/>
      </c>
      <c r="C235" s="11">
        <f>IF(A235="","",GL_CLEAN!C235)</f>
        <v/>
      </c>
      <c r="D235" s="14">
        <f>IF(A235="","",GL_CLEAN!H235)</f>
        <v/>
      </c>
      <c r="E235" s="14">
        <f>IF(A235="","",GL_CLEAN!I235)</f>
        <v/>
      </c>
      <c r="F235" s="11">
        <f>IF(A235="","",GL_CLEAN!J235)</f>
        <v/>
      </c>
      <c r="G235" s="11">
        <f>IF(A235="","",IF(F235="OUT","DR","CR"))</f>
        <v/>
      </c>
      <c r="H235" s="11">
        <f>IF(A235="","",IFERROR(INDEX(BANK_CLEAN!$A$2:$A$1001,MATCH(MINIFS(BANK_CLEAN!$J$2:$J$1001,BANK_CLEAN!$H$2:$H$1001,G235,BANK_CLEAN!$L$2:$L$1001,""),BANK_CLEAN!$J$2:$J$1001,0)),""))</f>
        <v/>
      </c>
      <c r="I235" s="10">
        <f>IF(H235="","",INDEX(BANK_CLEAN!$B$2:$B$1001,H235))</f>
        <v/>
      </c>
      <c r="J235" s="14">
        <f>IF(H235="","",IF(F235="OUT",INDEX(BANK_CLEAN!$F$2:$F$1001,H235),INDEX(BANK_CLEAN!$E$2:$E$1001,H235)))</f>
        <v/>
      </c>
      <c r="K235" s="14">
        <f>IF(H235="","",ABS(E235-J235))</f>
        <v/>
      </c>
      <c r="L235" s="11">
        <f>IF(OR(H235="",B235="",I235=""),"",ABS(B235-I235))</f>
        <v/>
      </c>
      <c r="M235" s="15">
        <f>IF(H235="",0,LET(pct,IF(E235&gt;0,K235/E235,1),days,IFERROR(L235,999),100-pct*200-days*3))</f>
        <v/>
      </c>
      <c r="N235" s="11">
        <f>IF(A235="","",IF(H235="","Unmatched GL",IF(AND(K235&lt;=Tol_Amount,L235&lt;=Tol_Days),"Matched",IF(M235&gt;Tol_NearPct,"Near Match","Unmatched GL"))))</f>
        <v/>
      </c>
    </row>
    <row r="236">
      <c r="A236" s="13">
        <f>IF(GL_CLEAN!A236="","",GL_CLEAN!A236)</f>
        <v/>
      </c>
      <c r="B236" s="10">
        <f>IF(A236="","",GL_CLEAN!B236)</f>
        <v/>
      </c>
      <c r="C236" s="11">
        <f>IF(A236="","",GL_CLEAN!C236)</f>
        <v/>
      </c>
      <c r="D236" s="14">
        <f>IF(A236="","",GL_CLEAN!H236)</f>
        <v/>
      </c>
      <c r="E236" s="14">
        <f>IF(A236="","",GL_CLEAN!I236)</f>
        <v/>
      </c>
      <c r="F236" s="11">
        <f>IF(A236="","",GL_CLEAN!J236)</f>
        <v/>
      </c>
      <c r="G236" s="11">
        <f>IF(A236="","",IF(F236="OUT","DR","CR"))</f>
        <v/>
      </c>
      <c r="H236" s="11">
        <f>IF(A236="","",IFERROR(INDEX(BANK_CLEAN!$A$2:$A$1001,MATCH(MINIFS(BANK_CLEAN!$J$2:$J$1001,BANK_CLEAN!$H$2:$H$1001,G236,BANK_CLEAN!$L$2:$L$1001,""),BANK_CLEAN!$J$2:$J$1001,0)),""))</f>
        <v/>
      </c>
      <c r="I236" s="10">
        <f>IF(H236="","",INDEX(BANK_CLEAN!$B$2:$B$1001,H236))</f>
        <v/>
      </c>
      <c r="J236" s="14">
        <f>IF(H236="","",IF(F236="OUT",INDEX(BANK_CLEAN!$F$2:$F$1001,H236),INDEX(BANK_CLEAN!$E$2:$E$1001,H236)))</f>
        <v/>
      </c>
      <c r="K236" s="14">
        <f>IF(H236="","",ABS(E236-J236))</f>
        <v/>
      </c>
      <c r="L236" s="11">
        <f>IF(OR(H236="",B236="",I236=""),"",ABS(B236-I236))</f>
        <v/>
      </c>
      <c r="M236" s="15">
        <f>IF(H236="",0,LET(pct,IF(E236&gt;0,K236/E236,1),days,IFERROR(L236,999),100-pct*200-days*3))</f>
        <v/>
      </c>
      <c r="N236" s="11">
        <f>IF(A236="","",IF(H236="","Unmatched GL",IF(AND(K236&lt;=Tol_Amount,L236&lt;=Tol_Days),"Matched",IF(M236&gt;Tol_NearPct,"Near Match","Unmatched GL"))))</f>
        <v/>
      </c>
    </row>
    <row r="237">
      <c r="A237" s="13">
        <f>IF(GL_CLEAN!A237="","",GL_CLEAN!A237)</f>
        <v/>
      </c>
      <c r="B237" s="10">
        <f>IF(A237="","",GL_CLEAN!B237)</f>
        <v/>
      </c>
      <c r="C237" s="11">
        <f>IF(A237="","",GL_CLEAN!C237)</f>
        <v/>
      </c>
      <c r="D237" s="14">
        <f>IF(A237="","",GL_CLEAN!H237)</f>
        <v/>
      </c>
      <c r="E237" s="14">
        <f>IF(A237="","",GL_CLEAN!I237)</f>
        <v/>
      </c>
      <c r="F237" s="11">
        <f>IF(A237="","",GL_CLEAN!J237)</f>
        <v/>
      </c>
      <c r="G237" s="11">
        <f>IF(A237="","",IF(F237="OUT","DR","CR"))</f>
        <v/>
      </c>
      <c r="H237" s="11">
        <f>IF(A237="","",IFERROR(INDEX(BANK_CLEAN!$A$2:$A$1001,MATCH(MINIFS(BANK_CLEAN!$J$2:$J$1001,BANK_CLEAN!$H$2:$H$1001,G237,BANK_CLEAN!$L$2:$L$1001,""),BANK_CLEAN!$J$2:$J$1001,0)),""))</f>
        <v/>
      </c>
      <c r="I237" s="10">
        <f>IF(H237="","",INDEX(BANK_CLEAN!$B$2:$B$1001,H237))</f>
        <v/>
      </c>
      <c r="J237" s="14">
        <f>IF(H237="","",IF(F237="OUT",INDEX(BANK_CLEAN!$F$2:$F$1001,H237),INDEX(BANK_CLEAN!$E$2:$E$1001,H237)))</f>
        <v/>
      </c>
      <c r="K237" s="14">
        <f>IF(H237="","",ABS(E237-J237))</f>
        <v/>
      </c>
      <c r="L237" s="11">
        <f>IF(OR(H237="",B237="",I237=""),"",ABS(B237-I237))</f>
        <v/>
      </c>
      <c r="M237" s="15">
        <f>IF(H237="",0,LET(pct,IF(E237&gt;0,K237/E237,1),days,IFERROR(L237,999),100-pct*200-days*3))</f>
        <v/>
      </c>
      <c r="N237" s="11">
        <f>IF(A237="","",IF(H237="","Unmatched GL",IF(AND(K237&lt;=Tol_Amount,L237&lt;=Tol_Days),"Matched",IF(M237&gt;Tol_NearPct,"Near Match","Unmatched GL"))))</f>
        <v/>
      </c>
    </row>
    <row r="238">
      <c r="A238" s="13">
        <f>IF(GL_CLEAN!A238="","",GL_CLEAN!A238)</f>
        <v/>
      </c>
      <c r="B238" s="10">
        <f>IF(A238="","",GL_CLEAN!B238)</f>
        <v/>
      </c>
      <c r="C238" s="11">
        <f>IF(A238="","",GL_CLEAN!C238)</f>
        <v/>
      </c>
      <c r="D238" s="14">
        <f>IF(A238="","",GL_CLEAN!H238)</f>
        <v/>
      </c>
      <c r="E238" s="14">
        <f>IF(A238="","",GL_CLEAN!I238)</f>
        <v/>
      </c>
      <c r="F238" s="11">
        <f>IF(A238="","",GL_CLEAN!J238)</f>
        <v/>
      </c>
      <c r="G238" s="11">
        <f>IF(A238="","",IF(F238="OUT","DR","CR"))</f>
        <v/>
      </c>
      <c r="H238" s="11">
        <f>IF(A238="","",IFERROR(INDEX(BANK_CLEAN!$A$2:$A$1001,MATCH(MINIFS(BANK_CLEAN!$J$2:$J$1001,BANK_CLEAN!$H$2:$H$1001,G238,BANK_CLEAN!$L$2:$L$1001,""),BANK_CLEAN!$J$2:$J$1001,0)),""))</f>
        <v/>
      </c>
      <c r="I238" s="10">
        <f>IF(H238="","",INDEX(BANK_CLEAN!$B$2:$B$1001,H238))</f>
        <v/>
      </c>
      <c r="J238" s="14">
        <f>IF(H238="","",IF(F238="OUT",INDEX(BANK_CLEAN!$F$2:$F$1001,H238),INDEX(BANK_CLEAN!$E$2:$E$1001,H238)))</f>
        <v/>
      </c>
      <c r="K238" s="14">
        <f>IF(H238="","",ABS(E238-J238))</f>
        <v/>
      </c>
      <c r="L238" s="11">
        <f>IF(OR(H238="",B238="",I238=""),"",ABS(B238-I238))</f>
        <v/>
      </c>
      <c r="M238" s="15">
        <f>IF(H238="",0,LET(pct,IF(E238&gt;0,K238/E238,1),days,IFERROR(L238,999),100-pct*200-days*3))</f>
        <v/>
      </c>
      <c r="N238" s="11">
        <f>IF(A238="","",IF(H238="","Unmatched GL",IF(AND(K238&lt;=Tol_Amount,L238&lt;=Tol_Days),"Matched",IF(M238&gt;Tol_NearPct,"Near Match","Unmatched GL"))))</f>
        <v/>
      </c>
    </row>
    <row r="239">
      <c r="A239" s="13">
        <f>IF(GL_CLEAN!A239="","",GL_CLEAN!A239)</f>
        <v/>
      </c>
      <c r="B239" s="10">
        <f>IF(A239="","",GL_CLEAN!B239)</f>
        <v/>
      </c>
      <c r="C239" s="11">
        <f>IF(A239="","",GL_CLEAN!C239)</f>
        <v/>
      </c>
      <c r="D239" s="14">
        <f>IF(A239="","",GL_CLEAN!H239)</f>
        <v/>
      </c>
      <c r="E239" s="14">
        <f>IF(A239="","",GL_CLEAN!I239)</f>
        <v/>
      </c>
      <c r="F239" s="11">
        <f>IF(A239="","",GL_CLEAN!J239)</f>
        <v/>
      </c>
      <c r="G239" s="11">
        <f>IF(A239="","",IF(F239="OUT","DR","CR"))</f>
        <v/>
      </c>
      <c r="H239" s="11">
        <f>IF(A239="","",IFERROR(INDEX(BANK_CLEAN!$A$2:$A$1001,MATCH(MINIFS(BANK_CLEAN!$J$2:$J$1001,BANK_CLEAN!$H$2:$H$1001,G239,BANK_CLEAN!$L$2:$L$1001,""),BANK_CLEAN!$J$2:$J$1001,0)),""))</f>
        <v/>
      </c>
      <c r="I239" s="10">
        <f>IF(H239="","",INDEX(BANK_CLEAN!$B$2:$B$1001,H239))</f>
        <v/>
      </c>
      <c r="J239" s="14">
        <f>IF(H239="","",IF(F239="OUT",INDEX(BANK_CLEAN!$F$2:$F$1001,H239),INDEX(BANK_CLEAN!$E$2:$E$1001,H239)))</f>
        <v/>
      </c>
      <c r="K239" s="14">
        <f>IF(H239="","",ABS(E239-J239))</f>
        <v/>
      </c>
      <c r="L239" s="11">
        <f>IF(OR(H239="",B239="",I239=""),"",ABS(B239-I239))</f>
        <v/>
      </c>
      <c r="M239" s="15">
        <f>IF(H239="",0,LET(pct,IF(E239&gt;0,K239/E239,1),days,IFERROR(L239,999),100-pct*200-days*3))</f>
        <v/>
      </c>
      <c r="N239" s="11">
        <f>IF(A239="","",IF(H239="","Unmatched GL",IF(AND(K239&lt;=Tol_Amount,L239&lt;=Tol_Days),"Matched",IF(M239&gt;Tol_NearPct,"Near Match","Unmatched GL"))))</f>
        <v/>
      </c>
    </row>
    <row r="240">
      <c r="A240" s="13">
        <f>IF(GL_CLEAN!A240="","",GL_CLEAN!A240)</f>
        <v/>
      </c>
      <c r="B240" s="10">
        <f>IF(A240="","",GL_CLEAN!B240)</f>
        <v/>
      </c>
      <c r="C240" s="11">
        <f>IF(A240="","",GL_CLEAN!C240)</f>
        <v/>
      </c>
      <c r="D240" s="14">
        <f>IF(A240="","",GL_CLEAN!H240)</f>
        <v/>
      </c>
      <c r="E240" s="14">
        <f>IF(A240="","",GL_CLEAN!I240)</f>
        <v/>
      </c>
      <c r="F240" s="11">
        <f>IF(A240="","",GL_CLEAN!J240)</f>
        <v/>
      </c>
      <c r="G240" s="11">
        <f>IF(A240="","",IF(F240="OUT","DR","CR"))</f>
        <v/>
      </c>
      <c r="H240" s="11">
        <f>IF(A240="","",IFERROR(INDEX(BANK_CLEAN!$A$2:$A$1001,MATCH(MINIFS(BANK_CLEAN!$J$2:$J$1001,BANK_CLEAN!$H$2:$H$1001,G240,BANK_CLEAN!$L$2:$L$1001,""),BANK_CLEAN!$J$2:$J$1001,0)),""))</f>
        <v/>
      </c>
      <c r="I240" s="10">
        <f>IF(H240="","",INDEX(BANK_CLEAN!$B$2:$B$1001,H240))</f>
        <v/>
      </c>
      <c r="J240" s="14">
        <f>IF(H240="","",IF(F240="OUT",INDEX(BANK_CLEAN!$F$2:$F$1001,H240),INDEX(BANK_CLEAN!$E$2:$E$1001,H240)))</f>
        <v/>
      </c>
      <c r="K240" s="14">
        <f>IF(H240="","",ABS(E240-J240))</f>
        <v/>
      </c>
      <c r="L240" s="11">
        <f>IF(OR(H240="",B240="",I240=""),"",ABS(B240-I240))</f>
        <v/>
      </c>
      <c r="M240" s="15">
        <f>IF(H240="",0,LET(pct,IF(E240&gt;0,K240/E240,1),days,IFERROR(L240,999),100-pct*200-days*3))</f>
        <v/>
      </c>
      <c r="N240" s="11">
        <f>IF(A240="","",IF(H240="","Unmatched GL",IF(AND(K240&lt;=Tol_Amount,L240&lt;=Tol_Days),"Matched",IF(M240&gt;Tol_NearPct,"Near Match","Unmatched GL"))))</f>
        <v/>
      </c>
    </row>
    <row r="241">
      <c r="A241" s="13">
        <f>IF(GL_CLEAN!A241="","",GL_CLEAN!A241)</f>
        <v/>
      </c>
      <c r="B241" s="10">
        <f>IF(A241="","",GL_CLEAN!B241)</f>
        <v/>
      </c>
      <c r="C241" s="11">
        <f>IF(A241="","",GL_CLEAN!C241)</f>
        <v/>
      </c>
      <c r="D241" s="14">
        <f>IF(A241="","",GL_CLEAN!H241)</f>
        <v/>
      </c>
      <c r="E241" s="14">
        <f>IF(A241="","",GL_CLEAN!I241)</f>
        <v/>
      </c>
      <c r="F241" s="11">
        <f>IF(A241="","",GL_CLEAN!J241)</f>
        <v/>
      </c>
      <c r="G241" s="11">
        <f>IF(A241="","",IF(F241="OUT","DR","CR"))</f>
        <v/>
      </c>
      <c r="H241" s="11">
        <f>IF(A241="","",IFERROR(INDEX(BANK_CLEAN!$A$2:$A$1001,MATCH(MINIFS(BANK_CLEAN!$J$2:$J$1001,BANK_CLEAN!$H$2:$H$1001,G241,BANK_CLEAN!$L$2:$L$1001,""),BANK_CLEAN!$J$2:$J$1001,0)),""))</f>
        <v/>
      </c>
      <c r="I241" s="10">
        <f>IF(H241="","",INDEX(BANK_CLEAN!$B$2:$B$1001,H241))</f>
        <v/>
      </c>
      <c r="J241" s="14">
        <f>IF(H241="","",IF(F241="OUT",INDEX(BANK_CLEAN!$F$2:$F$1001,H241),INDEX(BANK_CLEAN!$E$2:$E$1001,H241)))</f>
        <v/>
      </c>
      <c r="K241" s="14">
        <f>IF(H241="","",ABS(E241-J241))</f>
        <v/>
      </c>
      <c r="L241" s="11">
        <f>IF(OR(H241="",B241="",I241=""),"",ABS(B241-I241))</f>
        <v/>
      </c>
      <c r="M241" s="15">
        <f>IF(H241="",0,LET(pct,IF(E241&gt;0,K241/E241,1),days,IFERROR(L241,999),100-pct*200-days*3))</f>
        <v/>
      </c>
      <c r="N241" s="11">
        <f>IF(A241="","",IF(H241="","Unmatched GL",IF(AND(K241&lt;=Tol_Amount,L241&lt;=Tol_Days),"Matched",IF(M241&gt;Tol_NearPct,"Near Match","Unmatched GL"))))</f>
        <v/>
      </c>
    </row>
    <row r="242">
      <c r="A242" s="13">
        <f>IF(GL_CLEAN!A242="","",GL_CLEAN!A242)</f>
        <v/>
      </c>
      <c r="B242" s="10">
        <f>IF(A242="","",GL_CLEAN!B242)</f>
        <v/>
      </c>
      <c r="C242" s="11">
        <f>IF(A242="","",GL_CLEAN!C242)</f>
        <v/>
      </c>
      <c r="D242" s="14">
        <f>IF(A242="","",GL_CLEAN!H242)</f>
        <v/>
      </c>
      <c r="E242" s="14">
        <f>IF(A242="","",GL_CLEAN!I242)</f>
        <v/>
      </c>
      <c r="F242" s="11">
        <f>IF(A242="","",GL_CLEAN!J242)</f>
        <v/>
      </c>
      <c r="G242" s="11">
        <f>IF(A242="","",IF(F242="OUT","DR","CR"))</f>
        <v/>
      </c>
      <c r="H242" s="11">
        <f>IF(A242="","",IFERROR(INDEX(BANK_CLEAN!$A$2:$A$1001,MATCH(MINIFS(BANK_CLEAN!$J$2:$J$1001,BANK_CLEAN!$H$2:$H$1001,G242,BANK_CLEAN!$L$2:$L$1001,""),BANK_CLEAN!$J$2:$J$1001,0)),""))</f>
        <v/>
      </c>
      <c r="I242" s="10">
        <f>IF(H242="","",INDEX(BANK_CLEAN!$B$2:$B$1001,H242))</f>
        <v/>
      </c>
      <c r="J242" s="14">
        <f>IF(H242="","",IF(F242="OUT",INDEX(BANK_CLEAN!$F$2:$F$1001,H242),INDEX(BANK_CLEAN!$E$2:$E$1001,H242)))</f>
        <v/>
      </c>
      <c r="K242" s="14">
        <f>IF(H242="","",ABS(E242-J242))</f>
        <v/>
      </c>
      <c r="L242" s="11">
        <f>IF(OR(H242="",B242="",I242=""),"",ABS(B242-I242))</f>
        <v/>
      </c>
      <c r="M242" s="15">
        <f>IF(H242="",0,LET(pct,IF(E242&gt;0,K242/E242,1),days,IFERROR(L242,999),100-pct*200-days*3))</f>
        <v/>
      </c>
      <c r="N242" s="11">
        <f>IF(A242="","",IF(H242="","Unmatched GL",IF(AND(K242&lt;=Tol_Amount,L242&lt;=Tol_Days),"Matched",IF(M242&gt;Tol_NearPct,"Near Match","Unmatched GL"))))</f>
        <v/>
      </c>
    </row>
    <row r="243">
      <c r="A243" s="13">
        <f>IF(GL_CLEAN!A243="","",GL_CLEAN!A243)</f>
        <v/>
      </c>
      <c r="B243" s="10">
        <f>IF(A243="","",GL_CLEAN!B243)</f>
        <v/>
      </c>
      <c r="C243" s="11">
        <f>IF(A243="","",GL_CLEAN!C243)</f>
        <v/>
      </c>
      <c r="D243" s="14">
        <f>IF(A243="","",GL_CLEAN!H243)</f>
        <v/>
      </c>
      <c r="E243" s="14">
        <f>IF(A243="","",GL_CLEAN!I243)</f>
        <v/>
      </c>
      <c r="F243" s="11">
        <f>IF(A243="","",GL_CLEAN!J243)</f>
        <v/>
      </c>
      <c r="G243" s="11">
        <f>IF(A243="","",IF(F243="OUT","DR","CR"))</f>
        <v/>
      </c>
      <c r="H243" s="11">
        <f>IF(A243="","",IFERROR(INDEX(BANK_CLEAN!$A$2:$A$1001,MATCH(MINIFS(BANK_CLEAN!$J$2:$J$1001,BANK_CLEAN!$H$2:$H$1001,G243,BANK_CLEAN!$L$2:$L$1001,""),BANK_CLEAN!$J$2:$J$1001,0)),""))</f>
        <v/>
      </c>
      <c r="I243" s="10">
        <f>IF(H243="","",INDEX(BANK_CLEAN!$B$2:$B$1001,H243))</f>
        <v/>
      </c>
      <c r="J243" s="14">
        <f>IF(H243="","",IF(F243="OUT",INDEX(BANK_CLEAN!$F$2:$F$1001,H243),INDEX(BANK_CLEAN!$E$2:$E$1001,H243)))</f>
        <v/>
      </c>
      <c r="K243" s="14">
        <f>IF(H243="","",ABS(E243-J243))</f>
        <v/>
      </c>
      <c r="L243" s="11">
        <f>IF(OR(H243="",B243="",I243=""),"",ABS(B243-I243))</f>
        <v/>
      </c>
      <c r="M243" s="15">
        <f>IF(H243="",0,LET(pct,IF(E243&gt;0,K243/E243,1),days,IFERROR(L243,999),100-pct*200-days*3))</f>
        <v/>
      </c>
      <c r="N243" s="11">
        <f>IF(A243="","",IF(H243="","Unmatched GL",IF(AND(K243&lt;=Tol_Amount,L243&lt;=Tol_Days),"Matched",IF(M243&gt;Tol_NearPct,"Near Match","Unmatched GL"))))</f>
        <v/>
      </c>
    </row>
    <row r="244">
      <c r="A244" s="13">
        <f>IF(GL_CLEAN!A244="","",GL_CLEAN!A244)</f>
        <v/>
      </c>
      <c r="B244" s="10">
        <f>IF(A244="","",GL_CLEAN!B244)</f>
        <v/>
      </c>
      <c r="C244" s="11">
        <f>IF(A244="","",GL_CLEAN!C244)</f>
        <v/>
      </c>
      <c r="D244" s="14">
        <f>IF(A244="","",GL_CLEAN!H244)</f>
        <v/>
      </c>
      <c r="E244" s="14">
        <f>IF(A244="","",GL_CLEAN!I244)</f>
        <v/>
      </c>
      <c r="F244" s="11">
        <f>IF(A244="","",GL_CLEAN!J244)</f>
        <v/>
      </c>
      <c r="G244" s="11">
        <f>IF(A244="","",IF(F244="OUT","DR","CR"))</f>
        <v/>
      </c>
      <c r="H244" s="11">
        <f>IF(A244="","",IFERROR(INDEX(BANK_CLEAN!$A$2:$A$1001,MATCH(MINIFS(BANK_CLEAN!$J$2:$J$1001,BANK_CLEAN!$H$2:$H$1001,G244,BANK_CLEAN!$L$2:$L$1001,""),BANK_CLEAN!$J$2:$J$1001,0)),""))</f>
        <v/>
      </c>
      <c r="I244" s="10">
        <f>IF(H244="","",INDEX(BANK_CLEAN!$B$2:$B$1001,H244))</f>
        <v/>
      </c>
      <c r="J244" s="14">
        <f>IF(H244="","",IF(F244="OUT",INDEX(BANK_CLEAN!$F$2:$F$1001,H244),INDEX(BANK_CLEAN!$E$2:$E$1001,H244)))</f>
        <v/>
      </c>
      <c r="K244" s="14">
        <f>IF(H244="","",ABS(E244-J244))</f>
        <v/>
      </c>
      <c r="L244" s="11">
        <f>IF(OR(H244="",B244="",I244=""),"",ABS(B244-I244))</f>
        <v/>
      </c>
      <c r="M244" s="15">
        <f>IF(H244="",0,LET(pct,IF(E244&gt;0,K244/E244,1),days,IFERROR(L244,999),100-pct*200-days*3))</f>
        <v/>
      </c>
      <c r="N244" s="11">
        <f>IF(A244="","",IF(H244="","Unmatched GL",IF(AND(K244&lt;=Tol_Amount,L244&lt;=Tol_Days),"Matched",IF(M244&gt;Tol_NearPct,"Near Match","Unmatched GL"))))</f>
        <v/>
      </c>
    </row>
    <row r="245">
      <c r="A245" s="13">
        <f>IF(GL_CLEAN!A245="","",GL_CLEAN!A245)</f>
        <v/>
      </c>
      <c r="B245" s="10">
        <f>IF(A245="","",GL_CLEAN!B245)</f>
        <v/>
      </c>
      <c r="C245" s="11">
        <f>IF(A245="","",GL_CLEAN!C245)</f>
        <v/>
      </c>
      <c r="D245" s="14">
        <f>IF(A245="","",GL_CLEAN!H245)</f>
        <v/>
      </c>
      <c r="E245" s="14">
        <f>IF(A245="","",GL_CLEAN!I245)</f>
        <v/>
      </c>
      <c r="F245" s="11">
        <f>IF(A245="","",GL_CLEAN!J245)</f>
        <v/>
      </c>
      <c r="G245" s="11">
        <f>IF(A245="","",IF(F245="OUT","DR","CR"))</f>
        <v/>
      </c>
      <c r="H245" s="11">
        <f>IF(A245="","",IFERROR(INDEX(BANK_CLEAN!$A$2:$A$1001,MATCH(MINIFS(BANK_CLEAN!$J$2:$J$1001,BANK_CLEAN!$H$2:$H$1001,G245,BANK_CLEAN!$L$2:$L$1001,""),BANK_CLEAN!$J$2:$J$1001,0)),""))</f>
        <v/>
      </c>
      <c r="I245" s="10">
        <f>IF(H245="","",INDEX(BANK_CLEAN!$B$2:$B$1001,H245))</f>
        <v/>
      </c>
      <c r="J245" s="14">
        <f>IF(H245="","",IF(F245="OUT",INDEX(BANK_CLEAN!$F$2:$F$1001,H245),INDEX(BANK_CLEAN!$E$2:$E$1001,H245)))</f>
        <v/>
      </c>
      <c r="K245" s="14">
        <f>IF(H245="","",ABS(E245-J245))</f>
        <v/>
      </c>
      <c r="L245" s="11">
        <f>IF(OR(H245="",B245="",I245=""),"",ABS(B245-I245))</f>
        <v/>
      </c>
      <c r="M245" s="15">
        <f>IF(H245="",0,LET(pct,IF(E245&gt;0,K245/E245,1),days,IFERROR(L245,999),100-pct*200-days*3))</f>
        <v/>
      </c>
      <c r="N245" s="11">
        <f>IF(A245="","",IF(H245="","Unmatched GL",IF(AND(K245&lt;=Tol_Amount,L245&lt;=Tol_Days),"Matched",IF(M245&gt;Tol_NearPct,"Near Match","Unmatched GL"))))</f>
        <v/>
      </c>
    </row>
    <row r="246">
      <c r="A246" s="13">
        <f>IF(GL_CLEAN!A246="","",GL_CLEAN!A246)</f>
        <v/>
      </c>
      <c r="B246" s="10">
        <f>IF(A246="","",GL_CLEAN!B246)</f>
        <v/>
      </c>
      <c r="C246" s="11">
        <f>IF(A246="","",GL_CLEAN!C246)</f>
        <v/>
      </c>
      <c r="D246" s="14">
        <f>IF(A246="","",GL_CLEAN!H246)</f>
        <v/>
      </c>
      <c r="E246" s="14">
        <f>IF(A246="","",GL_CLEAN!I246)</f>
        <v/>
      </c>
      <c r="F246" s="11">
        <f>IF(A246="","",GL_CLEAN!J246)</f>
        <v/>
      </c>
      <c r="G246" s="11">
        <f>IF(A246="","",IF(F246="OUT","DR","CR"))</f>
        <v/>
      </c>
      <c r="H246" s="11">
        <f>IF(A246="","",IFERROR(INDEX(BANK_CLEAN!$A$2:$A$1001,MATCH(MINIFS(BANK_CLEAN!$J$2:$J$1001,BANK_CLEAN!$H$2:$H$1001,G246,BANK_CLEAN!$L$2:$L$1001,""),BANK_CLEAN!$J$2:$J$1001,0)),""))</f>
        <v/>
      </c>
      <c r="I246" s="10">
        <f>IF(H246="","",INDEX(BANK_CLEAN!$B$2:$B$1001,H246))</f>
        <v/>
      </c>
      <c r="J246" s="14">
        <f>IF(H246="","",IF(F246="OUT",INDEX(BANK_CLEAN!$F$2:$F$1001,H246),INDEX(BANK_CLEAN!$E$2:$E$1001,H246)))</f>
        <v/>
      </c>
      <c r="K246" s="14">
        <f>IF(H246="","",ABS(E246-J246))</f>
        <v/>
      </c>
      <c r="L246" s="11">
        <f>IF(OR(H246="",B246="",I246=""),"",ABS(B246-I246))</f>
        <v/>
      </c>
      <c r="M246" s="15">
        <f>IF(H246="",0,LET(pct,IF(E246&gt;0,K246/E246,1),days,IFERROR(L246,999),100-pct*200-days*3))</f>
        <v/>
      </c>
      <c r="N246" s="11">
        <f>IF(A246="","",IF(H246="","Unmatched GL",IF(AND(K246&lt;=Tol_Amount,L246&lt;=Tol_Days),"Matched",IF(M246&gt;Tol_NearPct,"Near Match","Unmatched GL"))))</f>
        <v/>
      </c>
    </row>
    <row r="247">
      <c r="A247" s="13">
        <f>IF(GL_CLEAN!A247="","",GL_CLEAN!A247)</f>
        <v/>
      </c>
      <c r="B247" s="10">
        <f>IF(A247="","",GL_CLEAN!B247)</f>
        <v/>
      </c>
      <c r="C247" s="11">
        <f>IF(A247="","",GL_CLEAN!C247)</f>
        <v/>
      </c>
      <c r="D247" s="14">
        <f>IF(A247="","",GL_CLEAN!H247)</f>
        <v/>
      </c>
      <c r="E247" s="14">
        <f>IF(A247="","",GL_CLEAN!I247)</f>
        <v/>
      </c>
      <c r="F247" s="11">
        <f>IF(A247="","",GL_CLEAN!J247)</f>
        <v/>
      </c>
      <c r="G247" s="11">
        <f>IF(A247="","",IF(F247="OUT","DR","CR"))</f>
        <v/>
      </c>
      <c r="H247" s="11">
        <f>IF(A247="","",IFERROR(INDEX(BANK_CLEAN!$A$2:$A$1001,MATCH(MINIFS(BANK_CLEAN!$J$2:$J$1001,BANK_CLEAN!$H$2:$H$1001,G247,BANK_CLEAN!$L$2:$L$1001,""),BANK_CLEAN!$J$2:$J$1001,0)),""))</f>
        <v/>
      </c>
      <c r="I247" s="10">
        <f>IF(H247="","",INDEX(BANK_CLEAN!$B$2:$B$1001,H247))</f>
        <v/>
      </c>
      <c r="J247" s="14">
        <f>IF(H247="","",IF(F247="OUT",INDEX(BANK_CLEAN!$F$2:$F$1001,H247),INDEX(BANK_CLEAN!$E$2:$E$1001,H247)))</f>
        <v/>
      </c>
      <c r="K247" s="14">
        <f>IF(H247="","",ABS(E247-J247))</f>
        <v/>
      </c>
      <c r="L247" s="11">
        <f>IF(OR(H247="",B247="",I247=""),"",ABS(B247-I247))</f>
        <v/>
      </c>
      <c r="M247" s="15">
        <f>IF(H247="",0,LET(pct,IF(E247&gt;0,K247/E247,1),days,IFERROR(L247,999),100-pct*200-days*3))</f>
        <v/>
      </c>
      <c r="N247" s="11">
        <f>IF(A247="","",IF(H247="","Unmatched GL",IF(AND(K247&lt;=Tol_Amount,L247&lt;=Tol_Days),"Matched",IF(M247&gt;Tol_NearPct,"Near Match","Unmatched GL"))))</f>
        <v/>
      </c>
    </row>
    <row r="248">
      <c r="A248" s="13">
        <f>IF(GL_CLEAN!A248="","",GL_CLEAN!A248)</f>
        <v/>
      </c>
      <c r="B248" s="10">
        <f>IF(A248="","",GL_CLEAN!B248)</f>
        <v/>
      </c>
      <c r="C248" s="11">
        <f>IF(A248="","",GL_CLEAN!C248)</f>
        <v/>
      </c>
      <c r="D248" s="14">
        <f>IF(A248="","",GL_CLEAN!H248)</f>
        <v/>
      </c>
      <c r="E248" s="14">
        <f>IF(A248="","",GL_CLEAN!I248)</f>
        <v/>
      </c>
      <c r="F248" s="11">
        <f>IF(A248="","",GL_CLEAN!J248)</f>
        <v/>
      </c>
      <c r="G248" s="11">
        <f>IF(A248="","",IF(F248="OUT","DR","CR"))</f>
        <v/>
      </c>
      <c r="H248" s="11">
        <f>IF(A248="","",IFERROR(INDEX(BANK_CLEAN!$A$2:$A$1001,MATCH(MINIFS(BANK_CLEAN!$J$2:$J$1001,BANK_CLEAN!$H$2:$H$1001,G248,BANK_CLEAN!$L$2:$L$1001,""),BANK_CLEAN!$J$2:$J$1001,0)),""))</f>
        <v/>
      </c>
      <c r="I248" s="10">
        <f>IF(H248="","",INDEX(BANK_CLEAN!$B$2:$B$1001,H248))</f>
        <v/>
      </c>
      <c r="J248" s="14">
        <f>IF(H248="","",IF(F248="OUT",INDEX(BANK_CLEAN!$F$2:$F$1001,H248),INDEX(BANK_CLEAN!$E$2:$E$1001,H248)))</f>
        <v/>
      </c>
      <c r="K248" s="14">
        <f>IF(H248="","",ABS(E248-J248))</f>
        <v/>
      </c>
      <c r="L248" s="11">
        <f>IF(OR(H248="",B248="",I248=""),"",ABS(B248-I248))</f>
        <v/>
      </c>
      <c r="M248" s="15">
        <f>IF(H248="",0,LET(pct,IF(E248&gt;0,K248/E248,1),days,IFERROR(L248,999),100-pct*200-days*3))</f>
        <v/>
      </c>
      <c r="N248" s="11">
        <f>IF(A248="","",IF(H248="","Unmatched GL",IF(AND(K248&lt;=Tol_Amount,L248&lt;=Tol_Days),"Matched",IF(M248&gt;Tol_NearPct,"Near Match","Unmatched GL"))))</f>
        <v/>
      </c>
    </row>
    <row r="249">
      <c r="A249" s="13">
        <f>IF(GL_CLEAN!A249="","",GL_CLEAN!A249)</f>
        <v/>
      </c>
      <c r="B249" s="10">
        <f>IF(A249="","",GL_CLEAN!B249)</f>
        <v/>
      </c>
      <c r="C249" s="11">
        <f>IF(A249="","",GL_CLEAN!C249)</f>
        <v/>
      </c>
      <c r="D249" s="14">
        <f>IF(A249="","",GL_CLEAN!H249)</f>
        <v/>
      </c>
      <c r="E249" s="14">
        <f>IF(A249="","",GL_CLEAN!I249)</f>
        <v/>
      </c>
      <c r="F249" s="11">
        <f>IF(A249="","",GL_CLEAN!J249)</f>
        <v/>
      </c>
      <c r="G249" s="11">
        <f>IF(A249="","",IF(F249="OUT","DR","CR"))</f>
        <v/>
      </c>
      <c r="H249" s="11">
        <f>IF(A249="","",IFERROR(INDEX(BANK_CLEAN!$A$2:$A$1001,MATCH(MINIFS(BANK_CLEAN!$J$2:$J$1001,BANK_CLEAN!$H$2:$H$1001,G249,BANK_CLEAN!$L$2:$L$1001,""),BANK_CLEAN!$J$2:$J$1001,0)),""))</f>
        <v/>
      </c>
      <c r="I249" s="10">
        <f>IF(H249="","",INDEX(BANK_CLEAN!$B$2:$B$1001,H249))</f>
        <v/>
      </c>
      <c r="J249" s="14">
        <f>IF(H249="","",IF(F249="OUT",INDEX(BANK_CLEAN!$F$2:$F$1001,H249),INDEX(BANK_CLEAN!$E$2:$E$1001,H249)))</f>
        <v/>
      </c>
      <c r="K249" s="14">
        <f>IF(H249="","",ABS(E249-J249))</f>
        <v/>
      </c>
      <c r="L249" s="11">
        <f>IF(OR(H249="",B249="",I249=""),"",ABS(B249-I249))</f>
        <v/>
      </c>
      <c r="M249" s="15">
        <f>IF(H249="",0,LET(pct,IF(E249&gt;0,K249/E249,1),days,IFERROR(L249,999),100-pct*200-days*3))</f>
        <v/>
      </c>
      <c r="N249" s="11">
        <f>IF(A249="","",IF(H249="","Unmatched GL",IF(AND(K249&lt;=Tol_Amount,L249&lt;=Tol_Days),"Matched",IF(M249&gt;Tol_NearPct,"Near Match","Unmatched GL"))))</f>
        <v/>
      </c>
    </row>
    <row r="250">
      <c r="A250" s="13">
        <f>IF(GL_CLEAN!A250="","",GL_CLEAN!A250)</f>
        <v/>
      </c>
      <c r="B250" s="10">
        <f>IF(A250="","",GL_CLEAN!B250)</f>
        <v/>
      </c>
      <c r="C250" s="11">
        <f>IF(A250="","",GL_CLEAN!C250)</f>
        <v/>
      </c>
      <c r="D250" s="14">
        <f>IF(A250="","",GL_CLEAN!H250)</f>
        <v/>
      </c>
      <c r="E250" s="14">
        <f>IF(A250="","",GL_CLEAN!I250)</f>
        <v/>
      </c>
      <c r="F250" s="11">
        <f>IF(A250="","",GL_CLEAN!J250)</f>
        <v/>
      </c>
      <c r="G250" s="11">
        <f>IF(A250="","",IF(F250="OUT","DR","CR"))</f>
        <v/>
      </c>
      <c r="H250" s="11">
        <f>IF(A250="","",IFERROR(INDEX(BANK_CLEAN!$A$2:$A$1001,MATCH(MINIFS(BANK_CLEAN!$J$2:$J$1001,BANK_CLEAN!$H$2:$H$1001,G250,BANK_CLEAN!$L$2:$L$1001,""),BANK_CLEAN!$J$2:$J$1001,0)),""))</f>
        <v/>
      </c>
      <c r="I250" s="10">
        <f>IF(H250="","",INDEX(BANK_CLEAN!$B$2:$B$1001,H250))</f>
        <v/>
      </c>
      <c r="J250" s="14">
        <f>IF(H250="","",IF(F250="OUT",INDEX(BANK_CLEAN!$F$2:$F$1001,H250),INDEX(BANK_CLEAN!$E$2:$E$1001,H250)))</f>
        <v/>
      </c>
      <c r="K250" s="14">
        <f>IF(H250="","",ABS(E250-J250))</f>
        <v/>
      </c>
      <c r="L250" s="11">
        <f>IF(OR(H250="",B250="",I250=""),"",ABS(B250-I250))</f>
        <v/>
      </c>
      <c r="M250" s="15">
        <f>IF(H250="",0,LET(pct,IF(E250&gt;0,K250/E250,1),days,IFERROR(L250,999),100-pct*200-days*3))</f>
        <v/>
      </c>
      <c r="N250" s="11">
        <f>IF(A250="","",IF(H250="","Unmatched GL",IF(AND(K250&lt;=Tol_Amount,L250&lt;=Tol_Days),"Matched",IF(M250&gt;Tol_NearPct,"Near Match","Unmatched GL"))))</f>
        <v/>
      </c>
    </row>
    <row r="251">
      <c r="A251" s="13">
        <f>IF(GL_CLEAN!A251="","",GL_CLEAN!A251)</f>
        <v/>
      </c>
      <c r="B251" s="10">
        <f>IF(A251="","",GL_CLEAN!B251)</f>
        <v/>
      </c>
      <c r="C251" s="11">
        <f>IF(A251="","",GL_CLEAN!C251)</f>
        <v/>
      </c>
      <c r="D251" s="14">
        <f>IF(A251="","",GL_CLEAN!H251)</f>
        <v/>
      </c>
      <c r="E251" s="14">
        <f>IF(A251="","",GL_CLEAN!I251)</f>
        <v/>
      </c>
      <c r="F251" s="11">
        <f>IF(A251="","",GL_CLEAN!J251)</f>
        <v/>
      </c>
      <c r="G251" s="11">
        <f>IF(A251="","",IF(F251="OUT","DR","CR"))</f>
        <v/>
      </c>
      <c r="H251" s="11">
        <f>IF(A251="","",IFERROR(INDEX(BANK_CLEAN!$A$2:$A$1001,MATCH(MINIFS(BANK_CLEAN!$J$2:$J$1001,BANK_CLEAN!$H$2:$H$1001,G251,BANK_CLEAN!$L$2:$L$1001,""),BANK_CLEAN!$J$2:$J$1001,0)),""))</f>
        <v/>
      </c>
      <c r="I251" s="10">
        <f>IF(H251="","",INDEX(BANK_CLEAN!$B$2:$B$1001,H251))</f>
        <v/>
      </c>
      <c r="J251" s="14">
        <f>IF(H251="","",IF(F251="OUT",INDEX(BANK_CLEAN!$F$2:$F$1001,H251),INDEX(BANK_CLEAN!$E$2:$E$1001,H251)))</f>
        <v/>
      </c>
      <c r="K251" s="14">
        <f>IF(H251="","",ABS(E251-J251))</f>
        <v/>
      </c>
      <c r="L251" s="11">
        <f>IF(OR(H251="",B251="",I251=""),"",ABS(B251-I251))</f>
        <v/>
      </c>
      <c r="M251" s="15">
        <f>IF(H251="",0,LET(pct,IF(E251&gt;0,K251/E251,1),days,IFERROR(L251,999),100-pct*200-days*3))</f>
        <v/>
      </c>
      <c r="N251" s="11">
        <f>IF(A251="","",IF(H251="","Unmatched GL",IF(AND(K251&lt;=Tol_Amount,L251&lt;=Tol_Days),"Matched",IF(M251&gt;Tol_NearPct,"Near Match","Unmatched GL"))))</f>
        <v/>
      </c>
    </row>
    <row r="252">
      <c r="A252" s="13">
        <f>IF(GL_CLEAN!A252="","",GL_CLEAN!A252)</f>
        <v/>
      </c>
      <c r="B252" s="10">
        <f>IF(A252="","",GL_CLEAN!B252)</f>
        <v/>
      </c>
      <c r="C252" s="11">
        <f>IF(A252="","",GL_CLEAN!C252)</f>
        <v/>
      </c>
      <c r="D252" s="14">
        <f>IF(A252="","",GL_CLEAN!H252)</f>
        <v/>
      </c>
      <c r="E252" s="14">
        <f>IF(A252="","",GL_CLEAN!I252)</f>
        <v/>
      </c>
      <c r="F252" s="11">
        <f>IF(A252="","",GL_CLEAN!J252)</f>
        <v/>
      </c>
      <c r="G252" s="11">
        <f>IF(A252="","",IF(F252="OUT","DR","CR"))</f>
        <v/>
      </c>
      <c r="H252" s="11">
        <f>IF(A252="","",IFERROR(INDEX(BANK_CLEAN!$A$2:$A$1001,MATCH(MINIFS(BANK_CLEAN!$J$2:$J$1001,BANK_CLEAN!$H$2:$H$1001,G252,BANK_CLEAN!$L$2:$L$1001,""),BANK_CLEAN!$J$2:$J$1001,0)),""))</f>
        <v/>
      </c>
      <c r="I252" s="10">
        <f>IF(H252="","",INDEX(BANK_CLEAN!$B$2:$B$1001,H252))</f>
        <v/>
      </c>
      <c r="J252" s="14">
        <f>IF(H252="","",IF(F252="OUT",INDEX(BANK_CLEAN!$F$2:$F$1001,H252),INDEX(BANK_CLEAN!$E$2:$E$1001,H252)))</f>
        <v/>
      </c>
      <c r="K252" s="14">
        <f>IF(H252="","",ABS(E252-J252))</f>
        <v/>
      </c>
      <c r="L252" s="11">
        <f>IF(OR(H252="",B252="",I252=""),"",ABS(B252-I252))</f>
        <v/>
      </c>
      <c r="M252" s="15">
        <f>IF(H252="",0,LET(pct,IF(E252&gt;0,K252/E252,1),days,IFERROR(L252,999),100-pct*200-days*3))</f>
        <v/>
      </c>
      <c r="N252" s="11">
        <f>IF(A252="","",IF(H252="","Unmatched GL",IF(AND(K252&lt;=Tol_Amount,L252&lt;=Tol_Days),"Matched",IF(M252&gt;Tol_NearPct,"Near Match","Unmatched GL"))))</f>
        <v/>
      </c>
    </row>
    <row r="253">
      <c r="A253" s="13">
        <f>IF(GL_CLEAN!A253="","",GL_CLEAN!A253)</f>
        <v/>
      </c>
      <c r="B253" s="10">
        <f>IF(A253="","",GL_CLEAN!B253)</f>
        <v/>
      </c>
      <c r="C253" s="11">
        <f>IF(A253="","",GL_CLEAN!C253)</f>
        <v/>
      </c>
      <c r="D253" s="14">
        <f>IF(A253="","",GL_CLEAN!H253)</f>
        <v/>
      </c>
      <c r="E253" s="14">
        <f>IF(A253="","",GL_CLEAN!I253)</f>
        <v/>
      </c>
      <c r="F253" s="11">
        <f>IF(A253="","",GL_CLEAN!J253)</f>
        <v/>
      </c>
      <c r="G253" s="11">
        <f>IF(A253="","",IF(F253="OUT","DR","CR"))</f>
        <v/>
      </c>
      <c r="H253" s="11">
        <f>IF(A253="","",IFERROR(INDEX(BANK_CLEAN!$A$2:$A$1001,MATCH(MINIFS(BANK_CLEAN!$J$2:$J$1001,BANK_CLEAN!$H$2:$H$1001,G253,BANK_CLEAN!$L$2:$L$1001,""),BANK_CLEAN!$J$2:$J$1001,0)),""))</f>
        <v/>
      </c>
      <c r="I253" s="10">
        <f>IF(H253="","",INDEX(BANK_CLEAN!$B$2:$B$1001,H253))</f>
        <v/>
      </c>
      <c r="J253" s="14">
        <f>IF(H253="","",IF(F253="OUT",INDEX(BANK_CLEAN!$F$2:$F$1001,H253),INDEX(BANK_CLEAN!$E$2:$E$1001,H253)))</f>
        <v/>
      </c>
      <c r="K253" s="14">
        <f>IF(H253="","",ABS(E253-J253))</f>
        <v/>
      </c>
      <c r="L253" s="11">
        <f>IF(OR(H253="",B253="",I253=""),"",ABS(B253-I253))</f>
        <v/>
      </c>
      <c r="M253" s="15">
        <f>IF(H253="",0,LET(pct,IF(E253&gt;0,K253/E253,1),days,IFERROR(L253,999),100-pct*200-days*3))</f>
        <v/>
      </c>
      <c r="N253" s="11">
        <f>IF(A253="","",IF(H253="","Unmatched GL",IF(AND(K253&lt;=Tol_Amount,L253&lt;=Tol_Days),"Matched",IF(M253&gt;Tol_NearPct,"Near Match","Unmatched GL"))))</f>
        <v/>
      </c>
    </row>
    <row r="254">
      <c r="A254" s="13">
        <f>IF(GL_CLEAN!A254="","",GL_CLEAN!A254)</f>
        <v/>
      </c>
      <c r="B254" s="10">
        <f>IF(A254="","",GL_CLEAN!B254)</f>
        <v/>
      </c>
      <c r="C254" s="11">
        <f>IF(A254="","",GL_CLEAN!C254)</f>
        <v/>
      </c>
      <c r="D254" s="14">
        <f>IF(A254="","",GL_CLEAN!H254)</f>
        <v/>
      </c>
      <c r="E254" s="14">
        <f>IF(A254="","",GL_CLEAN!I254)</f>
        <v/>
      </c>
      <c r="F254" s="11">
        <f>IF(A254="","",GL_CLEAN!J254)</f>
        <v/>
      </c>
      <c r="G254" s="11">
        <f>IF(A254="","",IF(F254="OUT","DR","CR"))</f>
        <v/>
      </c>
      <c r="H254" s="11">
        <f>IF(A254="","",IFERROR(INDEX(BANK_CLEAN!$A$2:$A$1001,MATCH(MINIFS(BANK_CLEAN!$J$2:$J$1001,BANK_CLEAN!$H$2:$H$1001,G254,BANK_CLEAN!$L$2:$L$1001,""),BANK_CLEAN!$J$2:$J$1001,0)),""))</f>
        <v/>
      </c>
      <c r="I254" s="10">
        <f>IF(H254="","",INDEX(BANK_CLEAN!$B$2:$B$1001,H254))</f>
        <v/>
      </c>
      <c r="J254" s="14">
        <f>IF(H254="","",IF(F254="OUT",INDEX(BANK_CLEAN!$F$2:$F$1001,H254),INDEX(BANK_CLEAN!$E$2:$E$1001,H254)))</f>
        <v/>
      </c>
      <c r="K254" s="14">
        <f>IF(H254="","",ABS(E254-J254))</f>
        <v/>
      </c>
      <c r="L254" s="11">
        <f>IF(OR(H254="",B254="",I254=""),"",ABS(B254-I254))</f>
        <v/>
      </c>
      <c r="M254" s="15">
        <f>IF(H254="",0,LET(pct,IF(E254&gt;0,K254/E254,1),days,IFERROR(L254,999),100-pct*200-days*3))</f>
        <v/>
      </c>
      <c r="N254" s="11">
        <f>IF(A254="","",IF(H254="","Unmatched GL",IF(AND(K254&lt;=Tol_Amount,L254&lt;=Tol_Days),"Matched",IF(M254&gt;Tol_NearPct,"Near Match","Unmatched GL"))))</f>
        <v/>
      </c>
    </row>
    <row r="255">
      <c r="A255" s="13">
        <f>IF(GL_CLEAN!A255="","",GL_CLEAN!A255)</f>
        <v/>
      </c>
      <c r="B255" s="10">
        <f>IF(A255="","",GL_CLEAN!B255)</f>
        <v/>
      </c>
      <c r="C255" s="11">
        <f>IF(A255="","",GL_CLEAN!C255)</f>
        <v/>
      </c>
      <c r="D255" s="14">
        <f>IF(A255="","",GL_CLEAN!H255)</f>
        <v/>
      </c>
      <c r="E255" s="14">
        <f>IF(A255="","",GL_CLEAN!I255)</f>
        <v/>
      </c>
      <c r="F255" s="11">
        <f>IF(A255="","",GL_CLEAN!J255)</f>
        <v/>
      </c>
      <c r="G255" s="11">
        <f>IF(A255="","",IF(F255="OUT","DR","CR"))</f>
        <v/>
      </c>
      <c r="H255" s="11">
        <f>IF(A255="","",IFERROR(INDEX(BANK_CLEAN!$A$2:$A$1001,MATCH(MINIFS(BANK_CLEAN!$J$2:$J$1001,BANK_CLEAN!$H$2:$H$1001,G255,BANK_CLEAN!$L$2:$L$1001,""),BANK_CLEAN!$J$2:$J$1001,0)),""))</f>
        <v/>
      </c>
      <c r="I255" s="10">
        <f>IF(H255="","",INDEX(BANK_CLEAN!$B$2:$B$1001,H255))</f>
        <v/>
      </c>
      <c r="J255" s="14">
        <f>IF(H255="","",IF(F255="OUT",INDEX(BANK_CLEAN!$F$2:$F$1001,H255),INDEX(BANK_CLEAN!$E$2:$E$1001,H255)))</f>
        <v/>
      </c>
      <c r="K255" s="14">
        <f>IF(H255="","",ABS(E255-J255))</f>
        <v/>
      </c>
      <c r="L255" s="11">
        <f>IF(OR(H255="",B255="",I255=""),"",ABS(B255-I255))</f>
        <v/>
      </c>
      <c r="M255" s="15">
        <f>IF(H255="",0,LET(pct,IF(E255&gt;0,K255/E255,1),days,IFERROR(L255,999),100-pct*200-days*3))</f>
        <v/>
      </c>
      <c r="N255" s="11">
        <f>IF(A255="","",IF(H255="","Unmatched GL",IF(AND(K255&lt;=Tol_Amount,L255&lt;=Tol_Days),"Matched",IF(M255&gt;Tol_NearPct,"Near Match","Unmatched GL"))))</f>
        <v/>
      </c>
    </row>
    <row r="256">
      <c r="A256" s="13">
        <f>IF(GL_CLEAN!A256="","",GL_CLEAN!A256)</f>
        <v/>
      </c>
      <c r="B256" s="10">
        <f>IF(A256="","",GL_CLEAN!B256)</f>
        <v/>
      </c>
      <c r="C256" s="11">
        <f>IF(A256="","",GL_CLEAN!C256)</f>
        <v/>
      </c>
      <c r="D256" s="14">
        <f>IF(A256="","",GL_CLEAN!H256)</f>
        <v/>
      </c>
      <c r="E256" s="14">
        <f>IF(A256="","",GL_CLEAN!I256)</f>
        <v/>
      </c>
      <c r="F256" s="11">
        <f>IF(A256="","",GL_CLEAN!J256)</f>
        <v/>
      </c>
      <c r="G256" s="11">
        <f>IF(A256="","",IF(F256="OUT","DR","CR"))</f>
        <v/>
      </c>
      <c r="H256" s="11">
        <f>IF(A256="","",IFERROR(INDEX(BANK_CLEAN!$A$2:$A$1001,MATCH(MINIFS(BANK_CLEAN!$J$2:$J$1001,BANK_CLEAN!$H$2:$H$1001,G256,BANK_CLEAN!$L$2:$L$1001,""),BANK_CLEAN!$J$2:$J$1001,0)),""))</f>
        <v/>
      </c>
      <c r="I256" s="10">
        <f>IF(H256="","",INDEX(BANK_CLEAN!$B$2:$B$1001,H256))</f>
        <v/>
      </c>
      <c r="J256" s="14">
        <f>IF(H256="","",IF(F256="OUT",INDEX(BANK_CLEAN!$F$2:$F$1001,H256),INDEX(BANK_CLEAN!$E$2:$E$1001,H256)))</f>
        <v/>
      </c>
      <c r="K256" s="14">
        <f>IF(H256="","",ABS(E256-J256))</f>
        <v/>
      </c>
      <c r="L256" s="11">
        <f>IF(OR(H256="",B256="",I256=""),"",ABS(B256-I256))</f>
        <v/>
      </c>
      <c r="M256" s="15">
        <f>IF(H256="",0,LET(pct,IF(E256&gt;0,K256/E256,1),days,IFERROR(L256,999),100-pct*200-days*3))</f>
        <v/>
      </c>
      <c r="N256" s="11">
        <f>IF(A256="","",IF(H256="","Unmatched GL",IF(AND(K256&lt;=Tol_Amount,L256&lt;=Tol_Days),"Matched",IF(M256&gt;Tol_NearPct,"Near Match","Unmatched GL"))))</f>
        <v/>
      </c>
    </row>
    <row r="257">
      <c r="A257" s="13">
        <f>IF(GL_CLEAN!A257="","",GL_CLEAN!A257)</f>
        <v/>
      </c>
      <c r="B257" s="10">
        <f>IF(A257="","",GL_CLEAN!B257)</f>
        <v/>
      </c>
      <c r="C257" s="11">
        <f>IF(A257="","",GL_CLEAN!C257)</f>
        <v/>
      </c>
      <c r="D257" s="14">
        <f>IF(A257="","",GL_CLEAN!H257)</f>
        <v/>
      </c>
      <c r="E257" s="14">
        <f>IF(A257="","",GL_CLEAN!I257)</f>
        <v/>
      </c>
      <c r="F257" s="11">
        <f>IF(A257="","",GL_CLEAN!J257)</f>
        <v/>
      </c>
      <c r="G257" s="11">
        <f>IF(A257="","",IF(F257="OUT","DR","CR"))</f>
        <v/>
      </c>
      <c r="H257" s="11">
        <f>IF(A257="","",IFERROR(INDEX(BANK_CLEAN!$A$2:$A$1001,MATCH(MINIFS(BANK_CLEAN!$J$2:$J$1001,BANK_CLEAN!$H$2:$H$1001,G257,BANK_CLEAN!$L$2:$L$1001,""),BANK_CLEAN!$J$2:$J$1001,0)),""))</f>
        <v/>
      </c>
      <c r="I257" s="10">
        <f>IF(H257="","",INDEX(BANK_CLEAN!$B$2:$B$1001,H257))</f>
        <v/>
      </c>
      <c r="J257" s="14">
        <f>IF(H257="","",IF(F257="OUT",INDEX(BANK_CLEAN!$F$2:$F$1001,H257),INDEX(BANK_CLEAN!$E$2:$E$1001,H257)))</f>
        <v/>
      </c>
      <c r="K257" s="14">
        <f>IF(H257="","",ABS(E257-J257))</f>
        <v/>
      </c>
      <c r="L257" s="11">
        <f>IF(OR(H257="",B257="",I257=""),"",ABS(B257-I257))</f>
        <v/>
      </c>
      <c r="M257" s="15">
        <f>IF(H257="",0,LET(pct,IF(E257&gt;0,K257/E257,1),days,IFERROR(L257,999),100-pct*200-days*3))</f>
        <v/>
      </c>
      <c r="N257" s="11">
        <f>IF(A257="","",IF(H257="","Unmatched GL",IF(AND(K257&lt;=Tol_Amount,L257&lt;=Tol_Days),"Matched",IF(M257&gt;Tol_NearPct,"Near Match","Unmatched GL"))))</f>
        <v/>
      </c>
    </row>
    <row r="258">
      <c r="A258" s="13">
        <f>IF(GL_CLEAN!A258="","",GL_CLEAN!A258)</f>
        <v/>
      </c>
      <c r="B258" s="10">
        <f>IF(A258="","",GL_CLEAN!B258)</f>
        <v/>
      </c>
      <c r="C258" s="11">
        <f>IF(A258="","",GL_CLEAN!C258)</f>
        <v/>
      </c>
      <c r="D258" s="14">
        <f>IF(A258="","",GL_CLEAN!H258)</f>
        <v/>
      </c>
      <c r="E258" s="14">
        <f>IF(A258="","",GL_CLEAN!I258)</f>
        <v/>
      </c>
      <c r="F258" s="11">
        <f>IF(A258="","",GL_CLEAN!J258)</f>
        <v/>
      </c>
      <c r="G258" s="11">
        <f>IF(A258="","",IF(F258="OUT","DR","CR"))</f>
        <v/>
      </c>
      <c r="H258" s="11">
        <f>IF(A258="","",IFERROR(INDEX(BANK_CLEAN!$A$2:$A$1001,MATCH(MINIFS(BANK_CLEAN!$J$2:$J$1001,BANK_CLEAN!$H$2:$H$1001,G258,BANK_CLEAN!$L$2:$L$1001,""),BANK_CLEAN!$J$2:$J$1001,0)),""))</f>
        <v/>
      </c>
      <c r="I258" s="10">
        <f>IF(H258="","",INDEX(BANK_CLEAN!$B$2:$B$1001,H258))</f>
        <v/>
      </c>
      <c r="J258" s="14">
        <f>IF(H258="","",IF(F258="OUT",INDEX(BANK_CLEAN!$F$2:$F$1001,H258),INDEX(BANK_CLEAN!$E$2:$E$1001,H258)))</f>
        <v/>
      </c>
      <c r="K258" s="14">
        <f>IF(H258="","",ABS(E258-J258))</f>
        <v/>
      </c>
      <c r="L258" s="11">
        <f>IF(OR(H258="",B258="",I258=""),"",ABS(B258-I258))</f>
        <v/>
      </c>
      <c r="M258" s="15">
        <f>IF(H258="",0,LET(pct,IF(E258&gt;0,K258/E258,1),days,IFERROR(L258,999),100-pct*200-days*3))</f>
        <v/>
      </c>
      <c r="N258" s="11">
        <f>IF(A258="","",IF(H258="","Unmatched GL",IF(AND(K258&lt;=Tol_Amount,L258&lt;=Tol_Days),"Matched",IF(M258&gt;Tol_NearPct,"Near Match","Unmatched GL"))))</f>
        <v/>
      </c>
    </row>
    <row r="259">
      <c r="A259" s="13">
        <f>IF(GL_CLEAN!A259="","",GL_CLEAN!A259)</f>
        <v/>
      </c>
      <c r="B259" s="10">
        <f>IF(A259="","",GL_CLEAN!B259)</f>
        <v/>
      </c>
      <c r="C259" s="11">
        <f>IF(A259="","",GL_CLEAN!C259)</f>
        <v/>
      </c>
      <c r="D259" s="14">
        <f>IF(A259="","",GL_CLEAN!H259)</f>
        <v/>
      </c>
      <c r="E259" s="14">
        <f>IF(A259="","",GL_CLEAN!I259)</f>
        <v/>
      </c>
      <c r="F259" s="11">
        <f>IF(A259="","",GL_CLEAN!J259)</f>
        <v/>
      </c>
      <c r="G259" s="11">
        <f>IF(A259="","",IF(F259="OUT","DR","CR"))</f>
        <v/>
      </c>
      <c r="H259" s="11">
        <f>IF(A259="","",IFERROR(INDEX(BANK_CLEAN!$A$2:$A$1001,MATCH(MINIFS(BANK_CLEAN!$J$2:$J$1001,BANK_CLEAN!$H$2:$H$1001,G259,BANK_CLEAN!$L$2:$L$1001,""),BANK_CLEAN!$J$2:$J$1001,0)),""))</f>
        <v/>
      </c>
      <c r="I259" s="10">
        <f>IF(H259="","",INDEX(BANK_CLEAN!$B$2:$B$1001,H259))</f>
        <v/>
      </c>
      <c r="J259" s="14">
        <f>IF(H259="","",IF(F259="OUT",INDEX(BANK_CLEAN!$F$2:$F$1001,H259),INDEX(BANK_CLEAN!$E$2:$E$1001,H259)))</f>
        <v/>
      </c>
      <c r="K259" s="14">
        <f>IF(H259="","",ABS(E259-J259))</f>
        <v/>
      </c>
      <c r="L259" s="11">
        <f>IF(OR(H259="",B259="",I259=""),"",ABS(B259-I259))</f>
        <v/>
      </c>
      <c r="M259" s="15">
        <f>IF(H259="",0,LET(pct,IF(E259&gt;0,K259/E259,1),days,IFERROR(L259,999),100-pct*200-days*3))</f>
        <v/>
      </c>
      <c r="N259" s="11">
        <f>IF(A259="","",IF(H259="","Unmatched GL",IF(AND(K259&lt;=Tol_Amount,L259&lt;=Tol_Days),"Matched",IF(M259&gt;Tol_NearPct,"Near Match","Unmatched GL"))))</f>
        <v/>
      </c>
    </row>
    <row r="260">
      <c r="A260" s="13">
        <f>IF(GL_CLEAN!A260="","",GL_CLEAN!A260)</f>
        <v/>
      </c>
      <c r="B260" s="10">
        <f>IF(A260="","",GL_CLEAN!B260)</f>
        <v/>
      </c>
      <c r="C260" s="11">
        <f>IF(A260="","",GL_CLEAN!C260)</f>
        <v/>
      </c>
      <c r="D260" s="14">
        <f>IF(A260="","",GL_CLEAN!H260)</f>
        <v/>
      </c>
      <c r="E260" s="14">
        <f>IF(A260="","",GL_CLEAN!I260)</f>
        <v/>
      </c>
      <c r="F260" s="11">
        <f>IF(A260="","",GL_CLEAN!J260)</f>
        <v/>
      </c>
      <c r="G260" s="11">
        <f>IF(A260="","",IF(F260="OUT","DR","CR"))</f>
        <v/>
      </c>
      <c r="H260" s="11">
        <f>IF(A260="","",IFERROR(INDEX(BANK_CLEAN!$A$2:$A$1001,MATCH(MINIFS(BANK_CLEAN!$J$2:$J$1001,BANK_CLEAN!$H$2:$H$1001,G260,BANK_CLEAN!$L$2:$L$1001,""),BANK_CLEAN!$J$2:$J$1001,0)),""))</f>
        <v/>
      </c>
      <c r="I260" s="10">
        <f>IF(H260="","",INDEX(BANK_CLEAN!$B$2:$B$1001,H260))</f>
        <v/>
      </c>
      <c r="J260" s="14">
        <f>IF(H260="","",IF(F260="OUT",INDEX(BANK_CLEAN!$F$2:$F$1001,H260),INDEX(BANK_CLEAN!$E$2:$E$1001,H260)))</f>
        <v/>
      </c>
      <c r="K260" s="14">
        <f>IF(H260="","",ABS(E260-J260))</f>
        <v/>
      </c>
      <c r="L260" s="11">
        <f>IF(OR(H260="",B260="",I260=""),"",ABS(B260-I260))</f>
        <v/>
      </c>
      <c r="M260" s="15">
        <f>IF(H260="",0,LET(pct,IF(E260&gt;0,K260/E260,1),days,IFERROR(L260,999),100-pct*200-days*3))</f>
        <v/>
      </c>
      <c r="N260" s="11">
        <f>IF(A260="","",IF(H260="","Unmatched GL",IF(AND(K260&lt;=Tol_Amount,L260&lt;=Tol_Days),"Matched",IF(M260&gt;Tol_NearPct,"Near Match","Unmatched GL"))))</f>
        <v/>
      </c>
    </row>
    <row r="261">
      <c r="A261" s="13">
        <f>IF(GL_CLEAN!A261="","",GL_CLEAN!A261)</f>
        <v/>
      </c>
      <c r="B261" s="10">
        <f>IF(A261="","",GL_CLEAN!B261)</f>
        <v/>
      </c>
      <c r="C261" s="11">
        <f>IF(A261="","",GL_CLEAN!C261)</f>
        <v/>
      </c>
      <c r="D261" s="14">
        <f>IF(A261="","",GL_CLEAN!H261)</f>
        <v/>
      </c>
      <c r="E261" s="14">
        <f>IF(A261="","",GL_CLEAN!I261)</f>
        <v/>
      </c>
      <c r="F261" s="11">
        <f>IF(A261="","",GL_CLEAN!J261)</f>
        <v/>
      </c>
      <c r="G261" s="11">
        <f>IF(A261="","",IF(F261="OUT","DR","CR"))</f>
        <v/>
      </c>
      <c r="H261" s="11">
        <f>IF(A261="","",IFERROR(INDEX(BANK_CLEAN!$A$2:$A$1001,MATCH(MINIFS(BANK_CLEAN!$J$2:$J$1001,BANK_CLEAN!$H$2:$H$1001,G261,BANK_CLEAN!$L$2:$L$1001,""),BANK_CLEAN!$J$2:$J$1001,0)),""))</f>
        <v/>
      </c>
      <c r="I261" s="10">
        <f>IF(H261="","",INDEX(BANK_CLEAN!$B$2:$B$1001,H261))</f>
        <v/>
      </c>
      <c r="J261" s="14">
        <f>IF(H261="","",IF(F261="OUT",INDEX(BANK_CLEAN!$F$2:$F$1001,H261),INDEX(BANK_CLEAN!$E$2:$E$1001,H261)))</f>
        <v/>
      </c>
      <c r="K261" s="14">
        <f>IF(H261="","",ABS(E261-J261))</f>
        <v/>
      </c>
      <c r="L261" s="11">
        <f>IF(OR(H261="",B261="",I261=""),"",ABS(B261-I261))</f>
        <v/>
      </c>
      <c r="M261" s="15">
        <f>IF(H261="",0,LET(pct,IF(E261&gt;0,K261/E261,1),days,IFERROR(L261,999),100-pct*200-days*3))</f>
        <v/>
      </c>
      <c r="N261" s="11">
        <f>IF(A261="","",IF(H261="","Unmatched GL",IF(AND(K261&lt;=Tol_Amount,L261&lt;=Tol_Days),"Matched",IF(M261&gt;Tol_NearPct,"Near Match","Unmatched GL"))))</f>
        <v/>
      </c>
    </row>
    <row r="262">
      <c r="A262" s="13">
        <f>IF(GL_CLEAN!A262="","",GL_CLEAN!A262)</f>
        <v/>
      </c>
      <c r="B262" s="10">
        <f>IF(A262="","",GL_CLEAN!B262)</f>
        <v/>
      </c>
      <c r="C262" s="11">
        <f>IF(A262="","",GL_CLEAN!C262)</f>
        <v/>
      </c>
      <c r="D262" s="14">
        <f>IF(A262="","",GL_CLEAN!H262)</f>
        <v/>
      </c>
      <c r="E262" s="14">
        <f>IF(A262="","",GL_CLEAN!I262)</f>
        <v/>
      </c>
      <c r="F262" s="11">
        <f>IF(A262="","",GL_CLEAN!J262)</f>
        <v/>
      </c>
      <c r="G262" s="11">
        <f>IF(A262="","",IF(F262="OUT","DR","CR"))</f>
        <v/>
      </c>
      <c r="H262" s="11">
        <f>IF(A262="","",IFERROR(INDEX(BANK_CLEAN!$A$2:$A$1001,MATCH(MINIFS(BANK_CLEAN!$J$2:$J$1001,BANK_CLEAN!$H$2:$H$1001,G262,BANK_CLEAN!$L$2:$L$1001,""),BANK_CLEAN!$J$2:$J$1001,0)),""))</f>
        <v/>
      </c>
      <c r="I262" s="10">
        <f>IF(H262="","",INDEX(BANK_CLEAN!$B$2:$B$1001,H262))</f>
        <v/>
      </c>
      <c r="J262" s="14">
        <f>IF(H262="","",IF(F262="OUT",INDEX(BANK_CLEAN!$F$2:$F$1001,H262),INDEX(BANK_CLEAN!$E$2:$E$1001,H262)))</f>
        <v/>
      </c>
      <c r="K262" s="14">
        <f>IF(H262="","",ABS(E262-J262))</f>
        <v/>
      </c>
      <c r="L262" s="11">
        <f>IF(OR(H262="",B262="",I262=""),"",ABS(B262-I262))</f>
        <v/>
      </c>
      <c r="M262" s="15">
        <f>IF(H262="",0,LET(pct,IF(E262&gt;0,K262/E262,1),days,IFERROR(L262,999),100-pct*200-days*3))</f>
        <v/>
      </c>
      <c r="N262" s="11">
        <f>IF(A262="","",IF(H262="","Unmatched GL",IF(AND(K262&lt;=Tol_Amount,L262&lt;=Tol_Days),"Matched",IF(M262&gt;Tol_NearPct,"Near Match","Unmatched GL"))))</f>
        <v/>
      </c>
    </row>
    <row r="263">
      <c r="A263" s="13">
        <f>IF(GL_CLEAN!A263="","",GL_CLEAN!A263)</f>
        <v/>
      </c>
      <c r="B263" s="10">
        <f>IF(A263="","",GL_CLEAN!B263)</f>
        <v/>
      </c>
      <c r="C263" s="11">
        <f>IF(A263="","",GL_CLEAN!C263)</f>
        <v/>
      </c>
      <c r="D263" s="14">
        <f>IF(A263="","",GL_CLEAN!H263)</f>
        <v/>
      </c>
      <c r="E263" s="14">
        <f>IF(A263="","",GL_CLEAN!I263)</f>
        <v/>
      </c>
      <c r="F263" s="11">
        <f>IF(A263="","",GL_CLEAN!J263)</f>
        <v/>
      </c>
      <c r="G263" s="11">
        <f>IF(A263="","",IF(F263="OUT","DR","CR"))</f>
        <v/>
      </c>
      <c r="H263" s="11">
        <f>IF(A263="","",IFERROR(INDEX(BANK_CLEAN!$A$2:$A$1001,MATCH(MINIFS(BANK_CLEAN!$J$2:$J$1001,BANK_CLEAN!$H$2:$H$1001,G263,BANK_CLEAN!$L$2:$L$1001,""),BANK_CLEAN!$J$2:$J$1001,0)),""))</f>
        <v/>
      </c>
      <c r="I263" s="10">
        <f>IF(H263="","",INDEX(BANK_CLEAN!$B$2:$B$1001,H263))</f>
        <v/>
      </c>
      <c r="J263" s="14">
        <f>IF(H263="","",IF(F263="OUT",INDEX(BANK_CLEAN!$F$2:$F$1001,H263),INDEX(BANK_CLEAN!$E$2:$E$1001,H263)))</f>
        <v/>
      </c>
      <c r="K263" s="14">
        <f>IF(H263="","",ABS(E263-J263))</f>
        <v/>
      </c>
      <c r="L263" s="11">
        <f>IF(OR(H263="",B263="",I263=""),"",ABS(B263-I263))</f>
        <v/>
      </c>
      <c r="M263" s="15">
        <f>IF(H263="",0,LET(pct,IF(E263&gt;0,K263/E263,1),days,IFERROR(L263,999),100-pct*200-days*3))</f>
        <v/>
      </c>
      <c r="N263" s="11">
        <f>IF(A263="","",IF(H263="","Unmatched GL",IF(AND(K263&lt;=Tol_Amount,L263&lt;=Tol_Days),"Matched",IF(M263&gt;Tol_NearPct,"Near Match","Unmatched GL"))))</f>
        <v/>
      </c>
    </row>
    <row r="264">
      <c r="A264" s="13">
        <f>IF(GL_CLEAN!A264="","",GL_CLEAN!A264)</f>
        <v/>
      </c>
      <c r="B264" s="10">
        <f>IF(A264="","",GL_CLEAN!B264)</f>
        <v/>
      </c>
      <c r="C264" s="11">
        <f>IF(A264="","",GL_CLEAN!C264)</f>
        <v/>
      </c>
      <c r="D264" s="14">
        <f>IF(A264="","",GL_CLEAN!H264)</f>
        <v/>
      </c>
      <c r="E264" s="14">
        <f>IF(A264="","",GL_CLEAN!I264)</f>
        <v/>
      </c>
      <c r="F264" s="11">
        <f>IF(A264="","",GL_CLEAN!J264)</f>
        <v/>
      </c>
      <c r="G264" s="11">
        <f>IF(A264="","",IF(F264="OUT","DR","CR"))</f>
        <v/>
      </c>
      <c r="H264" s="11">
        <f>IF(A264="","",IFERROR(INDEX(BANK_CLEAN!$A$2:$A$1001,MATCH(MINIFS(BANK_CLEAN!$J$2:$J$1001,BANK_CLEAN!$H$2:$H$1001,G264,BANK_CLEAN!$L$2:$L$1001,""),BANK_CLEAN!$J$2:$J$1001,0)),""))</f>
        <v/>
      </c>
      <c r="I264" s="10">
        <f>IF(H264="","",INDEX(BANK_CLEAN!$B$2:$B$1001,H264))</f>
        <v/>
      </c>
      <c r="J264" s="14">
        <f>IF(H264="","",IF(F264="OUT",INDEX(BANK_CLEAN!$F$2:$F$1001,H264),INDEX(BANK_CLEAN!$E$2:$E$1001,H264)))</f>
        <v/>
      </c>
      <c r="K264" s="14">
        <f>IF(H264="","",ABS(E264-J264))</f>
        <v/>
      </c>
      <c r="L264" s="11">
        <f>IF(OR(H264="",B264="",I264=""),"",ABS(B264-I264))</f>
        <v/>
      </c>
      <c r="M264" s="15">
        <f>IF(H264="",0,LET(pct,IF(E264&gt;0,K264/E264,1),days,IFERROR(L264,999),100-pct*200-days*3))</f>
        <v/>
      </c>
      <c r="N264" s="11">
        <f>IF(A264="","",IF(H264="","Unmatched GL",IF(AND(K264&lt;=Tol_Amount,L264&lt;=Tol_Days),"Matched",IF(M264&gt;Tol_NearPct,"Near Match","Unmatched GL"))))</f>
        <v/>
      </c>
    </row>
    <row r="265">
      <c r="A265" s="13">
        <f>IF(GL_CLEAN!A265="","",GL_CLEAN!A265)</f>
        <v/>
      </c>
      <c r="B265" s="10">
        <f>IF(A265="","",GL_CLEAN!B265)</f>
        <v/>
      </c>
      <c r="C265" s="11">
        <f>IF(A265="","",GL_CLEAN!C265)</f>
        <v/>
      </c>
      <c r="D265" s="14">
        <f>IF(A265="","",GL_CLEAN!H265)</f>
        <v/>
      </c>
      <c r="E265" s="14">
        <f>IF(A265="","",GL_CLEAN!I265)</f>
        <v/>
      </c>
      <c r="F265" s="11">
        <f>IF(A265="","",GL_CLEAN!J265)</f>
        <v/>
      </c>
      <c r="G265" s="11">
        <f>IF(A265="","",IF(F265="OUT","DR","CR"))</f>
        <v/>
      </c>
      <c r="H265" s="11">
        <f>IF(A265="","",IFERROR(INDEX(BANK_CLEAN!$A$2:$A$1001,MATCH(MINIFS(BANK_CLEAN!$J$2:$J$1001,BANK_CLEAN!$H$2:$H$1001,G265,BANK_CLEAN!$L$2:$L$1001,""),BANK_CLEAN!$J$2:$J$1001,0)),""))</f>
        <v/>
      </c>
      <c r="I265" s="10">
        <f>IF(H265="","",INDEX(BANK_CLEAN!$B$2:$B$1001,H265))</f>
        <v/>
      </c>
      <c r="J265" s="14">
        <f>IF(H265="","",IF(F265="OUT",INDEX(BANK_CLEAN!$F$2:$F$1001,H265),INDEX(BANK_CLEAN!$E$2:$E$1001,H265)))</f>
        <v/>
      </c>
      <c r="K265" s="14">
        <f>IF(H265="","",ABS(E265-J265))</f>
        <v/>
      </c>
      <c r="L265" s="11">
        <f>IF(OR(H265="",B265="",I265=""),"",ABS(B265-I265))</f>
        <v/>
      </c>
      <c r="M265" s="15">
        <f>IF(H265="",0,LET(pct,IF(E265&gt;0,K265/E265,1),days,IFERROR(L265,999),100-pct*200-days*3))</f>
        <v/>
      </c>
      <c r="N265" s="11">
        <f>IF(A265="","",IF(H265="","Unmatched GL",IF(AND(K265&lt;=Tol_Amount,L265&lt;=Tol_Days),"Matched",IF(M265&gt;Tol_NearPct,"Near Match","Unmatched GL"))))</f>
        <v/>
      </c>
    </row>
    <row r="266">
      <c r="A266" s="13">
        <f>IF(GL_CLEAN!A266="","",GL_CLEAN!A266)</f>
        <v/>
      </c>
      <c r="B266" s="10">
        <f>IF(A266="","",GL_CLEAN!B266)</f>
        <v/>
      </c>
      <c r="C266" s="11">
        <f>IF(A266="","",GL_CLEAN!C266)</f>
        <v/>
      </c>
      <c r="D266" s="14">
        <f>IF(A266="","",GL_CLEAN!H266)</f>
        <v/>
      </c>
      <c r="E266" s="14">
        <f>IF(A266="","",GL_CLEAN!I266)</f>
        <v/>
      </c>
      <c r="F266" s="11">
        <f>IF(A266="","",GL_CLEAN!J266)</f>
        <v/>
      </c>
      <c r="G266" s="11">
        <f>IF(A266="","",IF(F266="OUT","DR","CR"))</f>
        <v/>
      </c>
      <c r="H266" s="11">
        <f>IF(A266="","",IFERROR(INDEX(BANK_CLEAN!$A$2:$A$1001,MATCH(MINIFS(BANK_CLEAN!$J$2:$J$1001,BANK_CLEAN!$H$2:$H$1001,G266,BANK_CLEAN!$L$2:$L$1001,""),BANK_CLEAN!$J$2:$J$1001,0)),""))</f>
        <v/>
      </c>
      <c r="I266" s="10">
        <f>IF(H266="","",INDEX(BANK_CLEAN!$B$2:$B$1001,H266))</f>
        <v/>
      </c>
      <c r="J266" s="14">
        <f>IF(H266="","",IF(F266="OUT",INDEX(BANK_CLEAN!$F$2:$F$1001,H266),INDEX(BANK_CLEAN!$E$2:$E$1001,H266)))</f>
        <v/>
      </c>
      <c r="K266" s="14">
        <f>IF(H266="","",ABS(E266-J266))</f>
        <v/>
      </c>
      <c r="L266" s="11">
        <f>IF(OR(H266="",B266="",I266=""),"",ABS(B266-I266))</f>
        <v/>
      </c>
      <c r="M266" s="15">
        <f>IF(H266="",0,LET(pct,IF(E266&gt;0,K266/E266,1),days,IFERROR(L266,999),100-pct*200-days*3))</f>
        <v/>
      </c>
      <c r="N266" s="11">
        <f>IF(A266="","",IF(H266="","Unmatched GL",IF(AND(K266&lt;=Tol_Amount,L266&lt;=Tol_Days),"Matched",IF(M266&gt;Tol_NearPct,"Near Match","Unmatched GL"))))</f>
        <v/>
      </c>
    </row>
    <row r="267">
      <c r="A267" s="13">
        <f>IF(GL_CLEAN!A267="","",GL_CLEAN!A267)</f>
        <v/>
      </c>
      <c r="B267" s="10">
        <f>IF(A267="","",GL_CLEAN!B267)</f>
        <v/>
      </c>
      <c r="C267" s="11">
        <f>IF(A267="","",GL_CLEAN!C267)</f>
        <v/>
      </c>
      <c r="D267" s="14">
        <f>IF(A267="","",GL_CLEAN!H267)</f>
        <v/>
      </c>
      <c r="E267" s="14">
        <f>IF(A267="","",GL_CLEAN!I267)</f>
        <v/>
      </c>
      <c r="F267" s="11">
        <f>IF(A267="","",GL_CLEAN!J267)</f>
        <v/>
      </c>
      <c r="G267" s="11">
        <f>IF(A267="","",IF(F267="OUT","DR","CR"))</f>
        <v/>
      </c>
      <c r="H267" s="11">
        <f>IF(A267="","",IFERROR(INDEX(BANK_CLEAN!$A$2:$A$1001,MATCH(MINIFS(BANK_CLEAN!$J$2:$J$1001,BANK_CLEAN!$H$2:$H$1001,G267,BANK_CLEAN!$L$2:$L$1001,""),BANK_CLEAN!$J$2:$J$1001,0)),""))</f>
        <v/>
      </c>
      <c r="I267" s="10">
        <f>IF(H267="","",INDEX(BANK_CLEAN!$B$2:$B$1001,H267))</f>
        <v/>
      </c>
      <c r="J267" s="14">
        <f>IF(H267="","",IF(F267="OUT",INDEX(BANK_CLEAN!$F$2:$F$1001,H267),INDEX(BANK_CLEAN!$E$2:$E$1001,H267)))</f>
        <v/>
      </c>
      <c r="K267" s="14">
        <f>IF(H267="","",ABS(E267-J267))</f>
        <v/>
      </c>
      <c r="L267" s="11">
        <f>IF(OR(H267="",B267="",I267=""),"",ABS(B267-I267))</f>
        <v/>
      </c>
      <c r="M267" s="15">
        <f>IF(H267="",0,LET(pct,IF(E267&gt;0,K267/E267,1),days,IFERROR(L267,999),100-pct*200-days*3))</f>
        <v/>
      </c>
      <c r="N267" s="11">
        <f>IF(A267="","",IF(H267="","Unmatched GL",IF(AND(K267&lt;=Tol_Amount,L267&lt;=Tol_Days),"Matched",IF(M267&gt;Tol_NearPct,"Near Match","Unmatched GL"))))</f>
        <v/>
      </c>
    </row>
    <row r="268">
      <c r="A268" s="13">
        <f>IF(GL_CLEAN!A268="","",GL_CLEAN!A268)</f>
        <v/>
      </c>
      <c r="B268" s="10">
        <f>IF(A268="","",GL_CLEAN!B268)</f>
        <v/>
      </c>
      <c r="C268" s="11">
        <f>IF(A268="","",GL_CLEAN!C268)</f>
        <v/>
      </c>
      <c r="D268" s="14">
        <f>IF(A268="","",GL_CLEAN!H268)</f>
        <v/>
      </c>
      <c r="E268" s="14">
        <f>IF(A268="","",GL_CLEAN!I268)</f>
        <v/>
      </c>
      <c r="F268" s="11">
        <f>IF(A268="","",GL_CLEAN!J268)</f>
        <v/>
      </c>
      <c r="G268" s="11">
        <f>IF(A268="","",IF(F268="OUT","DR","CR"))</f>
        <v/>
      </c>
      <c r="H268" s="11">
        <f>IF(A268="","",IFERROR(INDEX(BANK_CLEAN!$A$2:$A$1001,MATCH(MINIFS(BANK_CLEAN!$J$2:$J$1001,BANK_CLEAN!$H$2:$H$1001,G268,BANK_CLEAN!$L$2:$L$1001,""),BANK_CLEAN!$J$2:$J$1001,0)),""))</f>
        <v/>
      </c>
      <c r="I268" s="10">
        <f>IF(H268="","",INDEX(BANK_CLEAN!$B$2:$B$1001,H268))</f>
        <v/>
      </c>
      <c r="J268" s="14">
        <f>IF(H268="","",IF(F268="OUT",INDEX(BANK_CLEAN!$F$2:$F$1001,H268),INDEX(BANK_CLEAN!$E$2:$E$1001,H268)))</f>
        <v/>
      </c>
      <c r="K268" s="14">
        <f>IF(H268="","",ABS(E268-J268))</f>
        <v/>
      </c>
      <c r="L268" s="11">
        <f>IF(OR(H268="",B268="",I268=""),"",ABS(B268-I268))</f>
        <v/>
      </c>
      <c r="M268" s="15">
        <f>IF(H268="",0,LET(pct,IF(E268&gt;0,K268/E268,1),days,IFERROR(L268,999),100-pct*200-days*3))</f>
        <v/>
      </c>
      <c r="N268" s="11">
        <f>IF(A268="","",IF(H268="","Unmatched GL",IF(AND(K268&lt;=Tol_Amount,L268&lt;=Tol_Days),"Matched",IF(M268&gt;Tol_NearPct,"Near Match","Unmatched GL"))))</f>
        <v/>
      </c>
    </row>
    <row r="269">
      <c r="A269" s="13">
        <f>IF(GL_CLEAN!A269="","",GL_CLEAN!A269)</f>
        <v/>
      </c>
      <c r="B269" s="10">
        <f>IF(A269="","",GL_CLEAN!B269)</f>
        <v/>
      </c>
      <c r="C269" s="11">
        <f>IF(A269="","",GL_CLEAN!C269)</f>
        <v/>
      </c>
      <c r="D269" s="14">
        <f>IF(A269="","",GL_CLEAN!H269)</f>
        <v/>
      </c>
      <c r="E269" s="14">
        <f>IF(A269="","",GL_CLEAN!I269)</f>
        <v/>
      </c>
      <c r="F269" s="11">
        <f>IF(A269="","",GL_CLEAN!J269)</f>
        <v/>
      </c>
      <c r="G269" s="11">
        <f>IF(A269="","",IF(F269="OUT","DR","CR"))</f>
        <v/>
      </c>
      <c r="H269" s="11">
        <f>IF(A269="","",IFERROR(INDEX(BANK_CLEAN!$A$2:$A$1001,MATCH(MINIFS(BANK_CLEAN!$J$2:$J$1001,BANK_CLEAN!$H$2:$H$1001,G269,BANK_CLEAN!$L$2:$L$1001,""),BANK_CLEAN!$J$2:$J$1001,0)),""))</f>
        <v/>
      </c>
      <c r="I269" s="10">
        <f>IF(H269="","",INDEX(BANK_CLEAN!$B$2:$B$1001,H269))</f>
        <v/>
      </c>
      <c r="J269" s="14">
        <f>IF(H269="","",IF(F269="OUT",INDEX(BANK_CLEAN!$F$2:$F$1001,H269),INDEX(BANK_CLEAN!$E$2:$E$1001,H269)))</f>
        <v/>
      </c>
      <c r="K269" s="14">
        <f>IF(H269="","",ABS(E269-J269))</f>
        <v/>
      </c>
      <c r="L269" s="11">
        <f>IF(OR(H269="",B269="",I269=""),"",ABS(B269-I269))</f>
        <v/>
      </c>
      <c r="M269" s="15">
        <f>IF(H269="",0,LET(pct,IF(E269&gt;0,K269/E269,1),days,IFERROR(L269,999),100-pct*200-days*3))</f>
        <v/>
      </c>
      <c r="N269" s="11">
        <f>IF(A269="","",IF(H269="","Unmatched GL",IF(AND(K269&lt;=Tol_Amount,L269&lt;=Tol_Days),"Matched",IF(M269&gt;Tol_NearPct,"Near Match","Unmatched GL"))))</f>
        <v/>
      </c>
    </row>
    <row r="270">
      <c r="A270" s="13">
        <f>IF(GL_CLEAN!A270="","",GL_CLEAN!A270)</f>
        <v/>
      </c>
      <c r="B270" s="10">
        <f>IF(A270="","",GL_CLEAN!B270)</f>
        <v/>
      </c>
      <c r="C270" s="11">
        <f>IF(A270="","",GL_CLEAN!C270)</f>
        <v/>
      </c>
      <c r="D270" s="14">
        <f>IF(A270="","",GL_CLEAN!H270)</f>
        <v/>
      </c>
      <c r="E270" s="14">
        <f>IF(A270="","",GL_CLEAN!I270)</f>
        <v/>
      </c>
      <c r="F270" s="11">
        <f>IF(A270="","",GL_CLEAN!J270)</f>
        <v/>
      </c>
      <c r="G270" s="11">
        <f>IF(A270="","",IF(F270="OUT","DR","CR"))</f>
        <v/>
      </c>
      <c r="H270" s="11">
        <f>IF(A270="","",IFERROR(INDEX(BANK_CLEAN!$A$2:$A$1001,MATCH(MINIFS(BANK_CLEAN!$J$2:$J$1001,BANK_CLEAN!$H$2:$H$1001,G270,BANK_CLEAN!$L$2:$L$1001,""),BANK_CLEAN!$J$2:$J$1001,0)),""))</f>
        <v/>
      </c>
      <c r="I270" s="10">
        <f>IF(H270="","",INDEX(BANK_CLEAN!$B$2:$B$1001,H270))</f>
        <v/>
      </c>
      <c r="J270" s="14">
        <f>IF(H270="","",IF(F270="OUT",INDEX(BANK_CLEAN!$F$2:$F$1001,H270),INDEX(BANK_CLEAN!$E$2:$E$1001,H270)))</f>
        <v/>
      </c>
      <c r="K270" s="14">
        <f>IF(H270="","",ABS(E270-J270))</f>
        <v/>
      </c>
      <c r="L270" s="11">
        <f>IF(OR(H270="",B270="",I270=""),"",ABS(B270-I270))</f>
        <v/>
      </c>
      <c r="M270" s="15">
        <f>IF(H270="",0,LET(pct,IF(E270&gt;0,K270/E270,1),days,IFERROR(L270,999),100-pct*200-days*3))</f>
        <v/>
      </c>
      <c r="N270" s="11">
        <f>IF(A270="","",IF(H270="","Unmatched GL",IF(AND(K270&lt;=Tol_Amount,L270&lt;=Tol_Days),"Matched",IF(M270&gt;Tol_NearPct,"Near Match","Unmatched GL"))))</f>
        <v/>
      </c>
    </row>
    <row r="271">
      <c r="A271" s="13">
        <f>IF(GL_CLEAN!A271="","",GL_CLEAN!A271)</f>
        <v/>
      </c>
      <c r="B271" s="10">
        <f>IF(A271="","",GL_CLEAN!B271)</f>
        <v/>
      </c>
      <c r="C271" s="11">
        <f>IF(A271="","",GL_CLEAN!C271)</f>
        <v/>
      </c>
      <c r="D271" s="14">
        <f>IF(A271="","",GL_CLEAN!H271)</f>
        <v/>
      </c>
      <c r="E271" s="14">
        <f>IF(A271="","",GL_CLEAN!I271)</f>
        <v/>
      </c>
      <c r="F271" s="11">
        <f>IF(A271="","",GL_CLEAN!J271)</f>
        <v/>
      </c>
      <c r="G271" s="11">
        <f>IF(A271="","",IF(F271="OUT","DR","CR"))</f>
        <v/>
      </c>
      <c r="H271" s="11">
        <f>IF(A271="","",IFERROR(INDEX(BANK_CLEAN!$A$2:$A$1001,MATCH(MINIFS(BANK_CLEAN!$J$2:$J$1001,BANK_CLEAN!$H$2:$H$1001,G271,BANK_CLEAN!$L$2:$L$1001,""),BANK_CLEAN!$J$2:$J$1001,0)),""))</f>
        <v/>
      </c>
      <c r="I271" s="10">
        <f>IF(H271="","",INDEX(BANK_CLEAN!$B$2:$B$1001,H271))</f>
        <v/>
      </c>
      <c r="J271" s="14">
        <f>IF(H271="","",IF(F271="OUT",INDEX(BANK_CLEAN!$F$2:$F$1001,H271),INDEX(BANK_CLEAN!$E$2:$E$1001,H271)))</f>
        <v/>
      </c>
      <c r="K271" s="14">
        <f>IF(H271="","",ABS(E271-J271))</f>
        <v/>
      </c>
      <c r="L271" s="11">
        <f>IF(OR(H271="",B271="",I271=""),"",ABS(B271-I271))</f>
        <v/>
      </c>
      <c r="M271" s="15">
        <f>IF(H271="",0,LET(pct,IF(E271&gt;0,K271/E271,1),days,IFERROR(L271,999),100-pct*200-days*3))</f>
        <v/>
      </c>
      <c r="N271" s="11">
        <f>IF(A271="","",IF(H271="","Unmatched GL",IF(AND(K271&lt;=Tol_Amount,L271&lt;=Tol_Days),"Matched",IF(M271&gt;Tol_NearPct,"Near Match","Unmatched GL"))))</f>
        <v/>
      </c>
    </row>
    <row r="272">
      <c r="A272" s="13">
        <f>IF(GL_CLEAN!A272="","",GL_CLEAN!A272)</f>
        <v/>
      </c>
      <c r="B272" s="10">
        <f>IF(A272="","",GL_CLEAN!B272)</f>
        <v/>
      </c>
      <c r="C272" s="11">
        <f>IF(A272="","",GL_CLEAN!C272)</f>
        <v/>
      </c>
      <c r="D272" s="14">
        <f>IF(A272="","",GL_CLEAN!H272)</f>
        <v/>
      </c>
      <c r="E272" s="14">
        <f>IF(A272="","",GL_CLEAN!I272)</f>
        <v/>
      </c>
      <c r="F272" s="11">
        <f>IF(A272="","",GL_CLEAN!J272)</f>
        <v/>
      </c>
      <c r="G272" s="11">
        <f>IF(A272="","",IF(F272="OUT","DR","CR"))</f>
        <v/>
      </c>
      <c r="H272" s="11">
        <f>IF(A272="","",IFERROR(INDEX(BANK_CLEAN!$A$2:$A$1001,MATCH(MINIFS(BANK_CLEAN!$J$2:$J$1001,BANK_CLEAN!$H$2:$H$1001,G272,BANK_CLEAN!$L$2:$L$1001,""),BANK_CLEAN!$J$2:$J$1001,0)),""))</f>
        <v/>
      </c>
      <c r="I272" s="10">
        <f>IF(H272="","",INDEX(BANK_CLEAN!$B$2:$B$1001,H272))</f>
        <v/>
      </c>
      <c r="J272" s="14">
        <f>IF(H272="","",IF(F272="OUT",INDEX(BANK_CLEAN!$F$2:$F$1001,H272),INDEX(BANK_CLEAN!$E$2:$E$1001,H272)))</f>
        <v/>
      </c>
      <c r="K272" s="14">
        <f>IF(H272="","",ABS(E272-J272))</f>
        <v/>
      </c>
      <c r="L272" s="11">
        <f>IF(OR(H272="",B272="",I272=""),"",ABS(B272-I272))</f>
        <v/>
      </c>
      <c r="M272" s="15">
        <f>IF(H272="",0,LET(pct,IF(E272&gt;0,K272/E272,1),days,IFERROR(L272,999),100-pct*200-days*3))</f>
        <v/>
      </c>
      <c r="N272" s="11">
        <f>IF(A272="","",IF(H272="","Unmatched GL",IF(AND(K272&lt;=Tol_Amount,L272&lt;=Tol_Days),"Matched",IF(M272&gt;Tol_NearPct,"Near Match","Unmatched GL"))))</f>
        <v/>
      </c>
    </row>
    <row r="273">
      <c r="A273" s="13">
        <f>IF(GL_CLEAN!A273="","",GL_CLEAN!A273)</f>
        <v/>
      </c>
      <c r="B273" s="10">
        <f>IF(A273="","",GL_CLEAN!B273)</f>
        <v/>
      </c>
      <c r="C273" s="11">
        <f>IF(A273="","",GL_CLEAN!C273)</f>
        <v/>
      </c>
      <c r="D273" s="14">
        <f>IF(A273="","",GL_CLEAN!H273)</f>
        <v/>
      </c>
      <c r="E273" s="14">
        <f>IF(A273="","",GL_CLEAN!I273)</f>
        <v/>
      </c>
      <c r="F273" s="11">
        <f>IF(A273="","",GL_CLEAN!J273)</f>
        <v/>
      </c>
      <c r="G273" s="11">
        <f>IF(A273="","",IF(F273="OUT","DR","CR"))</f>
        <v/>
      </c>
      <c r="H273" s="11">
        <f>IF(A273="","",IFERROR(INDEX(BANK_CLEAN!$A$2:$A$1001,MATCH(MINIFS(BANK_CLEAN!$J$2:$J$1001,BANK_CLEAN!$H$2:$H$1001,G273,BANK_CLEAN!$L$2:$L$1001,""),BANK_CLEAN!$J$2:$J$1001,0)),""))</f>
        <v/>
      </c>
      <c r="I273" s="10">
        <f>IF(H273="","",INDEX(BANK_CLEAN!$B$2:$B$1001,H273))</f>
        <v/>
      </c>
      <c r="J273" s="14">
        <f>IF(H273="","",IF(F273="OUT",INDEX(BANK_CLEAN!$F$2:$F$1001,H273),INDEX(BANK_CLEAN!$E$2:$E$1001,H273)))</f>
        <v/>
      </c>
      <c r="K273" s="14">
        <f>IF(H273="","",ABS(E273-J273))</f>
        <v/>
      </c>
      <c r="L273" s="11">
        <f>IF(OR(H273="",B273="",I273=""),"",ABS(B273-I273))</f>
        <v/>
      </c>
      <c r="M273" s="15">
        <f>IF(H273="",0,LET(pct,IF(E273&gt;0,K273/E273,1),days,IFERROR(L273,999),100-pct*200-days*3))</f>
        <v/>
      </c>
      <c r="N273" s="11">
        <f>IF(A273="","",IF(H273="","Unmatched GL",IF(AND(K273&lt;=Tol_Amount,L273&lt;=Tol_Days),"Matched",IF(M273&gt;Tol_NearPct,"Near Match","Unmatched GL"))))</f>
        <v/>
      </c>
    </row>
    <row r="274">
      <c r="A274" s="13">
        <f>IF(GL_CLEAN!A274="","",GL_CLEAN!A274)</f>
        <v/>
      </c>
      <c r="B274" s="10">
        <f>IF(A274="","",GL_CLEAN!B274)</f>
        <v/>
      </c>
      <c r="C274" s="11">
        <f>IF(A274="","",GL_CLEAN!C274)</f>
        <v/>
      </c>
      <c r="D274" s="14">
        <f>IF(A274="","",GL_CLEAN!H274)</f>
        <v/>
      </c>
      <c r="E274" s="14">
        <f>IF(A274="","",GL_CLEAN!I274)</f>
        <v/>
      </c>
      <c r="F274" s="11">
        <f>IF(A274="","",GL_CLEAN!J274)</f>
        <v/>
      </c>
      <c r="G274" s="11">
        <f>IF(A274="","",IF(F274="OUT","DR","CR"))</f>
        <v/>
      </c>
      <c r="H274" s="11">
        <f>IF(A274="","",IFERROR(INDEX(BANK_CLEAN!$A$2:$A$1001,MATCH(MINIFS(BANK_CLEAN!$J$2:$J$1001,BANK_CLEAN!$H$2:$H$1001,G274,BANK_CLEAN!$L$2:$L$1001,""),BANK_CLEAN!$J$2:$J$1001,0)),""))</f>
        <v/>
      </c>
      <c r="I274" s="10">
        <f>IF(H274="","",INDEX(BANK_CLEAN!$B$2:$B$1001,H274))</f>
        <v/>
      </c>
      <c r="J274" s="14">
        <f>IF(H274="","",IF(F274="OUT",INDEX(BANK_CLEAN!$F$2:$F$1001,H274),INDEX(BANK_CLEAN!$E$2:$E$1001,H274)))</f>
        <v/>
      </c>
      <c r="K274" s="14">
        <f>IF(H274="","",ABS(E274-J274))</f>
        <v/>
      </c>
      <c r="L274" s="11">
        <f>IF(OR(H274="",B274="",I274=""),"",ABS(B274-I274))</f>
        <v/>
      </c>
      <c r="M274" s="15">
        <f>IF(H274="",0,LET(pct,IF(E274&gt;0,K274/E274,1),days,IFERROR(L274,999),100-pct*200-days*3))</f>
        <v/>
      </c>
      <c r="N274" s="11">
        <f>IF(A274="","",IF(H274="","Unmatched GL",IF(AND(K274&lt;=Tol_Amount,L274&lt;=Tol_Days),"Matched",IF(M274&gt;Tol_NearPct,"Near Match","Unmatched GL"))))</f>
        <v/>
      </c>
    </row>
    <row r="275">
      <c r="A275" s="13">
        <f>IF(GL_CLEAN!A275="","",GL_CLEAN!A275)</f>
        <v/>
      </c>
      <c r="B275" s="10">
        <f>IF(A275="","",GL_CLEAN!B275)</f>
        <v/>
      </c>
      <c r="C275" s="11">
        <f>IF(A275="","",GL_CLEAN!C275)</f>
        <v/>
      </c>
      <c r="D275" s="14">
        <f>IF(A275="","",GL_CLEAN!H275)</f>
        <v/>
      </c>
      <c r="E275" s="14">
        <f>IF(A275="","",GL_CLEAN!I275)</f>
        <v/>
      </c>
      <c r="F275" s="11">
        <f>IF(A275="","",GL_CLEAN!J275)</f>
        <v/>
      </c>
      <c r="G275" s="11">
        <f>IF(A275="","",IF(F275="OUT","DR","CR"))</f>
        <v/>
      </c>
      <c r="H275" s="11">
        <f>IF(A275="","",IFERROR(INDEX(BANK_CLEAN!$A$2:$A$1001,MATCH(MINIFS(BANK_CLEAN!$J$2:$J$1001,BANK_CLEAN!$H$2:$H$1001,G275,BANK_CLEAN!$L$2:$L$1001,""),BANK_CLEAN!$J$2:$J$1001,0)),""))</f>
        <v/>
      </c>
      <c r="I275" s="10">
        <f>IF(H275="","",INDEX(BANK_CLEAN!$B$2:$B$1001,H275))</f>
        <v/>
      </c>
      <c r="J275" s="14">
        <f>IF(H275="","",IF(F275="OUT",INDEX(BANK_CLEAN!$F$2:$F$1001,H275),INDEX(BANK_CLEAN!$E$2:$E$1001,H275)))</f>
        <v/>
      </c>
      <c r="K275" s="14">
        <f>IF(H275="","",ABS(E275-J275))</f>
        <v/>
      </c>
      <c r="L275" s="11">
        <f>IF(OR(H275="",B275="",I275=""),"",ABS(B275-I275))</f>
        <v/>
      </c>
      <c r="M275" s="15">
        <f>IF(H275="",0,LET(pct,IF(E275&gt;0,K275/E275,1),days,IFERROR(L275,999),100-pct*200-days*3))</f>
        <v/>
      </c>
      <c r="N275" s="11">
        <f>IF(A275="","",IF(H275="","Unmatched GL",IF(AND(K275&lt;=Tol_Amount,L275&lt;=Tol_Days),"Matched",IF(M275&gt;Tol_NearPct,"Near Match","Unmatched GL"))))</f>
        <v/>
      </c>
    </row>
    <row r="276">
      <c r="A276" s="13">
        <f>IF(GL_CLEAN!A276="","",GL_CLEAN!A276)</f>
        <v/>
      </c>
      <c r="B276" s="10">
        <f>IF(A276="","",GL_CLEAN!B276)</f>
        <v/>
      </c>
      <c r="C276" s="11">
        <f>IF(A276="","",GL_CLEAN!C276)</f>
        <v/>
      </c>
      <c r="D276" s="14">
        <f>IF(A276="","",GL_CLEAN!H276)</f>
        <v/>
      </c>
      <c r="E276" s="14">
        <f>IF(A276="","",GL_CLEAN!I276)</f>
        <v/>
      </c>
      <c r="F276" s="11">
        <f>IF(A276="","",GL_CLEAN!J276)</f>
        <v/>
      </c>
      <c r="G276" s="11">
        <f>IF(A276="","",IF(F276="OUT","DR","CR"))</f>
        <v/>
      </c>
      <c r="H276" s="11">
        <f>IF(A276="","",IFERROR(INDEX(BANK_CLEAN!$A$2:$A$1001,MATCH(MINIFS(BANK_CLEAN!$J$2:$J$1001,BANK_CLEAN!$H$2:$H$1001,G276,BANK_CLEAN!$L$2:$L$1001,""),BANK_CLEAN!$J$2:$J$1001,0)),""))</f>
        <v/>
      </c>
      <c r="I276" s="10">
        <f>IF(H276="","",INDEX(BANK_CLEAN!$B$2:$B$1001,H276))</f>
        <v/>
      </c>
      <c r="J276" s="14">
        <f>IF(H276="","",IF(F276="OUT",INDEX(BANK_CLEAN!$F$2:$F$1001,H276),INDEX(BANK_CLEAN!$E$2:$E$1001,H276)))</f>
        <v/>
      </c>
      <c r="K276" s="14">
        <f>IF(H276="","",ABS(E276-J276))</f>
        <v/>
      </c>
      <c r="L276" s="11">
        <f>IF(OR(H276="",B276="",I276=""),"",ABS(B276-I276))</f>
        <v/>
      </c>
      <c r="M276" s="15">
        <f>IF(H276="",0,LET(pct,IF(E276&gt;0,K276/E276,1),days,IFERROR(L276,999),100-pct*200-days*3))</f>
        <v/>
      </c>
      <c r="N276" s="11">
        <f>IF(A276="","",IF(H276="","Unmatched GL",IF(AND(K276&lt;=Tol_Amount,L276&lt;=Tol_Days),"Matched",IF(M276&gt;Tol_NearPct,"Near Match","Unmatched GL"))))</f>
        <v/>
      </c>
    </row>
    <row r="277">
      <c r="A277" s="13">
        <f>IF(GL_CLEAN!A277="","",GL_CLEAN!A277)</f>
        <v/>
      </c>
      <c r="B277" s="10">
        <f>IF(A277="","",GL_CLEAN!B277)</f>
        <v/>
      </c>
      <c r="C277" s="11">
        <f>IF(A277="","",GL_CLEAN!C277)</f>
        <v/>
      </c>
      <c r="D277" s="14">
        <f>IF(A277="","",GL_CLEAN!H277)</f>
        <v/>
      </c>
      <c r="E277" s="14">
        <f>IF(A277="","",GL_CLEAN!I277)</f>
        <v/>
      </c>
      <c r="F277" s="11">
        <f>IF(A277="","",GL_CLEAN!J277)</f>
        <v/>
      </c>
      <c r="G277" s="11">
        <f>IF(A277="","",IF(F277="OUT","DR","CR"))</f>
        <v/>
      </c>
      <c r="H277" s="11">
        <f>IF(A277="","",IFERROR(INDEX(BANK_CLEAN!$A$2:$A$1001,MATCH(MINIFS(BANK_CLEAN!$J$2:$J$1001,BANK_CLEAN!$H$2:$H$1001,G277,BANK_CLEAN!$L$2:$L$1001,""),BANK_CLEAN!$J$2:$J$1001,0)),""))</f>
        <v/>
      </c>
      <c r="I277" s="10">
        <f>IF(H277="","",INDEX(BANK_CLEAN!$B$2:$B$1001,H277))</f>
        <v/>
      </c>
      <c r="J277" s="14">
        <f>IF(H277="","",IF(F277="OUT",INDEX(BANK_CLEAN!$F$2:$F$1001,H277),INDEX(BANK_CLEAN!$E$2:$E$1001,H277)))</f>
        <v/>
      </c>
      <c r="K277" s="14">
        <f>IF(H277="","",ABS(E277-J277))</f>
        <v/>
      </c>
      <c r="L277" s="11">
        <f>IF(OR(H277="",B277="",I277=""),"",ABS(B277-I277))</f>
        <v/>
      </c>
      <c r="M277" s="15">
        <f>IF(H277="",0,LET(pct,IF(E277&gt;0,K277/E277,1),days,IFERROR(L277,999),100-pct*200-days*3))</f>
        <v/>
      </c>
      <c r="N277" s="11">
        <f>IF(A277="","",IF(H277="","Unmatched GL",IF(AND(K277&lt;=Tol_Amount,L277&lt;=Tol_Days),"Matched",IF(M277&gt;Tol_NearPct,"Near Match","Unmatched GL"))))</f>
        <v/>
      </c>
    </row>
    <row r="278">
      <c r="A278" s="13">
        <f>IF(GL_CLEAN!A278="","",GL_CLEAN!A278)</f>
        <v/>
      </c>
      <c r="B278" s="10">
        <f>IF(A278="","",GL_CLEAN!B278)</f>
        <v/>
      </c>
      <c r="C278" s="11">
        <f>IF(A278="","",GL_CLEAN!C278)</f>
        <v/>
      </c>
      <c r="D278" s="14">
        <f>IF(A278="","",GL_CLEAN!H278)</f>
        <v/>
      </c>
      <c r="E278" s="14">
        <f>IF(A278="","",GL_CLEAN!I278)</f>
        <v/>
      </c>
      <c r="F278" s="11">
        <f>IF(A278="","",GL_CLEAN!J278)</f>
        <v/>
      </c>
      <c r="G278" s="11">
        <f>IF(A278="","",IF(F278="OUT","DR","CR"))</f>
        <v/>
      </c>
      <c r="H278" s="11">
        <f>IF(A278="","",IFERROR(INDEX(BANK_CLEAN!$A$2:$A$1001,MATCH(MINIFS(BANK_CLEAN!$J$2:$J$1001,BANK_CLEAN!$H$2:$H$1001,G278,BANK_CLEAN!$L$2:$L$1001,""),BANK_CLEAN!$J$2:$J$1001,0)),""))</f>
        <v/>
      </c>
      <c r="I278" s="10">
        <f>IF(H278="","",INDEX(BANK_CLEAN!$B$2:$B$1001,H278))</f>
        <v/>
      </c>
      <c r="J278" s="14">
        <f>IF(H278="","",IF(F278="OUT",INDEX(BANK_CLEAN!$F$2:$F$1001,H278),INDEX(BANK_CLEAN!$E$2:$E$1001,H278)))</f>
        <v/>
      </c>
      <c r="K278" s="14">
        <f>IF(H278="","",ABS(E278-J278))</f>
        <v/>
      </c>
      <c r="L278" s="11">
        <f>IF(OR(H278="",B278="",I278=""),"",ABS(B278-I278))</f>
        <v/>
      </c>
      <c r="M278" s="15">
        <f>IF(H278="",0,LET(pct,IF(E278&gt;0,K278/E278,1),days,IFERROR(L278,999),100-pct*200-days*3))</f>
        <v/>
      </c>
      <c r="N278" s="11">
        <f>IF(A278="","",IF(H278="","Unmatched GL",IF(AND(K278&lt;=Tol_Amount,L278&lt;=Tol_Days),"Matched",IF(M278&gt;Tol_NearPct,"Near Match","Unmatched GL"))))</f>
        <v/>
      </c>
    </row>
    <row r="279">
      <c r="A279" s="13">
        <f>IF(GL_CLEAN!A279="","",GL_CLEAN!A279)</f>
        <v/>
      </c>
      <c r="B279" s="10">
        <f>IF(A279="","",GL_CLEAN!B279)</f>
        <v/>
      </c>
      <c r="C279" s="11">
        <f>IF(A279="","",GL_CLEAN!C279)</f>
        <v/>
      </c>
      <c r="D279" s="14">
        <f>IF(A279="","",GL_CLEAN!H279)</f>
        <v/>
      </c>
      <c r="E279" s="14">
        <f>IF(A279="","",GL_CLEAN!I279)</f>
        <v/>
      </c>
      <c r="F279" s="11">
        <f>IF(A279="","",GL_CLEAN!J279)</f>
        <v/>
      </c>
      <c r="G279" s="11">
        <f>IF(A279="","",IF(F279="OUT","DR","CR"))</f>
        <v/>
      </c>
      <c r="H279" s="11">
        <f>IF(A279="","",IFERROR(INDEX(BANK_CLEAN!$A$2:$A$1001,MATCH(MINIFS(BANK_CLEAN!$J$2:$J$1001,BANK_CLEAN!$H$2:$H$1001,G279,BANK_CLEAN!$L$2:$L$1001,""),BANK_CLEAN!$J$2:$J$1001,0)),""))</f>
        <v/>
      </c>
      <c r="I279" s="10">
        <f>IF(H279="","",INDEX(BANK_CLEAN!$B$2:$B$1001,H279))</f>
        <v/>
      </c>
      <c r="J279" s="14">
        <f>IF(H279="","",IF(F279="OUT",INDEX(BANK_CLEAN!$F$2:$F$1001,H279),INDEX(BANK_CLEAN!$E$2:$E$1001,H279)))</f>
        <v/>
      </c>
      <c r="K279" s="14">
        <f>IF(H279="","",ABS(E279-J279))</f>
        <v/>
      </c>
      <c r="L279" s="11">
        <f>IF(OR(H279="",B279="",I279=""),"",ABS(B279-I279))</f>
        <v/>
      </c>
      <c r="M279" s="15">
        <f>IF(H279="",0,LET(pct,IF(E279&gt;0,K279/E279,1),days,IFERROR(L279,999),100-pct*200-days*3))</f>
        <v/>
      </c>
      <c r="N279" s="11">
        <f>IF(A279="","",IF(H279="","Unmatched GL",IF(AND(K279&lt;=Tol_Amount,L279&lt;=Tol_Days),"Matched",IF(M279&gt;Tol_NearPct,"Near Match","Unmatched GL"))))</f>
        <v/>
      </c>
    </row>
    <row r="280">
      <c r="A280" s="13">
        <f>IF(GL_CLEAN!A280="","",GL_CLEAN!A280)</f>
        <v/>
      </c>
      <c r="B280" s="10">
        <f>IF(A280="","",GL_CLEAN!B280)</f>
        <v/>
      </c>
      <c r="C280" s="11">
        <f>IF(A280="","",GL_CLEAN!C280)</f>
        <v/>
      </c>
      <c r="D280" s="14">
        <f>IF(A280="","",GL_CLEAN!H280)</f>
        <v/>
      </c>
      <c r="E280" s="14">
        <f>IF(A280="","",GL_CLEAN!I280)</f>
        <v/>
      </c>
      <c r="F280" s="11">
        <f>IF(A280="","",GL_CLEAN!J280)</f>
        <v/>
      </c>
      <c r="G280" s="11">
        <f>IF(A280="","",IF(F280="OUT","DR","CR"))</f>
        <v/>
      </c>
      <c r="H280" s="11">
        <f>IF(A280="","",IFERROR(INDEX(BANK_CLEAN!$A$2:$A$1001,MATCH(MINIFS(BANK_CLEAN!$J$2:$J$1001,BANK_CLEAN!$H$2:$H$1001,G280,BANK_CLEAN!$L$2:$L$1001,""),BANK_CLEAN!$J$2:$J$1001,0)),""))</f>
        <v/>
      </c>
      <c r="I280" s="10">
        <f>IF(H280="","",INDEX(BANK_CLEAN!$B$2:$B$1001,H280))</f>
        <v/>
      </c>
      <c r="J280" s="14">
        <f>IF(H280="","",IF(F280="OUT",INDEX(BANK_CLEAN!$F$2:$F$1001,H280),INDEX(BANK_CLEAN!$E$2:$E$1001,H280)))</f>
        <v/>
      </c>
      <c r="K280" s="14">
        <f>IF(H280="","",ABS(E280-J280))</f>
        <v/>
      </c>
      <c r="L280" s="11">
        <f>IF(OR(H280="",B280="",I280=""),"",ABS(B280-I280))</f>
        <v/>
      </c>
      <c r="M280" s="15">
        <f>IF(H280="",0,LET(pct,IF(E280&gt;0,K280/E280,1),days,IFERROR(L280,999),100-pct*200-days*3))</f>
        <v/>
      </c>
      <c r="N280" s="11">
        <f>IF(A280="","",IF(H280="","Unmatched GL",IF(AND(K280&lt;=Tol_Amount,L280&lt;=Tol_Days),"Matched",IF(M280&gt;Tol_NearPct,"Near Match","Unmatched GL"))))</f>
        <v/>
      </c>
    </row>
    <row r="281">
      <c r="A281" s="13">
        <f>IF(GL_CLEAN!A281="","",GL_CLEAN!A281)</f>
        <v/>
      </c>
      <c r="B281" s="10">
        <f>IF(A281="","",GL_CLEAN!B281)</f>
        <v/>
      </c>
      <c r="C281" s="11">
        <f>IF(A281="","",GL_CLEAN!C281)</f>
        <v/>
      </c>
      <c r="D281" s="14">
        <f>IF(A281="","",GL_CLEAN!H281)</f>
        <v/>
      </c>
      <c r="E281" s="14">
        <f>IF(A281="","",GL_CLEAN!I281)</f>
        <v/>
      </c>
      <c r="F281" s="11">
        <f>IF(A281="","",GL_CLEAN!J281)</f>
        <v/>
      </c>
      <c r="G281" s="11">
        <f>IF(A281="","",IF(F281="OUT","DR","CR"))</f>
        <v/>
      </c>
      <c r="H281" s="11">
        <f>IF(A281="","",IFERROR(INDEX(BANK_CLEAN!$A$2:$A$1001,MATCH(MINIFS(BANK_CLEAN!$J$2:$J$1001,BANK_CLEAN!$H$2:$H$1001,G281,BANK_CLEAN!$L$2:$L$1001,""),BANK_CLEAN!$J$2:$J$1001,0)),""))</f>
        <v/>
      </c>
      <c r="I281" s="10">
        <f>IF(H281="","",INDEX(BANK_CLEAN!$B$2:$B$1001,H281))</f>
        <v/>
      </c>
      <c r="J281" s="14">
        <f>IF(H281="","",IF(F281="OUT",INDEX(BANK_CLEAN!$F$2:$F$1001,H281),INDEX(BANK_CLEAN!$E$2:$E$1001,H281)))</f>
        <v/>
      </c>
      <c r="K281" s="14">
        <f>IF(H281="","",ABS(E281-J281))</f>
        <v/>
      </c>
      <c r="L281" s="11">
        <f>IF(OR(H281="",B281="",I281=""),"",ABS(B281-I281))</f>
        <v/>
      </c>
      <c r="M281" s="15">
        <f>IF(H281="",0,LET(pct,IF(E281&gt;0,K281/E281,1),days,IFERROR(L281,999),100-pct*200-days*3))</f>
        <v/>
      </c>
      <c r="N281" s="11">
        <f>IF(A281="","",IF(H281="","Unmatched GL",IF(AND(K281&lt;=Tol_Amount,L281&lt;=Tol_Days),"Matched",IF(M281&gt;Tol_NearPct,"Near Match","Unmatched GL"))))</f>
        <v/>
      </c>
    </row>
    <row r="282">
      <c r="A282" s="13">
        <f>IF(GL_CLEAN!A282="","",GL_CLEAN!A282)</f>
        <v/>
      </c>
      <c r="B282" s="10">
        <f>IF(A282="","",GL_CLEAN!B282)</f>
        <v/>
      </c>
      <c r="C282" s="11">
        <f>IF(A282="","",GL_CLEAN!C282)</f>
        <v/>
      </c>
      <c r="D282" s="14">
        <f>IF(A282="","",GL_CLEAN!H282)</f>
        <v/>
      </c>
      <c r="E282" s="14">
        <f>IF(A282="","",GL_CLEAN!I282)</f>
        <v/>
      </c>
      <c r="F282" s="11">
        <f>IF(A282="","",GL_CLEAN!J282)</f>
        <v/>
      </c>
      <c r="G282" s="11">
        <f>IF(A282="","",IF(F282="OUT","DR","CR"))</f>
        <v/>
      </c>
      <c r="H282" s="11">
        <f>IF(A282="","",IFERROR(INDEX(BANK_CLEAN!$A$2:$A$1001,MATCH(MINIFS(BANK_CLEAN!$J$2:$J$1001,BANK_CLEAN!$H$2:$H$1001,G282,BANK_CLEAN!$L$2:$L$1001,""),BANK_CLEAN!$J$2:$J$1001,0)),""))</f>
        <v/>
      </c>
      <c r="I282" s="10">
        <f>IF(H282="","",INDEX(BANK_CLEAN!$B$2:$B$1001,H282))</f>
        <v/>
      </c>
      <c r="J282" s="14">
        <f>IF(H282="","",IF(F282="OUT",INDEX(BANK_CLEAN!$F$2:$F$1001,H282),INDEX(BANK_CLEAN!$E$2:$E$1001,H282)))</f>
        <v/>
      </c>
      <c r="K282" s="14">
        <f>IF(H282="","",ABS(E282-J282))</f>
        <v/>
      </c>
      <c r="L282" s="11">
        <f>IF(OR(H282="",B282="",I282=""),"",ABS(B282-I282))</f>
        <v/>
      </c>
      <c r="M282" s="15">
        <f>IF(H282="",0,LET(pct,IF(E282&gt;0,K282/E282,1),days,IFERROR(L282,999),100-pct*200-days*3))</f>
        <v/>
      </c>
      <c r="N282" s="11">
        <f>IF(A282="","",IF(H282="","Unmatched GL",IF(AND(K282&lt;=Tol_Amount,L282&lt;=Tol_Days),"Matched",IF(M282&gt;Tol_NearPct,"Near Match","Unmatched GL"))))</f>
        <v/>
      </c>
    </row>
    <row r="283">
      <c r="A283" s="13">
        <f>IF(GL_CLEAN!A283="","",GL_CLEAN!A283)</f>
        <v/>
      </c>
      <c r="B283" s="10">
        <f>IF(A283="","",GL_CLEAN!B283)</f>
        <v/>
      </c>
      <c r="C283" s="11">
        <f>IF(A283="","",GL_CLEAN!C283)</f>
        <v/>
      </c>
      <c r="D283" s="14">
        <f>IF(A283="","",GL_CLEAN!H283)</f>
        <v/>
      </c>
      <c r="E283" s="14">
        <f>IF(A283="","",GL_CLEAN!I283)</f>
        <v/>
      </c>
      <c r="F283" s="11">
        <f>IF(A283="","",GL_CLEAN!J283)</f>
        <v/>
      </c>
      <c r="G283" s="11">
        <f>IF(A283="","",IF(F283="OUT","DR","CR"))</f>
        <v/>
      </c>
      <c r="H283" s="11">
        <f>IF(A283="","",IFERROR(INDEX(BANK_CLEAN!$A$2:$A$1001,MATCH(MINIFS(BANK_CLEAN!$J$2:$J$1001,BANK_CLEAN!$H$2:$H$1001,G283,BANK_CLEAN!$L$2:$L$1001,""),BANK_CLEAN!$J$2:$J$1001,0)),""))</f>
        <v/>
      </c>
      <c r="I283" s="10">
        <f>IF(H283="","",INDEX(BANK_CLEAN!$B$2:$B$1001,H283))</f>
        <v/>
      </c>
      <c r="J283" s="14">
        <f>IF(H283="","",IF(F283="OUT",INDEX(BANK_CLEAN!$F$2:$F$1001,H283),INDEX(BANK_CLEAN!$E$2:$E$1001,H283)))</f>
        <v/>
      </c>
      <c r="K283" s="14">
        <f>IF(H283="","",ABS(E283-J283))</f>
        <v/>
      </c>
      <c r="L283" s="11">
        <f>IF(OR(H283="",B283="",I283=""),"",ABS(B283-I283))</f>
        <v/>
      </c>
      <c r="M283" s="15">
        <f>IF(H283="",0,LET(pct,IF(E283&gt;0,K283/E283,1),days,IFERROR(L283,999),100-pct*200-days*3))</f>
        <v/>
      </c>
      <c r="N283" s="11">
        <f>IF(A283="","",IF(H283="","Unmatched GL",IF(AND(K283&lt;=Tol_Amount,L283&lt;=Tol_Days),"Matched",IF(M283&gt;Tol_NearPct,"Near Match","Unmatched GL"))))</f>
        <v/>
      </c>
    </row>
    <row r="284">
      <c r="A284" s="13">
        <f>IF(GL_CLEAN!A284="","",GL_CLEAN!A284)</f>
        <v/>
      </c>
      <c r="B284" s="10">
        <f>IF(A284="","",GL_CLEAN!B284)</f>
        <v/>
      </c>
      <c r="C284" s="11">
        <f>IF(A284="","",GL_CLEAN!C284)</f>
        <v/>
      </c>
      <c r="D284" s="14">
        <f>IF(A284="","",GL_CLEAN!H284)</f>
        <v/>
      </c>
      <c r="E284" s="14">
        <f>IF(A284="","",GL_CLEAN!I284)</f>
        <v/>
      </c>
      <c r="F284" s="11">
        <f>IF(A284="","",GL_CLEAN!J284)</f>
        <v/>
      </c>
      <c r="G284" s="11">
        <f>IF(A284="","",IF(F284="OUT","DR","CR"))</f>
        <v/>
      </c>
      <c r="H284" s="11">
        <f>IF(A284="","",IFERROR(INDEX(BANK_CLEAN!$A$2:$A$1001,MATCH(MINIFS(BANK_CLEAN!$J$2:$J$1001,BANK_CLEAN!$H$2:$H$1001,G284,BANK_CLEAN!$L$2:$L$1001,""),BANK_CLEAN!$J$2:$J$1001,0)),""))</f>
        <v/>
      </c>
      <c r="I284" s="10">
        <f>IF(H284="","",INDEX(BANK_CLEAN!$B$2:$B$1001,H284))</f>
        <v/>
      </c>
      <c r="J284" s="14">
        <f>IF(H284="","",IF(F284="OUT",INDEX(BANK_CLEAN!$F$2:$F$1001,H284),INDEX(BANK_CLEAN!$E$2:$E$1001,H284)))</f>
        <v/>
      </c>
      <c r="K284" s="14">
        <f>IF(H284="","",ABS(E284-J284))</f>
        <v/>
      </c>
      <c r="L284" s="11">
        <f>IF(OR(H284="",B284="",I284=""),"",ABS(B284-I284))</f>
        <v/>
      </c>
      <c r="M284" s="15">
        <f>IF(H284="",0,LET(pct,IF(E284&gt;0,K284/E284,1),days,IFERROR(L284,999),100-pct*200-days*3))</f>
        <v/>
      </c>
      <c r="N284" s="11">
        <f>IF(A284="","",IF(H284="","Unmatched GL",IF(AND(K284&lt;=Tol_Amount,L284&lt;=Tol_Days),"Matched",IF(M284&gt;Tol_NearPct,"Near Match","Unmatched GL"))))</f>
        <v/>
      </c>
    </row>
    <row r="285">
      <c r="A285" s="13">
        <f>IF(GL_CLEAN!A285="","",GL_CLEAN!A285)</f>
        <v/>
      </c>
      <c r="B285" s="10">
        <f>IF(A285="","",GL_CLEAN!B285)</f>
        <v/>
      </c>
      <c r="C285" s="11">
        <f>IF(A285="","",GL_CLEAN!C285)</f>
        <v/>
      </c>
      <c r="D285" s="14">
        <f>IF(A285="","",GL_CLEAN!H285)</f>
        <v/>
      </c>
      <c r="E285" s="14">
        <f>IF(A285="","",GL_CLEAN!I285)</f>
        <v/>
      </c>
      <c r="F285" s="11">
        <f>IF(A285="","",GL_CLEAN!J285)</f>
        <v/>
      </c>
      <c r="G285" s="11">
        <f>IF(A285="","",IF(F285="OUT","DR","CR"))</f>
        <v/>
      </c>
      <c r="H285" s="11">
        <f>IF(A285="","",IFERROR(INDEX(BANK_CLEAN!$A$2:$A$1001,MATCH(MINIFS(BANK_CLEAN!$J$2:$J$1001,BANK_CLEAN!$H$2:$H$1001,G285,BANK_CLEAN!$L$2:$L$1001,""),BANK_CLEAN!$J$2:$J$1001,0)),""))</f>
        <v/>
      </c>
      <c r="I285" s="10">
        <f>IF(H285="","",INDEX(BANK_CLEAN!$B$2:$B$1001,H285))</f>
        <v/>
      </c>
      <c r="J285" s="14">
        <f>IF(H285="","",IF(F285="OUT",INDEX(BANK_CLEAN!$F$2:$F$1001,H285),INDEX(BANK_CLEAN!$E$2:$E$1001,H285)))</f>
        <v/>
      </c>
      <c r="K285" s="14">
        <f>IF(H285="","",ABS(E285-J285))</f>
        <v/>
      </c>
      <c r="L285" s="11">
        <f>IF(OR(H285="",B285="",I285=""),"",ABS(B285-I285))</f>
        <v/>
      </c>
      <c r="M285" s="15">
        <f>IF(H285="",0,LET(pct,IF(E285&gt;0,K285/E285,1),days,IFERROR(L285,999),100-pct*200-days*3))</f>
        <v/>
      </c>
      <c r="N285" s="11">
        <f>IF(A285="","",IF(H285="","Unmatched GL",IF(AND(K285&lt;=Tol_Amount,L285&lt;=Tol_Days),"Matched",IF(M285&gt;Tol_NearPct,"Near Match","Unmatched GL"))))</f>
        <v/>
      </c>
    </row>
    <row r="286">
      <c r="A286" s="13">
        <f>IF(GL_CLEAN!A286="","",GL_CLEAN!A286)</f>
        <v/>
      </c>
      <c r="B286" s="10">
        <f>IF(A286="","",GL_CLEAN!B286)</f>
        <v/>
      </c>
      <c r="C286" s="11">
        <f>IF(A286="","",GL_CLEAN!C286)</f>
        <v/>
      </c>
      <c r="D286" s="14">
        <f>IF(A286="","",GL_CLEAN!H286)</f>
        <v/>
      </c>
      <c r="E286" s="14">
        <f>IF(A286="","",GL_CLEAN!I286)</f>
        <v/>
      </c>
      <c r="F286" s="11">
        <f>IF(A286="","",GL_CLEAN!J286)</f>
        <v/>
      </c>
      <c r="G286" s="11">
        <f>IF(A286="","",IF(F286="OUT","DR","CR"))</f>
        <v/>
      </c>
      <c r="H286" s="11">
        <f>IF(A286="","",IFERROR(INDEX(BANK_CLEAN!$A$2:$A$1001,MATCH(MINIFS(BANK_CLEAN!$J$2:$J$1001,BANK_CLEAN!$H$2:$H$1001,G286,BANK_CLEAN!$L$2:$L$1001,""),BANK_CLEAN!$J$2:$J$1001,0)),""))</f>
        <v/>
      </c>
      <c r="I286" s="10">
        <f>IF(H286="","",INDEX(BANK_CLEAN!$B$2:$B$1001,H286))</f>
        <v/>
      </c>
      <c r="J286" s="14">
        <f>IF(H286="","",IF(F286="OUT",INDEX(BANK_CLEAN!$F$2:$F$1001,H286),INDEX(BANK_CLEAN!$E$2:$E$1001,H286)))</f>
        <v/>
      </c>
      <c r="K286" s="14">
        <f>IF(H286="","",ABS(E286-J286))</f>
        <v/>
      </c>
      <c r="L286" s="11">
        <f>IF(OR(H286="",B286="",I286=""),"",ABS(B286-I286))</f>
        <v/>
      </c>
      <c r="M286" s="15">
        <f>IF(H286="",0,LET(pct,IF(E286&gt;0,K286/E286,1),days,IFERROR(L286,999),100-pct*200-days*3))</f>
        <v/>
      </c>
      <c r="N286" s="11">
        <f>IF(A286="","",IF(H286="","Unmatched GL",IF(AND(K286&lt;=Tol_Amount,L286&lt;=Tol_Days),"Matched",IF(M286&gt;Tol_NearPct,"Near Match","Unmatched GL"))))</f>
        <v/>
      </c>
    </row>
    <row r="287">
      <c r="A287" s="13">
        <f>IF(GL_CLEAN!A287="","",GL_CLEAN!A287)</f>
        <v/>
      </c>
      <c r="B287" s="10">
        <f>IF(A287="","",GL_CLEAN!B287)</f>
        <v/>
      </c>
      <c r="C287" s="11">
        <f>IF(A287="","",GL_CLEAN!C287)</f>
        <v/>
      </c>
      <c r="D287" s="14">
        <f>IF(A287="","",GL_CLEAN!H287)</f>
        <v/>
      </c>
      <c r="E287" s="14">
        <f>IF(A287="","",GL_CLEAN!I287)</f>
        <v/>
      </c>
      <c r="F287" s="11">
        <f>IF(A287="","",GL_CLEAN!J287)</f>
        <v/>
      </c>
      <c r="G287" s="11">
        <f>IF(A287="","",IF(F287="OUT","DR","CR"))</f>
        <v/>
      </c>
      <c r="H287" s="11">
        <f>IF(A287="","",IFERROR(INDEX(BANK_CLEAN!$A$2:$A$1001,MATCH(MINIFS(BANK_CLEAN!$J$2:$J$1001,BANK_CLEAN!$H$2:$H$1001,G287,BANK_CLEAN!$L$2:$L$1001,""),BANK_CLEAN!$J$2:$J$1001,0)),""))</f>
        <v/>
      </c>
      <c r="I287" s="10">
        <f>IF(H287="","",INDEX(BANK_CLEAN!$B$2:$B$1001,H287))</f>
        <v/>
      </c>
      <c r="J287" s="14">
        <f>IF(H287="","",IF(F287="OUT",INDEX(BANK_CLEAN!$F$2:$F$1001,H287),INDEX(BANK_CLEAN!$E$2:$E$1001,H287)))</f>
        <v/>
      </c>
      <c r="K287" s="14">
        <f>IF(H287="","",ABS(E287-J287))</f>
        <v/>
      </c>
      <c r="L287" s="11">
        <f>IF(OR(H287="",B287="",I287=""),"",ABS(B287-I287))</f>
        <v/>
      </c>
      <c r="M287" s="15">
        <f>IF(H287="",0,LET(pct,IF(E287&gt;0,K287/E287,1),days,IFERROR(L287,999),100-pct*200-days*3))</f>
        <v/>
      </c>
      <c r="N287" s="11">
        <f>IF(A287="","",IF(H287="","Unmatched GL",IF(AND(K287&lt;=Tol_Amount,L287&lt;=Tol_Days),"Matched",IF(M287&gt;Tol_NearPct,"Near Match","Unmatched GL"))))</f>
        <v/>
      </c>
    </row>
    <row r="288">
      <c r="A288" s="13">
        <f>IF(GL_CLEAN!A288="","",GL_CLEAN!A288)</f>
        <v/>
      </c>
      <c r="B288" s="10">
        <f>IF(A288="","",GL_CLEAN!B288)</f>
        <v/>
      </c>
      <c r="C288" s="11">
        <f>IF(A288="","",GL_CLEAN!C288)</f>
        <v/>
      </c>
      <c r="D288" s="14">
        <f>IF(A288="","",GL_CLEAN!H288)</f>
        <v/>
      </c>
      <c r="E288" s="14">
        <f>IF(A288="","",GL_CLEAN!I288)</f>
        <v/>
      </c>
      <c r="F288" s="11">
        <f>IF(A288="","",GL_CLEAN!J288)</f>
        <v/>
      </c>
      <c r="G288" s="11">
        <f>IF(A288="","",IF(F288="OUT","DR","CR"))</f>
        <v/>
      </c>
      <c r="H288" s="11">
        <f>IF(A288="","",IFERROR(INDEX(BANK_CLEAN!$A$2:$A$1001,MATCH(MINIFS(BANK_CLEAN!$J$2:$J$1001,BANK_CLEAN!$H$2:$H$1001,G288,BANK_CLEAN!$L$2:$L$1001,""),BANK_CLEAN!$J$2:$J$1001,0)),""))</f>
        <v/>
      </c>
      <c r="I288" s="10">
        <f>IF(H288="","",INDEX(BANK_CLEAN!$B$2:$B$1001,H288))</f>
        <v/>
      </c>
      <c r="J288" s="14">
        <f>IF(H288="","",IF(F288="OUT",INDEX(BANK_CLEAN!$F$2:$F$1001,H288),INDEX(BANK_CLEAN!$E$2:$E$1001,H288)))</f>
        <v/>
      </c>
      <c r="K288" s="14">
        <f>IF(H288="","",ABS(E288-J288))</f>
        <v/>
      </c>
      <c r="L288" s="11">
        <f>IF(OR(H288="",B288="",I288=""),"",ABS(B288-I288))</f>
        <v/>
      </c>
      <c r="M288" s="15">
        <f>IF(H288="",0,LET(pct,IF(E288&gt;0,K288/E288,1),days,IFERROR(L288,999),100-pct*200-days*3))</f>
        <v/>
      </c>
      <c r="N288" s="11">
        <f>IF(A288="","",IF(H288="","Unmatched GL",IF(AND(K288&lt;=Tol_Amount,L288&lt;=Tol_Days),"Matched",IF(M288&gt;Tol_NearPct,"Near Match","Unmatched GL"))))</f>
        <v/>
      </c>
    </row>
    <row r="289">
      <c r="A289" s="13">
        <f>IF(GL_CLEAN!A289="","",GL_CLEAN!A289)</f>
        <v/>
      </c>
      <c r="B289" s="10">
        <f>IF(A289="","",GL_CLEAN!B289)</f>
        <v/>
      </c>
      <c r="C289" s="11">
        <f>IF(A289="","",GL_CLEAN!C289)</f>
        <v/>
      </c>
      <c r="D289" s="14">
        <f>IF(A289="","",GL_CLEAN!H289)</f>
        <v/>
      </c>
      <c r="E289" s="14">
        <f>IF(A289="","",GL_CLEAN!I289)</f>
        <v/>
      </c>
      <c r="F289" s="11">
        <f>IF(A289="","",GL_CLEAN!J289)</f>
        <v/>
      </c>
      <c r="G289" s="11">
        <f>IF(A289="","",IF(F289="OUT","DR","CR"))</f>
        <v/>
      </c>
      <c r="H289" s="11">
        <f>IF(A289="","",IFERROR(INDEX(BANK_CLEAN!$A$2:$A$1001,MATCH(MINIFS(BANK_CLEAN!$J$2:$J$1001,BANK_CLEAN!$H$2:$H$1001,G289,BANK_CLEAN!$L$2:$L$1001,""),BANK_CLEAN!$J$2:$J$1001,0)),""))</f>
        <v/>
      </c>
      <c r="I289" s="10">
        <f>IF(H289="","",INDEX(BANK_CLEAN!$B$2:$B$1001,H289))</f>
        <v/>
      </c>
      <c r="J289" s="14">
        <f>IF(H289="","",IF(F289="OUT",INDEX(BANK_CLEAN!$F$2:$F$1001,H289),INDEX(BANK_CLEAN!$E$2:$E$1001,H289)))</f>
        <v/>
      </c>
      <c r="K289" s="14">
        <f>IF(H289="","",ABS(E289-J289))</f>
        <v/>
      </c>
      <c r="L289" s="11">
        <f>IF(OR(H289="",B289="",I289=""),"",ABS(B289-I289))</f>
        <v/>
      </c>
      <c r="M289" s="15">
        <f>IF(H289="",0,LET(pct,IF(E289&gt;0,K289/E289,1),days,IFERROR(L289,999),100-pct*200-days*3))</f>
        <v/>
      </c>
      <c r="N289" s="11">
        <f>IF(A289="","",IF(H289="","Unmatched GL",IF(AND(K289&lt;=Tol_Amount,L289&lt;=Tol_Days),"Matched",IF(M289&gt;Tol_NearPct,"Near Match","Unmatched GL"))))</f>
        <v/>
      </c>
    </row>
    <row r="290">
      <c r="A290" s="13">
        <f>IF(GL_CLEAN!A290="","",GL_CLEAN!A290)</f>
        <v/>
      </c>
      <c r="B290" s="10">
        <f>IF(A290="","",GL_CLEAN!B290)</f>
        <v/>
      </c>
      <c r="C290" s="11">
        <f>IF(A290="","",GL_CLEAN!C290)</f>
        <v/>
      </c>
      <c r="D290" s="14">
        <f>IF(A290="","",GL_CLEAN!H290)</f>
        <v/>
      </c>
      <c r="E290" s="14">
        <f>IF(A290="","",GL_CLEAN!I290)</f>
        <v/>
      </c>
      <c r="F290" s="11">
        <f>IF(A290="","",GL_CLEAN!J290)</f>
        <v/>
      </c>
      <c r="G290" s="11">
        <f>IF(A290="","",IF(F290="OUT","DR","CR"))</f>
        <v/>
      </c>
      <c r="H290" s="11">
        <f>IF(A290="","",IFERROR(INDEX(BANK_CLEAN!$A$2:$A$1001,MATCH(MINIFS(BANK_CLEAN!$J$2:$J$1001,BANK_CLEAN!$H$2:$H$1001,G290,BANK_CLEAN!$L$2:$L$1001,""),BANK_CLEAN!$J$2:$J$1001,0)),""))</f>
        <v/>
      </c>
      <c r="I290" s="10">
        <f>IF(H290="","",INDEX(BANK_CLEAN!$B$2:$B$1001,H290))</f>
        <v/>
      </c>
      <c r="J290" s="14">
        <f>IF(H290="","",IF(F290="OUT",INDEX(BANK_CLEAN!$F$2:$F$1001,H290),INDEX(BANK_CLEAN!$E$2:$E$1001,H290)))</f>
        <v/>
      </c>
      <c r="K290" s="14">
        <f>IF(H290="","",ABS(E290-J290))</f>
        <v/>
      </c>
      <c r="L290" s="11">
        <f>IF(OR(H290="",B290="",I290=""),"",ABS(B290-I290))</f>
        <v/>
      </c>
      <c r="M290" s="15">
        <f>IF(H290="",0,LET(pct,IF(E290&gt;0,K290/E290,1),days,IFERROR(L290,999),100-pct*200-days*3))</f>
        <v/>
      </c>
      <c r="N290" s="11">
        <f>IF(A290="","",IF(H290="","Unmatched GL",IF(AND(K290&lt;=Tol_Amount,L290&lt;=Tol_Days),"Matched",IF(M290&gt;Tol_NearPct,"Near Match","Unmatched GL"))))</f>
        <v/>
      </c>
    </row>
    <row r="291">
      <c r="A291" s="13">
        <f>IF(GL_CLEAN!A291="","",GL_CLEAN!A291)</f>
        <v/>
      </c>
      <c r="B291" s="10">
        <f>IF(A291="","",GL_CLEAN!B291)</f>
        <v/>
      </c>
      <c r="C291" s="11">
        <f>IF(A291="","",GL_CLEAN!C291)</f>
        <v/>
      </c>
      <c r="D291" s="14">
        <f>IF(A291="","",GL_CLEAN!H291)</f>
        <v/>
      </c>
      <c r="E291" s="14">
        <f>IF(A291="","",GL_CLEAN!I291)</f>
        <v/>
      </c>
      <c r="F291" s="11">
        <f>IF(A291="","",GL_CLEAN!J291)</f>
        <v/>
      </c>
      <c r="G291" s="11">
        <f>IF(A291="","",IF(F291="OUT","DR","CR"))</f>
        <v/>
      </c>
      <c r="H291" s="11">
        <f>IF(A291="","",IFERROR(INDEX(BANK_CLEAN!$A$2:$A$1001,MATCH(MINIFS(BANK_CLEAN!$J$2:$J$1001,BANK_CLEAN!$H$2:$H$1001,G291,BANK_CLEAN!$L$2:$L$1001,""),BANK_CLEAN!$J$2:$J$1001,0)),""))</f>
        <v/>
      </c>
      <c r="I291" s="10">
        <f>IF(H291="","",INDEX(BANK_CLEAN!$B$2:$B$1001,H291))</f>
        <v/>
      </c>
      <c r="J291" s="14">
        <f>IF(H291="","",IF(F291="OUT",INDEX(BANK_CLEAN!$F$2:$F$1001,H291),INDEX(BANK_CLEAN!$E$2:$E$1001,H291)))</f>
        <v/>
      </c>
      <c r="K291" s="14">
        <f>IF(H291="","",ABS(E291-J291))</f>
        <v/>
      </c>
      <c r="L291" s="11">
        <f>IF(OR(H291="",B291="",I291=""),"",ABS(B291-I291))</f>
        <v/>
      </c>
      <c r="M291" s="15">
        <f>IF(H291="",0,LET(pct,IF(E291&gt;0,K291/E291,1),days,IFERROR(L291,999),100-pct*200-days*3))</f>
        <v/>
      </c>
      <c r="N291" s="11">
        <f>IF(A291="","",IF(H291="","Unmatched GL",IF(AND(K291&lt;=Tol_Amount,L291&lt;=Tol_Days),"Matched",IF(M291&gt;Tol_NearPct,"Near Match","Unmatched GL"))))</f>
        <v/>
      </c>
    </row>
    <row r="292">
      <c r="A292" s="13">
        <f>IF(GL_CLEAN!A292="","",GL_CLEAN!A292)</f>
        <v/>
      </c>
      <c r="B292" s="10">
        <f>IF(A292="","",GL_CLEAN!B292)</f>
        <v/>
      </c>
      <c r="C292" s="11">
        <f>IF(A292="","",GL_CLEAN!C292)</f>
        <v/>
      </c>
      <c r="D292" s="14">
        <f>IF(A292="","",GL_CLEAN!H292)</f>
        <v/>
      </c>
      <c r="E292" s="14">
        <f>IF(A292="","",GL_CLEAN!I292)</f>
        <v/>
      </c>
      <c r="F292" s="11">
        <f>IF(A292="","",GL_CLEAN!J292)</f>
        <v/>
      </c>
      <c r="G292" s="11">
        <f>IF(A292="","",IF(F292="OUT","DR","CR"))</f>
        <v/>
      </c>
      <c r="H292" s="11">
        <f>IF(A292="","",IFERROR(INDEX(BANK_CLEAN!$A$2:$A$1001,MATCH(MINIFS(BANK_CLEAN!$J$2:$J$1001,BANK_CLEAN!$H$2:$H$1001,G292,BANK_CLEAN!$L$2:$L$1001,""),BANK_CLEAN!$J$2:$J$1001,0)),""))</f>
        <v/>
      </c>
      <c r="I292" s="10">
        <f>IF(H292="","",INDEX(BANK_CLEAN!$B$2:$B$1001,H292))</f>
        <v/>
      </c>
      <c r="J292" s="14">
        <f>IF(H292="","",IF(F292="OUT",INDEX(BANK_CLEAN!$F$2:$F$1001,H292),INDEX(BANK_CLEAN!$E$2:$E$1001,H292)))</f>
        <v/>
      </c>
      <c r="K292" s="14">
        <f>IF(H292="","",ABS(E292-J292))</f>
        <v/>
      </c>
      <c r="L292" s="11">
        <f>IF(OR(H292="",B292="",I292=""),"",ABS(B292-I292))</f>
        <v/>
      </c>
      <c r="M292" s="15">
        <f>IF(H292="",0,LET(pct,IF(E292&gt;0,K292/E292,1),days,IFERROR(L292,999),100-pct*200-days*3))</f>
        <v/>
      </c>
      <c r="N292" s="11">
        <f>IF(A292="","",IF(H292="","Unmatched GL",IF(AND(K292&lt;=Tol_Amount,L292&lt;=Tol_Days),"Matched",IF(M292&gt;Tol_NearPct,"Near Match","Unmatched GL"))))</f>
        <v/>
      </c>
    </row>
    <row r="293">
      <c r="A293" s="13">
        <f>IF(GL_CLEAN!A293="","",GL_CLEAN!A293)</f>
        <v/>
      </c>
      <c r="B293" s="10">
        <f>IF(A293="","",GL_CLEAN!B293)</f>
        <v/>
      </c>
      <c r="C293" s="11">
        <f>IF(A293="","",GL_CLEAN!C293)</f>
        <v/>
      </c>
      <c r="D293" s="14">
        <f>IF(A293="","",GL_CLEAN!H293)</f>
        <v/>
      </c>
      <c r="E293" s="14">
        <f>IF(A293="","",GL_CLEAN!I293)</f>
        <v/>
      </c>
      <c r="F293" s="11">
        <f>IF(A293="","",GL_CLEAN!J293)</f>
        <v/>
      </c>
      <c r="G293" s="11">
        <f>IF(A293="","",IF(F293="OUT","DR","CR"))</f>
        <v/>
      </c>
      <c r="H293" s="11">
        <f>IF(A293="","",IFERROR(INDEX(BANK_CLEAN!$A$2:$A$1001,MATCH(MINIFS(BANK_CLEAN!$J$2:$J$1001,BANK_CLEAN!$H$2:$H$1001,G293,BANK_CLEAN!$L$2:$L$1001,""),BANK_CLEAN!$J$2:$J$1001,0)),""))</f>
        <v/>
      </c>
      <c r="I293" s="10">
        <f>IF(H293="","",INDEX(BANK_CLEAN!$B$2:$B$1001,H293))</f>
        <v/>
      </c>
      <c r="J293" s="14">
        <f>IF(H293="","",IF(F293="OUT",INDEX(BANK_CLEAN!$F$2:$F$1001,H293),INDEX(BANK_CLEAN!$E$2:$E$1001,H293)))</f>
        <v/>
      </c>
      <c r="K293" s="14">
        <f>IF(H293="","",ABS(E293-J293))</f>
        <v/>
      </c>
      <c r="L293" s="11">
        <f>IF(OR(H293="",B293="",I293=""),"",ABS(B293-I293))</f>
        <v/>
      </c>
      <c r="M293" s="15">
        <f>IF(H293="",0,LET(pct,IF(E293&gt;0,K293/E293,1),days,IFERROR(L293,999),100-pct*200-days*3))</f>
        <v/>
      </c>
      <c r="N293" s="11">
        <f>IF(A293="","",IF(H293="","Unmatched GL",IF(AND(K293&lt;=Tol_Amount,L293&lt;=Tol_Days),"Matched",IF(M293&gt;Tol_NearPct,"Near Match","Unmatched GL"))))</f>
        <v/>
      </c>
    </row>
    <row r="294">
      <c r="A294" s="13">
        <f>IF(GL_CLEAN!A294="","",GL_CLEAN!A294)</f>
        <v/>
      </c>
      <c r="B294" s="10">
        <f>IF(A294="","",GL_CLEAN!B294)</f>
        <v/>
      </c>
      <c r="C294" s="11">
        <f>IF(A294="","",GL_CLEAN!C294)</f>
        <v/>
      </c>
      <c r="D294" s="14">
        <f>IF(A294="","",GL_CLEAN!H294)</f>
        <v/>
      </c>
      <c r="E294" s="14">
        <f>IF(A294="","",GL_CLEAN!I294)</f>
        <v/>
      </c>
      <c r="F294" s="11">
        <f>IF(A294="","",GL_CLEAN!J294)</f>
        <v/>
      </c>
      <c r="G294" s="11">
        <f>IF(A294="","",IF(F294="OUT","DR","CR"))</f>
        <v/>
      </c>
      <c r="H294" s="11">
        <f>IF(A294="","",IFERROR(INDEX(BANK_CLEAN!$A$2:$A$1001,MATCH(MINIFS(BANK_CLEAN!$J$2:$J$1001,BANK_CLEAN!$H$2:$H$1001,G294,BANK_CLEAN!$L$2:$L$1001,""),BANK_CLEAN!$J$2:$J$1001,0)),""))</f>
        <v/>
      </c>
      <c r="I294" s="10">
        <f>IF(H294="","",INDEX(BANK_CLEAN!$B$2:$B$1001,H294))</f>
        <v/>
      </c>
      <c r="J294" s="14">
        <f>IF(H294="","",IF(F294="OUT",INDEX(BANK_CLEAN!$F$2:$F$1001,H294),INDEX(BANK_CLEAN!$E$2:$E$1001,H294)))</f>
        <v/>
      </c>
      <c r="K294" s="14">
        <f>IF(H294="","",ABS(E294-J294))</f>
        <v/>
      </c>
      <c r="L294" s="11">
        <f>IF(OR(H294="",B294="",I294=""),"",ABS(B294-I294))</f>
        <v/>
      </c>
      <c r="M294" s="15">
        <f>IF(H294="",0,LET(pct,IF(E294&gt;0,K294/E294,1),days,IFERROR(L294,999),100-pct*200-days*3))</f>
        <v/>
      </c>
      <c r="N294" s="11">
        <f>IF(A294="","",IF(H294="","Unmatched GL",IF(AND(K294&lt;=Tol_Amount,L294&lt;=Tol_Days),"Matched",IF(M294&gt;Tol_NearPct,"Near Match","Unmatched GL"))))</f>
        <v/>
      </c>
    </row>
    <row r="295">
      <c r="A295" s="13">
        <f>IF(GL_CLEAN!A295="","",GL_CLEAN!A295)</f>
        <v/>
      </c>
      <c r="B295" s="10">
        <f>IF(A295="","",GL_CLEAN!B295)</f>
        <v/>
      </c>
      <c r="C295" s="11">
        <f>IF(A295="","",GL_CLEAN!C295)</f>
        <v/>
      </c>
      <c r="D295" s="14">
        <f>IF(A295="","",GL_CLEAN!H295)</f>
        <v/>
      </c>
      <c r="E295" s="14">
        <f>IF(A295="","",GL_CLEAN!I295)</f>
        <v/>
      </c>
      <c r="F295" s="11">
        <f>IF(A295="","",GL_CLEAN!J295)</f>
        <v/>
      </c>
      <c r="G295" s="11">
        <f>IF(A295="","",IF(F295="OUT","DR","CR"))</f>
        <v/>
      </c>
      <c r="H295" s="11">
        <f>IF(A295="","",IFERROR(INDEX(BANK_CLEAN!$A$2:$A$1001,MATCH(MINIFS(BANK_CLEAN!$J$2:$J$1001,BANK_CLEAN!$H$2:$H$1001,G295,BANK_CLEAN!$L$2:$L$1001,""),BANK_CLEAN!$J$2:$J$1001,0)),""))</f>
        <v/>
      </c>
      <c r="I295" s="10">
        <f>IF(H295="","",INDEX(BANK_CLEAN!$B$2:$B$1001,H295))</f>
        <v/>
      </c>
      <c r="J295" s="14">
        <f>IF(H295="","",IF(F295="OUT",INDEX(BANK_CLEAN!$F$2:$F$1001,H295),INDEX(BANK_CLEAN!$E$2:$E$1001,H295)))</f>
        <v/>
      </c>
      <c r="K295" s="14">
        <f>IF(H295="","",ABS(E295-J295))</f>
        <v/>
      </c>
      <c r="L295" s="11">
        <f>IF(OR(H295="",B295="",I295=""),"",ABS(B295-I295))</f>
        <v/>
      </c>
      <c r="M295" s="15">
        <f>IF(H295="",0,LET(pct,IF(E295&gt;0,K295/E295,1),days,IFERROR(L295,999),100-pct*200-days*3))</f>
        <v/>
      </c>
      <c r="N295" s="11">
        <f>IF(A295="","",IF(H295="","Unmatched GL",IF(AND(K295&lt;=Tol_Amount,L295&lt;=Tol_Days),"Matched",IF(M295&gt;Tol_NearPct,"Near Match","Unmatched GL"))))</f>
        <v/>
      </c>
    </row>
    <row r="296">
      <c r="A296" s="13">
        <f>IF(GL_CLEAN!A296="","",GL_CLEAN!A296)</f>
        <v/>
      </c>
      <c r="B296" s="10">
        <f>IF(A296="","",GL_CLEAN!B296)</f>
        <v/>
      </c>
      <c r="C296" s="11">
        <f>IF(A296="","",GL_CLEAN!C296)</f>
        <v/>
      </c>
      <c r="D296" s="14">
        <f>IF(A296="","",GL_CLEAN!H296)</f>
        <v/>
      </c>
      <c r="E296" s="14">
        <f>IF(A296="","",GL_CLEAN!I296)</f>
        <v/>
      </c>
      <c r="F296" s="11">
        <f>IF(A296="","",GL_CLEAN!J296)</f>
        <v/>
      </c>
      <c r="G296" s="11">
        <f>IF(A296="","",IF(F296="OUT","DR","CR"))</f>
        <v/>
      </c>
      <c r="H296" s="11">
        <f>IF(A296="","",IFERROR(INDEX(BANK_CLEAN!$A$2:$A$1001,MATCH(MINIFS(BANK_CLEAN!$J$2:$J$1001,BANK_CLEAN!$H$2:$H$1001,G296,BANK_CLEAN!$L$2:$L$1001,""),BANK_CLEAN!$J$2:$J$1001,0)),""))</f>
        <v/>
      </c>
      <c r="I296" s="10">
        <f>IF(H296="","",INDEX(BANK_CLEAN!$B$2:$B$1001,H296))</f>
        <v/>
      </c>
      <c r="J296" s="14">
        <f>IF(H296="","",IF(F296="OUT",INDEX(BANK_CLEAN!$F$2:$F$1001,H296),INDEX(BANK_CLEAN!$E$2:$E$1001,H296)))</f>
        <v/>
      </c>
      <c r="K296" s="14">
        <f>IF(H296="","",ABS(E296-J296))</f>
        <v/>
      </c>
      <c r="L296" s="11">
        <f>IF(OR(H296="",B296="",I296=""),"",ABS(B296-I296))</f>
        <v/>
      </c>
      <c r="M296" s="15">
        <f>IF(H296="",0,LET(pct,IF(E296&gt;0,K296/E296,1),days,IFERROR(L296,999),100-pct*200-days*3))</f>
        <v/>
      </c>
      <c r="N296" s="11">
        <f>IF(A296="","",IF(H296="","Unmatched GL",IF(AND(K296&lt;=Tol_Amount,L296&lt;=Tol_Days),"Matched",IF(M296&gt;Tol_NearPct,"Near Match","Unmatched GL"))))</f>
        <v/>
      </c>
    </row>
    <row r="297">
      <c r="A297" s="13">
        <f>IF(GL_CLEAN!A297="","",GL_CLEAN!A297)</f>
        <v/>
      </c>
      <c r="B297" s="10">
        <f>IF(A297="","",GL_CLEAN!B297)</f>
        <v/>
      </c>
      <c r="C297" s="11">
        <f>IF(A297="","",GL_CLEAN!C297)</f>
        <v/>
      </c>
      <c r="D297" s="14">
        <f>IF(A297="","",GL_CLEAN!H297)</f>
        <v/>
      </c>
      <c r="E297" s="14">
        <f>IF(A297="","",GL_CLEAN!I297)</f>
        <v/>
      </c>
      <c r="F297" s="11">
        <f>IF(A297="","",GL_CLEAN!J297)</f>
        <v/>
      </c>
      <c r="G297" s="11">
        <f>IF(A297="","",IF(F297="OUT","DR","CR"))</f>
        <v/>
      </c>
      <c r="H297" s="11">
        <f>IF(A297="","",IFERROR(INDEX(BANK_CLEAN!$A$2:$A$1001,MATCH(MINIFS(BANK_CLEAN!$J$2:$J$1001,BANK_CLEAN!$H$2:$H$1001,G297,BANK_CLEAN!$L$2:$L$1001,""),BANK_CLEAN!$J$2:$J$1001,0)),""))</f>
        <v/>
      </c>
      <c r="I297" s="10">
        <f>IF(H297="","",INDEX(BANK_CLEAN!$B$2:$B$1001,H297))</f>
        <v/>
      </c>
      <c r="J297" s="14">
        <f>IF(H297="","",IF(F297="OUT",INDEX(BANK_CLEAN!$F$2:$F$1001,H297),INDEX(BANK_CLEAN!$E$2:$E$1001,H297)))</f>
        <v/>
      </c>
      <c r="K297" s="14">
        <f>IF(H297="","",ABS(E297-J297))</f>
        <v/>
      </c>
      <c r="L297" s="11">
        <f>IF(OR(H297="",B297="",I297=""),"",ABS(B297-I297))</f>
        <v/>
      </c>
      <c r="M297" s="15">
        <f>IF(H297="",0,LET(pct,IF(E297&gt;0,K297/E297,1),days,IFERROR(L297,999),100-pct*200-days*3))</f>
        <v/>
      </c>
      <c r="N297" s="11">
        <f>IF(A297="","",IF(H297="","Unmatched GL",IF(AND(K297&lt;=Tol_Amount,L297&lt;=Tol_Days),"Matched",IF(M297&gt;Tol_NearPct,"Near Match","Unmatched GL"))))</f>
        <v/>
      </c>
    </row>
    <row r="298">
      <c r="A298" s="13">
        <f>IF(GL_CLEAN!A298="","",GL_CLEAN!A298)</f>
        <v/>
      </c>
      <c r="B298" s="10">
        <f>IF(A298="","",GL_CLEAN!B298)</f>
        <v/>
      </c>
      <c r="C298" s="11">
        <f>IF(A298="","",GL_CLEAN!C298)</f>
        <v/>
      </c>
      <c r="D298" s="14">
        <f>IF(A298="","",GL_CLEAN!H298)</f>
        <v/>
      </c>
      <c r="E298" s="14">
        <f>IF(A298="","",GL_CLEAN!I298)</f>
        <v/>
      </c>
      <c r="F298" s="11">
        <f>IF(A298="","",GL_CLEAN!J298)</f>
        <v/>
      </c>
      <c r="G298" s="11">
        <f>IF(A298="","",IF(F298="OUT","DR","CR"))</f>
        <v/>
      </c>
      <c r="H298" s="11">
        <f>IF(A298="","",IFERROR(INDEX(BANK_CLEAN!$A$2:$A$1001,MATCH(MINIFS(BANK_CLEAN!$J$2:$J$1001,BANK_CLEAN!$H$2:$H$1001,G298,BANK_CLEAN!$L$2:$L$1001,""),BANK_CLEAN!$J$2:$J$1001,0)),""))</f>
        <v/>
      </c>
      <c r="I298" s="10">
        <f>IF(H298="","",INDEX(BANK_CLEAN!$B$2:$B$1001,H298))</f>
        <v/>
      </c>
      <c r="J298" s="14">
        <f>IF(H298="","",IF(F298="OUT",INDEX(BANK_CLEAN!$F$2:$F$1001,H298),INDEX(BANK_CLEAN!$E$2:$E$1001,H298)))</f>
        <v/>
      </c>
      <c r="K298" s="14">
        <f>IF(H298="","",ABS(E298-J298))</f>
        <v/>
      </c>
      <c r="L298" s="11">
        <f>IF(OR(H298="",B298="",I298=""),"",ABS(B298-I298))</f>
        <v/>
      </c>
      <c r="M298" s="15">
        <f>IF(H298="",0,LET(pct,IF(E298&gt;0,K298/E298,1),days,IFERROR(L298,999),100-pct*200-days*3))</f>
        <v/>
      </c>
      <c r="N298" s="11">
        <f>IF(A298="","",IF(H298="","Unmatched GL",IF(AND(K298&lt;=Tol_Amount,L298&lt;=Tol_Days),"Matched",IF(M298&gt;Tol_NearPct,"Near Match","Unmatched GL"))))</f>
        <v/>
      </c>
    </row>
    <row r="299">
      <c r="A299" s="13">
        <f>IF(GL_CLEAN!A299="","",GL_CLEAN!A299)</f>
        <v/>
      </c>
      <c r="B299" s="10">
        <f>IF(A299="","",GL_CLEAN!B299)</f>
        <v/>
      </c>
      <c r="C299" s="11">
        <f>IF(A299="","",GL_CLEAN!C299)</f>
        <v/>
      </c>
      <c r="D299" s="14">
        <f>IF(A299="","",GL_CLEAN!H299)</f>
        <v/>
      </c>
      <c r="E299" s="14">
        <f>IF(A299="","",GL_CLEAN!I299)</f>
        <v/>
      </c>
      <c r="F299" s="11">
        <f>IF(A299="","",GL_CLEAN!J299)</f>
        <v/>
      </c>
      <c r="G299" s="11">
        <f>IF(A299="","",IF(F299="OUT","DR","CR"))</f>
        <v/>
      </c>
      <c r="H299" s="11">
        <f>IF(A299="","",IFERROR(INDEX(BANK_CLEAN!$A$2:$A$1001,MATCH(MINIFS(BANK_CLEAN!$J$2:$J$1001,BANK_CLEAN!$H$2:$H$1001,G299,BANK_CLEAN!$L$2:$L$1001,""),BANK_CLEAN!$J$2:$J$1001,0)),""))</f>
        <v/>
      </c>
      <c r="I299" s="10">
        <f>IF(H299="","",INDEX(BANK_CLEAN!$B$2:$B$1001,H299))</f>
        <v/>
      </c>
      <c r="J299" s="14">
        <f>IF(H299="","",IF(F299="OUT",INDEX(BANK_CLEAN!$F$2:$F$1001,H299),INDEX(BANK_CLEAN!$E$2:$E$1001,H299)))</f>
        <v/>
      </c>
      <c r="K299" s="14">
        <f>IF(H299="","",ABS(E299-J299))</f>
        <v/>
      </c>
      <c r="L299" s="11">
        <f>IF(OR(H299="",B299="",I299=""),"",ABS(B299-I299))</f>
        <v/>
      </c>
      <c r="M299" s="15">
        <f>IF(H299="",0,LET(pct,IF(E299&gt;0,K299/E299,1),days,IFERROR(L299,999),100-pct*200-days*3))</f>
        <v/>
      </c>
      <c r="N299" s="11">
        <f>IF(A299="","",IF(H299="","Unmatched GL",IF(AND(K299&lt;=Tol_Amount,L299&lt;=Tol_Days),"Matched",IF(M299&gt;Tol_NearPct,"Near Match","Unmatched GL"))))</f>
        <v/>
      </c>
    </row>
    <row r="300">
      <c r="A300" s="13">
        <f>IF(GL_CLEAN!A300="","",GL_CLEAN!A300)</f>
        <v/>
      </c>
      <c r="B300" s="10">
        <f>IF(A300="","",GL_CLEAN!B300)</f>
        <v/>
      </c>
      <c r="C300" s="11">
        <f>IF(A300="","",GL_CLEAN!C300)</f>
        <v/>
      </c>
      <c r="D300" s="14">
        <f>IF(A300="","",GL_CLEAN!H300)</f>
        <v/>
      </c>
      <c r="E300" s="14">
        <f>IF(A300="","",GL_CLEAN!I300)</f>
        <v/>
      </c>
      <c r="F300" s="11">
        <f>IF(A300="","",GL_CLEAN!J300)</f>
        <v/>
      </c>
      <c r="G300" s="11">
        <f>IF(A300="","",IF(F300="OUT","DR","CR"))</f>
        <v/>
      </c>
      <c r="H300" s="11">
        <f>IF(A300="","",IFERROR(INDEX(BANK_CLEAN!$A$2:$A$1001,MATCH(MINIFS(BANK_CLEAN!$J$2:$J$1001,BANK_CLEAN!$H$2:$H$1001,G300,BANK_CLEAN!$L$2:$L$1001,""),BANK_CLEAN!$J$2:$J$1001,0)),""))</f>
        <v/>
      </c>
      <c r="I300" s="10">
        <f>IF(H300="","",INDEX(BANK_CLEAN!$B$2:$B$1001,H300))</f>
        <v/>
      </c>
      <c r="J300" s="14">
        <f>IF(H300="","",IF(F300="OUT",INDEX(BANK_CLEAN!$F$2:$F$1001,H300),INDEX(BANK_CLEAN!$E$2:$E$1001,H300)))</f>
        <v/>
      </c>
      <c r="K300" s="14">
        <f>IF(H300="","",ABS(E300-J300))</f>
        <v/>
      </c>
      <c r="L300" s="11">
        <f>IF(OR(H300="",B300="",I300=""),"",ABS(B300-I300))</f>
        <v/>
      </c>
      <c r="M300" s="15">
        <f>IF(H300="",0,LET(pct,IF(E300&gt;0,K300/E300,1),days,IFERROR(L300,999),100-pct*200-days*3))</f>
        <v/>
      </c>
      <c r="N300" s="11">
        <f>IF(A300="","",IF(H300="","Unmatched GL",IF(AND(K300&lt;=Tol_Amount,L300&lt;=Tol_Days),"Matched",IF(M300&gt;Tol_NearPct,"Near Match","Unmatched GL"))))</f>
        <v/>
      </c>
    </row>
    <row r="301">
      <c r="A301" s="13">
        <f>IF(GL_CLEAN!A301="","",GL_CLEAN!A301)</f>
        <v/>
      </c>
      <c r="B301" s="10">
        <f>IF(A301="","",GL_CLEAN!B301)</f>
        <v/>
      </c>
      <c r="C301" s="11">
        <f>IF(A301="","",GL_CLEAN!C301)</f>
        <v/>
      </c>
      <c r="D301" s="14">
        <f>IF(A301="","",GL_CLEAN!H301)</f>
        <v/>
      </c>
      <c r="E301" s="14">
        <f>IF(A301="","",GL_CLEAN!I301)</f>
        <v/>
      </c>
      <c r="F301" s="11">
        <f>IF(A301="","",GL_CLEAN!J301)</f>
        <v/>
      </c>
      <c r="G301" s="11">
        <f>IF(A301="","",IF(F301="OUT","DR","CR"))</f>
        <v/>
      </c>
      <c r="H301" s="11">
        <f>IF(A301="","",IFERROR(INDEX(BANK_CLEAN!$A$2:$A$1001,MATCH(MINIFS(BANK_CLEAN!$J$2:$J$1001,BANK_CLEAN!$H$2:$H$1001,G301,BANK_CLEAN!$L$2:$L$1001,""),BANK_CLEAN!$J$2:$J$1001,0)),""))</f>
        <v/>
      </c>
      <c r="I301" s="10">
        <f>IF(H301="","",INDEX(BANK_CLEAN!$B$2:$B$1001,H301))</f>
        <v/>
      </c>
      <c r="J301" s="14">
        <f>IF(H301="","",IF(F301="OUT",INDEX(BANK_CLEAN!$F$2:$F$1001,H301),INDEX(BANK_CLEAN!$E$2:$E$1001,H301)))</f>
        <v/>
      </c>
      <c r="K301" s="14">
        <f>IF(H301="","",ABS(E301-J301))</f>
        <v/>
      </c>
      <c r="L301" s="11">
        <f>IF(OR(H301="",B301="",I301=""),"",ABS(B301-I301))</f>
        <v/>
      </c>
      <c r="M301" s="15">
        <f>IF(H301="",0,LET(pct,IF(E301&gt;0,K301/E301,1),days,IFERROR(L301,999),100-pct*200-days*3))</f>
        <v/>
      </c>
      <c r="N301" s="11">
        <f>IF(A301="","",IF(H301="","Unmatched GL",IF(AND(K301&lt;=Tol_Amount,L301&lt;=Tol_Days),"Matched",IF(M301&gt;Tol_NearPct,"Near Match","Unmatched GL"))))</f>
        <v/>
      </c>
    </row>
    <row r="302">
      <c r="A302" s="13">
        <f>IF(GL_CLEAN!A302="","",GL_CLEAN!A302)</f>
        <v/>
      </c>
      <c r="B302" s="10">
        <f>IF(A302="","",GL_CLEAN!B302)</f>
        <v/>
      </c>
      <c r="C302" s="11">
        <f>IF(A302="","",GL_CLEAN!C302)</f>
        <v/>
      </c>
      <c r="D302" s="14">
        <f>IF(A302="","",GL_CLEAN!H302)</f>
        <v/>
      </c>
      <c r="E302" s="14">
        <f>IF(A302="","",GL_CLEAN!I302)</f>
        <v/>
      </c>
      <c r="F302" s="11">
        <f>IF(A302="","",GL_CLEAN!J302)</f>
        <v/>
      </c>
      <c r="G302" s="11">
        <f>IF(A302="","",IF(F302="OUT","DR","CR"))</f>
        <v/>
      </c>
      <c r="H302" s="11">
        <f>IF(A302="","",IFERROR(INDEX(BANK_CLEAN!$A$2:$A$1001,MATCH(MINIFS(BANK_CLEAN!$J$2:$J$1001,BANK_CLEAN!$H$2:$H$1001,G302,BANK_CLEAN!$L$2:$L$1001,""),BANK_CLEAN!$J$2:$J$1001,0)),""))</f>
        <v/>
      </c>
      <c r="I302" s="10">
        <f>IF(H302="","",INDEX(BANK_CLEAN!$B$2:$B$1001,H302))</f>
        <v/>
      </c>
      <c r="J302" s="14">
        <f>IF(H302="","",IF(F302="OUT",INDEX(BANK_CLEAN!$F$2:$F$1001,H302),INDEX(BANK_CLEAN!$E$2:$E$1001,H302)))</f>
        <v/>
      </c>
      <c r="K302" s="14">
        <f>IF(H302="","",ABS(E302-J302))</f>
        <v/>
      </c>
      <c r="L302" s="11">
        <f>IF(OR(H302="",B302="",I302=""),"",ABS(B302-I302))</f>
        <v/>
      </c>
      <c r="M302" s="15">
        <f>IF(H302="",0,LET(pct,IF(E302&gt;0,K302/E302,1),days,IFERROR(L302,999),100-pct*200-days*3))</f>
        <v/>
      </c>
      <c r="N302" s="11">
        <f>IF(A302="","",IF(H302="","Unmatched GL",IF(AND(K302&lt;=Tol_Amount,L302&lt;=Tol_Days),"Matched",IF(M302&gt;Tol_NearPct,"Near Match","Unmatched GL"))))</f>
        <v/>
      </c>
    </row>
    <row r="303">
      <c r="A303" s="13">
        <f>IF(GL_CLEAN!A303="","",GL_CLEAN!A303)</f>
        <v/>
      </c>
      <c r="B303" s="10">
        <f>IF(A303="","",GL_CLEAN!B303)</f>
        <v/>
      </c>
      <c r="C303" s="11">
        <f>IF(A303="","",GL_CLEAN!C303)</f>
        <v/>
      </c>
      <c r="D303" s="14">
        <f>IF(A303="","",GL_CLEAN!H303)</f>
        <v/>
      </c>
      <c r="E303" s="14">
        <f>IF(A303="","",GL_CLEAN!I303)</f>
        <v/>
      </c>
      <c r="F303" s="11">
        <f>IF(A303="","",GL_CLEAN!J303)</f>
        <v/>
      </c>
      <c r="G303" s="11">
        <f>IF(A303="","",IF(F303="OUT","DR","CR"))</f>
        <v/>
      </c>
      <c r="H303" s="11">
        <f>IF(A303="","",IFERROR(INDEX(BANK_CLEAN!$A$2:$A$1001,MATCH(MINIFS(BANK_CLEAN!$J$2:$J$1001,BANK_CLEAN!$H$2:$H$1001,G303,BANK_CLEAN!$L$2:$L$1001,""),BANK_CLEAN!$J$2:$J$1001,0)),""))</f>
        <v/>
      </c>
      <c r="I303" s="10">
        <f>IF(H303="","",INDEX(BANK_CLEAN!$B$2:$B$1001,H303))</f>
        <v/>
      </c>
      <c r="J303" s="14">
        <f>IF(H303="","",IF(F303="OUT",INDEX(BANK_CLEAN!$F$2:$F$1001,H303),INDEX(BANK_CLEAN!$E$2:$E$1001,H303)))</f>
        <v/>
      </c>
      <c r="K303" s="14">
        <f>IF(H303="","",ABS(E303-J303))</f>
        <v/>
      </c>
      <c r="L303" s="11">
        <f>IF(OR(H303="",B303="",I303=""),"",ABS(B303-I303))</f>
        <v/>
      </c>
      <c r="M303" s="15">
        <f>IF(H303="",0,LET(pct,IF(E303&gt;0,K303/E303,1),days,IFERROR(L303,999),100-pct*200-days*3))</f>
        <v/>
      </c>
      <c r="N303" s="11">
        <f>IF(A303="","",IF(H303="","Unmatched GL",IF(AND(K303&lt;=Tol_Amount,L303&lt;=Tol_Days),"Matched",IF(M303&gt;Tol_NearPct,"Near Match","Unmatched GL"))))</f>
        <v/>
      </c>
    </row>
    <row r="304">
      <c r="A304" s="13">
        <f>IF(GL_CLEAN!A304="","",GL_CLEAN!A304)</f>
        <v/>
      </c>
      <c r="B304" s="10">
        <f>IF(A304="","",GL_CLEAN!B304)</f>
        <v/>
      </c>
      <c r="C304" s="11">
        <f>IF(A304="","",GL_CLEAN!C304)</f>
        <v/>
      </c>
      <c r="D304" s="14">
        <f>IF(A304="","",GL_CLEAN!H304)</f>
        <v/>
      </c>
      <c r="E304" s="14">
        <f>IF(A304="","",GL_CLEAN!I304)</f>
        <v/>
      </c>
      <c r="F304" s="11">
        <f>IF(A304="","",GL_CLEAN!J304)</f>
        <v/>
      </c>
      <c r="G304" s="11">
        <f>IF(A304="","",IF(F304="OUT","DR","CR"))</f>
        <v/>
      </c>
      <c r="H304" s="11">
        <f>IF(A304="","",IFERROR(INDEX(BANK_CLEAN!$A$2:$A$1001,MATCH(MINIFS(BANK_CLEAN!$J$2:$J$1001,BANK_CLEAN!$H$2:$H$1001,G304,BANK_CLEAN!$L$2:$L$1001,""),BANK_CLEAN!$J$2:$J$1001,0)),""))</f>
        <v/>
      </c>
      <c r="I304" s="10">
        <f>IF(H304="","",INDEX(BANK_CLEAN!$B$2:$B$1001,H304))</f>
        <v/>
      </c>
      <c r="J304" s="14">
        <f>IF(H304="","",IF(F304="OUT",INDEX(BANK_CLEAN!$F$2:$F$1001,H304),INDEX(BANK_CLEAN!$E$2:$E$1001,H304)))</f>
        <v/>
      </c>
      <c r="K304" s="14">
        <f>IF(H304="","",ABS(E304-J304))</f>
        <v/>
      </c>
      <c r="L304" s="11">
        <f>IF(OR(H304="",B304="",I304=""),"",ABS(B304-I304))</f>
        <v/>
      </c>
      <c r="M304" s="15">
        <f>IF(H304="",0,LET(pct,IF(E304&gt;0,K304/E304,1),days,IFERROR(L304,999),100-pct*200-days*3))</f>
        <v/>
      </c>
      <c r="N304" s="11">
        <f>IF(A304="","",IF(H304="","Unmatched GL",IF(AND(K304&lt;=Tol_Amount,L304&lt;=Tol_Days),"Matched",IF(M304&gt;Tol_NearPct,"Near Match","Unmatched GL"))))</f>
        <v/>
      </c>
    </row>
    <row r="305">
      <c r="A305" s="13">
        <f>IF(GL_CLEAN!A305="","",GL_CLEAN!A305)</f>
        <v/>
      </c>
      <c r="B305" s="10">
        <f>IF(A305="","",GL_CLEAN!B305)</f>
        <v/>
      </c>
      <c r="C305" s="11">
        <f>IF(A305="","",GL_CLEAN!C305)</f>
        <v/>
      </c>
      <c r="D305" s="14">
        <f>IF(A305="","",GL_CLEAN!H305)</f>
        <v/>
      </c>
      <c r="E305" s="14">
        <f>IF(A305="","",GL_CLEAN!I305)</f>
        <v/>
      </c>
      <c r="F305" s="11">
        <f>IF(A305="","",GL_CLEAN!J305)</f>
        <v/>
      </c>
      <c r="G305" s="11">
        <f>IF(A305="","",IF(F305="OUT","DR","CR"))</f>
        <v/>
      </c>
      <c r="H305" s="11">
        <f>IF(A305="","",IFERROR(INDEX(BANK_CLEAN!$A$2:$A$1001,MATCH(MINIFS(BANK_CLEAN!$J$2:$J$1001,BANK_CLEAN!$H$2:$H$1001,G305,BANK_CLEAN!$L$2:$L$1001,""),BANK_CLEAN!$J$2:$J$1001,0)),""))</f>
        <v/>
      </c>
      <c r="I305" s="10">
        <f>IF(H305="","",INDEX(BANK_CLEAN!$B$2:$B$1001,H305))</f>
        <v/>
      </c>
      <c r="J305" s="14">
        <f>IF(H305="","",IF(F305="OUT",INDEX(BANK_CLEAN!$F$2:$F$1001,H305),INDEX(BANK_CLEAN!$E$2:$E$1001,H305)))</f>
        <v/>
      </c>
      <c r="K305" s="14">
        <f>IF(H305="","",ABS(E305-J305))</f>
        <v/>
      </c>
      <c r="L305" s="11">
        <f>IF(OR(H305="",B305="",I305=""),"",ABS(B305-I305))</f>
        <v/>
      </c>
      <c r="M305" s="15">
        <f>IF(H305="",0,LET(pct,IF(E305&gt;0,K305/E305,1),days,IFERROR(L305,999),100-pct*200-days*3))</f>
        <v/>
      </c>
      <c r="N305" s="11">
        <f>IF(A305="","",IF(H305="","Unmatched GL",IF(AND(K305&lt;=Tol_Amount,L305&lt;=Tol_Days),"Matched",IF(M305&gt;Tol_NearPct,"Near Match","Unmatched GL"))))</f>
        <v/>
      </c>
    </row>
    <row r="306">
      <c r="A306" s="13">
        <f>IF(GL_CLEAN!A306="","",GL_CLEAN!A306)</f>
        <v/>
      </c>
      <c r="B306" s="10">
        <f>IF(A306="","",GL_CLEAN!B306)</f>
        <v/>
      </c>
      <c r="C306" s="11">
        <f>IF(A306="","",GL_CLEAN!C306)</f>
        <v/>
      </c>
      <c r="D306" s="14">
        <f>IF(A306="","",GL_CLEAN!H306)</f>
        <v/>
      </c>
      <c r="E306" s="14">
        <f>IF(A306="","",GL_CLEAN!I306)</f>
        <v/>
      </c>
      <c r="F306" s="11">
        <f>IF(A306="","",GL_CLEAN!J306)</f>
        <v/>
      </c>
      <c r="G306" s="11">
        <f>IF(A306="","",IF(F306="OUT","DR","CR"))</f>
        <v/>
      </c>
      <c r="H306" s="11">
        <f>IF(A306="","",IFERROR(INDEX(BANK_CLEAN!$A$2:$A$1001,MATCH(MINIFS(BANK_CLEAN!$J$2:$J$1001,BANK_CLEAN!$H$2:$H$1001,G306,BANK_CLEAN!$L$2:$L$1001,""),BANK_CLEAN!$J$2:$J$1001,0)),""))</f>
        <v/>
      </c>
      <c r="I306" s="10">
        <f>IF(H306="","",INDEX(BANK_CLEAN!$B$2:$B$1001,H306))</f>
        <v/>
      </c>
      <c r="J306" s="14">
        <f>IF(H306="","",IF(F306="OUT",INDEX(BANK_CLEAN!$F$2:$F$1001,H306),INDEX(BANK_CLEAN!$E$2:$E$1001,H306)))</f>
        <v/>
      </c>
      <c r="K306" s="14">
        <f>IF(H306="","",ABS(E306-J306))</f>
        <v/>
      </c>
      <c r="L306" s="11">
        <f>IF(OR(H306="",B306="",I306=""),"",ABS(B306-I306))</f>
        <v/>
      </c>
      <c r="M306" s="15">
        <f>IF(H306="",0,LET(pct,IF(E306&gt;0,K306/E306,1),days,IFERROR(L306,999),100-pct*200-days*3))</f>
        <v/>
      </c>
      <c r="N306" s="11">
        <f>IF(A306="","",IF(H306="","Unmatched GL",IF(AND(K306&lt;=Tol_Amount,L306&lt;=Tol_Days),"Matched",IF(M306&gt;Tol_NearPct,"Near Match","Unmatched GL"))))</f>
        <v/>
      </c>
    </row>
    <row r="307">
      <c r="A307" s="13">
        <f>IF(GL_CLEAN!A307="","",GL_CLEAN!A307)</f>
        <v/>
      </c>
      <c r="B307" s="10">
        <f>IF(A307="","",GL_CLEAN!B307)</f>
        <v/>
      </c>
      <c r="C307" s="11">
        <f>IF(A307="","",GL_CLEAN!C307)</f>
        <v/>
      </c>
      <c r="D307" s="14">
        <f>IF(A307="","",GL_CLEAN!H307)</f>
        <v/>
      </c>
      <c r="E307" s="14">
        <f>IF(A307="","",GL_CLEAN!I307)</f>
        <v/>
      </c>
      <c r="F307" s="11">
        <f>IF(A307="","",GL_CLEAN!J307)</f>
        <v/>
      </c>
      <c r="G307" s="11">
        <f>IF(A307="","",IF(F307="OUT","DR","CR"))</f>
        <v/>
      </c>
      <c r="H307" s="11">
        <f>IF(A307="","",IFERROR(INDEX(BANK_CLEAN!$A$2:$A$1001,MATCH(MINIFS(BANK_CLEAN!$J$2:$J$1001,BANK_CLEAN!$H$2:$H$1001,G307,BANK_CLEAN!$L$2:$L$1001,""),BANK_CLEAN!$J$2:$J$1001,0)),""))</f>
        <v/>
      </c>
      <c r="I307" s="10">
        <f>IF(H307="","",INDEX(BANK_CLEAN!$B$2:$B$1001,H307))</f>
        <v/>
      </c>
      <c r="J307" s="14">
        <f>IF(H307="","",IF(F307="OUT",INDEX(BANK_CLEAN!$F$2:$F$1001,H307),INDEX(BANK_CLEAN!$E$2:$E$1001,H307)))</f>
        <v/>
      </c>
      <c r="K307" s="14">
        <f>IF(H307="","",ABS(E307-J307))</f>
        <v/>
      </c>
      <c r="L307" s="11">
        <f>IF(OR(H307="",B307="",I307=""),"",ABS(B307-I307))</f>
        <v/>
      </c>
      <c r="M307" s="15">
        <f>IF(H307="",0,LET(pct,IF(E307&gt;0,K307/E307,1),days,IFERROR(L307,999),100-pct*200-days*3))</f>
        <v/>
      </c>
      <c r="N307" s="11">
        <f>IF(A307="","",IF(H307="","Unmatched GL",IF(AND(K307&lt;=Tol_Amount,L307&lt;=Tol_Days),"Matched",IF(M307&gt;Tol_NearPct,"Near Match","Unmatched GL"))))</f>
        <v/>
      </c>
    </row>
    <row r="308">
      <c r="A308" s="13">
        <f>IF(GL_CLEAN!A308="","",GL_CLEAN!A308)</f>
        <v/>
      </c>
      <c r="B308" s="10">
        <f>IF(A308="","",GL_CLEAN!B308)</f>
        <v/>
      </c>
      <c r="C308" s="11">
        <f>IF(A308="","",GL_CLEAN!C308)</f>
        <v/>
      </c>
      <c r="D308" s="14">
        <f>IF(A308="","",GL_CLEAN!H308)</f>
        <v/>
      </c>
      <c r="E308" s="14">
        <f>IF(A308="","",GL_CLEAN!I308)</f>
        <v/>
      </c>
      <c r="F308" s="11">
        <f>IF(A308="","",GL_CLEAN!J308)</f>
        <v/>
      </c>
      <c r="G308" s="11">
        <f>IF(A308="","",IF(F308="OUT","DR","CR"))</f>
        <v/>
      </c>
      <c r="H308" s="11">
        <f>IF(A308="","",IFERROR(INDEX(BANK_CLEAN!$A$2:$A$1001,MATCH(MINIFS(BANK_CLEAN!$J$2:$J$1001,BANK_CLEAN!$H$2:$H$1001,G308,BANK_CLEAN!$L$2:$L$1001,""),BANK_CLEAN!$J$2:$J$1001,0)),""))</f>
        <v/>
      </c>
      <c r="I308" s="10">
        <f>IF(H308="","",INDEX(BANK_CLEAN!$B$2:$B$1001,H308))</f>
        <v/>
      </c>
      <c r="J308" s="14">
        <f>IF(H308="","",IF(F308="OUT",INDEX(BANK_CLEAN!$F$2:$F$1001,H308),INDEX(BANK_CLEAN!$E$2:$E$1001,H308)))</f>
        <v/>
      </c>
      <c r="K308" s="14">
        <f>IF(H308="","",ABS(E308-J308))</f>
        <v/>
      </c>
      <c r="L308" s="11">
        <f>IF(OR(H308="",B308="",I308=""),"",ABS(B308-I308))</f>
        <v/>
      </c>
      <c r="M308" s="15">
        <f>IF(H308="",0,LET(pct,IF(E308&gt;0,K308/E308,1),days,IFERROR(L308,999),100-pct*200-days*3))</f>
        <v/>
      </c>
      <c r="N308" s="11">
        <f>IF(A308="","",IF(H308="","Unmatched GL",IF(AND(K308&lt;=Tol_Amount,L308&lt;=Tol_Days),"Matched",IF(M308&gt;Tol_NearPct,"Near Match","Unmatched GL"))))</f>
        <v/>
      </c>
    </row>
    <row r="309">
      <c r="A309" s="13">
        <f>IF(GL_CLEAN!A309="","",GL_CLEAN!A309)</f>
        <v/>
      </c>
      <c r="B309" s="10">
        <f>IF(A309="","",GL_CLEAN!B309)</f>
        <v/>
      </c>
      <c r="C309" s="11">
        <f>IF(A309="","",GL_CLEAN!C309)</f>
        <v/>
      </c>
      <c r="D309" s="14">
        <f>IF(A309="","",GL_CLEAN!H309)</f>
        <v/>
      </c>
      <c r="E309" s="14">
        <f>IF(A309="","",GL_CLEAN!I309)</f>
        <v/>
      </c>
      <c r="F309" s="11">
        <f>IF(A309="","",GL_CLEAN!J309)</f>
        <v/>
      </c>
      <c r="G309" s="11">
        <f>IF(A309="","",IF(F309="OUT","DR","CR"))</f>
        <v/>
      </c>
      <c r="H309" s="11">
        <f>IF(A309="","",IFERROR(INDEX(BANK_CLEAN!$A$2:$A$1001,MATCH(MINIFS(BANK_CLEAN!$J$2:$J$1001,BANK_CLEAN!$H$2:$H$1001,G309,BANK_CLEAN!$L$2:$L$1001,""),BANK_CLEAN!$J$2:$J$1001,0)),""))</f>
        <v/>
      </c>
      <c r="I309" s="10">
        <f>IF(H309="","",INDEX(BANK_CLEAN!$B$2:$B$1001,H309))</f>
        <v/>
      </c>
      <c r="J309" s="14">
        <f>IF(H309="","",IF(F309="OUT",INDEX(BANK_CLEAN!$F$2:$F$1001,H309),INDEX(BANK_CLEAN!$E$2:$E$1001,H309)))</f>
        <v/>
      </c>
      <c r="K309" s="14">
        <f>IF(H309="","",ABS(E309-J309))</f>
        <v/>
      </c>
      <c r="L309" s="11">
        <f>IF(OR(H309="",B309="",I309=""),"",ABS(B309-I309))</f>
        <v/>
      </c>
      <c r="M309" s="15">
        <f>IF(H309="",0,LET(pct,IF(E309&gt;0,K309/E309,1),days,IFERROR(L309,999),100-pct*200-days*3))</f>
        <v/>
      </c>
      <c r="N309" s="11">
        <f>IF(A309="","",IF(H309="","Unmatched GL",IF(AND(K309&lt;=Tol_Amount,L309&lt;=Tol_Days),"Matched",IF(M309&gt;Tol_NearPct,"Near Match","Unmatched GL"))))</f>
        <v/>
      </c>
    </row>
    <row r="310">
      <c r="A310" s="13">
        <f>IF(GL_CLEAN!A310="","",GL_CLEAN!A310)</f>
        <v/>
      </c>
      <c r="B310" s="10">
        <f>IF(A310="","",GL_CLEAN!B310)</f>
        <v/>
      </c>
      <c r="C310" s="11">
        <f>IF(A310="","",GL_CLEAN!C310)</f>
        <v/>
      </c>
      <c r="D310" s="14">
        <f>IF(A310="","",GL_CLEAN!H310)</f>
        <v/>
      </c>
      <c r="E310" s="14">
        <f>IF(A310="","",GL_CLEAN!I310)</f>
        <v/>
      </c>
      <c r="F310" s="11">
        <f>IF(A310="","",GL_CLEAN!J310)</f>
        <v/>
      </c>
      <c r="G310" s="11">
        <f>IF(A310="","",IF(F310="OUT","DR","CR"))</f>
        <v/>
      </c>
      <c r="H310" s="11">
        <f>IF(A310="","",IFERROR(INDEX(BANK_CLEAN!$A$2:$A$1001,MATCH(MINIFS(BANK_CLEAN!$J$2:$J$1001,BANK_CLEAN!$H$2:$H$1001,G310,BANK_CLEAN!$L$2:$L$1001,""),BANK_CLEAN!$J$2:$J$1001,0)),""))</f>
        <v/>
      </c>
      <c r="I310" s="10">
        <f>IF(H310="","",INDEX(BANK_CLEAN!$B$2:$B$1001,H310))</f>
        <v/>
      </c>
      <c r="J310" s="14">
        <f>IF(H310="","",IF(F310="OUT",INDEX(BANK_CLEAN!$F$2:$F$1001,H310),INDEX(BANK_CLEAN!$E$2:$E$1001,H310)))</f>
        <v/>
      </c>
      <c r="K310" s="14">
        <f>IF(H310="","",ABS(E310-J310))</f>
        <v/>
      </c>
      <c r="L310" s="11">
        <f>IF(OR(H310="",B310="",I310=""),"",ABS(B310-I310))</f>
        <v/>
      </c>
      <c r="M310" s="15">
        <f>IF(H310="",0,LET(pct,IF(E310&gt;0,K310/E310,1),days,IFERROR(L310,999),100-pct*200-days*3))</f>
        <v/>
      </c>
      <c r="N310" s="11">
        <f>IF(A310="","",IF(H310="","Unmatched GL",IF(AND(K310&lt;=Tol_Amount,L310&lt;=Tol_Days),"Matched",IF(M310&gt;Tol_NearPct,"Near Match","Unmatched GL"))))</f>
        <v/>
      </c>
    </row>
    <row r="311">
      <c r="A311" s="13">
        <f>IF(GL_CLEAN!A311="","",GL_CLEAN!A311)</f>
        <v/>
      </c>
      <c r="B311" s="10">
        <f>IF(A311="","",GL_CLEAN!B311)</f>
        <v/>
      </c>
      <c r="C311" s="11">
        <f>IF(A311="","",GL_CLEAN!C311)</f>
        <v/>
      </c>
      <c r="D311" s="14">
        <f>IF(A311="","",GL_CLEAN!H311)</f>
        <v/>
      </c>
      <c r="E311" s="14">
        <f>IF(A311="","",GL_CLEAN!I311)</f>
        <v/>
      </c>
      <c r="F311" s="11">
        <f>IF(A311="","",GL_CLEAN!J311)</f>
        <v/>
      </c>
      <c r="G311" s="11">
        <f>IF(A311="","",IF(F311="OUT","DR","CR"))</f>
        <v/>
      </c>
      <c r="H311" s="11">
        <f>IF(A311="","",IFERROR(INDEX(BANK_CLEAN!$A$2:$A$1001,MATCH(MINIFS(BANK_CLEAN!$J$2:$J$1001,BANK_CLEAN!$H$2:$H$1001,G311,BANK_CLEAN!$L$2:$L$1001,""),BANK_CLEAN!$J$2:$J$1001,0)),""))</f>
        <v/>
      </c>
      <c r="I311" s="10">
        <f>IF(H311="","",INDEX(BANK_CLEAN!$B$2:$B$1001,H311))</f>
        <v/>
      </c>
      <c r="J311" s="14">
        <f>IF(H311="","",IF(F311="OUT",INDEX(BANK_CLEAN!$F$2:$F$1001,H311),INDEX(BANK_CLEAN!$E$2:$E$1001,H311)))</f>
        <v/>
      </c>
      <c r="K311" s="14">
        <f>IF(H311="","",ABS(E311-J311))</f>
        <v/>
      </c>
      <c r="L311" s="11">
        <f>IF(OR(H311="",B311="",I311=""),"",ABS(B311-I311))</f>
        <v/>
      </c>
      <c r="M311" s="15">
        <f>IF(H311="",0,LET(pct,IF(E311&gt;0,K311/E311,1),days,IFERROR(L311,999),100-pct*200-days*3))</f>
        <v/>
      </c>
      <c r="N311" s="11">
        <f>IF(A311="","",IF(H311="","Unmatched GL",IF(AND(K311&lt;=Tol_Amount,L311&lt;=Tol_Days),"Matched",IF(M311&gt;Tol_NearPct,"Near Match","Unmatched GL"))))</f>
        <v/>
      </c>
    </row>
    <row r="312">
      <c r="A312" s="13">
        <f>IF(GL_CLEAN!A312="","",GL_CLEAN!A312)</f>
        <v/>
      </c>
      <c r="B312" s="10">
        <f>IF(A312="","",GL_CLEAN!B312)</f>
        <v/>
      </c>
      <c r="C312" s="11">
        <f>IF(A312="","",GL_CLEAN!C312)</f>
        <v/>
      </c>
      <c r="D312" s="14">
        <f>IF(A312="","",GL_CLEAN!H312)</f>
        <v/>
      </c>
      <c r="E312" s="14">
        <f>IF(A312="","",GL_CLEAN!I312)</f>
        <v/>
      </c>
      <c r="F312" s="11">
        <f>IF(A312="","",GL_CLEAN!J312)</f>
        <v/>
      </c>
      <c r="G312" s="11">
        <f>IF(A312="","",IF(F312="OUT","DR","CR"))</f>
        <v/>
      </c>
      <c r="H312" s="11">
        <f>IF(A312="","",IFERROR(INDEX(BANK_CLEAN!$A$2:$A$1001,MATCH(MINIFS(BANK_CLEAN!$J$2:$J$1001,BANK_CLEAN!$H$2:$H$1001,G312,BANK_CLEAN!$L$2:$L$1001,""),BANK_CLEAN!$J$2:$J$1001,0)),""))</f>
        <v/>
      </c>
      <c r="I312" s="10">
        <f>IF(H312="","",INDEX(BANK_CLEAN!$B$2:$B$1001,H312))</f>
        <v/>
      </c>
      <c r="J312" s="14">
        <f>IF(H312="","",IF(F312="OUT",INDEX(BANK_CLEAN!$F$2:$F$1001,H312),INDEX(BANK_CLEAN!$E$2:$E$1001,H312)))</f>
        <v/>
      </c>
      <c r="K312" s="14">
        <f>IF(H312="","",ABS(E312-J312))</f>
        <v/>
      </c>
      <c r="L312" s="11">
        <f>IF(OR(H312="",B312="",I312=""),"",ABS(B312-I312))</f>
        <v/>
      </c>
      <c r="M312" s="15">
        <f>IF(H312="",0,LET(pct,IF(E312&gt;0,K312/E312,1),days,IFERROR(L312,999),100-pct*200-days*3))</f>
        <v/>
      </c>
      <c r="N312" s="11">
        <f>IF(A312="","",IF(H312="","Unmatched GL",IF(AND(K312&lt;=Tol_Amount,L312&lt;=Tol_Days),"Matched",IF(M312&gt;Tol_NearPct,"Near Match","Unmatched GL"))))</f>
        <v/>
      </c>
    </row>
    <row r="313">
      <c r="A313" s="13">
        <f>IF(GL_CLEAN!A313="","",GL_CLEAN!A313)</f>
        <v/>
      </c>
      <c r="B313" s="10">
        <f>IF(A313="","",GL_CLEAN!B313)</f>
        <v/>
      </c>
      <c r="C313" s="11">
        <f>IF(A313="","",GL_CLEAN!C313)</f>
        <v/>
      </c>
      <c r="D313" s="14">
        <f>IF(A313="","",GL_CLEAN!H313)</f>
        <v/>
      </c>
      <c r="E313" s="14">
        <f>IF(A313="","",GL_CLEAN!I313)</f>
        <v/>
      </c>
      <c r="F313" s="11">
        <f>IF(A313="","",GL_CLEAN!J313)</f>
        <v/>
      </c>
      <c r="G313" s="11">
        <f>IF(A313="","",IF(F313="OUT","DR","CR"))</f>
        <v/>
      </c>
      <c r="H313" s="11">
        <f>IF(A313="","",IFERROR(INDEX(BANK_CLEAN!$A$2:$A$1001,MATCH(MINIFS(BANK_CLEAN!$J$2:$J$1001,BANK_CLEAN!$H$2:$H$1001,G313,BANK_CLEAN!$L$2:$L$1001,""),BANK_CLEAN!$J$2:$J$1001,0)),""))</f>
        <v/>
      </c>
      <c r="I313" s="10">
        <f>IF(H313="","",INDEX(BANK_CLEAN!$B$2:$B$1001,H313))</f>
        <v/>
      </c>
      <c r="J313" s="14">
        <f>IF(H313="","",IF(F313="OUT",INDEX(BANK_CLEAN!$F$2:$F$1001,H313),INDEX(BANK_CLEAN!$E$2:$E$1001,H313)))</f>
        <v/>
      </c>
      <c r="K313" s="14">
        <f>IF(H313="","",ABS(E313-J313))</f>
        <v/>
      </c>
      <c r="L313" s="11">
        <f>IF(OR(H313="",B313="",I313=""),"",ABS(B313-I313))</f>
        <v/>
      </c>
      <c r="M313" s="15">
        <f>IF(H313="",0,LET(pct,IF(E313&gt;0,K313/E313,1),days,IFERROR(L313,999),100-pct*200-days*3))</f>
        <v/>
      </c>
      <c r="N313" s="11">
        <f>IF(A313="","",IF(H313="","Unmatched GL",IF(AND(K313&lt;=Tol_Amount,L313&lt;=Tol_Days),"Matched",IF(M313&gt;Tol_NearPct,"Near Match","Unmatched GL"))))</f>
        <v/>
      </c>
    </row>
    <row r="314">
      <c r="A314" s="13">
        <f>IF(GL_CLEAN!A314="","",GL_CLEAN!A314)</f>
        <v/>
      </c>
      <c r="B314" s="10">
        <f>IF(A314="","",GL_CLEAN!B314)</f>
        <v/>
      </c>
      <c r="C314" s="11">
        <f>IF(A314="","",GL_CLEAN!C314)</f>
        <v/>
      </c>
      <c r="D314" s="14">
        <f>IF(A314="","",GL_CLEAN!H314)</f>
        <v/>
      </c>
      <c r="E314" s="14">
        <f>IF(A314="","",GL_CLEAN!I314)</f>
        <v/>
      </c>
      <c r="F314" s="11">
        <f>IF(A314="","",GL_CLEAN!J314)</f>
        <v/>
      </c>
      <c r="G314" s="11">
        <f>IF(A314="","",IF(F314="OUT","DR","CR"))</f>
        <v/>
      </c>
      <c r="H314" s="11">
        <f>IF(A314="","",IFERROR(INDEX(BANK_CLEAN!$A$2:$A$1001,MATCH(MINIFS(BANK_CLEAN!$J$2:$J$1001,BANK_CLEAN!$H$2:$H$1001,G314,BANK_CLEAN!$L$2:$L$1001,""),BANK_CLEAN!$J$2:$J$1001,0)),""))</f>
        <v/>
      </c>
      <c r="I314" s="10">
        <f>IF(H314="","",INDEX(BANK_CLEAN!$B$2:$B$1001,H314))</f>
        <v/>
      </c>
      <c r="J314" s="14">
        <f>IF(H314="","",IF(F314="OUT",INDEX(BANK_CLEAN!$F$2:$F$1001,H314),INDEX(BANK_CLEAN!$E$2:$E$1001,H314)))</f>
        <v/>
      </c>
      <c r="K314" s="14">
        <f>IF(H314="","",ABS(E314-J314))</f>
        <v/>
      </c>
      <c r="L314" s="11">
        <f>IF(OR(H314="",B314="",I314=""),"",ABS(B314-I314))</f>
        <v/>
      </c>
      <c r="M314" s="15">
        <f>IF(H314="",0,LET(pct,IF(E314&gt;0,K314/E314,1),days,IFERROR(L314,999),100-pct*200-days*3))</f>
        <v/>
      </c>
      <c r="N314" s="11">
        <f>IF(A314="","",IF(H314="","Unmatched GL",IF(AND(K314&lt;=Tol_Amount,L314&lt;=Tol_Days),"Matched",IF(M314&gt;Tol_NearPct,"Near Match","Unmatched GL"))))</f>
        <v/>
      </c>
    </row>
    <row r="315">
      <c r="A315" s="13">
        <f>IF(GL_CLEAN!A315="","",GL_CLEAN!A315)</f>
        <v/>
      </c>
      <c r="B315" s="10">
        <f>IF(A315="","",GL_CLEAN!B315)</f>
        <v/>
      </c>
      <c r="C315" s="11">
        <f>IF(A315="","",GL_CLEAN!C315)</f>
        <v/>
      </c>
      <c r="D315" s="14">
        <f>IF(A315="","",GL_CLEAN!H315)</f>
        <v/>
      </c>
      <c r="E315" s="14">
        <f>IF(A315="","",GL_CLEAN!I315)</f>
        <v/>
      </c>
      <c r="F315" s="11">
        <f>IF(A315="","",GL_CLEAN!J315)</f>
        <v/>
      </c>
      <c r="G315" s="11">
        <f>IF(A315="","",IF(F315="OUT","DR","CR"))</f>
        <v/>
      </c>
      <c r="H315" s="11">
        <f>IF(A315="","",IFERROR(INDEX(BANK_CLEAN!$A$2:$A$1001,MATCH(MINIFS(BANK_CLEAN!$J$2:$J$1001,BANK_CLEAN!$H$2:$H$1001,G315,BANK_CLEAN!$L$2:$L$1001,""),BANK_CLEAN!$J$2:$J$1001,0)),""))</f>
        <v/>
      </c>
      <c r="I315" s="10">
        <f>IF(H315="","",INDEX(BANK_CLEAN!$B$2:$B$1001,H315))</f>
        <v/>
      </c>
      <c r="J315" s="14">
        <f>IF(H315="","",IF(F315="OUT",INDEX(BANK_CLEAN!$F$2:$F$1001,H315),INDEX(BANK_CLEAN!$E$2:$E$1001,H315)))</f>
        <v/>
      </c>
      <c r="K315" s="14">
        <f>IF(H315="","",ABS(E315-J315))</f>
        <v/>
      </c>
      <c r="L315" s="11">
        <f>IF(OR(H315="",B315="",I315=""),"",ABS(B315-I315))</f>
        <v/>
      </c>
      <c r="M315" s="15">
        <f>IF(H315="",0,LET(pct,IF(E315&gt;0,K315/E315,1),days,IFERROR(L315,999),100-pct*200-days*3))</f>
        <v/>
      </c>
      <c r="N315" s="11">
        <f>IF(A315="","",IF(H315="","Unmatched GL",IF(AND(K315&lt;=Tol_Amount,L315&lt;=Tol_Days),"Matched",IF(M315&gt;Tol_NearPct,"Near Match","Unmatched GL"))))</f>
        <v/>
      </c>
    </row>
    <row r="316">
      <c r="A316" s="13">
        <f>IF(GL_CLEAN!A316="","",GL_CLEAN!A316)</f>
        <v/>
      </c>
      <c r="B316" s="10">
        <f>IF(A316="","",GL_CLEAN!B316)</f>
        <v/>
      </c>
      <c r="C316" s="11">
        <f>IF(A316="","",GL_CLEAN!C316)</f>
        <v/>
      </c>
      <c r="D316" s="14">
        <f>IF(A316="","",GL_CLEAN!H316)</f>
        <v/>
      </c>
      <c r="E316" s="14">
        <f>IF(A316="","",GL_CLEAN!I316)</f>
        <v/>
      </c>
      <c r="F316" s="11">
        <f>IF(A316="","",GL_CLEAN!J316)</f>
        <v/>
      </c>
      <c r="G316" s="11">
        <f>IF(A316="","",IF(F316="OUT","DR","CR"))</f>
        <v/>
      </c>
      <c r="H316" s="11">
        <f>IF(A316="","",IFERROR(INDEX(BANK_CLEAN!$A$2:$A$1001,MATCH(MINIFS(BANK_CLEAN!$J$2:$J$1001,BANK_CLEAN!$H$2:$H$1001,G316,BANK_CLEAN!$L$2:$L$1001,""),BANK_CLEAN!$J$2:$J$1001,0)),""))</f>
        <v/>
      </c>
      <c r="I316" s="10">
        <f>IF(H316="","",INDEX(BANK_CLEAN!$B$2:$B$1001,H316))</f>
        <v/>
      </c>
      <c r="J316" s="14">
        <f>IF(H316="","",IF(F316="OUT",INDEX(BANK_CLEAN!$F$2:$F$1001,H316),INDEX(BANK_CLEAN!$E$2:$E$1001,H316)))</f>
        <v/>
      </c>
      <c r="K316" s="14">
        <f>IF(H316="","",ABS(E316-J316))</f>
        <v/>
      </c>
      <c r="L316" s="11">
        <f>IF(OR(H316="",B316="",I316=""),"",ABS(B316-I316))</f>
        <v/>
      </c>
      <c r="M316" s="15">
        <f>IF(H316="",0,LET(pct,IF(E316&gt;0,K316/E316,1),days,IFERROR(L316,999),100-pct*200-days*3))</f>
        <v/>
      </c>
      <c r="N316" s="11">
        <f>IF(A316="","",IF(H316="","Unmatched GL",IF(AND(K316&lt;=Tol_Amount,L316&lt;=Tol_Days),"Matched",IF(M316&gt;Tol_NearPct,"Near Match","Unmatched GL"))))</f>
        <v/>
      </c>
    </row>
    <row r="317">
      <c r="A317" s="13">
        <f>IF(GL_CLEAN!A317="","",GL_CLEAN!A317)</f>
        <v/>
      </c>
      <c r="B317" s="10">
        <f>IF(A317="","",GL_CLEAN!B317)</f>
        <v/>
      </c>
      <c r="C317" s="11">
        <f>IF(A317="","",GL_CLEAN!C317)</f>
        <v/>
      </c>
      <c r="D317" s="14">
        <f>IF(A317="","",GL_CLEAN!H317)</f>
        <v/>
      </c>
      <c r="E317" s="14">
        <f>IF(A317="","",GL_CLEAN!I317)</f>
        <v/>
      </c>
      <c r="F317" s="11">
        <f>IF(A317="","",GL_CLEAN!J317)</f>
        <v/>
      </c>
      <c r="G317" s="11">
        <f>IF(A317="","",IF(F317="OUT","DR","CR"))</f>
        <v/>
      </c>
      <c r="H317" s="11">
        <f>IF(A317="","",IFERROR(INDEX(BANK_CLEAN!$A$2:$A$1001,MATCH(MINIFS(BANK_CLEAN!$J$2:$J$1001,BANK_CLEAN!$H$2:$H$1001,G317,BANK_CLEAN!$L$2:$L$1001,""),BANK_CLEAN!$J$2:$J$1001,0)),""))</f>
        <v/>
      </c>
      <c r="I317" s="10">
        <f>IF(H317="","",INDEX(BANK_CLEAN!$B$2:$B$1001,H317))</f>
        <v/>
      </c>
      <c r="J317" s="14">
        <f>IF(H317="","",IF(F317="OUT",INDEX(BANK_CLEAN!$F$2:$F$1001,H317),INDEX(BANK_CLEAN!$E$2:$E$1001,H317)))</f>
        <v/>
      </c>
      <c r="K317" s="14">
        <f>IF(H317="","",ABS(E317-J317))</f>
        <v/>
      </c>
      <c r="L317" s="11">
        <f>IF(OR(H317="",B317="",I317=""),"",ABS(B317-I317))</f>
        <v/>
      </c>
      <c r="M317" s="15">
        <f>IF(H317="",0,LET(pct,IF(E317&gt;0,K317/E317,1),days,IFERROR(L317,999),100-pct*200-days*3))</f>
        <v/>
      </c>
      <c r="N317" s="11">
        <f>IF(A317="","",IF(H317="","Unmatched GL",IF(AND(K317&lt;=Tol_Amount,L317&lt;=Tol_Days),"Matched",IF(M317&gt;Tol_NearPct,"Near Match","Unmatched GL"))))</f>
        <v/>
      </c>
    </row>
    <row r="318">
      <c r="A318" s="13">
        <f>IF(GL_CLEAN!A318="","",GL_CLEAN!A318)</f>
        <v/>
      </c>
      <c r="B318" s="10">
        <f>IF(A318="","",GL_CLEAN!B318)</f>
        <v/>
      </c>
      <c r="C318" s="11">
        <f>IF(A318="","",GL_CLEAN!C318)</f>
        <v/>
      </c>
      <c r="D318" s="14">
        <f>IF(A318="","",GL_CLEAN!H318)</f>
        <v/>
      </c>
      <c r="E318" s="14">
        <f>IF(A318="","",GL_CLEAN!I318)</f>
        <v/>
      </c>
      <c r="F318" s="11">
        <f>IF(A318="","",GL_CLEAN!J318)</f>
        <v/>
      </c>
      <c r="G318" s="11">
        <f>IF(A318="","",IF(F318="OUT","DR","CR"))</f>
        <v/>
      </c>
      <c r="H318" s="11">
        <f>IF(A318="","",IFERROR(INDEX(BANK_CLEAN!$A$2:$A$1001,MATCH(MINIFS(BANK_CLEAN!$J$2:$J$1001,BANK_CLEAN!$H$2:$H$1001,G318,BANK_CLEAN!$L$2:$L$1001,""),BANK_CLEAN!$J$2:$J$1001,0)),""))</f>
        <v/>
      </c>
      <c r="I318" s="10">
        <f>IF(H318="","",INDEX(BANK_CLEAN!$B$2:$B$1001,H318))</f>
        <v/>
      </c>
      <c r="J318" s="14">
        <f>IF(H318="","",IF(F318="OUT",INDEX(BANK_CLEAN!$F$2:$F$1001,H318),INDEX(BANK_CLEAN!$E$2:$E$1001,H318)))</f>
        <v/>
      </c>
      <c r="K318" s="14">
        <f>IF(H318="","",ABS(E318-J318))</f>
        <v/>
      </c>
      <c r="L318" s="11">
        <f>IF(OR(H318="",B318="",I318=""),"",ABS(B318-I318))</f>
        <v/>
      </c>
      <c r="M318" s="15">
        <f>IF(H318="",0,LET(pct,IF(E318&gt;0,K318/E318,1),days,IFERROR(L318,999),100-pct*200-days*3))</f>
        <v/>
      </c>
      <c r="N318" s="11">
        <f>IF(A318="","",IF(H318="","Unmatched GL",IF(AND(K318&lt;=Tol_Amount,L318&lt;=Tol_Days),"Matched",IF(M318&gt;Tol_NearPct,"Near Match","Unmatched GL"))))</f>
        <v/>
      </c>
    </row>
    <row r="319">
      <c r="A319" s="13">
        <f>IF(GL_CLEAN!A319="","",GL_CLEAN!A319)</f>
        <v/>
      </c>
      <c r="B319" s="10">
        <f>IF(A319="","",GL_CLEAN!B319)</f>
        <v/>
      </c>
      <c r="C319" s="11">
        <f>IF(A319="","",GL_CLEAN!C319)</f>
        <v/>
      </c>
      <c r="D319" s="14">
        <f>IF(A319="","",GL_CLEAN!H319)</f>
        <v/>
      </c>
      <c r="E319" s="14">
        <f>IF(A319="","",GL_CLEAN!I319)</f>
        <v/>
      </c>
      <c r="F319" s="11">
        <f>IF(A319="","",GL_CLEAN!J319)</f>
        <v/>
      </c>
      <c r="G319" s="11">
        <f>IF(A319="","",IF(F319="OUT","DR","CR"))</f>
        <v/>
      </c>
      <c r="H319" s="11">
        <f>IF(A319="","",IFERROR(INDEX(BANK_CLEAN!$A$2:$A$1001,MATCH(MINIFS(BANK_CLEAN!$J$2:$J$1001,BANK_CLEAN!$H$2:$H$1001,G319,BANK_CLEAN!$L$2:$L$1001,""),BANK_CLEAN!$J$2:$J$1001,0)),""))</f>
        <v/>
      </c>
      <c r="I319" s="10">
        <f>IF(H319="","",INDEX(BANK_CLEAN!$B$2:$B$1001,H319))</f>
        <v/>
      </c>
      <c r="J319" s="14">
        <f>IF(H319="","",IF(F319="OUT",INDEX(BANK_CLEAN!$F$2:$F$1001,H319),INDEX(BANK_CLEAN!$E$2:$E$1001,H319)))</f>
        <v/>
      </c>
      <c r="K319" s="14">
        <f>IF(H319="","",ABS(E319-J319))</f>
        <v/>
      </c>
      <c r="L319" s="11">
        <f>IF(OR(H319="",B319="",I319=""),"",ABS(B319-I319))</f>
        <v/>
      </c>
      <c r="M319" s="15">
        <f>IF(H319="",0,LET(pct,IF(E319&gt;0,K319/E319,1),days,IFERROR(L319,999),100-pct*200-days*3))</f>
        <v/>
      </c>
      <c r="N319" s="11">
        <f>IF(A319="","",IF(H319="","Unmatched GL",IF(AND(K319&lt;=Tol_Amount,L319&lt;=Tol_Days),"Matched",IF(M319&gt;Tol_NearPct,"Near Match","Unmatched GL"))))</f>
        <v/>
      </c>
    </row>
    <row r="320">
      <c r="A320" s="13">
        <f>IF(GL_CLEAN!A320="","",GL_CLEAN!A320)</f>
        <v/>
      </c>
      <c r="B320" s="10">
        <f>IF(A320="","",GL_CLEAN!B320)</f>
        <v/>
      </c>
      <c r="C320" s="11">
        <f>IF(A320="","",GL_CLEAN!C320)</f>
        <v/>
      </c>
      <c r="D320" s="14">
        <f>IF(A320="","",GL_CLEAN!H320)</f>
        <v/>
      </c>
      <c r="E320" s="14">
        <f>IF(A320="","",GL_CLEAN!I320)</f>
        <v/>
      </c>
      <c r="F320" s="11">
        <f>IF(A320="","",GL_CLEAN!J320)</f>
        <v/>
      </c>
      <c r="G320" s="11">
        <f>IF(A320="","",IF(F320="OUT","DR","CR"))</f>
        <v/>
      </c>
      <c r="H320" s="11">
        <f>IF(A320="","",IFERROR(INDEX(BANK_CLEAN!$A$2:$A$1001,MATCH(MINIFS(BANK_CLEAN!$J$2:$J$1001,BANK_CLEAN!$H$2:$H$1001,G320,BANK_CLEAN!$L$2:$L$1001,""),BANK_CLEAN!$J$2:$J$1001,0)),""))</f>
        <v/>
      </c>
      <c r="I320" s="10">
        <f>IF(H320="","",INDEX(BANK_CLEAN!$B$2:$B$1001,H320))</f>
        <v/>
      </c>
      <c r="J320" s="14">
        <f>IF(H320="","",IF(F320="OUT",INDEX(BANK_CLEAN!$F$2:$F$1001,H320),INDEX(BANK_CLEAN!$E$2:$E$1001,H320)))</f>
        <v/>
      </c>
      <c r="K320" s="14">
        <f>IF(H320="","",ABS(E320-J320))</f>
        <v/>
      </c>
      <c r="L320" s="11">
        <f>IF(OR(H320="",B320="",I320=""),"",ABS(B320-I320))</f>
        <v/>
      </c>
      <c r="M320" s="15">
        <f>IF(H320="",0,LET(pct,IF(E320&gt;0,K320/E320,1),days,IFERROR(L320,999),100-pct*200-days*3))</f>
        <v/>
      </c>
      <c r="N320" s="11">
        <f>IF(A320="","",IF(H320="","Unmatched GL",IF(AND(K320&lt;=Tol_Amount,L320&lt;=Tol_Days),"Matched",IF(M320&gt;Tol_NearPct,"Near Match","Unmatched GL"))))</f>
        <v/>
      </c>
    </row>
    <row r="321">
      <c r="A321" s="13">
        <f>IF(GL_CLEAN!A321="","",GL_CLEAN!A321)</f>
        <v/>
      </c>
      <c r="B321" s="10">
        <f>IF(A321="","",GL_CLEAN!B321)</f>
        <v/>
      </c>
      <c r="C321" s="11">
        <f>IF(A321="","",GL_CLEAN!C321)</f>
        <v/>
      </c>
      <c r="D321" s="14">
        <f>IF(A321="","",GL_CLEAN!H321)</f>
        <v/>
      </c>
      <c r="E321" s="14">
        <f>IF(A321="","",GL_CLEAN!I321)</f>
        <v/>
      </c>
      <c r="F321" s="11">
        <f>IF(A321="","",GL_CLEAN!J321)</f>
        <v/>
      </c>
      <c r="G321" s="11">
        <f>IF(A321="","",IF(F321="OUT","DR","CR"))</f>
        <v/>
      </c>
      <c r="H321" s="11">
        <f>IF(A321="","",IFERROR(INDEX(BANK_CLEAN!$A$2:$A$1001,MATCH(MINIFS(BANK_CLEAN!$J$2:$J$1001,BANK_CLEAN!$H$2:$H$1001,G321,BANK_CLEAN!$L$2:$L$1001,""),BANK_CLEAN!$J$2:$J$1001,0)),""))</f>
        <v/>
      </c>
      <c r="I321" s="10">
        <f>IF(H321="","",INDEX(BANK_CLEAN!$B$2:$B$1001,H321))</f>
        <v/>
      </c>
      <c r="J321" s="14">
        <f>IF(H321="","",IF(F321="OUT",INDEX(BANK_CLEAN!$F$2:$F$1001,H321),INDEX(BANK_CLEAN!$E$2:$E$1001,H321)))</f>
        <v/>
      </c>
      <c r="K321" s="14">
        <f>IF(H321="","",ABS(E321-J321))</f>
        <v/>
      </c>
      <c r="L321" s="11">
        <f>IF(OR(H321="",B321="",I321=""),"",ABS(B321-I321))</f>
        <v/>
      </c>
      <c r="M321" s="15">
        <f>IF(H321="",0,LET(pct,IF(E321&gt;0,K321/E321,1),days,IFERROR(L321,999),100-pct*200-days*3))</f>
        <v/>
      </c>
      <c r="N321" s="11">
        <f>IF(A321="","",IF(H321="","Unmatched GL",IF(AND(K321&lt;=Tol_Amount,L321&lt;=Tol_Days),"Matched",IF(M321&gt;Tol_NearPct,"Near Match","Unmatched GL"))))</f>
        <v/>
      </c>
    </row>
    <row r="322">
      <c r="A322" s="13">
        <f>IF(GL_CLEAN!A322="","",GL_CLEAN!A322)</f>
        <v/>
      </c>
      <c r="B322" s="10">
        <f>IF(A322="","",GL_CLEAN!B322)</f>
        <v/>
      </c>
      <c r="C322" s="11">
        <f>IF(A322="","",GL_CLEAN!C322)</f>
        <v/>
      </c>
      <c r="D322" s="14">
        <f>IF(A322="","",GL_CLEAN!H322)</f>
        <v/>
      </c>
      <c r="E322" s="14">
        <f>IF(A322="","",GL_CLEAN!I322)</f>
        <v/>
      </c>
      <c r="F322" s="11">
        <f>IF(A322="","",GL_CLEAN!J322)</f>
        <v/>
      </c>
      <c r="G322" s="11">
        <f>IF(A322="","",IF(F322="OUT","DR","CR"))</f>
        <v/>
      </c>
      <c r="H322" s="11">
        <f>IF(A322="","",IFERROR(INDEX(BANK_CLEAN!$A$2:$A$1001,MATCH(MINIFS(BANK_CLEAN!$J$2:$J$1001,BANK_CLEAN!$H$2:$H$1001,G322,BANK_CLEAN!$L$2:$L$1001,""),BANK_CLEAN!$J$2:$J$1001,0)),""))</f>
        <v/>
      </c>
      <c r="I322" s="10">
        <f>IF(H322="","",INDEX(BANK_CLEAN!$B$2:$B$1001,H322))</f>
        <v/>
      </c>
      <c r="J322" s="14">
        <f>IF(H322="","",IF(F322="OUT",INDEX(BANK_CLEAN!$F$2:$F$1001,H322),INDEX(BANK_CLEAN!$E$2:$E$1001,H322)))</f>
        <v/>
      </c>
      <c r="K322" s="14">
        <f>IF(H322="","",ABS(E322-J322))</f>
        <v/>
      </c>
      <c r="L322" s="11">
        <f>IF(OR(H322="",B322="",I322=""),"",ABS(B322-I322))</f>
        <v/>
      </c>
      <c r="M322" s="15">
        <f>IF(H322="",0,LET(pct,IF(E322&gt;0,K322/E322,1),days,IFERROR(L322,999),100-pct*200-days*3))</f>
        <v/>
      </c>
      <c r="N322" s="11">
        <f>IF(A322="","",IF(H322="","Unmatched GL",IF(AND(K322&lt;=Tol_Amount,L322&lt;=Tol_Days),"Matched",IF(M322&gt;Tol_NearPct,"Near Match","Unmatched GL"))))</f>
        <v/>
      </c>
    </row>
    <row r="323">
      <c r="A323" s="13">
        <f>IF(GL_CLEAN!A323="","",GL_CLEAN!A323)</f>
        <v/>
      </c>
      <c r="B323" s="10">
        <f>IF(A323="","",GL_CLEAN!B323)</f>
        <v/>
      </c>
      <c r="C323" s="11">
        <f>IF(A323="","",GL_CLEAN!C323)</f>
        <v/>
      </c>
      <c r="D323" s="14">
        <f>IF(A323="","",GL_CLEAN!H323)</f>
        <v/>
      </c>
      <c r="E323" s="14">
        <f>IF(A323="","",GL_CLEAN!I323)</f>
        <v/>
      </c>
      <c r="F323" s="11">
        <f>IF(A323="","",GL_CLEAN!J323)</f>
        <v/>
      </c>
      <c r="G323" s="11">
        <f>IF(A323="","",IF(F323="OUT","DR","CR"))</f>
        <v/>
      </c>
      <c r="H323" s="11">
        <f>IF(A323="","",IFERROR(INDEX(BANK_CLEAN!$A$2:$A$1001,MATCH(MINIFS(BANK_CLEAN!$J$2:$J$1001,BANK_CLEAN!$H$2:$H$1001,G323,BANK_CLEAN!$L$2:$L$1001,""),BANK_CLEAN!$J$2:$J$1001,0)),""))</f>
        <v/>
      </c>
      <c r="I323" s="10">
        <f>IF(H323="","",INDEX(BANK_CLEAN!$B$2:$B$1001,H323))</f>
        <v/>
      </c>
      <c r="J323" s="14">
        <f>IF(H323="","",IF(F323="OUT",INDEX(BANK_CLEAN!$F$2:$F$1001,H323),INDEX(BANK_CLEAN!$E$2:$E$1001,H323)))</f>
        <v/>
      </c>
      <c r="K323" s="14">
        <f>IF(H323="","",ABS(E323-J323))</f>
        <v/>
      </c>
      <c r="L323" s="11">
        <f>IF(OR(H323="",B323="",I323=""),"",ABS(B323-I323))</f>
        <v/>
      </c>
      <c r="M323" s="15">
        <f>IF(H323="",0,LET(pct,IF(E323&gt;0,K323/E323,1),days,IFERROR(L323,999),100-pct*200-days*3))</f>
        <v/>
      </c>
      <c r="N323" s="11">
        <f>IF(A323="","",IF(H323="","Unmatched GL",IF(AND(K323&lt;=Tol_Amount,L323&lt;=Tol_Days),"Matched",IF(M323&gt;Tol_NearPct,"Near Match","Unmatched GL"))))</f>
        <v/>
      </c>
    </row>
    <row r="324">
      <c r="A324" s="13">
        <f>IF(GL_CLEAN!A324="","",GL_CLEAN!A324)</f>
        <v/>
      </c>
      <c r="B324" s="10">
        <f>IF(A324="","",GL_CLEAN!B324)</f>
        <v/>
      </c>
      <c r="C324" s="11">
        <f>IF(A324="","",GL_CLEAN!C324)</f>
        <v/>
      </c>
      <c r="D324" s="14">
        <f>IF(A324="","",GL_CLEAN!H324)</f>
        <v/>
      </c>
      <c r="E324" s="14">
        <f>IF(A324="","",GL_CLEAN!I324)</f>
        <v/>
      </c>
      <c r="F324" s="11">
        <f>IF(A324="","",GL_CLEAN!J324)</f>
        <v/>
      </c>
      <c r="G324" s="11">
        <f>IF(A324="","",IF(F324="OUT","DR","CR"))</f>
        <v/>
      </c>
      <c r="H324" s="11">
        <f>IF(A324="","",IFERROR(INDEX(BANK_CLEAN!$A$2:$A$1001,MATCH(MINIFS(BANK_CLEAN!$J$2:$J$1001,BANK_CLEAN!$H$2:$H$1001,G324,BANK_CLEAN!$L$2:$L$1001,""),BANK_CLEAN!$J$2:$J$1001,0)),""))</f>
        <v/>
      </c>
      <c r="I324" s="10">
        <f>IF(H324="","",INDEX(BANK_CLEAN!$B$2:$B$1001,H324))</f>
        <v/>
      </c>
      <c r="J324" s="14">
        <f>IF(H324="","",IF(F324="OUT",INDEX(BANK_CLEAN!$F$2:$F$1001,H324),INDEX(BANK_CLEAN!$E$2:$E$1001,H324)))</f>
        <v/>
      </c>
      <c r="K324" s="14">
        <f>IF(H324="","",ABS(E324-J324))</f>
        <v/>
      </c>
      <c r="L324" s="11">
        <f>IF(OR(H324="",B324="",I324=""),"",ABS(B324-I324))</f>
        <v/>
      </c>
      <c r="M324" s="15">
        <f>IF(H324="",0,LET(pct,IF(E324&gt;0,K324/E324,1),days,IFERROR(L324,999),100-pct*200-days*3))</f>
        <v/>
      </c>
      <c r="N324" s="11">
        <f>IF(A324="","",IF(H324="","Unmatched GL",IF(AND(K324&lt;=Tol_Amount,L324&lt;=Tol_Days),"Matched",IF(M324&gt;Tol_NearPct,"Near Match","Unmatched GL"))))</f>
        <v/>
      </c>
    </row>
    <row r="325">
      <c r="A325" s="13">
        <f>IF(GL_CLEAN!A325="","",GL_CLEAN!A325)</f>
        <v/>
      </c>
      <c r="B325" s="10">
        <f>IF(A325="","",GL_CLEAN!B325)</f>
        <v/>
      </c>
      <c r="C325" s="11">
        <f>IF(A325="","",GL_CLEAN!C325)</f>
        <v/>
      </c>
      <c r="D325" s="14">
        <f>IF(A325="","",GL_CLEAN!H325)</f>
        <v/>
      </c>
      <c r="E325" s="14">
        <f>IF(A325="","",GL_CLEAN!I325)</f>
        <v/>
      </c>
      <c r="F325" s="11">
        <f>IF(A325="","",GL_CLEAN!J325)</f>
        <v/>
      </c>
      <c r="G325" s="11">
        <f>IF(A325="","",IF(F325="OUT","DR","CR"))</f>
        <v/>
      </c>
      <c r="H325" s="11">
        <f>IF(A325="","",IFERROR(INDEX(BANK_CLEAN!$A$2:$A$1001,MATCH(MINIFS(BANK_CLEAN!$J$2:$J$1001,BANK_CLEAN!$H$2:$H$1001,G325,BANK_CLEAN!$L$2:$L$1001,""),BANK_CLEAN!$J$2:$J$1001,0)),""))</f>
        <v/>
      </c>
      <c r="I325" s="10">
        <f>IF(H325="","",INDEX(BANK_CLEAN!$B$2:$B$1001,H325))</f>
        <v/>
      </c>
      <c r="J325" s="14">
        <f>IF(H325="","",IF(F325="OUT",INDEX(BANK_CLEAN!$F$2:$F$1001,H325),INDEX(BANK_CLEAN!$E$2:$E$1001,H325)))</f>
        <v/>
      </c>
      <c r="K325" s="14">
        <f>IF(H325="","",ABS(E325-J325))</f>
        <v/>
      </c>
      <c r="L325" s="11">
        <f>IF(OR(H325="",B325="",I325=""),"",ABS(B325-I325))</f>
        <v/>
      </c>
      <c r="M325" s="15">
        <f>IF(H325="",0,LET(pct,IF(E325&gt;0,K325/E325,1),days,IFERROR(L325,999),100-pct*200-days*3))</f>
        <v/>
      </c>
      <c r="N325" s="11">
        <f>IF(A325="","",IF(H325="","Unmatched GL",IF(AND(K325&lt;=Tol_Amount,L325&lt;=Tol_Days),"Matched",IF(M325&gt;Tol_NearPct,"Near Match","Unmatched GL"))))</f>
        <v/>
      </c>
    </row>
    <row r="326">
      <c r="A326" s="13">
        <f>IF(GL_CLEAN!A326="","",GL_CLEAN!A326)</f>
        <v/>
      </c>
      <c r="B326" s="10">
        <f>IF(A326="","",GL_CLEAN!B326)</f>
        <v/>
      </c>
      <c r="C326" s="11">
        <f>IF(A326="","",GL_CLEAN!C326)</f>
        <v/>
      </c>
      <c r="D326" s="14">
        <f>IF(A326="","",GL_CLEAN!H326)</f>
        <v/>
      </c>
      <c r="E326" s="14">
        <f>IF(A326="","",GL_CLEAN!I326)</f>
        <v/>
      </c>
      <c r="F326" s="11">
        <f>IF(A326="","",GL_CLEAN!J326)</f>
        <v/>
      </c>
      <c r="G326" s="11">
        <f>IF(A326="","",IF(F326="OUT","DR","CR"))</f>
        <v/>
      </c>
      <c r="H326" s="11">
        <f>IF(A326="","",IFERROR(INDEX(BANK_CLEAN!$A$2:$A$1001,MATCH(MINIFS(BANK_CLEAN!$J$2:$J$1001,BANK_CLEAN!$H$2:$H$1001,G326,BANK_CLEAN!$L$2:$L$1001,""),BANK_CLEAN!$J$2:$J$1001,0)),""))</f>
        <v/>
      </c>
      <c r="I326" s="10">
        <f>IF(H326="","",INDEX(BANK_CLEAN!$B$2:$B$1001,H326))</f>
        <v/>
      </c>
      <c r="J326" s="14">
        <f>IF(H326="","",IF(F326="OUT",INDEX(BANK_CLEAN!$F$2:$F$1001,H326),INDEX(BANK_CLEAN!$E$2:$E$1001,H326)))</f>
        <v/>
      </c>
      <c r="K326" s="14">
        <f>IF(H326="","",ABS(E326-J326))</f>
        <v/>
      </c>
      <c r="L326" s="11">
        <f>IF(OR(H326="",B326="",I326=""),"",ABS(B326-I326))</f>
        <v/>
      </c>
      <c r="M326" s="15">
        <f>IF(H326="",0,LET(pct,IF(E326&gt;0,K326/E326,1),days,IFERROR(L326,999),100-pct*200-days*3))</f>
        <v/>
      </c>
      <c r="N326" s="11">
        <f>IF(A326="","",IF(H326="","Unmatched GL",IF(AND(K326&lt;=Tol_Amount,L326&lt;=Tol_Days),"Matched",IF(M326&gt;Tol_NearPct,"Near Match","Unmatched GL"))))</f>
        <v/>
      </c>
    </row>
    <row r="327">
      <c r="A327" s="13">
        <f>IF(GL_CLEAN!A327="","",GL_CLEAN!A327)</f>
        <v/>
      </c>
      <c r="B327" s="10">
        <f>IF(A327="","",GL_CLEAN!B327)</f>
        <v/>
      </c>
      <c r="C327" s="11">
        <f>IF(A327="","",GL_CLEAN!C327)</f>
        <v/>
      </c>
      <c r="D327" s="14">
        <f>IF(A327="","",GL_CLEAN!H327)</f>
        <v/>
      </c>
      <c r="E327" s="14">
        <f>IF(A327="","",GL_CLEAN!I327)</f>
        <v/>
      </c>
      <c r="F327" s="11">
        <f>IF(A327="","",GL_CLEAN!J327)</f>
        <v/>
      </c>
      <c r="G327" s="11">
        <f>IF(A327="","",IF(F327="OUT","DR","CR"))</f>
        <v/>
      </c>
      <c r="H327" s="11">
        <f>IF(A327="","",IFERROR(INDEX(BANK_CLEAN!$A$2:$A$1001,MATCH(MINIFS(BANK_CLEAN!$J$2:$J$1001,BANK_CLEAN!$H$2:$H$1001,G327,BANK_CLEAN!$L$2:$L$1001,""),BANK_CLEAN!$J$2:$J$1001,0)),""))</f>
        <v/>
      </c>
      <c r="I327" s="10">
        <f>IF(H327="","",INDEX(BANK_CLEAN!$B$2:$B$1001,H327))</f>
        <v/>
      </c>
      <c r="J327" s="14">
        <f>IF(H327="","",IF(F327="OUT",INDEX(BANK_CLEAN!$F$2:$F$1001,H327),INDEX(BANK_CLEAN!$E$2:$E$1001,H327)))</f>
        <v/>
      </c>
      <c r="K327" s="14">
        <f>IF(H327="","",ABS(E327-J327))</f>
        <v/>
      </c>
      <c r="L327" s="11">
        <f>IF(OR(H327="",B327="",I327=""),"",ABS(B327-I327))</f>
        <v/>
      </c>
      <c r="M327" s="15">
        <f>IF(H327="",0,LET(pct,IF(E327&gt;0,K327/E327,1),days,IFERROR(L327,999),100-pct*200-days*3))</f>
        <v/>
      </c>
      <c r="N327" s="11">
        <f>IF(A327="","",IF(H327="","Unmatched GL",IF(AND(K327&lt;=Tol_Amount,L327&lt;=Tol_Days),"Matched",IF(M327&gt;Tol_NearPct,"Near Match","Unmatched GL"))))</f>
        <v/>
      </c>
    </row>
    <row r="328">
      <c r="A328" s="13">
        <f>IF(GL_CLEAN!A328="","",GL_CLEAN!A328)</f>
        <v/>
      </c>
      <c r="B328" s="10">
        <f>IF(A328="","",GL_CLEAN!B328)</f>
        <v/>
      </c>
      <c r="C328" s="11">
        <f>IF(A328="","",GL_CLEAN!C328)</f>
        <v/>
      </c>
      <c r="D328" s="14">
        <f>IF(A328="","",GL_CLEAN!H328)</f>
        <v/>
      </c>
      <c r="E328" s="14">
        <f>IF(A328="","",GL_CLEAN!I328)</f>
        <v/>
      </c>
      <c r="F328" s="11">
        <f>IF(A328="","",GL_CLEAN!J328)</f>
        <v/>
      </c>
      <c r="G328" s="11">
        <f>IF(A328="","",IF(F328="OUT","DR","CR"))</f>
        <v/>
      </c>
      <c r="H328" s="11">
        <f>IF(A328="","",IFERROR(INDEX(BANK_CLEAN!$A$2:$A$1001,MATCH(MINIFS(BANK_CLEAN!$J$2:$J$1001,BANK_CLEAN!$H$2:$H$1001,G328,BANK_CLEAN!$L$2:$L$1001,""),BANK_CLEAN!$J$2:$J$1001,0)),""))</f>
        <v/>
      </c>
      <c r="I328" s="10">
        <f>IF(H328="","",INDEX(BANK_CLEAN!$B$2:$B$1001,H328))</f>
        <v/>
      </c>
      <c r="J328" s="14">
        <f>IF(H328="","",IF(F328="OUT",INDEX(BANK_CLEAN!$F$2:$F$1001,H328),INDEX(BANK_CLEAN!$E$2:$E$1001,H328)))</f>
        <v/>
      </c>
      <c r="K328" s="14">
        <f>IF(H328="","",ABS(E328-J328))</f>
        <v/>
      </c>
      <c r="L328" s="11">
        <f>IF(OR(H328="",B328="",I328=""),"",ABS(B328-I328))</f>
        <v/>
      </c>
      <c r="M328" s="15">
        <f>IF(H328="",0,LET(pct,IF(E328&gt;0,K328/E328,1),days,IFERROR(L328,999),100-pct*200-days*3))</f>
        <v/>
      </c>
      <c r="N328" s="11">
        <f>IF(A328="","",IF(H328="","Unmatched GL",IF(AND(K328&lt;=Tol_Amount,L328&lt;=Tol_Days),"Matched",IF(M328&gt;Tol_NearPct,"Near Match","Unmatched GL"))))</f>
        <v/>
      </c>
    </row>
    <row r="329">
      <c r="A329" s="13">
        <f>IF(GL_CLEAN!A329="","",GL_CLEAN!A329)</f>
        <v/>
      </c>
      <c r="B329" s="10">
        <f>IF(A329="","",GL_CLEAN!B329)</f>
        <v/>
      </c>
      <c r="C329" s="11">
        <f>IF(A329="","",GL_CLEAN!C329)</f>
        <v/>
      </c>
      <c r="D329" s="14">
        <f>IF(A329="","",GL_CLEAN!H329)</f>
        <v/>
      </c>
      <c r="E329" s="14">
        <f>IF(A329="","",GL_CLEAN!I329)</f>
        <v/>
      </c>
      <c r="F329" s="11">
        <f>IF(A329="","",GL_CLEAN!J329)</f>
        <v/>
      </c>
      <c r="G329" s="11">
        <f>IF(A329="","",IF(F329="OUT","DR","CR"))</f>
        <v/>
      </c>
      <c r="H329" s="11">
        <f>IF(A329="","",IFERROR(INDEX(BANK_CLEAN!$A$2:$A$1001,MATCH(MINIFS(BANK_CLEAN!$J$2:$J$1001,BANK_CLEAN!$H$2:$H$1001,G329,BANK_CLEAN!$L$2:$L$1001,""),BANK_CLEAN!$J$2:$J$1001,0)),""))</f>
        <v/>
      </c>
      <c r="I329" s="10">
        <f>IF(H329="","",INDEX(BANK_CLEAN!$B$2:$B$1001,H329))</f>
        <v/>
      </c>
      <c r="J329" s="14">
        <f>IF(H329="","",IF(F329="OUT",INDEX(BANK_CLEAN!$F$2:$F$1001,H329),INDEX(BANK_CLEAN!$E$2:$E$1001,H329)))</f>
        <v/>
      </c>
      <c r="K329" s="14">
        <f>IF(H329="","",ABS(E329-J329))</f>
        <v/>
      </c>
      <c r="L329" s="11">
        <f>IF(OR(H329="",B329="",I329=""),"",ABS(B329-I329))</f>
        <v/>
      </c>
      <c r="M329" s="15">
        <f>IF(H329="",0,LET(pct,IF(E329&gt;0,K329/E329,1),days,IFERROR(L329,999),100-pct*200-days*3))</f>
        <v/>
      </c>
      <c r="N329" s="11">
        <f>IF(A329="","",IF(H329="","Unmatched GL",IF(AND(K329&lt;=Tol_Amount,L329&lt;=Tol_Days),"Matched",IF(M329&gt;Tol_NearPct,"Near Match","Unmatched GL"))))</f>
        <v/>
      </c>
    </row>
    <row r="330">
      <c r="A330" s="13">
        <f>IF(GL_CLEAN!A330="","",GL_CLEAN!A330)</f>
        <v/>
      </c>
      <c r="B330" s="10">
        <f>IF(A330="","",GL_CLEAN!B330)</f>
        <v/>
      </c>
      <c r="C330" s="11">
        <f>IF(A330="","",GL_CLEAN!C330)</f>
        <v/>
      </c>
      <c r="D330" s="14">
        <f>IF(A330="","",GL_CLEAN!H330)</f>
        <v/>
      </c>
      <c r="E330" s="14">
        <f>IF(A330="","",GL_CLEAN!I330)</f>
        <v/>
      </c>
      <c r="F330" s="11">
        <f>IF(A330="","",GL_CLEAN!J330)</f>
        <v/>
      </c>
      <c r="G330" s="11">
        <f>IF(A330="","",IF(F330="OUT","DR","CR"))</f>
        <v/>
      </c>
      <c r="H330" s="11">
        <f>IF(A330="","",IFERROR(INDEX(BANK_CLEAN!$A$2:$A$1001,MATCH(MINIFS(BANK_CLEAN!$J$2:$J$1001,BANK_CLEAN!$H$2:$H$1001,G330,BANK_CLEAN!$L$2:$L$1001,""),BANK_CLEAN!$J$2:$J$1001,0)),""))</f>
        <v/>
      </c>
      <c r="I330" s="10">
        <f>IF(H330="","",INDEX(BANK_CLEAN!$B$2:$B$1001,H330))</f>
        <v/>
      </c>
      <c r="J330" s="14">
        <f>IF(H330="","",IF(F330="OUT",INDEX(BANK_CLEAN!$F$2:$F$1001,H330),INDEX(BANK_CLEAN!$E$2:$E$1001,H330)))</f>
        <v/>
      </c>
      <c r="K330" s="14">
        <f>IF(H330="","",ABS(E330-J330))</f>
        <v/>
      </c>
      <c r="L330" s="11">
        <f>IF(OR(H330="",B330="",I330=""),"",ABS(B330-I330))</f>
        <v/>
      </c>
      <c r="M330" s="15">
        <f>IF(H330="",0,LET(pct,IF(E330&gt;0,K330/E330,1),days,IFERROR(L330,999),100-pct*200-days*3))</f>
        <v/>
      </c>
      <c r="N330" s="11">
        <f>IF(A330="","",IF(H330="","Unmatched GL",IF(AND(K330&lt;=Tol_Amount,L330&lt;=Tol_Days),"Matched",IF(M330&gt;Tol_NearPct,"Near Match","Unmatched GL"))))</f>
        <v/>
      </c>
    </row>
    <row r="331">
      <c r="A331" s="13">
        <f>IF(GL_CLEAN!A331="","",GL_CLEAN!A331)</f>
        <v/>
      </c>
      <c r="B331" s="10">
        <f>IF(A331="","",GL_CLEAN!B331)</f>
        <v/>
      </c>
      <c r="C331" s="11">
        <f>IF(A331="","",GL_CLEAN!C331)</f>
        <v/>
      </c>
      <c r="D331" s="14">
        <f>IF(A331="","",GL_CLEAN!H331)</f>
        <v/>
      </c>
      <c r="E331" s="14">
        <f>IF(A331="","",GL_CLEAN!I331)</f>
        <v/>
      </c>
      <c r="F331" s="11">
        <f>IF(A331="","",GL_CLEAN!J331)</f>
        <v/>
      </c>
      <c r="G331" s="11">
        <f>IF(A331="","",IF(F331="OUT","DR","CR"))</f>
        <v/>
      </c>
      <c r="H331" s="11">
        <f>IF(A331="","",IFERROR(INDEX(BANK_CLEAN!$A$2:$A$1001,MATCH(MINIFS(BANK_CLEAN!$J$2:$J$1001,BANK_CLEAN!$H$2:$H$1001,G331,BANK_CLEAN!$L$2:$L$1001,""),BANK_CLEAN!$J$2:$J$1001,0)),""))</f>
        <v/>
      </c>
      <c r="I331" s="10">
        <f>IF(H331="","",INDEX(BANK_CLEAN!$B$2:$B$1001,H331))</f>
        <v/>
      </c>
      <c r="J331" s="14">
        <f>IF(H331="","",IF(F331="OUT",INDEX(BANK_CLEAN!$F$2:$F$1001,H331),INDEX(BANK_CLEAN!$E$2:$E$1001,H331)))</f>
        <v/>
      </c>
      <c r="K331" s="14">
        <f>IF(H331="","",ABS(E331-J331))</f>
        <v/>
      </c>
      <c r="L331" s="11">
        <f>IF(OR(H331="",B331="",I331=""),"",ABS(B331-I331))</f>
        <v/>
      </c>
      <c r="M331" s="15">
        <f>IF(H331="",0,LET(pct,IF(E331&gt;0,K331/E331,1),days,IFERROR(L331,999),100-pct*200-days*3))</f>
        <v/>
      </c>
      <c r="N331" s="11">
        <f>IF(A331="","",IF(H331="","Unmatched GL",IF(AND(K331&lt;=Tol_Amount,L331&lt;=Tol_Days),"Matched",IF(M331&gt;Tol_NearPct,"Near Match","Unmatched GL"))))</f>
        <v/>
      </c>
    </row>
    <row r="332">
      <c r="A332" s="13">
        <f>IF(GL_CLEAN!A332="","",GL_CLEAN!A332)</f>
        <v/>
      </c>
      <c r="B332" s="10">
        <f>IF(A332="","",GL_CLEAN!B332)</f>
        <v/>
      </c>
      <c r="C332" s="11">
        <f>IF(A332="","",GL_CLEAN!C332)</f>
        <v/>
      </c>
      <c r="D332" s="14">
        <f>IF(A332="","",GL_CLEAN!H332)</f>
        <v/>
      </c>
      <c r="E332" s="14">
        <f>IF(A332="","",GL_CLEAN!I332)</f>
        <v/>
      </c>
      <c r="F332" s="11">
        <f>IF(A332="","",GL_CLEAN!J332)</f>
        <v/>
      </c>
      <c r="G332" s="11">
        <f>IF(A332="","",IF(F332="OUT","DR","CR"))</f>
        <v/>
      </c>
      <c r="H332" s="11">
        <f>IF(A332="","",IFERROR(INDEX(BANK_CLEAN!$A$2:$A$1001,MATCH(MINIFS(BANK_CLEAN!$J$2:$J$1001,BANK_CLEAN!$H$2:$H$1001,G332,BANK_CLEAN!$L$2:$L$1001,""),BANK_CLEAN!$J$2:$J$1001,0)),""))</f>
        <v/>
      </c>
      <c r="I332" s="10">
        <f>IF(H332="","",INDEX(BANK_CLEAN!$B$2:$B$1001,H332))</f>
        <v/>
      </c>
      <c r="J332" s="14">
        <f>IF(H332="","",IF(F332="OUT",INDEX(BANK_CLEAN!$F$2:$F$1001,H332),INDEX(BANK_CLEAN!$E$2:$E$1001,H332)))</f>
        <v/>
      </c>
      <c r="K332" s="14">
        <f>IF(H332="","",ABS(E332-J332))</f>
        <v/>
      </c>
      <c r="L332" s="11">
        <f>IF(OR(H332="",B332="",I332=""),"",ABS(B332-I332))</f>
        <v/>
      </c>
      <c r="M332" s="15">
        <f>IF(H332="",0,LET(pct,IF(E332&gt;0,K332/E332,1),days,IFERROR(L332,999),100-pct*200-days*3))</f>
        <v/>
      </c>
      <c r="N332" s="11">
        <f>IF(A332="","",IF(H332="","Unmatched GL",IF(AND(K332&lt;=Tol_Amount,L332&lt;=Tol_Days),"Matched",IF(M332&gt;Tol_NearPct,"Near Match","Unmatched GL"))))</f>
        <v/>
      </c>
    </row>
    <row r="333">
      <c r="A333" s="13">
        <f>IF(GL_CLEAN!A333="","",GL_CLEAN!A333)</f>
        <v/>
      </c>
      <c r="B333" s="10">
        <f>IF(A333="","",GL_CLEAN!B333)</f>
        <v/>
      </c>
      <c r="C333" s="11">
        <f>IF(A333="","",GL_CLEAN!C333)</f>
        <v/>
      </c>
      <c r="D333" s="14">
        <f>IF(A333="","",GL_CLEAN!H333)</f>
        <v/>
      </c>
      <c r="E333" s="14">
        <f>IF(A333="","",GL_CLEAN!I333)</f>
        <v/>
      </c>
      <c r="F333" s="11">
        <f>IF(A333="","",GL_CLEAN!J333)</f>
        <v/>
      </c>
      <c r="G333" s="11">
        <f>IF(A333="","",IF(F333="OUT","DR","CR"))</f>
        <v/>
      </c>
      <c r="H333" s="11">
        <f>IF(A333="","",IFERROR(INDEX(BANK_CLEAN!$A$2:$A$1001,MATCH(MINIFS(BANK_CLEAN!$J$2:$J$1001,BANK_CLEAN!$H$2:$H$1001,G333,BANK_CLEAN!$L$2:$L$1001,""),BANK_CLEAN!$J$2:$J$1001,0)),""))</f>
        <v/>
      </c>
      <c r="I333" s="10">
        <f>IF(H333="","",INDEX(BANK_CLEAN!$B$2:$B$1001,H333))</f>
        <v/>
      </c>
      <c r="J333" s="14">
        <f>IF(H333="","",IF(F333="OUT",INDEX(BANK_CLEAN!$F$2:$F$1001,H333),INDEX(BANK_CLEAN!$E$2:$E$1001,H333)))</f>
        <v/>
      </c>
      <c r="K333" s="14">
        <f>IF(H333="","",ABS(E333-J333))</f>
        <v/>
      </c>
      <c r="L333" s="11">
        <f>IF(OR(H333="",B333="",I333=""),"",ABS(B333-I333))</f>
        <v/>
      </c>
      <c r="M333" s="15">
        <f>IF(H333="",0,LET(pct,IF(E333&gt;0,K333/E333,1),days,IFERROR(L333,999),100-pct*200-days*3))</f>
        <v/>
      </c>
      <c r="N333" s="11">
        <f>IF(A333="","",IF(H333="","Unmatched GL",IF(AND(K333&lt;=Tol_Amount,L333&lt;=Tol_Days),"Matched",IF(M333&gt;Tol_NearPct,"Near Match","Unmatched GL"))))</f>
        <v/>
      </c>
    </row>
    <row r="334">
      <c r="A334" s="13">
        <f>IF(GL_CLEAN!A334="","",GL_CLEAN!A334)</f>
        <v/>
      </c>
      <c r="B334" s="10">
        <f>IF(A334="","",GL_CLEAN!B334)</f>
        <v/>
      </c>
      <c r="C334" s="11">
        <f>IF(A334="","",GL_CLEAN!C334)</f>
        <v/>
      </c>
      <c r="D334" s="14">
        <f>IF(A334="","",GL_CLEAN!H334)</f>
        <v/>
      </c>
      <c r="E334" s="14">
        <f>IF(A334="","",GL_CLEAN!I334)</f>
        <v/>
      </c>
      <c r="F334" s="11">
        <f>IF(A334="","",GL_CLEAN!J334)</f>
        <v/>
      </c>
      <c r="G334" s="11">
        <f>IF(A334="","",IF(F334="OUT","DR","CR"))</f>
        <v/>
      </c>
      <c r="H334" s="11">
        <f>IF(A334="","",IFERROR(INDEX(BANK_CLEAN!$A$2:$A$1001,MATCH(MINIFS(BANK_CLEAN!$J$2:$J$1001,BANK_CLEAN!$H$2:$H$1001,G334,BANK_CLEAN!$L$2:$L$1001,""),BANK_CLEAN!$J$2:$J$1001,0)),""))</f>
        <v/>
      </c>
      <c r="I334" s="10">
        <f>IF(H334="","",INDEX(BANK_CLEAN!$B$2:$B$1001,H334))</f>
        <v/>
      </c>
      <c r="J334" s="14">
        <f>IF(H334="","",IF(F334="OUT",INDEX(BANK_CLEAN!$F$2:$F$1001,H334),INDEX(BANK_CLEAN!$E$2:$E$1001,H334)))</f>
        <v/>
      </c>
      <c r="K334" s="14">
        <f>IF(H334="","",ABS(E334-J334))</f>
        <v/>
      </c>
      <c r="L334" s="11">
        <f>IF(OR(H334="",B334="",I334=""),"",ABS(B334-I334))</f>
        <v/>
      </c>
      <c r="M334" s="15">
        <f>IF(H334="",0,LET(pct,IF(E334&gt;0,K334/E334,1),days,IFERROR(L334,999),100-pct*200-days*3))</f>
        <v/>
      </c>
      <c r="N334" s="11">
        <f>IF(A334="","",IF(H334="","Unmatched GL",IF(AND(K334&lt;=Tol_Amount,L334&lt;=Tol_Days),"Matched",IF(M334&gt;Tol_NearPct,"Near Match","Unmatched GL"))))</f>
        <v/>
      </c>
    </row>
    <row r="335">
      <c r="A335" s="13">
        <f>IF(GL_CLEAN!A335="","",GL_CLEAN!A335)</f>
        <v/>
      </c>
      <c r="B335" s="10">
        <f>IF(A335="","",GL_CLEAN!B335)</f>
        <v/>
      </c>
      <c r="C335" s="11">
        <f>IF(A335="","",GL_CLEAN!C335)</f>
        <v/>
      </c>
      <c r="D335" s="14">
        <f>IF(A335="","",GL_CLEAN!H335)</f>
        <v/>
      </c>
      <c r="E335" s="14">
        <f>IF(A335="","",GL_CLEAN!I335)</f>
        <v/>
      </c>
      <c r="F335" s="11">
        <f>IF(A335="","",GL_CLEAN!J335)</f>
        <v/>
      </c>
      <c r="G335" s="11">
        <f>IF(A335="","",IF(F335="OUT","DR","CR"))</f>
        <v/>
      </c>
      <c r="H335" s="11">
        <f>IF(A335="","",IFERROR(INDEX(BANK_CLEAN!$A$2:$A$1001,MATCH(MINIFS(BANK_CLEAN!$J$2:$J$1001,BANK_CLEAN!$H$2:$H$1001,G335,BANK_CLEAN!$L$2:$L$1001,""),BANK_CLEAN!$J$2:$J$1001,0)),""))</f>
        <v/>
      </c>
      <c r="I335" s="10">
        <f>IF(H335="","",INDEX(BANK_CLEAN!$B$2:$B$1001,H335))</f>
        <v/>
      </c>
      <c r="J335" s="14">
        <f>IF(H335="","",IF(F335="OUT",INDEX(BANK_CLEAN!$F$2:$F$1001,H335),INDEX(BANK_CLEAN!$E$2:$E$1001,H335)))</f>
        <v/>
      </c>
      <c r="K335" s="14">
        <f>IF(H335="","",ABS(E335-J335))</f>
        <v/>
      </c>
      <c r="L335" s="11">
        <f>IF(OR(H335="",B335="",I335=""),"",ABS(B335-I335))</f>
        <v/>
      </c>
      <c r="M335" s="15">
        <f>IF(H335="",0,LET(pct,IF(E335&gt;0,K335/E335,1),days,IFERROR(L335,999),100-pct*200-days*3))</f>
        <v/>
      </c>
      <c r="N335" s="11">
        <f>IF(A335="","",IF(H335="","Unmatched GL",IF(AND(K335&lt;=Tol_Amount,L335&lt;=Tol_Days),"Matched",IF(M335&gt;Tol_NearPct,"Near Match","Unmatched GL"))))</f>
        <v/>
      </c>
    </row>
    <row r="336">
      <c r="A336" s="13">
        <f>IF(GL_CLEAN!A336="","",GL_CLEAN!A336)</f>
        <v/>
      </c>
      <c r="B336" s="10">
        <f>IF(A336="","",GL_CLEAN!B336)</f>
        <v/>
      </c>
      <c r="C336" s="11">
        <f>IF(A336="","",GL_CLEAN!C336)</f>
        <v/>
      </c>
      <c r="D336" s="14">
        <f>IF(A336="","",GL_CLEAN!H336)</f>
        <v/>
      </c>
      <c r="E336" s="14">
        <f>IF(A336="","",GL_CLEAN!I336)</f>
        <v/>
      </c>
      <c r="F336" s="11">
        <f>IF(A336="","",GL_CLEAN!J336)</f>
        <v/>
      </c>
      <c r="G336" s="11">
        <f>IF(A336="","",IF(F336="OUT","DR","CR"))</f>
        <v/>
      </c>
      <c r="H336" s="11">
        <f>IF(A336="","",IFERROR(INDEX(BANK_CLEAN!$A$2:$A$1001,MATCH(MINIFS(BANK_CLEAN!$J$2:$J$1001,BANK_CLEAN!$H$2:$H$1001,G336,BANK_CLEAN!$L$2:$L$1001,""),BANK_CLEAN!$J$2:$J$1001,0)),""))</f>
        <v/>
      </c>
      <c r="I336" s="10">
        <f>IF(H336="","",INDEX(BANK_CLEAN!$B$2:$B$1001,H336))</f>
        <v/>
      </c>
      <c r="J336" s="14">
        <f>IF(H336="","",IF(F336="OUT",INDEX(BANK_CLEAN!$F$2:$F$1001,H336),INDEX(BANK_CLEAN!$E$2:$E$1001,H336)))</f>
        <v/>
      </c>
      <c r="K336" s="14">
        <f>IF(H336="","",ABS(E336-J336))</f>
        <v/>
      </c>
      <c r="L336" s="11">
        <f>IF(OR(H336="",B336="",I336=""),"",ABS(B336-I336))</f>
        <v/>
      </c>
      <c r="M336" s="15">
        <f>IF(H336="",0,LET(pct,IF(E336&gt;0,K336/E336,1),days,IFERROR(L336,999),100-pct*200-days*3))</f>
        <v/>
      </c>
      <c r="N336" s="11">
        <f>IF(A336="","",IF(H336="","Unmatched GL",IF(AND(K336&lt;=Tol_Amount,L336&lt;=Tol_Days),"Matched",IF(M336&gt;Tol_NearPct,"Near Match","Unmatched GL"))))</f>
        <v/>
      </c>
    </row>
    <row r="337">
      <c r="A337" s="13">
        <f>IF(GL_CLEAN!A337="","",GL_CLEAN!A337)</f>
        <v/>
      </c>
      <c r="B337" s="10">
        <f>IF(A337="","",GL_CLEAN!B337)</f>
        <v/>
      </c>
      <c r="C337" s="11">
        <f>IF(A337="","",GL_CLEAN!C337)</f>
        <v/>
      </c>
      <c r="D337" s="14">
        <f>IF(A337="","",GL_CLEAN!H337)</f>
        <v/>
      </c>
      <c r="E337" s="14">
        <f>IF(A337="","",GL_CLEAN!I337)</f>
        <v/>
      </c>
      <c r="F337" s="11">
        <f>IF(A337="","",GL_CLEAN!J337)</f>
        <v/>
      </c>
      <c r="G337" s="11">
        <f>IF(A337="","",IF(F337="OUT","DR","CR"))</f>
        <v/>
      </c>
      <c r="H337" s="11">
        <f>IF(A337="","",IFERROR(INDEX(BANK_CLEAN!$A$2:$A$1001,MATCH(MINIFS(BANK_CLEAN!$J$2:$J$1001,BANK_CLEAN!$H$2:$H$1001,G337,BANK_CLEAN!$L$2:$L$1001,""),BANK_CLEAN!$J$2:$J$1001,0)),""))</f>
        <v/>
      </c>
      <c r="I337" s="10">
        <f>IF(H337="","",INDEX(BANK_CLEAN!$B$2:$B$1001,H337))</f>
        <v/>
      </c>
      <c r="J337" s="14">
        <f>IF(H337="","",IF(F337="OUT",INDEX(BANK_CLEAN!$F$2:$F$1001,H337),INDEX(BANK_CLEAN!$E$2:$E$1001,H337)))</f>
        <v/>
      </c>
      <c r="K337" s="14">
        <f>IF(H337="","",ABS(E337-J337))</f>
        <v/>
      </c>
      <c r="L337" s="11">
        <f>IF(OR(H337="",B337="",I337=""),"",ABS(B337-I337))</f>
        <v/>
      </c>
      <c r="M337" s="15">
        <f>IF(H337="",0,LET(pct,IF(E337&gt;0,K337/E337,1),days,IFERROR(L337,999),100-pct*200-days*3))</f>
        <v/>
      </c>
      <c r="N337" s="11">
        <f>IF(A337="","",IF(H337="","Unmatched GL",IF(AND(K337&lt;=Tol_Amount,L337&lt;=Tol_Days),"Matched",IF(M337&gt;Tol_NearPct,"Near Match","Unmatched GL"))))</f>
        <v/>
      </c>
    </row>
    <row r="338">
      <c r="A338" s="13">
        <f>IF(GL_CLEAN!A338="","",GL_CLEAN!A338)</f>
        <v/>
      </c>
      <c r="B338" s="10">
        <f>IF(A338="","",GL_CLEAN!B338)</f>
        <v/>
      </c>
      <c r="C338" s="11">
        <f>IF(A338="","",GL_CLEAN!C338)</f>
        <v/>
      </c>
      <c r="D338" s="14">
        <f>IF(A338="","",GL_CLEAN!H338)</f>
        <v/>
      </c>
      <c r="E338" s="14">
        <f>IF(A338="","",GL_CLEAN!I338)</f>
        <v/>
      </c>
      <c r="F338" s="11">
        <f>IF(A338="","",GL_CLEAN!J338)</f>
        <v/>
      </c>
      <c r="G338" s="11">
        <f>IF(A338="","",IF(F338="OUT","DR","CR"))</f>
        <v/>
      </c>
      <c r="H338" s="11">
        <f>IF(A338="","",IFERROR(INDEX(BANK_CLEAN!$A$2:$A$1001,MATCH(MINIFS(BANK_CLEAN!$J$2:$J$1001,BANK_CLEAN!$H$2:$H$1001,G338,BANK_CLEAN!$L$2:$L$1001,""),BANK_CLEAN!$J$2:$J$1001,0)),""))</f>
        <v/>
      </c>
      <c r="I338" s="10">
        <f>IF(H338="","",INDEX(BANK_CLEAN!$B$2:$B$1001,H338))</f>
        <v/>
      </c>
      <c r="J338" s="14">
        <f>IF(H338="","",IF(F338="OUT",INDEX(BANK_CLEAN!$F$2:$F$1001,H338),INDEX(BANK_CLEAN!$E$2:$E$1001,H338)))</f>
        <v/>
      </c>
      <c r="K338" s="14">
        <f>IF(H338="","",ABS(E338-J338))</f>
        <v/>
      </c>
      <c r="L338" s="11">
        <f>IF(OR(H338="",B338="",I338=""),"",ABS(B338-I338))</f>
        <v/>
      </c>
      <c r="M338" s="15">
        <f>IF(H338="",0,LET(pct,IF(E338&gt;0,K338/E338,1),days,IFERROR(L338,999),100-pct*200-days*3))</f>
        <v/>
      </c>
      <c r="N338" s="11">
        <f>IF(A338="","",IF(H338="","Unmatched GL",IF(AND(K338&lt;=Tol_Amount,L338&lt;=Tol_Days),"Matched",IF(M338&gt;Tol_NearPct,"Near Match","Unmatched GL"))))</f>
        <v/>
      </c>
    </row>
    <row r="339">
      <c r="A339" s="13">
        <f>IF(GL_CLEAN!A339="","",GL_CLEAN!A339)</f>
        <v/>
      </c>
      <c r="B339" s="10">
        <f>IF(A339="","",GL_CLEAN!B339)</f>
        <v/>
      </c>
      <c r="C339" s="11">
        <f>IF(A339="","",GL_CLEAN!C339)</f>
        <v/>
      </c>
      <c r="D339" s="14">
        <f>IF(A339="","",GL_CLEAN!H339)</f>
        <v/>
      </c>
      <c r="E339" s="14">
        <f>IF(A339="","",GL_CLEAN!I339)</f>
        <v/>
      </c>
      <c r="F339" s="11">
        <f>IF(A339="","",GL_CLEAN!J339)</f>
        <v/>
      </c>
      <c r="G339" s="11">
        <f>IF(A339="","",IF(F339="OUT","DR","CR"))</f>
        <v/>
      </c>
      <c r="H339" s="11">
        <f>IF(A339="","",IFERROR(INDEX(BANK_CLEAN!$A$2:$A$1001,MATCH(MINIFS(BANK_CLEAN!$J$2:$J$1001,BANK_CLEAN!$H$2:$H$1001,G339,BANK_CLEAN!$L$2:$L$1001,""),BANK_CLEAN!$J$2:$J$1001,0)),""))</f>
        <v/>
      </c>
      <c r="I339" s="10">
        <f>IF(H339="","",INDEX(BANK_CLEAN!$B$2:$B$1001,H339))</f>
        <v/>
      </c>
      <c r="J339" s="14">
        <f>IF(H339="","",IF(F339="OUT",INDEX(BANK_CLEAN!$F$2:$F$1001,H339),INDEX(BANK_CLEAN!$E$2:$E$1001,H339)))</f>
        <v/>
      </c>
      <c r="K339" s="14">
        <f>IF(H339="","",ABS(E339-J339))</f>
        <v/>
      </c>
      <c r="L339" s="11">
        <f>IF(OR(H339="",B339="",I339=""),"",ABS(B339-I339))</f>
        <v/>
      </c>
      <c r="M339" s="15">
        <f>IF(H339="",0,LET(pct,IF(E339&gt;0,K339/E339,1),days,IFERROR(L339,999),100-pct*200-days*3))</f>
        <v/>
      </c>
      <c r="N339" s="11">
        <f>IF(A339="","",IF(H339="","Unmatched GL",IF(AND(K339&lt;=Tol_Amount,L339&lt;=Tol_Days),"Matched",IF(M339&gt;Tol_NearPct,"Near Match","Unmatched GL"))))</f>
        <v/>
      </c>
    </row>
    <row r="340">
      <c r="A340" s="13">
        <f>IF(GL_CLEAN!A340="","",GL_CLEAN!A340)</f>
        <v/>
      </c>
      <c r="B340" s="10">
        <f>IF(A340="","",GL_CLEAN!B340)</f>
        <v/>
      </c>
      <c r="C340" s="11">
        <f>IF(A340="","",GL_CLEAN!C340)</f>
        <v/>
      </c>
      <c r="D340" s="14">
        <f>IF(A340="","",GL_CLEAN!H340)</f>
        <v/>
      </c>
      <c r="E340" s="14">
        <f>IF(A340="","",GL_CLEAN!I340)</f>
        <v/>
      </c>
      <c r="F340" s="11">
        <f>IF(A340="","",GL_CLEAN!J340)</f>
        <v/>
      </c>
      <c r="G340" s="11">
        <f>IF(A340="","",IF(F340="OUT","DR","CR"))</f>
        <v/>
      </c>
      <c r="H340" s="11">
        <f>IF(A340="","",IFERROR(INDEX(BANK_CLEAN!$A$2:$A$1001,MATCH(MINIFS(BANK_CLEAN!$J$2:$J$1001,BANK_CLEAN!$H$2:$H$1001,G340,BANK_CLEAN!$L$2:$L$1001,""),BANK_CLEAN!$J$2:$J$1001,0)),""))</f>
        <v/>
      </c>
      <c r="I340" s="10">
        <f>IF(H340="","",INDEX(BANK_CLEAN!$B$2:$B$1001,H340))</f>
        <v/>
      </c>
      <c r="J340" s="14">
        <f>IF(H340="","",IF(F340="OUT",INDEX(BANK_CLEAN!$F$2:$F$1001,H340),INDEX(BANK_CLEAN!$E$2:$E$1001,H340)))</f>
        <v/>
      </c>
      <c r="K340" s="14">
        <f>IF(H340="","",ABS(E340-J340))</f>
        <v/>
      </c>
      <c r="L340" s="11">
        <f>IF(OR(H340="",B340="",I340=""),"",ABS(B340-I340))</f>
        <v/>
      </c>
      <c r="M340" s="15">
        <f>IF(H340="",0,LET(pct,IF(E340&gt;0,K340/E340,1),days,IFERROR(L340,999),100-pct*200-days*3))</f>
        <v/>
      </c>
      <c r="N340" s="11">
        <f>IF(A340="","",IF(H340="","Unmatched GL",IF(AND(K340&lt;=Tol_Amount,L340&lt;=Tol_Days),"Matched",IF(M340&gt;Tol_NearPct,"Near Match","Unmatched GL"))))</f>
        <v/>
      </c>
    </row>
    <row r="341">
      <c r="A341" s="13">
        <f>IF(GL_CLEAN!A341="","",GL_CLEAN!A341)</f>
        <v/>
      </c>
      <c r="B341" s="10">
        <f>IF(A341="","",GL_CLEAN!B341)</f>
        <v/>
      </c>
      <c r="C341" s="11">
        <f>IF(A341="","",GL_CLEAN!C341)</f>
        <v/>
      </c>
      <c r="D341" s="14">
        <f>IF(A341="","",GL_CLEAN!H341)</f>
        <v/>
      </c>
      <c r="E341" s="14">
        <f>IF(A341="","",GL_CLEAN!I341)</f>
        <v/>
      </c>
      <c r="F341" s="11">
        <f>IF(A341="","",GL_CLEAN!J341)</f>
        <v/>
      </c>
      <c r="G341" s="11">
        <f>IF(A341="","",IF(F341="OUT","DR","CR"))</f>
        <v/>
      </c>
      <c r="H341" s="11">
        <f>IF(A341="","",IFERROR(INDEX(BANK_CLEAN!$A$2:$A$1001,MATCH(MINIFS(BANK_CLEAN!$J$2:$J$1001,BANK_CLEAN!$H$2:$H$1001,G341,BANK_CLEAN!$L$2:$L$1001,""),BANK_CLEAN!$J$2:$J$1001,0)),""))</f>
        <v/>
      </c>
      <c r="I341" s="10">
        <f>IF(H341="","",INDEX(BANK_CLEAN!$B$2:$B$1001,H341))</f>
        <v/>
      </c>
      <c r="J341" s="14">
        <f>IF(H341="","",IF(F341="OUT",INDEX(BANK_CLEAN!$F$2:$F$1001,H341),INDEX(BANK_CLEAN!$E$2:$E$1001,H341)))</f>
        <v/>
      </c>
      <c r="K341" s="14">
        <f>IF(H341="","",ABS(E341-J341))</f>
        <v/>
      </c>
      <c r="L341" s="11">
        <f>IF(OR(H341="",B341="",I341=""),"",ABS(B341-I341))</f>
        <v/>
      </c>
      <c r="M341" s="15">
        <f>IF(H341="",0,LET(pct,IF(E341&gt;0,K341/E341,1),days,IFERROR(L341,999),100-pct*200-days*3))</f>
        <v/>
      </c>
      <c r="N341" s="11">
        <f>IF(A341="","",IF(H341="","Unmatched GL",IF(AND(K341&lt;=Tol_Amount,L341&lt;=Tol_Days),"Matched",IF(M341&gt;Tol_NearPct,"Near Match","Unmatched GL"))))</f>
        <v/>
      </c>
    </row>
    <row r="342">
      <c r="A342" s="13">
        <f>IF(GL_CLEAN!A342="","",GL_CLEAN!A342)</f>
        <v/>
      </c>
      <c r="B342" s="10">
        <f>IF(A342="","",GL_CLEAN!B342)</f>
        <v/>
      </c>
      <c r="C342" s="11">
        <f>IF(A342="","",GL_CLEAN!C342)</f>
        <v/>
      </c>
      <c r="D342" s="14">
        <f>IF(A342="","",GL_CLEAN!H342)</f>
        <v/>
      </c>
      <c r="E342" s="14">
        <f>IF(A342="","",GL_CLEAN!I342)</f>
        <v/>
      </c>
      <c r="F342" s="11">
        <f>IF(A342="","",GL_CLEAN!J342)</f>
        <v/>
      </c>
      <c r="G342" s="11">
        <f>IF(A342="","",IF(F342="OUT","DR","CR"))</f>
        <v/>
      </c>
      <c r="H342" s="11">
        <f>IF(A342="","",IFERROR(INDEX(BANK_CLEAN!$A$2:$A$1001,MATCH(MINIFS(BANK_CLEAN!$J$2:$J$1001,BANK_CLEAN!$H$2:$H$1001,G342,BANK_CLEAN!$L$2:$L$1001,""),BANK_CLEAN!$J$2:$J$1001,0)),""))</f>
        <v/>
      </c>
      <c r="I342" s="10">
        <f>IF(H342="","",INDEX(BANK_CLEAN!$B$2:$B$1001,H342))</f>
        <v/>
      </c>
      <c r="J342" s="14">
        <f>IF(H342="","",IF(F342="OUT",INDEX(BANK_CLEAN!$F$2:$F$1001,H342),INDEX(BANK_CLEAN!$E$2:$E$1001,H342)))</f>
        <v/>
      </c>
      <c r="K342" s="14">
        <f>IF(H342="","",ABS(E342-J342))</f>
        <v/>
      </c>
      <c r="L342" s="11">
        <f>IF(OR(H342="",B342="",I342=""),"",ABS(B342-I342))</f>
        <v/>
      </c>
      <c r="M342" s="15">
        <f>IF(H342="",0,LET(pct,IF(E342&gt;0,K342/E342,1),days,IFERROR(L342,999),100-pct*200-days*3))</f>
        <v/>
      </c>
      <c r="N342" s="11">
        <f>IF(A342="","",IF(H342="","Unmatched GL",IF(AND(K342&lt;=Tol_Amount,L342&lt;=Tol_Days),"Matched",IF(M342&gt;Tol_NearPct,"Near Match","Unmatched GL"))))</f>
        <v/>
      </c>
    </row>
    <row r="343">
      <c r="A343" s="13">
        <f>IF(GL_CLEAN!A343="","",GL_CLEAN!A343)</f>
        <v/>
      </c>
      <c r="B343" s="10">
        <f>IF(A343="","",GL_CLEAN!B343)</f>
        <v/>
      </c>
      <c r="C343" s="11">
        <f>IF(A343="","",GL_CLEAN!C343)</f>
        <v/>
      </c>
      <c r="D343" s="14">
        <f>IF(A343="","",GL_CLEAN!H343)</f>
        <v/>
      </c>
      <c r="E343" s="14">
        <f>IF(A343="","",GL_CLEAN!I343)</f>
        <v/>
      </c>
      <c r="F343" s="11">
        <f>IF(A343="","",GL_CLEAN!J343)</f>
        <v/>
      </c>
      <c r="G343" s="11">
        <f>IF(A343="","",IF(F343="OUT","DR","CR"))</f>
        <v/>
      </c>
      <c r="H343" s="11">
        <f>IF(A343="","",IFERROR(INDEX(BANK_CLEAN!$A$2:$A$1001,MATCH(MINIFS(BANK_CLEAN!$J$2:$J$1001,BANK_CLEAN!$H$2:$H$1001,G343,BANK_CLEAN!$L$2:$L$1001,""),BANK_CLEAN!$J$2:$J$1001,0)),""))</f>
        <v/>
      </c>
      <c r="I343" s="10">
        <f>IF(H343="","",INDEX(BANK_CLEAN!$B$2:$B$1001,H343))</f>
        <v/>
      </c>
      <c r="J343" s="14">
        <f>IF(H343="","",IF(F343="OUT",INDEX(BANK_CLEAN!$F$2:$F$1001,H343),INDEX(BANK_CLEAN!$E$2:$E$1001,H343)))</f>
        <v/>
      </c>
      <c r="K343" s="14">
        <f>IF(H343="","",ABS(E343-J343))</f>
        <v/>
      </c>
      <c r="L343" s="11">
        <f>IF(OR(H343="",B343="",I343=""),"",ABS(B343-I343))</f>
        <v/>
      </c>
      <c r="M343" s="15">
        <f>IF(H343="",0,LET(pct,IF(E343&gt;0,K343/E343,1),days,IFERROR(L343,999),100-pct*200-days*3))</f>
        <v/>
      </c>
      <c r="N343" s="11">
        <f>IF(A343="","",IF(H343="","Unmatched GL",IF(AND(K343&lt;=Tol_Amount,L343&lt;=Tol_Days),"Matched",IF(M343&gt;Tol_NearPct,"Near Match","Unmatched GL"))))</f>
        <v/>
      </c>
    </row>
    <row r="344">
      <c r="A344" s="13">
        <f>IF(GL_CLEAN!A344="","",GL_CLEAN!A344)</f>
        <v/>
      </c>
      <c r="B344" s="10">
        <f>IF(A344="","",GL_CLEAN!B344)</f>
        <v/>
      </c>
      <c r="C344" s="11">
        <f>IF(A344="","",GL_CLEAN!C344)</f>
        <v/>
      </c>
      <c r="D344" s="14">
        <f>IF(A344="","",GL_CLEAN!H344)</f>
        <v/>
      </c>
      <c r="E344" s="14">
        <f>IF(A344="","",GL_CLEAN!I344)</f>
        <v/>
      </c>
      <c r="F344" s="11">
        <f>IF(A344="","",GL_CLEAN!J344)</f>
        <v/>
      </c>
      <c r="G344" s="11">
        <f>IF(A344="","",IF(F344="OUT","DR","CR"))</f>
        <v/>
      </c>
      <c r="H344" s="11">
        <f>IF(A344="","",IFERROR(INDEX(BANK_CLEAN!$A$2:$A$1001,MATCH(MINIFS(BANK_CLEAN!$J$2:$J$1001,BANK_CLEAN!$H$2:$H$1001,G344,BANK_CLEAN!$L$2:$L$1001,""),BANK_CLEAN!$J$2:$J$1001,0)),""))</f>
        <v/>
      </c>
      <c r="I344" s="10">
        <f>IF(H344="","",INDEX(BANK_CLEAN!$B$2:$B$1001,H344))</f>
        <v/>
      </c>
      <c r="J344" s="14">
        <f>IF(H344="","",IF(F344="OUT",INDEX(BANK_CLEAN!$F$2:$F$1001,H344),INDEX(BANK_CLEAN!$E$2:$E$1001,H344)))</f>
        <v/>
      </c>
      <c r="K344" s="14">
        <f>IF(H344="","",ABS(E344-J344))</f>
        <v/>
      </c>
      <c r="L344" s="11">
        <f>IF(OR(H344="",B344="",I344=""),"",ABS(B344-I344))</f>
        <v/>
      </c>
      <c r="M344" s="15">
        <f>IF(H344="",0,LET(pct,IF(E344&gt;0,K344/E344,1),days,IFERROR(L344,999),100-pct*200-days*3))</f>
        <v/>
      </c>
      <c r="N344" s="11">
        <f>IF(A344="","",IF(H344="","Unmatched GL",IF(AND(K344&lt;=Tol_Amount,L344&lt;=Tol_Days),"Matched",IF(M344&gt;Tol_NearPct,"Near Match","Unmatched GL"))))</f>
        <v/>
      </c>
    </row>
    <row r="345">
      <c r="A345" s="13">
        <f>IF(GL_CLEAN!A345="","",GL_CLEAN!A345)</f>
        <v/>
      </c>
      <c r="B345" s="10">
        <f>IF(A345="","",GL_CLEAN!B345)</f>
        <v/>
      </c>
      <c r="C345" s="11">
        <f>IF(A345="","",GL_CLEAN!C345)</f>
        <v/>
      </c>
      <c r="D345" s="14">
        <f>IF(A345="","",GL_CLEAN!H345)</f>
        <v/>
      </c>
      <c r="E345" s="14">
        <f>IF(A345="","",GL_CLEAN!I345)</f>
        <v/>
      </c>
      <c r="F345" s="11">
        <f>IF(A345="","",GL_CLEAN!J345)</f>
        <v/>
      </c>
      <c r="G345" s="11">
        <f>IF(A345="","",IF(F345="OUT","DR","CR"))</f>
        <v/>
      </c>
      <c r="H345" s="11">
        <f>IF(A345="","",IFERROR(INDEX(BANK_CLEAN!$A$2:$A$1001,MATCH(MINIFS(BANK_CLEAN!$J$2:$J$1001,BANK_CLEAN!$H$2:$H$1001,G345,BANK_CLEAN!$L$2:$L$1001,""),BANK_CLEAN!$J$2:$J$1001,0)),""))</f>
        <v/>
      </c>
      <c r="I345" s="10">
        <f>IF(H345="","",INDEX(BANK_CLEAN!$B$2:$B$1001,H345))</f>
        <v/>
      </c>
      <c r="J345" s="14">
        <f>IF(H345="","",IF(F345="OUT",INDEX(BANK_CLEAN!$F$2:$F$1001,H345),INDEX(BANK_CLEAN!$E$2:$E$1001,H345)))</f>
        <v/>
      </c>
      <c r="K345" s="14">
        <f>IF(H345="","",ABS(E345-J345))</f>
        <v/>
      </c>
      <c r="L345" s="11">
        <f>IF(OR(H345="",B345="",I345=""),"",ABS(B345-I345))</f>
        <v/>
      </c>
      <c r="M345" s="15">
        <f>IF(H345="",0,LET(pct,IF(E345&gt;0,K345/E345,1),days,IFERROR(L345,999),100-pct*200-days*3))</f>
        <v/>
      </c>
      <c r="N345" s="11">
        <f>IF(A345="","",IF(H345="","Unmatched GL",IF(AND(K345&lt;=Tol_Amount,L345&lt;=Tol_Days),"Matched",IF(M345&gt;Tol_NearPct,"Near Match","Unmatched GL"))))</f>
        <v/>
      </c>
    </row>
    <row r="346">
      <c r="A346" s="13">
        <f>IF(GL_CLEAN!A346="","",GL_CLEAN!A346)</f>
        <v/>
      </c>
      <c r="B346" s="10">
        <f>IF(A346="","",GL_CLEAN!B346)</f>
        <v/>
      </c>
      <c r="C346" s="11">
        <f>IF(A346="","",GL_CLEAN!C346)</f>
        <v/>
      </c>
      <c r="D346" s="14">
        <f>IF(A346="","",GL_CLEAN!H346)</f>
        <v/>
      </c>
      <c r="E346" s="14">
        <f>IF(A346="","",GL_CLEAN!I346)</f>
        <v/>
      </c>
      <c r="F346" s="11">
        <f>IF(A346="","",GL_CLEAN!J346)</f>
        <v/>
      </c>
      <c r="G346" s="11">
        <f>IF(A346="","",IF(F346="OUT","DR","CR"))</f>
        <v/>
      </c>
      <c r="H346" s="11">
        <f>IF(A346="","",IFERROR(INDEX(BANK_CLEAN!$A$2:$A$1001,MATCH(MINIFS(BANK_CLEAN!$J$2:$J$1001,BANK_CLEAN!$H$2:$H$1001,G346,BANK_CLEAN!$L$2:$L$1001,""),BANK_CLEAN!$J$2:$J$1001,0)),""))</f>
        <v/>
      </c>
      <c r="I346" s="10">
        <f>IF(H346="","",INDEX(BANK_CLEAN!$B$2:$B$1001,H346))</f>
        <v/>
      </c>
      <c r="J346" s="14">
        <f>IF(H346="","",IF(F346="OUT",INDEX(BANK_CLEAN!$F$2:$F$1001,H346),INDEX(BANK_CLEAN!$E$2:$E$1001,H346)))</f>
        <v/>
      </c>
      <c r="K346" s="14">
        <f>IF(H346="","",ABS(E346-J346))</f>
        <v/>
      </c>
      <c r="L346" s="11">
        <f>IF(OR(H346="",B346="",I346=""),"",ABS(B346-I346))</f>
        <v/>
      </c>
      <c r="M346" s="15">
        <f>IF(H346="",0,LET(pct,IF(E346&gt;0,K346/E346,1),days,IFERROR(L346,999),100-pct*200-days*3))</f>
        <v/>
      </c>
      <c r="N346" s="11">
        <f>IF(A346="","",IF(H346="","Unmatched GL",IF(AND(K346&lt;=Tol_Amount,L346&lt;=Tol_Days),"Matched",IF(M346&gt;Tol_NearPct,"Near Match","Unmatched GL"))))</f>
        <v/>
      </c>
    </row>
    <row r="347">
      <c r="A347" s="13">
        <f>IF(GL_CLEAN!A347="","",GL_CLEAN!A347)</f>
        <v/>
      </c>
      <c r="B347" s="10">
        <f>IF(A347="","",GL_CLEAN!B347)</f>
        <v/>
      </c>
      <c r="C347" s="11">
        <f>IF(A347="","",GL_CLEAN!C347)</f>
        <v/>
      </c>
      <c r="D347" s="14">
        <f>IF(A347="","",GL_CLEAN!H347)</f>
        <v/>
      </c>
      <c r="E347" s="14">
        <f>IF(A347="","",GL_CLEAN!I347)</f>
        <v/>
      </c>
      <c r="F347" s="11">
        <f>IF(A347="","",GL_CLEAN!J347)</f>
        <v/>
      </c>
      <c r="G347" s="11">
        <f>IF(A347="","",IF(F347="OUT","DR","CR"))</f>
        <v/>
      </c>
      <c r="H347" s="11">
        <f>IF(A347="","",IFERROR(INDEX(BANK_CLEAN!$A$2:$A$1001,MATCH(MINIFS(BANK_CLEAN!$J$2:$J$1001,BANK_CLEAN!$H$2:$H$1001,G347,BANK_CLEAN!$L$2:$L$1001,""),BANK_CLEAN!$J$2:$J$1001,0)),""))</f>
        <v/>
      </c>
      <c r="I347" s="10">
        <f>IF(H347="","",INDEX(BANK_CLEAN!$B$2:$B$1001,H347))</f>
        <v/>
      </c>
      <c r="J347" s="14">
        <f>IF(H347="","",IF(F347="OUT",INDEX(BANK_CLEAN!$F$2:$F$1001,H347),INDEX(BANK_CLEAN!$E$2:$E$1001,H347)))</f>
        <v/>
      </c>
      <c r="K347" s="14">
        <f>IF(H347="","",ABS(E347-J347))</f>
        <v/>
      </c>
      <c r="L347" s="11">
        <f>IF(OR(H347="",B347="",I347=""),"",ABS(B347-I347))</f>
        <v/>
      </c>
      <c r="M347" s="15">
        <f>IF(H347="",0,LET(pct,IF(E347&gt;0,K347/E347,1),days,IFERROR(L347,999),100-pct*200-days*3))</f>
        <v/>
      </c>
      <c r="N347" s="11">
        <f>IF(A347="","",IF(H347="","Unmatched GL",IF(AND(K347&lt;=Tol_Amount,L347&lt;=Tol_Days),"Matched",IF(M347&gt;Tol_NearPct,"Near Match","Unmatched GL"))))</f>
        <v/>
      </c>
    </row>
    <row r="348">
      <c r="A348" s="13">
        <f>IF(GL_CLEAN!A348="","",GL_CLEAN!A348)</f>
        <v/>
      </c>
      <c r="B348" s="10">
        <f>IF(A348="","",GL_CLEAN!B348)</f>
        <v/>
      </c>
      <c r="C348" s="11">
        <f>IF(A348="","",GL_CLEAN!C348)</f>
        <v/>
      </c>
      <c r="D348" s="14">
        <f>IF(A348="","",GL_CLEAN!H348)</f>
        <v/>
      </c>
      <c r="E348" s="14">
        <f>IF(A348="","",GL_CLEAN!I348)</f>
        <v/>
      </c>
      <c r="F348" s="11">
        <f>IF(A348="","",GL_CLEAN!J348)</f>
        <v/>
      </c>
      <c r="G348" s="11">
        <f>IF(A348="","",IF(F348="OUT","DR","CR"))</f>
        <v/>
      </c>
      <c r="H348" s="11">
        <f>IF(A348="","",IFERROR(INDEX(BANK_CLEAN!$A$2:$A$1001,MATCH(MINIFS(BANK_CLEAN!$J$2:$J$1001,BANK_CLEAN!$H$2:$H$1001,G348,BANK_CLEAN!$L$2:$L$1001,""),BANK_CLEAN!$J$2:$J$1001,0)),""))</f>
        <v/>
      </c>
      <c r="I348" s="10">
        <f>IF(H348="","",INDEX(BANK_CLEAN!$B$2:$B$1001,H348))</f>
        <v/>
      </c>
      <c r="J348" s="14">
        <f>IF(H348="","",IF(F348="OUT",INDEX(BANK_CLEAN!$F$2:$F$1001,H348),INDEX(BANK_CLEAN!$E$2:$E$1001,H348)))</f>
        <v/>
      </c>
      <c r="K348" s="14">
        <f>IF(H348="","",ABS(E348-J348))</f>
        <v/>
      </c>
      <c r="L348" s="11">
        <f>IF(OR(H348="",B348="",I348=""),"",ABS(B348-I348))</f>
        <v/>
      </c>
      <c r="M348" s="15">
        <f>IF(H348="",0,LET(pct,IF(E348&gt;0,K348/E348,1),days,IFERROR(L348,999),100-pct*200-days*3))</f>
        <v/>
      </c>
      <c r="N348" s="11">
        <f>IF(A348="","",IF(H348="","Unmatched GL",IF(AND(K348&lt;=Tol_Amount,L348&lt;=Tol_Days),"Matched",IF(M348&gt;Tol_NearPct,"Near Match","Unmatched GL"))))</f>
        <v/>
      </c>
    </row>
    <row r="349">
      <c r="A349" s="13">
        <f>IF(GL_CLEAN!A349="","",GL_CLEAN!A349)</f>
        <v/>
      </c>
      <c r="B349" s="10">
        <f>IF(A349="","",GL_CLEAN!B349)</f>
        <v/>
      </c>
      <c r="C349" s="11">
        <f>IF(A349="","",GL_CLEAN!C349)</f>
        <v/>
      </c>
      <c r="D349" s="14">
        <f>IF(A349="","",GL_CLEAN!H349)</f>
        <v/>
      </c>
      <c r="E349" s="14">
        <f>IF(A349="","",GL_CLEAN!I349)</f>
        <v/>
      </c>
      <c r="F349" s="11">
        <f>IF(A349="","",GL_CLEAN!J349)</f>
        <v/>
      </c>
      <c r="G349" s="11">
        <f>IF(A349="","",IF(F349="OUT","DR","CR"))</f>
        <v/>
      </c>
      <c r="H349" s="11">
        <f>IF(A349="","",IFERROR(INDEX(BANK_CLEAN!$A$2:$A$1001,MATCH(MINIFS(BANK_CLEAN!$J$2:$J$1001,BANK_CLEAN!$H$2:$H$1001,G349,BANK_CLEAN!$L$2:$L$1001,""),BANK_CLEAN!$J$2:$J$1001,0)),""))</f>
        <v/>
      </c>
      <c r="I349" s="10">
        <f>IF(H349="","",INDEX(BANK_CLEAN!$B$2:$B$1001,H349))</f>
        <v/>
      </c>
      <c r="J349" s="14">
        <f>IF(H349="","",IF(F349="OUT",INDEX(BANK_CLEAN!$F$2:$F$1001,H349),INDEX(BANK_CLEAN!$E$2:$E$1001,H349)))</f>
        <v/>
      </c>
      <c r="K349" s="14">
        <f>IF(H349="","",ABS(E349-J349))</f>
        <v/>
      </c>
      <c r="L349" s="11">
        <f>IF(OR(H349="",B349="",I349=""),"",ABS(B349-I349))</f>
        <v/>
      </c>
      <c r="M349" s="15">
        <f>IF(H349="",0,LET(pct,IF(E349&gt;0,K349/E349,1),days,IFERROR(L349,999),100-pct*200-days*3))</f>
        <v/>
      </c>
      <c r="N349" s="11">
        <f>IF(A349="","",IF(H349="","Unmatched GL",IF(AND(K349&lt;=Tol_Amount,L349&lt;=Tol_Days),"Matched",IF(M349&gt;Tol_NearPct,"Near Match","Unmatched GL"))))</f>
        <v/>
      </c>
    </row>
    <row r="350">
      <c r="A350" s="13">
        <f>IF(GL_CLEAN!A350="","",GL_CLEAN!A350)</f>
        <v/>
      </c>
      <c r="B350" s="10">
        <f>IF(A350="","",GL_CLEAN!B350)</f>
        <v/>
      </c>
      <c r="C350" s="11">
        <f>IF(A350="","",GL_CLEAN!C350)</f>
        <v/>
      </c>
      <c r="D350" s="14">
        <f>IF(A350="","",GL_CLEAN!H350)</f>
        <v/>
      </c>
      <c r="E350" s="14">
        <f>IF(A350="","",GL_CLEAN!I350)</f>
        <v/>
      </c>
      <c r="F350" s="11">
        <f>IF(A350="","",GL_CLEAN!J350)</f>
        <v/>
      </c>
      <c r="G350" s="11">
        <f>IF(A350="","",IF(F350="OUT","DR","CR"))</f>
        <v/>
      </c>
      <c r="H350" s="11">
        <f>IF(A350="","",IFERROR(INDEX(BANK_CLEAN!$A$2:$A$1001,MATCH(MINIFS(BANK_CLEAN!$J$2:$J$1001,BANK_CLEAN!$H$2:$H$1001,G350,BANK_CLEAN!$L$2:$L$1001,""),BANK_CLEAN!$J$2:$J$1001,0)),""))</f>
        <v/>
      </c>
      <c r="I350" s="10">
        <f>IF(H350="","",INDEX(BANK_CLEAN!$B$2:$B$1001,H350))</f>
        <v/>
      </c>
      <c r="J350" s="14">
        <f>IF(H350="","",IF(F350="OUT",INDEX(BANK_CLEAN!$F$2:$F$1001,H350),INDEX(BANK_CLEAN!$E$2:$E$1001,H350)))</f>
        <v/>
      </c>
      <c r="K350" s="14">
        <f>IF(H350="","",ABS(E350-J350))</f>
        <v/>
      </c>
      <c r="L350" s="11">
        <f>IF(OR(H350="",B350="",I350=""),"",ABS(B350-I350))</f>
        <v/>
      </c>
      <c r="M350" s="15">
        <f>IF(H350="",0,LET(pct,IF(E350&gt;0,K350/E350,1),days,IFERROR(L350,999),100-pct*200-days*3))</f>
        <v/>
      </c>
      <c r="N350" s="11">
        <f>IF(A350="","",IF(H350="","Unmatched GL",IF(AND(K350&lt;=Tol_Amount,L350&lt;=Tol_Days),"Matched",IF(M350&gt;Tol_NearPct,"Near Match","Unmatched GL"))))</f>
        <v/>
      </c>
    </row>
    <row r="351">
      <c r="A351" s="13">
        <f>IF(GL_CLEAN!A351="","",GL_CLEAN!A351)</f>
        <v/>
      </c>
      <c r="B351" s="10">
        <f>IF(A351="","",GL_CLEAN!B351)</f>
        <v/>
      </c>
      <c r="C351" s="11">
        <f>IF(A351="","",GL_CLEAN!C351)</f>
        <v/>
      </c>
      <c r="D351" s="14">
        <f>IF(A351="","",GL_CLEAN!H351)</f>
        <v/>
      </c>
      <c r="E351" s="14">
        <f>IF(A351="","",GL_CLEAN!I351)</f>
        <v/>
      </c>
      <c r="F351" s="11">
        <f>IF(A351="","",GL_CLEAN!J351)</f>
        <v/>
      </c>
      <c r="G351" s="11">
        <f>IF(A351="","",IF(F351="OUT","DR","CR"))</f>
        <v/>
      </c>
      <c r="H351" s="11">
        <f>IF(A351="","",IFERROR(INDEX(BANK_CLEAN!$A$2:$A$1001,MATCH(MINIFS(BANK_CLEAN!$J$2:$J$1001,BANK_CLEAN!$H$2:$H$1001,G351,BANK_CLEAN!$L$2:$L$1001,""),BANK_CLEAN!$J$2:$J$1001,0)),""))</f>
        <v/>
      </c>
      <c r="I351" s="10">
        <f>IF(H351="","",INDEX(BANK_CLEAN!$B$2:$B$1001,H351))</f>
        <v/>
      </c>
      <c r="J351" s="14">
        <f>IF(H351="","",IF(F351="OUT",INDEX(BANK_CLEAN!$F$2:$F$1001,H351),INDEX(BANK_CLEAN!$E$2:$E$1001,H351)))</f>
        <v/>
      </c>
      <c r="K351" s="14">
        <f>IF(H351="","",ABS(E351-J351))</f>
        <v/>
      </c>
      <c r="L351" s="11">
        <f>IF(OR(H351="",B351="",I351=""),"",ABS(B351-I351))</f>
        <v/>
      </c>
      <c r="M351" s="15">
        <f>IF(H351="",0,LET(pct,IF(E351&gt;0,K351/E351,1),days,IFERROR(L351,999),100-pct*200-days*3))</f>
        <v/>
      </c>
      <c r="N351" s="11">
        <f>IF(A351="","",IF(H351="","Unmatched GL",IF(AND(K351&lt;=Tol_Amount,L351&lt;=Tol_Days),"Matched",IF(M351&gt;Tol_NearPct,"Near Match","Unmatched GL"))))</f>
        <v/>
      </c>
    </row>
    <row r="352">
      <c r="A352" s="13">
        <f>IF(GL_CLEAN!A352="","",GL_CLEAN!A352)</f>
        <v/>
      </c>
      <c r="B352" s="10">
        <f>IF(A352="","",GL_CLEAN!B352)</f>
        <v/>
      </c>
      <c r="C352" s="11">
        <f>IF(A352="","",GL_CLEAN!C352)</f>
        <v/>
      </c>
      <c r="D352" s="14">
        <f>IF(A352="","",GL_CLEAN!H352)</f>
        <v/>
      </c>
      <c r="E352" s="14">
        <f>IF(A352="","",GL_CLEAN!I352)</f>
        <v/>
      </c>
      <c r="F352" s="11">
        <f>IF(A352="","",GL_CLEAN!J352)</f>
        <v/>
      </c>
      <c r="G352" s="11">
        <f>IF(A352="","",IF(F352="OUT","DR","CR"))</f>
        <v/>
      </c>
      <c r="H352" s="11">
        <f>IF(A352="","",IFERROR(INDEX(BANK_CLEAN!$A$2:$A$1001,MATCH(MINIFS(BANK_CLEAN!$J$2:$J$1001,BANK_CLEAN!$H$2:$H$1001,G352,BANK_CLEAN!$L$2:$L$1001,""),BANK_CLEAN!$J$2:$J$1001,0)),""))</f>
        <v/>
      </c>
      <c r="I352" s="10">
        <f>IF(H352="","",INDEX(BANK_CLEAN!$B$2:$B$1001,H352))</f>
        <v/>
      </c>
      <c r="J352" s="14">
        <f>IF(H352="","",IF(F352="OUT",INDEX(BANK_CLEAN!$F$2:$F$1001,H352),INDEX(BANK_CLEAN!$E$2:$E$1001,H352)))</f>
        <v/>
      </c>
      <c r="K352" s="14">
        <f>IF(H352="","",ABS(E352-J352))</f>
        <v/>
      </c>
      <c r="L352" s="11">
        <f>IF(OR(H352="",B352="",I352=""),"",ABS(B352-I352))</f>
        <v/>
      </c>
      <c r="M352" s="15">
        <f>IF(H352="",0,LET(pct,IF(E352&gt;0,K352/E352,1),days,IFERROR(L352,999),100-pct*200-days*3))</f>
        <v/>
      </c>
      <c r="N352" s="11">
        <f>IF(A352="","",IF(H352="","Unmatched GL",IF(AND(K352&lt;=Tol_Amount,L352&lt;=Tol_Days),"Matched",IF(M352&gt;Tol_NearPct,"Near Match","Unmatched GL"))))</f>
        <v/>
      </c>
    </row>
    <row r="353">
      <c r="A353" s="13">
        <f>IF(GL_CLEAN!A353="","",GL_CLEAN!A353)</f>
        <v/>
      </c>
      <c r="B353" s="10">
        <f>IF(A353="","",GL_CLEAN!B353)</f>
        <v/>
      </c>
      <c r="C353" s="11">
        <f>IF(A353="","",GL_CLEAN!C353)</f>
        <v/>
      </c>
      <c r="D353" s="14">
        <f>IF(A353="","",GL_CLEAN!H353)</f>
        <v/>
      </c>
      <c r="E353" s="14">
        <f>IF(A353="","",GL_CLEAN!I353)</f>
        <v/>
      </c>
      <c r="F353" s="11">
        <f>IF(A353="","",GL_CLEAN!J353)</f>
        <v/>
      </c>
      <c r="G353" s="11">
        <f>IF(A353="","",IF(F353="OUT","DR","CR"))</f>
        <v/>
      </c>
      <c r="H353" s="11">
        <f>IF(A353="","",IFERROR(INDEX(BANK_CLEAN!$A$2:$A$1001,MATCH(MINIFS(BANK_CLEAN!$J$2:$J$1001,BANK_CLEAN!$H$2:$H$1001,G353,BANK_CLEAN!$L$2:$L$1001,""),BANK_CLEAN!$J$2:$J$1001,0)),""))</f>
        <v/>
      </c>
      <c r="I353" s="10">
        <f>IF(H353="","",INDEX(BANK_CLEAN!$B$2:$B$1001,H353))</f>
        <v/>
      </c>
      <c r="J353" s="14">
        <f>IF(H353="","",IF(F353="OUT",INDEX(BANK_CLEAN!$F$2:$F$1001,H353),INDEX(BANK_CLEAN!$E$2:$E$1001,H353)))</f>
        <v/>
      </c>
      <c r="K353" s="14">
        <f>IF(H353="","",ABS(E353-J353))</f>
        <v/>
      </c>
      <c r="L353" s="11">
        <f>IF(OR(H353="",B353="",I353=""),"",ABS(B353-I353))</f>
        <v/>
      </c>
      <c r="M353" s="15">
        <f>IF(H353="",0,LET(pct,IF(E353&gt;0,K353/E353,1),days,IFERROR(L353,999),100-pct*200-days*3))</f>
        <v/>
      </c>
      <c r="N353" s="11">
        <f>IF(A353="","",IF(H353="","Unmatched GL",IF(AND(K353&lt;=Tol_Amount,L353&lt;=Tol_Days),"Matched",IF(M353&gt;Tol_NearPct,"Near Match","Unmatched GL"))))</f>
        <v/>
      </c>
    </row>
    <row r="354">
      <c r="A354" s="13">
        <f>IF(GL_CLEAN!A354="","",GL_CLEAN!A354)</f>
        <v/>
      </c>
      <c r="B354" s="10">
        <f>IF(A354="","",GL_CLEAN!B354)</f>
        <v/>
      </c>
      <c r="C354" s="11">
        <f>IF(A354="","",GL_CLEAN!C354)</f>
        <v/>
      </c>
      <c r="D354" s="14">
        <f>IF(A354="","",GL_CLEAN!H354)</f>
        <v/>
      </c>
      <c r="E354" s="14">
        <f>IF(A354="","",GL_CLEAN!I354)</f>
        <v/>
      </c>
      <c r="F354" s="11">
        <f>IF(A354="","",GL_CLEAN!J354)</f>
        <v/>
      </c>
      <c r="G354" s="11">
        <f>IF(A354="","",IF(F354="OUT","DR","CR"))</f>
        <v/>
      </c>
      <c r="H354" s="11">
        <f>IF(A354="","",IFERROR(INDEX(BANK_CLEAN!$A$2:$A$1001,MATCH(MINIFS(BANK_CLEAN!$J$2:$J$1001,BANK_CLEAN!$H$2:$H$1001,G354,BANK_CLEAN!$L$2:$L$1001,""),BANK_CLEAN!$J$2:$J$1001,0)),""))</f>
        <v/>
      </c>
      <c r="I354" s="10">
        <f>IF(H354="","",INDEX(BANK_CLEAN!$B$2:$B$1001,H354))</f>
        <v/>
      </c>
      <c r="J354" s="14">
        <f>IF(H354="","",IF(F354="OUT",INDEX(BANK_CLEAN!$F$2:$F$1001,H354),INDEX(BANK_CLEAN!$E$2:$E$1001,H354)))</f>
        <v/>
      </c>
      <c r="K354" s="14">
        <f>IF(H354="","",ABS(E354-J354))</f>
        <v/>
      </c>
      <c r="L354" s="11">
        <f>IF(OR(H354="",B354="",I354=""),"",ABS(B354-I354))</f>
        <v/>
      </c>
      <c r="M354" s="15">
        <f>IF(H354="",0,LET(pct,IF(E354&gt;0,K354/E354,1),days,IFERROR(L354,999),100-pct*200-days*3))</f>
        <v/>
      </c>
      <c r="N354" s="11">
        <f>IF(A354="","",IF(H354="","Unmatched GL",IF(AND(K354&lt;=Tol_Amount,L354&lt;=Tol_Days),"Matched",IF(M354&gt;Tol_NearPct,"Near Match","Unmatched GL"))))</f>
        <v/>
      </c>
    </row>
    <row r="355">
      <c r="A355" s="13">
        <f>IF(GL_CLEAN!A355="","",GL_CLEAN!A355)</f>
        <v/>
      </c>
      <c r="B355" s="10">
        <f>IF(A355="","",GL_CLEAN!B355)</f>
        <v/>
      </c>
      <c r="C355" s="11">
        <f>IF(A355="","",GL_CLEAN!C355)</f>
        <v/>
      </c>
      <c r="D355" s="14">
        <f>IF(A355="","",GL_CLEAN!H355)</f>
        <v/>
      </c>
      <c r="E355" s="14">
        <f>IF(A355="","",GL_CLEAN!I355)</f>
        <v/>
      </c>
      <c r="F355" s="11">
        <f>IF(A355="","",GL_CLEAN!J355)</f>
        <v/>
      </c>
      <c r="G355" s="11">
        <f>IF(A355="","",IF(F355="OUT","DR","CR"))</f>
        <v/>
      </c>
      <c r="H355" s="11">
        <f>IF(A355="","",IFERROR(INDEX(BANK_CLEAN!$A$2:$A$1001,MATCH(MINIFS(BANK_CLEAN!$J$2:$J$1001,BANK_CLEAN!$H$2:$H$1001,G355,BANK_CLEAN!$L$2:$L$1001,""),BANK_CLEAN!$J$2:$J$1001,0)),""))</f>
        <v/>
      </c>
      <c r="I355" s="10">
        <f>IF(H355="","",INDEX(BANK_CLEAN!$B$2:$B$1001,H355))</f>
        <v/>
      </c>
      <c r="J355" s="14">
        <f>IF(H355="","",IF(F355="OUT",INDEX(BANK_CLEAN!$F$2:$F$1001,H355),INDEX(BANK_CLEAN!$E$2:$E$1001,H355)))</f>
        <v/>
      </c>
      <c r="K355" s="14">
        <f>IF(H355="","",ABS(E355-J355))</f>
        <v/>
      </c>
      <c r="L355" s="11">
        <f>IF(OR(H355="",B355="",I355=""),"",ABS(B355-I355))</f>
        <v/>
      </c>
      <c r="M355" s="15">
        <f>IF(H355="",0,LET(pct,IF(E355&gt;0,K355/E355,1),days,IFERROR(L355,999),100-pct*200-days*3))</f>
        <v/>
      </c>
      <c r="N355" s="11">
        <f>IF(A355="","",IF(H355="","Unmatched GL",IF(AND(K355&lt;=Tol_Amount,L355&lt;=Tol_Days),"Matched",IF(M355&gt;Tol_NearPct,"Near Match","Unmatched GL"))))</f>
        <v/>
      </c>
    </row>
    <row r="356">
      <c r="A356" s="13">
        <f>IF(GL_CLEAN!A356="","",GL_CLEAN!A356)</f>
        <v/>
      </c>
      <c r="B356" s="10">
        <f>IF(A356="","",GL_CLEAN!B356)</f>
        <v/>
      </c>
      <c r="C356" s="11">
        <f>IF(A356="","",GL_CLEAN!C356)</f>
        <v/>
      </c>
      <c r="D356" s="14">
        <f>IF(A356="","",GL_CLEAN!H356)</f>
        <v/>
      </c>
      <c r="E356" s="14">
        <f>IF(A356="","",GL_CLEAN!I356)</f>
        <v/>
      </c>
      <c r="F356" s="11">
        <f>IF(A356="","",GL_CLEAN!J356)</f>
        <v/>
      </c>
      <c r="G356" s="11">
        <f>IF(A356="","",IF(F356="OUT","DR","CR"))</f>
        <v/>
      </c>
      <c r="H356" s="11">
        <f>IF(A356="","",IFERROR(INDEX(BANK_CLEAN!$A$2:$A$1001,MATCH(MINIFS(BANK_CLEAN!$J$2:$J$1001,BANK_CLEAN!$H$2:$H$1001,G356,BANK_CLEAN!$L$2:$L$1001,""),BANK_CLEAN!$J$2:$J$1001,0)),""))</f>
        <v/>
      </c>
      <c r="I356" s="10">
        <f>IF(H356="","",INDEX(BANK_CLEAN!$B$2:$B$1001,H356))</f>
        <v/>
      </c>
      <c r="J356" s="14">
        <f>IF(H356="","",IF(F356="OUT",INDEX(BANK_CLEAN!$F$2:$F$1001,H356),INDEX(BANK_CLEAN!$E$2:$E$1001,H356)))</f>
        <v/>
      </c>
      <c r="K356" s="14">
        <f>IF(H356="","",ABS(E356-J356))</f>
        <v/>
      </c>
      <c r="L356" s="11">
        <f>IF(OR(H356="",B356="",I356=""),"",ABS(B356-I356))</f>
        <v/>
      </c>
      <c r="M356" s="15">
        <f>IF(H356="",0,LET(pct,IF(E356&gt;0,K356/E356,1),days,IFERROR(L356,999),100-pct*200-days*3))</f>
        <v/>
      </c>
      <c r="N356" s="11">
        <f>IF(A356="","",IF(H356="","Unmatched GL",IF(AND(K356&lt;=Tol_Amount,L356&lt;=Tol_Days),"Matched",IF(M356&gt;Tol_NearPct,"Near Match","Unmatched GL"))))</f>
        <v/>
      </c>
    </row>
    <row r="357">
      <c r="A357" s="13">
        <f>IF(GL_CLEAN!A357="","",GL_CLEAN!A357)</f>
        <v/>
      </c>
      <c r="B357" s="10">
        <f>IF(A357="","",GL_CLEAN!B357)</f>
        <v/>
      </c>
      <c r="C357" s="11">
        <f>IF(A357="","",GL_CLEAN!C357)</f>
        <v/>
      </c>
      <c r="D357" s="14">
        <f>IF(A357="","",GL_CLEAN!H357)</f>
        <v/>
      </c>
      <c r="E357" s="14">
        <f>IF(A357="","",GL_CLEAN!I357)</f>
        <v/>
      </c>
      <c r="F357" s="11">
        <f>IF(A357="","",GL_CLEAN!J357)</f>
        <v/>
      </c>
      <c r="G357" s="11">
        <f>IF(A357="","",IF(F357="OUT","DR","CR"))</f>
        <v/>
      </c>
      <c r="H357" s="11">
        <f>IF(A357="","",IFERROR(INDEX(BANK_CLEAN!$A$2:$A$1001,MATCH(MINIFS(BANK_CLEAN!$J$2:$J$1001,BANK_CLEAN!$H$2:$H$1001,G357,BANK_CLEAN!$L$2:$L$1001,""),BANK_CLEAN!$J$2:$J$1001,0)),""))</f>
        <v/>
      </c>
      <c r="I357" s="10">
        <f>IF(H357="","",INDEX(BANK_CLEAN!$B$2:$B$1001,H357))</f>
        <v/>
      </c>
      <c r="J357" s="14">
        <f>IF(H357="","",IF(F357="OUT",INDEX(BANK_CLEAN!$F$2:$F$1001,H357),INDEX(BANK_CLEAN!$E$2:$E$1001,H357)))</f>
        <v/>
      </c>
      <c r="K357" s="14">
        <f>IF(H357="","",ABS(E357-J357))</f>
        <v/>
      </c>
      <c r="L357" s="11">
        <f>IF(OR(H357="",B357="",I357=""),"",ABS(B357-I357))</f>
        <v/>
      </c>
      <c r="M357" s="15">
        <f>IF(H357="",0,LET(pct,IF(E357&gt;0,K357/E357,1),days,IFERROR(L357,999),100-pct*200-days*3))</f>
        <v/>
      </c>
      <c r="N357" s="11">
        <f>IF(A357="","",IF(H357="","Unmatched GL",IF(AND(K357&lt;=Tol_Amount,L357&lt;=Tol_Days),"Matched",IF(M357&gt;Tol_NearPct,"Near Match","Unmatched GL"))))</f>
        <v/>
      </c>
    </row>
    <row r="358">
      <c r="A358" s="13">
        <f>IF(GL_CLEAN!A358="","",GL_CLEAN!A358)</f>
        <v/>
      </c>
      <c r="B358" s="10">
        <f>IF(A358="","",GL_CLEAN!B358)</f>
        <v/>
      </c>
      <c r="C358" s="11">
        <f>IF(A358="","",GL_CLEAN!C358)</f>
        <v/>
      </c>
      <c r="D358" s="14">
        <f>IF(A358="","",GL_CLEAN!H358)</f>
        <v/>
      </c>
      <c r="E358" s="14">
        <f>IF(A358="","",GL_CLEAN!I358)</f>
        <v/>
      </c>
      <c r="F358" s="11">
        <f>IF(A358="","",GL_CLEAN!J358)</f>
        <v/>
      </c>
      <c r="G358" s="11">
        <f>IF(A358="","",IF(F358="OUT","DR","CR"))</f>
        <v/>
      </c>
      <c r="H358" s="11">
        <f>IF(A358="","",IFERROR(INDEX(BANK_CLEAN!$A$2:$A$1001,MATCH(MINIFS(BANK_CLEAN!$J$2:$J$1001,BANK_CLEAN!$H$2:$H$1001,G358,BANK_CLEAN!$L$2:$L$1001,""),BANK_CLEAN!$J$2:$J$1001,0)),""))</f>
        <v/>
      </c>
      <c r="I358" s="10">
        <f>IF(H358="","",INDEX(BANK_CLEAN!$B$2:$B$1001,H358))</f>
        <v/>
      </c>
      <c r="J358" s="14">
        <f>IF(H358="","",IF(F358="OUT",INDEX(BANK_CLEAN!$F$2:$F$1001,H358),INDEX(BANK_CLEAN!$E$2:$E$1001,H358)))</f>
        <v/>
      </c>
      <c r="K358" s="14">
        <f>IF(H358="","",ABS(E358-J358))</f>
        <v/>
      </c>
      <c r="L358" s="11">
        <f>IF(OR(H358="",B358="",I358=""),"",ABS(B358-I358))</f>
        <v/>
      </c>
      <c r="M358" s="15">
        <f>IF(H358="",0,LET(pct,IF(E358&gt;0,K358/E358,1),days,IFERROR(L358,999),100-pct*200-days*3))</f>
        <v/>
      </c>
      <c r="N358" s="11">
        <f>IF(A358="","",IF(H358="","Unmatched GL",IF(AND(K358&lt;=Tol_Amount,L358&lt;=Tol_Days),"Matched",IF(M358&gt;Tol_NearPct,"Near Match","Unmatched GL"))))</f>
        <v/>
      </c>
    </row>
    <row r="359">
      <c r="A359" s="13">
        <f>IF(GL_CLEAN!A359="","",GL_CLEAN!A359)</f>
        <v/>
      </c>
      <c r="B359" s="10">
        <f>IF(A359="","",GL_CLEAN!B359)</f>
        <v/>
      </c>
      <c r="C359" s="11">
        <f>IF(A359="","",GL_CLEAN!C359)</f>
        <v/>
      </c>
      <c r="D359" s="14">
        <f>IF(A359="","",GL_CLEAN!H359)</f>
        <v/>
      </c>
      <c r="E359" s="14">
        <f>IF(A359="","",GL_CLEAN!I359)</f>
        <v/>
      </c>
      <c r="F359" s="11">
        <f>IF(A359="","",GL_CLEAN!J359)</f>
        <v/>
      </c>
      <c r="G359" s="11">
        <f>IF(A359="","",IF(F359="OUT","DR","CR"))</f>
        <v/>
      </c>
      <c r="H359" s="11">
        <f>IF(A359="","",IFERROR(INDEX(BANK_CLEAN!$A$2:$A$1001,MATCH(MINIFS(BANK_CLEAN!$J$2:$J$1001,BANK_CLEAN!$H$2:$H$1001,G359,BANK_CLEAN!$L$2:$L$1001,""),BANK_CLEAN!$J$2:$J$1001,0)),""))</f>
        <v/>
      </c>
      <c r="I359" s="10">
        <f>IF(H359="","",INDEX(BANK_CLEAN!$B$2:$B$1001,H359))</f>
        <v/>
      </c>
      <c r="J359" s="14">
        <f>IF(H359="","",IF(F359="OUT",INDEX(BANK_CLEAN!$F$2:$F$1001,H359),INDEX(BANK_CLEAN!$E$2:$E$1001,H359)))</f>
        <v/>
      </c>
      <c r="K359" s="14">
        <f>IF(H359="","",ABS(E359-J359))</f>
        <v/>
      </c>
      <c r="L359" s="11">
        <f>IF(OR(H359="",B359="",I359=""),"",ABS(B359-I359))</f>
        <v/>
      </c>
      <c r="M359" s="15">
        <f>IF(H359="",0,LET(pct,IF(E359&gt;0,K359/E359,1),days,IFERROR(L359,999),100-pct*200-days*3))</f>
        <v/>
      </c>
      <c r="N359" s="11">
        <f>IF(A359="","",IF(H359="","Unmatched GL",IF(AND(K359&lt;=Tol_Amount,L359&lt;=Tol_Days),"Matched",IF(M359&gt;Tol_NearPct,"Near Match","Unmatched GL"))))</f>
        <v/>
      </c>
    </row>
    <row r="360">
      <c r="A360" s="13">
        <f>IF(GL_CLEAN!A360="","",GL_CLEAN!A360)</f>
        <v/>
      </c>
      <c r="B360" s="10">
        <f>IF(A360="","",GL_CLEAN!B360)</f>
        <v/>
      </c>
      <c r="C360" s="11">
        <f>IF(A360="","",GL_CLEAN!C360)</f>
        <v/>
      </c>
      <c r="D360" s="14">
        <f>IF(A360="","",GL_CLEAN!H360)</f>
        <v/>
      </c>
      <c r="E360" s="14">
        <f>IF(A360="","",GL_CLEAN!I360)</f>
        <v/>
      </c>
      <c r="F360" s="11">
        <f>IF(A360="","",GL_CLEAN!J360)</f>
        <v/>
      </c>
      <c r="G360" s="11">
        <f>IF(A360="","",IF(F360="OUT","DR","CR"))</f>
        <v/>
      </c>
      <c r="H360" s="11">
        <f>IF(A360="","",IFERROR(INDEX(BANK_CLEAN!$A$2:$A$1001,MATCH(MINIFS(BANK_CLEAN!$J$2:$J$1001,BANK_CLEAN!$H$2:$H$1001,G360,BANK_CLEAN!$L$2:$L$1001,""),BANK_CLEAN!$J$2:$J$1001,0)),""))</f>
        <v/>
      </c>
      <c r="I360" s="10">
        <f>IF(H360="","",INDEX(BANK_CLEAN!$B$2:$B$1001,H360))</f>
        <v/>
      </c>
      <c r="J360" s="14">
        <f>IF(H360="","",IF(F360="OUT",INDEX(BANK_CLEAN!$F$2:$F$1001,H360),INDEX(BANK_CLEAN!$E$2:$E$1001,H360)))</f>
        <v/>
      </c>
      <c r="K360" s="14">
        <f>IF(H360="","",ABS(E360-J360))</f>
        <v/>
      </c>
      <c r="L360" s="11">
        <f>IF(OR(H360="",B360="",I360=""),"",ABS(B360-I360))</f>
        <v/>
      </c>
      <c r="M360" s="15">
        <f>IF(H360="",0,LET(pct,IF(E360&gt;0,K360/E360,1),days,IFERROR(L360,999),100-pct*200-days*3))</f>
        <v/>
      </c>
      <c r="N360" s="11">
        <f>IF(A360="","",IF(H360="","Unmatched GL",IF(AND(K360&lt;=Tol_Amount,L360&lt;=Tol_Days),"Matched",IF(M360&gt;Tol_NearPct,"Near Match","Unmatched GL"))))</f>
        <v/>
      </c>
    </row>
    <row r="361">
      <c r="A361" s="13">
        <f>IF(GL_CLEAN!A361="","",GL_CLEAN!A361)</f>
        <v/>
      </c>
      <c r="B361" s="10">
        <f>IF(A361="","",GL_CLEAN!B361)</f>
        <v/>
      </c>
      <c r="C361" s="11">
        <f>IF(A361="","",GL_CLEAN!C361)</f>
        <v/>
      </c>
      <c r="D361" s="14">
        <f>IF(A361="","",GL_CLEAN!H361)</f>
        <v/>
      </c>
      <c r="E361" s="14">
        <f>IF(A361="","",GL_CLEAN!I361)</f>
        <v/>
      </c>
      <c r="F361" s="11">
        <f>IF(A361="","",GL_CLEAN!J361)</f>
        <v/>
      </c>
      <c r="G361" s="11">
        <f>IF(A361="","",IF(F361="OUT","DR","CR"))</f>
        <v/>
      </c>
      <c r="H361" s="11">
        <f>IF(A361="","",IFERROR(INDEX(BANK_CLEAN!$A$2:$A$1001,MATCH(MINIFS(BANK_CLEAN!$J$2:$J$1001,BANK_CLEAN!$H$2:$H$1001,G361,BANK_CLEAN!$L$2:$L$1001,""),BANK_CLEAN!$J$2:$J$1001,0)),""))</f>
        <v/>
      </c>
      <c r="I361" s="10">
        <f>IF(H361="","",INDEX(BANK_CLEAN!$B$2:$B$1001,H361))</f>
        <v/>
      </c>
      <c r="J361" s="14">
        <f>IF(H361="","",IF(F361="OUT",INDEX(BANK_CLEAN!$F$2:$F$1001,H361),INDEX(BANK_CLEAN!$E$2:$E$1001,H361)))</f>
        <v/>
      </c>
      <c r="K361" s="14">
        <f>IF(H361="","",ABS(E361-J361))</f>
        <v/>
      </c>
      <c r="L361" s="11">
        <f>IF(OR(H361="",B361="",I361=""),"",ABS(B361-I361))</f>
        <v/>
      </c>
      <c r="M361" s="15">
        <f>IF(H361="",0,LET(pct,IF(E361&gt;0,K361/E361,1),days,IFERROR(L361,999),100-pct*200-days*3))</f>
        <v/>
      </c>
      <c r="N361" s="11">
        <f>IF(A361="","",IF(H361="","Unmatched GL",IF(AND(K361&lt;=Tol_Amount,L361&lt;=Tol_Days),"Matched",IF(M361&gt;Tol_NearPct,"Near Match","Unmatched GL"))))</f>
        <v/>
      </c>
    </row>
    <row r="362">
      <c r="A362" s="13">
        <f>IF(GL_CLEAN!A362="","",GL_CLEAN!A362)</f>
        <v/>
      </c>
      <c r="B362" s="10">
        <f>IF(A362="","",GL_CLEAN!B362)</f>
        <v/>
      </c>
      <c r="C362" s="11">
        <f>IF(A362="","",GL_CLEAN!C362)</f>
        <v/>
      </c>
      <c r="D362" s="14">
        <f>IF(A362="","",GL_CLEAN!H362)</f>
        <v/>
      </c>
      <c r="E362" s="14">
        <f>IF(A362="","",GL_CLEAN!I362)</f>
        <v/>
      </c>
      <c r="F362" s="11">
        <f>IF(A362="","",GL_CLEAN!J362)</f>
        <v/>
      </c>
      <c r="G362" s="11">
        <f>IF(A362="","",IF(F362="OUT","DR","CR"))</f>
        <v/>
      </c>
      <c r="H362" s="11">
        <f>IF(A362="","",IFERROR(INDEX(BANK_CLEAN!$A$2:$A$1001,MATCH(MINIFS(BANK_CLEAN!$J$2:$J$1001,BANK_CLEAN!$H$2:$H$1001,G362,BANK_CLEAN!$L$2:$L$1001,""),BANK_CLEAN!$J$2:$J$1001,0)),""))</f>
        <v/>
      </c>
      <c r="I362" s="10">
        <f>IF(H362="","",INDEX(BANK_CLEAN!$B$2:$B$1001,H362))</f>
        <v/>
      </c>
      <c r="J362" s="14">
        <f>IF(H362="","",IF(F362="OUT",INDEX(BANK_CLEAN!$F$2:$F$1001,H362),INDEX(BANK_CLEAN!$E$2:$E$1001,H362)))</f>
        <v/>
      </c>
      <c r="K362" s="14">
        <f>IF(H362="","",ABS(E362-J362))</f>
        <v/>
      </c>
      <c r="L362" s="11">
        <f>IF(OR(H362="",B362="",I362=""),"",ABS(B362-I362))</f>
        <v/>
      </c>
      <c r="M362" s="15">
        <f>IF(H362="",0,LET(pct,IF(E362&gt;0,K362/E362,1),days,IFERROR(L362,999),100-pct*200-days*3))</f>
        <v/>
      </c>
      <c r="N362" s="11">
        <f>IF(A362="","",IF(H362="","Unmatched GL",IF(AND(K362&lt;=Tol_Amount,L362&lt;=Tol_Days),"Matched",IF(M362&gt;Tol_NearPct,"Near Match","Unmatched GL"))))</f>
        <v/>
      </c>
    </row>
    <row r="363">
      <c r="A363" s="13">
        <f>IF(GL_CLEAN!A363="","",GL_CLEAN!A363)</f>
        <v/>
      </c>
      <c r="B363" s="10">
        <f>IF(A363="","",GL_CLEAN!B363)</f>
        <v/>
      </c>
      <c r="C363" s="11">
        <f>IF(A363="","",GL_CLEAN!C363)</f>
        <v/>
      </c>
      <c r="D363" s="14">
        <f>IF(A363="","",GL_CLEAN!H363)</f>
        <v/>
      </c>
      <c r="E363" s="14">
        <f>IF(A363="","",GL_CLEAN!I363)</f>
        <v/>
      </c>
      <c r="F363" s="11">
        <f>IF(A363="","",GL_CLEAN!J363)</f>
        <v/>
      </c>
      <c r="G363" s="11">
        <f>IF(A363="","",IF(F363="OUT","DR","CR"))</f>
        <v/>
      </c>
      <c r="H363" s="11">
        <f>IF(A363="","",IFERROR(INDEX(BANK_CLEAN!$A$2:$A$1001,MATCH(MINIFS(BANK_CLEAN!$J$2:$J$1001,BANK_CLEAN!$H$2:$H$1001,G363,BANK_CLEAN!$L$2:$L$1001,""),BANK_CLEAN!$J$2:$J$1001,0)),""))</f>
        <v/>
      </c>
      <c r="I363" s="10">
        <f>IF(H363="","",INDEX(BANK_CLEAN!$B$2:$B$1001,H363))</f>
        <v/>
      </c>
      <c r="J363" s="14">
        <f>IF(H363="","",IF(F363="OUT",INDEX(BANK_CLEAN!$F$2:$F$1001,H363),INDEX(BANK_CLEAN!$E$2:$E$1001,H363)))</f>
        <v/>
      </c>
      <c r="K363" s="14">
        <f>IF(H363="","",ABS(E363-J363))</f>
        <v/>
      </c>
      <c r="L363" s="11">
        <f>IF(OR(H363="",B363="",I363=""),"",ABS(B363-I363))</f>
        <v/>
      </c>
      <c r="M363" s="15">
        <f>IF(H363="",0,LET(pct,IF(E363&gt;0,K363/E363,1),days,IFERROR(L363,999),100-pct*200-days*3))</f>
        <v/>
      </c>
      <c r="N363" s="11">
        <f>IF(A363="","",IF(H363="","Unmatched GL",IF(AND(K363&lt;=Tol_Amount,L363&lt;=Tol_Days),"Matched",IF(M363&gt;Tol_NearPct,"Near Match","Unmatched GL"))))</f>
        <v/>
      </c>
    </row>
    <row r="364">
      <c r="A364" s="13">
        <f>IF(GL_CLEAN!A364="","",GL_CLEAN!A364)</f>
        <v/>
      </c>
      <c r="B364" s="10">
        <f>IF(A364="","",GL_CLEAN!B364)</f>
        <v/>
      </c>
      <c r="C364" s="11">
        <f>IF(A364="","",GL_CLEAN!C364)</f>
        <v/>
      </c>
      <c r="D364" s="14">
        <f>IF(A364="","",GL_CLEAN!H364)</f>
        <v/>
      </c>
      <c r="E364" s="14">
        <f>IF(A364="","",GL_CLEAN!I364)</f>
        <v/>
      </c>
      <c r="F364" s="11">
        <f>IF(A364="","",GL_CLEAN!J364)</f>
        <v/>
      </c>
      <c r="G364" s="11">
        <f>IF(A364="","",IF(F364="OUT","DR","CR"))</f>
        <v/>
      </c>
      <c r="H364" s="11">
        <f>IF(A364="","",IFERROR(INDEX(BANK_CLEAN!$A$2:$A$1001,MATCH(MINIFS(BANK_CLEAN!$J$2:$J$1001,BANK_CLEAN!$H$2:$H$1001,G364,BANK_CLEAN!$L$2:$L$1001,""),BANK_CLEAN!$J$2:$J$1001,0)),""))</f>
        <v/>
      </c>
      <c r="I364" s="10">
        <f>IF(H364="","",INDEX(BANK_CLEAN!$B$2:$B$1001,H364))</f>
        <v/>
      </c>
      <c r="J364" s="14">
        <f>IF(H364="","",IF(F364="OUT",INDEX(BANK_CLEAN!$F$2:$F$1001,H364),INDEX(BANK_CLEAN!$E$2:$E$1001,H364)))</f>
        <v/>
      </c>
      <c r="K364" s="14">
        <f>IF(H364="","",ABS(E364-J364))</f>
        <v/>
      </c>
      <c r="L364" s="11">
        <f>IF(OR(H364="",B364="",I364=""),"",ABS(B364-I364))</f>
        <v/>
      </c>
      <c r="M364" s="15">
        <f>IF(H364="",0,LET(pct,IF(E364&gt;0,K364/E364,1),days,IFERROR(L364,999),100-pct*200-days*3))</f>
        <v/>
      </c>
      <c r="N364" s="11">
        <f>IF(A364="","",IF(H364="","Unmatched GL",IF(AND(K364&lt;=Tol_Amount,L364&lt;=Tol_Days),"Matched",IF(M364&gt;Tol_NearPct,"Near Match","Unmatched GL"))))</f>
        <v/>
      </c>
    </row>
    <row r="365">
      <c r="A365" s="13">
        <f>IF(GL_CLEAN!A365="","",GL_CLEAN!A365)</f>
        <v/>
      </c>
      <c r="B365" s="10">
        <f>IF(A365="","",GL_CLEAN!B365)</f>
        <v/>
      </c>
      <c r="C365" s="11">
        <f>IF(A365="","",GL_CLEAN!C365)</f>
        <v/>
      </c>
      <c r="D365" s="14">
        <f>IF(A365="","",GL_CLEAN!H365)</f>
        <v/>
      </c>
      <c r="E365" s="14">
        <f>IF(A365="","",GL_CLEAN!I365)</f>
        <v/>
      </c>
      <c r="F365" s="11">
        <f>IF(A365="","",GL_CLEAN!J365)</f>
        <v/>
      </c>
      <c r="G365" s="11">
        <f>IF(A365="","",IF(F365="OUT","DR","CR"))</f>
        <v/>
      </c>
      <c r="H365" s="11">
        <f>IF(A365="","",IFERROR(INDEX(BANK_CLEAN!$A$2:$A$1001,MATCH(MINIFS(BANK_CLEAN!$J$2:$J$1001,BANK_CLEAN!$H$2:$H$1001,G365,BANK_CLEAN!$L$2:$L$1001,""),BANK_CLEAN!$J$2:$J$1001,0)),""))</f>
        <v/>
      </c>
      <c r="I365" s="10">
        <f>IF(H365="","",INDEX(BANK_CLEAN!$B$2:$B$1001,H365))</f>
        <v/>
      </c>
      <c r="J365" s="14">
        <f>IF(H365="","",IF(F365="OUT",INDEX(BANK_CLEAN!$F$2:$F$1001,H365),INDEX(BANK_CLEAN!$E$2:$E$1001,H365)))</f>
        <v/>
      </c>
      <c r="K365" s="14">
        <f>IF(H365="","",ABS(E365-J365))</f>
        <v/>
      </c>
      <c r="L365" s="11">
        <f>IF(OR(H365="",B365="",I365=""),"",ABS(B365-I365))</f>
        <v/>
      </c>
      <c r="M365" s="15">
        <f>IF(H365="",0,LET(pct,IF(E365&gt;0,K365/E365,1),days,IFERROR(L365,999),100-pct*200-days*3))</f>
        <v/>
      </c>
      <c r="N365" s="11">
        <f>IF(A365="","",IF(H365="","Unmatched GL",IF(AND(K365&lt;=Tol_Amount,L365&lt;=Tol_Days),"Matched",IF(M365&gt;Tol_NearPct,"Near Match","Unmatched GL"))))</f>
        <v/>
      </c>
    </row>
    <row r="366">
      <c r="A366" s="13">
        <f>IF(GL_CLEAN!A366="","",GL_CLEAN!A366)</f>
        <v/>
      </c>
      <c r="B366" s="10">
        <f>IF(A366="","",GL_CLEAN!B366)</f>
        <v/>
      </c>
      <c r="C366" s="11">
        <f>IF(A366="","",GL_CLEAN!C366)</f>
        <v/>
      </c>
      <c r="D366" s="14">
        <f>IF(A366="","",GL_CLEAN!H366)</f>
        <v/>
      </c>
      <c r="E366" s="14">
        <f>IF(A366="","",GL_CLEAN!I366)</f>
        <v/>
      </c>
      <c r="F366" s="11">
        <f>IF(A366="","",GL_CLEAN!J366)</f>
        <v/>
      </c>
      <c r="G366" s="11">
        <f>IF(A366="","",IF(F366="OUT","DR","CR"))</f>
        <v/>
      </c>
      <c r="H366" s="11">
        <f>IF(A366="","",IFERROR(INDEX(BANK_CLEAN!$A$2:$A$1001,MATCH(MINIFS(BANK_CLEAN!$J$2:$J$1001,BANK_CLEAN!$H$2:$H$1001,G366,BANK_CLEAN!$L$2:$L$1001,""),BANK_CLEAN!$J$2:$J$1001,0)),""))</f>
        <v/>
      </c>
      <c r="I366" s="10">
        <f>IF(H366="","",INDEX(BANK_CLEAN!$B$2:$B$1001,H366))</f>
        <v/>
      </c>
      <c r="J366" s="14">
        <f>IF(H366="","",IF(F366="OUT",INDEX(BANK_CLEAN!$F$2:$F$1001,H366),INDEX(BANK_CLEAN!$E$2:$E$1001,H366)))</f>
        <v/>
      </c>
      <c r="K366" s="14">
        <f>IF(H366="","",ABS(E366-J366))</f>
        <v/>
      </c>
      <c r="L366" s="11">
        <f>IF(OR(H366="",B366="",I366=""),"",ABS(B366-I366))</f>
        <v/>
      </c>
      <c r="M366" s="15">
        <f>IF(H366="",0,LET(pct,IF(E366&gt;0,K366/E366,1),days,IFERROR(L366,999),100-pct*200-days*3))</f>
        <v/>
      </c>
      <c r="N366" s="11">
        <f>IF(A366="","",IF(H366="","Unmatched GL",IF(AND(K366&lt;=Tol_Amount,L366&lt;=Tol_Days),"Matched",IF(M366&gt;Tol_NearPct,"Near Match","Unmatched GL"))))</f>
        <v/>
      </c>
    </row>
    <row r="367">
      <c r="A367" s="13">
        <f>IF(GL_CLEAN!A367="","",GL_CLEAN!A367)</f>
        <v/>
      </c>
      <c r="B367" s="10">
        <f>IF(A367="","",GL_CLEAN!B367)</f>
        <v/>
      </c>
      <c r="C367" s="11">
        <f>IF(A367="","",GL_CLEAN!C367)</f>
        <v/>
      </c>
      <c r="D367" s="14">
        <f>IF(A367="","",GL_CLEAN!H367)</f>
        <v/>
      </c>
      <c r="E367" s="14">
        <f>IF(A367="","",GL_CLEAN!I367)</f>
        <v/>
      </c>
      <c r="F367" s="11">
        <f>IF(A367="","",GL_CLEAN!J367)</f>
        <v/>
      </c>
      <c r="G367" s="11">
        <f>IF(A367="","",IF(F367="OUT","DR","CR"))</f>
        <v/>
      </c>
      <c r="H367" s="11">
        <f>IF(A367="","",IFERROR(INDEX(BANK_CLEAN!$A$2:$A$1001,MATCH(MINIFS(BANK_CLEAN!$J$2:$J$1001,BANK_CLEAN!$H$2:$H$1001,G367,BANK_CLEAN!$L$2:$L$1001,""),BANK_CLEAN!$J$2:$J$1001,0)),""))</f>
        <v/>
      </c>
      <c r="I367" s="10">
        <f>IF(H367="","",INDEX(BANK_CLEAN!$B$2:$B$1001,H367))</f>
        <v/>
      </c>
      <c r="J367" s="14">
        <f>IF(H367="","",IF(F367="OUT",INDEX(BANK_CLEAN!$F$2:$F$1001,H367),INDEX(BANK_CLEAN!$E$2:$E$1001,H367)))</f>
        <v/>
      </c>
      <c r="K367" s="14">
        <f>IF(H367="","",ABS(E367-J367))</f>
        <v/>
      </c>
      <c r="L367" s="11">
        <f>IF(OR(H367="",B367="",I367=""),"",ABS(B367-I367))</f>
        <v/>
      </c>
      <c r="M367" s="15">
        <f>IF(H367="",0,LET(pct,IF(E367&gt;0,K367/E367,1),days,IFERROR(L367,999),100-pct*200-days*3))</f>
        <v/>
      </c>
      <c r="N367" s="11">
        <f>IF(A367="","",IF(H367="","Unmatched GL",IF(AND(K367&lt;=Tol_Amount,L367&lt;=Tol_Days),"Matched",IF(M367&gt;Tol_NearPct,"Near Match","Unmatched GL"))))</f>
        <v/>
      </c>
    </row>
    <row r="368">
      <c r="A368" s="13">
        <f>IF(GL_CLEAN!A368="","",GL_CLEAN!A368)</f>
        <v/>
      </c>
      <c r="B368" s="10">
        <f>IF(A368="","",GL_CLEAN!B368)</f>
        <v/>
      </c>
      <c r="C368" s="11">
        <f>IF(A368="","",GL_CLEAN!C368)</f>
        <v/>
      </c>
      <c r="D368" s="14">
        <f>IF(A368="","",GL_CLEAN!H368)</f>
        <v/>
      </c>
      <c r="E368" s="14">
        <f>IF(A368="","",GL_CLEAN!I368)</f>
        <v/>
      </c>
      <c r="F368" s="11">
        <f>IF(A368="","",GL_CLEAN!J368)</f>
        <v/>
      </c>
      <c r="G368" s="11">
        <f>IF(A368="","",IF(F368="OUT","DR","CR"))</f>
        <v/>
      </c>
      <c r="H368" s="11">
        <f>IF(A368="","",IFERROR(INDEX(BANK_CLEAN!$A$2:$A$1001,MATCH(MINIFS(BANK_CLEAN!$J$2:$J$1001,BANK_CLEAN!$H$2:$H$1001,G368,BANK_CLEAN!$L$2:$L$1001,""),BANK_CLEAN!$J$2:$J$1001,0)),""))</f>
        <v/>
      </c>
      <c r="I368" s="10">
        <f>IF(H368="","",INDEX(BANK_CLEAN!$B$2:$B$1001,H368))</f>
        <v/>
      </c>
      <c r="J368" s="14">
        <f>IF(H368="","",IF(F368="OUT",INDEX(BANK_CLEAN!$F$2:$F$1001,H368),INDEX(BANK_CLEAN!$E$2:$E$1001,H368)))</f>
        <v/>
      </c>
      <c r="K368" s="14">
        <f>IF(H368="","",ABS(E368-J368))</f>
        <v/>
      </c>
      <c r="L368" s="11">
        <f>IF(OR(H368="",B368="",I368=""),"",ABS(B368-I368))</f>
        <v/>
      </c>
      <c r="M368" s="15">
        <f>IF(H368="",0,LET(pct,IF(E368&gt;0,K368/E368,1),days,IFERROR(L368,999),100-pct*200-days*3))</f>
        <v/>
      </c>
      <c r="N368" s="11">
        <f>IF(A368="","",IF(H368="","Unmatched GL",IF(AND(K368&lt;=Tol_Amount,L368&lt;=Tol_Days),"Matched",IF(M368&gt;Tol_NearPct,"Near Match","Unmatched GL"))))</f>
        <v/>
      </c>
    </row>
    <row r="369">
      <c r="A369" s="13">
        <f>IF(GL_CLEAN!A369="","",GL_CLEAN!A369)</f>
        <v/>
      </c>
      <c r="B369" s="10">
        <f>IF(A369="","",GL_CLEAN!B369)</f>
        <v/>
      </c>
      <c r="C369" s="11">
        <f>IF(A369="","",GL_CLEAN!C369)</f>
        <v/>
      </c>
      <c r="D369" s="14">
        <f>IF(A369="","",GL_CLEAN!H369)</f>
        <v/>
      </c>
      <c r="E369" s="14">
        <f>IF(A369="","",GL_CLEAN!I369)</f>
        <v/>
      </c>
      <c r="F369" s="11">
        <f>IF(A369="","",GL_CLEAN!J369)</f>
        <v/>
      </c>
      <c r="G369" s="11">
        <f>IF(A369="","",IF(F369="OUT","DR","CR"))</f>
        <v/>
      </c>
      <c r="H369" s="11">
        <f>IF(A369="","",IFERROR(INDEX(BANK_CLEAN!$A$2:$A$1001,MATCH(MINIFS(BANK_CLEAN!$J$2:$J$1001,BANK_CLEAN!$H$2:$H$1001,G369,BANK_CLEAN!$L$2:$L$1001,""),BANK_CLEAN!$J$2:$J$1001,0)),""))</f>
        <v/>
      </c>
      <c r="I369" s="10">
        <f>IF(H369="","",INDEX(BANK_CLEAN!$B$2:$B$1001,H369))</f>
        <v/>
      </c>
      <c r="J369" s="14">
        <f>IF(H369="","",IF(F369="OUT",INDEX(BANK_CLEAN!$F$2:$F$1001,H369),INDEX(BANK_CLEAN!$E$2:$E$1001,H369)))</f>
        <v/>
      </c>
      <c r="K369" s="14">
        <f>IF(H369="","",ABS(E369-J369))</f>
        <v/>
      </c>
      <c r="L369" s="11">
        <f>IF(OR(H369="",B369="",I369=""),"",ABS(B369-I369))</f>
        <v/>
      </c>
      <c r="M369" s="15">
        <f>IF(H369="",0,LET(pct,IF(E369&gt;0,K369/E369,1),days,IFERROR(L369,999),100-pct*200-days*3))</f>
        <v/>
      </c>
      <c r="N369" s="11">
        <f>IF(A369="","",IF(H369="","Unmatched GL",IF(AND(K369&lt;=Tol_Amount,L369&lt;=Tol_Days),"Matched",IF(M369&gt;Tol_NearPct,"Near Match","Unmatched GL"))))</f>
        <v/>
      </c>
    </row>
    <row r="370">
      <c r="A370" s="13">
        <f>IF(GL_CLEAN!A370="","",GL_CLEAN!A370)</f>
        <v/>
      </c>
      <c r="B370" s="10">
        <f>IF(A370="","",GL_CLEAN!B370)</f>
        <v/>
      </c>
      <c r="C370" s="11">
        <f>IF(A370="","",GL_CLEAN!C370)</f>
        <v/>
      </c>
      <c r="D370" s="14">
        <f>IF(A370="","",GL_CLEAN!H370)</f>
        <v/>
      </c>
      <c r="E370" s="14">
        <f>IF(A370="","",GL_CLEAN!I370)</f>
        <v/>
      </c>
      <c r="F370" s="11">
        <f>IF(A370="","",GL_CLEAN!J370)</f>
        <v/>
      </c>
      <c r="G370" s="11">
        <f>IF(A370="","",IF(F370="OUT","DR","CR"))</f>
        <v/>
      </c>
      <c r="H370" s="11">
        <f>IF(A370="","",IFERROR(INDEX(BANK_CLEAN!$A$2:$A$1001,MATCH(MINIFS(BANK_CLEAN!$J$2:$J$1001,BANK_CLEAN!$H$2:$H$1001,G370,BANK_CLEAN!$L$2:$L$1001,""),BANK_CLEAN!$J$2:$J$1001,0)),""))</f>
        <v/>
      </c>
      <c r="I370" s="10">
        <f>IF(H370="","",INDEX(BANK_CLEAN!$B$2:$B$1001,H370))</f>
        <v/>
      </c>
      <c r="J370" s="14">
        <f>IF(H370="","",IF(F370="OUT",INDEX(BANK_CLEAN!$F$2:$F$1001,H370),INDEX(BANK_CLEAN!$E$2:$E$1001,H370)))</f>
        <v/>
      </c>
      <c r="K370" s="14">
        <f>IF(H370="","",ABS(E370-J370))</f>
        <v/>
      </c>
      <c r="L370" s="11">
        <f>IF(OR(H370="",B370="",I370=""),"",ABS(B370-I370))</f>
        <v/>
      </c>
      <c r="M370" s="15">
        <f>IF(H370="",0,LET(pct,IF(E370&gt;0,K370/E370,1),days,IFERROR(L370,999),100-pct*200-days*3))</f>
        <v/>
      </c>
      <c r="N370" s="11">
        <f>IF(A370="","",IF(H370="","Unmatched GL",IF(AND(K370&lt;=Tol_Amount,L370&lt;=Tol_Days),"Matched",IF(M370&gt;Tol_NearPct,"Near Match","Unmatched GL"))))</f>
        <v/>
      </c>
    </row>
    <row r="371">
      <c r="A371" s="13">
        <f>IF(GL_CLEAN!A371="","",GL_CLEAN!A371)</f>
        <v/>
      </c>
      <c r="B371" s="10">
        <f>IF(A371="","",GL_CLEAN!B371)</f>
        <v/>
      </c>
      <c r="C371" s="11">
        <f>IF(A371="","",GL_CLEAN!C371)</f>
        <v/>
      </c>
      <c r="D371" s="14">
        <f>IF(A371="","",GL_CLEAN!H371)</f>
        <v/>
      </c>
      <c r="E371" s="14">
        <f>IF(A371="","",GL_CLEAN!I371)</f>
        <v/>
      </c>
      <c r="F371" s="11">
        <f>IF(A371="","",GL_CLEAN!J371)</f>
        <v/>
      </c>
      <c r="G371" s="11">
        <f>IF(A371="","",IF(F371="OUT","DR","CR"))</f>
        <v/>
      </c>
      <c r="H371" s="11">
        <f>IF(A371="","",IFERROR(INDEX(BANK_CLEAN!$A$2:$A$1001,MATCH(MINIFS(BANK_CLEAN!$J$2:$J$1001,BANK_CLEAN!$H$2:$H$1001,G371,BANK_CLEAN!$L$2:$L$1001,""),BANK_CLEAN!$J$2:$J$1001,0)),""))</f>
        <v/>
      </c>
      <c r="I371" s="10">
        <f>IF(H371="","",INDEX(BANK_CLEAN!$B$2:$B$1001,H371))</f>
        <v/>
      </c>
      <c r="J371" s="14">
        <f>IF(H371="","",IF(F371="OUT",INDEX(BANK_CLEAN!$F$2:$F$1001,H371),INDEX(BANK_CLEAN!$E$2:$E$1001,H371)))</f>
        <v/>
      </c>
      <c r="K371" s="14">
        <f>IF(H371="","",ABS(E371-J371))</f>
        <v/>
      </c>
      <c r="L371" s="11">
        <f>IF(OR(H371="",B371="",I371=""),"",ABS(B371-I371))</f>
        <v/>
      </c>
      <c r="M371" s="15">
        <f>IF(H371="",0,LET(pct,IF(E371&gt;0,K371/E371,1),days,IFERROR(L371,999),100-pct*200-days*3))</f>
        <v/>
      </c>
      <c r="N371" s="11">
        <f>IF(A371="","",IF(H371="","Unmatched GL",IF(AND(K371&lt;=Tol_Amount,L371&lt;=Tol_Days),"Matched",IF(M371&gt;Tol_NearPct,"Near Match","Unmatched GL"))))</f>
        <v/>
      </c>
    </row>
    <row r="372">
      <c r="A372" s="13">
        <f>IF(GL_CLEAN!A372="","",GL_CLEAN!A372)</f>
        <v/>
      </c>
      <c r="B372" s="10">
        <f>IF(A372="","",GL_CLEAN!B372)</f>
        <v/>
      </c>
      <c r="C372" s="11">
        <f>IF(A372="","",GL_CLEAN!C372)</f>
        <v/>
      </c>
      <c r="D372" s="14">
        <f>IF(A372="","",GL_CLEAN!H372)</f>
        <v/>
      </c>
      <c r="E372" s="14">
        <f>IF(A372="","",GL_CLEAN!I372)</f>
        <v/>
      </c>
      <c r="F372" s="11">
        <f>IF(A372="","",GL_CLEAN!J372)</f>
        <v/>
      </c>
      <c r="G372" s="11">
        <f>IF(A372="","",IF(F372="OUT","DR","CR"))</f>
        <v/>
      </c>
      <c r="H372" s="11">
        <f>IF(A372="","",IFERROR(INDEX(BANK_CLEAN!$A$2:$A$1001,MATCH(MINIFS(BANK_CLEAN!$J$2:$J$1001,BANK_CLEAN!$H$2:$H$1001,G372,BANK_CLEAN!$L$2:$L$1001,""),BANK_CLEAN!$J$2:$J$1001,0)),""))</f>
        <v/>
      </c>
      <c r="I372" s="10">
        <f>IF(H372="","",INDEX(BANK_CLEAN!$B$2:$B$1001,H372))</f>
        <v/>
      </c>
      <c r="J372" s="14">
        <f>IF(H372="","",IF(F372="OUT",INDEX(BANK_CLEAN!$F$2:$F$1001,H372),INDEX(BANK_CLEAN!$E$2:$E$1001,H372)))</f>
        <v/>
      </c>
      <c r="K372" s="14">
        <f>IF(H372="","",ABS(E372-J372))</f>
        <v/>
      </c>
      <c r="L372" s="11">
        <f>IF(OR(H372="",B372="",I372=""),"",ABS(B372-I372))</f>
        <v/>
      </c>
      <c r="M372" s="15">
        <f>IF(H372="",0,LET(pct,IF(E372&gt;0,K372/E372,1),days,IFERROR(L372,999),100-pct*200-days*3))</f>
        <v/>
      </c>
      <c r="N372" s="11">
        <f>IF(A372="","",IF(H372="","Unmatched GL",IF(AND(K372&lt;=Tol_Amount,L372&lt;=Tol_Days),"Matched",IF(M372&gt;Tol_NearPct,"Near Match","Unmatched GL"))))</f>
        <v/>
      </c>
    </row>
    <row r="373">
      <c r="A373" s="13">
        <f>IF(GL_CLEAN!A373="","",GL_CLEAN!A373)</f>
        <v/>
      </c>
      <c r="B373" s="10">
        <f>IF(A373="","",GL_CLEAN!B373)</f>
        <v/>
      </c>
      <c r="C373" s="11">
        <f>IF(A373="","",GL_CLEAN!C373)</f>
        <v/>
      </c>
      <c r="D373" s="14">
        <f>IF(A373="","",GL_CLEAN!H373)</f>
        <v/>
      </c>
      <c r="E373" s="14">
        <f>IF(A373="","",GL_CLEAN!I373)</f>
        <v/>
      </c>
      <c r="F373" s="11">
        <f>IF(A373="","",GL_CLEAN!J373)</f>
        <v/>
      </c>
      <c r="G373" s="11">
        <f>IF(A373="","",IF(F373="OUT","DR","CR"))</f>
        <v/>
      </c>
      <c r="H373" s="11">
        <f>IF(A373="","",IFERROR(INDEX(BANK_CLEAN!$A$2:$A$1001,MATCH(MINIFS(BANK_CLEAN!$J$2:$J$1001,BANK_CLEAN!$H$2:$H$1001,G373,BANK_CLEAN!$L$2:$L$1001,""),BANK_CLEAN!$J$2:$J$1001,0)),""))</f>
        <v/>
      </c>
      <c r="I373" s="10">
        <f>IF(H373="","",INDEX(BANK_CLEAN!$B$2:$B$1001,H373))</f>
        <v/>
      </c>
      <c r="J373" s="14">
        <f>IF(H373="","",IF(F373="OUT",INDEX(BANK_CLEAN!$F$2:$F$1001,H373),INDEX(BANK_CLEAN!$E$2:$E$1001,H373)))</f>
        <v/>
      </c>
      <c r="K373" s="14">
        <f>IF(H373="","",ABS(E373-J373))</f>
        <v/>
      </c>
      <c r="L373" s="11">
        <f>IF(OR(H373="",B373="",I373=""),"",ABS(B373-I373))</f>
        <v/>
      </c>
      <c r="M373" s="15">
        <f>IF(H373="",0,LET(pct,IF(E373&gt;0,K373/E373,1),days,IFERROR(L373,999),100-pct*200-days*3))</f>
        <v/>
      </c>
      <c r="N373" s="11">
        <f>IF(A373="","",IF(H373="","Unmatched GL",IF(AND(K373&lt;=Tol_Amount,L373&lt;=Tol_Days),"Matched",IF(M373&gt;Tol_NearPct,"Near Match","Unmatched GL"))))</f>
        <v/>
      </c>
    </row>
    <row r="374">
      <c r="A374" s="13">
        <f>IF(GL_CLEAN!A374="","",GL_CLEAN!A374)</f>
        <v/>
      </c>
      <c r="B374" s="10">
        <f>IF(A374="","",GL_CLEAN!B374)</f>
        <v/>
      </c>
      <c r="C374" s="11">
        <f>IF(A374="","",GL_CLEAN!C374)</f>
        <v/>
      </c>
      <c r="D374" s="14">
        <f>IF(A374="","",GL_CLEAN!H374)</f>
        <v/>
      </c>
      <c r="E374" s="14">
        <f>IF(A374="","",GL_CLEAN!I374)</f>
        <v/>
      </c>
      <c r="F374" s="11">
        <f>IF(A374="","",GL_CLEAN!J374)</f>
        <v/>
      </c>
      <c r="G374" s="11">
        <f>IF(A374="","",IF(F374="OUT","DR","CR"))</f>
        <v/>
      </c>
      <c r="H374" s="11">
        <f>IF(A374="","",IFERROR(INDEX(BANK_CLEAN!$A$2:$A$1001,MATCH(MINIFS(BANK_CLEAN!$J$2:$J$1001,BANK_CLEAN!$H$2:$H$1001,G374,BANK_CLEAN!$L$2:$L$1001,""),BANK_CLEAN!$J$2:$J$1001,0)),""))</f>
        <v/>
      </c>
      <c r="I374" s="10">
        <f>IF(H374="","",INDEX(BANK_CLEAN!$B$2:$B$1001,H374))</f>
        <v/>
      </c>
      <c r="J374" s="14">
        <f>IF(H374="","",IF(F374="OUT",INDEX(BANK_CLEAN!$F$2:$F$1001,H374),INDEX(BANK_CLEAN!$E$2:$E$1001,H374)))</f>
        <v/>
      </c>
      <c r="K374" s="14">
        <f>IF(H374="","",ABS(E374-J374))</f>
        <v/>
      </c>
      <c r="L374" s="11">
        <f>IF(OR(H374="",B374="",I374=""),"",ABS(B374-I374))</f>
        <v/>
      </c>
      <c r="M374" s="15">
        <f>IF(H374="",0,LET(pct,IF(E374&gt;0,K374/E374,1),days,IFERROR(L374,999),100-pct*200-days*3))</f>
        <v/>
      </c>
      <c r="N374" s="11">
        <f>IF(A374="","",IF(H374="","Unmatched GL",IF(AND(K374&lt;=Tol_Amount,L374&lt;=Tol_Days),"Matched",IF(M374&gt;Tol_NearPct,"Near Match","Unmatched GL"))))</f>
        <v/>
      </c>
    </row>
    <row r="375">
      <c r="A375" s="13">
        <f>IF(GL_CLEAN!A375="","",GL_CLEAN!A375)</f>
        <v/>
      </c>
      <c r="B375" s="10">
        <f>IF(A375="","",GL_CLEAN!B375)</f>
        <v/>
      </c>
      <c r="C375" s="11">
        <f>IF(A375="","",GL_CLEAN!C375)</f>
        <v/>
      </c>
      <c r="D375" s="14">
        <f>IF(A375="","",GL_CLEAN!H375)</f>
        <v/>
      </c>
      <c r="E375" s="14">
        <f>IF(A375="","",GL_CLEAN!I375)</f>
        <v/>
      </c>
      <c r="F375" s="11">
        <f>IF(A375="","",GL_CLEAN!J375)</f>
        <v/>
      </c>
      <c r="G375" s="11">
        <f>IF(A375="","",IF(F375="OUT","DR","CR"))</f>
        <v/>
      </c>
      <c r="H375" s="11">
        <f>IF(A375="","",IFERROR(INDEX(BANK_CLEAN!$A$2:$A$1001,MATCH(MINIFS(BANK_CLEAN!$J$2:$J$1001,BANK_CLEAN!$H$2:$H$1001,G375,BANK_CLEAN!$L$2:$L$1001,""),BANK_CLEAN!$J$2:$J$1001,0)),""))</f>
        <v/>
      </c>
      <c r="I375" s="10">
        <f>IF(H375="","",INDEX(BANK_CLEAN!$B$2:$B$1001,H375))</f>
        <v/>
      </c>
      <c r="J375" s="14">
        <f>IF(H375="","",IF(F375="OUT",INDEX(BANK_CLEAN!$F$2:$F$1001,H375),INDEX(BANK_CLEAN!$E$2:$E$1001,H375)))</f>
        <v/>
      </c>
      <c r="K375" s="14">
        <f>IF(H375="","",ABS(E375-J375))</f>
        <v/>
      </c>
      <c r="L375" s="11">
        <f>IF(OR(H375="",B375="",I375=""),"",ABS(B375-I375))</f>
        <v/>
      </c>
      <c r="M375" s="15">
        <f>IF(H375="",0,LET(pct,IF(E375&gt;0,K375/E375,1),days,IFERROR(L375,999),100-pct*200-days*3))</f>
        <v/>
      </c>
      <c r="N375" s="11">
        <f>IF(A375="","",IF(H375="","Unmatched GL",IF(AND(K375&lt;=Tol_Amount,L375&lt;=Tol_Days),"Matched",IF(M375&gt;Tol_NearPct,"Near Match","Unmatched GL"))))</f>
        <v/>
      </c>
    </row>
    <row r="376">
      <c r="A376" s="13">
        <f>IF(GL_CLEAN!A376="","",GL_CLEAN!A376)</f>
        <v/>
      </c>
      <c r="B376" s="10">
        <f>IF(A376="","",GL_CLEAN!B376)</f>
        <v/>
      </c>
      <c r="C376" s="11">
        <f>IF(A376="","",GL_CLEAN!C376)</f>
        <v/>
      </c>
      <c r="D376" s="14">
        <f>IF(A376="","",GL_CLEAN!H376)</f>
        <v/>
      </c>
      <c r="E376" s="14">
        <f>IF(A376="","",GL_CLEAN!I376)</f>
        <v/>
      </c>
      <c r="F376" s="11">
        <f>IF(A376="","",GL_CLEAN!J376)</f>
        <v/>
      </c>
      <c r="G376" s="11">
        <f>IF(A376="","",IF(F376="OUT","DR","CR"))</f>
        <v/>
      </c>
      <c r="H376" s="11">
        <f>IF(A376="","",IFERROR(INDEX(BANK_CLEAN!$A$2:$A$1001,MATCH(MINIFS(BANK_CLEAN!$J$2:$J$1001,BANK_CLEAN!$H$2:$H$1001,G376,BANK_CLEAN!$L$2:$L$1001,""),BANK_CLEAN!$J$2:$J$1001,0)),""))</f>
        <v/>
      </c>
      <c r="I376" s="10">
        <f>IF(H376="","",INDEX(BANK_CLEAN!$B$2:$B$1001,H376))</f>
        <v/>
      </c>
      <c r="J376" s="14">
        <f>IF(H376="","",IF(F376="OUT",INDEX(BANK_CLEAN!$F$2:$F$1001,H376),INDEX(BANK_CLEAN!$E$2:$E$1001,H376)))</f>
        <v/>
      </c>
      <c r="K376" s="14">
        <f>IF(H376="","",ABS(E376-J376))</f>
        <v/>
      </c>
      <c r="L376" s="11">
        <f>IF(OR(H376="",B376="",I376=""),"",ABS(B376-I376))</f>
        <v/>
      </c>
      <c r="M376" s="15">
        <f>IF(H376="",0,LET(pct,IF(E376&gt;0,K376/E376,1),days,IFERROR(L376,999),100-pct*200-days*3))</f>
        <v/>
      </c>
      <c r="N376" s="11">
        <f>IF(A376="","",IF(H376="","Unmatched GL",IF(AND(K376&lt;=Tol_Amount,L376&lt;=Tol_Days),"Matched",IF(M376&gt;Tol_NearPct,"Near Match","Unmatched GL"))))</f>
        <v/>
      </c>
    </row>
    <row r="377">
      <c r="A377" s="13">
        <f>IF(GL_CLEAN!A377="","",GL_CLEAN!A377)</f>
        <v/>
      </c>
      <c r="B377" s="10">
        <f>IF(A377="","",GL_CLEAN!B377)</f>
        <v/>
      </c>
      <c r="C377" s="11">
        <f>IF(A377="","",GL_CLEAN!C377)</f>
        <v/>
      </c>
      <c r="D377" s="14">
        <f>IF(A377="","",GL_CLEAN!H377)</f>
        <v/>
      </c>
      <c r="E377" s="14">
        <f>IF(A377="","",GL_CLEAN!I377)</f>
        <v/>
      </c>
      <c r="F377" s="11">
        <f>IF(A377="","",GL_CLEAN!J377)</f>
        <v/>
      </c>
      <c r="G377" s="11">
        <f>IF(A377="","",IF(F377="OUT","DR","CR"))</f>
        <v/>
      </c>
      <c r="H377" s="11">
        <f>IF(A377="","",IFERROR(INDEX(BANK_CLEAN!$A$2:$A$1001,MATCH(MINIFS(BANK_CLEAN!$J$2:$J$1001,BANK_CLEAN!$H$2:$H$1001,G377,BANK_CLEAN!$L$2:$L$1001,""),BANK_CLEAN!$J$2:$J$1001,0)),""))</f>
        <v/>
      </c>
      <c r="I377" s="10">
        <f>IF(H377="","",INDEX(BANK_CLEAN!$B$2:$B$1001,H377))</f>
        <v/>
      </c>
      <c r="J377" s="14">
        <f>IF(H377="","",IF(F377="OUT",INDEX(BANK_CLEAN!$F$2:$F$1001,H377),INDEX(BANK_CLEAN!$E$2:$E$1001,H377)))</f>
        <v/>
      </c>
      <c r="K377" s="14">
        <f>IF(H377="","",ABS(E377-J377))</f>
        <v/>
      </c>
      <c r="L377" s="11">
        <f>IF(OR(H377="",B377="",I377=""),"",ABS(B377-I377))</f>
        <v/>
      </c>
      <c r="M377" s="15">
        <f>IF(H377="",0,LET(pct,IF(E377&gt;0,K377/E377,1),days,IFERROR(L377,999),100-pct*200-days*3))</f>
        <v/>
      </c>
      <c r="N377" s="11">
        <f>IF(A377="","",IF(H377="","Unmatched GL",IF(AND(K377&lt;=Tol_Amount,L377&lt;=Tol_Days),"Matched",IF(M377&gt;Tol_NearPct,"Near Match","Unmatched GL"))))</f>
        <v/>
      </c>
    </row>
    <row r="378">
      <c r="A378" s="13">
        <f>IF(GL_CLEAN!A378="","",GL_CLEAN!A378)</f>
        <v/>
      </c>
      <c r="B378" s="10">
        <f>IF(A378="","",GL_CLEAN!B378)</f>
        <v/>
      </c>
      <c r="C378" s="11">
        <f>IF(A378="","",GL_CLEAN!C378)</f>
        <v/>
      </c>
      <c r="D378" s="14">
        <f>IF(A378="","",GL_CLEAN!H378)</f>
        <v/>
      </c>
      <c r="E378" s="14">
        <f>IF(A378="","",GL_CLEAN!I378)</f>
        <v/>
      </c>
      <c r="F378" s="11">
        <f>IF(A378="","",GL_CLEAN!J378)</f>
        <v/>
      </c>
      <c r="G378" s="11">
        <f>IF(A378="","",IF(F378="OUT","DR","CR"))</f>
        <v/>
      </c>
      <c r="H378" s="11">
        <f>IF(A378="","",IFERROR(INDEX(BANK_CLEAN!$A$2:$A$1001,MATCH(MINIFS(BANK_CLEAN!$J$2:$J$1001,BANK_CLEAN!$H$2:$H$1001,G378,BANK_CLEAN!$L$2:$L$1001,""),BANK_CLEAN!$J$2:$J$1001,0)),""))</f>
        <v/>
      </c>
      <c r="I378" s="10">
        <f>IF(H378="","",INDEX(BANK_CLEAN!$B$2:$B$1001,H378))</f>
        <v/>
      </c>
      <c r="J378" s="14">
        <f>IF(H378="","",IF(F378="OUT",INDEX(BANK_CLEAN!$F$2:$F$1001,H378),INDEX(BANK_CLEAN!$E$2:$E$1001,H378)))</f>
        <v/>
      </c>
      <c r="K378" s="14">
        <f>IF(H378="","",ABS(E378-J378))</f>
        <v/>
      </c>
      <c r="L378" s="11">
        <f>IF(OR(H378="",B378="",I378=""),"",ABS(B378-I378))</f>
        <v/>
      </c>
      <c r="M378" s="15">
        <f>IF(H378="",0,LET(pct,IF(E378&gt;0,K378/E378,1),days,IFERROR(L378,999),100-pct*200-days*3))</f>
        <v/>
      </c>
      <c r="N378" s="11">
        <f>IF(A378="","",IF(H378="","Unmatched GL",IF(AND(K378&lt;=Tol_Amount,L378&lt;=Tol_Days),"Matched",IF(M378&gt;Tol_NearPct,"Near Match","Unmatched GL"))))</f>
        <v/>
      </c>
    </row>
    <row r="379">
      <c r="A379" s="13">
        <f>IF(GL_CLEAN!A379="","",GL_CLEAN!A379)</f>
        <v/>
      </c>
      <c r="B379" s="10">
        <f>IF(A379="","",GL_CLEAN!B379)</f>
        <v/>
      </c>
      <c r="C379" s="11">
        <f>IF(A379="","",GL_CLEAN!C379)</f>
        <v/>
      </c>
      <c r="D379" s="14">
        <f>IF(A379="","",GL_CLEAN!H379)</f>
        <v/>
      </c>
      <c r="E379" s="14">
        <f>IF(A379="","",GL_CLEAN!I379)</f>
        <v/>
      </c>
      <c r="F379" s="11">
        <f>IF(A379="","",GL_CLEAN!J379)</f>
        <v/>
      </c>
      <c r="G379" s="11">
        <f>IF(A379="","",IF(F379="OUT","DR","CR"))</f>
        <v/>
      </c>
      <c r="H379" s="11">
        <f>IF(A379="","",IFERROR(INDEX(BANK_CLEAN!$A$2:$A$1001,MATCH(MINIFS(BANK_CLEAN!$J$2:$J$1001,BANK_CLEAN!$H$2:$H$1001,G379,BANK_CLEAN!$L$2:$L$1001,""),BANK_CLEAN!$J$2:$J$1001,0)),""))</f>
        <v/>
      </c>
      <c r="I379" s="10">
        <f>IF(H379="","",INDEX(BANK_CLEAN!$B$2:$B$1001,H379))</f>
        <v/>
      </c>
      <c r="J379" s="14">
        <f>IF(H379="","",IF(F379="OUT",INDEX(BANK_CLEAN!$F$2:$F$1001,H379),INDEX(BANK_CLEAN!$E$2:$E$1001,H379)))</f>
        <v/>
      </c>
      <c r="K379" s="14">
        <f>IF(H379="","",ABS(E379-J379))</f>
        <v/>
      </c>
      <c r="L379" s="11">
        <f>IF(OR(H379="",B379="",I379=""),"",ABS(B379-I379))</f>
        <v/>
      </c>
      <c r="M379" s="15">
        <f>IF(H379="",0,LET(pct,IF(E379&gt;0,K379/E379,1),days,IFERROR(L379,999),100-pct*200-days*3))</f>
        <v/>
      </c>
      <c r="N379" s="11">
        <f>IF(A379="","",IF(H379="","Unmatched GL",IF(AND(K379&lt;=Tol_Amount,L379&lt;=Tol_Days),"Matched",IF(M379&gt;Tol_NearPct,"Near Match","Unmatched GL"))))</f>
        <v/>
      </c>
    </row>
    <row r="380">
      <c r="A380" s="13">
        <f>IF(GL_CLEAN!A380="","",GL_CLEAN!A380)</f>
        <v/>
      </c>
      <c r="B380" s="10">
        <f>IF(A380="","",GL_CLEAN!B380)</f>
        <v/>
      </c>
      <c r="C380" s="11">
        <f>IF(A380="","",GL_CLEAN!C380)</f>
        <v/>
      </c>
      <c r="D380" s="14">
        <f>IF(A380="","",GL_CLEAN!H380)</f>
        <v/>
      </c>
      <c r="E380" s="14">
        <f>IF(A380="","",GL_CLEAN!I380)</f>
        <v/>
      </c>
      <c r="F380" s="11">
        <f>IF(A380="","",GL_CLEAN!J380)</f>
        <v/>
      </c>
      <c r="G380" s="11">
        <f>IF(A380="","",IF(F380="OUT","DR","CR"))</f>
        <v/>
      </c>
      <c r="H380" s="11">
        <f>IF(A380="","",IFERROR(INDEX(BANK_CLEAN!$A$2:$A$1001,MATCH(MINIFS(BANK_CLEAN!$J$2:$J$1001,BANK_CLEAN!$H$2:$H$1001,G380,BANK_CLEAN!$L$2:$L$1001,""),BANK_CLEAN!$J$2:$J$1001,0)),""))</f>
        <v/>
      </c>
      <c r="I380" s="10">
        <f>IF(H380="","",INDEX(BANK_CLEAN!$B$2:$B$1001,H380))</f>
        <v/>
      </c>
      <c r="J380" s="14">
        <f>IF(H380="","",IF(F380="OUT",INDEX(BANK_CLEAN!$F$2:$F$1001,H380),INDEX(BANK_CLEAN!$E$2:$E$1001,H380)))</f>
        <v/>
      </c>
      <c r="K380" s="14">
        <f>IF(H380="","",ABS(E380-J380))</f>
        <v/>
      </c>
      <c r="L380" s="11">
        <f>IF(OR(H380="",B380="",I380=""),"",ABS(B380-I380))</f>
        <v/>
      </c>
      <c r="M380" s="15">
        <f>IF(H380="",0,LET(pct,IF(E380&gt;0,K380/E380,1),days,IFERROR(L380,999),100-pct*200-days*3))</f>
        <v/>
      </c>
      <c r="N380" s="11">
        <f>IF(A380="","",IF(H380="","Unmatched GL",IF(AND(K380&lt;=Tol_Amount,L380&lt;=Tol_Days),"Matched",IF(M380&gt;Tol_NearPct,"Near Match","Unmatched GL"))))</f>
        <v/>
      </c>
    </row>
    <row r="381">
      <c r="A381" s="13">
        <f>IF(GL_CLEAN!A381="","",GL_CLEAN!A381)</f>
        <v/>
      </c>
      <c r="B381" s="10">
        <f>IF(A381="","",GL_CLEAN!B381)</f>
        <v/>
      </c>
      <c r="C381" s="11">
        <f>IF(A381="","",GL_CLEAN!C381)</f>
        <v/>
      </c>
      <c r="D381" s="14">
        <f>IF(A381="","",GL_CLEAN!H381)</f>
        <v/>
      </c>
      <c r="E381" s="14">
        <f>IF(A381="","",GL_CLEAN!I381)</f>
        <v/>
      </c>
      <c r="F381" s="11">
        <f>IF(A381="","",GL_CLEAN!J381)</f>
        <v/>
      </c>
      <c r="G381" s="11">
        <f>IF(A381="","",IF(F381="OUT","DR","CR"))</f>
        <v/>
      </c>
      <c r="H381" s="11">
        <f>IF(A381="","",IFERROR(INDEX(BANK_CLEAN!$A$2:$A$1001,MATCH(MINIFS(BANK_CLEAN!$J$2:$J$1001,BANK_CLEAN!$H$2:$H$1001,G381,BANK_CLEAN!$L$2:$L$1001,""),BANK_CLEAN!$J$2:$J$1001,0)),""))</f>
        <v/>
      </c>
      <c r="I381" s="10">
        <f>IF(H381="","",INDEX(BANK_CLEAN!$B$2:$B$1001,H381))</f>
        <v/>
      </c>
      <c r="J381" s="14">
        <f>IF(H381="","",IF(F381="OUT",INDEX(BANK_CLEAN!$F$2:$F$1001,H381),INDEX(BANK_CLEAN!$E$2:$E$1001,H381)))</f>
        <v/>
      </c>
      <c r="K381" s="14">
        <f>IF(H381="","",ABS(E381-J381))</f>
        <v/>
      </c>
      <c r="L381" s="11">
        <f>IF(OR(H381="",B381="",I381=""),"",ABS(B381-I381))</f>
        <v/>
      </c>
      <c r="M381" s="15">
        <f>IF(H381="",0,LET(pct,IF(E381&gt;0,K381/E381,1),days,IFERROR(L381,999),100-pct*200-days*3))</f>
        <v/>
      </c>
      <c r="N381" s="11">
        <f>IF(A381="","",IF(H381="","Unmatched GL",IF(AND(K381&lt;=Tol_Amount,L381&lt;=Tol_Days),"Matched",IF(M381&gt;Tol_NearPct,"Near Match","Unmatched GL"))))</f>
        <v/>
      </c>
    </row>
    <row r="382">
      <c r="A382" s="13">
        <f>IF(GL_CLEAN!A382="","",GL_CLEAN!A382)</f>
        <v/>
      </c>
      <c r="B382" s="10">
        <f>IF(A382="","",GL_CLEAN!B382)</f>
        <v/>
      </c>
      <c r="C382" s="11">
        <f>IF(A382="","",GL_CLEAN!C382)</f>
        <v/>
      </c>
      <c r="D382" s="14">
        <f>IF(A382="","",GL_CLEAN!H382)</f>
        <v/>
      </c>
      <c r="E382" s="14">
        <f>IF(A382="","",GL_CLEAN!I382)</f>
        <v/>
      </c>
      <c r="F382" s="11">
        <f>IF(A382="","",GL_CLEAN!J382)</f>
        <v/>
      </c>
      <c r="G382" s="11">
        <f>IF(A382="","",IF(F382="OUT","DR","CR"))</f>
        <v/>
      </c>
      <c r="H382" s="11">
        <f>IF(A382="","",IFERROR(INDEX(BANK_CLEAN!$A$2:$A$1001,MATCH(MINIFS(BANK_CLEAN!$J$2:$J$1001,BANK_CLEAN!$H$2:$H$1001,G382,BANK_CLEAN!$L$2:$L$1001,""),BANK_CLEAN!$J$2:$J$1001,0)),""))</f>
        <v/>
      </c>
      <c r="I382" s="10">
        <f>IF(H382="","",INDEX(BANK_CLEAN!$B$2:$B$1001,H382))</f>
        <v/>
      </c>
      <c r="J382" s="14">
        <f>IF(H382="","",IF(F382="OUT",INDEX(BANK_CLEAN!$F$2:$F$1001,H382),INDEX(BANK_CLEAN!$E$2:$E$1001,H382)))</f>
        <v/>
      </c>
      <c r="K382" s="14">
        <f>IF(H382="","",ABS(E382-J382))</f>
        <v/>
      </c>
      <c r="L382" s="11">
        <f>IF(OR(H382="",B382="",I382=""),"",ABS(B382-I382))</f>
        <v/>
      </c>
      <c r="M382" s="15">
        <f>IF(H382="",0,LET(pct,IF(E382&gt;0,K382/E382,1),days,IFERROR(L382,999),100-pct*200-days*3))</f>
        <v/>
      </c>
      <c r="N382" s="11">
        <f>IF(A382="","",IF(H382="","Unmatched GL",IF(AND(K382&lt;=Tol_Amount,L382&lt;=Tol_Days),"Matched",IF(M382&gt;Tol_NearPct,"Near Match","Unmatched GL"))))</f>
        <v/>
      </c>
    </row>
    <row r="383">
      <c r="A383" s="13">
        <f>IF(GL_CLEAN!A383="","",GL_CLEAN!A383)</f>
        <v/>
      </c>
      <c r="B383" s="10">
        <f>IF(A383="","",GL_CLEAN!B383)</f>
        <v/>
      </c>
      <c r="C383" s="11">
        <f>IF(A383="","",GL_CLEAN!C383)</f>
        <v/>
      </c>
      <c r="D383" s="14">
        <f>IF(A383="","",GL_CLEAN!H383)</f>
        <v/>
      </c>
      <c r="E383" s="14">
        <f>IF(A383="","",GL_CLEAN!I383)</f>
        <v/>
      </c>
      <c r="F383" s="11">
        <f>IF(A383="","",GL_CLEAN!J383)</f>
        <v/>
      </c>
      <c r="G383" s="11">
        <f>IF(A383="","",IF(F383="OUT","DR","CR"))</f>
        <v/>
      </c>
      <c r="H383" s="11">
        <f>IF(A383="","",IFERROR(INDEX(BANK_CLEAN!$A$2:$A$1001,MATCH(MINIFS(BANK_CLEAN!$J$2:$J$1001,BANK_CLEAN!$H$2:$H$1001,G383,BANK_CLEAN!$L$2:$L$1001,""),BANK_CLEAN!$J$2:$J$1001,0)),""))</f>
        <v/>
      </c>
      <c r="I383" s="10">
        <f>IF(H383="","",INDEX(BANK_CLEAN!$B$2:$B$1001,H383))</f>
        <v/>
      </c>
      <c r="J383" s="14">
        <f>IF(H383="","",IF(F383="OUT",INDEX(BANK_CLEAN!$F$2:$F$1001,H383),INDEX(BANK_CLEAN!$E$2:$E$1001,H383)))</f>
        <v/>
      </c>
      <c r="K383" s="14">
        <f>IF(H383="","",ABS(E383-J383))</f>
        <v/>
      </c>
      <c r="L383" s="11">
        <f>IF(OR(H383="",B383="",I383=""),"",ABS(B383-I383))</f>
        <v/>
      </c>
      <c r="M383" s="15">
        <f>IF(H383="",0,LET(pct,IF(E383&gt;0,K383/E383,1),days,IFERROR(L383,999),100-pct*200-days*3))</f>
        <v/>
      </c>
      <c r="N383" s="11">
        <f>IF(A383="","",IF(H383="","Unmatched GL",IF(AND(K383&lt;=Tol_Amount,L383&lt;=Tol_Days),"Matched",IF(M383&gt;Tol_NearPct,"Near Match","Unmatched GL"))))</f>
        <v/>
      </c>
    </row>
    <row r="384">
      <c r="A384" s="13">
        <f>IF(GL_CLEAN!A384="","",GL_CLEAN!A384)</f>
        <v/>
      </c>
      <c r="B384" s="10">
        <f>IF(A384="","",GL_CLEAN!B384)</f>
        <v/>
      </c>
      <c r="C384" s="11">
        <f>IF(A384="","",GL_CLEAN!C384)</f>
        <v/>
      </c>
      <c r="D384" s="14">
        <f>IF(A384="","",GL_CLEAN!H384)</f>
        <v/>
      </c>
      <c r="E384" s="14">
        <f>IF(A384="","",GL_CLEAN!I384)</f>
        <v/>
      </c>
      <c r="F384" s="11">
        <f>IF(A384="","",GL_CLEAN!J384)</f>
        <v/>
      </c>
      <c r="G384" s="11">
        <f>IF(A384="","",IF(F384="OUT","DR","CR"))</f>
        <v/>
      </c>
      <c r="H384" s="11">
        <f>IF(A384="","",IFERROR(INDEX(BANK_CLEAN!$A$2:$A$1001,MATCH(MINIFS(BANK_CLEAN!$J$2:$J$1001,BANK_CLEAN!$H$2:$H$1001,G384,BANK_CLEAN!$L$2:$L$1001,""),BANK_CLEAN!$J$2:$J$1001,0)),""))</f>
        <v/>
      </c>
      <c r="I384" s="10">
        <f>IF(H384="","",INDEX(BANK_CLEAN!$B$2:$B$1001,H384))</f>
        <v/>
      </c>
      <c r="J384" s="14">
        <f>IF(H384="","",IF(F384="OUT",INDEX(BANK_CLEAN!$F$2:$F$1001,H384),INDEX(BANK_CLEAN!$E$2:$E$1001,H384)))</f>
        <v/>
      </c>
      <c r="K384" s="14">
        <f>IF(H384="","",ABS(E384-J384))</f>
        <v/>
      </c>
      <c r="L384" s="11">
        <f>IF(OR(H384="",B384="",I384=""),"",ABS(B384-I384))</f>
        <v/>
      </c>
      <c r="M384" s="15">
        <f>IF(H384="",0,LET(pct,IF(E384&gt;0,K384/E384,1),days,IFERROR(L384,999),100-pct*200-days*3))</f>
        <v/>
      </c>
      <c r="N384" s="11">
        <f>IF(A384="","",IF(H384="","Unmatched GL",IF(AND(K384&lt;=Tol_Amount,L384&lt;=Tol_Days),"Matched",IF(M384&gt;Tol_NearPct,"Near Match","Unmatched GL"))))</f>
        <v/>
      </c>
    </row>
    <row r="385">
      <c r="A385" s="13">
        <f>IF(GL_CLEAN!A385="","",GL_CLEAN!A385)</f>
        <v/>
      </c>
      <c r="B385" s="10">
        <f>IF(A385="","",GL_CLEAN!B385)</f>
        <v/>
      </c>
      <c r="C385" s="11">
        <f>IF(A385="","",GL_CLEAN!C385)</f>
        <v/>
      </c>
      <c r="D385" s="14">
        <f>IF(A385="","",GL_CLEAN!H385)</f>
        <v/>
      </c>
      <c r="E385" s="14">
        <f>IF(A385="","",GL_CLEAN!I385)</f>
        <v/>
      </c>
      <c r="F385" s="11">
        <f>IF(A385="","",GL_CLEAN!J385)</f>
        <v/>
      </c>
      <c r="G385" s="11">
        <f>IF(A385="","",IF(F385="OUT","DR","CR"))</f>
        <v/>
      </c>
      <c r="H385" s="11">
        <f>IF(A385="","",IFERROR(INDEX(BANK_CLEAN!$A$2:$A$1001,MATCH(MINIFS(BANK_CLEAN!$J$2:$J$1001,BANK_CLEAN!$H$2:$H$1001,G385,BANK_CLEAN!$L$2:$L$1001,""),BANK_CLEAN!$J$2:$J$1001,0)),""))</f>
        <v/>
      </c>
      <c r="I385" s="10">
        <f>IF(H385="","",INDEX(BANK_CLEAN!$B$2:$B$1001,H385))</f>
        <v/>
      </c>
      <c r="J385" s="14">
        <f>IF(H385="","",IF(F385="OUT",INDEX(BANK_CLEAN!$F$2:$F$1001,H385),INDEX(BANK_CLEAN!$E$2:$E$1001,H385)))</f>
        <v/>
      </c>
      <c r="K385" s="14">
        <f>IF(H385="","",ABS(E385-J385))</f>
        <v/>
      </c>
      <c r="L385" s="11">
        <f>IF(OR(H385="",B385="",I385=""),"",ABS(B385-I385))</f>
        <v/>
      </c>
      <c r="M385" s="15">
        <f>IF(H385="",0,LET(pct,IF(E385&gt;0,K385/E385,1),days,IFERROR(L385,999),100-pct*200-days*3))</f>
        <v/>
      </c>
      <c r="N385" s="11">
        <f>IF(A385="","",IF(H385="","Unmatched GL",IF(AND(K385&lt;=Tol_Amount,L385&lt;=Tol_Days),"Matched",IF(M385&gt;Tol_NearPct,"Near Match","Unmatched GL"))))</f>
        <v/>
      </c>
    </row>
    <row r="386">
      <c r="A386" s="13">
        <f>IF(GL_CLEAN!A386="","",GL_CLEAN!A386)</f>
        <v/>
      </c>
      <c r="B386" s="10">
        <f>IF(A386="","",GL_CLEAN!B386)</f>
        <v/>
      </c>
      <c r="C386" s="11">
        <f>IF(A386="","",GL_CLEAN!C386)</f>
        <v/>
      </c>
      <c r="D386" s="14">
        <f>IF(A386="","",GL_CLEAN!H386)</f>
        <v/>
      </c>
      <c r="E386" s="14">
        <f>IF(A386="","",GL_CLEAN!I386)</f>
        <v/>
      </c>
      <c r="F386" s="11">
        <f>IF(A386="","",GL_CLEAN!J386)</f>
        <v/>
      </c>
      <c r="G386" s="11">
        <f>IF(A386="","",IF(F386="OUT","DR","CR"))</f>
        <v/>
      </c>
      <c r="H386" s="11">
        <f>IF(A386="","",IFERROR(INDEX(BANK_CLEAN!$A$2:$A$1001,MATCH(MINIFS(BANK_CLEAN!$J$2:$J$1001,BANK_CLEAN!$H$2:$H$1001,G386,BANK_CLEAN!$L$2:$L$1001,""),BANK_CLEAN!$J$2:$J$1001,0)),""))</f>
        <v/>
      </c>
      <c r="I386" s="10">
        <f>IF(H386="","",INDEX(BANK_CLEAN!$B$2:$B$1001,H386))</f>
        <v/>
      </c>
      <c r="J386" s="14">
        <f>IF(H386="","",IF(F386="OUT",INDEX(BANK_CLEAN!$F$2:$F$1001,H386),INDEX(BANK_CLEAN!$E$2:$E$1001,H386)))</f>
        <v/>
      </c>
      <c r="K386" s="14">
        <f>IF(H386="","",ABS(E386-J386))</f>
        <v/>
      </c>
      <c r="L386" s="11">
        <f>IF(OR(H386="",B386="",I386=""),"",ABS(B386-I386))</f>
        <v/>
      </c>
      <c r="M386" s="15">
        <f>IF(H386="",0,LET(pct,IF(E386&gt;0,K386/E386,1),days,IFERROR(L386,999),100-pct*200-days*3))</f>
        <v/>
      </c>
      <c r="N386" s="11">
        <f>IF(A386="","",IF(H386="","Unmatched GL",IF(AND(K386&lt;=Tol_Amount,L386&lt;=Tol_Days),"Matched",IF(M386&gt;Tol_NearPct,"Near Match","Unmatched GL"))))</f>
        <v/>
      </c>
    </row>
    <row r="387">
      <c r="A387" s="13">
        <f>IF(GL_CLEAN!A387="","",GL_CLEAN!A387)</f>
        <v/>
      </c>
      <c r="B387" s="10">
        <f>IF(A387="","",GL_CLEAN!B387)</f>
        <v/>
      </c>
      <c r="C387" s="11">
        <f>IF(A387="","",GL_CLEAN!C387)</f>
        <v/>
      </c>
      <c r="D387" s="14">
        <f>IF(A387="","",GL_CLEAN!H387)</f>
        <v/>
      </c>
      <c r="E387" s="14">
        <f>IF(A387="","",GL_CLEAN!I387)</f>
        <v/>
      </c>
      <c r="F387" s="11">
        <f>IF(A387="","",GL_CLEAN!J387)</f>
        <v/>
      </c>
      <c r="G387" s="11">
        <f>IF(A387="","",IF(F387="OUT","DR","CR"))</f>
        <v/>
      </c>
      <c r="H387" s="11">
        <f>IF(A387="","",IFERROR(INDEX(BANK_CLEAN!$A$2:$A$1001,MATCH(MINIFS(BANK_CLEAN!$J$2:$J$1001,BANK_CLEAN!$H$2:$H$1001,G387,BANK_CLEAN!$L$2:$L$1001,""),BANK_CLEAN!$J$2:$J$1001,0)),""))</f>
        <v/>
      </c>
      <c r="I387" s="10">
        <f>IF(H387="","",INDEX(BANK_CLEAN!$B$2:$B$1001,H387))</f>
        <v/>
      </c>
      <c r="J387" s="14">
        <f>IF(H387="","",IF(F387="OUT",INDEX(BANK_CLEAN!$F$2:$F$1001,H387),INDEX(BANK_CLEAN!$E$2:$E$1001,H387)))</f>
        <v/>
      </c>
      <c r="K387" s="14">
        <f>IF(H387="","",ABS(E387-J387))</f>
        <v/>
      </c>
      <c r="L387" s="11">
        <f>IF(OR(H387="",B387="",I387=""),"",ABS(B387-I387))</f>
        <v/>
      </c>
      <c r="M387" s="15">
        <f>IF(H387="",0,LET(pct,IF(E387&gt;0,K387/E387,1),days,IFERROR(L387,999),100-pct*200-days*3))</f>
        <v/>
      </c>
      <c r="N387" s="11">
        <f>IF(A387="","",IF(H387="","Unmatched GL",IF(AND(K387&lt;=Tol_Amount,L387&lt;=Tol_Days),"Matched",IF(M387&gt;Tol_NearPct,"Near Match","Unmatched GL"))))</f>
        <v/>
      </c>
    </row>
    <row r="388">
      <c r="A388" s="13">
        <f>IF(GL_CLEAN!A388="","",GL_CLEAN!A388)</f>
        <v/>
      </c>
      <c r="B388" s="10">
        <f>IF(A388="","",GL_CLEAN!B388)</f>
        <v/>
      </c>
      <c r="C388" s="11">
        <f>IF(A388="","",GL_CLEAN!C388)</f>
        <v/>
      </c>
      <c r="D388" s="14">
        <f>IF(A388="","",GL_CLEAN!H388)</f>
        <v/>
      </c>
      <c r="E388" s="14">
        <f>IF(A388="","",GL_CLEAN!I388)</f>
        <v/>
      </c>
      <c r="F388" s="11">
        <f>IF(A388="","",GL_CLEAN!J388)</f>
        <v/>
      </c>
      <c r="G388" s="11">
        <f>IF(A388="","",IF(F388="OUT","DR","CR"))</f>
        <v/>
      </c>
      <c r="H388" s="11">
        <f>IF(A388="","",IFERROR(INDEX(BANK_CLEAN!$A$2:$A$1001,MATCH(MINIFS(BANK_CLEAN!$J$2:$J$1001,BANK_CLEAN!$H$2:$H$1001,G388,BANK_CLEAN!$L$2:$L$1001,""),BANK_CLEAN!$J$2:$J$1001,0)),""))</f>
        <v/>
      </c>
      <c r="I388" s="10">
        <f>IF(H388="","",INDEX(BANK_CLEAN!$B$2:$B$1001,H388))</f>
        <v/>
      </c>
      <c r="J388" s="14">
        <f>IF(H388="","",IF(F388="OUT",INDEX(BANK_CLEAN!$F$2:$F$1001,H388),INDEX(BANK_CLEAN!$E$2:$E$1001,H388)))</f>
        <v/>
      </c>
      <c r="K388" s="14">
        <f>IF(H388="","",ABS(E388-J388))</f>
        <v/>
      </c>
      <c r="L388" s="11">
        <f>IF(OR(H388="",B388="",I388=""),"",ABS(B388-I388))</f>
        <v/>
      </c>
      <c r="M388" s="15">
        <f>IF(H388="",0,LET(pct,IF(E388&gt;0,K388/E388,1),days,IFERROR(L388,999),100-pct*200-days*3))</f>
        <v/>
      </c>
      <c r="N388" s="11">
        <f>IF(A388="","",IF(H388="","Unmatched GL",IF(AND(K388&lt;=Tol_Amount,L388&lt;=Tol_Days),"Matched",IF(M388&gt;Tol_NearPct,"Near Match","Unmatched GL"))))</f>
        <v/>
      </c>
    </row>
    <row r="389">
      <c r="A389" s="13">
        <f>IF(GL_CLEAN!A389="","",GL_CLEAN!A389)</f>
        <v/>
      </c>
      <c r="B389" s="10">
        <f>IF(A389="","",GL_CLEAN!B389)</f>
        <v/>
      </c>
      <c r="C389" s="11">
        <f>IF(A389="","",GL_CLEAN!C389)</f>
        <v/>
      </c>
      <c r="D389" s="14">
        <f>IF(A389="","",GL_CLEAN!H389)</f>
        <v/>
      </c>
      <c r="E389" s="14">
        <f>IF(A389="","",GL_CLEAN!I389)</f>
        <v/>
      </c>
      <c r="F389" s="11">
        <f>IF(A389="","",GL_CLEAN!J389)</f>
        <v/>
      </c>
      <c r="G389" s="11">
        <f>IF(A389="","",IF(F389="OUT","DR","CR"))</f>
        <v/>
      </c>
      <c r="H389" s="11">
        <f>IF(A389="","",IFERROR(INDEX(BANK_CLEAN!$A$2:$A$1001,MATCH(MINIFS(BANK_CLEAN!$J$2:$J$1001,BANK_CLEAN!$H$2:$H$1001,G389,BANK_CLEAN!$L$2:$L$1001,""),BANK_CLEAN!$J$2:$J$1001,0)),""))</f>
        <v/>
      </c>
      <c r="I389" s="10">
        <f>IF(H389="","",INDEX(BANK_CLEAN!$B$2:$B$1001,H389))</f>
        <v/>
      </c>
      <c r="J389" s="14">
        <f>IF(H389="","",IF(F389="OUT",INDEX(BANK_CLEAN!$F$2:$F$1001,H389),INDEX(BANK_CLEAN!$E$2:$E$1001,H389)))</f>
        <v/>
      </c>
      <c r="K389" s="14">
        <f>IF(H389="","",ABS(E389-J389))</f>
        <v/>
      </c>
      <c r="L389" s="11">
        <f>IF(OR(H389="",B389="",I389=""),"",ABS(B389-I389))</f>
        <v/>
      </c>
      <c r="M389" s="15">
        <f>IF(H389="",0,LET(pct,IF(E389&gt;0,K389/E389,1),days,IFERROR(L389,999),100-pct*200-days*3))</f>
        <v/>
      </c>
      <c r="N389" s="11">
        <f>IF(A389="","",IF(H389="","Unmatched GL",IF(AND(K389&lt;=Tol_Amount,L389&lt;=Tol_Days),"Matched",IF(M389&gt;Tol_NearPct,"Near Match","Unmatched GL"))))</f>
        <v/>
      </c>
    </row>
    <row r="390">
      <c r="A390" s="13">
        <f>IF(GL_CLEAN!A390="","",GL_CLEAN!A390)</f>
        <v/>
      </c>
      <c r="B390" s="10">
        <f>IF(A390="","",GL_CLEAN!B390)</f>
        <v/>
      </c>
      <c r="C390" s="11">
        <f>IF(A390="","",GL_CLEAN!C390)</f>
        <v/>
      </c>
      <c r="D390" s="14">
        <f>IF(A390="","",GL_CLEAN!H390)</f>
        <v/>
      </c>
      <c r="E390" s="14">
        <f>IF(A390="","",GL_CLEAN!I390)</f>
        <v/>
      </c>
      <c r="F390" s="11">
        <f>IF(A390="","",GL_CLEAN!J390)</f>
        <v/>
      </c>
      <c r="G390" s="11">
        <f>IF(A390="","",IF(F390="OUT","DR","CR"))</f>
        <v/>
      </c>
      <c r="H390" s="11">
        <f>IF(A390="","",IFERROR(INDEX(BANK_CLEAN!$A$2:$A$1001,MATCH(MINIFS(BANK_CLEAN!$J$2:$J$1001,BANK_CLEAN!$H$2:$H$1001,G390,BANK_CLEAN!$L$2:$L$1001,""),BANK_CLEAN!$J$2:$J$1001,0)),""))</f>
        <v/>
      </c>
      <c r="I390" s="10">
        <f>IF(H390="","",INDEX(BANK_CLEAN!$B$2:$B$1001,H390))</f>
        <v/>
      </c>
      <c r="J390" s="14">
        <f>IF(H390="","",IF(F390="OUT",INDEX(BANK_CLEAN!$F$2:$F$1001,H390),INDEX(BANK_CLEAN!$E$2:$E$1001,H390)))</f>
        <v/>
      </c>
      <c r="K390" s="14">
        <f>IF(H390="","",ABS(E390-J390))</f>
        <v/>
      </c>
      <c r="L390" s="11">
        <f>IF(OR(H390="",B390="",I390=""),"",ABS(B390-I390))</f>
        <v/>
      </c>
      <c r="M390" s="15">
        <f>IF(H390="",0,LET(pct,IF(E390&gt;0,K390/E390,1),days,IFERROR(L390,999),100-pct*200-days*3))</f>
        <v/>
      </c>
      <c r="N390" s="11">
        <f>IF(A390="","",IF(H390="","Unmatched GL",IF(AND(K390&lt;=Tol_Amount,L390&lt;=Tol_Days),"Matched",IF(M390&gt;Tol_NearPct,"Near Match","Unmatched GL"))))</f>
        <v/>
      </c>
    </row>
    <row r="391">
      <c r="A391" s="13">
        <f>IF(GL_CLEAN!A391="","",GL_CLEAN!A391)</f>
        <v/>
      </c>
      <c r="B391" s="10">
        <f>IF(A391="","",GL_CLEAN!B391)</f>
        <v/>
      </c>
      <c r="C391" s="11">
        <f>IF(A391="","",GL_CLEAN!C391)</f>
        <v/>
      </c>
      <c r="D391" s="14">
        <f>IF(A391="","",GL_CLEAN!H391)</f>
        <v/>
      </c>
      <c r="E391" s="14">
        <f>IF(A391="","",GL_CLEAN!I391)</f>
        <v/>
      </c>
      <c r="F391" s="11">
        <f>IF(A391="","",GL_CLEAN!J391)</f>
        <v/>
      </c>
      <c r="G391" s="11">
        <f>IF(A391="","",IF(F391="OUT","DR","CR"))</f>
        <v/>
      </c>
      <c r="H391" s="11">
        <f>IF(A391="","",IFERROR(INDEX(BANK_CLEAN!$A$2:$A$1001,MATCH(MINIFS(BANK_CLEAN!$J$2:$J$1001,BANK_CLEAN!$H$2:$H$1001,G391,BANK_CLEAN!$L$2:$L$1001,""),BANK_CLEAN!$J$2:$J$1001,0)),""))</f>
        <v/>
      </c>
      <c r="I391" s="10">
        <f>IF(H391="","",INDEX(BANK_CLEAN!$B$2:$B$1001,H391))</f>
        <v/>
      </c>
      <c r="J391" s="14">
        <f>IF(H391="","",IF(F391="OUT",INDEX(BANK_CLEAN!$F$2:$F$1001,H391),INDEX(BANK_CLEAN!$E$2:$E$1001,H391)))</f>
        <v/>
      </c>
      <c r="K391" s="14">
        <f>IF(H391="","",ABS(E391-J391))</f>
        <v/>
      </c>
      <c r="L391" s="11">
        <f>IF(OR(H391="",B391="",I391=""),"",ABS(B391-I391))</f>
        <v/>
      </c>
      <c r="M391" s="15">
        <f>IF(H391="",0,LET(pct,IF(E391&gt;0,K391/E391,1),days,IFERROR(L391,999),100-pct*200-days*3))</f>
        <v/>
      </c>
      <c r="N391" s="11">
        <f>IF(A391="","",IF(H391="","Unmatched GL",IF(AND(K391&lt;=Tol_Amount,L391&lt;=Tol_Days),"Matched",IF(M391&gt;Tol_NearPct,"Near Match","Unmatched GL"))))</f>
        <v/>
      </c>
    </row>
    <row r="392">
      <c r="A392" s="13">
        <f>IF(GL_CLEAN!A392="","",GL_CLEAN!A392)</f>
        <v/>
      </c>
      <c r="B392" s="10">
        <f>IF(A392="","",GL_CLEAN!B392)</f>
        <v/>
      </c>
      <c r="C392" s="11">
        <f>IF(A392="","",GL_CLEAN!C392)</f>
        <v/>
      </c>
      <c r="D392" s="14">
        <f>IF(A392="","",GL_CLEAN!H392)</f>
        <v/>
      </c>
      <c r="E392" s="14">
        <f>IF(A392="","",GL_CLEAN!I392)</f>
        <v/>
      </c>
      <c r="F392" s="11">
        <f>IF(A392="","",GL_CLEAN!J392)</f>
        <v/>
      </c>
      <c r="G392" s="11">
        <f>IF(A392="","",IF(F392="OUT","DR","CR"))</f>
        <v/>
      </c>
      <c r="H392" s="11">
        <f>IF(A392="","",IFERROR(INDEX(BANK_CLEAN!$A$2:$A$1001,MATCH(MINIFS(BANK_CLEAN!$J$2:$J$1001,BANK_CLEAN!$H$2:$H$1001,G392,BANK_CLEAN!$L$2:$L$1001,""),BANK_CLEAN!$J$2:$J$1001,0)),""))</f>
        <v/>
      </c>
      <c r="I392" s="10">
        <f>IF(H392="","",INDEX(BANK_CLEAN!$B$2:$B$1001,H392))</f>
        <v/>
      </c>
      <c r="J392" s="14">
        <f>IF(H392="","",IF(F392="OUT",INDEX(BANK_CLEAN!$F$2:$F$1001,H392),INDEX(BANK_CLEAN!$E$2:$E$1001,H392)))</f>
        <v/>
      </c>
      <c r="K392" s="14">
        <f>IF(H392="","",ABS(E392-J392))</f>
        <v/>
      </c>
      <c r="L392" s="11">
        <f>IF(OR(H392="",B392="",I392=""),"",ABS(B392-I392))</f>
        <v/>
      </c>
      <c r="M392" s="15">
        <f>IF(H392="",0,LET(pct,IF(E392&gt;0,K392/E392,1),days,IFERROR(L392,999),100-pct*200-days*3))</f>
        <v/>
      </c>
      <c r="N392" s="11">
        <f>IF(A392="","",IF(H392="","Unmatched GL",IF(AND(K392&lt;=Tol_Amount,L392&lt;=Tol_Days),"Matched",IF(M392&gt;Tol_NearPct,"Near Match","Unmatched GL"))))</f>
        <v/>
      </c>
    </row>
    <row r="393">
      <c r="A393" s="13">
        <f>IF(GL_CLEAN!A393="","",GL_CLEAN!A393)</f>
        <v/>
      </c>
      <c r="B393" s="10">
        <f>IF(A393="","",GL_CLEAN!B393)</f>
        <v/>
      </c>
      <c r="C393" s="11">
        <f>IF(A393="","",GL_CLEAN!C393)</f>
        <v/>
      </c>
      <c r="D393" s="14">
        <f>IF(A393="","",GL_CLEAN!H393)</f>
        <v/>
      </c>
      <c r="E393" s="14">
        <f>IF(A393="","",GL_CLEAN!I393)</f>
        <v/>
      </c>
      <c r="F393" s="11">
        <f>IF(A393="","",GL_CLEAN!J393)</f>
        <v/>
      </c>
      <c r="G393" s="11">
        <f>IF(A393="","",IF(F393="OUT","DR","CR"))</f>
        <v/>
      </c>
      <c r="H393" s="11">
        <f>IF(A393="","",IFERROR(INDEX(BANK_CLEAN!$A$2:$A$1001,MATCH(MINIFS(BANK_CLEAN!$J$2:$J$1001,BANK_CLEAN!$H$2:$H$1001,G393,BANK_CLEAN!$L$2:$L$1001,""),BANK_CLEAN!$J$2:$J$1001,0)),""))</f>
        <v/>
      </c>
      <c r="I393" s="10">
        <f>IF(H393="","",INDEX(BANK_CLEAN!$B$2:$B$1001,H393))</f>
        <v/>
      </c>
      <c r="J393" s="14">
        <f>IF(H393="","",IF(F393="OUT",INDEX(BANK_CLEAN!$F$2:$F$1001,H393),INDEX(BANK_CLEAN!$E$2:$E$1001,H393)))</f>
        <v/>
      </c>
      <c r="K393" s="14">
        <f>IF(H393="","",ABS(E393-J393))</f>
        <v/>
      </c>
      <c r="L393" s="11">
        <f>IF(OR(H393="",B393="",I393=""),"",ABS(B393-I393))</f>
        <v/>
      </c>
      <c r="M393" s="15">
        <f>IF(H393="",0,LET(pct,IF(E393&gt;0,K393/E393,1),days,IFERROR(L393,999),100-pct*200-days*3))</f>
        <v/>
      </c>
      <c r="N393" s="11">
        <f>IF(A393="","",IF(H393="","Unmatched GL",IF(AND(K393&lt;=Tol_Amount,L393&lt;=Tol_Days),"Matched",IF(M393&gt;Tol_NearPct,"Near Match","Unmatched GL"))))</f>
        <v/>
      </c>
    </row>
    <row r="394">
      <c r="A394" s="13">
        <f>IF(GL_CLEAN!A394="","",GL_CLEAN!A394)</f>
        <v/>
      </c>
      <c r="B394" s="10">
        <f>IF(A394="","",GL_CLEAN!B394)</f>
        <v/>
      </c>
      <c r="C394" s="11">
        <f>IF(A394="","",GL_CLEAN!C394)</f>
        <v/>
      </c>
      <c r="D394" s="14">
        <f>IF(A394="","",GL_CLEAN!H394)</f>
        <v/>
      </c>
      <c r="E394" s="14">
        <f>IF(A394="","",GL_CLEAN!I394)</f>
        <v/>
      </c>
      <c r="F394" s="11">
        <f>IF(A394="","",GL_CLEAN!J394)</f>
        <v/>
      </c>
      <c r="G394" s="11">
        <f>IF(A394="","",IF(F394="OUT","DR","CR"))</f>
        <v/>
      </c>
      <c r="H394" s="11">
        <f>IF(A394="","",IFERROR(INDEX(BANK_CLEAN!$A$2:$A$1001,MATCH(MINIFS(BANK_CLEAN!$J$2:$J$1001,BANK_CLEAN!$H$2:$H$1001,G394,BANK_CLEAN!$L$2:$L$1001,""),BANK_CLEAN!$J$2:$J$1001,0)),""))</f>
        <v/>
      </c>
      <c r="I394" s="10">
        <f>IF(H394="","",INDEX(BANK_CLEAN!$B$2:$B$1001,H394))</f>
        <v/>
      </c>
      <c r="J394" s="14">
        <f>IF(H394="","",IF(F394="OUT",INDEX(BANK_CLEAN!$F$2:$F$1001,H394),INDEX(BANK_CLEAN!$E$2:$E$1001,H394)))</f>
        <v/>
      </c>
      <c r="K394" s="14">
        <f>IF(H394="","",ABS(E394-J394))</f>
        <v/>
      </c>
      <c r="L394" s="11">
        <f>IF(OR(H394="",B394="",I394=""),"",ABS(B394-I394))</f>
        <v/>
      </c>
      <c r="M394" s="15">
        <f>IF(H394="",0,LET(pct,IF(E394&gt;0,K394/E394,1),days,IFERROR(L394,999),100-pct*200-days*3))</f>
        <v/>
      </c>
      <c r="N394" s="11">
        <f>IF(A394="","",IF(H394="","Unmatched GL",IF(AND(K394&lt;=Tol_Amount,L394&lt;=Tol_Days),"Matched",IF(M394&gt;Tol_NearPct,"Near Match","Unmatched GL"))))</f>
        <v/>
      </c>
    </row>
    <row r="395">
      <c r="A395" s="13">
        <f>IF(GL_CLEAN!A395="","",GL_CLEAN!A395)</f>
        <v/>
      </c>
      <c r="B395" s="10">
        <f>IF(A395="","",GL_CLEAN!B395)</f>
        <v/>
      </c>
      <c r="C395" s="11">
        <f>IF(A395="","",GL_CLEAN!C395)</f>
        <v/>
      </c>
      <c r="D395" s="14">
        <f>IF(A395="","",GL_CLEAN!H395)</f>
        <v/>
      </c>
      <c r="E395" s="14">
        <f>IF(A395="","",GL_CLEAN!I395)</f>
        <v/>
      </c>
      <c r="F395" s="11">
        <f>IF(A395="","",GL_CLEAN!J395)</f>
        <v/>
      </c>
      <c r="G395" s="11">
        <f>IF(A395="","",IF(F395="OUT","DR","CR"))</f>
        <v/>
      </c>
      <c r="H395" s="11">
        <f>IF(A395="","",IFERROR(INDEX(BANK_CLEAN!$A$2:$A$1001,MATCH(MINIFS(BANK_CLEAN!$J$2:$J$1001,BANK_CLEAN!$H$2:$H$1001,G395,BANK_CLEAN!$L$2:$L$1001,""),BANK_CLEAN!$J$2:$J$1001,0)),""))</f>
        <v/>
      </c>
      <c r="I395" s="10">
        <f>IF(H395="","",INDEX(BANK_CLEAN!$B$2:$B$1001,H395))</f>
        <v/>
      </c>
      <c r="J395" s="14">
        <f>IF(H395="","",IF(F395="OUT",INDEX(BANK_CLEAN!$F$2:$F$1001,H395),INDEX(BANK_CLEAN!$E$2:$E$1001,H395)))</f>
        <v/>
      </c>
      <c r="K395" s="14">
        <f>IF(H395="","",ABS(E395-J395))</f>
        <v/>
      </c>
      <c r="L395" s="11">
        <f>IF(OR(H395="",B395="",I395=""),"",ABS(B395-I395))</f>
        <v/>
      </c>
      <c r="M395" s="15">
        <f>IF(H395="",0,LET(pct,IF(E395&gt;0,K395/E395,1),days,IFERROR(L395,999),100-pct*200-days*3))</f>
        <v/>
      </c>
      <c r="N395" s="11">
        <f>IF(A395="","",IF(H395="","Unmatched GL",IF(AND(K395&lt;=Tol_Amount,L395&lt;=Tol_Days),"Matched",IF(M395&gt;Tol_NearPct,"Near Match","Unmatched GL"))))</f>
        <v/>
      </c>
    </row>
    <row r="396">
      <c r="A396" s="13">
        <f>IF(GL_CLEAN!A396="","",GL_CLEAN!A396)</f>
        <v/>
      </c>
      <c r="B396" s="10">
        <f>IF(A396="","",GL_CLEAN!B396)</f>
        <v/>
      </c>
      <c r="C396" s="11">
        <f>IF(A396="","",GL_CLEAN!C396)</f>
        <v/>
      </c>
      <c r="D396" s="14">
        <f>IF(A396="","",GL_CLEAN!H396)</f>
        <v/>
      </c>
      <c r="E396" s="14">
        <f>IF(A396="","",GL_CLEAN!I396)</f>
        <v/>
      </c>
      <c r="F396" s="11">
        <f>IF(A396="","",GL_CLEAN!J396)</f>
        <v/>
      </c>
      <c r="G396" s="11">
        <f>IF(A396="","",IF(F396="OUT","DR","CR"))</f>
        <v/>
      </c>
      <c r="H396" s="11">
        <f>IF(A396="","",IFERROR(INDEX(BANK_CLEAN!$A$2:$A$1001,MATCH(MINIFS(BANK_CLEAN!$J$2:$J$1001,BANK_CLEAN!$H$2:$H$1001,G396,BANK_CLEAN!$L$2:$L$1001,""),BANK_CLEAN!$J$2:$J$1001,0)),""))</f>
        <v/>
      </c>
      <c r="I396" s="10">
        <f>IF(H396="","",INDEX(BANK_CLEAN!$B$2:$B$1001,H396))</f>
        <v/>
      </c>
      <c r="J396" s="14">
        <f>IF(H396="","",IF(F396="OUT",INDEX(BANK_CLEAN!$F$2:$F$1001,H396),INDEX(BANK_CLEAN!$E$2:$E$1001,H396)))</f>
        <v/>
      </c>
      <c r="K396" s="14">
        <f>IF(H396="","",ABS(E396-J396))</f>
        <v/>
      </c>
      <c r="L396" s="11">
        <f>IF(OR(H396="",B396="",I396=""),"",ABS(B396-I396))</f>
        <v/>
      </c>
      <c r="M396" s="15">
        <f>IF(H396="",0,LET(pct,IF(E396&gt;0,K396/E396,1),days,IFERROR(L396,999),100-pct*200-days*3))</f>
        <v/>
      </c>
      <c r="N396" s="11">
        <f>IF(A396="","",IF(H396="","Unmatched GL",IF(AND(K396&lt;=Tol_Amount,L396&lt;=Tol_Days),"Matched",IF(M396&gt;Tol_NearPct,"Near Match","Unmatched GL"))))</f>
        <v/>
      </c>
    </row>
    <row r="397">
      <c r="A397" s="13">
        <f>IF(GL_CLEAN!A397="","",GL_CLEAN!A397)</f>
        <v/>
      </c>
      <c r="B397" s="10">
        <f>IF(A397="","",GL_CLEAN!B397)</f>
        <v/>
      </c>
      <c r="C397" s="11">
        <f>IF(A397="","",GL_CLEAN!C397)</f>
        <v/>
      </c>
      <c r="D397" s="14">
        <f>IF(A397="","",GL_CLEAN!H397)</f>
        <v/>
      </c>
      <c r="E397" s="14">
        <f>IF(A397="","",GL_CLEAN!I397)</f>
        <v/>
      </c>
      <c r="F397" s="11">
        <f>IF(A397="","",GL_CLEAN!J397)</f>
        <v/>
      </c>
      <c r="G397" s="11">
        <f>IF(A397="","",IF(F397="OUT","DR","CR"))</f>
        <v/>
      </c>
      <c r="H397" s="11">
        <f>IF(A397="","",IFERROR(INDEX(BANK_CLEAN!$A$2:$A$1001,MATCH(MINIFS(BANK_CLEAN!$J$2:$J$1001,BANK_CLEAN!$H$2:$H$1001,G397,BANK_CLEAN!$L$2:$L$1001,""),BANK_CLEAN!$J$2:$J$1001,0)),""))</f>
        <v/>
      </c>
      <c r="I397" s="10">
        <f>IF(H397="","",INDEX(BANK_CLEAN!$B$2:$B$1001,H397))</f>
        <v/>
      </c>
      <c r="J397" s="14">
        <f>IF(H397="","",IF(F397="OUT",INDEX(BANK_CLEAN!$F$2:$F$1001,H397),INDEX(BANK_CLEAN!$E$2:$E$1001,H397)))</f>
        <v/>
      </c>
      <c r="K397" s="14">
        <f>IF(H397="","",ABS(E397-J397))</f>
        <v/>
      </c>
      <c r="L397" s="11">
        <f>IF(OR(H397="",B397="",I397=""),"",ABS(B397-I397))</f>
        <v/>
      </c>
      <c r="M397" s="15">
        <f>IF(H397="",0,LET(pct,IF(E397&gt;0,K397/E397,1),days,IFERROR(L397,999),100-pct*200-days*3))</f>
        <v/>
      </c>
      <c r="N397" s="11">
        <f>IF(A397="","",IF(H397="","Unmatched GL",IF(AND(K397&lt;=Tol_Amount,L397&lt;=Tol_Days),"Matched",IF(M397&gt;Tol_NearPct,"Near Match","Unmatched GL"))))</f>
        <v/>
      </c>
    </row>
    <row r="398">
      <c r="A398" s="13">
        <f>IF(GL_CLEAN!A398="","",GL_CLEAN!A398)</f>
        <v/>
      </c>
      <c r="B398" s="10">
        <f>IF(A398="","",GL_CLEAN!B398)</f>
        <v/>
      </c>
      <c r="C398" s="11">
        <f>IF(A398="","",GL_CLEAN!C398)</f>
        <v/>
      </c>
      <c r="D398" s="14">
        <f>IF(A398="","",GL_CLEAN!H398)</f>
        <v/>
      </c>
      <c r="E398" s="14">
        <f>IF(A398="","",GL_CLEAN!I398)</f>
        <v/>
      </c>
      <c r="F398" s="11">
        <f>IF(A398="","",GL_CLEAN!J398)</f>
        <v/>
      </c>
      <c r="G398" s="11">
        <f>IF(A398="","",IF(F398="OUT","DR","CR"))</f>
        <v/>
      </c>
      <c r="H398" s="11">
        <f>IF(A398="","",IFERROR(INDEX(BANK_CLEAN!$A$2:$A$1001,MATCH(MINIFS(BANK_CLEAN!$J$2:$J$1001,BANK_CLEAN!$H$2:$H$1001,G398,BANK_CLEAN!$L$2:$L$1001,""),BANK_CLEAN!$J$2:$J$1001,0)),""))</f>
        <v/>
      </c>
      <c r="I398" s="10">
        <f>IF(H398="","",INDEX(BANK_CLEAN!$B$2:$B$1001,H398))</f>
        <v/>
      </c>
      <c r="J398" s="14">
        <f>IF(H398="","",IF(F398="OUT",INDEX(BANK_CLEAN!$F$2:$F$1001,H398),INDEX(BANK_CLEAN!$E$2:$E$1001,H398)))</f>
        <v/>
      </c>
      <c r="K398" s="14">
        <f>IF(H398="","",ABS(E398-J398))</f>
        <v/>
      </c>
      <c r="L398" s="11">
        <f>IF(OR(H398="",B398="",I398=""),"",ABS(B398-I398))</f>
        <v/>
      </c>
      <c r="M398" s="15">
        <f>IF(H398="",0,LET(pct,IF(E398&gt;0,K398/E398,1),days,IFERROR(L398,999),100-pct*200-days*3))</f>
        <v/>
      </c>
      <c r="N398" s="11">
        <f>IF(A398="","",IF(H398="","Unmatched GL",IF(AND(K398&lt;=Tol_Amount,L398&lt;=Tol_Days),"Matched",IF(M398&gt;Tol_NearPct,"Near Match","Unmatched GL"))))</f>
        <v/>
      </c>
    </row>
    <row r="399">
      <c r="A399" s="13">
        <f>IF(GL_CLEAN!A399="","",GL_CLEAN!A399)</f>
        <v/>
      </c>
      <c r="B399" s="10">
        <f>IF(A399="","",GL_CLEAN!B399)</f>
        <v/>
      </c>
      <c r="C399" s="11">
        <f>IF(A399="","",GL_CLEAN!C399)</f>
        <v/>
      </c>
      <c r="D399" s="14">
        <f>IF(A399="","",GL_CLEAN!H399)</f>
        <v/>
      </c>
      <c r="E399" s="14">
        <f>IF(A399="","",GL_CLEAN!I399)</f>
        <v/>
      </c>
      <c r="F399" s="11">
        <f>IF(A399="","",GL_CLEAN!J399)</f>
        <v/>
      </c>
      <c r="G399" s="11">
        <f>IF(A399="","",IF(F399="OUT","DR","CR"))</f>
        <v/>
      </c>
      <c r="H399" s="11">
        <f>IF(A399="","",IFERROR(INDEX(BANK_CLEAN!$A$2:$A$1001,MATCH(MINIFS(BANK_CLEAN!$J$2:$J$1001,BANK_CLEAN!$H$2:$H$1001,G399,BANK_CLEAN!$L$2:$L$1001,""),BANK_CLEAN!$J$2:$J$1001,0)),""))</f>
        <v/>
      </c>
      <c r="I399" s="10">
        <f>IF(H399="","",INDEX(BANK_CLEAN!$B$2:$B$1001,H399))</f>
        <v/>
      </c>
      <c r="J399" s="14">
        <f>IF(H399="","",IF(F399="OUT",INDEX(BANK_CLEAN!$F$2:$F$1001,H399),INDEX(BANK_CLEAN!$E$2:$E$1001,H399)))</f>
        <v/>
      </c>
      <c r="K399" s="14">
        <f>IF(H399="","",ABS(E399-J399))</f>
        <v/>
      </c>
      <c r="L399" s="11">
        <f>IF(OR(H399="",B399="",I399=""),"",ABS(B399-I399))</f>
        <v/>
      </c>
      <c r="M399" s="15">
        <f>IF(H399="",0,LET(pct,IF(E399&gt;0,K399/E399,1),days,IFERROR(L399,999),100-pct*200-days*3))</f>
        <v/>
      </c>
      <c r="N399" s="11">
        <f>IF(A399="","",IF(H399="","Unmatched GL",IF(AND(K399&lt;=Tol_Amount,L399&lt;=Tol_Days),"Matched",IF(M399&gt;Tol_NearPct,"Near Match","Unmatched GL"))))</f>
        <v/>
      </c>
    </row>
    <row r="400">
      <c r="A400" s="13">
        <f>IF(GL_CLEAN!A400="","",GL_CLEAN!A400)</f>
        <v/>
      </c>
      <c r="B400" s="10">
        <f>IF(A400="","",GL_CLEAN!B400)</f>
        <v/>
      </c>
      <c r="C400" s="11">
        <f>IF(A400="","",GL_CLEAN!C400)</f>
        <v/>
      </c>
      <c r="D400" s="14">
        <f>IF(A400="","",GL_CLEAN!H400)</f>
        <v/>
      </c>
      <c r="E400" s="14">
        <f>IF(A400="","",GL_CLEAN!I400)</f>
        <v/>
      </c>
      <c r="F400" s="11">
        <f>IF(A400="","",GL_CLEAN!J400)</f>
        <v/>
      </c>
      <c r="G400" s="11">
        <f>IF(A400="","",IF(F400="OUT","DR","CR"))</f>
        <v/>
      </c>
      <c r="H400" s="11">
        <f>IF(A400="","",IFERROR(INDEX(BANK_CLEAN!$A$2:$A$1001,MATCH(MINIFS(BANK_CLEAN!$J$2:$J$1001,BANK_CLEAN!$H$2:$H$1001,G400,BANK_CLEAN!$L$2:$L$1001,""),BANK_CLEAN!$J$2:$J$1001,0)),""))</f>
        <v/>
      </c>
      <c r="I400" s="10">
        <f>IF(H400="","",INDEX(BANK_CLEAN!$B$2:$B$1001,H400))</f>
        <v/>
      </c>
      <c r="J400" s="14">
        <f>IF(H400="","",IF(F400="OUT",INDEX(BANK_CLEAN!$F$2:$F$1001,H400),INDEX(BANK_CLEAN!$E$2:$E$1001,H400)))</f>
        <v/>
      </c>
      <c r="K400" s="14">
        <f>IF(H400="","",ABS(E400-J400))</f>
        <v/>
      </c>
      <c r="L400" s="11">
        <f>IF(OR(H400="",B400="",I400=""),"",ABS(B400-I400))</f>
        <v/>
      </c>
      <c r="M400" s="15">
        <f>IF(H400="",0,LET(pct,IF(E400&gt;0,K400/E400,1),days,IFERROR(L400,999),100-pct*200-days*3))</f>
        <v/>
      </c>
      <c r="N400" s="11">
        <f>IF(A400="","",IF(H400="","Unmatched GL",IF(AND(K400&lt;=Tol_Amount,L400&lt;=Tol_Days),"Matched",IF(M400&gt;Tol_NearPct,"Near Match","Unmatched GL"))))</f>
        <v/>
      </c>
    </row>
    <row r="401">
      <c r="A401" s="13">
        <f>IF(GL_CLEAN!A401="","",GL_CLEAN!A401)</f>
        <v/>
      </c>
      <c r="B401" s="10">
        <f>IF(A401="","",GL_CLEAN!B401)</f>
        <v/>
      </c>
      <c r="C401" s="11">
        <f>IF(A401="","",GL_CLEAN!C401)</f>
        <v/>
      </c>
      <c r="D401" s="14">
        <f>IF(A401="","",GL_CLEAN!H401)</f>
        <v/>
      </c>
      <c r="E401" s="14">
        <f>IF(A401="","",GL_CLEAN!I401)</f>
        <v/>
      </c>
      <c r="F401" s="11">
        <f>IF(A401="","",GL_CLEAN!J401)</f>
        <v/>
      </c>
      <c r="G401" s="11">
        <f>IF(A401="","",IF(F401="OUT","DR","CR"))</f>
        <v/>
      </c>
      <c r="H401" s="11">
        <f>IF(A401="","",IFERROR(INDEX(BANK_CLEAN!$A$2:$A$1001,MATCH(MINIFS(BANK_CLEAN!$J$2:$J$1001,BANK_CLEAN!$H$2:$H$1001,G401,BANK_CLEAN!$L$2:$L$1001,""),BANK_CLEAN!$J$2:$J$1001,0)),""))</f>
        <v/>
      </c>
      <c r="I401" s="10">
        <f>IF(H401="","",INDEX(BANK_CLEAN!$B$2:$B$1001,H401))</f>
        <v/>
      </c>
      <c r="J401" s="14">
        <f>IF(H401="","",IF(F401="OUT",INDEX(BANK_CLEAN!$F$2:$F$1001,H401),INDEX(BANK_CLEAN!$E$2:$E$1001,H401)))</f>
        <v/>
      </c>
      <c r="K401" s="14">
        <f>IF(H401="","",ABS(E401-J401))</f>
        <v/>
      </c>
      <c r="L401" s="11">
        <f>IF(OR(H401="",B401="",I401=""),"",ABS(B401-I401))</f>
        <v/>
      </c>
      <c r="M401" s="15">
        <f>IF(H401="",0,LET(pct,IF(E401&gt;0,K401/E401,1),days,IFERROR(L401,999),100-pct*200-days*3))</f>
        <v/>
      </c>
      <c r="N401" s="11">
        <f>IF(A401="","",IF(H401="","Unmatched GL",IF(AND(K401&lt;=Tol_Amount,L401&lt;=Tol_Days),"Matched",IF(M401&gt;Tol_NearPct,"Near Match","Unmatched GL"))))</f>
        <v/>
      </c>
    </row>
    <row r="402">
      <c r="A402" s="13">
        <f>IF(GL_CLEAN!A402="","",GL_CLEAN!A402)</f>
        <v/>
      </c>
      <c r="B402" s="10">
        <f>IF(A402="","",GL_CLEAN!B402)</f>
        <v/>
      </c>
      <c r="C402" s="11">
        <f>IF(A402="","",GL_CLEAN!C402)</f>
        <v/>
      </c>
      <c r="D402" s="14">
        <f>IF(A402="","",GL_CLEAN!H402)</f>
        <v/>
      </c>
      <c r="E402" s="14">
        <f>IF(A402="","",GL_CLEAN!I402)</f>
        <v/>
      </c>
      <c r="F402" s="11">
        <f>IF(A402="","",GL_CLEAN!J402)</f>
        <v/>
      </c>
      <c r="G402" s="11">
        <f>IF(A402="","",IF(F402="OUT","DR","CR"))</f>
        <v/>
      </c>
      <c r="H402" s="11">
        <f>IF(A402="","",IFERROR(INDEX(BANK_CLEAN!$A$2:$A$1001,MATCH(MINIFS(BANK_CLEAN!$J$2:$J$1001,BANK_CLEAN!$H$2:$H$1001,G402,BANK_CLEAN!$L$2:$L$1001,""),BANK_CLEAN!$J$2:$J$1001,0)),""))</f>
        <v/>
      </c>
      <c r="I402" s="10">
        <f>IF(H402="","",INDEX(BANK_CLEAN!$B$2:$B$1001,H402))</f>
        <v/>
      </c>
      <c r="J402" s="14">
        <f>IF(H402="","",IF(F402="OUT",INDEX(BANK_CLEAN!$F$2:$F$1001,H402),INDEX(BANK_CLEAN!$E$2:$E$1001,H402)))</f>
        <v/>
      </c>
      <c r="K402" s="14">
        <f>IF(H402="","",ABS(E402-J402))</f>
        <v/>
      </c>
      <c r="L402" s="11">
        <f>IF(OR(H402="",B402="",I402=""),"",ABS(B402-I402))</f>
        <v/>
      </c>
      <c r="M402" s="15">
        <f>IF(H402="",0,LET(pct,IF(E402&gt;0,K402/E402,1),days,IFERROR(L402,999),100-pct*200-days*3))</f>
        <v/>
      </c>
      <c r="N402" s="11">
        <f>IF(A402="","",IF(H402="","Unmatched GL",IF(AND(K402&lt;=Tol_Amount,L402&lt;=Tol_Days),"Matched",IF(M402&gt;Tol_NearPct,"Near Match","Unmatched GL"))))</f>
        <v/>
      </c>
    </row>
    <row r="403">
      <c r="A403" s="13">
        <f>IF(GL_CLEAN!A403="","",GL_CLEAN!A403)</f>
        <v/>
      </c>
      <c r="B403" s="10">
        <f>IF(A403="","",GL_CLEAN!B403)</f>
        <v/>
      </c>
      <c r="C403" s="11">
        <f>IF(A403="","",GL_CLEAN!C403)</f>
        <v/>
      </c>
      <c r="D403" s="14">
        <f>IF(A403="","",GL_CLEAN!H403)</f>
        <v/>
      </c>
      <c r="E403" s="14">
        <f>IF(A403="","",GL_CLEAN!I403)</f>
        <v/>
      </c>
      <c r="F403" s="11">
        <f>IF(A403="","",GL_CLEAN!J403)</f>
        <v/>
      </c>
      <c r="G403" s="11">
        <f>IF(A403="","",IF(F403="OUT","DR","CR"))</f>
        <v/>
      </c>
      <c r="H403" s="11">
        <f>IF(A403="","",IFERROR(INDEX(BANK_CLEAN!$A$2:$A$1001,MATCH(MINIFS(BANK_CLEAN!$J$2:$J$1001,BANK_CLEAN!$H$2:$H$1001,G403,BANK_CLEAN!$L$2:$L$1001,""),BANK_CLEAN!$J$2:$J$1001,0)),""))</f>
        <v/>
      </c>
      <c r="I403" s="10">
        <f>IF(H403="","",INDEX(BANK_CLEAN!$B$2:$B$1001,H403))</f>
        <v/>
      </c>
      <c r="J403" s="14">
        <f>IF(H403="","",IF(F403="OUT",INDEX(BANK_CLEAN!$F$2:$F$1001,H403),INDEX(BANK_CLEAN!$E$2:$E$1001,H403)))</f>
        <v/>
      </c>
      <c r="K403" s="14">
        <f>IF(H403="","",ABS(E403-J403))</f>
        <v/>
      </c>
      <c r="L403" s="11">
        <f>IF(OR(H403="",B403="",I403=""),"",ABS(B403-I403))</f>
        <v/>
      </c>
      <c r="M403" s="15">
        <f>IF(H403="",0,LET(pct,IF(E403&gt;0,K403/E403,1),days,IFERROR(L403,999),100-pct*200-days*3))</f>
        <v/>
      </c>
      <c r="N403" s="11">
        <f>IF(A403="","",IF(H403="","Unmatched GL",IF(AND(K403&lt;=Tol_Amount,L403&lt;=Tol_Days),"Matched",IF(M403&gt;Tol_NearPct,"Near Match","Unmatched GL"))))</f>
        <v/>
      </c>
    </row>
    <row r="404">
      <c r="A404" s="13">
        <f>IF(GL_CLEAN!A404="","",GL_CLEAN!A404)</f>
        <v/>
      </c>
      <c r="B404" s="10">
        <f>IF(A404="","",GL_CLEAN!B404)</f>
        <v/>
      </c>
      <c r="C404" s="11">
        <f>IF(A404="","",GL_CLEAN!C404)</f>
        <v/>
      </c>
      <c r="D404" s="14">
        <f>IF(A404="","",GL_CLEAN!H404)</f>
        <v/>
      </c>
      <c r="E404" s="14">
        <f>IF(A404="","",GL_CLEAN!I404)</f>
        <v/>
      </c>
      <c r="F404" s="11">
        <f>IF(A404="","",GL_CLEAN!J404)</f>
        <v/>
      </c>
      <c r="G404" s="11">
        <f>IF(A404="","",IF(F404="OUT","DR","CR"))</f>
        <v/>
      </c>
      <c r="H404" s="11">
        <f>IF(A404="","",IFERROR(INDEX(BANK_CLEAN!$A$2:$A$1001,MATCH(MINIFS(BANK_CLEAN!$J$2:$J$1001,BANK_CLEAN!$H$2:$H$1001,G404,BANK_CLEAN!$L$2:$L$1001,""),BANK_CLEAN!$J$2:$J$1001,0)),""))</f>
        <v/>
      </c>
      <c r="I404" s="10">
        <f>IF(H404="","",INDEX(BANK_CLEAN!$B$2:$B$1001,H404))</f>
        <v/>
      </c>
      <c r="J404" s="14">
        <f>IF(H404="","",IF(F404="OUT",INDEX(BANK_CLEAN!$F$2:$F$1001,H404),INDEX(BANK_CLEAN!$E$2:$E$1001,H404)))</f>
        <v/>
      </c>
      <c r="K404" s="14">
        <f>IF(H404="","",ABS(E404-J404))</f>
        <v/>
      </c>
      <c r="L404" s="11">
        <f>IF(OR(H404="",B404="",I404=""),"",ABS(B404-I404))</f>
        <v/>
      </c>
      <c r="M404" s="15">
        <f>IF(H404="",0,LET(pct,IF(E404&gt;0,K404/E404,1),days,IFERROR(L404,999),100-pct*200-days*3))</f>
        <v/>
      </c>
      <c r="N404" s="11">
        <f>IF(A404="","",IF(H404="","Unmatched GL",IF(AND(K404&lt;=Tol_Amount,L404&lt;=Tol_Days),"Matched",IF(M404&gt;Tol_NearPct,"Near Match","Unmatched GL"))))</f>
        <v/>
      </c>
    </row>
    <row r="405">
      <c r="A405" s="13">
        <f>IF(GL_CLEAN!A405="","",GL_CLEAN!A405)</f>
        <v/>
      </c>
      <c r="B405" s="10">
        <f>IF(A405="","",GL_CLEAN!B405)</f>
        <v/>
      </c>
      <c r="C405" s="11">
        <f>IF(A405="","",GL_CLEAN!C405)</f>
        <v/>
      </c>
      <c r="D405" s="14">
        <f>IF(A405="","",GL_CLEAN!H405)</f>
        <v/>
      </c>
      <c r="E405" s="14">
        <f>IF(A405="","",GL_CLEAN!I405)</f>
        <v/>
      </c>
      <c r="F405" s="11">
        <f>IF(A405="","",GL_CLEAN!J405)</f>
        <v/>
      </c>
      <c r="G405" s="11">
        <f>IF(A405="","",IF(F405="OUT","DR","CR"))</f>
        <v/>
      </c>
      <c r="H405" s="11">
        <f>IF(A405="","",IFERROR(INDEX(BANK_CLEAN!$A$2:$A$1001,MATCH(MINIFS(BANK_CLEAN!$J$2:$J$1001,BANK_CLEAN!$H$2:$H$1001,G405,BANK_CLEAN!$L$2:$L$1001,""),BANK_CLEAN!$J$2:$J$1001,0)),""))</f>
        <v/>
      </c>
      <c r="I405" s="10">
        <f>IF(H405="","",INDEX(BANK_CLEAN!$B$2:$B$1001,H405))</f>
        <v/>
      </c>
      <c r="J405" s="14">
        <f>IF(H405="","",IF(F405="OUT",INDEX(BANK_CLEAN!$F$2:$F$1001,H405),INDEX(BANK_CLEAN!$E$2:$E$1001,H405)))</f>
        <v/>
      </c>
      <c r="K405" s="14">
        <f>IF(H405="","",ABS(E405-J405))</f>
        <v/>
      </c>
      <c r="L405" s="11">
        <f>IF(OR(H405="",B405="",I405=""),"",ABS(B405-I405))</f>
        <v/>
      </c>
      <c r="M405" s="15">
        <f>IF(H405="",0,LET(pct,IF(E405&gt;0,K405/E405,1),days,IFERROR(L405,999),100-pct*200-days*3))</f>
        <v/>
      </c>
      <c r="N405" s="11">
        <f>IF(A405="","",IF(H405="","Unmatched GL",IF(AND(K405&lt;=Tol_Amount,L405&lt;=Tol_Days),"Matched",IF(M405&gt;Tol_NearPct,"Near Match","Unmatched GL"))))</f>
        <v/>
      </c>
    </row>
    <row r="406">
      <c r="A406" s="13">
        <f>IF(GL_CLEAN!A406="","",GL_CLEAN!A406)</f>
        <v/>
      </c>
      <c r="B406" s="10">
        <f>IF(A406="","",GL_CLEAN!B406)</f>
        <v/>
      </c>
      <c r="C406" s="11">
        <f>IF(A406="","",GL_CLEAN!C406)</f>
        <v/>
      </c>
      <c r="D406" s="14">
        <f>IF(A406="","",GL_CLEAN!H406)</f>
        <v/>
      </c>
      <c r="E406" s="14">
        <f>IF(A406="","",GL_CLEAN!I406)</f>
        <v/>
      </c>
      <c r="F406" s="11">
        <f>IF(A406="","",GL_CLEAN!J406)</f>
        <v/>
      </c>
      <c r="G406" s="11">
        <f>IF(A406="","",IF(F406="OUT","DR","CR"))</f>
        <v/>
      </c>
      <c r="H406" s="11">
        <f>IF(A406="","",IFERROR(INDEX(BANK_CLEAN!$A$2:$A$1001,MATCH(MINIFS(BANK_CLEAN!$J$2:$J$1001,BANK_CLEAN!$H$2:$H$1001,G406,BANK_CLEAN!$L$2:$L$1001,""),BANK_CLEAN!$J$2:$J$1001,0)),""))</f>
        <v/>
      </c>
      <c r="I406" s="10">
        <f>IF(H406="","",INDEX(BANK_CLEAN!$B$2:$B$1001,H406))</f>
        <v/>
      </c>
      <c r="J406" s="14">
        <f>IF(H406="","",IF(F406="OUT",INDEX(BANK_CLEAN!$F$2:$F$1001,H406),INDEX(BANK_CLEAN!$E$2:$E$1001,H406)))</f>
        <v/>
      </c>
      <c r="K406" s="14">
        <f>IF(H406="","",ABS(E406-J406))</f>
        <v/>
      </c>
      <c r="L406" s="11">
        <f>IF(OR(H406="",B406="",I406=""),"",ABS(B406-I406))</f>
        <v/>
      </c>
      <c r="M406" s="15">
        <f>IF(H406="",0,LET(pct,IF(E406&gt;0,K406/E406,1),days,IFERROR(L406,999),100-pct*200-days*3))</f>
        <v/>
      </c>
      <c r="N406" s="11">
        <f>IF(A406="","",IF(H406="","Unmatched GL",IF(AND(K406&lt;=Tol_Amount,L406&lt;=Tol_Days),"Matched",IF(M406&gt;Tol_NearPct,"Near Match","Unmatched GL"))))</f>
        <v/>
      </c>
    </row>
    <row r="407">
      <c r="A407" s="13">
        <f>IF(GL_CLEAN!A407="","",GL_CLEAN!A407)</f>
        <v/>
      </c>
      <c r="B407" s="10">
        <f>IF(A407="","",GL_CLEAN!B407)</f>
        <v/>
      </c>
      <c r="C407" s="11">
        <f>IF(A407="","",GL_CLEAN!C407)</f>
        <v/>
      </c>
      <c r="D407" s="14">
        <f>IF(A407="","",GL_CLEAN!H407)</f>
        <v/>
      </c>
      <c r="E407" s="14">
        <f>IF(A407="","",GL_CLEAN!I407)</f>
        <v/>
      </c>
      <c r="F407" s="11">
        <f>IF(A407="","",GL_CLEAN!J407)</f>
        <v/>
      </c>
      <c r="G407" s="11">
        <f>IF(A407="","",IF(F407="OUT","DR","CR"))</f>
        <v/>
      </c>
      <c r="H407" s="11">
        <f>IF(A407="","",IFERROR(INDEX(BANK_CLEAN!$A$2:$A$1001,MATCH(MINIFS(BANK_CLEAN!$J$2:$J$1001,BANK_CLEAN!$H$2:$H$1001,G407,BANK_CLEAN!$L$2:$L$1001,""),BANK_CLEAN!$J$2:$J$1001,0)),""))</f>
        <v/>
      </c>
      <c r="I407" s="10">
        <f>IF(H407="","",INDEX(BANK_CLEAN!$B$2:$B$1001,H407))</f>
        <v/>
      </c>
      <c r="J407" s="14">
        <f>IF(H407="","",IF(F407="OUT",INDEX(BANK_CLEAN!$F$2:$F$1001,H407),INDEX(BANK_CLEAN!$E$2:$E$1001,H407)))</f>
        <v/>
      </c>
      <c r="K407" s="14">
        <f>IF(H407="","",ABS(E407-J407))</f>
        <v/>
      </c>
      <c r="L407" s="11">
        <f>IF(OR(H407="",B407="",I407=""),"",ABS(B407-I407))</f>
        <v/>
      </c>
      <c r="M407" s="15">
        <f>IF(H407="",0,LET(pct,IF(E407&gt;0,K407/E407,1),days,IFERROR(L407,999),100-pct*200-days*3))</f>
        <v/>
      </c>
      <c r="N407" s="11">
        <f>IF(A407="","",IF(H407="","Unmatched GL",IF(AND(K407&lt;=Tol_Amount,L407&lt;=Tol_Days),"Matched",IF(M407&gt;Tol_NearPct,"Near Match","Unmatched GL"))))</f>
        <v/>
      </c>
    </row>
    <row r="408">
      <c r="A408" s="13">
        <f>IF(GL_CLEAN!A408="","",GL_CLEAN!A408)</f>
        <v/>
      </c>
      <c r="B408" s="10">
        <f>IF(A408="","",GL_CLEAN!B408)</f>
        <v/>
      </c>
      <c r="C408" s="11">
        <f>IF(A408="","",GL_CLEAN!C408)</f>
        <v/>
      </c>
      <c r="D408" s="14">
        <f>IF(A408="","",GL_CLEAN!H408)</f>
        <v/>
      </c>
      <c r="E408" s="14">
        <f>IF(A408="","",GL_CLEAN!I408)</f>
        <v/>
      </c>
      <c r="F408" s="11">
        <f>IF(A408="","",GL_CLEAN!J408)</f>
        <v/>
      </c>
      <c r="G408" s="11">
        <f>IF(A408="","",IF(F408="OUT","DR","CR"))</f>
        <v/>
      </c>
      <c r="H408" s="11">
        <f>IF(A408="","",IFERROR(INDEX(BANK_CLEAN!$A$2:$A$1001,MATCH(MINIFS(BANK_CLEAN!$J$2:$J$1001,BANK_CLEAN!$H$2:$H$1001,G408,BANK_CLEAN!$L$2:$L$1001,""),BANK_CLEAN!$J$2:$J$1001,0)),""))</f>
        <v/>
      </c>
      <c r="I408" s="10">
        <f>IF(H408="","",INDEX(BANK_CLEAN!$B$2:$B$1001,H408))</f>
        <v/>
      </c>
      <c r="J408" s="14">
        <f>IF(H408="","",IF(F408="OUT",INDEX(BANK_CLEAN!$F$2:$F$1001,H408),INDEX(BANK_CLEAN!$E$2:$E$1001,H408)))</f>
        <v/>
      </c>
      <c r="K408" s="14">
        <f>IF(H408="","",ABS(E408-J408))</f>
        <v/>
      </c>
      <c r="L408" s="11">
        <f>IF(OR(H408="",B408="",I408=""),"",ABS(B408-I408))</f>
        <v/>
      </c>
      <c r="M408" s="15">
        <f>IF(H408="",0,LET(pct,IF(E408&gt;0,K408/E408,1),days,IFERROR(L408,999),100-pct*200-days*3))</f>
        <v/>
      </c>
      <c r="N408" s="11">
        <f>IF(A408="","",IF(H408="","Unmatched GL",IF(AND(K408&lt;=Tol_Amount,L408&lt;=Tol_Days),"Matched",IF(M408&gt;Tol_NearPct,"Near Match","Unmatched GL"))))</f>
        <v/>
      </c>
    </row>
    <row r="409">
      <c r="A409" s="13">
        <f>IF(GL_CLEAN!A409="","",GL_CLEAN!A409)</f>
        <v/>
      </c>
      <c r="B409" s="10">
        <f>IF(A409="","",GL_CLEAN!B409)</f>
        <v/>
      </c>
      <c r="C409" s="11">
        <f>IF(A409="","",GL_CLEAN!C409)</f>
        <v/>
      </c>
      <c r="D409" s="14">
        <f>IF(A409="","",GL_CLEAN!H409)</f>
        <v/>
      </c>
      <c r="E409" s="14">
        <f>IF(A409="","",GL_CLEAN!I409)</f>
        <v/>
      </c>
      <c r="F409" s="11">
        <f>IF(A409="","",GL_CLEAN!J409)</f>
        <v/>
      </c>
      <c r="G409" s="11">
        <f>IF(A409="","",IF(F409="OUT","DR","CR"))</f>
        <v/>
      </c>
      <c r="H409" s="11">
        <f>IF(A409="","",IFERROR(INDEX(BANK_CLEAN!$A$2:$A$1001,MATCH(MINIFS(BANK_CLEAN!$J$2:$J$1001,BANK_CLEAN!$H$2:$H$1001,G409,BANK_CLEAN!$L$2:$L$1001,""),BANK_CLEAN!$J$2:$J$1001,0)),""))</f>
        <v/>
      </c>
      <c r="I409" s="10">
        <f>IF(H409="","",INDEX(BANK_CLEAN!$B$2:$B$1001,H409))</f>
        <v/>
      </c>
      <c r="J409" s="14">
        <f>IF(H409="","",IF(F409="OUT",INDEX(BANK_CLEAN!$F$2:$F$1001,H409),INDEX(BANK_CLEAN!$E$2:$E$1001,H409)))</f>
        <v/>
      </c>
      <c r="K409" s="14">
        <f>IF(H409="","",ABS(E409-J409))</f>
        <v/>
      </c>
      <c r="L409" s="11">
        <f>IF(OR(H409="",B409="",I409=""),"",ABS(B409-I409))</f>
        <v/>
      </c>
      <c r="M409" s="15">
        <f>IF(H409="",0,LET(pct,IF(E409&gt;0,K409/E409,1),days,IFERROR(L409,999),100-pct*200-days*3))</f>
        <v/>
      </c>
      <c r="N409" s="11">
        <f>IF(A409="","",IF(H409="","Unmatched GL",IF(AND(K409&lt;=Tol_Amount,L409&lt;=Tol_Days),"Matched",IF(M409&gt;Tol_NearPct,"Near Match","Unmatched GL"))))</f>
        <v/>
      </c>
    </row>
    <row r="410">
      <c r="A410" s="13">
        <f>IF(GL_CLEAN!A410="","",GL_CLEAN!A410)</f>
        <v/>
      </c>
      <c r="B410" s="10">
        <f>IF(A410="","",GL_CLEAN!B410)</f>
        <v/>
      </c>
      <c r="C410" s="11">
        <f>IF(A410="","",GL_CLEAN!C410)</f>
        <v/>
      </c>
      <c r="D410" s="14">
        <f>IF(A410="","",GL_CLEAN!H410)</f>
        <v/>
      </c>
      <c r="E410" s="14">
        <f>IF(A410="","",GL_CLEAN!I410)</f>
        <v/>
      </c>
      <c r="F410" s="11">
        <f>IF(A410="","",GL_CLEAN!J410)</f>
        <v/>
      </c>
      <c r="G410" s="11">
        <f>IF(A410="","",IF(F410="OUT","DR","CR"))</f>
        <v/>
      </c>
      <c r="H410" s="11">
        <f>IF(A410="","",IFERROR(INDEX(BANK_CLEAN!$A$2:$A$1001,MATCH(MINIFS(BANK_CLEAN!$J$2:$J$1001,BANK_CLEAN!$H$2:$H$1001,G410,BANK_CLEAN!$L$2:$L$1001,""),BANK_CLEAN!$J$2:$J$1001,0)),""))</f>
        <v/>
      </c>
      <c r="I410" s="10">
        <f>IF(H410="","",INDEX(BANK_CLEAN!$B$2:$B$1001,H410))</f>
        <v/>
      </c>
      <c r="J410" s="14">
        <f>IF(H410="","",IF(F410="OUT",INDEX(BANK_CLEAN!$F$2:$F$1001,H410),INDEX(BANK_CLEAN!$E$2:$E$1001,H410)))</f>
        <v/>
      </c>
      <c r="K410" s="14">
        <f>IF(H410="","",ABS(E410-J410))</f>
        <v/>
      </c>
      <c r="L410" s="11">
        <f>IF(OR(H410="",B410="",I410=""),"",ABS(B410-I410))</f>
        <v/>
      </c>
      <c r="M410" s="15">
        <f>IF(H410="",0,LET(pct,IF(E410&gt;0,K410/E410,1),days,IFERROR(L410,999),100-pct*200-days*3))</f>
        <v/>
      </c>
      <c r="N410" s="11">
        <f>IF(A410="","",IF(H410="","Unmatched GL",IF(AND(K410&lt;=Tol_Amount,L410&lt;=Tol_Days),"Matched",IF(M410&gt;Tol_NearPct,"Near Match","Unmatched GL"))))</f>
        <v/>
      </c>
    </row>
    <row r="411">
      <c r="A411" s="13">
        <f>IF(GL_CLEAN!A411="","",GL_CLEAN!A411)</f>
        <v/>
      </c>
      <c r="B411" s="10">
        <f>IF(A411="","",GL_CLEAN!B411)</f>
        <v/>
      </c>
      <c r="C411" s="11">
        <f>IF(A411="","",GL_CLEAN!C411)</f>
        <v/>
      </c>
      <c r="D411" s="14">
        <f>IF(A411="","",GL_CLEAN!H411)</f>
        <v/>
      </c>
      <c r="E411" s="14">
        <f>IF(A411="","",GL_CLEAN!I411)</f>
        <v/>
      </c>
      <c r="F411" s="11">
        <f>IF(A411="","",GL_CLEAN!J411)</f>
        <v/>
      </c>
      <c r="G411" s="11">
        <f>IF(A411="","",IF(F411="OUT","DR","CR"))</f>
        <v/>
      </c>
      <c r="H411" s="11">
        <f>IF(A411="","",IFERROR(INDEX(BANK_CLEAN!$A$2:$A$1001,MATCH(MINIFS(BANK_CLEAN!$J$2:$J$1001,BANK_CLEAN!$H$2:$H$1001,G411,BANK_CLEAN!$L$2:$L$1001,""),BANK_CLEAN!$J$2:$J$1001,0)),""))</f>
        <v/>
      </c>
      <c r="I411" s="10">
        <f>IF(H411="","",INDEX(BANK_CLEAN!$B$2:$B$1001,H411))</f>
        <v/>
      </c>
      <c r="J411" s="14">
        <f>IF(H411="","",IF(F411="OUT",INDEX(BANK_CLEAN!$F$2:$F$1001,H411),INDEX(BANK_CLEAN!$E$2:$E$1001,H411)))</f>
        <v/>
      </c>
      <c r="K411" s="14">
        <f>IF(H411="","",ABS(E411-J411))</f>
        <v/>
      </c>
      <c r="L411" s="11">
        <f>IF(OR(H411="",B411="",I411=""),"",ABS(B411-I411))</f>
        <v/>
      </c>
      <c r="M411" s="15">
        <f>IF(H411="",0,LET(pct,IF(E411&gt;0,K411/E411,1),days,IFERROR(L411,999),100-pct*200-days*3))</f>
        <v/>
      </c>
      <c r="N411" s="11">
        <f>IF(A411="","",IF(H411="","Unmatched GL",IF(AND(K411&lt;=Tol_Amount,L411&lt;=Tol_Days),"Matched",IF(M411&gt;Tol_NearPct,"Near Match","Unmatched GL"))))</f>
        <v/>
      </c>
    </row>
    <row r="412">
      <c r="A412" s="13">
        <f>IF(GL_CLEAN!A412="","",GL_CLEAN!A412)</f>
        <v/>
      </c>
      <c r="B412" s="10">
        <f>IF(A412="","",GL_CLEAN!B412)</f>
        <v/>
      </c>
      <c r="C412" s="11">
        <f>IF(A412="","",GL_CLEAN!C412)</f>
        <v/>
      </c>
      <c r="D412" s="14">
        <f>IF(A412="","",GL_CLEAN!H412)</f>
        <v/>
      </c>
      <c r="E412" s="14">
        <f>IF(A412="","",GL_CLEAN!I412)</f>
        <v/>
      </c>
      <c r="F412" s="11">
        <f>IF(A412="","",GL_CLEAN!J412)</f>
        <v/>
      </c>
      <c r="G412" s="11">
        <f>IF(A412="","",IF(F412="OUT","DR","CR"))</f>
        <v/>
      </c>
      <c r="H412" s="11">
        <f>IF(A412="","",IFERROR(INDEX(BANK_CLEAN!$A$2:$A$1001,MATCH(MINIFS(BANK_CLEAN!$J$2:$J$1001,BANK_CLEAN!$H$2:$H$1001,G412,BANK_CLEAN!$L$2:$L$1001,""),BANK_CLEAN!$J$2:$J$1001,0)),""))</f>
        <v/>
      </c>
      <c r="I412" s="10">
        <f>IF(H412="","",INDEX(BANK_CLEAN!$B$2:$B$1001,H412))</f>
        <v/>
      </c>
      <c r="J412" s="14">
        <f>IF(H412="","",IF(F412="OUT",INDEX(BANK_CLEAN!$F$2:$F$1001,H412),INDEX(BANK_CLEAN!$E$2:$E$1001,H412)))</f>
        <v/>
      </c>
      <c r="K412" s="14">
        <f>IF(H412="","",ABS(E412-J412))</f>
        <v/>
      </c>
      <c r="L412" s="11">
        <f>IF(OR(H412="",B412="",I412=""),"",ABS(B412-I412))</f>
        <v/>
      </c>
      <c r="M412" s="15">
        <f>IF(H412="",0,LET(pct,IF(E412&gt;0,K412/E412,1),days,IFERROR(L412,999),100-pct*200-days*3))</f>
        <v/>
      </c>
      <c r="N412" s="11">
        <f>IF(A412="","",IF(H412="","Unmatched GL",IF(AND(K412&lt;=Tol_Amount,L412&lt;=Tol_Days),"Matched",IF(M412&gt;Tol_NearPct,"Near Match","Unmatched GL"))))</f>
        <v/>
      </c>
    </row>
    <row r="413">
      <c r="A413" s="13">
        <f>IF(GL_CLEAN!A413="","",GL_CLEAN!A413)</f>
        <v/>
      </c>
      <c r="B413" s="10">
        <f>IF(A413="","",GL_CLEAN!B413)</f>
        <v/>
      </c>
      <c r="C413" s="11">
        <f>IF(A413="","",GL_CLEAN!C413)</f>
        <v/>
      </c>
      <c r="D413" s="14">
        <f>IF(A413="","",GL_CLEAN!H413)</f>
        <v/>
      </c>
      <c r="E413" s="14">
        <f>IF(A413="","",GL_CLEAN!I413)</f>
        <v/>
      </c>
      <c r="F413" s="11">
        <f>IF(A413="","",GL_CLEAN!J413)</f>
        <v/>
      </c>
      <c r="G413" s="11">
        <f>IF(A413="","",IF(F413="OUT","DR","CR"))</f>
        <v/>
      </c>
      <c r="H413" s="11">
        <f>IF(A413="","",IFERROR(INDEX(BANK_CLEAN!$A$2:$A$1001,MATCH(MINIFS(BANK_CLEAN!$J$2:$J$1001,BANK_CLEAN!$H$2:$H$1001,G413,BANK_CLEAN!$L$2:$L$1001,""),BANK_CLEAN!$J$2:$J$1001,0)),""))</f>
        <v/>
      </c>
      <c r="I413" s="10">
        <f>IF(H413="","",INDEX(BANK_CLEAN!$B$2:$B$1001,H413))</f>
        <v/>
      </c>
      <c r="J413" s="14">
        <f>IF(H413="","",IF(F413="OUT",INDEX(BANK_CLEAN!$F$2:$F$1001,H413),INDEX(BANK_CLEAN!$E$2:$E$1001,H413)))</f>
        <v/>
      </c>
      <c r="K413" s="14">
        <f>IF(H413="","",ABS(E413-J413))</f>
        <v/>
      </c>
      <c r="L413" s="11">
        <f>IF(OR(H413="",B413="",I413=""),"",ABS(B413-I413))</f>
        <v/>
      </c>
      <c r="M413" s="15">
        <f>IF(H413="",0,LET(pct,IF(E413&gt;0,K413/E413,1),days,IFERROR(L413,999),100-pct*200-days*3))</f>
        <v/>
      </c>
      <c r="N413" s="11">
        <f>IF(A413="","",IF(H413="","Unmatched GL",IF(AND(K413&lt;=Tol_Amount,L413&lt;=Tol_Days),"Matched",IF(M413&gt;Tol_NearPct,"Near Match","Unmatched GL"))))</f>
        <v/>
      </c>
    </row>
    <row r="414">
      <c r="A414" s="13">
        <f>IF(GL_CLEAN!A414="","",GL_CLEAN!A414)</f>
        <v/>
      </c>
      <c r="B414" s="10">
        <f>IF(A414="","",GL_CLEAN!B414)</f>
        <v/>
      </c>
      <c r="C414" s="11">
        <f>IF(A414="","",GL_CLEAN!C414)</f>
        <v/>
      </c>
      <c r="D414" s="14">
        <f>IF(A414="","",GL_CLEAN!H414)</f>
        <v/>
      </c>
      <c r="E414" s="14">
        <f>IF(A414="","",GL_CLEAN!I414)</f>
        <v/>
      </c>
      <c r="F414" s="11">
        <f>IF(A414="","",GL_CLEAN!J414)</f>
        <v/>
      </c>
      <c r="G414" s="11">
        <f>IF(A414="","",IF(F414="OUT","DR","CR"))</f>
        <v/>
      </c>
      <c r="H414" s="11">
        <f>IF(A414="","",IFERROR(INDEX(BANK_CLEAN!$A$2:$A$1001,MATCH(MINIFS(BANK_CLEAN!$J$2:$J$1001,BANK_CLEAN!$H$2:$H$1001,G414,BANK_CLEAN!$L$2:$L$1001,""),BANK_CLEAN!$J$2:$J$1001,0)),""))</f>
        <v/>
      </c>
      <c r="I414" s="10">
        <f>IF(H414="","",INDEX(BANK_CLEAN!$B$2:$B$1001,H414))</f>
        <v/>
      </c>
      <c r="J414" s="14">
        <f>IF(H414="","",IF(F414="OUT",INDEX(BANK_CLEAN!$F$2:$F$1001,H414),INDEX(BANK_CLEAN!$E$2:$E$1001,H414)))</f>
        <v/>
      </c>
      <c r="K414" s="14">
        <f>IF(H414="","",ABS(E414-J414))</f>
        <v/>
      </c>
      <c r="L414" s="11">
        <f>IF(OR(H414="",B414="",I414=""),"",ABS(B414-I414))</f>
        <v/>
      </c>
      <c r="M414" s="15">
        <f>IF(H414="",0,LET(pct,IF(E414&gt;0,K414/E414,1),days,IFERROR(L414,999),100-pct*200-days*3))</f>
        <v/>
      </c>
      <c r="N414" s="11">
        <f>IF(A414="","",IF(H414="","Unmatched GL",IF(AND(K414&lt;=Tol_Amount,L414&lt;=Tol_Days),"Matched",IF(M414&gt;Tol_NearPct,"Near Match","Unmatched GL"))))</f>
        <v/>
      </c>
    </row>
    <row r="415">
      <c r="A415" s="13">
        <f>IF(GL_CLEAN!A415="","",GL_CLEAN!A415)</f>
        <v/>
      </c>
      <c r="B415" s="10">
        <f>IF(A415="","",GL_CLEAN!B415)</f>
        <v/>
      </c>
      <c r="C415" s="11">
        <f>IF(A415="","",GL_CLEAN!C415)</f>
        <v/>
      </c>
      <c r="D415" s="14">
        <f>IF(A415="","",GL_CLEAN!H415)</f>
        <v/>
      </c>
      <c r="E415" s="14">
        <f>IF(A415="","",GL_CLEAN!I415)</f>
        <v/>
      </c>
      <c r="F415" s="11">
        <f>IF(A415="","",GL_CLEAN!J415)</f>
        <v/>
      </c>
      <c r="G415" s="11">
        <f>IF(A415="","",IF(F415="OUT","DR","CR"))</f>
        <v/>
      </c>
      <c r="H415" s="11">
        <f>IF(A415="","",IFERROR(INDEX(BANK_CLEAN!$A$2:$A$1001,MATCH(MINIFS(BANK_CLEAN!$J$2:$J$1001,BANK_CLEAN!$H$2:$H$1001,G415,BANK_CLEAN!$L$2:$L$1001,""),BANK_CLEAN!$J$2:$J$1001,0)),""))</f>
        <v/>
      </c>
      <c r="I415" s="10">
        <f>IF(H415="","",INDEX(BANK_CLEAN!$B$2:$B$1001,H415))</f>
        <v/>
      </c>
      <c r="J415" s="14">
        <f>IF(H415="","",IF(F415="OUT",INDEX(BANK_CLEAN!$F$2:$F$1001,H415),INDEX(BANK_CLEAN!$E$2:$E$1001,H415)))</f>
        <v/>
      </c>
      <c r="K415" s="14">
        <f>IF(H415="","",ABS(E415-J415))</f>
        <v/>
      </c>
      <c r="L415" s="11">
        <f>IF(OR(H415="",B415="",I415=""),"",ABS(B415-I415))</f>
        <v/>
      </c>
      <c r="M415" s="15">
        <f>IF(H415="",0,LET(pct,IF(E415&gt;0,K415/E415,1),days,IFERROR(L415,999),100-pct*200-days*3))</f>
        <v/>
      </c>
      <c r="N415" s="11">
        <f>IF(A415="","",IF(H415="","Unmatched GL",IF(AND(K415&lt;=Tol_Amount,L415&lt;=Tol_Days),"Matched",IF(M415&gt;Tol_NearPct,"Near Match","Unmatched GL"))))</f>
        <v/>
      </c>
    </row>
    <row r="416">
      <c r="A416" s="13">
        <f>IF(GL_CLEAN!A416="","",GL_CLEAN!A416)</f>
        <v/>
      </c>
      <c r="B416" s="10">
        <f>IF(A416="","",GL_CLEAN!B416)</f>
        <v/>
      </c>
      <c r="C416" s="11">
        <f>IF(A416="","",GL_CLEAN!C416)</f>
        <v/>
      </c>
      <c r="D416" s="14">
        <f>IF(A416="","",GL_CLEAN!H416)</f>
        <v/>
      </c>
      <c r="E416" s="14">
        <f>IF(A416="","",GL_CLEAN!I416)</f>
        <v/>
      </c>
      <c r="F416" s="11">
        <f>IF(A416="","",GL_CLEAN!J416)</f>
        <v/>
      </c>
      <c r="G416" s="11">
        <f>IF(A416="","",IF(F416="OUT","DR","CR"))</f>
        <v/>
      </c>
      <c r="H416" s="11">
        <f>IF(A416="","",IFERROR(INDEX(BANK_CLEAN!$A$2:$A$1001,MATCH(MINIFS(BANK_CLEAN!$J$2:$J$1001,BANK_CLEAN!$H$2:$H$1001,G416,BANK_CLEAN!$L$2:$L$1001,""),BANK_CLEAN!$J$2:$J$1001,0)),""))</f>
        <v/>
      </c>
      <c r="I416" s="10">
        <f>IF(H416="","",INDEX(BANK_CLEAN!$B$2:$B$1001,H416))</f>
        <v/>
      </c>
      <c r="J416" s="14">
        <f>IF(H416="","",IF(F416="OUT",INDEX(BANK_CLEAN!$F$2:$F$1001,H416),INDEX(BANK_CLEAN!$E$2:$E$1001,H416)))</f>
        <v/>
      </c>
      <c r="K416" s="14">
        <f>IF(H416="","",ABS(E416-J416))</f>
        <v/>
      </c>
      <c r="L416" s="11">
        <f>IF(OR(H416="",B416="",I416=""),"",ABS(B416-I416))</f>
        <v/>
      </c>
      <c r="M416" s="15">
        <f>IF(H416="",0,LET(pct,IF(E416&gt;0,K416/E416,1),days,IFERROR(L416,999),100-pct*200-days*3))</f>
        <v/>
      </c>
      <c r="N416" s="11">
        <f>IF(A416="","",IF(H416="","Unmatched GL",IF(AND(K416&lt;=Tol_Amount,L416&lt;=Tol_Days),"Matched",IF(M416&gt;Tol_NearPct,"Near Match","Unmatched GL"))))</f>
        <v/>
      </c>
    </row>
    <row r="417">
      <c r="A417" s="13">
        <f>IF(GL_CLEAN!A417="","",GL_CLEAN!A417)</f>
        <v/>
      </c>
      <c r="B417" s="10">
        <f>IF(A417="","",GL_CLEAN!B417)</f>
        <v/>
      </c>
      <c r="C417" s="11">
        <f>IF(A417="","",GL_CLEAN!C417)</f>
        <v/>
      </c>
      <c r="D417" s="14">
        <f>IF(A417="","",GL_CLEAN!H417)</f>
        <v/>
      </c>
      <c r="E417" s="14">
        <f>IF(A417="","",GL_CLEAN!I417)</f>
        <v/>
      </c>
      <c r="F417" s="11">
        <f>IF(A417="","",GL_CLEAN!J417)</f>
        <v/>
      </c>
      <c r="G417" s="11">
        <f>IF(A417="","",IF(F417="OUT","DR","CR"))</f>
        <v/>
      </c>
      <c r="H417" s="11">
        <f>IF(A417="","",IFERROR(INDEX(BANK_CLEAN!$A$2:$A$1001,MATCH(MINIFS(BANK_CLEAN!$J$2:$J$1001,BANK_CLEAN!$H$2:$H$1001,G417,BANK_CLEAN!$L$2:$L$1001,""),BANK_CLEAN!$J$2:$J$1001,0)),""))</f>
        <v/>
      </c>
      <c r="I417" s="10">
        <f>IF(H417="","",INDEX(BANK_CLEAN!$B$2:$B$1001,H417))</f>
        <v/>
      </c>
      <c r="J417" s="14">
        <f>IF(H417="","",IF(F417="OUT",INDEX(BANK_CLEAN!$F$2:$F$1001,H417),INDEX(BANK_CLEAN!$E$2:$E$1001,H417)))</f>
        <v/>
      </c>
      <c r="K417" s="14">
        <f>IF(H417="","",ABS(E417-J417))</f>
        <v/>
      </c>
      <c r="L417" s="11">
        <f>IF(OR(H417="",B417="",I417=""),"",ABS(B417-I417))</f>
        <v/>
      </c>
      <c r="M417" s="15">
        <f>IF(H417="",0,LET(pct,IF(E417&gt;0,K417/E417,1),days,IFERROR(L417,999),100-pct*200-days*3))</f>
        <v/>
      </c>
      <c r="N417" s="11">
        <f>IF(A417="","",IF(H417="","Unmatched GL",IF(AND(K417&lt;=Tol_Amount,L417&lt;=Tol_Days),"Matched",IF(M417&gt;Tol_NearPct,"Near Match","Unmatched GL"))))</f>
        <v/>
      </c>
    </row>
    <row r="418">
      <c r="A418" s="13">
        <f>IF(GL_CLEAN!A418="","",GL_CLEAN!A418)</f>
        <v/>
      </c>
      <c r="B418" s="10">
        <f>IF(A418="","",GL_CLEAN!B418)</f>
        <v/>
      </c>
      <c r="C418" s="11">
        <f>IF(A418="","",GL_CLEAN!C418)</f>
        <v/>
      </c>
      <c r="D418" s="14">
        <f>IF(A418="","",GL_CLEAN!H418)</f>
        <v/>
      </c>
      <c r="E418" s="14">
        <f>IF(A418="","",GL_CLEAN!I418)</f>
        <v/>
      </c>
      <c r="F418" s="11">
        <f>IF(A418="","",GL_CLEAN!J418)</f>
        <v/>
      </c>
      <c r="G418" s="11">
        <f>IF(A418="","",IF(F418="OUT","DR","CR"))</f>
        <v/>
      </c>
      <c r="H418" s="11">
        <f>IF(A418="","",IFERROR(INDEX(BANK_CLEAN!$A$2:$A$1001,MATCH(MINIFS(BANK_CLEAN!$J$2:$J$1001,BANK_CLEAN!$H$2:$H$1001,G418,BANK_CLEAN!$L$2:$L$1001,""),BANK_CLEAN!$J$2:$J$1001,0)),""))</f>
        <v/>
      </c>
      <c r="I418" s="10">
        <f>IF(H418="","",INDEX(BANK_CLEAN!$B$2:$B$1001,H418))</f>
        <v/>
      </c>
      <c r="J418" s="14">
        <f>IF(H418="","",IF(F418="OUT",INDEX(BANK_CLEAN!$F$2:$F$1001,H418),INDEX(BANK_CLEAN!$E$2:$E$1001,H418)))</f>
        <v/>
      </c>
      <c r="K418" s="14">
        <f>IF(H418="","",ABS(E418-J418))</f>
        <v/>
      </c>
      <c r="L418" s="11">
        <f>IF(OR(H418="",B418="",I418=""),"",ABS(B418-I418))</f>
        <v/>
      </c>
      <c r="M418" s="15">
        <f>IF(H418="",0,LET(pct,IF(E418&gt;0,K418/E418,1),days,IFERROR(L418,999),100-pct*200-days*3))</f>
        <v/>
      </c>
      <c r="N418" s="11">
        <f>IF(A418="","",IF(H418="","Unmatched GL",IF(AND(K418&lt;=Tol_Amount,L418&lt;=Tol_Days),"Matched",IF(M418&gt;Tol_NearPct,"Near Match","Unmatched GL"))))</f>
        <v/>
      </c>
    </row>
    <row r="419">
      <c r="A419" s="13">
        <f>IF(GL_CLEAN!A419="","",GL_CLEAN!A419)</f>
        <v/>
      </c>
      <c r="B419" s="10">
        <f>IF(A419="","",GL_CLEAN!B419)</f>
        <v/>
      </c>
      <c r="C419" s="11">
        <f>IF(A419="","",GL_CLEAN!C419)</f>
        <v/>
      </c>
      <c r="D419" s="14">
        <f>IF(A419="","",GL_CLEAN!H419)</f>
        <v/>
      </c>
      <c r="E419" s="14">
        <f>IF(A419="","",GL_CLEAN!I419)</f>
        <v/>
      </c>
      <c r="F419" s="11">
        <f>IF(A419="","",GL_CLEAN!J419)</f>
        <v/>
      </c>
      <c r="G419" s="11">
        <f>IF(A419="","",IF(F419="OUT","DR","CR"))</f>
        <v/>
      </c>
      <c r="H419" s="11">
        <f>IF(A419="","",IFERROR(INDEX(BANK_CLEAN!$A$2:$A$1001,MATCH(MINIFS(BANK_CLEAN!$J$2:$J$1001,BANK_CLEAN!$H$2:$H$1001,G419,BANK_CLEAN!$L$2:$L$1001,""),BANK_CLEAN!$J$2:$J$1001,0)),""))</f>
        <v/>
      </c>
      <c r="I419" s="10">
        <f>IF(H419="","",INDEX(BANK_CLEAN!$B$2:$B$1001,H419))</f>
        <v/>
      </c>
      <c r="J419" s="14">
        <f>IF(H419="","",IF(F419="OUT",INDEX(BANK_CLEAN!$F$2:$F$1001,H419),INDEX(BANK_CLEAN!$E$2:$E$1001,H419)))</f>
        <v/>
      </c>
      <c r="K419" s="14">
        <f>IF(H419="","",ABS(E419-J419))</f>
        <v/>
      </c>
      <c r="L419" s="11">
        <f>IF(OR(H419="",B419="",I419=""),"",ABS(B419-I419))</f>
        <v/>
      </c>
      <c r="M419" s="15">
        <f>IF(H419="",0,LET(pct,IF(E419&gt;0,K419/E419,1),days,IFERROR(L419,999),100-pct*200-days*3))</f>
        <v/>
      </c>
      <c r="N419" s="11">
        <f>IF(A419="","",IF(H419="","Unmatched GL",IF(AND(K419&lt;=Tol_Amount,L419&lt;=Tol_Days),"Matched",IF(M419&gt;Tol_NearPct,"Near Match","Unmatched GL"))))</f>
        <v/>
      </c>
    </row>
    <row r="420">
      <c r="A420" s="13">
        <f>IF(GL_CLEAN!A420="","",GL_CLEAN!A420)</f>
        <v/>
      </c>
      <c r="B420" s="10">
        <f>IF(A420="","",GL_CLEAN!B420)</f>
        <v/>
      </c>
      <c r="C420" s="11">
        <f>IF(A420="","",GL_CLEAN!C420)</f>
        <v/>
      </c>
      <c r="D420" s="14">
        <f>IF(A420="","",GL_CLEAN!H420)</f>
        <v/>
      </c>
      <c r="E420" s="14">
        <f>IF(A420="","",GL_CLEAN!I420)</f>
        <v/>
      </c>
      <c r="F420" s="11">
        <f>IF(A420="","",GL_CLEAN!J420)</f>
        <v/>
      </c>
      <c r="G420" s="11">
        <f>IF(A420="","",IF(F420="OUT","DR","CR"))</f>
        <v/>
      </c>
      <c r="H420" s="11">
        <f>IF(A420="","",IFERROR(INDEX(BANK_CLEAN!$A$2:$A$1001,MATCH(MINIFS(BANK_CLEAN!$J$2:$J$1001,BANK_CLEAN!$H$2:$H$1001,G420,BANK_CLEAN!$L$2:$L$1001,""),BANK_CLEAN!$J$2:$J$1001,0)),""))</f>
        <v/>
      </c>
      <c r="I420" s="10">
        <f>IF(H420="","",INDEX(BANK_CLEAN!$B$2:$B$1001,H420))</f>
        <v/>
      </c>
      <c r="J420" s="14">
        <f>IF(H420="","",IF(F420="OUT",INDEX(BANK_CLEAN!$F$2:$F$1001,H420),INDEX(BANK_CLEAN!$E$2:$E$1001,H420)))</f>
        <v/>
      </c>
      <c r="K420" s="14">
        <f>IF(H420="","",ABS(E420-J420))</f>
        <v/>
      </c>
      <c r="L420" s="11">
        <f>IF(OR(H420="",B420="",I420=""),"",ABS(B420-I420))</f>
        <v/>
      </c>
      <c r="M420" s="15">
        <f>IF(H420="",0,LET(pct,IF(E420&gt;0,K420/E420,1),days,IFERROR(L420,999),100-pct*200-days*3))</f>
        <v/>
      </c>
      <c r="N420" s="11">
        <f>IF(A420="","",IF(H420="","Unmatched GL",IF(AND(K420&lt;=Tol_Amount,L420&lt;=Tol_Days),"Matched",IF(M420&gt;Tol_NearPct,"Near Match","Unmatched GL"))))</f>
        <v/>
      </c>
    </row>
    <row r="421">
      <c r="A421" s="13">
        <f>IF(GL_CLEAN!A421="","",GL_CLEAN!A421)</f>
        <v/>
      </c>
      <c r="B421" s="10">
        <f>IF(A421="","",GL_CLEAN!B421)</f>
        <v/>
      </c>
      <c r="C421" s="11">
        <f>IF(A421="","",GL_CLEAN!C421)</f>
        <v/>
      </c>
      <c r="D421" s="14">
        <f>IF(A421="","",GL_CLEAN!H421)</f>
        <v/>
      </c>
      <c r="E421" s="14">
        <f>IF(A421="","",GL_CLEAN!I421)</f>
        <v/>
      </c>
      <c r="F421" s="11">
        <f>IF(A421="","",GL_CLEAN!J421)</f>
        <v/>
      </c>
      <c r="G421" s="11">
        <f>IF(A421="","",IF(F421="OUT","DR","CR"))</f>
        <v/>
      </c>
      <c r="H421" s="11">
        <f>IF(A421="","",IFERROR(INDEX(BANK_CLEAN!$A$2:$A$1001,MATCH(MINIFS(BANK_CLEAN!$J$2:$J$1001,BANK_CLEAN!$H$2:$H$1001,G421,BANK_CLEAN!$L$2:$L$1001,""),BANK_CLEAN!$J$2:$J$1001,0)),""))</f>
        <v/>
      </c>
      <c r="I421" s="10">
        <f>IF(H421="","",INDEX(BANK_CLEAN!$B$2:$B$1001,H421))</f>
        <v/>
      </c>
      <c r="J421" s="14">
        <f>IF(H421="","",IF(F421="OUT",INDEX(BANK_CLEAN!$F$2:$F$1001,H421),INDEX(BANK_CLEAN!$E$2:$E$1001,H421)))</f>
        <v/>
      </c>
      <c r="K421" s="14">
        <f>IF(H421="","",ABS(E421-J421))</f>
        <v/>
      </c>
      <c r="L421" s="11">
        <f>IF(OR(H421="",B421="",I421=""),"",ABS(B421-I421))</f>
        <v/>
      </c>
      <c r="M421" s="15">
        <f>IF(H421="",0,LET(pct,IF(E421&gt;0,K421/E421,1),days,IFERROR(L421,999),100-pct*200-days*3))</f>
        <v/>
      </c>
      <c r="N421" s="11">
        <f>IF(A421="","",IF(H421="","Unmatched GL",IF(AND(K421&lt;=Tol_Amount,L421&lt;=Tol_Days),"Matched",IF(M421&gt;Tol_NearPct,"Near Match","Unmatched GL"))))</f>
        <v/>
      </c>
    </row>
    <row r="422">
      <c r="A422" s="13">
        <f>IF(GL_CLEAN!A422="","",GL_CLEAN!A422)</f>
        <v/>
      </c>
      <c r="B422" s="10">
        <f>IF(A422="","",GL_CLEAN!B422)</f>
        <v/>
      </c>
      <c r="C422" s="11">
        <f>IF(A422="","",GL_CLEAN!C422)</f>
        <v/>
      </c>
      <c r="D422" s="14">
        <f>IF(A422="","",GL_CLEAN!H422)</f>
        <v/>
      </c>
      <c r="E422" s="14">
        <f>IF(A422="","",GL_CLEAN!I422)</f>
        <v/>
      </c>
      <c r="F422" s="11">
        <f>IF(A422="","",GL_CLEAN!J422)</f>
        <v/>
      </c>
      <c r="G422" s="11">
        <f>IF(A422="","",IF(F422="OUT","DR","CR"))</f>
        <v/>
      </c>
      <c r="H422" s="11">
        <f>IF(A422="","",IFERROR(INDEX(BANK_CLEAN!$A$2:$A$1001,MATCH(MINIFS(BANK_CLEAN!$J$2:$J$1001,BANK_CLEAN!$H$2:$H$1001,G422,BANK_CLEAN!$L$2:$L$1001,""),BANK_CLEAN!$J$2:$J$1001,0)),""))</f>
        <v/>
      </c>
      <c r="I422" s="10">
        <f>IF(H422="","",INDEX(BANK_CLEAN!$B$2:$B$1001,H422))</f>
        <v/>
      </c>
      <c r="J422" s="14">
        <f>IF(H422="","",IF(F422="OUT",INDEX(BANK_CLEAN!$F$2:$F$1001,H422),INDEX(BANK_CLEAN!$E$2:$E$1001,H422)))</f>
        <v/>
      </c>
      <c r="K422" s="14">
        <f>IF(H422="","",ABS(E422-J422))</f>
        <v/>
      </c>
      <c r="L422" s="11">
        <f>IF(OR(H422="",B422="",I422=""),"",ABS(B422-I422))</f>
        <v/>
      </c>
      <c r="M422" s="15">
        <f>IF(H422="",0,LET(pct,IF(E422&gt;0,K422/E422,1),days,IFERROR(L422,999),100-pct*200-days*3))</f>
        <v/>
      </c>
      <c r="N422" s="11">
        <f>IF(A422="","",IF(H422="","Unmatched GL",IF(AND(K422&lt;=Tol_Amount,L422&lt;=Tol_Days),"Matched",IF(M422&gt;Tol_NearPct,"Near Match","Unmatched GL"))))</f>
        <v/>
      </c>
    </row>
    <row r="423">
      <c r="A423" s="13">
        <f>IF(GL_CLEAN!A423="","",GL_CLEAN!A423)</f>
        <v/>
      </c>
      <c r="B423" s="10">
        <f>IF(A423="","",GL_CLEAN!B423)</f>
        <v/>
      </c>
      <c r="C423" s="11">
        <f>IF(A423="","",GL_CLEAN!C423)</f>
        <v/>
      </c>
      <c r="D423" s="14">
        <f>IF(A423="","",GL_CLEAN!H423)</f>
        <v/>
      </c>
      <c r="E423" s="14">
        <f>IF(A423="","",GL_CLEAN!I423)</f>
        <v/>
      </c>
      <c r="F423" s="11">
        <f>IF(A423="","",GL_CLEAN!J423)</f>
        <v/>
      </c>
      <c r="G423" s="11">
        <f>IF(A423="","",IF(F423="OUT","DR","CR"))</f>
        <v/>
      </c>
      <c r="H423" s="11">
        <f>IF(A423="","",IFERROR(INDEX(BANK_CLEAN!$A$2:$A$1001,MATCH(MINIFS(BANK_CLEAN!$J$2:$J$1001,BANK_CLEAN!$H$2:$H$1001,G423,BANK_CLEAN!$L$2:$L$1001,""),BANK_CLEAN!$J$2:$J$1001,0)),""))</f>
        <v/>
      </c>
      <c r="I423" s="10">
        <f>IF(H423="","",INDEX(BANK_CLEAN!$B$2:$B$1001,H423))</f>
        <v/>
      </c>
      <c r="J423" s="14">
        <f>IF(H423="","",IF(F423="OUT",INDEX(BANK_CLEAN!$F$2:$F$1001,H423),INDEX(BANK_CLEAN!$E$2:$E$1001,H423)))</f>
        <v/>
      </c>
      <c r="K423" s="14">
        <f>IF(H423="","",ABS(E423-J423))</f>
        <v/>
      </c>
      <c r="L423" s="11">
        <f>IF(OR(H423="",B423="",I423=""),"",ABS(B423-I423))</f>
        <v/>
      </c>
      <c r="M423" s="15">
        <f>IF(H423="",0,LET(pct,IF(E423&gt;0,K423/E423,1),days,IFERROR(L423,999),100-pct*200-days*3))</f>
        <v/>
      </c>
      <c r="N423" s="11">
        <f>IF(A423="","",IF(H423="","Unmatched GL",IF(AND(K423&lt;=Tol_Amount,L423&lt;=Tol_Days),"Matched",IF(M423&gt;Tol_NearPct,"Near Match","Unmatched GL"))))</f>
        <v/>
      </c>
    </row>
    <row r="424">
      <c r="A424" s="13">
        <f>IF(GL_CLEAN!A424="","",GL_CLEAN!A424)</f>
        <v/>
      </c>
      <c r="B424" s="10">
        <f>IF(A424="","",GL_CLEAN!B424)</f>
        <v/>
      </c>
      <c r="C424" s="11">
        <f>IF(A424="","",GL_CLEAN!C424)</f>
        <v/>
      </c>
      <c r="D424" s="14">
        <f>IF(A424="","",GL_CLEAN!H424)</f>
        <v/>
      </c>
      <c r="E424" s="14">
        <f>IF(A424="","",GL_CLEAN!I424)</f>
        <v/>
      </c>
      <c r="F424" s="11">
        <f>IF(A424="","",GL_CLEAN!J424)</f>
        <v/>
      </c>
      <c r="G424" s="11">
        <f>IF(A424="","",IF(F424="OUT","DR","CR"))</f>
        <v/>
      </c>
      <c r="H424" s="11">
        <f>IF(A424="","",IFERROR(INDEX(BANK_CLEAN!$A$2:$A$1001,MATCH(MINIFS(BANK_CLEAN!$J$2:$J$1001,BANK_CLEAN!$H$2:$H$1001,G424,BANK_CLEAN!$L$2:$L$1001,""),BANK_CLEAN!$J$2:$J$1001,0)),""))</f>
        <v/>
      </c>
      <c r="I424" s="10">
        <f>IF(H424="","",INDEX(BANK_CLEAN!$B$2:$B$1001,H424))</f>
        <v/>
      </c>
      <c r="J424" s="14">
        <f>IF(H424="","",IF(F424="OUT",INDEX(BANK_CLEAN!$F$2:$F$1001,H424),INDEX(BANK_CLEAN!$E$2:$E$1001,H424)))</f>
        <v/>
      </c>
      <c r="K424" s="14">
        <f>IF(H424="","",ABS(E424-J424))</f>
        <v/>
      </c>
      <c r="L424" s="11">
        <f>IF(OR(H424="",B424="",I424=""),"",ABS(B424-I424))</f>
        <v/>
      </c>
      <c r="M424" s="15">
        <f>IF(H424="",0,LET(pct,IF(E424&gt;0,K424/E424,1),days,IFERROR(L424,999),100-pct*200-days*3))</f>
        <v/>
      </c>
      <c r="N424" s="11">
        <f>IF(A424="","",IF(H424="","Unmatched GL",IF(AND(K424&lt;=Tol_Amount,L424&lt;=Tol_Days),"Matched",IF(M424&gt;Tol_NearPct,"Near Match","Unmatched GL"))))</f>
        <v/>
      </c>
    </row>
    <row r="425">
      <c r="A425" s="13">
        <f>IF(GL_CLEAN!A425="","",GL_CLEAN!A425)</f>
        <v/>
      </c>
      <c r="B425" s="10">
        <f>IF(A425="","",GL_CLEAN!B425)</f>
        <v/>
      </c>
      <c r="C425" s="11">
        <f>IF(A425="","",GL_CLEAN!C425)</f>
        <v/>
      </c>
      <c r="D425" s="14">
        <f>IF(A425="","",GL_CLEAN!H425)</f>
        <v/>
      </c>
      <c r="E425" s="14">
        <f>IF(A425="","",GL_CLEAN!I425)</f>
        <v/>
      </c>
      <c r="F425" s="11">
        <f>IF(A425="","",GL_CLEAN!J425)</f>
        <v/>
      </c>
      <c r="G425" s="11">
        <f>IF(A425="","",IF(F425="OUT","DR","CR"))</f>
        <v/>
      </c>
      <c r="H425" s="11">
        <f>IF(A425="","",IFERROR(INDEX(BANK_CLEAN!$A$2:$A$1001,MATCH(MINIFS(BANK_CLEAN!$J$2:$J$1001,BANK_CLEAN!$H$2:$H$1001,G425,BANK_CLEAN!$L$2:$L$1001,""),BANK_CLEAN!$J$2:$J$1001,0)),""))</f>
        <v/>
      </c>
      <c r="I425" s="10">
        <f>IF(H425="","",INDEX(BANK_CLEAN!$B$2:$B$1001,H425))</f>
        <v/>
      </c>
      <c r="J425" s="14">
        <f>IF(H425="","",IF(F425="OUT",INDEX(BANK_CLEAN!$F$2:$F$1001,H425),INDEX(BANK_CLEAN!$E$2:$E$1001,H425)))</f>
        <v/>
      </c>
      <c r="K425" s="14">
        <f>IF(H425="","",ABS(E425-J425))</f>
        <v/>
      </c>
      <c r="L425" s="11">
        <f>IF(OR(H425="",B425="",I425=""),"",ABS(B425-I425))</f>
        <v/>
      </c>
      <c r="M425" s="15">
        <f>IF(H425="",0,LET(pct,IF(E425&gt;0,K425/E425,1),days,IFERROR(L425,999),100-pct*200-days*3))</f>
        <v/>
      </c>
      <c r="N425" s="11">
        <f>IF(A425="","",IF(H425="","Unmatched GL",IF(AND(K425&lt;=Tol_Amount,L425&lt;=Tol_Days),"Matched",IF(M425&gt;Tol_NearPct,"Near Match","Unmatched GL"))))</f>
        <v/>
      </c>
    </row>
    <row r="426">
      <c r="A426" s="13">
        <f>IF(GL_CLEAN!A426="","",GL_CLEAN!A426)</f>
        <v/>
      </c>
      <c r="B426" s="10">
        <f>IF(A426="","",GL_CLEAN!B426)</f>
        <v/>
      </c>
      <c r="C426" s="11">
        <f>IF(A426="","",GL_CLEAN!C426)</f>
        <v/>
      </c>
      <c r="D426" s="14">
        <f>IF(A426="","",GL_CLEAN!H426)</f>
        <v/>
      </c>
      <c r="E426" s="14">
        <f>IF(A426="","",GL_CLEAN!I426)</f>
        <v/>
      </c>
      <c r="F426" s="11">
        <f>IF(A426="","",GL_CLEAN!J426)</f>
        <v/>
      </c>
      <c r="G426" s="11">
        <f>IF(A426="","",IF(F426="OUT","DR","CR"))</f>
        <v/>
      </c>
      <c r="H426" s="11">
        <f>IF(A426="","",IFERROR(INDEX(BANK_CLEAN!$A$2:$A$1001,MATCH(MINIFS(BANK_CLEAN!$J$2:$J$1001,BANK_CLEAN!$H$2:$H$1001,G426,BANK_CLEAN!$L$2:$L$1001,""),BANK_CLEAN!$J$2:$J$1001,0)),""))</f>
        <v/>
      </c>
      <c r="I426" s="10">
        <f>IF(H426="","",INDEX(BANK_CLEAN!$B$2:$B$1001,H426))</f>
        <v/>
      </c>
      <c r="J426" s="14">
        <f>IF(H426="","",IF(F426="OUT",INDEX(BANK_CLEAN!$F$2:$F$1001,H426),INDEX(BANK_CLEAN!$E$2:$E$1001,H426)))</f>
        <v/>
      </c>
      <c r="K426" s="14">
        <f>IF(H426="","",ABS(E426-J426))</f>
        <v/>
      </c>
      <c r="L426" s="11">
        <f>IF(OR(H426="",B426="",I426=""),"",ABS(B426-I426))</f>
        <v/>
      </c>
      <c r="M426" s="15">
        <f>IF(H426="",0,LET(pct,IF(E426&gt;0,K426/E426,1),days,IFERROR(L426,999),100-pct*200-days*3))</f>
        <v/>
      </c>
      <c r="N426" s="11">
        <f>IF(A426="","",IF(H426="","Unmatched GL",IF(AND(K426&lt;=Tol_Amount,L426&lt;=Tol_Days),"Matched",IF(M426&gt;Tol_NearPct,"Near Match","Unmatched GL"))))</f>
        <v/>
      </c>
    </row>
    <row r="427">
      <c r="A427" s="13">
        <f>IF(GL_CLEAN!A427="","",GL_CLEAN!A427)</f>
        <v/>
      </c>
      <c r="B427" s="10">
        <f>IF(A427="","",GL_CLEAN!B427)</f>
        <v/>
      </c>
      <c r="C427" s="11">
        <f>IF(A427="","",GL_CLEAN!C427)</f>
        <v/>
      </c>
      <c r="D427" s="14">
        <f>IF(A427="","",GL_CLEAN!H427)</f>
        <v/>
      </c>
      <c r="E427" s="14">
        <f>IF(A427="","",GL_CLEAN!I427)</f>
        <v/>
      </c>
      <c r="F427" s="11">
        <f>IF(A427="","",GL_CLEAN!J427)</f>
        <v/>
      </c>
      <c r="G427" s="11">
        <f>IF(A427="","",IF(F427="OUT","DR","CR"))</f>
        <v/>
      </c>
      <c r="H427" s="11">
        <f>IF(A427="","",IFERROR(INDEX(BANK_CLEAN!$A$2:$A$1001,MATCH(MINIFS(BANK_CLEAN!$J$2:$J$1001,BANK_CLEAN!$H$2:$H$1001,G427,BANK_CLEAN!$L$2:$L$1001,""),BANK_CLEAN!$J$2:$J$1001,0)),""))</f>
        <v/>
      </c>
      <c r="I427" s="10">
        <f>IF(H427="","",INDEX(BANK_CLEAN!$B$2:$B$1001,H427))</f>
        <v/>
      </c>
      <c r="J427" s="14">
        <f>IF(H427="","",IF(F427="OUT",INDEX(BANK_CLEAN!$F$2:$F$1001,H427),INDEX(BANK_CLEAN!$E$2:$E$1001,H427)))</f>
        <v/>
      </c>
      <c r="K427" s="14">
        <f>IF(H427="","",ABS(E427-J427))</f>
        <v/>
      </c>
      <c r="L427" s="11">
        <f>IF(OR(H427="",B427="",I427=""),"",ABS(B427-I427))</f>
        <v/>
      </c>
      <c r="M427" s="15">
        <f>IF(H427="",0,LET(pct,IF(E427&gt;0,K427/E427,1),days,IFERROR(L427,999),100-pct*200-days*3))</f>
        <v/>
      </c>
      <c r="N427" s="11">
        <f>IF(A427="","",IF(H427="","Unmatched GL",IF(AND(K427&lt;=Tol_Amount,L427&lt;=Tol_Days),"Matched",IF(M427&gt;Tol_NearPct,"Near Match","Unmatched GL"))))</f>
        <v/>
      </c>
    </row>
    <row r="428">
      <c r="A428" s="13">
        <f>IF(GL_CLEAN!A428="","",GL_CLEAN!A428)</f>
        <v/>
      </c>
      <c r="B428" s="10">
        <f>IF(A428="","",GL_CLEAN!B428)</f>
        <v/>
      </c>
      <c r="C428" s="11">
        <f>IF(A428="","",GL_CLEAN!C428)</f>
        <v/>
      </c>
      <c r="D428" s="14">
        <f>IF(A428="","",GL_CLEAN!H428)</f>
        <v/>
      </c>
      <c r="E428" s="14">
        <f>IF(A428="","",GL_CLEAN!I428)</f>
        <v/>
      </c>
      <c r="F428" s="11">
        <f>IF(A428="","",GL_CLEAN!J428)</f>
        <v/>
      </c>
      <c r="G428" s="11">
        <f>IF(A428="","",IF(F428="OUT","DR","CR"))</f>
        <v/>
      </c>
      <c r="H428" s="11">
        <f>IF(A428="","",IFERROR(INDEX(BANK_CLEAN!$A$2:$A$1001,MATCH(MINIFS(BANK_CLEAN!$J$2:$J$1001,BANK_CLEAN!$H$2:$H$1001,G428,BANK_CLEAN!$L$2:$L$1001,""),BANK_CLEAN!$J$2:$J$1001,0)),""))</f>
        <v/>
      </c>
      <c r="I428" s="10">
        <f>IF(H428="","",INDEX(BANK_CLEAN!$B$2:$B$1001,H428))</f>
        <v/>
      </c>
      <c r="J428" s="14">
        <f>IF(H428="","",IF(F428="OUT",INDEX(BANK_CLEAN!$F$2:$F$1001,H428),INDEX(BANK_CLEAN!$E$2:$E$1001,H428)))</f>
        <v/>
      </c>
      <c r="K428" s="14">
        <f>IF(H428="","",ABS(E428-J428))</f>
        <v/>
      </c>
      <c r="L428" s="11">
        <f>IF(OR(H428="",B428="",I428=""),"",ABS(B428-I428))</f>
        <v/>
      </c>
      <c r="M428" s="15">
        <f>IF(H428="",0,LET(pct,IF(E428&gt;0,K428/E428,1),days,IFERROR(L428,999),100-pct*200-days*3))</f>
        <v/>
      </c>
      <c r="N428" s="11">
        <f>IF(A428="","",IF(H428="","Unmatched GL",IF(AND(K428&lt;=Tol_Amount,L428&lt;=Tol_Days),"Matched",IF(M428&gt;Tol_NearPct,"Near Match","Unmatched GL"))))</f>
        <v/>
      </c>
    </row>
    <row r="429">
      <c r="A429" s="13">
        <f>IF(GL_CLEAN!A429="","",GL_CLEAN!A429)</f>
        <v/>
      </c>
      <c r="B429" s="10">
        <f>IF(A429="","",GL_CLEAN!B429)</f>
        <v/>
      </c>
      <c r="C429" s="11">
        <f>IF(A429="","",GL_CLEAN!C429)</f>
        <v/>
      </c>
      <c r="D429" s="14">
        <f>IF(A429="","",GL_CLEAN!H429)</f>
        <v/>
      </c>
      <c r="E429" s="14">
        <f>IF(A429="","",GL_CLEAN!I429)</f>
        <v/>
      </c>
      <c r="F429" s="11">
        <f>IF(A429="","",GL_CLEAN!J429)</f>
        <v/>
      </c>
      <c r="G429" s="11">
        <f>IF(A429="","",IF(F429="OUT","DR","CR"))</f>
        <v/>
      </c>
      <c r="H429" s="11">
        <f>IF(A429="","",IFERROR(INDEX(BANK_CLEAN!$A$2:$A$1001,MATCH(MINIFS(BANK_CLEAN!$J$2:$J$1001,BANK_CLEAN!$H$2:$H$1001,G429,BANK_CLEAN!$L$2:$L$1001,""),BANK_CLEAN!$J$2:$J$1001,0)),""))</f>
        <v/>
      </c>
      <c r="I429" s="10">
        <f>IF(H429="","",INDEX(BANK_CLEAN!$B$2:$B$1001,H429))</f>
        <v/>
      </c>
      <c r="J429" s="14">
        <f>IF(H429="","",IF(F429="OUT",INDEX(BANK_CLEAN!$F$2:$F$1001,H429),INDEX(BANK_CLEAN!$E$2:$E$1001,H429)))</f>
        <v/>
      </c>
      <c r="K429" s="14">
        <f>IF(H429="","",ABS(E429-J429))</f>
        <v/>
      </c>
      <c r="L429" s="11">
        <f>IF(OR(H429="",B429="",I429=""),"",ABS(B429-I429))</f>
        <v/>
      </c>
      <c r="M429" s="15">
        <f>IF(H429="",0,LET(pct,IF(E429&gt;0,K429/E429,1),days,IFERROR(L429,999),100-pct*200-days*3))</f>
        <v/>
      </c>
      <c r="N429" s="11">
        <f>IF(A429="","",IF(H429="","Unmatched GL",IF(AND(K429&lt;=Tol_Amount,L429&lt;=Tol_Days),"Matched",IF(M429&gt;Tol_NearPct,"Near Match","Unmatched GL"))))</f>
        <v/>
      </c>
    </row>
    <row r="430">
      <c r="A430" s="13">
        <f>IF(GL_CLEAN!A430="","",GL_CLEAN!A430)</f>
        <v/>
      </c>
      <c r="B430" s="10">
        <f>IF(A430="","",GL_CLEAN!B430)</f>
        <v/>
      </c>
      <c r="C430" s="11">
        <f>IF(A430="","",GL_CLEAN!C430)</f>
        <v/>
      </c>
      <c r="D430" s="14">
        <f>IF(A430="","",GL_CLEAN!H430)</f>
        <v/>
      </c>
      <c r="E430" s="14">
        <f>IF(A430="","",GL_CLEAN!I430)</f>
        <v/>
      </c>
      <c r="F430" s="11">
        <f>IF(A430="","",GL_CLEAN!J430)</f>
        <v/>
      </c>
      <c r="G430" s="11">
        <f>IF(A430="","",IF(F430="OUT","DR","CR"))</f>
        <v/>
      </c>
      <c r="H430" s="11">
        <f>IF(A430="","",IFERROR(INDEX(BANK_CLEAN!$A$2:$A$1001,MATCH(MINIFS(BANK_CLEAN!$J$2:$J$1001,BANK_CLEAN!$H$2:$H$1001,G430,BANK_CLEAN!$L$2:$L$1001,""),BANK_CLEAN!$J$2:$J$1001,0)),""))</f>
        <v/>
      </c>
      <c r="I430" s="10">
        <f>IF(H430="","",INDEX(BANK_CLEAN!$B$2:$B$1001,H430))</f>
        <v/>
      </c>
      <c r="J430" s="14">
        <f>IF(H430="","",IF(F430="OUT",INDEX(BANK_CLEAN!$F$2:$F$1001,H430),INDEX(BANK_CLEAN!$E$2:$E$1001,H430)))</f>
        <v/>
      </c>
      <c r="K430" s="14">
        <f>IF(H430="","",ABS(E430-J430))</f>
        <v/>
      </c>
      <c r="L430" s="11">
        <f>IF(OR(H430="",B430="",I430=""),"",ABS(B430-I430))</f>
        <v/>
      </c>
      <c r="M430" s="15">
        <f>IF(H430="",0,LET(pct,IF(E430&gt;0,K430/E430,1),days,IFERROR(L430,999),100-pct*200-days*3))</f>
        <v/>
      </c>
      <c r="N430" s="11">
        <f>IF(A430="","",IF(H430="","Unmatched GL",IF(AND(K430&lt;=Tol_Amount,L430&lt;=Tol_Days),"Matched",IF(M430&gt;Tol_NearPct,"Near Match","Unmatched GL"))))</f>
        <v/>
      </c>
    </row>
    <row r="431">
      <c r="A431" s="13">
        <f>IF(GL_CLEAN!A431="","",GL_CLEAN!A431)</f>
        <v/>
      </c>
      <c r="B431" s="10">
        <f>IF(A431="","",GL_CLEAN!B431)</f>
        <v/>
      </c>
      <c r="C431" s="11">
        <f>IF(A431="","",GL_CLEAN!C431)</f>
        <v/>
      </c>
      <c r="D431" s="14">
        <f>IF(A431="","",GL_CLEAN!H431)</f>
        <v/>
      </c>
      <c r="E431" s="14">
        <f>IF(A431="","",GL_CLEAN!I431)</f>
        <v/>
      </c>
      <c r="F431" s="11">
        <f>IF(A431="","",GL_CLEAN!J431)</f>
        <v/>
      </c>
      <c r="G431" s="11">
        <f>IF(A431="","",IF(F431="OUT","DR","CR"))</f>
        <v/>
      </c>
      <c r="H431" s="11">
        <f>IF(A431="","",IFERROR(INDEX(BANK_CLEAN!$A$2:$A$1001,MATCH(MINIFS(BANK_CLEAN!$J$2:$J$1001,BANK_CLEAN!$H$2:$H$1001,G431,BANK_CLEAN!$L$2:$L$1001,""),BANK_CLEAN!$J$2:$J$1001,0)),""))</f>
        <v/>
      </c>
      <c r="I431" s="10">
        <f>IF(H431="","",INDEX(BANK_CLEAN!$B$2:$B$1001,H431))</f>
        <v/>
      </c>
      <c r="J431" s="14">
        <f>IF(H431="","",IF(F431="OUT",INDEX(BANK_CLEAN!$F$2:$F$1001,H431),INDEX(BANK_CLEAN!$E$2:$E$1001,H431)))</f>
        <v/>
      </c>
      <c r="K431" s="14">
        <f>IF(H431="","",ABS(E431-J431))</f>
        <v/>
      </c>
      <c r="L431" s="11">
        <f>IF(OR(H431="",B431="",I431=""),"",ABS(B431-I431))</f>
        <v/>
      </c>
      <c r="M431" s="15">
        <f>IF(H431="",0,LET(pct,IF(E431&gt;0,K431/E431,1),days,IFERROR(L431,999),100-pct*200-days*3))</f>
        <v/>
      </c>
      <c r="N431" s="11">
        <f>IF(A431="","",IF(H431="","Unmatched GL",IF(AND(K431&lt;=Tol_Amount,L431&lt;=Tol_Days),"Matched",IF(M431&gt;Tol_NearPct,"Near Match","Unmatched GL"))))</f>
        <v/>
      </c>
    </row>
    <row r="432">
      <c r="A432" s="13">
        <f>IF(GL_CLEAN!A432="","",GL_CLEAN!A432)</f>
        <v/>
      </c>
      <c r="B432" s="10">
        <f>IF(A432="","",GL_CLEAN!B432)</f>
        <v/>
      </c>
      <c r="C432" s="11">
        <f>IF(A432="","",GL_CLEAN!C432)</f>
        <v/>
      </c>
      <c r="D432" s="14">
        <f>IF(A432="","",GL_CLEAN!H432)</f>
        <v/>
      </c>
      <c r="E432" s="14">
        <f>IF(A432="","",GL_CLEAN!I432)</f>
        <v/>
      </c>
      <c r="F432" s="11">
        <f>IF(A432="","",GL_CLEAN!J432)</f>
        <v/>
      </c>
      <c r="G432" s="11">
        <f>IF(A432="","",IF(F432="OUT","DR","CR"))</f>
        <v/>
      </c>
      <c r="H432" s="11">
        <f>IF(A432="","",IFERROR(INDEX(BANK_CLEAN!$A$2:$A$1001,MATCH(MINIFS(BANK_CLEAN!$J$2:$J$1001,BANK_CLEAN!$H$2:$H$1001,G432,BANK_CLEAN!$L$2:$L$1001,""),BANK_CLEAN!$J$2:$J$1001,0)),""))</f>
        <v/>
      </c>
      <c r="I432" s="10">
        <f>IF(H432="","",INDEX(BANK_CLEAN!$B$2:$B$1001,H432))</f>
        <v/>
      </c>
      <c r="J432" s="14">
        <f>IF(H432="","",IF(F432="OUT",INDEX(BANK_CLEAN!$F$2:$F$1001,H432),INDEX(BANK_CLEAN!$E$2:$E$1001,H432)))</f>
        <v/>
      </c>
      <c r="K432" s="14">
        <f>IF(H432="","",ABS(E432-J432))</f>
        <v/>
      </c>
      <c r="L432" s="11">
        <f>IF(OR(H432="",B432="",I432=""),"",ABS(B432-I432))</f>
        <v/>
      </c>
      <c r="M432" s="15">
        <f>IF(H432="",0,LET(pct,IF(E432&gt;0,K432/E432,1),days,IFERROR(L432,999),100-pct*200-days*3))</f>
        <v/>
      </c>
      <c r="N432" s="11">
        <f>IF(A432="","",IF(H432="","Unmatched GL",IF(AND(K432&lt;=Tol_Amount,L432&lt;=Tol_Days),"Matched",IF(M432&gt;Tol_NearPct,"Near Match","Unmatched GL"))))</f>
        <v/>
      </c>
    </row>
    <row r="433">
      <c r="A433" s="13">
        <f>IF(GL_CLEAN!A433="","",GL_CLEAN!A433)</f>
        <v/>
      </c>
      <c r="B433" s="10">
        <f>IF(A433="","",GL_CLEAN!B433)</f>
        <v/>
      </c>
      <c r="C433" s="11">
        <f>IF(A433="","",GL_CLEAN!C433)</f>
        <v/>
      </c>
      <c r="D433" s="14">
        <f>IF(A433="","",GL_CLEAN!H433)</f>
        <v/>
      </c>
      <c r="E433" s="14">
        <f>IF(A433="","",GL_CLEAN!I433)</f>
        <v/>
      </c>
      <c r="F433" s="11">
        <f>IF(A433="","",GL_CLEAN!J433)</f>
        <v/>
      </c>
      <c r="G433" s="11">
        <f>IF(A433="","",IF(F433="OUT","DR","CR"))</f>
        <v/>
      </c>
      <c r="H433" s="11">
        <f>IF(A433="","",IFERROR(INDEX(BANK_CLEAN!$A$2:$A$1001,MATCH(MINIFS(BANK_CLEAN!$J$2:$J$1001,BANK_CLEAN!$H$2:$H$1001,G433,BANK_CLEAN!$L$2:$L$1001,""),BANK_CLEAN!$J$2:$J$1001,0)),""))</f>
        <v/>
      </c>
      <c r="I433" s="10">
        <f>IF(H433="","",INDEX(BANK_CLEAN!$B$2:$B$1001,H433))</f>
        <v/>
      </c>
      <c r="J433" s="14">
        <f>IF(H433="","",IF(F433="OUT",INDEX(BANK_CLEAN!$F$2:$F$1001,H433),INDEX(BANK_CLEAN!$E$2:$E$1001,H433)))</f>
        <v/>
      </c>
      <c r="K433" s="14">
        <f>IF(H433="","",ABS(E433-J433))</f>
        <v/>
      </c>
      <c r="L433" s="11">
        <f>IF(OR(H433="",B433="",I433=""),"",ABS(B433-I433))</f>
        <v/>
      </c>
      <c r="M433" s="15">
        <f>IF(H433="",0,LET(pct,IF(E433&gt;0,K433/E433,1),days,IFERROR(L433,999),100-pct*200-days*3))</f>
        <v/>
      </c>
      <c r="N433" s="11">
        <f>IF(A433="","",IF(H433="","Unmatched GL",IF(AND(K433&lt;=Tol_Amount,L433&lt;=Tol_Days),"Matched",IF(M433&gt;Tol_NearPct,"Near Match","Unmatched GL"))))</f>
        <v/>
      </c>
    </row>
    <row r="434">
      <c r="A434" s="13">
        <f>IF(GL_CLEAN!A434="","",GL_CLEAN!A434)</f>
        <v/>
      </c>
      <c r="B434" s="10">
        <f>IF(A434="","",GL_CLEAN!B434)</f>
        <v/>
      </c>
      <c r="C434" s="11">
        <f>IF(A434="","",GL_CLEAN!C434)</f>
        <v/>
      </c>
      <c r="D434" s="14">
        <f>IF(A434="","",GL_CLEAN!H434)</f>
        <v/>
      </c>
      <c r="E434" s="14">
        <f>IF(A434="","",GL_CLEAN!I434)</f>
        <v/>
      </c>
      <c r="F434" s="11">
        <f>IF(A434="","",GL_CLEAN!J434)</f>
        <v/>
      </c>
      <c r="G434" s="11">
        <f>IF(A434="","",IF(F434="OUT","DR","CR"))</f>
        <v/>
      </c>
      <c r="H434" s="11">
        <f>IF(A434="","",IFERROR(INDEX(BANK_CLEAN!$A$2:$A$1001,MATCH(MINIFS(BANK_CLEAN!$J$2:$J$1001,BANK_CLEAN!$H$2:$H$1001,G434,BANK_CLEAN!$L$2:$L$1001,""),BANK_CLEAN!$J$2:$J$1001,0)),""))</f>
        <v/>
      </c>
      <c r="I434" s="10">
        <f>IF(H434="","",INDEX(BANK_CLEAN!$B$2:$B$1001,H434))</f>
        <v/>
      </c>
      <c r="J434" s="14">
        <f>IF(H434="","",IF(F434="OUT",INDEX(BANK_CLEAN!$F$2:$F$1001,H434),INDEX(BANK_CLEAN!$E$2:$E$1001,H434)))</f>
        <v/>
      </c>
      <c r="K434" s="14">
        <f>IF(H434="","",ABS(E434-J434))</f>
        <v/>
      </c>
      <c r="L434" s="11">
        <f>IF(OR(H434="",B434="",I434=""),"",ABS(B434-I434))</f>
        <v/>
      </c>
      <c r="M434" s="15">
        <f>IF(H434="",0,LET(pct,IF(E434&gt;0,K434/E434,1),days,IFERROR(L434,999),100-pct*200-days*3))</f>
        <v/>
      </c>
      <c r="N434" s="11">
        <f>IF(A434="","",IF(H434="","Unmatched GL",IF(AND(K434&lt;=Tol_Amount,L434&lt;=Tol_Days),"Matched",IF(M434&gt;Tol_NearPct,"Near Match","Unmatched GL"))))</f>
        <v/>
      </c>
    </row>
    <row r="435">
      <c r="A435" s="13">
        <f>IF(GL_CLEAN!A435="","",GL_CLEAN!A435)</f>
        <v/>
      </c>
      <c r="B435" s="10">
        <f>IF(A435="","",GL_CLEAN!B435)</f>
        <v/>
      </c>
      <c r="C435" s="11">
        <f>IF(A435="","",GL_CLEAN!C435)</f>
        <v/>
      </c>
      <c r="D435" s="14">
        <f>IF(A435="","",GL_CLEAN!H435)</f>
        <v/>
      </c>
      <c r="E435" s="14">
        <f>IF(A435="","",GL_CLEAN!I435)</f>
        <v/>
      </c>
      <c r="F435" s="11">
        <f>IF(A435="","",GL_CLEAN!J435)</f>
        <v/>
      </c>
      <c r="G435" s="11">
        <f>IF(A435="","",IF(F435="OUT","DR","CR"))</f>
        <v/>
      </c>
      <c r="H435" s="11">
        <f>IF(A435="","",IFERROR(INDEX(BANK_CLEAN!$A$2:$A$1001,MATCH(MINIFS(BANK_CLEAN!$J$2:$J$1001,BANK_CLEAN!$H$2:$H$1001,G435,BANK_CLEAN!$L$2:$L$1001,""),BANK_CLEAN!$J$2:$J$1001,0)),""))</f>
        <v/>
      </c>
      <c r="I435" s="10">
        <f>IF(H435="","",INDEX(BANK_CLEAN!$B$2:$B$1001,H435))</f>
        <v/>
      </c>
      <c r="J435" s="14">
        <f>IF(H435="","",IF(F435="OUT",INDEX(BANK_CLEAN!$F$2:$F$1001,H435),INDEX(BANK_CLEAN!$E$2:$E$1001,H435)))</f>
        <v/>
      </c>
      <c r="K435" s="14">
        <f>IF(H435="","",ABS(E435-J435))</f>
        <v/>
      </c>
      <c r="L435" s="11">
        <f>IF(OR(H435="",B435="",I435=""),"",ABS(B435-I435))</f>
        <v/>
      </c>
      <c r="M435" s="15">
        <f>IF(H435="",0,LET(pct,IF(E435&gt;0,K435/E435,1),days,IFERROR(L435,999),100-pct*200-days*3))</f>
        <v/>
      </c>
      <c r="N435" s="11">
        <f>IF(A435="","",IF(H435="","Unmatched GL",IF(AND(K435&lt;=Tol_Amount,L435&lt;=Tol_Days),"Matched",IF(M435&gt;Tol_NearPct,"Near Match","Unmatched GL"))))</f>
        <v/>
      </c>
    </row>
    <row r="436">
      <c r="A436" s="13">
        <f>IF(GL_CLEAN!A436="","",GL_CLEAN!A436)</f>
        <v/>
      </c>
      <c r="B436" s="10">
        <f>IF(A436="","",GL_CLEAN!B436)</f>
        <v/>
      </c>
      <c r="C436" s="11">
        <f>IF(A436="","",GL_CLEAN!C436)</f>
        <v/>
      </c>
      <c r="D436" s="14">
        <f>IF(A436="","",GL_CLEAN!H436)</f>
        <v/>
      </c>
      <c r="E436" s="14">
        <f>IF(A436="","",GL_CLEAN!I436)</f>
        <v/>
      </c>
      <c r="F436" s="11">
        <f>IF(A436="","",GL_CLEAN!J436)</f>
        <v/>
      </c>
      <c r="G436" s="11">
        <f>IF(A436="","",IF(F436="OUT","DR","CR"))</f>
        <v/>
      </c>
      <c r="H436" s="11">
        <f>IF(A436="","",IFERROR(INDEX(BANK_CLEAN!$A$2:$A$1001,MATCH(MINIFS(BANK_CLEAN!$J$2:$J$1001,BANK_CLEAN!$H$2:$H$1001,G436,BANK_CLEAN!$L$2:$L$1001,""),BANK_CLEAN!$J$2:$J$1001,0)),""))</f>
        <v/>
      </c>
      <c r="I436" s="10">
        <f>IF(H436="","",INDEX(BANK_CLEAN!$B$2:$B$1001,H436))</f>
        <v/>
      </c>
      <c r="J436" s="14">
        <f>IF(H436="","",IF(F436="OUT",INDEX(BANK_CLEAN!$F$2:$F$1001,H436),INDEX(BANK_CLEAN!$E$2:$E$1001,H436)))</f>
        <v/>
      </c>
      <c r="K436" s="14">
        <f>IF(H436="","",ABS(E436-J436))</f>
        <v/>
      </c>
      <c r="L436" s="11">
        <f>IF(OR(H436="",B436="",I436=""),"",ABS(B436-I436))</f>
        <v/>
      </c>
      <c r="M436" s="15">
        <f>IF(H436="",0,LET(pct,IF(E436&gt;0,K436/E436,1),days,IFERROR(L436,999),100-pct*200-days*3))</f>
        <v/>
      </c>
      <c r="N436" s="11">
        <f>IF(A436="","",IF(H436="","Unmatched GL",IF(AND(K436&lt;=Tol_Amount,L436&lt;=Tol_Days),"Matched",IF(M436&gt;Tol_NearPct,"Near Match","Unmatched GL"))))</f>
        <v/>
      </c>
    </row>
    <row r="437">
      <c r="A437" s="13">
        <f>IF(GL_CLEAN!A437="","",GL_CLEAN!A437)</f>
        <v/>
      </c>
      <c r="B437" s="10">
        <f>IF(A437="","",GL_CLEAN!B437)</f>
        <v/>
      </c>
      <c r="C437" s="11">
        <f>IF(A437="","",GL_CLEAN!C437)</f>
        <v/>
      </c>
      <c r="D437" s="14">
        <f>IF(A437="","",GL_CLEAN!H437)</f>
        <v/>
      </c>
      <c r="E437" s="14">
        <f>IF(A437="","",GL_CLEAN!I437)</f>
        <v/>
      </c>
      <c r="F437" s="11">
        <f>IF(A437="","",GL_CLEAN!J437)</f>
        <v/>
      </c>
      <c r="G437" s="11">
        <f>IF(A437="","",IF(F437="OUT","DR","CR"))</f>
        <v/>
      </c>
      <c r="H437" s="11">
        <f>IF(A437="","",IFERROR(INDEX(BANK_CLEAN!$A$2:$A$1001,MATCH(MINIFS(BANK_CLEAN!$J$2:$J$1001,BANK_CLEAN!$H$2:$H$1001,G437,BANK_CLEAN!$L$2:$L$1001,""),BANK_CLEAN!$J$2:$J$1001,0)),""))</f>
        <v/>
      </c>
      <c r="I437" s="10">
        <f>IF(H437="","",INDEX(BANK_CLEAN!$B$2:$B$1001,H437))</f>
        <v/>
      </c>
      <c r="J437" s="14">
        <f>IF(H437="","",IF(F437="OUT",INDEX(BANK_CLEAN!$F$2:$F$1001,H437),INDEX(BANK_CLEAN!$E$2:$E$1001,H437)))</f>
        <v/>
      </c>
      <c r="K437" s="14">
        <f>IF(H437="","",ABS(E437-J437))</f>
        <v/>
      </c>
      <c r="L437" s="11">
        <f>IF(OR(H437="",B437="",I437=""),"",ABS(B437-I437))</f>
        <v/>
      </c>
      <c r="M437" s="15">
        <f>IF(H437="",0,LET(pct,IF(E437&gt;0,K437/E437,1),days,IFERROR(L437,999),100-pct*200-days*3))</f>
        <v/>
      </c>
      <c r="N437" s="11">
        <f>IF(A437="","",IF(H437="","Unmatched GL",IF(AND(K437&lt;=Tol_Amount,L437&lt;=Tol_Days),"Matched",IF(M437&gt;Tol_NearPct,"Near Match","Unmatched GL"))))</f>
        <v/>
      </c>
    </row>
    <row r="438">
      <c r="A438" s="13">
        <f>IF(GL_CLEAN!A438="","",GL_CLEAN!A438)</f>
        <v/>
      </c>
      <c r="B438" s="10">
        <f>IF(A438="","",GL_CLEAN!B438)</f>
        <v/>
      </c>
      <c r="C438" s="11">
        <f>IF(A438="","",GL_CLEAN!C438)</f>
        <v/>
      </c>
      <c r="D438" s="14">
        <f>IF(A438="","",GL_CLEAN!H438)</f>
        <v/>
      </c>
      <c r="E438" s="14">
        <f>IF(A438="","",GL_CLEAN!I438)</f>
        <v/>
      </c>
      <c r="F438" s="11">
        <f>IF(A438="","",GL_CLEAN!J438)</f>
        <v/>
      </c>
      <c r="G438" s="11">
        <f>IF(A438="","",IF(F438="OUT","DR","CR"))</f>
        <v/>
      </c>
      <c r="H438" s="11">
        <f>IF(A438="","",IFERROR(INDEX(BANK_CLEAN!$A$2:$A$1001,MATCH(MINIFS(BANK_CLEAN!$J$2:$J$1001,BANK_CLEAN!$H$2:$H$1001,G438,BANK_CLEAN!$L$2:$L$1001,""),BANK_CLEAN!$J$2:$J$1001,0)),""))</f>
        <v/>
      </c>
      <c r="I438" s="10">
        <f>IF(H438="","",INDEX(BANK_CLEAN!$B$2:$B$1001,H438))</f>
        <v/>
      </c>
      <c r="J438" s="14">
        <f>IF(H438="","",IF(F438="OUT",INDEX(BANK_CLEAN!$F$2:$F$1001,H438),INDEX(BANK_CLEAN!$E$2:$E$1001,H438)))</f>
        <v/>
      </c>
      <c r="K438" s="14">
        <f>IF(H438="","",ABS(E438-J438))</f>
        <v/>
      </c>
      <c r="L438" s="11">
        <f>IF(OR(H438="",B438="",I438=""),"",ABS(B438-I438))</f>
        <v/>
      </c>
      <c r="M438" s="15">
        <f>IF(H438="",0,LET(pct,IF(E438&gt;0,K438/E438,1),days,IFERROR(L438,999),100-pct*200-days*3))</f>
        <v/>
      </c>
      <c r="N438" s="11">
        <f>IF(A438="","",IF(H438="","Unmatched GL",IF(AND(K438&lt;=Tol_Amount,L438&lt;=Tol_Days),"Matched",IF(M438&gt;Tol_NearPct,"Near Match","Unmatched GL"))))</f>
        <v/>
      </c>
    </row>
    <row r="439">
      <c r="A439" s="13">
        <f>IF(GL_CLEAN!A439="","",GL_CLEAN!A439)</f>
        <v/>
      </c>
      <c r="B439" s="10">
        <f>IF(A439="","",GL_CLEAN!B439)</f>
        <v/>
      </c>
      <c r="C439" s="11">
        <f>IF(A439="","",GL_CLEAN!C439)</f>
        <v/>
      </c>
      <c r="D439" s="14">
        <f>IF(A439="","",GL_CLEAN!H439)</f>
        <v/>
      </c>
      <c r="E439" s="14">
        <f>IF(A439="","",GL_CLEAN!I439)</f>
        <v/>
      </c>
      <c r="F439" s="11">
        <f>IF(A439="","",GL_CLEAN!J439)</f>
        <v/>
      </c>
      <c r="G439" s="11">
        <f>IF(A439="","",IF(F439="OUT","DR","CR"))</f>
        <v/>
      </c>
      <c r="H439" s="11">
        <f>IF(A439="","",IFERROR(INDEX(BANK_CLEAN!$A$2:$A$1001,MATCH(MINIFS(BANK_CLEAN!$J$2:$J$1001,BANK_CLEAN!$H$2:$H$1001,G439,BANK_CLEAN!$L$2:$L$1001,""),BANK_CLEAN!$J$2:$J$1001,0)),""))</f>
        <v/>
      </c>
      <c r="I439" s="10">
        <f>IF(H439="","",INDEX(BANK_CLEAN!$B$2:$B$1001,H439))</f>
        <v/>
      </c>
      <c r="J439" s="14">
        <f>IF(H439="","",IF(F439="OUT",INDEX(BANK_CLEAN!$F$2:$F$1001,H439),INDEX(BANK_CLEAN!$E$2:$E$1001,H439)))</f>
        <v/>
      </c>
      <c r="K439" s="14">
        <f>IF(H439="","",ABS(E439-J439))</f>
        <v/>
      </c>
      <c r="L439" s="11">
        <f>IF(OR(H439="",B439="",I439=""),"",ABS(B439-I439))</f>
        <v/>
      </c>
      <c r="M439" s="15">
        <f>IF(H439="",0,LET(pct,IF(E439&gt;0,K439/E439,1),days,IFERROR(L439,999),100-pct*200-days*3))</f>
        <v/>
      </c>
      <c r="N439" s="11">
        <f>IF(A439="","",IF(H439="","Unmatched GL",IF(AND(K439&lt;=Tol_Amount,L439&lt;=Tol_Days),"Matched",IF(M439&gt;Tol_NearPct,"Near Match","Unmatched GL"))))</f>
        <v/>
      </c>
    </row>
    <row r="440">
      <c r="A440" s="13">
        <f>IF(GL_CLEAN!A440="","",GL_CLEAN!A440)</f>
        <v/>
      </c>
      <c r="B440" s="10">
        <f>IF(A440="","",GL_CLEAN!B440)</f>
        <v/>
      </c>
      <c r="C440" s="11">
        <f>IF(A440="","",GL_CLEAN!C440)</f>
        <v/>
      </c>
      <c r="D440" s="14">
        <f>IF(A440="","",GL_CLEAN!H440)</f>
        <v/>
      </c>
      <c r="E440" s="14">
        <f>IF(A440="","",GL_CLEAN!I440)</f>
        <v/>
      </c>
      <c r="F440" s="11">
        <f>IF(A440="","",GL_CLEAN!J440)</f>
        <v/>
      </c>
      <c r="G440" s="11">
        <f>IF(A440="","",IF(F440="OUT","DR","CR"))</f>
        <v/>
      </c>
      <c r="H440" s="11">
        <f>IF(A440="","",IFERROR(INDEX(BANK_CLEAN!$A$2:$A$1001,MATCH(MINIFS(BANK_CLEAN!$J$2:$J$1001,BANK_CLEAN!$H$2:$H$1001,G440,BANK_CLEAN!$L$2:$L$1001,""),BANK_CLEAN!$J$2:$J$1001,0)),""))</f>
        <v/>
      </c>
      <c r="I440" s="10">
        <f>IF(H440="","",INDEX(BANK_CLEAN!$B$2:$B$1001,H440))</f>
        <v/>
      </c>
      <c r="J440" s="14">
        <f>IF(H440="","",IF(F440="OUT",INDEX(BANK_CLEAN!$F$2:$F$1001,H440),INDEX(BANK_CLEAN!$E$2:$E$1001,H440)))</f>
        <v/>
      </c>
      <c r="K440" s="14">
        <f>IF(H440="","",ABS(E440-J440))</f>
        <v/>
      </c>
      <c r="L440" s="11">
        <f>IF(OR(H440="",B440="",I440=""),"",ABS(B440-I440))</f>
        <v/>
      </c>
      <c r="M440" s="15">
        <f>IF(H440="",0,LET(pct,IF(E440&gt;0,K440/E440,1),days,IFERROR(L440,999),100-pct*200-days*3))</f>
        <v/>
      </c>
      <c r="N440" s="11">
        <f>IF(A440="","",IF(H440="","Unmatched GL",IF(AND(K440&lt;=Tol_Amount,L440&lt;=Tol_Days),"Matched",IF(M440&gt;Tol_NearPct,"Near Match","Unmatched GL"))))</f>
        <v/>
      </c>
    </row>
    <row r="441">
      <c r="A441" s="13">
        <f>IF(GL_CLEAN!A441="","",GL_CLEAN!A441)</f>
        <v/>
      </c>
      <c r="B441" s="10">
        <f>IF(A441="","",GL_CLEAN!B441)</f>
        <v/>
      </c>
      <c r="C441" s="11">
        <f>IF(A441="","",GL_CLEAN!C441)</f>
        <v/>
      </c>
      <c r="D441" s="14">
        <f>IF(A441="","",GL_CLEAN!H441)</f>
        <v/>
      </c>
      <c r="E441" s="14">
        <f>IF(A441="","",GL_CLEAN!I441)</f>
        <v/>
      </c>
      <c r="F441" s="11">
        <f>IF(A441="","",GL_CLEAN!J441)</f>
        <v/>
      </c>
      <c r="G441" s="11">
        <f>IF(A441="","",IF(F441="OUT","DR","CR"))</f>
        <v/>
      </c>
      <c r="H441" s="11">
        <f>IF(A441="","",IFERROR(INDEX(BANK_CLEAN!$A$2:$A$1001,MATCH(MINIFS(BANK_CLEAN!$J$2:$J$1001,BANK_CLEAN!$H$2:$H$1001,G441,BANK_CLEAN!$L$2:$L$1001,""),BANK_CLEAN!$J$2:$J$1001,0)),""))</f>
        <v/>
      </c>
      <c r="I441" s="10">
        <f>IF(H441="","",INDEX(BANK_CLEAN!$B$2:$B$1001,H441))</f>
        <v/>
      </c>
      <c r="J441" s="14">
        <f>IF(H441="","",IF(F441="OUT",INDEX(BANK_CLEAN!$F$2:$F$1001,H441),INDEX(BANK_CLEAN!$E$2:$E$1001,H441)))</f>
        <v/>
      </c>
      <c r="K441" s="14">
        <f>IF(H441="","",ABS(E441-J441))</f>
        <v/>
      </c>
      <c r="L441" s="11">
        <f>IF(OR(H441="",B441="",I441=""),"",ABS(B441-I441))</f>
        <v/>
      </c>
      <c r="M441" s="15">
        <f>IF(H441="",0,LET(pct,IF(E441&gt;0,K441/E441,1),days,IFERROR(L441,999),100-pct*200-days*3))</f>
        <v/>
      </c>
      <c r="N441" s="11">
        <f>IF(A441="","",IF(H441="","Unmatched GL",IF(AND(K441&lt;=Tol_Amount,L441&lt;=Tol_Days),"Matched",IF(M441&gt;Tol_NearPct,"Near Match","Unmatched GL"))))</f>
        <v/>
      </c>
    </row>
    <row r="442">
      <c r="A442" s="13">
        <f>IF(GL_CLEAN!A442="","",GL_CLEAN!A442)</f>
        <v/>
      </c>
      <c r="B442" s="10">
        <f>IF(A442="","",GL_CLEAN!B442)</f>
        <v/>
      </c>
      <c r="C442" s="11">
        <f>IF(A442="","",GL_CLEAN!C442)</f>
        <v/>
      </c>
      <c r="D442" s="14">
        <f>IF(A442="","",GL_CLEAN!H442)</f>
        <v/>
      </c>
      <c r="E442" s="14">
        <f>IF(A442="","",GL_CLEAN!I442)</f>
        <v/>
      </c>
      <c r="F442" s="11">
        <f>IF(A442="","",GL_CLEAN!J442)</f>
        <v/>
      </c>
      <c r="G442" s="11">
        <f>IF(A442="","",IF(F442="OUT","DR","CR"))</f>
        <v/>
      </c>
      <c r="H442" s="11">
        <f>IF(A442="","",IFERROR(INDEX(BANK_CLEAN!$A$2:$A$1001,MATCH(MINIFS(BANK_CLEAN!$J$2:$J$1001,BANK_CLEAN!$H$2:$H$1001,G442,BANK_CLEAN!$L$2:$L$1001,""),BANK_CLEAN!$J$2:$J$1001,0)),""))</f>
        <v/>
      </c>
      <c r="I442" s="10">
        <f>IF(H442="","",INDEX(BANK_CLEAN!$B$2:$B$1001,H442))</f>
        <v/>
      </c>
      <c r="J442" s="14">
        <f>IF(H442="","",IF(F442="OUT",INDEX(BANK_CLEAN!$F$2:$F$1001,H442),INDEX(BANK_CLEAN!$E$2:$E$1001,H442)))</f>
        <v/>
      </c>
      <c r="K442" s="14">
        <f>IF(H442="","",ABS(E442-J442))</f>
        <v/>
      </c>
      <c r="L442" s="11">
        <f>IF(OR(H442="",B442="",I442=""),"",ABS(B442-I442))</f>
        <v/>
      </c>
      <c r="M442" s="15">
        <f>IF(H442="",0,LET(pct,IF(E442&gt;0,K442/E442,1),days,IFERROR(L442,999),100-pct*200-days*3))</f>
        <v/>
      </c>
      <c r="N442" s="11">
        <f>IF(A442="","",IF(H442="","Unmatched GL",IF(AND(K442&lt;=Tol_Amount,L442&lt;=Tol_Days),"Matched",IF(M442&gt;Tol_NearPct,"Near Match","Unmatched GL"))))</f>
        <v/>
      </c>
    </row>
    <row r="443">
      <c r="A443" s="13">
        <f>IF(GL_CLEAN!A443="","",GL_CLEAN!A443)</f>
        <v/>
      </c>
      <c r="B443" s="10">
        <f>IF(A443="","",GL_CLEAN!B443)</f>
        <v/>
      </c>
      <c r="C443" s="11">
        <f>IF(A443="","",GL_CLEAN!C443)</f>
        <v/>
      </c>
      <c r="D443" s="14">
        <f>IF(A443="","",GL_CLEAN!H443)</f>
        <v/>
      </c>
      <c r="E443" s="14">
        <f>IF(A443="","",GL_CLEAN!I443)</f>
        <v/>
      </c>
      <c r="F443" s="11">
        <f>IF(A443="","",GL_CLEAN!J443)</f>
        <v/>
      </c>
      <c r="G443" s="11">
        <f>IF(A443="","",IF(F443="OUT","DR","CR"))</f>
        <v/>
      </c>
      <c r="H443" s="11">
        <f>IF(A443="","",IFERROR(INDEX(BANK_CLEAN!$A$2:$A$1001,MATCH(MINIFS(BANK_CLEAN!$J$2:$J$1001,BANK_CLEAN!$H$2:$H$1001,G443,BANK_CLEAN!$L$2:$L$1001,""),BANK_CLEAN!$J$2:$J$1001,0)),""))</f>
        <v/>
      </c>
      <c r="I443" s="10">
        <f>IF(H443="","",INDEX(BANK_CLEAN!$B$2:$B$1001,H443))</f>
        <v/>
      </c>
      <c r="J443" s="14">
        <f>IF(H443="","",IF(F443="OUT",INDEX(BANK_CLEAN!$F$2:$F$1001,H443),INDEX(BANK_CLEAN!$E$2:$E$1001,H443)))</f>
        <v/>
      </c>
      <c r="K443" s="14">
        <f>IF(H443="","",ABS(E443-J443))</f>
        <v/>
      </c>
      <c r="L443" s="11">
        <f>IF(OR(H443="",B443="",I443=""),"",ABS(B443-I443))</f>
        <v/>
      </c>
      <c r="M443" s="15">
        <f>IF(H443="",0,LET(pct,IF(E443&gt;0,K443/E443,1),days,IFERROR(L443,999),100-pct*200-days*3))</f>
        <v/>
      </c>
      <c r="N443" s="11">
        <f>IF(A443="","",IF(H443="","Unmatched GL",IF(AND(K443&lt;=Tol_Amount,L443&lt;=Tol_Days),"Matched",IF(M443&gt;Tol_NearPct,"Near Match","Unmatched GL"))))</f>
        <v/>
      </c>
    </row>
    <row r="444">
      <c r="A444" s="13">
        <f>IF(GL_CLEAN!A444="","",GL_CLEAN!A444)</f>
        <v/>
      </c>
      <c r="B444" s="10">
        <f>IF(A444="","",GL_CLEAN!B444)</f>
        <v/>
      </c>
      <c r="C444" s="11">
        <f>IF(A444="","",GL_CLEAN!C444)</f>
        <v/>
      </c>
      <c r="D444" s="14">
        <f>IF(A444="","",GL_CLEAN!H444)</f>
        <v/>
      </c>
      <c r="E444" s="14">
        <f>IF(A444="","",GL_CLEAN!I444)</f>
        <v/>
      </c>
      <c r="F444" s="11">
        <f>IF(A444="","",GL_CLEAN!J444)</f>
        <v/>
      </c>
      <c r="G444" s="11">
        <f>IF(A444="","",IF(F444="OUT","DR","CR"))</f>
        <v/>
      </c>
      <c r="H444" s="11">
        <f>IF(A444="","",IFERROR(INDEX(BANK_CLEAN!$A$2:$A$1001,MATCH(MINIFS(BANK_CLEAN!$J$2:$J$1001,BANK_CLEAN!$H$2:$H$1001,G444,BANK_CLEAN!$L$2:$L$1001,""),BANK_CLEAN!$J$2:$J$1001,0)),""))</f>
        <v/>
      </c>
      <c r="I444" s="10">
        <f>IF(H444="","",INDEX(BANK_CLEAN!$B$2:$B$1001,H444))</f>
        <v/>
      </c>
      <c r="J444" s="14">
        <f>IF(H444="","",IF(F444="OUT",INDEX(BANK_CLEAN!$F$2:$F$1001,H444),INDEX(BANK_CLEAN!$E$2:$E$1001,H444)))</f>
        <v/>
      </c>
      <c r="K444" s="14">
        <f>IF(H444="","",ABS(E444-J444))</f>
        <v/>
      </c>
      <c r="L444" s="11">
        <f>IF(OR(H444="",B444="",I444=""),"",ABS(B444-I444))</f>
        <v/>
      </c>
      <c r="M444" s="15">
        <f>IF(H444="",0,LET(pct,IF(E444&gt;0,K444/E444,1),days,IFERROR(L444,999),100-pct*200-days*3))</f>
        <v/>
      </c>
      <c r="N444" s="11">
        <f>IF(A444="","",IF(H444="","Unmatched GL",IF(AND(K444&lt;=Tol_Amount,L444&lt;=Tol_Days),"Matched",IF(M444&gt;Tol_NearPct,"Near Match","Unmatched GL"))))</f>
        <v/>
      </c>
    </row>
    <row r="445">
      <c r="A445" s="13">
        <f>IF(GL_CLEAN!A445="","",GL_CLEAN!A445)</f>
        <v/>
      </c>
      <c r="B445" s="10">
        <f>IF(A445="","",GL_CLEAN!B445)</f>
        <v/>
      </c>
      <c r="C445" s="11">
        <f>IF(A445="","",GL_CLEAN!C445)</f>
        <v/>
      </c>
      <c r="D445" s="14">
        <f>IF(A445="","",GL_CLEAN!H445)</f>
        <v/>
      </c>
      <c r="E445" s="14">
        <f>IF(A445="","",GL_CLEAN!I445)</f>
        <v/>
      </c>
      <c r="F445" s="11">
        <f>IF(A445="","",GL_CLEAN!J445)</f>
        <v/>
      </c>
      <c r="G445" s="11">
        <f>IF(A445="","",IF(F445="OUT","DR","CR"))</f>
        <v/>
      </c>
      <c r="H445" s="11">
        <f>IF(A445="","",IFERROR(INDEX(BANK_CLEAN!$A$2:$A$1001,MATCH(MINIFS(BANK_CLEAN!$J$2:$J$1001,BANK_CLEAN!$H$2:$H$1001,G445,BANK_CLEAN!$L$2:$L$1001,""),BANK_CLEAN!$J$2:$J$1001,0)),""))</f>
        <v/>
      </c>
      <c r="I445" s="10">
        <f>IF(H445="","",INDEX(BANK_CLEAN!$B$2:$B$1001,H445))</f>
        <v/>
      </c>
      <c r="J445" s="14">
        <f>IF(H445="","",IF(F445="OUT",INDEX(BANK_CLEAN!$F$2:$F$1001,H445),INDEX(BANK_CLEAN!$E$2:$E$1001,H445)))</f>
        <v/>
      </c>
      <c r="K445" s="14">
        <f>IF(H445="","",ABS(E445-J445))</f>
        <v/>
      </c>
      <c r="L445" s="11">
        <f>IF(OR(H445="",B445="",I445=""),"",ABS(B445-I445))</f>
        <v/>
      </c>
      <c r="M445" s="15">
        <f>IF(H445="",0,LET(pct,IF(E445&gt;0,K445/E445,1),days,IFERROR(L445,999),100-pct*200-days*3))</f>
        <v/>
      </c>
      <c r="N445" s="11">
        <f>IF(A445="","",IF(H445="","Unmatched GL",IF(AND(K445&lt;=Tol_Amount,L445&lt;=Tol_Days),"Matched",IF(M445&gt;Tol_NearPct,"Near Match","Unmatched GL"))))</f>
        <v/>
      </c>
    </row>
    <row r="446">
      <c r="A446" s="13">
        <f>IF(GL_CLEAN!A446="","",GL_CLEAN!A446)</f>
        <v/>
      </c>
      <c r="B446" s="10">
        <f>IF(A446="","",GL_CLEAN!B446)</f>
        <v/>
      </c>
      <c r="C446" s="11">
        <f>IF(A446="","",GL_CLEAN!C446)</f>
        <v/>
      </c>
      <c r="D446" s="14">
        <f>IF(A446="","",GL_CLEAN!H446)</f>
        <v/>
      </c>
      <c r="E446" s="14">
        <f>IF(A446="","",GL_CLEAN!I446)</f>
        <v/>
      </c>
      <c r="F446" s="11">
        <f>IF(A446="","",GL_CLEAN!J446)</f>
        <v/>
      </c>
      <c r="G446" s="11">
        <f>IF(A446="","",IF(F446="OUT","DR","CR"))</f>
        <v/>
      </c>
      <c r="H446" s="11">
        <f>IF(A446="","",IFERROR(INDEX(BANK_CLEAN!$A$2:$A$1001,MATCH(MINIFS(BANK_CLEAN!$J$2:$J$1001,BANK_CLEAN!$H$2:$H$1001,G446,BANK_CLEAN!$L$2:$L$1001,""),BANK_CLEAN!$J$2:$J$1001,0)),""))</f>
        <v/>
      </c>
      <c r="I446" s="10">
        <f>IF(H446="","",INDEX(BANK_CLEAN!$B$2:$B$1001,H446))</f>
        <v/>
      </c>
      <c r="J446" s="14">
        <f>IF(H446="","",IF(F446="OUT",INDEX(BANK_CLEAN!$F$2:$F$1001,H446),INDEX(BANK_CLEAN!$E$2:$E$1001,H446)))</f>
        <v/>
      </c>
      <c r="K446" s="14">
        <f>IF(H446="","",ABS(E446-J446))</f>
        <v/>
      </c>
      <c r="L446" s="11">
        <f>IF(OR(H446="",B446="",I446=""),"",ABS(B446-I446))</f>
        <v/>
      </c>
      <c r="M446" s="15">
        <f>IF(H446="",0,LET(pct,IF(E446&gt;0,K446/E446,1),days,IFERROR(L446,999),100-pct*200-days*3))</f>
        <v/>
      </c>
      <c r="N446" s="11">
        <f>IF(A446="","",IF(H446="","Unmatched GL",IF(AND(K446&lt;=Tol_Amount,L446&lt;=Tol_Days),"Matched",IF(M446&gt;Tol_NearPct,"Near Match","Unmatched GL"))))</f>
        <v/>
      </c>
    </row>
    <row r="447">
      <c r="A447" s="13">
        <f>IF(GL_CLEAN!A447="","",GL_CLEAN!A447)</f>
        <v/>
      </c>
      <c r="B447" s="10">
        <f>IF(A447="","",GL_CLEAN!B447)</f>
        <v/>
      </c>
      <c r="C447" s="11">
        <f>IF(A447="","",GL_CLEAN!C447)</f>
        <v/>
      </c>
      <c r="D447" s="14">
        <f>IF(A447="","",GL_CLEAN!H447)</f>
        <v/>
      </c>
      <c r="E447" s="14">
        <f>IF(A447="","",GL_CLEAN!I447)</f>
        <v/>
      </c>
      <c r="F447" s="11">
        <f>IF(A447="","",GL_CLEAN!J447)</f>
        <v/>
      </c>
      <c r="G447" s="11">
        <f>IF(A447="","",IF(F447="OUT","DR","CR"))</f>
        <v/>
      </c>
      <c r="H447" s="11">
        <f>IF(A447="","",IFERROR(INDEX(BANK_CLEAN!$A$2:$A$1001,MATCH(MINIFS(BANK_CLEAN!$J$2:$J$1001,BANK_CLEAN!$H$2:$H$1001,G447,BANK_CLEAN!$L$2:$L$1001,""),BANK_CLEAN!$J$2:$J$1001,0)),""))</f>
        <v/>
      </c>
      <c r="I447" s="10">
        <f>IF(H447="","",INDEX(BANK_CLEAN!$B$2:$B$1001,H447))</f>
        <v/>
      </c>
      <c r="J447" s="14">
        <f>IF(H447="","",IF(F447="OUT",INDEX(BANK_CLEAN!$F$2:$F$1001,H447),INDEX(BANK_CLEAN!$E$2:$E$1001,H447)))</f>
        <v/>
      </c>
      <c r="K447" s="14">
        <f>IF(H447="","",ABS(E447-J447))</f>
        <v/>
      </c>
      <c r="L447" s="11">
        <f>IF(OR(H447="",B447="",I447=""),"",ABS(B447-I447))</f>
        <v/>
      </c>
      <c r="M447" s="15">
        <f>IF(H447="",0,LET(pct,IF(E447&gt;0,K447/E447,1),days,IFERROR(L447,999),100-pct*200-days*3))</f>
        <v/>
      </c>
      <c r="N447" s="11">
        <f>IF(A447="","",IF(H447="","Unmatched GL",IF(AND(K447&lt;=Tol_Amount,L447&lt;=Tol_Days),"Matched",IF(M447&gt;Tol_NearPct,"Near Match","Unmatched GL"))))</f>
        <v/>
      </c>
    </row>
    <row r="448">
      <c r="A448" s="13">
        <f>IF(GL_CLEAN!A448="","",GL_CLEAN!A448)</f>
        <v/>
      </c>
      <c r="B448" s="10">
        <f>IF(A448="","",GL_CLEAN!B448)</f>
        <v/>
      </c>
      <c r="C448" s="11">
        <f>IF(A448="","",GL_CLEAN!C448)</f>
        <v/>
      </c>
      <c r="D448" s="14">
        <f>IF(A448="","",GL_CLEAN!H448)</f>
        <v/>
      </c>
      <c r="E448" s="14">
        <f>IF(A448="","",GL_CLEAN!I448)</f>
        <v/>
      </c>
      <c r="F448" s="11">
        <f>IF(A448="","",GL_CLEAN!J448)</f>
        <v/>
      </c>
      <c r="G448" s="11">
        <f>IF(A448="","",IF(F448="OUT","DR","CR"))</f>
        <v/>
      </c>
      <c r="H448" s="11">
        <f>IF(A448="","",IFERROR(INDEX(BANK_CLEAN!$A$2:$A$1001,MATCH(MINIFS(BANK_CLEAN!$J$2:$J$1001,BANK_CLEAN!$H$2:$H$1001,G448,BANK_CLEAN!$L$2:$L$1001,""),BANK_CLEAN!$J$2:$J$1001,0)),""))</f>
        <v/>
      </c>
      <c r="I448" s="10">
        <f>IF(H448="","",INDEX(BANK_CLEAN!$B$2:$B$1001,H448))</f>
        <v/>
      </c>
      <c r="J448" s="14">
        <f>IF(H448="","",IF(F448="OUT",INDEX(BANK_CLEAN!$F$2:$F$1001,H448),INDEX(BANK_CLEAN!$E$2:$E$1001,H448)))</f>
        <v/>
      </c>
      <c r="K448" s="14">
        <f>IF(H448="","",ABS(E448-J448))</f>
        <v/>
      </c>
      <c r="L448" s="11">
        <f>IF(OR(H448="",B448="",I448=""),"",ABS(B448-I448))</f>
        <v/>
      </c>
      <c r="M448" s="15">
        <f>IF(H448="",0,LET(pct,IF(E448&gt;0,K448/E448,1),days,IFERROR(L448,999),100-pct*200-days*3))</f>
        <v/>
      </c>
      <c r="N448" s="11">
        <f>IF(A448="","",IF(H448="","Unmatched GL",IF(AND(K448&lt;=Tol_Amount,L448&lt;=Tol_Days),"Matched",IF(M448&gt;Tol_NearPct,"Near Match","Unmatched GL"))))</f>
        <v/>
      </c>
    </row>
    <row r="449">
      <c r="A449" s="13">
        <f>IF(GL_CLEAN!A449="","",GL_CLEAN!A449)</f>
        <v/>
      </c>
      <c r="B449" s="10">
        <f>IF(A449="","",GL_CLEAN!B449)</f>
        <v/>
      </c>
      <c r="C449" s="11">
        <f>IF(A449="","",GL_CLEAN!C449)</f>
        <v/>
      </c>
      <c r="D449" s="14">
        <f>IF(A449="","",GL_CLEAN!H449)</f>
        <v/>
      </c>
      <c r="E449" s="14">
        <f>IF(A449="","",GL_CLEAN!I449)</f>
        <v/>
      </c>
      <c r="F449" s="11">
        <f>IF(A449="","",GL_CLEAN!J449)</f>
        <v/>
      </c>
      <c r="G449" s="11">
        <f>IF(A449="","",IF(F449="OUT","DR","CR"))</f>
        <v/>
      </c>
      <c r="H449" s="11">
        <f>IF(A449="","",IFERROR(INDEX(BANK_CLEAN!$A$2:$A$1001,MATCH(MINIFS(BANK_CLEAN!$J$2:$J$1001,BANK_CLEAN!$H$2:$H$1001,G449,BANK_CLEAN!$L$2:$L$1001,""),BANK_CLEAN!$J$2:$J$1001,0)),""))</f>
        <v/>
      </c>
      <c r="I449" s="10">
        <f>IF(H449="","",INDEX(BANK_CLEAN!$B$2:$B$1001,H449))</f>
        <v/>
      </c>
      <c r="J449" s="14">
        <f>IF(H449="","",IF(F449="OUT",INDEX(BANK_CLEAN!$F$2:$F$1001,H449),INDEX(BANK_CLEAN!$E$2:$E$1001,H449)))</f>
        <v/>
      </c>
      <c r="K449" s="14">
        <f>IF(H449="","",ABS(E449-J449))</f>
        <v/>
      </c>
      <c r="L449" s="11">
        <f>IF(OR(H449="",B449="",I449=""),"",ABS(B449-I449))</f>
        <v/>
      </c>
      <c r="M449" s="15">
        <f>IF(H449="",0,LET(pct,IF(E449&gt;0,K449/E449,1),days,IFERROR(L449,999),100-pct*200-days*3))</f>
        <v/>
      </c>
      <c r="N449" s="11">
        <f>IF(A449="","",IF(H449="","Unmatched GL",IF(AND(K449&lt;=Tol_Amount,L449&lt;=Tol_Days),"Matched",IF(M449&gt;Tol_NearPct,"Near Match","Unmatched GL"))))</f>
        <v/>
      </c>
    </row>
    <row r="450">
      <c r="A450" s="13">
        <f>IF(GL_CLEAN!A450="","",GL_CLEAN!A450)</f>
        <v/>
      </c>
      <c r="B450" s="10">
        <f>IF(A450="","",GL_CLEAN!B450)</f>
        <v/>
      </c>
      <c r="C450" s="11">
        <f>IF(A450="","",GL_CLEAN!C450)</f>
        <v/>
      </c>
      <c r="D450" s="14">
        <f>IF(A450="","",GL_CLEAN!H450)</f>
        <v/>
      </c>
      <c r="E450" s="14">
        <f>IF(A450="","",GL_CLEAN!I450)</f>
        <v/>
      </c>
      <c r="F450" s="11">
        <f>IF(A450="","",GL_CLEAN!J450)</f>
        <v/>
      </c>
      <c r="G450" s="11">
        <f>IF(A450="","",IF(F450="OUT","DR","CR"))</f>
        <v/>
      </c>
      <c r="H450" s="11">
        <f>IF(A450="","",IFERROR(INDEX(BANK_CLEAN!$A$2:$A$1001,MATCH(MINIFS(BANK_CLEAN!$J$2:$J$1001,BANK_CLEAN!$H$2:$H$1001,G450,BANK_CLEAN!$L$2:$L$1001,""),BANK_CLEAN!$J$2:$J$1001,0)),""))</f>
        <v/>
      </c>
      <c r="I450" s="10">
        <f>IF(H450="","",INDEX(BANK_CLEAN!$B$2:$B$1001,H450))</f>
        <v/>
      </c>
      <c r="J450" s="14">
        <f>IF(H450="","",IF(F450="OUT",INDEX(BANK_CLEAN!$F$2:$F$1001,H450),INDEX(BANK_CLEAN!$E$2:$E$1001,H450)))</f>
        <v/>
      </c>
      <c r="K450" s="14">
        <f>IF(H450="","",ABS(E450-J450))</f>
        <v/>
      </c>
      <c r="L450" s="11">
        <f>IF(OR(H450="",B450="",I450=""),"",ABS(B450-I450))</f>
        <v/>
      </c>
      <c r="M450" s="15">
        <f>IF(H450="",0,LET(pct,IF(E450&gt;0,K450/E450,1),days,IFERROR(L450,999),100-pct*200-days*3))</f>
        <v/>
      </c>
      <c r="N450" s="11">
        <f>IF(A450="","",IF(H450="","Unmatched GL",IF(AND(K450&lt;=Tol_Amount,L450&lt;=Tol_Days),"Matched",IF(M450&gt;Tol_NearPct,"Near Match","Unmatched GL"))))</f>
        <v/>
      </c>
    </row>
    <row r="451">
      <c r="A451" s="13">
        <f>IF(GL_CLEAN!A451="","",GL_CLEAN!A451)</f>
        <v/>
      </c>
      <c r="B451" s="10">
        <f>IF(A451="","",GL_CLEAN!B451)</f>
        <v/>
      </c>
      <c r="C451" s="11">
        <f>IF(A451="","",GL_CLEAN!C451)</f>
        <v/>
      </c>
      <c r="D451" s="14">
        <f>IF(A451="","",GL_CLEAN!H451)</f>
        <v/>
      </c>
      <c r="E451" s="14">
        <f>IF(A451="","",GL_CLEAN!I451)</f>
        <v/>
      </c>
      <c r="F451" s="11">
        <f>IF(A451="","",GL_CLEAN!J451)</f>
        <v/>
      </c>
      <c r="G451" s="11">
        <f>IF(A451="","",IF(F451="OUT","DR","CR"))</f>
        <v/>
      </c>
      <c r="H451" s="11">
        <f>IF(A451="","",IFERROR(INDEX(BANK_CLEAN!$A$2:$A$1001,MATCH(MINIFS(BANK_CLEAN!$J$2:$J$1001,BANK_CLEAN!$H$2:$H$1001,G451,BANK_CLEAN!$L$2:$L$1001,""),BANK_CLEAN!$J$2:$J$1001,0)),""))</f>
        <v/>
      </c>
      <c r="I451" s="10">
        <f>IF(H451="","",INDEX(BANK_CLEAN!$B$2:$B$1001,H451))</f>
        <v/>
      </c>
      <c r="J451" s="14">
        <f>IF(H451="","",IF(F451="OUT",INDEX(BANK_CLEAN!$F$2:$F$1001,H451),INDEX(BANK_CLEAN!$E$2:$E$1001,H451)))</f>
        <v/>
      </c>
      <c r="K451" s="14">
        <f>IF(H451="","",ABS(E451-J451))</f>
        <v/>
      </c>
      <c r="L451" s="11">
        <f>IF(OR(H451="",B451="",I451=""),"",ABS(B451-I451))</f>
        <v/>
      </c>
      <c r="M451" s="15">
        <f>IF(H451="",0,LET(pct,IF(E451&gt;0,K451/E451,1),days,IFERROR(L451,999),100-pct*200-days*3))</f>
        <v/>
      </c>
      <c r="N451" s="11">
        <f>IF(A451="","",IF(H451="","Unmatched GL",IF(AND(K451&lt;=Tol_Amount,L451&lt;=Tol_Days),"Matched",IF(M451&gt;Tol_NearPct,"Near Match","Unmatched GL"))))</f>
        <v/>
      </c>
    </row>
    <row r="452">
      <c r="A452" s="13">
        <f>IF(GL_CLEAN!A452="","",GL_CLEAN!A452)</f>
        <v/>
      </c>
      <c r="B452" s="10">
        <f>IF(A452="","",GL_CLEAN!B452)</f>
        <v/>
      </c>
      <c r="C452" s="11">
        <f>IF(A452="","",GL_CLEAN!C452)</f>
        <v/>
      </c>
      <c r="D452" s="14">
        <f>IF(A452="","",GL_CLEAN!H452)</f>
        <v/>
      </c>
      <c r="E452" s="14">
        <f>IF(A452="","",GL_CLEAN!I452)</f>
        <v/>
      </c>
      <c r="F452" s="11">
        <f>IF(A452="","",GL_CLEAN!J452)</f>
        <v/>
      </c>
      <c r="G452" s="11">
        <f>IF(A452="","",IF(F452="OUT","DR","CR"))</f>
        <v/>
      </c>
      <c r="H452" s="11">
        <f>IF(A452="","",IFERROR(INDEX(BANK_CLEAN!$A$2:$A$1001,MATCH(MINIFS(BANK_CLEAN!$J$2:$J$1001,BANK_CLEAN!$H$2:$H$1001,G452,BANK_CLEAN!$L$2:$L$1001,""),BANK_CLEAN!$J$2:$J$1001,0)),""))</f>
        <v/>
      </c>
      <c r="I452" s="10">
        <f>IF(H452="","",INDEX(BANK_CLEAN!$B$2:$B$1001,H452))</f>
        <v/>
      </c>
      <c r="J452" s="14">
        <f>IF(H452="","",IF(F452="OUT",INDEX(BANK_CLEAN!$F$2:$F$1001,H452),INDEX(BANK_CLEAN!$E$2:$E$1001,H452)))</f>
        <v/>
      </c>
      <c r="K452" s="14">
        <f>IF(H452="","",ABS(E452-J452))</f>
        <v/>
      </c>
      <c r="L452" s="11">
        <f>IF(OR(H452="",B452="",I452=""),"",ABS(B452-I452))</f>
        <v/>
      </c>
      <c r="M452" s="15">
        <f>IF(H452="",0,LET(pct,IF(E452&gt;0,K452/E452,1),days,IFERROR(L452,999),100-pct*200-days*3))</f>
        <v/>
      </c>
      <c r="N452" s="11">
        <f>IF(A452="","",IF(H452="","Unmatched GL",IF(AND(K452&lt;=Tol_Amount,L452&lt;=Tol_Days),"Matched",IF(M452&gt;Tol_NearPct,"Near Match","Unmatched GL"))))</f>
        <v/>
      </c>
    </row>
    <row r="453">
      <c r="A453" s="13">
        <f>IF(GL_CLEAN!A453="","",GL_CLEAN!A453)</f>
        <v/>
      </c>
      <c r="B453" s="10">
        <f>IF(A453="","",GL_CLEAN!B453)</f>
        <v/>
      </c>
      <c r="C453" s="11">
        <f>IF(A453="","",GL_CLEAN!C453)</f>
        <v/>
      </c>
      <c r="D453" s="14">
        <f>IF(A453="","",GL_CLEAN!H453)</f>
        <v/>
      </c>
      <c r="E453" s="14">
        <f>IF(A453="","",GL_CLEAN!I453)</f>
        <v/>
      </c>
      <c r="F453" s="11">
        <f>IF(A453="","",GL_CLEAN!J453)</f>
        <v/>
      </c>
      <c r="G453" s="11">
        <f>IF(A453="","",IF(F453="OUT","DR","CR"))</f>
        <v/>
      </c>
      <c r="H453" s="11">
        <f>IF(A453="","",IFERROR(INDEX(BANK_CLEAN!$A$2:$A$1001,MATCH(MINIFS(BANK_CLEAN!$J$2:$J$1001,BANK_CLEAN!$H$2:$H$1001,G453,BANK_CLEAN!$L$2:$L$1001,""),BANK_CLEAN!$J$2:$J$1001,0)),""))</f>
        <v/>
      </c>
      <c r="I453" s="10">
        <f>IF(H453="","",INDEX(BANK_CLEAN!$B$2:$B$1001,H453))</f>
        <v/>
      </c>
      <c r="J453" s="14">
        <f>IF(H453="","",IF(F453="OUT",INDEX(BANK_CLEAN!$F$2:$F$1001,H453),INDEX(BANK_CLEAN!$E$2:$E$1001,H453)))</f>
        <v/>
      </c>
      <c r="K453" s="14">
        <f>IF(H453="","",ABS(E453-J453))</f>
        <v/>
      </c>
      <c r="L453" s="11">
        <f>IF(OR(H453="",B453="",I453=""),"",ABS(B453-I453))</f>
        <v/>
      </c>
      <c r="M453" s="15">
        <f>IF(H453="",0,LET(pct,IF(E453&gt;0,K453/E453,1),days,IFERROR(L453,999),100-pct*200-days*3))</f>
        <v/>
      </c>
      <c r="N453" s="11">
        <f>IF(A453="","",IF(H453="","Unmatched GL",IF(AND(K453&lt;=Tol_Amount,L453&lt;=Tol_Days),"Matched",IF(M453&gt;Tol_NearPct,"Near Match","Unmatched GL"))))</f>
        <v/>
      </c>
    </row>
    <row r="454">
      <c r="A454" s="13">
        <f>IF(GL_CLEAN!A454="","",GL_CLEAN!A454)</f>
        <v/>
      </c>
      <c r="B454" s="10">
        <f>IF(A454="","",GL_CLEAN!B454)</f>
        <v/>
      </c>
      <c r="C454" s="11">
        <f>IF(A454="","",GL_CLEAN!C454)</f>
        <v/>
      </c>
      <c r="D454" s="14">
        <f>IF(A454="","",GL_CLEAN!H454)</f>
        <v/>
      </c>
      <c r="E454" s="14">
        <f>IF(A454="","",GL_CLEAN!I454)</f>
        <v/>
      </c>
      <c r="F454" s="11">
        <f>IF(A454="","",GL_CLEAN!J454)</f>
        <v/>
      </c>
      <c r="G454" s="11">
        <f>IF(A454="","",IF(F454="OUT","DR","CR"))</f>
        <v/>
      </c>
      <c r="H454" s="11">
        <f>IF(A454="","",IFERROR(INDEX(BANK_CLEAN!$A$2:$A$1001,MATCH(MINIFS(BANK_CLEAN!$J$2:$J$1001,BANK_CLEAN!$H$2:$H$1001,G454,BANK_CLEAN!$L$2:$L$1001,""),BANK_CLEAN!$J$2:$J$1001,0)),""))</f>
        <v/>
      </c>
      <c r="I454" s="10">
        <f>IF(H454="","",INDEX(BANK_CLEAN!$B$2:$B$1001,H454))</f>
        <v/>
      </c>
      <c r="J454" s="14">
        <f>IF(H454="","",IF(F454="OUT",INDEX(BANK_CLEAN!$F$2:$F$1001,H454),INDEX(BANK_CLEAN!$E$2:$E$1001,H454)))</f>
        <v/>
      </c>
      <c r="K454" s="14">
        <f>IF(H454="","",ABS(E454-J454))</f>
        <v/>
      </c>
      <c r="L454" s="11">
        <f>IF(OR(H454="",B454="",I454=""),"",ABS(B454-I454))</f>
        <v/>
      </c>
      <c r="M454" s="15">
        <f>IF(H454="",0,LET(pct,IF(E454&gt;0,K454/E454,1),days,IFERROR(L454,999),100-pct*200-days*3))</f>
        <v/>
      </c>
      <c r="N454" s="11">
        <f>IF(A454="","",IF(H454="","Unmatched GL",IF(AND(K454&lt;=Tol_Amount,L454&lt;=Tol_Days),"Matched",IF(M454&gt;Tol_NearPct,"Near Match","Unmatched GL"))))</f>
        <v/>
      </c>
    </row>
    <row r="455">
      <c r="A455" s="13">
        <f>IF(GL_CLEAN!A455="","",GL_CLEAN!A455)</f>
        <v/>
      </c>
      <c r="B455" s="10">
        <f>IF(A455="","",GL_CLEAN!B455)</f>
        <v/>
      </c>
      <c r="C455" s="11">
        <f>IF(A455="","",GL_CLEAN!C455)</f>
        <v/>
      </c>
      <c r="D455" s="14">
        <f>IF(A455="","",GL_CLEAN!H455)</f>
        <v/>
      </c>
      <c r="E455" s="14">
        <f>IF(A455="","",GL_CLEAN!I455)</f>
        <v/>
      </c>
      <c r="F455" s="11">
        <f>IF(A455="","",GL_CLEAN!J455)</f>
        <v/>
      </c>
      <c r="G455" s="11">
        <f>IF(A455="","",IF(F455="OUT","DR","CR"))</f>
        <v/>
      </c>
      <c r="H455" s="11">
        <f>IF(A455="","",IFERROR(INDEX(BANK_CLEAN!$A$2:$A$1001,MATCH(MINIFS(BANK_CLEAN!$J$2:$J$1001,BANK_CLEAN!$H$2:$H$1001,G455,BANK_CLEAN!$L$2:$L$1001,""),BANK_CLEAN!$J$2:$J$1001,0)),""))</f>
        <v/>
      </c>
      <c r="I455" s="10">
        <f>IF(H455="","",INDEX(BANK_CLEAN!$B$2:$B$1001,H455))</f>
        <v/>
      </c>
      <c r="J455" s="14">
        <f>IF(H455="","",IF(F455="OUT",INDEX(BANK_CLEAN!$F$2:$F$1001,H455),INDEX(BANK_CLEAN!$E$2:$E$1001,H455)))</f>
        <v/>
      </c>
      <c r="K455" s="14">
        <f>IF(H455="","",ABS(E455-J455))</f>
        <v/>
      </c>
      <c r="L455" s="11">
        <f>IF(OR(H455="",B455="",I455=""),"",ABS(B455-I455))</f>
        <v/>
      </c>
      <c r="M455" s="15">
        <f>IF(H455="",0,LET(pct,IF(E455&gt;0,K455/E455,1),days,IFERROR(L455,999),100-pct*200-days*3))</f>
        <v/>
      </c>
      <c r="N455" s="11">
        <f>IF(A455="","",IF(H455="","Unmatched GL",IF(AND(K455&lt;=Tol_Amount,L455&lt;=Tol_Days),"Matched",IF(M455&gt;Tol_NearPct,"Near Match","Unmatched GL"))))</f>
        <v/>
      </c>
    </row>
    <row r="456">
      <c r="A456" s="13">
        <f>IF(GL_CLEAN!A456="","",GL_CLEAN!A456)</f>
        <v/>
      </c>
      <c r="B456" s="10">
        <f>IF(A456="","",GL_CLEAN!B456)</f>
        <v/>
      </c>
      <c r="C456" s="11">
        <f>IF(A456="","",GL_CLEAN!C456)</f>
        <v/>
      </c>
      <c r="D456" s="14">
        <f>IF(A456="","",GL_CLEAN!H456)</f>
        <v/>
      </c>
      <c r="E456" s="14">
        <f>IF(A456="","",GL_CLEAN!I456)</f>
        <v/>
      </c>
      <c r="F456" s="11">
        <f>IF(A456="","",GL_CLEAN!J456)</f>
        <v/>
      </c>
      <c r="G456" s="11">
        <f>IF(A456="","",IF(F456="OUT","DR","CR"))</f>
        <v/>
      </c>
      <c r="H456" s="11">
        <f>IF(A456="","",IFERROR(INDEX(BANK_CLEAN!$A$2:$A$1001,MATCH(MINIFS(BANK_CLEAN!$J$2:$J$1001,BANK_CLEAN!$H$2:$H$1001,G456,BANK_CLEAN!$L$2:$L$1001,""),BANK_CLEAN!$J$2:$J$1001,0)),""))</f>
        <v/>
      </c>
      <c r="I456" s="10">
        <f>IF(H456="","",INDEX(BANK_CLEAN!$B$2:$B$1001,H456))</f>
        <v/>
      </c>
      <c r="J456" s="14">
        <f>IF(H456="","",IF(F456="OUT",INDEX(BANK_CLEAN!$F$2:$F$1001,H456),INDEX(BANK_CLEAN!$E$2:$E$1001,H456)))</f>
        <v/>
      </c>
      <c r="K456" s="14">
        <f>IF(H456="","",ABS(E456-J456))</f>
        <v/>
      </c>
      <c r="L456" s="11">
        <f>IF(OR(H456="",B456="",I456=""),"",ABS(B456-I456))</f>
        <v/>
      </c>
      <c r="M456" s="15">
        <f>IF(H456="",0,LET(pct,IF(E456&gt;0,K456/E456,1),days,IFERROR(L456,999),100-pct*200-days*3))</f>
        <v/>
      </c>
      <c r="N456" s="11">
        <f>IF(A456="","",IF(H456="","Unmatched GL",IF(AND(K456&lt;=Tol_Amount,L456&lt;=Tol_Days),"Matched",IF(M456&gt;Tol_NearPct,"Near Match","Unmatched GL"))))</f>
        <v/>
      </c>
    </row>
    <row r="457">
      <c r="A457" s="13">
        <f>IF(GL_CLEAN!A457="","",GL_CLEAN!A457)</f>
        <v/>
      </c>
      <c r="B457" s="10">
        <f>IF(A457="","",GL_CLEAN!B457)</f>
        <v/>
      </c>
      <c r="C457" s="11">
        <f>IF(A457="","",GL_CLEAN!C457)</f>
        <v/>
      </c>
      <c r="D457" s="14">
        <f>IF(A457="","",GL_CLEAN!H457)</f>
        <v/>
      </c>
      <c r="E457" s="14">
        <f>IF(A457="","",GL_CLEAN!I457)</f>
        <v/>
      </c>
      <c r="F457" s="11">
        <f>IF(A457="","",GL_CLEAN!J457)</f>
        <v/>
      </c>
      <c r="G457" s="11">
        <f>IF(A457="","",IF(F457="OUT","DR","CR"))</f>
        <v/>
      </c>
      <c r="H457" s="11">
        <f>IF(A457="","",IFERROR(INDEX(BANK_CLEAN!$A$2:$A$1001,MATCH(MINIFS(BANK_CLEAN!$J$2:$J$1001,BANK_CLEAN!$H$2:$H$1001,G457,BANK_CLEAN!$L$2:$L$1001,""),BANK_CLEAN!$J$2:$J$1001,0)),""))</f>
        <v/>
      </c>
      <c r="I457" s="10">
        <f>IF(H457="","",INDEX(BANK_CLEAN!$B$2:$B$1001,H457))</f>
        <v/>
      </c>
      <c r="J457" s="14">
        <f>IF(H457="","",IF(F457="OUT",INDEX(BANK_CLEAN!$F$2:$F$1001,H457),INDEX(BANK_CLEAN!$E$2:$E$1001,H457)))</f>
        <v/>
      </c>
      <c r="K457" s="14">
        <f>IF(H457="","",ABS(E457-J457))</f>
        <v/>
      </c>
      <c r="L457" s="11">
        <f>IF(OR(H457="",B457="",I457=""),"",ABS(B457-I457))</f>
        <v/>
      </c>
      <c r="M457" s="15">
        <f>IF(H457="",0,LET(pct,IF(E457&gt;0,K457/E457,1),days,IFERROR(L457,999),100-pct*200-days*3))</f>
        <v/>
      </c>
      <c r="N457" s="11">
        <f>IF(A457="","",IF(H457="","Unmatched GL",IF(AND(K457&lt;=Tol_Amount,L457&lt;=Tol_Days),"Matched",IF(M457&gt;Tol_NearPct,"Near Match","Unmatched GL"))))</f>
        <v/>
      </c>
    </row>
    <row r="458">
      <c r="A458" s="13">
        <f>IF(GL_CLEAN!A458="","",GL_CLEAN!A458)</f>
        <v/>
      </c>
      <c r="B458" s="10">
        <f>IF(A458="","",GL_CLEAN!B458)</f>
        <v/>
      </c>
      <c r="C458" s="11">
        <f>IF(A458="","",GL_CLEAN!C458)</f>
        <v/>
      </c>
      <c r="D458" s="14">
        <f>IF(A458="","",GL_CLEAN!H458)</f>
        <v/>
      </c>
      <c r="E458" s="14">
        <f>IF(A458="","",GL_CLEAN!I458)</f>
        <v/>
      </c>
      <c r="F458" s="11">
        <f>IF(A458="","",GL_CLEAN!J458)</f>
        <v/>
      </c>
      <c r="G458" s="11">
        <f>IF(A458="","",IF(F458="OUT","DR","CR"))</f>
        <v/>
      </c>
      <c r="H458" s="11">
        <f>IF(A458="","",IFERROR(INDEX(BANK_CLEAN!$A$2:$A$1001,MATCH(MINIFS(BANK_CLEAN!$J$2:$J$1001,BANK_CLEAN!$H$2:$H$1001,G458,BANK_CLEAN!$L$2:$L$1001,""),BANK_CLEAN!$J$2:$J$1001,0)),""))</f>
        <v/>
      </c>
      <c r="I458" s="10">
        <f>IF(H458="","",INDEX(BANK_CLEAN!$B$2:$B$1001,H458))</f>
        <v/>
      </c>
      <c r="J458" s="14">
        <f>IF(H458="","",IF(F458="OUT",INDEX(BANK_CLEAN!$F$2:$F$1001,H458),INDEX(BANK_CLEAN!$E$2:$E$1001,H458)))</f>
        <v/>
      </c>
      <c r="K458" s="14">
        <f>IF(H458="","",ABS(E458-J458))</f>
        <v/>
      </c>
      <c r="L458" s="11">
        <f>IF(OR(H458="",B458="",I458=""),"",ABS(B458-I458))</f>
        <v/>
      </c>
      <c r="M458" s="15">
        <f>IF(H458="",0,LET(pct,IF(E458&gt;0,K458/E458,1),days,IFERROR(L458,999),100-pct*200-days*3))</f>
        <v/>
      </c>
      <c r="N458" s="11">
        <f>IF(A458="","",IF(H458="","Unmatched GL",IF(AND(K458&lt;=Tol_Amount,L458&lt;=Tol_Days),"Matched",IF(M458&gt;Tol_NearPct,"Near Match","Unmatched GL"))))</f>
        <v/>
      </c>
    </row>
    <row r="459">
      <c r="A459" s="13">
        <f>IF(GL_CLEAN!A459="","",GL_CLEAN!A459)</f>
        <v/>
      </c>
      <c r="B459" s="10">
        <f>IF(A459="","",GL_CLEAN!B459)</f>
        <v/>
      </c>
      <c r="C459" s="11">
        <f>IF(A459="","",GL_CLEAN!C459)</f>
        <v/>
      </c>
      <c r="D459" s="14">
        <f>IF(A459="","",GL_CLEAN!H459)</f>
        <v/>
      </c>
      <c r="E459" s="14">
        <f>IF(A459="","",GL_CLEAN!I459)</f>
        <v/>
      </c>
      <c r="F459" s="11">
        <f>IF(A459="","",GL_CLEAN!J459)</f>
        <v/>
      </c>
      <c r="G459" s="11">
        <f>IF(A459="","",IF(F459="OUT","DR","CR"))</f>
        <v/>
      </c>
      <c r="H459" s="11">
        <f>IF(A459="","",IFERROR(INDEX(BANK_CLEAN!$A$2:$A$1001,MATCH(MINIFS(BANK_CLEAN!$J$2:$J$1001,BANK_CLEAN!$H$2:$H$1001,G459,BANK_CLEAN!$L$2:$L$1001,""),BANK_CLEAN!$J$2:$J$1001,0)),""))</f>
        <v/>
      </c>
      <c r="I459" s="10">
        <f>IF(H459="","",INDEX(BANK_CLEAN!$B$2:$B$1001,H459))</f>
        <v/>
      </c>
      <c r="J459" s="14">
        <f>IF(H459="","",IF(F459="OUT",INDEX(BANK_CLEAN!$F$2:$F$1001,H459),INDEX(BANK_CLEAN!$E$2:$E$1001,H459)))</f>
        <v/>
      </c>
      <c r="K459" s="14">
        <f>IF(H459="","",ABS(E459-J459))</f>
        <v/>
      </c>
      <c r="L459" s="11">
        <f>IF(OR(H459="",B459="",I459=""),"",ABS(B459-I459))</f>
        <v/>
      </c>
      <c r="M459" s="15">
        <f>IF(H459="",0,LET(pct,IF(E459&gt;0,K459/E459,1),days,IFERROR(L459,999),100-pct*200-days*3))</f>
        <v/>
      </c>
      <c r="N459" s="11">
        <f>IF(A459="","",IF(H459="","Unmatched GL",IF(AND(K459&lt;=Tol_Amount,L459&lt;=Tol_Days),"Matched",IF(M459&gt;Tol_NearPct,"Near Match","Unmatched GL"))))</f>
        <v/>
      </c>
    </row>
    <row r="460">
      <c r="A460" s="13">
        <f>IF(GL_CLEAN!A460="","",GL_CLEAN!A460)</f>
        <v/>
      </c>
      <c r="B460" s="10">
        <f>IF(A460="","",GL_CLEAN!B460)</f>
        <v/>
      </c>
      <c r="C460" s="11">
        <f>IF(A460="","",GL_CLEAN!C460)</f>
        <v/>
      </c>
      <c r="D460" s="14">
        <f>IF(A460="","",GL_CLEAN!H460)</f>
        <v/>
      </c>
      <c r="E460" s="14">
        <f>IF(A460="","",GL_CLEAN!I460)</f>
        <v/>
      </c>
      <c r="F460" s="11">
        <f>IF(A460="","",GL_CLEAN!J460)</f>
        <v/>
      </c>
      <c r="G460" s="11">
        <f>IF(A460="","",IF(F460="OUT","DR","CR"))</f>
        <v/>
      </c>
      <c r="H460" s="11">
        <f>IF(A460="","",IFERROR(INDEX(BANK_CLEAN!$A$2:$A$1001,MATCH(MINIFS(BANK_CLEAN!$J$2:$J$1001,BANK_CLEAN!$H$2:$H$1001,G460,BANK_CLEAN!$L$2:$L$1001,""),BANK_CLEAN!$J$2:$J$1001,0)),""))</f>
        <v/>
      </c>
      <c r="I460" s="10">
        <f>IF(H460="","",INDEX(BANK_CLEAN!$B$2:$B$1001,H460))</f>
        <v/>
      </c>
      <c r="J460" s="14">
        <f>IF(H460="","",IF(F460="OUT",INDEX(BANK_CLEAN!$F$2:$F$1001,H460),INDEX(BANK_CLEAN!$E$2:$E$1001,H460)))</f>
        <v/>
      </c>
      <c r="K460" s="14">
        <f>IF(H460="","",ABS(E460-J460))</f>
        <v/>
      </c>
      <c r="L460" s="11">
        <f>IF(OR(H460="",B460="",I460=""),"",ABS(B460-I460))</f>
        <v/>
      </c>
      <c r="M460" s="15">
        <f>IF(H460="",0,LET(pct,IF(E460&gt;0,K460/E460,1),days,IFERROR(L460,999),100-pct*200-days*3))</f>
        <v/>
      </c>
      <c r="N460" s="11">
        <f>IF(A460="","",IF(H460="","Unmatched GL",IF(AND(K460&lt;=Tol_Amount,L460&lt;=Tol_Days),"Matched",IF(M460&gt;Tol_NearPct,"Near Match","Unmatched GL"))))</f>
        <v/>
      </c>
    </row>
    <row r="461">
      <c r="A461" s="13">
        <f>IF(GL_CLEAN!A461="","",GL_CLEAN!A461)</f>
        <v/>
      </c>
      <c r="B461" s="10">
        <f>IF(A461="","",GL_CLEAN!B461)</f>
        <v/>
      </c>
      <c r="C461" s="11">
        <f>IF(A461="","",GL_CLEAN!C461)</f>
        <v/>
      </c>
      <c r="D461" s="14">
        <f>IF(A461="","",GL_CLEAN!H461)</f>
        <v/>
      </c>
      <c r="E461" s="14">
        <f>IF(A461="","",GL_CLEAN!I461)</f>
        <v/>
      </c>
      <c r="F461" s="11">
        <f>IF(A461="","",GL_CLEAN!J461)</f>
        <v/>
      </c>
      <c r="G461" s="11">
        <f>IF(A461="","",IF(F461="OUT","DR","CR"))</f>
        <v/>
      </c>
      <c r="H461" s="11">
        <f>IF(A461="","",IFERROR(INDEX(BANK_CLEAN!$A$2:$A$1001,MATCH(MINIFS(BANK_CLEAN!$J$2:$J$1001,BANK_CLEAN!$H$2:$H$1001,G461,BANK_CLEAN!$L$2:$L$1001,""),BANK_CLEAN!$J$2:$J$1001,0)),""))</f>
        <v/>
      </c>
      <c r="I461" s="10">
        <f>IF(H461="","",INDEX(BANK_CLEAN!$B$2:$B$1001,H461))</f>
        <v/>
      </c>
      <c r="J461" s="14">
        <f>IF(H461="","",IF(F461="OUT",INDEX(BANK_CLEAN!$F$2:$F$1001,H461),INDEX(BANK_CLEAN!$E$2:$E$1001,H461)))</f>
        <v/>
      </c>
      <c r="K461" s="14">
        <f>IF(H461="","",ABS(E461-J461))</f>
        <v/>
      </c>
      <c r="L461" s="11">
        <f>IF(OR(H461="",B461="",I461=""),"",ABS(B461-I461))</f>
        <v/>
      </c>
      <c r="M461" s="15">
        <f>IF(H461="",0,LET(pct,IF(E461&gt;0,K461/E461,1),days,IFERROR(L461,999),100-pct*200-days*3))</f>
        <v/>
      </c>
      <c r="N461" s="11">
        <f>IF(A461="","",IF(H461="","Unmatched GL",IF(AND(K461&lt;=Tol_Amount,L461&lt;=Tol_Days),"Matched",IF(M461&gt;Tol_NearPct,"Near Match","Unmatched GL"))))</f>
        <v/>
      </c>
    </row>
    <row r="462">
      <c r="A462" s="13">
        <f>IF(GL_CLEAN!A462="","",GL_CLEAN!A462)</f>
        <v/>
      </c>
      <c r="B462" s="10">
        <f>IF(A462="","",GL_CLEAN!B462)</f>
        <v/>
      </c>
      <c r="C462" s="11">
        <f>IF(A462="","",GL_CLEAN!C462)</f>
        <v/>
      </c>
      <c r="D462" s="14">
        <f>IF(A462="","",GL_CLEAN!H462)</f>
        <v/>
      </c>
      <c r="E462" s="14">
        <f>IF(A462="","",GL_CLEAN!I462)</f>
        <v/>
      </c>
      <c r="F462" s="11">
        <f>IF(A462="","",GL_CLEAN!J462)</f>
        <v/>
      </c>
      <c r="G462" s="11">
        <f>IF(A462="","",IF(F462="OUT","DR","CR"))</f>
        <v/>
      </c>
      <c r="H462" s="11">
        <f>IF(A462="","",IFERROR(INDEX(BANK_CLEAN!$A$2:$A$1001,MATCH(MINIFS(BANK_CLEAN!$J$2:$J$1001,BANK_CLEAN!$H$2:$H$1001,G462,BANK_CLEAN!$L$2:$L$1001,""),BANK_CLEAN!$J$2:$J$1001,0)),""))</f>
        <v/>
      </c>
      <c r="I462" s="10">
        <f>IF(H462="","",INDEX(BANK_CLEAN!$B$2:$B$1001,H462))</f>
        <v/>
      </c>
      <c r="J462" s="14">
        <f>IF(H462="","",IF(F462="OUT",INDEX(BANK_CLEAN!$F$2:$F$1001,H462),INDEX(BANK_CLEAN!$E$2:$E$1001,H462)))</f>
        <v/>
      </c>
      <c r="K462" s="14">
        <f>IF(H462="","",ABS(E462-J462))</f>
        <v/>
      </c>
      <c r="L462" s="11">
        <f>IF(OR(H462="",B462="",I462=""),"",ABS(B462-I462))</f>
        <v/>
      </c>
      <c r="M462" s="15">
        <f>IF(H462="",0,LET(pct,IF(E462&gt;0,K462/E462,1),days,IFERROR(L462,999),100-pct*200-days*3))</f>
        <v/>
      </c>
      <c r="N462" s="11">
        <f>IF(A462="","",IF(H462="","Unmatched GL",IF(AND(K462&lt;=Tol_Amount,L462&lt;=Tol_Days),"Matched",IF(M462&gt;Tol_NearPct,"Near Match","Unmatched GL"))))</f>
        <v/>
      </c>
    </row>
    <row r="463">
      <c r="A463" s="13">
        <f>IF(GL_CLEAN!A463="","",GL_CLEAN!A463)</f>
        <v/>
      </c>
      <c r="B463" s="10">
        <f>IF(A463="","",GL_CLEAN!B463)</f>
        <v/>
      </c>
      <c r="C463" s="11">
        <f>IF(A463="","",GL_CLEAN!C463)</f>
        <v/>
      </c>
      <c r="D463" s="14">
        <f>IF(A463="","",GL_CLEAN!H463)</f>
        <v/>
      </c>
      <c r="E463" s="14">
        <f>IF(A463="","",GL_CLEAN!I463)</f>
        <v/>
      </c>
      <c r="F463" s="11">
        <f>IF(A463="","",GL_CLEAN!J463)</f>
        <v/>
      </c>
      <c r="G463" s="11">
        <f>IF(A463="","",IF(F463="OUT","DR","CR"))</f>
        <v/>
      </c>
      <c r="H463" s="11">
        <f>IF(A463="","",IFERROR(INDEX(BANK_CLEAN!$A$2:$A$1001,MATCH(MINIFS(BANK_CLEAN!$J$2:$J$1001,BANK_CLEAN!$H$2:$H$1001,G463,BANK_CLEAN!$L$2:$L$1001,""),BANK_CLEAN!$J$2:$J$1001,0)),""))</f>
        <v/>
      </c>
      <c r="I463" s="10">
        <f>IF(H463="","",INDEX(BANK_CLEAN!$B$2:$B$1001,H463))</f>
        <v/>
      </c>
      <c r="J463" s="14">
        <f>IF(H463="","",IF(F463="OUT",INDEX(BANK_CLEAN!$F$2:$F$1001,H463),INDEX(BANK_CLEAN!$E$2:$E$1001,H463)))</f>
        <v/>
      </c>
      <c r="K463" s="14">
        <f>IF(H463="","",ABS(E463-J463))</f>
        <v/>
      </c>
      <c r="L463" s="11">
        <f>IF(OR(H463="",B463="",I463=""),"",ABS(B463-I463))</f>
        <v/>
      </c>
      <c r="M463" s="15">
        <f>IF(H463="",0,LET(pct,IF(E463&gt;0,K463/E463,1),days,IFERROR(L463,999),100-pct*200-days*3))</f>
        <v/>
      </c>
      <c r="N463" s="11">
        <f>IF(A463="","",IF(H463="","Unmatched GL",IF(AND(K463&lt;=Tol_Amount,L463&lt;=Tol_Days),"Matched",IF(M463&gt;Tol_NearPct,"Near Match","Unmatched GL"))))</f>
        <v/>
      </c>
    </row>
    <row r="464">
      <c r="A464" s="13">
        <f>IF(GL_CLEAN!A464="","",GL_CLEAN!A464)</f>
        <v/>
      </c>
      <c r="B464" s="10">
        <f>IF(A464="","",GL_CLEAN!B464)</f>
        <v/>
      </c>
      <c r="C464" s="11">
        <f>IF(A464="","",GL_CLEAN!C464)</f>
        <v/>
      </c>
      <c r="D464" s="14">
        <f>IF(A464="","",GL_CLEAN!H464)</f>
        <v/>
      </c>
      <c r="E464" s="14">
        <f>IF(A464="","",GL_CLEAN!I464)</f>
        <v/>
      </c>
      <c r="F464" s="11">
        <f>IF(A464="","",GL_CLEAN!J464)</f>
        <v/>
      </c>
      <c r="G464" s="11">
        <f>IF(A464="","",IF(F464="OUT","DR","CR"))</f>
        <v/>
      </c>
      <c r="H464" s="11">
        <f>IF(A464="","",IFERROR(INDEX(BANK_CLEAN!$A$2:$A$1001,MATCH(MINIFS(BANK_CLEAN!$J$2:$J$1001,BANK_CLEAN!$H$2:$H$1001,G464,BANK_CLEAN!$L$2:$L$1001,""),BANK_CLEAN!$J$2:$J$1001,0)),""))</f>
        <v/>
      </c>
      <c r="I464" s="10">
        <f>IF(H464="","",INDEX(BANK_CLEAN!$B$2:$B$1001,H464))</f>
        <v/>
      </c>
      <c r="J464" s="14">
        <f>IF(H464="","",IF(F464="OUT",INDEX(BANK_CLEAN!$F$2:$F$1001,H464),INDEX(BANK_CLEAN!$E$2:$E$1001,H464)))</f>
        <v/>
      </c>
      <c r="K464" s="14">
        <f>IF(H464="","",ABS(E464-J464))</f>
        <v/>
      </c>
      <c r="L464" s="11">
        <f>IF(OR(H464="",B464="",I464=""),"",ABS(B464-I464))</f>
        <v/>
      </c>
      <c r="M464" s="15">
        <f>IF(H464="",0,LET(pct,IF(E464&gt;0,K464/E464,1),days,IFERROR(L464,999),100-pct*200-days*3))</f>
        <v/>
      </c>
      <c r="N464" s="11">
        <f>IF(A464="","",IF(H464="","Unmatched GL",IF(AND(K464&lt;=Tol_Amount,L464&lt;=Tol_Days),"Matched",IF(M464&gt;Tol_NearPct,"Near Match","Unmatched GL"))))</f>
        <v/>
      </c>
    </row>
    <row r="465">
      <c r="A465" s="13">
        <f>IF(GL_CLEAN!A465="","",GL_CLEAN!A465)</f>
        <v/>
      </c>
      <c r="B465" s="10">
        <f>IF(A465="","",GL_CLEAN!B465)</f>
        <v/>
      </c>
      <c r="C465" s="11">
        <f>IF(A465="","",GL_CLEAN!C465)</f>
        <v/>
      </c>
      <c r="D465" s="14">
        <f>IF(A465="","",GL_CLEAN!H465)</f>
        <v/>
      </c>
      <c r="E465" s="14">
        <f>IF(A465="","",GL_CLEAN!I465)</f>
        <v/>
      </c>
      <c r="F465" s="11">
        <f>IF(A465="","",GL_CLEAN!J465)</f>
        <v/>
      </c>
      <c r="G465" s="11">
        <f>IF(A465="","",IF(F465="OUT","DR","CR"))</f>
        <v/>
      </c>
      <c r="H465" s="11">
        <f>IF(A465="","",IFERROR(INDEX(BANK_CLEAN!$A$2:$A$1001,MATCH(MINIFS(BANK_CLEAN!$J$2:$J$1001,BANK_CLEAN!$H$2:$H$1001,G465,BANK_CLEAN!$L$2:$L$1001,""),BANK_CLEAN!$J$2:$J$1001,0)),""))</f>
        <v/>
      </c>
      <c r="I465" s="10">
        <f>IF(H465="","",INDEX(BANK_CLEAN!$B$2:$B$1001,H465))</f>
        <v/>
      </c>
      <c r="J465" s="14">
        <f>IF(H465="","",IF(F465="OUT",INDEX(BANK_CLEAN!$F$2:$F$1001,H465),INDEX(BANK_CLEAN!$E$2:$E$1001,H465)))</f>
        <v/>
      </c>
      <c r="K465" s="14">
        <f>IF(H465="","",ABS(E465-J465))</f>
        <v/>
      </c>
      <c r="L465" s="11">
        <f>IF(OR(H465="",B465="",I465=""),"",ABS(B465-I465))</f>
        <v/>
      </c>
      <c r="M465" s="15">
        <f>IF(H465="",0,LET(pct,IF(E465&gt;0,K465/E465,1),days,IFERROR(L465,999),100-pct*200-days*3))</f>
        <v/>
      </c>
      <c r="N465" s="11">
        <f>IF(A465="","",IF(H465="","Unmatched GL",IF(AND(K465&lt;=Tol_Amount,L465&lt;=Tol_Days),"Matched",IF(M465&gt;Tol_NearPct,"Near Match","Unmatched GL"))))</f>
        <v/>
      </c>
    </row>
    <row r="466">
      <c r="A466" s="13">
        <f>IF(GL_CLEAN!A466="","",GL_CLEAN!A466)</f>
        <v/>
      </c>
      <c r="B466" s="10">
        <f>IF(A466="","",GL_CLEAN!B466)</f>
        <v/>
      </c>
      <c r="C466" s="11">
        <f>IF(A466="","",GL_CLEAN!C466)</f>
        <v/>
      </c>
      <c r="D466" s="14">
        <f>IF(A466="","",GL_CLEAN!H466)</f>
        <v/>
      </c>
      <c r="E466" s="14">
        <f>IF(A466="","",GL_CLEAN!I466)</f>
        <v/>
      </c>
      <c r="F466" s="11">
        <f>IF(A466="","",GL_CLEAN!J466)</f>
        <v/>
      </c>
      <c r="G466" s="11">
        <f>IF(A466="","",IF(F466="OUT","DR","CR"))</f>
        <v/>
      </c>
      <c r="H466" s="11">
        <f>IF(A466="","",IFERROR(INDEX(BANK_CLEAN!$A$2:$A$1001,MATCH(MINIFS(BANK_CLEAN!$J$2:$J$1001,BANK_CLEAN!$H$2:$H$1001,G466,BANK_CLEAN!$L$2:$L$1001,""),BANK_CLEAN!$J$2:$J$1001,0)),""))</f>
        <v/>
      </c>
      <c r="I466" s="10">
        <f>IF(H466="","",INDEX(BANK_CLEAN!$B$2:$B$1001,H466))</f>
        <v/>
      </c>
      <c r="J466" s="14">
        <f>IF(H466="","",IF(F466="OUT",INDEX(BANK_CLEAN!$F$2:$F$1001,H466),INDEX(BANK_CLEAN!$E$2:$E$1001,H466)))</f>
        <v/>
      </c>
      <c r="K466" s="14">
        <f>IF(H466="","",ABS(E466-J466))</f>
        <v/>
      </c>
      <c r="L466" s="11">
        <f>IF(OR(H466="",B466="",I466=""),"",ABS(B466-I466))</f>
        <v/>
      </c>
      <c r="M466" s="15">
        <f>IF(H466="",0,LET(pct,IF(E466&gt;0,K466/E466,1),days,IFERROR(L466,999),100-pct*200-days*3))</f>
        <v/>
      </c>
      <c r="N466" s="11">
        <f>IF(A466="","",IF(H466="","Unmatched GL",IF(AND(K466&lt;=Tol_Amount,L466&lt;=Tol_Days),"Matched",IF(M466&gt;Tol_NearPct,"Near Match","Unmatched GL"))))</f>
        <v/>
      </c>
    </row>
    <row r="467">
      <c r="A467" s="13">
        <f>IF(GL_CLEAN!A467="","",GL_CLEAN!A467)</f>
        <v/>
      </c>
      <c r="B467" s="10">
        <f>IF(A467="","",GL_CLEAN!B467)</f>
        <v/>
      </c>
      <c r="C467" s="11">
        <f>IF(A467="","",GL_CLEAN!C467)</f>
        <v/>
      </c>
      <c r="D467" s="14">
        <f>IF(A467="","",GL_CLEAN!H467)</f>
        <v/>
      </c>
      <c r="E467" s="14">
        <f>IF(A467="","",GL_CLEAN!I467)</f>
        <v/>
      </c>
      <c r="F467" s="11">
        <f>IF(A467="","",GL_CLEAN!J467)</f>
        <v/>
      </c>
      <c r="G467" s="11">
        <f>IF(A467="","",IF(F467="OUT","DR","CR"))</f>
        <v/>
      </c>
      <c r="H467" s="11">
        <f>IF(A467="","",IFERROR(INDEX(BANK_CLEAN!$A$2:$A$1001,MATCH(MINIFS(BANK_CLEAN!$J$2:$J$1001,BANK_CLEAN!$H$2:$H$1001,G467,BANK_CLEAN!$L$2:$L$1001,""),BANK_CLEAN!$J$2:$J$1001,0)),""))</f>
        <v/>
      </c>
      <c r="I467" s="10">
        <f>IF(H467="","",INDEX(BANK_CLEAN!$B$2:$B$1001,H467))</f>
        <v/>
      </c>
      <c r="J467" s="14">
        <f>IF(H467="","",IF(F467="OUT",INDEX(BANK_CLEAN!$F$2:$F$1001,H467),INDEX(BANK_CLEAN!$E$2:$E$1001,H467)))</f>
        <v/>
      </c>
      <c r="K467" s="14">
        <f>IF(H467="","",ABS(E467-J467))</f>
        <v/>
      </c>
      <c r="L467" s="11">
        <f>IF(OR(H467="",B467="",I467=""),"",ABS(B467-I467))</f>
        <v/>
      </c>
      <c r="M467" s="15">
        <f>IF(H467="",0,LET(pct,IF(E467&gt;0,K467/E467,1),days,IFERROR(L467,999),100-pct*200-days*3))</f>
        <v/>
      </c>
      <c r="N467" s="11">
        <f>IF(A467="","",IF(H467="","Unmatched GL",IF(AND(K467&lt;=Tol_Amount,L467&lt;=Tol_Days),"Matched",IF(M467&gt;Tol_NearPct,"Near Match","Unmatched GL"))))</f>
        <v/>
      </c>
    </row>
    <row r="468">
      <c r="A468" s="13">
        <f>IF(GL_CLEAN!A468="","",GL_CLEAN!A468)</f>
        <v/>
      </c>
      <c r="B468" s="10">
        <f>IF(A468="","",GL_CLEAN!B468)</f>
        <v/>
      </c>
      <c r="C468" s="11">
        <f>IF(A468="","",GL_CLEAN!C468)</f>
        <v/>
      </c>
      <c r="D468" s="14">
        <f>IF(A468="","",GL_CLEAN!H468)</f>
        <v/>
      </c>
      <c r="E468" s="14">
        <f>IF(A468="","",GL_CLEAN!I468)</f>
        <v/>
      </c>
      <c r="F468" s="11">
        <f>IF(A468="","",GL_CLEAN!J468)</f>
        <v/>
      </c>
      <c r="G468" s="11">
        <f>IF(A468="","",IF(F468="OUT","DR","CR"))</f>
        <v/>
      </c>
      <c r="H468" s="11">
        <f>IF(A468="","",IFERROR(INDEX(BANK_CLEAN!$A$2:$A$1001,MATCH(MINIFS(BANK_CLEAN!$J$2:$J$1001,BANK_CLEAN!$H$2:$H$1001,G468,BANK_CLEAN!$L$2:$L$1001,""),BANK_CLEAN!$J$2:$J$1001,0)),""))</f>
        <v/>
      </c>
      <c r="I468" s="10">
        <f>IF(H468="","",INDEX(BANK_CLEAN!$B$2:$B$1001,H468))</f>
        <v/>
      </c>
      <c r="J468" s="14">
        <f>IF(H468="","",IF(F468="OUT",INDEX(BANK_CLEAN!$F$2:$F$1001,H468),INDEX(BANK_CLEAN!$E$2:$E$1001,H468)))</f>
        <v/>
      </c>
      <c r="K468" s="14">
        <f>IF(H468="","",ABS(E468-J468))</f>
        <v/>
      </c>
      <c r="L468" s="11">
        <f>IF(OR(H468="",B468="",I468=""),"",ABS(B468-I468))</f>
        <v/>
      </c>
      <c r="M468" s="15">
        <f>IF(H468="",0,LET(pct,IF(E468&gt;0,K468/E468,1),days,IFERROR(L468,999),100-pct*200-days*3))</f>
        <v/>
      </c>
      <c r="N468" s="11">
        <f>IF(A468="","",IF(H468="","Unmatched GL",IF(AND(K468&lt;=Tol_Amount,L468&lt;=Tol_Days),"Matched",IF(M468&gt;Tol_NearPct,"Near Match","Unmatched GL"))))</f>
        <v/>
      </c>
    </row>
    <row r="469">
      <c r="A469" s="13">
        <f>IF(GL_CLEAN!A469="","",GL_CLEAN!A469)</f>
        <v/>
      </c>
      <c r="B469" s="10">
        <f>IF(A469="","",GL_CLEAN!B469)</f>
        <v/>
      </c>
      <c r="C469" s="11">
        <f>IF(A469="","",GL_CLEAN!C469)</f>
        <v/>
      </c>
      <c r="D469" s="14">
        <f>IF(A469="","",GL_CLEAN!H469)</f>
        <v/>
      </c>
      <c r="E469" s="14">
        <f>IF(A469="","",GL_CLEAN!I469)</f>
        <v/>
      </c>
      <c r="F469" s="11">
        <f>IF(A469="","",GL_CLEAN!J469)</f>
        <v/>
      </c>
      <c r="G469" s="11">
        <f>IF(A469="","",IF(F469="OUT","DR","CR"))</f>
        <v/>
      </c>
      <c r="H469" s="11">
        <f>IF(A469="","",IFERROR(INDEX(BANK_CLEAN!$A$2:$A$1001,MATCH(MINIFS(BANK_CLEAN!$J$2:$J$1001,BANK_CLEAN!$H$2:$H$1001,G469,BANK_CLEAN!$L$2:$L$1001,""),BANK_CLEAN!$J$2:$J$1001,0)),""))</f>
        <v/>
      </c>
      <c r="I469" s="10">
        <f>IF(H469="","",INDEX(BANK_CLEAN!$B$2:$B$1001,H469))</f>
        <v/>
      </c>
      <c r="J469" s="14">
        <f>IF(H469="","",IF(F469="OUT",INDEX(BANK_CLEAN!$F$2:$F$1001,H469),INDEX(BANK_CLEAN!$E$2:$E$1001,H469)))</f>
        <v/>
      </c>
      <c r="K469" s="14">
        <f>IF(H469="","",ABS(E469-J469))</f>
        <v/>
      </c>
      <c r="L469" s="11">
        <f>IF(OR(H469="",B469="",I469=""),"",ABS(B469-I469))</f>
        <v/>
      </c>
      <c r="M469" s="15">
        <f>IF(H469="",0,LET(pct,IF(E469&gt;0,K469/E469,1),days,IFERROR(L469,999),100-pct*200-days*3))</f>
        <v/>
      </c>
      <c r="N469" s="11">
        <f>IF(A469="","",IF(H469="","Unmatched GL",IF(AND(K469&lt;=Tol_Amount,L469&lt;=Tol_Days),"Matched",IF(M469&gt;Tol_NearPct,"Near Match","Unmatched GL"))))</f>
        <v/>
      </c>
    </row>
    <row r="470">
      <c r="A470" s="13">
        <f>IF(GL_CLEAN!A470="","",GL_CLEAN!A470)</f>
        <v/>
      </c>
      <c r="B470" s="10">
        <f>IF(A470="","",GL_CLEAN!B470)</f>
        <v/>
      </c>
      <c r="C470" s="11">
        <f>IF(A470="","",GL_CLEAN!C470)</f>
        <v/>
      </c>
      <c r="D470" s="14">
        <f>IF(A470="","",GL_CLEAN!H470)</f>
        <v/>
      </c>
      <c r="E470" s="14">
        <f>IF(A470="","",GL_CLEAN!I470)</f>
        <v/>
      </c>
      <c r="F470" s="11">
        <f>IF(A470="","",GL_CLEAN!J470)</f>
        <v/>
      </c>
      <c r="G470" s="11">
        <f>IF(A470="","",IF(F470="OUT","DR","CR"))</f>
        <v/>
      </c>
      <c r="H470" s="11">
        <f>IF(A470="","",IFERROR(INDEX(BANK_CLEAN!$A$2:$A$1001,MATCH(MINIFS(BANK_CLEAN!$J$2:$J$1001,BANK_CLEAN!$H$2:$H$1001,G470,BANK_CLEAN!$L$2:$L$1001,""),BANK_CLEAN!$J$2:$J$1001,0)),""))</f>
        <v/>
      </c>
      <c r="I470" s="10">
        <f>IF(H470="","",INDEX(BANK_CLEAN!$B$2:$B$1001,H470))</f>
        <v/>
      </c>
      <c r="J470" s="14">
        <f>IF(H470="","",IF(F470="OUT",INDEX(BANK_CLEAN!$F$2:$F$1001,H470),INDEX(BANK_CLEAN!$E$2:$E$1001,H470)))</f>
        <v/>
      </c>
      <c r="K470" s="14">
        <f>IF(H470="","",ABS(E470-J470))</f>
        <v/>
      </c>
      <c r="L470" s="11">
        <f>IF(OR(H470="",B470="",I470=""),"",ABS(B470-I470))</f>
        <v/>
      </c>
      <c r="M470" s="15">
        <f>IF(H470="",0,LET(pct,IF(E470&gt;0,K470/E470,1),days,IFERROR(L470,999),100-pct*200-days*3))</f>
        <v/>
      </c>
      <c r="N470" s="11">
        <f>IF(A470="","",IF(H470="","Unmatched GL",IF(AND(K470&lt;=Tol_Amount,L470&lt;=Tol_Days),"Matched",IF(M470&gt;Tol_NearPct,"Near Match","Unmatched GL"))))</f>
        <v/>
      </c>
    </row>
    <row r="471">
      <c r="A471" s="13">
        <f>IF(GL_CLEAN!A471="","",GL_CLEAN!A471)</f>
        <v/>
      </c>
      <c r="B471" s="10">
        <f>IF(A471="","",GL_CLEAN!B471)</f>
        <v/>
      </c>
      <c r="C471" s="11">
        <f>IF(A471="","",GL_CLEAN!C471)</f>
        <v/>
      </c>
      <c r="D471" s="14">
        <f>IF(A471="","",GL_CLEAN!H471)</f>
        <v/>
      </c>
      <c r="E471" s="14">
        <f>IF(A471="","",GL_CLEAN!I471)</f>
        <v/>
      </c>
      <c r="F471" s="11">
        <f>IF(A471="","",GL_CLEAN!J471)</f>
        <v/>
      </c>
      <c r="G471" s="11">
        <f>IF(A471="","",IF(F471="OUT","DR","CR"))</f>
        <v/>
      </c>
      <c r="H471" s="11">
        <f>IF(A471="","",IFERROR(INDEX(BANK_CLEAN!$A$2:$A$1001,MATCH(MINIFS(BANK_CLEAN!$J$2:$J$1001,BANK_CLEAN!$H$2:$H$1001,G471,BANK_CLEAN!$L$2:$L$1001,""),BANK_CLEAN!$J$2:$J$1001,0)),""))</f>
        <v/>
      </c>
      <c r="I471" s="10">
        <f>IF(H471="","",INDEX(BANK_CLEAN!$B$2:$B$1001,H471))</f>
        <v/>
      </c>
      <c r="J471" s="14">
        <f>IF(H471="","",IF(F471="OUT",INDEX(BANK_CLEAN!$F$2:$F$1001,H471),INDEX(BANK_CLEAN!$E$2:$E$1001,H471)))</f>
        <v/>
      </c>
      <c r="K471" s="14">
        <f>IF(H471="","",ABS(E471-J471))</f>
        <v/>
      </c>
      <c r="L471" s="11">
        <f>IF(OR(H471="",B471="",I471=""),"",ABS(B471-I471))</f>
        <v/>
      </c>
      <c r="M471" s="15">
        <f>IF(H471="",0,LET(pct,IF(E471&gt;0,K471/E471,1),days,IFERROR(L471,999),100-pct*200-days*3))</f>
        <v/>
      </c>
      <c r="N471" s="11">
        <f>IF(A471="","",IF(H471="","Unmatched GL",IF(AND(K471&lt;=Tol_Amount,L471&lt;=Tol_Days),"Matched",IF(M471&gt;Tol_NearPct,"Near Match","Unmatched GL"))))</f>
        <v/>
      </c>
    </row>
    <row r="472">
      <c r="A472" s="13">
        <f>IF(GL_CLEAN!A472="","",GL_CLEAN!A472)</f>
        <v/>
      </c>
      <c r="B472" s="10">
        <f>IF(A472="","",GL_CLEAN!B472)</f>
        <v/>
      </c>
      <c r="C472" s="11">
        <f>IF(A472="","",GL_CLEAN!C472)</f>
        <v/>
      </c>
      <c r="D472" s="14">
        <f>IF(A472="","",GL_CLEAN!H472)</f>
        <v/>
      </c>
      <c r="E472" s="14">
        <f>IF(A472="","",GL_CLEAN!I472)</f>
        <v/>
      </c>
      <c r="F472" s="11">
        <f>IF(A472="","",GL_CLEAN!J472)</f>
        <v/>
      </c>
      <c r="G472" s="11">
        <f>IF(A472="","",IF(F472="OUT","DR","CR"))</f>
        <v/>
      </c>
      <c r="H472" s="11">
        <f>IF(A472="","",IFERROR(INDEX(BANK_CLEAN!$A$2:$A$1001,MATCH(MINIFS(BANK_CLEAN!$J$2:$J$1001,BANK_CLEAN!$H$2:$H$1001,G472,BANK_CLEAN!$L$2:$L$1001,""),BANK_CLEAN!$J$2:$J$1001,0)),""))</f>
        <v/>
      </c>
      <c r="I472" s="10">
        <f>IF(H472="","",INDEX(BANK_CLEAN!$B$2:$B$1001,H472))</f>
        <v/>
      </c>
      <c r="J472" s="14">
        <f>IF(H472="","",IF(F472="OUT",INDEX(BANK_CLEAN!$F$2:$F$1001,H472),INDEX(BANK_CLEAN!$E$2:$E$1001,H472)))</f>
        <v/>
      </c>
      <c r="K472" s="14">
        <f>IF(H472="","",ABS(E472-J472))</f>
        <v/>
      </c>
      <c r="L472" s="11">
        <f>IF(OR(H472="",B472="",I472=""),"",ABS(B472-I472))</f>
        <v/>
      </c>
      <c r="M472" s="15">
        <f>IF(H472="",0,LET(pct,IF(E472&gt;0,K472/E472,1),days,IFERROR(L472,999),100-pct*200-days*3))</f>
        <v/>
      </c>
      <c r="N472" s="11">
        <f>IF(A472="","",IF(H472="","Unmatched GL",IF(AND(K472&lt;=Tol_Amount,L472&lt;=Tol_Days),"Matched",IF(M472&gt;Tol_NearPct,"Near Match","Unmatched GL"))))</f>
        <v/>
      </c>
    </row>
    <row r="473">
      <c r="A473" s="13">
        <f>IF(GL_CLEAN!A473="","",GL_CLEAN!A473)</f>
        <v/>
      </c>
      <c r="B473" s="10">
        <f>IF(A473="","",GL_CLEAN!B473)</f>
        <v/>
      </c>
      <c r="C473" s="11">
        <f>IF(A473="","",GL_CLEAN!C473)</f>
        <v/>
      </c>
      <c r="D473" s="14">
        <f>IF(A473="","",GL_CLEAN!H473)</f>
        <v/>
      </c>
      <c r="E473" s="14">
        <f>IF(A473="","",GL_CLEAN!I473)</f>
        <v/>
      </c>
      <c r="F473" s="11">
        <f>IF(A473="","",GL_CLEAN!J473)</f>
        <v/>
      </c>
      <c r="G473" s="11">
        <f>IF(A473="","",IF(F473="OUT","DR","CR"))</f>
        <v/>
      </c>
      <c r="H473" s="11">
        <f>IF(A473="","",IFERROR(INDEX(BANK_CLEAN!$A$2:$A$1001,MATCH(MINIFS(BANK_CLEAN!$J$2:$J$1001,BANK_CLEAN!$H$2:$H$1001,G473,BANK_CLEAN!$L$2:$L$1001,""),BANK_CLEAN!$J$2:$J$1001,0)),""))</f>
        <v/>
      </c>
      <c r="I473" s="10">
        <f>IF(H473="","",INDEX(BANK_CLEAN!$B$2:$B$1001,H473))</f>
        <v/>
      </c>
      <c r="J473" s="14">
        <f>IF(H473="","",IF(F473="OUT",INDEX(BANK_CLEAN!$F$2:$F$1001,H473),INDEX(BANK_CLEAN!$E$2:$E$1001,H473)))</f>
        <v/>
      </c>
      <c r="K473" s="14">
        <f>IF(H473="","",ABS(E473-J473))</f>
        <v/>
      </c>
      <c r="L473" s="11">
        <f>IF(OR(H473="",B473="",I473=""),"",ABS(B473-I473))</f>
        <v/>
      </c>
      <c r="M473" s="15">
        <f>IF(H473="",0,LET(pct,IF(E473&gt;0,K473/E473,1),days,IFERROR(L473,999),100-pct*200-days*3))</f>
        <v/>
      </c>
      <c r="N473" s="11">
        <f>IF(A473="","",IF(H473="","Unmatched GL",IF(AND(K473&lt;=Tol_Amount,L473&lt;=Tol_Days),"Matched",IF(M473&gt;Tol_NearPct,"Near Match","Unmatched GL"))))</f>
        <v/>
      </c>
    </row>
    <row r="474">
      <c r="A474" s="13">
        <f>IF(GL_CLEAN!A474="","",GL_CLEAN!A474)</f>
        <v/>
      </c>
      <c r="B474" s="10">
        <f>IF(A474="","",GL_CLEAN!B474)</f>
        <v/>
      </c>
      <c r="C474" s="11">
        <f>IF(A474="","",GL_CLEAN!C474)</f>
        <v/>
      </c>
      <c r="D474" s="14">
        <f>IF(A474="","",GL_CLEAN!H474)</f>
        <v/>
      </c>
      <c r="E474" s="14">
        <f>IF(A474="","",GL_CLEAN!I474)</f>
        <v/>
      </c>
      <c r="F474" s="11">
        <f>IF(A474="","",GL_CLEAN!J474)</f>
        <v/>
      </c>
      <c r="G474" s="11">
        <f>IF(A474="","",IF(F474="OUT","DR","CR"))</f>
        <v/>
      </c>
      <c r="H474" s="11">
        <f>IF(A474="","",IFERROR(INDEX(BANK_CLEAN!$A$2:$A$1001,MATCH(MINIFS(BANK_CLEAN!$J$2:$J$1001,BANK_CLEAN!$H$2:$H$1001,G474,BANK_CLEAN!$L$2:$L$1001,""),BANK_CLEAN!$J$2:$J$1001,0)),""))</f>
        <v/>
      </c>
      <c r="I474" s="10">
        <f>IF(H474="","",INDEX(BANK_CLEAN!$B$2:$B$1001,H474))</f>
        <v/>
      </c>
      <c r="J474" s="14">
        <f>IF(H474="","",IF(F474="OUT",INDEX(BANK_CLEAN!$F$2:$F$1001,H474),INDEX(BANK_CLEAN!$E$2:$E$1001,H474)))</f>
        <v/>
      </c>
      <c r="K474" s="14">
        <f>IF(H474="","",ABS(E474-J474))</f>
        <v/>
      </c>
      <c r="L474" s="11">
        <f>IF(OR(H474="",B474="",I474=""),"",ABS(B474-I474))</f>
        <v/>
      </c>
      <c r="M474" s="15">
        <f>IF(H474="",0,LET(pct,IF(E474&gt;0,K474/E474,1),days,IFERROR(L474,999),100-pct*200-days*3))</f>
        <v/>
      </c>
      <c r="N474" s="11">
        <f>IF(A474="","",IF(H474="","Unmatched GL",IF(AND(K474&lt;=Tol_Amount,L474&lt;=Tol_Days),"Matched",IF(M474&gt;Tol_NearPct,"Near Match","Unmatched GL"))))</f>
        <v/>
      </c>
    </row>
    <row r="475">
      <c r="A475" s="13">
        <f>IF(GL_CLEAN!A475="","",GL_CLEAN!A475)</f>
        <v/>
      </c>
      <c r="B475" s="10">
        <f>IF(A475="","",GL_CLEAN!B475)</f>
        <v/>
      </c>
      <c r="C475" s="11">
        <f>IF(A475="","",GL_CLEAN!C475)</f>
        <v/>
      </c>
      <c r="D475" s="14">
        <f>IF(A475="","",GL_CLEAN!H475)</f>
        <v/>
      </c>
      <c r="E475" s="14">
        <f>IF(A475="","",GL_CLEAN!I475)</f>
        <v/>
      </c>
      <c r="F475" s="11">
        <f>IF(A475="","",GL_CLEAN!J475)</f>
        <v/>
      </c>
      <c r="G475" s="11">
        <f>IF(A475="","",IF(F475="OUT","DR","CR"))</f>
        <v/>
      </c>
      <c r="H475" s="11">
        <f>IF(A475="","",IFERROR(INDEX(BANK_CLEAN!$A$2:$A$1001,MATCH(MINIFS(BANK_CLEAN!$J$2:$J$1001,BANK_CLEAN!$H$2:$H$1001,G475,BANK_CLEAN!$L$2:$L$1001,""),BANK_CLEAN!$J$2:$J$1001,0)),""))</f>
        <v/>
      </c>
      <c r="I475" s="10">
        <f>IF(H475="","",INDEX(BANK_CLEAN!$B$2:$B$1001,H475))</f>
        <v/>
      </c>
      <c r="J475" s="14">
        <f>IF(H475="","",IF(F475="OUT",INDEX(BANK_CLEAN!$F$2:$F$1001,H475),INDEX(BANK_CLEAN!$E$2:$E$1001,H475)))</f>
        <v/>
      </c>
      <c r="K475" s="14">
        <f>IF(H475="","",ABS(E475-J475))</f>
        <v/>
      </c>
      <c r="L475" s="11">
        <f>IF(OR(H475="",B475="",I475=""),"",ABS(B475-I475))</f>
        <v/>
      </c>
      <c r="M475" s="15">
        <f>IF(H475="",0,LET(pct,IF(E475&gt;0,K475/E475,1),days,IFERROR(L475,999),100-pct*200-days*3))</f>
        <v/>
      </c>
      <c r="N475" s="11">
        <f>IF(A475="","",IF(H475="","Unmatched GL",IF(AND(K475&lt;=Tol_Amount,L475&lt;=Tol_Days),"Matched",IF(M475&gt;Tol_NearPct,"Near Match","Unmatched GL"))))</f>
        <v/>
      </c>
    </row>
    <row r="476">
      <c r="A476" s="13">
        <f>IF(GL_CLEAN!A476="","",GL_CLEAN!A476)</f>
        <v/>
      </c>
      <c r="B476" s="10">
        <f>IF(A476="","",GL_CLEAN!B476)</f>
        <v/>
      </c>
      <c r="C476" s="11">
        <f>IF(A476="","",GL_CLEAN!C476)</f>
        <v/>
      </c>
      <c r="D476" s="14">
        <f>IF(A476="","",GL_CLEAN!H476)</f>
        <v/>
      </c>
      <c r="E476" s="14">
        <f>IF(A476="","",GL_CLEAN!I476)</f>
        <v/>
      </c>
      <c r="F476" s="11">
        <f>IF(A476="","",GL_CLEAN!J476)</f>
        <v/>
      </c>
      <c r="G476" s="11">
        <f>IF(A476="","",IF(F476="OUT","DR","CR"))</f>
        <v/>
      </c>
      <c r="H476" s="11">
        <f>IF(A476="","",IFERROR(INDEX(BANK_CLEAN!$A$2:$A$1001,MATCH(MINIFS(BANK_CLEAN!$J$2:$J$1001,BANK_CLEAN!$H$2:$H$1001,G476,BANK_CLEAN!$L$2:$L$1001,""),BANK_CLEAN!$J$2:$J$1001,0)),""))</f>
        <v/>
      </c>
      <c r="I476" s="10">
        <f>IF(H476="","",INDEX(BANK_CLEAN!$B$2:$B$1001,H476))</f>
        <v/>
      </c>
      <c r="J476" s="14">
        <f>IF(H476="","",IF(F476="OUT",INDEX(BANK_CLEAN!$F$2:$F$1001,H476),INDEX(BANK_CLEAN!$E$2:$E$1001,H476)))</f>
        <v/>
      </c>
      <c r="K476" s="14">
        <f>IF(H476="","",ABS(E476-J476))</f>
        <v/>
      </c>
      <c r="L476" s="11">
        <f>IF(OR(H476="",B476="",I476=""),"",ABS(B476-I476))</f>
        <v/>
      </c>
      <c r="M476" s="15">
        <f>IF(H476="",0,LET(pct,IF(E476&gt;0,K476/E476,1),days,IFERROR(L476,999),100-pct*200-days*3))</f>
        <v/>
      </c>
      <c r="N476" s="11">
        <f>IF(A476="","",IF(H476="","Unmatched GL",IF(AND(K476&lt;=Tol_Amount,L476&lt;=Tol_Days),"Matched",IF(M476&gt;Tol_NearPct,"Near Match","Unmatched GL"))))</f>
        <v/>
      </c>
    </row>
    <row r="477">
      <c r="A477" s="13">
        <f>IF(GL_CLEAN!A477="","",GL_CLEAN!A477)</f>
        <v/>
      </c>
      <c r="B477" s="10">
        <f>IF(A477="","",GL_CLEAN!B477)</f>
        <v/>
      </c>
      <c r="C477" s="11">
        <f>IF(A477="","",GL_CLEAN!C477)</f>
        <v/>
      </c>
      <c r="D477" s="14">
        <f>IF(A477="","",GL_CLEAN!H477)</f>
        <v/>
      </c>
      <c r="E477" s="14">
        <f>IF(A477="","",GL_CLEAN!I477)</f>
        <v/>
      </c>
      <c r="F477" s="11">
        <f>IF(A477="","",GL_CLEAN!J477)</f>
        <v/>
      </c>
      <c r="G477" s="11">
        <f>IF(A477="","",IF(F477="OUT","DR","CR"))</f>
        <v/>
      </c>
      <c r="H477" s="11">
        <f>IF(A477="","",IFERROR(INDEX(BANK_CLEAN!$A$2:$A$1001,MATCH(MINIFS(BANK_CLEAN!$J$2:$J$1001,BANK_CLEAN!$H$2:$H$1001,G477,BANK_CLEAN!$L$2:$L$1001,""),BANK_CLEAN!$J$2:$J$1001,0)),""))</f>
        <v/>
      </c>
      <c r="I477" s="10">
        <f>IF(H477="","",INDEX(BANK_CLEAN!$B$2:$B$1001,H477))</f>
        <v/>
      </c>
      <c r="J477" s="14">
        <f>IF(H477="","",IF(F477="OUT",INDEX(BANK_CLEAN!$F$2:$F$1001,H477),INDEX(BANK_CLEAN!$E$2:$E$1001,H477)))</f>
        <v/>
      </c>
      <c r="K477" s="14">
        <f>IF(H477="","",ABS(E477-J477))</f>
        <v/>
      </c>
      <c r="L477" s="11">
        <f>IF(OR(H477="",B477="",I477=""),"",ABS(B477-I477))</f>
        <v/>
      </c>
      <c r="M477" s="15">
        <f>IF(H477="",0,LET(pct,IF(E477&gt;0,K477/E477,1),days,IFERROR(L477,999),100-pct*200-days*3))</f>
        <v/>
      </c>
      <c r="N477" s="11">
        <f>IF(A477="","",IF(H477="","Unmatched GL",IF(AND(K477&lt;=Tol_Amount,L477&lt;=Tol_Days),"Matched",IF(M477&gt;Tol_NearPct,"Near Match","Unmatched GL"))))</f>
        <v/>
      </c>
    </row>
    <row r="478">
      <c r="A478" s="13">
        <f>IF(GL_CLEAN!A478="","",GL_CLEAN!A478)</f>
        <v/>
      </c>
      <c r="B478" s="10">
        <f>IF(A478="","",GL_CLEAN!B478)</f>
        <v/>
      </c>
      <c r="C478" s="11">
        <f>IF(A478="","",GL_CLEAN!C478)</f>
        <v/>
      </c>
      <c r="D478" s="14">
        <f>IF(A478="","",GL_CLEAN!H478)</f>
        <v/>
      </c>
      <c r="E478" s="14">
        <f>IF(A478="","",GL_CLEAN!I478)</f>
        <v/>
      </c>
      <c r="F478" s="11">
        <f>IF(A478="","",GL_CLEAN!J478)</f>
        <v/>
      </c>
      <c r="G478" s="11">
        <f>IF(A478="","",IF(F478="OUT","DR","CR"))</f>
        <v/>
      </c>
      <c r="H478" s="11">
        <f>IF(A478="","",IFERROR(INDEX(BANK_CLEAN!$A$2:$A$1001,MATCH(MINIFS(BANK_CLEAN!$J$2:$J$1001,BANK_CLEAN!$H$2:$H$1001,G478,BANK_CLEAN!$L$2:$L$1001,""),BANK_CLEAN!$J$2:$J$1001,0)),""))</f>
        <v/>
      </c>
      <c r="I478" s="10">
        <f>IF(H478="","",INDEX(BANK_CLEAN!$B$2:$B$1001,H478))</f>
        <v/>
      </c>
      <c r="J478" s="14">
        <f>IF(H478="","",IF(F478="OUT",INDEX(BANK_CLEAN!$F$2:$F$1001,H478),INDEX(BANK_CLEAN!$E$2:$E$1001,H478)))</f>
        <v/>
      </c>
      <c r="K478" s="14">
        <f>IF(H478="","",ABS(E478-J478))</f>
        <v/>
      </c>
      <c r="L478" s="11">
        <f>IF(OR(H478="",B478="",I478=""),"",ABS(B478-I478))</f>
        <v/>
      </c>
      <c r="M478" s="15">
        <f>IF(H478="",0,LET(pct,IF(E478&gt;0,K478/E478,1),days,IFERROR(L478,999),100-pct*200-days*3))</f>
        <v/>
      </c>
      <c r="N478" s="11">
        <f>IF(A478="","",IF(H478="","Unmatched GL",IF(AND(K478&lt;=Tol_Amount,L478&lt;=Tol_Days),"Matched",IF(M478&gt;Tol_NearPct,"Near Match","Unmatched GL"))))</f>
        <v/>
      </c>
    </row>
    <row r="479">
      <c r="A479" s="13">
        <f>IF(GL_CLEAN!A479="","",GL_CLEAN!A479)</f>
        <v/>
      </c>
      <c r="B479" s="10">
        <f>IF(A479="","",GL_CLEAN!B479)</f>
        <v/>
      </c>
      <c r="C479" s="11">
        <f>IF(A479="","",GL_CLEAN!C479)</f>
        <v/>
      </c>
      <c r="D479" s="14">
        <f>IF(A479="","",GL_CLEAN!H479)</f>
        <v/>
      </c>
      <c r="E479" s="14">
        <f>IF(A479="","",GL_CLEAN!I479)</f>
        <v/>
      </c>
      <c r="F479" s="11">
        <f>IF(A479="","",GL_CLEAN!J479)</f>
        <v/>
      </c>
      <c r="G479" s="11">
        <f>IF(A479="","",IF(F479="OUT","DR","CR"))</f>
        <v/>
      </c>
      <c r="H479" s="11">
        <f>IF(A479="","",IFERROR(INDEX(BANK_CLEAN!$A$2:$A$1001,MATCH(MINIFS(BANK_CLEAN!$J$2:$J$1001,BANK_CLEAN!$H$2:$H$1001,G479,BANK_CLEAN!$L$2:$L$1001,""),BANK_CLEAN!$J$2:$J$1001,0)),""))</f>
        <v/>
      </c>
      <c r="I479" s="10">
        <f>IF(H479="","",INDEX(BANK_CLEAN!$B$2:$B$1001,H479))</f>
        <v/>
      </c>
      <c r="J479" s="14">
        <f>IF(H479="","",IF(F479="OUT",INDEX(BANK_CLEAN!$F$2:$F$1001,H479),INDEX(BANK_CLEAN!$E$2:$E$1001,H479)))</f>
        <v/>
      </c>
      <c r="K479" s="14">
        <f>IF(H479="","",ABS(E479-J479))</f>
        <v/>
      </c>
      <c r="L479" s="11">
        <f>IF(OR(H479="",B479="",I479=""),"",ABS(B479-I479))</f>
        <v/>
      </c>
      <c r="M479" s="15">
        <f>IF(H479="",0,LET(pct,IF(E479&gt;0,K479/E479,1),days,IFERROR(L479,999),100-pct*200-days*3))</f>
        <v/>
      </c>
      <c r="N479" s="11">
        <f>IF(A479="","",IF(H479="","Unmatched GL",IF(AND(K479&lt;=Tol_Amount,L479&lt;=Tol_Days),"Matched",IF(M479&gt;Tol_NearPct,"Near Match","Unmatched GL"))))</f>
        <v/>
      </c>
    </row>
    <row r="480">
      <c r="A480" s="13">
        <f>IF(GL_CLEAN!A480="","",GL_CLEAN!A480)</f>
        <v/>
      </c>
      <c r="B480" s="10">
        <f>IF(A480="","",GL_CLEAN!B480)</f>
        <v/>
      </c>
      <c r="C480" s="11">
        <f>IF(A480="","",GL_CLEAN!C480)</f>
        <v/>
      </c>
      <c r="D480" s="14">
        <f>IF(A480="","",GL_CLEAN!H480)</f>
        <v/>
      </c>
      <c r="E480" s="14">
        <f>IF(A480="","",GL_CLEAN!I480)</f>
        <v/>
      </c>
      <c r="F480" s="11">
        <f>IF(A480="","",GL_CLEAN!J480)</f>
        <v/>
      </c>
      <c r="G480" s="11">
        <f>IF(A480="","",IF(F480="OUT","DR","CR"))</f>
        <v/>
      </c>
      <c r="H480" s="11">
        <f>IF(A480="","",IFERROR(INDEX(BANK_CLEAN!$A$2:$A$1001,MATCH(MINIFS(BANK_CLEAN!$J$2:$J$1001,BANK_CLEAN!$H$2:$H$1001,G480,BANK_CLEAN!$L$2:$L$1001,""),BANK_CLEAN!$J$2:$J$1001,0)),""))</f>
        <v/>
      </c>
      <c r="I480" s="10">
        <f>IF(H480="","",INDEX(BANK_CLEAN!$B$2:$B$1001,H480))</f>
        <v/>
      </c>
      <c r="J480" s="14">
        <f>IF(H480="","",IF(F480="OUT",INDEX(BANK_CLEAN!$F$2:$F$1001,H480),INDEX(BANK_CLEAN!$E$2:$E$1001,H480)))</f>
        <v/>
      </c>
      <c r="K480" s="14">
        <f>IF(H480="","",ABS(E480-J480))</f>
        <v/>
      </c>
      <c r="L480" s="11">
        <f>IF(OR(H480="",B480="",I480=""),"",ABS(B480-I480))</f>
        <v/>
      </c>
      <c r="M480" s="15">
        <f>IF(H480="",0,LET(pct,IF(E480&gt;0,K480/E480,1),days,IFERROR(L480,999),100-pct*200-days*3))</f>
        <v/>
      </c>
      <c r="N480" s="11">
        <f>IF(A480="","",IF(H480="","Unmatched GL",IF(AND(K480&lt;=Tol_Amount,L480&lt;=Tol_Days),"Matched",IF(M480&gt;Tol_NearPct,"Near Match","Unmatched GL"))))</f>
        <v/>
      </c>
    </row>
    <row r="481">
      <c r="A481" s="13">
        <f>IF(GL_CLEAN!A481="","",GL_CLEAN!A481)</f>
        <v/>
      </c>
      <c r="B481" s="10">
        <f>IF(A481="","",GL_CLEAN!B481)</f>
        <v/>
      </c>
      <c r="C481" s="11">
        <f>IF(A481="","",GL_CLEAN!C481)</f>
        <v/>
      </c>
      <c r="D481" s="14">
        <f>IF(A481="","",GL_CLEAN!H481)</f>
        <v/>
      </c>
      <c r="E481" s="14">
        <f>IF(A481="","",GL_CLEAN!I481)</f>
        <v/>
      </c>
      <c r="F481" s="11">
        <f>IF(A481="","",GL_CLEAN!J481)</f>
        <v/>
      </c>
      <c r="G481" s="11">
        <f>IF(A481="","",IF(F481="OUT","DR","CR"))</f>
        <v/>
      </c>
      <c r="H481" s="11">
        <f>IF(A481="","",IFERROR(INDEX(BANK_CLEAN!$A$2:$A$1001,MATCH(MINIFS(BANK_CLEAN!$J$2:$J$1001,BANK_CLEAN!$H$2:$H$1001,G481,BANK_CLEAN!$L$2:$L$1001,""),BANK_CLEAN!$J$2:$J$1001,0)),""))</f>
        <v/>
      </c>
      <c r="I481" s="10">
        <f>IF(H481="","",INDEX(BANK_CLEAN!$B$2:$B$1001,H481))</f>
        <v/>
      </c>
      <c r="J481" s="14">
        <f>IF(H481="","",IF(F481="OUT",INDEX(BANK_CLEAN!$F$2:$F$1001,H481),INDEX(BANK_CLEAN!$E$2:$E$1001,H481)))</f>
        <v/>
      </c>
      <c r="K481" s="14">
        <f>IF(H481="","",ABS(E481-J481))</f>
        <v/>
      </c>
      <c r="L481" s="11">
        <f>IF(OR(H481="",B481="",I481=""),"",ABS(B481-I481))</f>
        <v/>
      </c>
      <c r="M481" s="15">
        <f>IF(H481="",0,LET(pct,IF(E481&gt;0,K481/E481,1),days,IFERROR(L481,999),100-pct*200-days*3))</f>
        <v/>
      </c>
      <c r="N481" s="11">
        <f>IF(A481="","",IF(H481="","Unmatched GL",IF(AND(K481&lt;=Tol_Amount,L481&lt;=Tol_Days),"Matched",IF(M481&gt;Tol_NearPct,"Near Match","Unmatched GL"))))</f>
        <v/>
      </c>
    </row>
    <row r="482">
      <c r="A482" s="13">
        <f>IF(GL_CLEAN!A482="","",GL_CLEAN!A482)</f>
        <v/>
      </c>
      <c r="B482" s="10">
        <f>IF(A482="","",GL_CLEAN!B482)</f>
        <v/>
      </c>
      <c r="C482" s="11">
        <f>IF(A482="","",GL_CLEAN!C482)</f>
        <v/>
      </c>
      <c r="D482" s="14">
        <f>IF(A482="","",GL_CLEAN!H482)</f>
        <v/>
      </c>
      <c r="E482" s="14">
        <f>IF(A482="","",GL_CLEAN!I482)</f>
        <v/>
      </c>
      <c r="F482" s="11">
        <f>IF(A482="","",GL_CLEAN!J482)</f>
        <v/>
      </c>
      <c r="G482" s="11">
        <f>IF(A482="","",IF(F482="OUT","DR","CR"))</f>
        <v/>
      </c>
      <c r="H482" s="11">
        <f>IF(A482="","",IFERROR(INDEX(BANK_CLEAN!$A$2:$A$1001,MATCH(MINIFS(BANK_CLEAN!$J$2:$J$1001,BANK_CLEAN!$H$2:$H$1001,G482,BANK_CLEAN!$L$2:$L$1001,""),BANK_CLEAN!$J$2:$J$1001,0)),""))</f>
        <v/>
      </c>
      <c r="I482" s="10">
        <f>IF(H482="","",INDEX(BANK_CLEAN!$B$2:$B$1001,H482))</f>
        <v/>
      </c>
      <c r="J482" s="14">
        <f>IF(H482="","",IF(F482="OUT",INDEX(BANK_CLEAN!$F$2:$F$1001,H482),INDEX(BANK_CLEAN!$E$2:$E$1001,H482)))</f>
        <v/>
      </c>
      <c r="K482" s="14">
        <f>IF(H482="","",ABS(E482-J482))</f>
        <v/>
      </c>
      <c r="L482" s="11">
        <f>IF(OR(H482="",B482="",I482=""),"",ABS(B482-I482))</f>
        <v/>
      </c>
      <c r="M482" s="15">
        <f>IF(H482="",0,LET(pct,IF(E482&gt;0,K482/E482,1),days,IFERROR(L482,999),100-pct*200-days*3))</f>
        <v/>
      </c>
      <c r="N482" s="11">
        <f>IF(A482="","",IF(H482="","Unmatched GL",IF(AND(K482&lt;=Tol_Amount,L482&lt;=Tol_Days),"Matched",IF(M482&gt;Tol_NearPct,"Near Match","Unmatched GL"))))</f>
        <v/>
      </c>
    </row>
    <row r="483">
      <c r="A483" s="13">
        <f>IF(GL_CLEAN!A483="","",GL_CLEAN!A483)</f>
        <v/>
      </c>
      <c r="B483" s="10">
        <f>IF(A483="","",GL_CLEAN!B483)</f>
        <v/>
      </c>
      <c r="C483" s="11">
        <f>IF(A483="","",GL_CLEAN!C483)</f>
        <v/>
      </c>
      <c r="D483" s="14">
        <f>IF(A483="","",GL_CLEAN!H483)</f>
        <v/>
      </c>
      <c r="E483" s="14">
        <f>IF(A483="","",GL_CLEAN!I483)</f>
        <v/>
      </c>
      <c r="F483" s="11">
        <f>IF(A483="","",GL_CLEAN!J483)</f>
        <v/>
      </c>
      <c r="G483" s="11">
        <f>IF(A483="","",IF(F483="OUT","DR","CR"))</f>
        <v/>
      </c>
      <c r="H483" s="11">
        <f>IF(A483="","",IFERROR(INDEX(BANK_CLEAN!$A$2:$A$1001,MATCH(MINIFS(BANK_CLEAN!$J$2:$J$1001,BANK_CLEAN!$H$2:$H$1001,G483,BANK_CLEAN!$L$2:$L$1001,""),BANK_CLEAN!$J$2:$J$1001,0)),""))</f>
        <v/>
      </c>
      <c r="I483" s="10">
        <f>IF(H483="","",INDEX(BANK_CLEAN!$B$2:$B$1001,H483))</f>
        <v/>
      </c>
      <c r="J483" s="14">
        <f>IF(H483="","",IF(F483="OUT",INDEX(BANK_CLEAN!$F$2:$F$1001,H483),INDEX(BANK_CLEAN!$E$2:$E$1001,H483)))</f>
        <v/>
      </c>
      <c r="K483" s="14">
        <f>IF(H483="","",ABS(E483-J483))</f>
        <v/>
      </c>
      <c r="L483" s="11">
        <f>IF(OR(H483="",B483="",I483=""),"",ABS(B483-I483))</f>
        <v/>
      </c>
      <c r="M483" s="15">
        <f>IF(H483="",0,LET(pct,IF(E483&gt;0,K483/E483,1),days,IFERROR(L483,999),100-pct*200-days*3))</f>
        <v/>
      </c>
      <c r="N483" s="11">
        <f>IF(A483="","",IF(H483="","Unmatched GL",IF(AND(K483&lt;=Tol_Amount,L483&lt;=Tol_Days),"Matched",IF(M483&gt;Tol_NearPct,"Near Match","Unmatched GL"))))</f>
        <v/>
      </c>
    </row>
    <row r="484">
      <c r="A484" s="13">
        <f>IF(GL_CLEAN!A484="","",GL_CLEAN!A484)</f>
        <v/>
      </c>
      <c r="B484" s="10">
        <f>IF(A484="","",GL_CLEAN!B484)</f>
        <v/>
      </c>
      <c r="C484" s="11">
        <f>IF(A484="","",GL_CLEAN!C484)</f>
        <v/>
      </c>
      <c r="D484" s="14">
        <f>IF(A484="","",GL_CLEAN!H484)</f>
        <v/>
      </c>
      <c r="E484" s="14">
        <f>IF(A484="","",GL_CLEAN!I484)</f>
        <v/>
      </c>
      <c r="F484" s="11">
        <f>IF(A484="","",GL_CLEAN!J484)</f>
        <v/>
      </c>
      <c r="G484" s="11">
        <f>IF(A484="","",IF(F484="OUT","DR","CR"))</f>
        <v/>
      </c>
      <c r="H484" s="11">
        <f>IF(A484="","",IFERROR(INDEX(BANK_CLEAN!$A$2:$A$1001,MATCH(MINIFS(BANK_CLEAN!$J$2:$J$1001,BANK_CLEAN!$H$2:$H$1001,G484,BANK_CLEAN!$L$2:$L$1001,""),BANK_CLEAN!$J$2:$J$1001,0)),""))</f>
        <v/>
      </c>
      <c r="I484" s="10">
        <f>IF(H484="","",INDEX(BANK_CLEAN!$B$2:$B$1001,H484))</f>
        <v/>
      </c>
      <c r="J484" s="14">
        <f>IF(H484="","",IF(F484="OUT",INDEX(BANK_CLEAN!$F$2:$F$1001,H484),INDEX(BANK_CLEAN!$E$2:$E$1001,H484)))</f>
        <v/>
      </c>
      <c r="K484" s="14">
        <f>IF(H484="","",ABS(E484-J484))</f>
        <v/>
      </c>
      <c r="L484" s="11">
        <f>IF(OR(H484="",B484="",I484=""),"",ABS(B484-I484))</f>
        <v/>
      </c>
      <c r="M484" s="15">
        <f>IF(H484="",0,LET(pct,IF(E484&gt;0,K484/E484,1),days,IFERROR(L484,999),100-pct*200-days*3))</f>
        <v/>
      </c>
      <c r="N484" s="11">
        <f>IF(A484="","",IF(H484="","Unmatched GL",IF(AND(K484&lt;=Tol_Amount,L484&lt;=Tol_Days),"Matched",IF(M484&gt;Tol_NearPct,"Near Match","Unmatched GL"))))</f>
        <v/>
      </c>
    </row>
    <row r="485">
      <c r="A485" s="13">
        <f>IF(GL_CLEAN!A485="","",GL_CLEAN!A485)</f>
        <v/>
      </c>
      <c r="B485" s="10">
        <f>IF(A485="","",GL_CLEAN!B485)</f>
        <v/>
      </c>
      <c r="C485" s="11">
        <f>IF(A485="","",GL_CLEAN!C485)</f>
        <v/>
      </c>
      <c r="D485" s="14">
        <f>IF(A485="","",GL_CLEAN!H485)</f>
        <v/>
      </c>
      <c r="E485" s="14">
        <f>IF(A485="","",GL_CLEAN!I485)</f>
        <v/>
      </c>
      <c r="F485" s="11">
        <f>IF(A485="","",GL_CLEAN!J485)</f>
        <v/>
      </c>
      <c r="G485" s="11">
        <f>IF(A485="","",IF(F485="OUT","DR","CR"))</f>
        <v/>
      </c>
      <c r="H485" s="11">
        <f>IF(A485="","",IFERROR(INDEX(BANK_CLEAN!$A$2:$A$1001,MATCH(MINIFS(BANK_CLEAN!$J$2:$J$1001,BANK_CLEAN!$H$2:$H$1001,G485,BANK_CLEAN!$L$2:$L$1001,""),BANK_CLEAN!$J$2:$J$1001,0)),""))</f>
        <v/>
      </c>
      <c r="I485" s="10">
        <f>IF(H485="","",INDEX(BANK_CLEAN!$B$2:$B$1001,H485))</f>
        <v/>
      </c>
      <c r="J485" s="14">
        <f>IF(H485="","",IF(F485="OUT",INDEX(BANK_CLEAN!$F$2:$F$1001,H485),INDEX(BANK_CLEAN!$E$2:$E$1001,H485)))</f>
        <v/>
      </c>
      <c r="K485" s="14">
        <f>IF(H485="","",ABS(E485-J485))</f>
        <v/>
      </c>
      <c r="L485" s="11">
        <f>IF(OR(H485="",B485="",I485=""),"",ABS(B485-I485))</f>
        <v/>
      </c>
      <c r="M485" s="15">
        <f>IF(H485="",0,LET(pct,IF(E485&gt;0,K485/E485,1),days,IFERROR(L485,999),100-pct*200-days*3))</f>
        <v/>
      </c>
      <c r="N485" s="11">
        <f>IF(A485="","",IF(H485="","Unmatched GL",IF(AND(K485&lt;=Tol_Amount,L485&lt;=Tol_Days),"Matched",IF(M485&gt;Tol_NearPct,"Near Match","Unmatched GL"))))</f>
        <v/>
      </c>
    </row>
    <row r="486">
      <c r="A486" s="13">
        <f>IF(GL_CLEAN!A486="","",GL_CLEAN!A486)</f>
        <v/>
      </c>
      <c r="B486" s="10">
        <f>IF(A486="","",GL_CLEAN!B486)</f>
        <v/>
      </c>
      <c r="C486" s="11">
        <f>IF(A486="","",GL_CLEAN!C486)</f>
        <v/>
      </c>
      <c r="D486" s="14">
        <f>IF(A486="","",GL_CLEAN!H486)</f>
        <v/>
      </c>
      <c r="E486" s="14">
        <f>IF(A486="","",GL_CLEAN!I486)</f>
        <v/>
      </c>
      <c r="F486" s="11">
        <f>IF(A486="","",GL_CLEAN!J486)</f>
        <v/>
      </c>
      <c r="G486" s="11">
        <f>IF(A486="","",IF(F486="OUT","DR","CR"))</f>
        <v/>
      </c>
      <c r="H486" s="11">
        <f>IF(A486="","",IFERROR(INDEX(BANK_CLEAN!$A$2:$A$1001,MATCH(MINIFS(BANK_CLEAN!$J$2:$J$1001,BANK_CLEAN!$H$2:$H$1001,G486,BANK_CLEAN!$L$2:$L$1001,""),BANK_CLEAN!$J$2:$J$1001,0)),""))</f>
        <v/>
      </c>
      <c r="I486" s="10">
        <f>IF(H486="","",INDEX(BANK_CLEAN!$B$2:$B$1001,H486))</f>
        <v/>
      </c>
      <c r="J486" s="14">
        <f>IF(H486="","",IF(F486="OUT",INDEX(BANK_CLEAN!$F$2:$F$1001,H486),INDEX(BANK_CLEAN!$E$2:$E$1001,H486)))</f>
        <v/>
      </c>
      <c r="K486" s="14">
        <f>IF(H486="","",ABS(E486-J486))</f>
        <v/>
      </c>
      <c r="L486" s="11">
        <f>IF(OR(H486="",B486="",I486=""),"",ABS(B486-I486))</f>
        <v/>
      </c>
      <c r="M486" s="15">
        <f>IF(H486="",0,LET(pct,IF(E486&gt;0,K486/E486,1),days,IFERROR(L486,999),100-pct*200-days*3))</f>
        <v/>
      </c>
      <c r="N486" s="11">
        <f>IF(A486="","",IF(H486="","Unmatched GL",IF(AND(K486&lt;=Tol_Amount,L486&lt;=Tol_Days),"Matched",IF(M486&gt;Tol_NearPct,"Near Match","Unmatched GL"))))</f>
        <v/>
      </c>
    </row>
    <row r="487">
      <c r="A487" s="13">
        <f>IF(GL_CLEAN!A487="","",GL_CLEAN!A487)</f>
        <v/>
      </c>
      <c r="B487" s="10">
        <f>IF(A487="","",GL_CLEAN!B487)</f>
        <v/>
      </c>
      <c r="C487" s="11">
        <f>IF(A487="","",GL_CLEAN!C487)</f>
        <v/>
      </c>
      <c r="D487" s="14">
        <f>IF(A487="","",GL_CLEAN!H487)</f>
        <v/>
      </c>
      <c r="E487" s="14">
        <f>IF(A487="","",GL_CLEAN!I487)</f>
        <v/>
      </c>
      <c r="F487" s="11">
        <f>IF(A487="","",GL_CLEAN!J487)</f>
        <v/>
      </c>
      <c r="G487" s="11">
        <f>IF(A487="","",IF(F487="OUT","DR","CR"))</f>
        <v/>
      </c>
      <c r="H487" s="11">
        <f>IF(A487="","",IFERROR(INDEX(BANK_CLEAN!$A$2:$A$1001,MATCH(MINIFS(BANK_CLEAN!$J$2:$J$1001,BANK_CLEAN!$H$2:$H$1001,G487,BANK_CLEAN!$L$2:$L$1001,""),BANK_CLEAN!$J$2:$J$1001,0)),""))</f>
        <v/>
      </c>
      <c r="I487" s="10">
        <f>IF(H487="","",INDEX(BANK_CLEAN!$B$2:$B$1001,H487))</f>
        <v/>
      </c>
      <c r="J487" s="14">
        <f>IF(H487="","",IF(F487="OUT",INDEX(BANK_CLEAN!$F$2:$F$1001,H487),INDEX(BANK_CLEAN!$E$2:$E$1001,H487)))</f>
        <v/>
      </c>
      <c r="K487" s="14">
        <f>IF(H487="","",ABS(E487-J487))</f>
        <v/>
      </c>
      <c r="L487" s="11">
        <f>IF(OR(H487="",B487="",I487=""),"",ABS(B487-I487))</f>
        <v/>
      </c>
      <c r="M487" s="15">
        <f>IF(H487="",0,LET(pct,IF(E487&gt;0,K487/E487,1),days,IFERROR(L487,999),100-pct*200-days*3))</f>
        <v/>
      </c>
      <c r="N487" s="11">
        <f>IF(A487="","",IF(H487="","Unmatched GL",IF(AND(K487&lt;=Tol_Amount,L487&lt;=Tol_Days),"Matched",IF(M487&gt;Tol_NearPct,"Near Match","Unmatched GL"))))</f>
        <v/>
      </c>
    </row>
    <row r="488">
      <c r="A488" s="13">
        <f>IF(GL_CLEAN!A488="","",GL_CLEAN!A488)</f>
        <v/>
      </c>
      <c r="B488" s="10">
        <f>IF(A488="","",GL_CLEAN!B488)</f>
        <v/>
      </c>
      <c r="C488" s="11">
        <f>IF(A488="","",GL_CLEAN!C488)</f>
        <v/>
      </c>
      <c r="D488" s="14">
        <f>IF(A488="","",GL_CLEAN!H488)</f>
        <v/>
      </c>
      <c r="E488" s="14">
        <f>IF(A488="","",GL_CLEAN!I488)</f>
        <v/>
      </c>
      <c r="F488" s="11">
        <f>IF(A488="","",GL_CLEAN!J488)</f>
        <v/>
      </c>
      <c r="G488" s="11">
        <f>IF(A488="","",IF(F488="OUT","DR","CR"))</f>
        <v/>
      </c>
      <c r="H488" s="11">
        <f>IF(A488="","",IFERROR(INDEX(BANK_CLEAN!$A$2:$A$1001,MATCH(MINIFS(BANK_CLEAN!$J$2:$J$1001,BANK_CLEAN!$H$2:$H$1001,G488,BANK_CLEAN!$L$2:$L$1001,""),BANK_CLEAN!$J$2:$J$1001,0)),""))</f>
        <v/>
      </c>
      <c r="I488" s="10">
        <f>IF(H488="","",INDEX(BANK_CLEAN!$B$2:$B$1001,H488))</f>
        <v/>
      </c>
      <c r="J488" s="14">
        <f>IF(H488="","",IF(F488="OUT",INDEX(BANK_CLEAN!$F$2:$F$1001,H488),INDEX(BANK_CLEAN!$E$2:$E$1001,H488)))</f>
        <v/>
      </c>
      <c r="K488" s="14">
        <f>IF(H488="","",ABS(E488-J488))</f>
        <v/>
      </c>
      <c r="L488" s="11">
        <f>IF(OR(H488="",B488="",I488=""),"",ABS(B488-I488))</f>
        <v/>
      </c>
      <c r="M488" s="15">
        <f>IF(H488="",0,LET(pct,IF(E488&gt;0,K488/E488,1),days,IFERROR(L488,999),100-pct*200-days*3))</f>
        <v/>
      </c>
      <c r="N488" s="11">
        <f>IF(A488="","",IF(H488="","Unmatched GL",IF(AND(K488&lt;=Tol_Amount,L488&lt;=Tol_Days),"Matched",IF(M488&gt;Tol_NearPct,"Near Match","Unmatched GL"))))</f>
        <v/>
      </c>
    </row>
    <row r="489">
      <c r="A489" s="13">
        <f>IF(GL_CLEAN!A489="","",GL_CLEAN!A489)</f>
        <v/>
      </c>
      <c r="B489" s="10">
        <f>IF(A489="","",GL_CLEAN!B489)</f>
        <v/>
      </c>
      <c r="C489" s="11">
        <f>IF(A489="","",GL_CLEAN!C489)</f>
        <v/>
      </c>
      <c r="D489" s="14">
        <f>IF(A489="","",GL_CLEAN!H489)</f>
        <v/>
      </c>
      <c r="E489" s="14">
        <f>IF(A489="","",GL_CLEAN!I489)</f>
        <v/>
      </c>
      <c r="F489" s="11">
        <f>IF(A489="","",GL_CLEAN!J489)</f>
        <v/>
      </c>
      <c r="G489" s="11">
        <f>IF(A489="","",IF(F489="OUT","DR","CR"))</f>
        <v/>
      </c>
      <c r="H489" s="11">
        <f>IF(A489="","",IFERROR(INDEX(BANK_CLEAN!$A$2:$A$1001,MATCH(MINIFS(BANK_CLEAN!$J$2:$J$1001,BANK_CLEAN!$H$2:$H$1001,G489,BANK_CLEAN!$L$2:$L$1001,""),BANK_CLEAN!$J$2:$J$1001,0)),""))</f>
        <v/>
      </c>
      <c r="I489" s="10">
        <f>IF(H489="","",INDEX(BANK_CLEAN!$B$2:$B$1001,H489))</f>
        <v/>
      </c>
      <c r="J489" s="14">
        <f>IF(H489="","",IF(F489="OUT",INDEX(BANK_CLEAN!$F$2:$F$1001,H489),INDEX(BANK_CLEAN!$E$2:$E$1001,H489)))</f>
        <v/>
      </c>
      <c r="K489" s="14">
        <f>IF(H489="","",ABS(E489-J489))</f>
        <v/>
      </c>
      <c r="L489" s="11">
        <f>IF(OR(H489="",B489="",I489=""),"",ABS(B489-I489))</f>
        <v/>
      </c>
      <c r="M489" s="15">
        <f>IF(H489="",0,LET(pct,IF(E489&gt;0,K489/E489,1),days,IFERROR(L489,999),100-pct*200-days*3))</f>
        <v/>
      </c>
      <c r="N489" s="11">
        <f>IF(A489="","",IF(H489="","Unmatched GL",IF(AND(K489&lt;=Tol_Amount,L489&lt;=Tol_Days),"Matched",IF(M489&gt;Tol_NearPct,"Near Match","Unmatched GL"))))</f>
        <v/>
      </c>
    </row>
    <row r="490">
      <c r="A490" s="13">
        <f>IF(GL_CLEAN!A490="","",GL_CLEAN!A490)</f>
        <v/>
      </c>
      <c r="B490" s="10">
        <f>IF(A490="","",GL_CLEAN!B490)</f>
        <v/>
      </c>
      <c r="C490" s="11">
        <f>IF(A490="","",GL_CLEAN!C490)</f>
        <v/>
      </c>
      <c r="D490" s="14">
        <f>IF(A490="","",GL_CLEAN!H490)</f>
        <v/>
      </c>
      <c r="E490" s="14">
        <f>IF(A490="","",GL_CLEAN!I490)</f>
        <v/>
      </c>
      <c r="F490" s="11">
        <f>IF(A490="","",GL_CLEAN!J490)</f>
        <v/>
      </c>
      <c r="G490" s="11">
        <f>IF(A490="","",IF(F490="OUT","DR","CR"))</f>
        <v/>
      </c>
      <c r="H490" s="11">
        <f>IF(A490="","",IFERROR(INDEX(BANK_CLEAN!$A$2:$A$1001,MATCH(MINIFS(BANK_CLEAN!$J$2:$J$1001,BANK_CLEAN!$H$2:$H$1001,G490,BANK_CLEAN!$L$2:$L$1001,""),BANK_CLEAN!$J$2:$J$1001,0)),""))</f>
        <v/>
      </c>
      <c r="I490" s="10">
        <f>IF(H490="","",INDEX(BANK_CLEAN!$B$2:$B$1001,H490))</f>
        <v/>
      </c>
      <c r="J490" s="14">
        <f>IF(H490="","",IF(F490="OUT",INDEX(BANK_CLEAN!$F$2:$F$1001,H490),INDEX(BANK_CLEAN!$E$2:$E$1001,H490)))</f>
        <v/>
      </c>
      <c r="K490" s="14">
        <f>IF(H490="","",ABS(E490-J490))</f>
        <v/>
      </c>
      <c r="L490" s="11">
        <f>IF(OR(H490="",B490="",I490=""),"",ABS(B490-I490))</f>
        <v/>
      </c>
      <c r="M490" s="15">
        <f>IF(H490="",0,LET(pct,IF(E490&gt;0,K490/E490,1),days,IFERROR(L490,999),100-pct*200-days*3))</f>
        <v/>
      </c>
      <c r="N490" s="11">
        <f>IF(A490="","",IF(H490="","Unmatched GL",IF(AND(K490&lt;=Tol_Amount,L490&lt;=Tol_Days),"Matched",IF(M490&gt;Tol_NearPct,"Near Match","Unmatched GL"))))</f>
        <v/>
      </c>
    </row>
    <row r="491">
      <c r="A491" s="13">
        <f>IF(GL_CLEAN!A491="","",GL_CLEAN!A491)</f>
        <v/>
      </c>
      <c r="B491" s="10">
        <f>IF(A491="","",GL_CLEAN!B491)</f>
        <v/>
      </c>
      <c r="C491" s="11">
        <f>IF(A491="","",GL_CLEAN!C491)</f>
        <v/>
      </c>
      <c r="D491" s="14">
        <f>IF(A491="","",GL_CLEAN!H491)</f>
        <v/>
      </c>
      <c r="E491" s="14">
        <f>IF(A491="","",GL_CLEAN!I491)</f>
        <v/>
      </c>
      <c r="F491" s="11">
        <f>IF(A491="","",GL_CLEAN!J491)</f>
        <v/>
      </c>
      <c r="G491" s="11">
        <f>IF(A491="","",IF(F491="OUT","DR","CR"))</f>
        <v/>
      </c>
      <c r="H491" s="11">
        <f>IF(A491="","",IFERROR(INDEX(BANK_CLEAN!$A$2:$A$1001,MATCH(MINIFS(BANK_CLEAN!$J$2:$J$1001,BANK_CLEAN!$H$2:$H$1001,G491,BANK_CLEAN!$L$2:$L$1001,""),BANK_CLEAN!$J$2:$J$1001,0)),""))</f>
        <v/>
      </c>
      <c r="I491" s="10">
        <f>IF(H491="","",INDEX(BANK_CLEAN!$B$2:$B$1001,H491))</f>
        <v/>
      </c>
      <c r="J491" s="14">
        <f>IF(H491="","",IF(F491="OUT",INDEX(BANK_CLEAN!$F$2:$F$1001,H491),INDEX(BANK_CLEAN!$E$2:$E$1001,H491)))</f>
        <v/>
      </c>
      <c r="K491" s="14">
        <f>IF(H491="","",ABS(E491-J491))</f>
        <v/>
      </c>
      <c r="L491" s="11">
        <f>IF(OR(H491="",B491="",I491=""),"",ABS(B491-I491))</f>
        <v/>
      </c>
      <c r="M491" s="15">
        <f>IF(H491="",0,LET(pct,IF(E491&gt;0,K491/E491,1),days,IFERROR(L491,999),100-pct*200-days*3))</f>
        <v/>
      </c>
      <c r="N491" s="11">
        <f>IF(A491="","",IF(H491="","Unmatched GL",IF(AND(K491&lt;=Tol_Amount,L491&lt;=Tol_Days),"Matched",IF(M491&gt;Tol_NearPct,"Near Match","Unmatched GL"))))</f>
        <v/>
      </c>
    </row>
    <row r="492">
      <c r="A492" s="13">
        <f>IF(GL_CLEAN!A492="","",GL_CLEAN!A492)</f>
        <v/>
      </c>
      <c r="B492" s="10">
        <f>IF(A492="","",GL_CLEAN!B492)</f>
        <v/>
      </c>
      <c r="C492" s="11">
        <f>IF(A492="","",GL_CLEAN!C492)</f>
        <v/>
      </c>
      <c r="D492" s="14">
        <f>IF(A492="","",GL_CLEAN!H492)</f>
        <v/>
      </c>
      <c r="E492" s="14">
        <f>IF(A492="","",GL_CLEAN!I492)</f>
        <v/>
      </c>
      <c r="F492" s="11">
        <f>IF(A492="","",GL_CLEAN!J492)</f>
        <v/>
      </c>
      <c r="G492" s="11">
        <f>IF(A492="","",IF(F492="OUT","DR","CR"))</f>
        <v/>
      </c>
      <c r="H492" s="11">
        <f>IF(A492="","",IFERROR(INDEX(BANK_CLEAN!$A$2:$A$1001,MATCH(MINIFS(BANK_CLEAN!$J$2:$J$1001,BANK_CLEAN!$H$2:$H$1001,G492,BANK_CLEAN!$L$2:$L$1001,""),BANK_CLEAN!$J$2:$J$1001,0)),""))</f>
        <v/>
      </c>
      <c r="I492" s="10">
        <f>IF(H492="","",INDEX(BANK_CLEAN!$B$2:$B$1001,H492))</f>
        <v/>
      </c>
      <c r="J492" s="14">
        <f>IF(H492="","",IF(F492="OUT",INDEX(BANK_CLEAN!$F$2:$F$1001,H492),INDEX(BANK_CLEAN!$E$2:$E$1001,H492)))</f>
        <v/>
      </c>
      <c r="K492" s="14">
        <f>IF(H492="","",ABS(E492-J492))</f>
        <v/>
      </c>
      <c r="L492" s="11">
        <f>IF(OR(H492="",B492="",I492=""),"",ABS(B492-I492))</f>
        <v/>
      </c>
      <c r="M492" s="15">
        <f>IF(H492="",0,LET(pct,IF(E492&gt;0,K492/E492,1),days,IFERROR(L492,999),100-pct*200-days*3))</f>
        <v/>
      </c>
      <c r="N492" s="11">
        <f>IF(A492="","",IF(H492="","Unmatched GL",IF(AND(K492&lt;=Tol_Amount,L492&lt;=Tol_Days),"Matched",IF(M492&gt;Tol_NearPct,"Near Match","Unmatched GL"))))</f>
        <v/>
      </c>
    </row>
    <row r="493">
      <c r="A493" s="13">
        <f>IF(GL_CLEAN!A493="","",GL_CLEAN!A493)</f>
        <v/>
      </c>
      <c r="B493" s="10">
        <f>IF(A493="","",GL_CLEAN!B493)</f>
        <v/>
      </c>
      <c r="C493" s="11">
        <f>IF(A493="","",GL_CLEAN!C493)</f>
        <v/>
      </c>
      <c r="D493" s="14">
        <f>IF(A493="","",GL_CLEAN!H493)</f>
        <v/>
      </c>
      <c r="E493" s="14">
        <f>IF(A493="","",GL_CLEAN!I493)</f>
        <v/>
      </c>
      <c r="F493" s="11">
        <f>IF(A493="","",GL_CLEAN!J493)</f>
        <v/>
      </c>
      <c r="G493" s="11">
        <f>IF(A493="","",IF(F493="OUT","DR","CR"))</f>
        <v/>
      </c>
      <c r="H493" s="11">
        <f>IF(A493="","",IFERROR(INDEX(BANK_CLEAN!$A$2:$A$1001,MATCH(MINIFS(BANK_CLEAN!$J$2:$J$1001,BANK_CLEAN!$H$2:$H$1001,G493,BANK_CLEAN!$L$2:$L$1001,""),BANK_CLEAN!$J$2:$J$1001,0)),""))</f>
        <v/>
      </c>
      <c r="I493" s="10">
        <f>IF(H493="","",INDEX(BANK_CLEAN!$B$2:$B$1001,H493))</f>
        <v/>
      </c>
      <c r="J493" s="14">
        <f>IF(H493="","",IF(F493="OUT",INDEX(BANK_CLEAN!$F$2:$F$1001,H493),INDEX(BANK_CLEAN!$E$2:$E$1001,H493)))</f>
        <v/>
      </c>
      <c r="K493" s="14">
        <f>IF(H493="","",ABS(E493-J493))</f>
        <v/>
      </c>
      <c r="L493" s="11">
        <f>IF(OR(H493="",B493="",I493=""),"",ABS(B493-I493))</f>
        <v/>
      </c>
      <c r="M493" s="15">
        <f>IF(H493="",0,LET(pct,IF(E493&gt;0,K493/E493,1),days,IFERROR(L493,999),100-pct*200-days*3))</f>
        <v/>
      </c>
      <c r="N493" s="11">
        <f>IF(A493="","",IF(H493="","Unmatched GL",IF(AND(K493&lt;=Tol_Amount,L493&lt;=Tol_Days),"Matched",IF(M493&gt;Tol_NearPct,"Near Match","Unmatched GL"))))</f>
        <v/>
      </c>
    </row>
    <row r="494">
      <c r="A494" s="13">
        <f>IF(GL_CLEAN!A494="","",GL_CLEAN!A494)</f>
        <v/>
      </c>
      <c r="B494" s="10">
        <f>IF(A494="","",GL_CLEAN!B494)</f>
        <v/>
      </c>
      <c r="C494" s="11">
        <f>IF(A494="","",GL_CLEAN!C494)</f>
        <v/>
      </c>
      <c r="D494" s="14">
        <f>IF(A494="","",GL_CLEAN!H494)</f>
        <v/>
      </c>
      <c r="E494" s="14">
        <f>IF(A494="","",GL_CLEAN!I494)</f>
        <v/>
      </c>
      <c r="F494" s="11">
        <f>IF(A494="","",GL_CLEAN!J494)</f>
        <v/>
      </c>
      <c r="G494" s="11">
        <f>IF(A494="","",IF(F494="OUT","DR","CR"))</f>
        <v/>
      </c>
      <c r="H494" s="11">
        <f>IF(A494="","",IFERROR(INDEX(BANK_CLEAN!$A$2:$A$1001,MATCH(MINIFS(BANK_CLEAN!$J$2:$J$1001,BANK_CLEAN!$H$2:$H$1001,G494,BANK_CLEAN!$L$2:$L$1001,""),BANK_CLEAN!$J$2:$J$1001,0)),""))</f>
        <v/>
      </c>
      <c r="I494" s="10">
        <f>IF(H494="","",INDEX(BANK_CLEAN!$B$2:$B$1001,H494))</f>
        <v/>
      </c>
      <c r="J494" s="14">
        <f>IF(H494="","",IF(F494="OUT",INDEX(BANK_CLEAN!$F$2:$F$1001,H494),INDEX(BANK_CLEAN!$E$2:$E$1001,H494)))</f>
        <v/>
      </c>
      <c r="K494" s="14">
        <f>IF(H494="","",ABS(E494-J494))</f>
        <v/>
      </c>
      <c r="L494" s="11">
        <f>IF(OR(H494="",B494="",I494=""),"",ABS(B494-I494))</f>
        <v/>
      </c>
      <c r="M494" s="15">
        <f>IF(H494="",0,LET(pct,IF(E494&gt;0,K494/E494,1),days,IFERROR(L494,999),100-pct*200-days*3))</f>
        <v/>
      </c>
      <c r="N494" s="11">
        <f>IF(A494="","",IF(H494="","Unmatched GL",IF(AND(K494&lt;=Tol_Amount,L494&lt;=Tol_Days),"Matched",IF(M494&gt;Tol_NearPct,"Near Match","Unmatched GL"))))</f>
        <v/>
      </c>
    </row>
    <row r="495">
      <c r="A495" s="13">
        <f>IF(GL_CLEAN!A495="","",GL_CLEAN!A495)</f>
        <v/>
      </c>
      <c r="B495" s="10">
        <f>IF(A495="","",GL_CLEAN!B495)</f>
        <v/>
      </c>
      <c r="C495" s="11">
        <f>IF(A495="","",GL_CLEAN!C495)</f>
        <v/>
      </c>
      <c r="D495" s="14">
        <f>IF(A495="","",GL_CLEAN!H495)</f>
        <v/>
      </c>
      <c r="E495" s="14">
        <f>IF(A495="","",GL_CLEAN!I495)</f>
        <v/>
      </c>
      <c r="F495" s="11">
        <f>IF(A495="","",GL_CLEAN!J495)</f>
        <v/>
      </c>
      <c r="G495" s="11">
        <f>IF(A495="","",IF(F495="OUT","DR","CR"))</f>
        <v/>
      </c>
      <c r="H495" s="11">
        <f>IF(A495="","",IFERROR(INDEX(BANK_CLEAN!$A$2:$A$1001,MATCH(MINIFS(BANK_CLEAN!$J$2:$J$1001,BANK_CLEAN!$H$2:$H$1001,G495,BANK_CLEAN!$L$2:$L$1001,""),BANK_CLEAN!$J$2:$J$1001,0)),""))</f>
        <v/>
      </c>
      <c r="I495" s="10">
        <f>IF(H495="","",INDEX(BANK_CLEAN!$B$2:$B$1001,H495))</f>
        <v/>
      </c>
      <c r="J495" s="14">
        <f>IF(H495="","",IF(F495="OUT",INDEX(BANK_CLEAN!$F$2:$F$1001,H495),INDEX(BANK_CLEAN!$E$2:$E$1001,H495)))</f>
        <v/>
      </c>
      <c r="K495" s="14">
        <f>IF(H495="","",ABS(E495-J495))</f>
        <v/>
      </c>
      <c r="L495" s="11">
        <f>IF(OR(H495="",B495="",I495=""),"",ABS(B495-I495))</f>
        <v/>
      </c>
      <c r="M495" s="15">
        <f>IF(H495="",0,LET(pct,IF(E495&gt;0,K495/E495,1),days,IFERROR(L495,999),100-pct*200-days*3))</f>
        <v/>
      </c>
      <c r="N495" s="11">
        <f>IF(A495="","",IF(H495="","Unmatched GL",IF(AND(K495&lt;=Tol_Amount,L495&lt;=Tol_Days),"Matched",IF(M495&gt;Tol_NearPct,"Near Match","Unmatched GL"))))</f>
        <v/>
      </c>
    </row>
    <row r="496">
      <c r="A496" s="13">
        <f>IF(GL_CLEAN!A496="","",GL_CLEAN!A496)</f>
        <v/>
      </c>
      <c r="B496" s="10">
        <f>IF(A496="","",GL_CLEAN!B496)</f>
        <v/>
      </c>
      <c r="C496" s="11">
        <f>IF(A496="","",GL_CLEAN!C496)</f>
        <v/>
      </c>
      <c r="D496" s="14">
        <f>IF(A496="","",GL_CLEAN!H496)</f>
        <v/>
      </c>
      <c r="E496" s="14">
        <f>IF(A496="","",GL_CLEAN!I496)</f>
        <v/>
      </c>
      <c r="F496" s="11">
        <f>IF(A496="","",GL_CLEAN!J496)</f>
        <v/>
      </c>
      <c r="G496" s="11">
        <f>IF(A496="","",IF(F496="OUT","DR","CR"))</f>
        <v/>
      </c>
      <c r="H496" s="11">
        <f>IF(A496="","",IFERROR(INDEX(BANK_CLEAN!$A$2:$A$1001,MATCH(MINIFS(BANK_CLEAN!$J$2:$J$1001,BANK_CLEAN!$H$2:$H$1001,G496,BANK_CLEAN!$L$2:$L$1001,""),BANK_CLEAN!$J$2:$J$1001,0)),""))</f>
        <v/>
      </c>
      <c r="I496" s="10">
        <f>IF(H496="","",INDEX(BANK_CLEAN!$B$2:$B$1001,H496))</f>
        <v/>
      </c>
      <c r="J496" s="14">
        <f>IF(H496="","",IF(F496="OUT",INDEX(BANK_CLEAN!$F$2:$F$1001,H496),INDEX(BANK_CLEAN!$E$2:$E$1001,H496)))</f>
        <v/>
      </c>
      <c r="K496" s="14">
        <f>IF(H496="","",ABS(E496-J496))</f>
        <v/>
      </c>
      <c r="L496" s="11">
        <f>IF(OR(H496="",B496="",I496=""),"",ABS(B496-I496))</f>
        <v/>
      </c>
      <c r="M496" s="15">
        <f>IF(H496="",0,LET(pct,IF(E496&gt;0,K496/E496,1),days,IFERROR(L496,999),100-pct*200-days*3))</f>
        <v/>
      </c>
      <c r="N496" s="11">
        <f>IF(A496="","",IF(H496="","Unmatched GL",IF(AND(K496&lt;=Tol_Amount,L496&lt;=Tol_Days),"Matched",IF(M496&gt;Tol_NearPct,"Near Match","Unmatched GL"))))</f>
        <v/>
      </c>
    </row>
    <row r="497">
      <c r="A497" s="13">
        <f>IF(GL_CLEAN!A497="","",GL_CLEAN!A497)</f>
        <v/>
      </c>
      <c r="B497" s="10">
        <f>IF(A497="","",GL_CLEAN!B497)</f>
        <v/>
      </c>
      <c r="C497" s="11">
        <f>IF(A497="","",GL_CLEAN!C497)</f>
        <v/>
      </c>
      <c r="D497" s="14">
        <f>IF(A497="","",GL_CLEAN!H497)</f>
        <v/>
      </c>
      <c r="E497" s="14">
        <f>IF(A497="","",GL_CLEAN!I497)</f>
        <v/>
      </c>
      <c r="F497" s="11">
        <f>IF(A497="","",GL_CLEAN!J497)</f>
        <v/>
      </c>
      <c r="G497" s="11">
        <f>IF(A497="","",IF(F497="OUT","DR","CR"))</f>
        <v/>
      </c>
      <c r="H497" s="11">
        <f>IF(A497="","",IFERROR(INDEX(BANK_CLEAN!$A$2:$A$1001,MATCH(MINIFS(BANK_CLEAN!$J$2:$J$1001,BANK_CLEAN!$H$2:$H$1001,G497,BANK_CLEAN!$L$2:$L$1001,""),BANK_CLEAN!$J$2:$J$1001,0)),""))</f>
        <v/>
      </c>
      <c r="I497" s="10">
        <f>IF(H497="","",INDEX(BANK_CLEAN!$B$2:$B$1001,H497))</f>
        <v/>
      </c>
      <c r="J497" s="14">
        <f>IF(H497="","",IF(F497="OUT",INDEX(BANK_CLEAN!$F$2:$F$1001,H497),INDEX(BANK_CLEAN!$E$2:$E$1001,H497)))</f>
        <v/>
      </c>
      <c r="K497" s="14">
        <f>IF(H497="","",ABS(E497-J497))</f>
        <v/>
      </c>
      <c r="L497" s="11">
        <f>IF(OR(H497="",B497="",I497=""),"",ABS(B497-I497))</f>
        <v/>
      </c>
      <c r="M497" s="15">
        <f>IF(H497="",0,LET(pct,IF(E497&gt;0,K497/E497,1),days,IFERROR(L497,999),100-pct*200-days*3))</f>
        <v/>
      </c>
      <c r="N497" s="11">
        <f>IF(A497="","",IF(H497="","Unmatched GL",IF(AND(K497&lt;=Tol_Amount,L497&lt;=Tol_Days),"Matched",IF(M497&gt;Tol_NearPct,"Near Match","Unmatched GL"))))</f>
        <v/>
      </c>
    </row>
    <row r="498">
      <c r="A498" s="13">
        <f>IF(GL_CLEAN!A498="","",GL_CLEAN!A498)</f>
        <v/>
      </c>
      <c r="B498" s="10">
        <f>IF(A498="","",GL_CLEAN!B498)</f>
        <v/>
      </c>
      <c r="C498" s="11">
        <f>IF(A498="","",GL_CLEAN!C498)</f>
        <v/>
      </c>
      <c r="D498" s="14">
        <f>IF(A498="","",GL_CLEAN!H498)</f>
        <v/>
      </c>
      <c r="E498" s="14">
        <f>IF(A498="","",GL_CLEAN!I498)</f>
        <v/>
      </c>
      <c r="F498" s="11">
        <f>IF(A498="","",GL_CLEAN!J498)</f>
        <v/>
      </c>
      <c r="G498" s="11">
        <f>IF(A498="","",IF(F498="OUT","DR","CR"))</f>
        <v/>
      </c>
      <c r="H498" s="11">
        <f>IF(A498="","",IFERROR(INDEX(BANK_CLEAN!$A$2:$A$1001,MATCH(MINIFS(BANK_CLEAN!$J$2:$J$1001,BANK_CLEAN!$H$2:$H$1001,G498,BANK_CLEAN!$L$2:$L$1001,""),BANK_CLEAN!$J$2:$J$1001,0)),""))</f>
        <v/>
      </c>
      <c r="I498" s="10">
        <f>IF(H498="","",INDEX(BANK_CLEAN!$B$2:$B$1001,H498))</f>
        <v/>
      </c>
      <c r="J498" s="14">
        <f>IF(H498="","",IF(F498="OUT",INDEX(BANK_CLEAN!$F$2:$F$1001,H498),INDEX(BANK_CLEAN!$E$2:$E$1001,H498)))</f>
        <v/>
      </c>
      <c r="K498" s="14">
        <f>IF(H498="","",ABS(E498-J498))</f>
        <v/>
      </c>
      <c r="L498" s="11">
        <f>IF(OR(H498="",B498="",I498=""),"",ABS(B498-I498))</f>
        <v/>
      </c>
      <c r="M498" s="15">
        <f>IF(H498="",0,LET(pct,IF(E498&gt;0,K498/E498,1),days,IFERROR(L498,999),100-pct*200-days*3))</f>
        <v/>
      </c>
      <c r="N498" s="11">
        <f>IF(A498="","",IF(H498="","Unmatched GL",IF(AND(K498&lt;=Tol_Amount,L498&lt;=Tol_Days),"Matched",IF(M498&gt;Tol_NearPct,"Near Match","Unmatched GL"))))</f>
        <v/>
      </c>
    </row>
    <row r="499">
      <c r="A499" s="13">
        <f>IF(GL_CLEAN!A499="","",GL_CLEAN!A499)</f>
        <v/>
      </c>
      <c r="B499" s="10">
        <f>IF(A499="","",GL_CLEAN!B499)</f>
        <v/>
      </c>
      <c r="C499" s="11">
        <f>IF(A499="","",GL_CLEAN!C499)</f>
        <v/>
      </c>
      <c r="D499" s="14">
        <f>IF(A499="","",GL_CLEAN!H499)</f>
        <v/>
      </c>
      <c r="E499" s="14">
        <f>IF(A499="","",GL_CLEAN!I499)</f>
        <v/>
      </c>
      <c r="F499" s="11">
        <f>IF(A499="","",GL_CLEAN!J499)</f>
        <v/>
      </c>
      <c r="G499" s="11">
        <f>IF(A499="","",IF(F499="OUT","DR","CR"))</f>
        <v/>
      </c>
      <c r="H499" s="11">
        <f>IF(A499="","",IFERROR(INDEX(BANK_CLEAN!$A$2:$A$1001,MATCH(MINIFS(BANK_CLEAN!$J$2:$J$1001,BANK_CLEAN!$H$2:$H$1001,G499,BANK_CLEAN!$L$2:$L$1001,""),BANK_CLEAN!$J$2:$J$1001,0)),""))</f>
        <v/>
      </c>
      <c r="I499" s="10">
        <f>IF(H499="","",INDEX(BANK_CLEAN!$B$2:$B$1001,H499))</f>
        <v/>
      </c>
      <c r="J499" s="14">
        <f>IF(H499="","",IF(F499="OUT",INDEX(BANK_CLEAN!$F$2:$F$1001,H499),INDEX(BANK_CLEAN!$E$2:$E$1001,H499)))</f>
        <v/>
      </c>
      <c r="K499" s="14">
        <f>IF(H499="","",ABS(E499-J499))</f>
        <v/>
      </c>
      <c r="L499" s="11">
        <f>IF(OR(H499="",B499="",I499=""),"",ABS(B499-I499))</f>
        <v/>
      </c>
      <c r="M499" s="15">
        <f>IF(H499="",0,LET(pct,IF(E499&gt;0,K499/E499,1),days,IFERROR(L499,999),100-pct*200-days*3))</f>
        <v/>
      </c>
      <c r="N499" s="11">
        <f>IF(A499="","",IF(H499="","Unmatched GL",IF(AND(K499&lt;=Tol_Amount,L499&lt;=Tol_Days),"Matched",IF(M499&gt;Tol_NearPct,"Near Match","Unmatched GL"))))</f>
        <v/>
      </c>
    </row>
    <row r="500">
      <c r="A500" s="13">
        <f>IF(GL_CLEAN!A500="","",GL_CLEAN!A500)</f>
        <v/>
      </c>
      <c r="B500" s="10">
        <f>IF(A500="","",GL_CLEAN!B500)</f>
        <v/>
      </c>
      <c r="C500" s="11">
        <f>IF(A500="","",GL_CLEAN!C500)</f>
        <v/>
      </c>
      <c r="D500" s="14">
        <f>IF(A500="","",GL_CLEAN!H500)</f>
        <v/>
      </c>
      <c r="E500" s="14">
        <f>IF(A500="","",GL_CLEAN!I500)</f>
        <v/>
      </c>
      <c r="F500" s="11">
        <f>IF(A500="","",GL_CLEAN!J500)</f>
        <v/>
      </c>
      <c r="G500" s="11">
        <f>IF(A500="","",IF(F500="OUT","DR","CR"))</f>
        <v/>
      </c>
      <c r="H500" s="11">
        <f>IF(A500="","",IFERROR(INDEX(BANK_CLEAN!$A$2:$A$1001,MATCH(MINIFS(BANK_CLEAN!$J$2:$J$1001,BANK_CLEAN!$H$2:$H$1001,G500,BANK_CLEAN!$L$2:$L$1001,""),BANK_CLEAN!$J$2:$J$1001,0)),""))</f>
        <v/>
      </c>
      <c r="I500" s="10">
        <f>IF(H500="","",INDEX(BANK_CLEAN!$B$2:$B$1001,H500))</f>
        <v/>
      </c>
      <c r="J500" s="14">
        <f>IF(H500="","",IF(F500="OUT",INDEX(BANK_CLEAN!$F$2:$F$1001,H500),INDEX(BANK_CLEAN!$E$2:$E$1001,H500)))</f>
        <v/>
      </c>
      <c r="K500" s="14">
        <f>IF(H500="","",ABS(E500-J500))</f>
        <v/>
      </c>
      <c r="L500" s="11">
        <f>IF(OR(H500="",B500="",I500=""),"",ABS(B500-I500))</f>
        <v/>
      </c>
      <c r="M500" s="15">
        <f>IF(H500="",0,LET(pct,IF(E500&gt;0,K500/E500,1),days,IFERROR(L500,999),100-pct*200-days*3))</f>
        <v/>
      </c>
      <c r="N500" s="11">
        <f>IF(A500="","",IF(H500="","Unmatched GL",IF(AND(K500&lt;=Tol_Amount,L500&lt;=Tol_Days),"Matched",IF(M500&gt;Tol_NearPct,"Near Match","Unmatched GL"))))</f>
        <v/>
      </c>
    </row>
    <row r="501">
      <c r="A501" s="13">
        <f>IF(GL_CLEAN!A501="","",GL_CLEAN!A501)</f>
        <v/>
      </c>
      <c r="B501" s="10">
        <f>IF(A501="","",GL_CLEAN!B501)</f>
        <v/>
      </c>
      <c r="C501" s="11">
        <f>IF(A501="","",GL_CLEAN!C501)</f>
        <v/>
      </c>
      <c r="D501" s="14">
        <f>IF(A501="","",GL_CLEAN!H501)</f>
        <v/>
      </c>
      <c r="E501" s="14">
        <f>IF(A501="","",GL_CLEAN!I501)</f>
        <v/>
      </c>
      <c r="F501" s="11">
        <f>IF(A501="","",GL_CLEAN!J501)</f>
        <v/>
      </c>
      <c r="G501" s="11">
        <f>IF(A501="","",IF(F501="OUT","DR","CR"))</f>
        <v/>
      </c>
      <c r="H501" s="11">
        <f>IF(A501="","",IFERROR(INDEX(BANK_CLEAN!$A$2:$A$1001,MATCH(MINIFS(BANK_CLEAN!$J$2:$J$1001,BANK_CLEAN!$H$2:$H$1001,G501,BANK_CLEAN!$L$2:$L$1001,""),BANK_CLEAN!$J$2:$J$1001,0)),""))</f>
        <v/>
      </c>
      <c r="I501" s="10">
        <f>IF(H501="","",INDEX(BANK_CLEAN!$B$2:$B$1001,H501))</f>
        <v/>
      </c>
      <c r="J501" s="14">
        <f>IF(H501="","",IF(F501="OUT",INDEX(BANK_CLEAN!$F$2:$F$1001,H501),INDEX(BANK_CLEAN!$E$2:$E$1001,H501)))</f>
        <v/>
      </c>
      <c r="K501" s="14">
        <f>IF(H501="","",ABS(E501-J501))</f>
        <v/>
      </c>
      <c r="L501" s="11">
        <f>IF(OR(H501="",B501="",I501=""),"",ABS(B501-I501))</f>
        <v/>
      </c>
      <c r="M501" s="15">
        <f>IF(H501="",0,LET(pct,IF(E501&gt;0,K501/E501,1),days,IFERROR(L501,999),100-pct*200-days*3))</f>
        <v/>
      </c>
      <c r="N501" s="11">
        <f>IF(A501="","",IF(H501="","Unmatched GL",IF(AND(K501&lt;=Tol_Amount,L501&lt;=Tol_Days),"Matched",IF(M501&gt;Tol_NearPct,"Near Match","Unmatched GL"))))</f>
        <v/>
      </c>
    </row>
    <row r="502">
      <c r="A502" s="13">
        <f>IF(GL_CLEAN!A502="","",GL_CLEAN!A502)</f>
        <v/>
      </c>
      <c r="B502" s="10">
        <f>IF(A502="","",GL_CLEAN!B502)</f>
        <v/>
      </c>
      <c r="C502" s="11">
        <f>IF(A502="","",GL_CLEAN!C502)</f>
        <v/>
      </c>
      <c r="D502" s="14">
        <f>IF(A502="","",GL_CLEAN!H502)</f>
        <v/>
      </c>
      <c r="E502" s="14">
        <f>IF(A502="","",GL_CLEAN!I502)</f>
        <v/>
      </c>
      <c r="F502" s="11">
        <f>IF(A502="","",GL_CLEAN!J502)</f>
        <v/>
      </c>
      <c r="G502" s="11">
        <f>IF(A502="","",IF(F502="OUT","DR","CR"))</f>
        <v/>
      </c>
      <c r="H502" s="11">
        <f>IF(A502="","",IFERROR(INDEX(BANK_CLEAN!$A$2:$A$1001,MATCH(MINIFS(BANK_CLEAN!$J$2:$J$1001,BANK_CLEAN!$H$2:$H$1001,G502,BANK_CLEAN!$L$2:$L$1001,""),BANK_CLEAN!$J$2:$J$1001,0)),""))</f>
        <v/>
      </c>
      <c r="I502" s="10">
        <f>IF(H502="","",INDEX(BANK_CLEAN!$B$2:$B$1001,H502))</f>
        <v/>
      </c>
      <c r="J502" s="14">
        <f>IF(H502="","",IF(F502="OUT",INDEX(BANK_CLEAN!$F$2:$F$1001,H502),INDEX(BANK_CLEAN!$E$2:$E$1001,H502)))</f>
        <v/>
      </c>
      <c r="K502" s="14">
        <f>IF(H502="","",ABS(E502-J502))</f>
        <v/>
      </c>
      <c r="L502" s="11">
        <f>IF(OR(H502="",B502="",I502=""),"",ABS(B502-I502))</f>
        <v/>
      </c>
      <c r="M502" s="15">
        <f>IF(H502="",0,LET(pct,IF(E502&gt;0,K502/E502,1),days,IFERROR(L502,999),100-pct*200-days*3))</f>
        <v/>
      </c>
      <c r="N502" s="11">
        <f>IF(A502="","",IF(H502="","Unmatched GL",IF(AND(K502&lt;=Tol_Amount,L502&lt;=Tol_Days),"Matched",IF(M502&gt;Tol_NearPct,"Near Match","Unmatched GL"))))</f>
        <v/>
      </c>
    </row>
    <row r="503">
      <c r="A503" s="13">
        <f>IF(GL_CLEAN!A503="","",GL_CLEAN!A503)</f>
        <v/>
      </c>
      <c r="B503" s="10">
        <f>IF(A503="","",GL_CLEAN!B503)</f>
        <v/>
      </c>
      <c r="C503" s="11">
        <f>IF(A503="","",GL_CLEAN!C503)</f>
        <v/>
      </c>
      <c r="D503" s="14">
        <f>IF(A503="","",GL_CLEAN!H503)</f>
        <v/>
      </c>
      <c r="E503" s="14">
        <f>IF(A503="","",GL_CLEAN!I503)</f>
        <v/>
      </c>
      <c r="F503" s="11">
        <f>IF(A503="","",GL_CLEAN!J503)</f>
        <v/>
      </c>
      <c r="G503" s="11">
        <f>IF(A503="","",IF(F503="OUT","DR","CR"))</f>
        <v/>
      </c>
      <c r="H503" s="11">
        <f>IF(A503="","",IFERROR(INDEX(BANK_CLEAN!$A$2:$A$1001,MATCH(MINIFS(BANK_CLEAN!$J$2:$J$1001,BANK_CLEAN!$H$2:$H$1001,G503,BANK_CLEAN!$L$2:$L$1001,""),BANK_CLEAN!$J$2:$J$1001,0)),""))</f>
        <v/>
      </c>
      <c r="I503" s="10">
        <f>IF(H503="","",INDEX(BANK_CLEAN!$B$2:$B$1001,H503))</f>
        <v/>
      </c>
      <c r="J503" s="14">
        <f>IF(H503="","",IF(F503="OUT",INDEX(BANK_CLEAN!$F$2:$F$1001,H503),INDEX(BANK_CLEAN!$E$2:$E$1001,H503)))</f>
        <v/>
      </c>
      <c r="K503" s="14">
        <f>IF(H503="","",ABS(E503-J503))</f>
        <v/>
      </c>
      <c r="L503" s="11">
        <f>IF(OR(H503="",B503="",I503=""),"",ABS(B503-I503))</f>
        <v/>
      </c>
      <c r="M503" s="15">
        <f>IF(H503="",0,LET(pct,IF(E503&gt;0,K503/E503,1),days,IFERROR(L503,999),100-pct*200-days*3))</f>
        <v/>
      </c>
      <c r="N503" s="11">
        <f>IF(A503="","",IF(H503="","Unmatched GL",IF(AND(K503&lt;=Tol_Amount,L503&lt;=Tol_Days),"Matched",IF(M503&gt;Tol_NearPct,"Near Match","Unmatched GL"))))</f>
        <v/>
      </c>
    </row>
    <row r="504">
      <c r="A504" s="13">
        <f>IF(GL_CLEAN!A504="","",GL_CLEAN!A504)</f>
        <v/>
      </c>
      <c r="B504" s="10">
        <f>IF(A504="","",GL_CLEAN!B504)</f>
        <v/>
      </c>
      <c r="C504" s="11">
        <f>IF(A504="","",GL_CLEAN!C504)</f>
        <v/>
      </c>
      <c r="D504" s="14">
        <f>IF(A504="","",GL_CLEAN!H504)</f>
        <v/>
      </c>
      <c r="E504" s="14">
        <f>IF(A504="","",GL_CLEAN!I504)</f>
        <v/>
      </c>
      <c r="F504" s="11">
        <f>IF(A504="","",GL_CLEAN!J504)</f>
        <v/>
      </c>
      <c r="G504" s="11">
        <f>IF(A504="","",IF(F504="OUT","DR","CR"))</f>
        <v/>
      </c>
      <c r="H504" s="11">
        <f>IF(A504="","",IFERROR(INDEX(BANK_CLEAN!$A$2:$A$1001,MATCH(MINIFS(BANK_CLEAN!$J$2:$J$1001,BANK_CLEAN!$H$2:$H$1001,G504,BANK_CLEAN!$L$2:$L$1001,""),BANK_CLEAN!$J$2:$J$1001,0)),""))</f>
        <v/>
      </c>
      <c r="I504" s="10">
        <f>IF(H504="","",INDEX(BANK_CLEAN!$B$2:$B$1001,H504))</f>
        <v/>
      </c>
      <c r="J504" s="14">
        <f>IF(H504="","",IF(F504="OUT",INDEX(BANK_CLEAN!$F$2:$F$1001,H504),INDEX(BANK_CLEAN!$E$2:$E$1001,H504)))</f>
        <v/>
      </c>
      <c r="K504" s="14">
        <f>IF(H504="","",ABS(E504-J504))</f>
        <v/>
      </c>
      <c r="L504" s="11">
        <f>IF(OR(H504="",B504="",I504=""),"",ABS(B504-I504))</f>
        <v/>
      </c>
      <c r="M504" s="15">
        <f>IF(H504="",0,LET(pct,IF(E504&gt;0,K504/E504,1),days,IFERROR(L504,999),100-pct*200-days*3))</f>
        <v/>
      </c>
      <c r="N504" s="11">
        <f>IF(A504="","",IF(H504="","Unmatched GL",IF(AND(K504&lt;=Tol_Amount,L504&lt;=Tol_Days),"Matched",IF(M504&gt;Tol_NearPct,"Near Match","Unmatched GL"))))</f>
        <v/>
      </c>
    </row>
    <row r="505">
      <c r="A505" s="13">
        <f>IF(GL_CLEAN!A505="","",GL_CLEAN!A505)</f>
        <v/>
      </c>
      <c r="B505" s="10">
        <f>IF(A505="","",GL_CLEAN!B505)</f>
        <v/>
      </c>
      <c r="C505" s="11">
        <f>IF(A505="","",GL_CLEAN!C505)</f>
        <v/>
      </c>
      <c r="D505" s="14">
        <f>IF(A505="","",GL_CLEAN!H505)</f>
        <v/>
      </c>
      <c r="E505" s="14">
        <f>IF(A505="","",GL_CLEAN!I505)</f>
        <v/>
      </c>
      <c r="F505" s="11">
        <f>IF(A505="","",GL_CLEAN!J505)</f>
        <v/>
      </c>
      <c r="G505" s="11">
        <f>IF(A505="","",IF(F505="OUT","DR","CR"))</f>
        <v/>
      </c>
      <c r="H505" s="11">
        <f>IF(A505="","",IFERROR(INDEX(BANK_CLEAN!$A$2:$A$1001,MATCH(MINIFS(BANK_CLEAN!$J$2:$J$1001,BANK_CLEAN!$H$2:$H$1001,G505,BANK_CLEAN!$L$2:$L$1001,""),BANK_CLEAN!$J$2:$J$1001,0)),""))</f>
        <v/>
      </c>
      <c r="I505" s="10">
        <f>IF(H505="","",INDEX(BANK_CLEAN!$B$2:$B$1001,H505))</f>
        <v/>
      </c>
      <c r="J505" s="14">
        <f>IF(H505="","",IF(F505="OUT",INDEX(BANK_CLEAN!$F$2:$F$1001,H505),INDEX(BANK_CLEAN!$E$2:$E$1001,H505)))</f>
        <v/>
      </c>
      <c r="K505" s="14">
        <f>IF(H505="","",ABS(E505-J505))</f>
        <v/>
      </c>
      <c r="L505" s="11">
        <f>IF(OR(H505="",B505="",I505=""),"",ABS(B505-I505))</f>
        <v/>
      </c>
      <c r="M505" s="15">
        <f>IF(H505="",0,LET(pct,IF(E505&gt;0,K505/E505,1),days,IFERROR(L505,999),100-pct*200-days*3))</f>
        <v/>
      </c>
      <c r="N505" s="11">
        <f>IF(A505="","",IF(H505="","Unmatched GL",IF(AND(K505&lt;=Tol_Amount,L505&lt;=Tol_Days),"Matched",IF(M505&gt;Tol_NearPct,"Near Match","Unmatched GL"))))</f>
        <v/>
      </c>
    </row>
    <row r="506">
      <c r="A506" s="13">
        <f>IF(GL_CLEAN!A506="","",GL_CLEAN!A506)</f>
        <v/>
      </c>
      <c r="B506" s="10">
        <f>IF(A506="","",GL_CLEAN!B506)</f>
        <v/>
      </c>
      <c r="C506" s="11">
        <f>IF(A506="","",GL_CLEAN!C506)</f>
        <v/>
      </c>
      <c r="D506" s="14">
        <f>IF(A506="","",GL_CLEAN!H506)</f>
        <v/>
      </c>
      <c r="E506" s="14">
        <f>IF(A506="","",GL_CLEAN!I506)</f>
        <v/>
      </c>
      <c r="F506" s="11">
        <f>IF(A506="","",GL_CLEAN!J506)</f>
        <v/>
      </c>
      <c r="G506" s="11">
        <f>IF(A506="","",IF(F506="OUT","DR","CR"))</f>
        <v/>
      </c>
      <c r="H506" s="11">
        <f>IF(A506="","",IFERROR(INDEX(BANK_CLEAN!$A$2:$A$1001,MATCH(MINIFS(BANK_CLEAN!$J$2:$J$1001,BANK_CLEAN!$H$2:$H$1001,G506,BANK_CLEAN!$L$2:$L$1001,""),BANK_CLEAN!$J$2:$J$1001,0)),""))</f>
        <v/>
      </c>
      <c r="I506" s="10">
        <f>IF(H506="","",INDEX(BANK_CLEAN!$B$2:$B$1001,H506))</f>
        <v/>
      </c>
      <c r="J506" s="14">
        <f>IF(H506="","",IF(F506="OUT",INDEX(BANK_CLEAN!$F$2:$F$1001,H506),INDEX(BANK_CLEAN!$E$2:$E$1001,H506)))</f>
        <v/>
      </c>
      <c r="K506" s="14">
        <f>IF(H506="","",ABS(E506-J506))</f>
        <v/>
      </c>
      <c r="L506" s="11">
        <f>IF(OR(H506="",B506="",I506=""),"",ABS(B506-I506))</f>
        <v/>
      </c>
      <c r="M506" s="15">
        <f>IF(H506="",0,LET(pct,IF(E506&gt;0,K506/E506,1),days,IFERROR(L506,999),100-pct*200-days*3))</f>
        <v/>
      </c>
      <c r="N506" s="11">
        <f>IF(A506="","",IF(H506="","Unmatched GL",IF(AND(K506&lt;=Tol_Amount,L506&lt;=Tol_Days),"Matched",IF(M506&gt;Tol_NearPct,"Near Match","Unmatched GL"))))</f>
        <v/>
      </c>
    </row>
    <row r="507">
      <c r="A507" s="13">
        <f>IF(GL_CLEAN!A507="","",GL_CLEAN!A507)</f>
        <v/>
      </c>
      <c r="B507" s="10">
        <f>IF(A507="","",GL_CLEAN!B507)</f>
        <v/>
      </c>
      <c r="C507" s="11">
        <f>IF(A507="","",GL_CLEAN!C507)</f>
        <v/>
      </c>
      <c r="D507" s="14">
        <f>IF(A507="","",GL_CLEAN!H507)</f>
        <v/>
      </c>
      <c r="E507" s="14">
        <f>IF(A507="","",GL_CLEAN!I507)</f>
        <v/>
      </c>
      <c r="F507" s="11">
        <f>IF(A507="","",GL_CLEAN!J507)</f>
        <v/>
      </c>
      <c r="G507" s="11">
        <f>IF(A507="","",IF(F507="OUT","DR","CR"))</f>
        <v/>
      </c>
      <c r="H507" s="11">
        <f>IF(A507="","",IFERROR(INDEX(BANK_CLEAN!$A$2:$A$1001,MATCH(MINIFS(BANK_CLEAN!$J$2:$J$1001,BANK_CLEAN!$H$2:$H$1001,G507,BANK_CLEAN!$L$2:$L$1001,""),BANK_CLEAN!$J$2:$J$1001,0)),""))</f>
        <v/>
      </c>
      <c r="I507" s="10">
        <f>IF(H507="","",INDEX(BANK_CLEAN!$B$2:$B$1001,H507))</f>
        <v/>
      </c>
      <c r="J507" s="14">
        <f>IF(H507="","",IF(F507="OUT",INDEX(BANK_CLEAN!$F$2:$F$1001,H507),INDEX(BANK_CLEAN!$E$2:$E$1001,H507)))</f>
        <v/>
      </c>
      <c r="K507" s="14">
        <f>IF(H507="","",ABS(E507-J507))</f>
        <v/>
      </c>
      <c r="L507" s="11">
        <f>IF(OR(H507="",B507="",I507=""),"",ABS(B507-I507))</f>
        <v/>
      </c>
      <c r="M507" s="15">
        <f>IF(H507="",0,LET(pct,IF(E507&gt;0,K507/E507,1),days,IFERROR(L507,999),100-pct*200-days*3))</f>
        <v/>
      </c>
      <c r="N507" s="11">
        <f>IF(A507="","",IF(H507="","Unmatched GL",IF(AND(K507&lt;=Tol_Amount,L507&lt;=Tol_Days),"Matched",IF(M507&gt;Tol_NearPct,"Near Match","Unmatched GL"))))</f>
        <v/>
      </c>
    </row>
    <row r="508">
      <c r="A508" s="13">
        <f>IF(GL_CLEAN!A508="","",GL_CLEAN!A508)</f>
        <v/>
      </c>
      <c r="B508" s="10">
        <f>IF(A508="","",GL_CLEAN!B508)</f>
        <v/>
      </c>
      <c r="C508" s="11">
        <f>IF(A508="","",GL_CLEAN!C508)</f>
        <v/>
      </c>
      <c r="D508" s="14">
        <f>IF(A508="","",GL_CLEAN!H508)</f>
        <v/>
      </c>
      <c r="E508" s="14">
        <f>IF(A508="","",GL_CLEAN!I508)</f>
        <v/>
      </c>
      <c r="F508" s="11">
        <f>IF(A508="","",GL_CLEAN!J508)</f>
        <v/>
      </c>
      <c r="G508" s="11">
        <f>IF(A508="","",IF(F508="OUT","DR","CR"))</f>
        <v/>
      </c>
      <c r="H508" s="11">
        <f>IF(A508="","",IFERROR(INDEX(BANK_CLEAN!$A$2:$A$1001,MATCH(MINIFS(BANK_CLEAN!$J$2:$J$1001,BANK_CLEAN!$H$2:$H$1001,G508,BANK_CLEAN!$L$2:$L$1001,""),BANK_CLEAN!$J$2:$J$1001,0)),""))</f>
        <v/>
      </c>
      <c r="I508" s="10">
        <f>IF(H508="","",INDEX(BANK_CLEAN!$B$2:$B$1001,H508))</f>
        <v/>
      </c>
      <c r="J508" s="14">
        <f>IF(H508="","",IF(F508="OUT",INDEX(BANK_CLEAN!$F$2:$F$1001,H508),INDEX(BANK_CLEAN!$E$2:$E$1001,H508)))</f>
        <v/>
      </c>
      <c r="K508" s="14">
        <f>IF(H508="","",ABS(E508-J508))</f>
        <v/>
      </c>
      <c r="L508" s="11">
        <f>IF(OR(H508="",B508="",I508=""),"",ABS(B508-I508))</f>
        <v/>
      </c>
      <c r="M508" s="15">
        <f>IF(H508="",0,LET(pct,IF(E508&gt;0,K508/E508,1),days,IFERROR(L508,999),100-pct*200-days*3))</f>
        <v/>
      </c>
      <c r="N508" s="11">
        <f>IF(A508="","",IF(H508="","Unmatched GL",IF(AND(K508&lt;=Tol_Amount,L508&lt;=Tol_Days),"Matched",IF(M508&gt;Tol_NearPct,"Near Match","Unmatched GL"))))</f>
        <v/>
      </c>
    </row>
    <row r="509">
      <c r="A509" s="13">
        <f>IF(GL_CLEAN!A509="","",GL_CLEAN!A509)</f>
        <v/>
      </c>
      <c r="B509" s="10">
        <f>IF(A509="","",GL_CLEAN!B509)</f>
        <v/>
      </c>
      <c r="C509" s="11">
        <f>IF(A509="","",GL_CLEAN!C509)</f>
        <v/>
      </c>
      <c r="D509" s="14">
        <f>IF(A509="","",GL_CLEAN!H509)</f>
        <v/>
      </c>
      <c r="E509" s="14">
        <f>IF(A509="","",GL_CLEAN!I509)</f>
        <v/>
      </c>
      <c r="F509" s="11">
        <f>IF(A509="","",GL_CLEAN!J509)</f>
        <v/>
      </c>
      <c r="G509" s="11">
        <f>IF(A509="","",IF(F509="OUT","DR","CR"))</f>
        <v/>
      </c>
      <c r="H509" s="11">
        <f>IF(A509="","",IFERROR(INDEX(BANK_CLEAN!$A$2:$A$1001,MATCH(MINIFS(BANK_CLEAN!$J$2:$J$1001,BANK_CLEAN!$H$2:$H$1001,G509,BANK_CLEAN!$L$2:$L$1001,""),BANK_CLEAN!$J$2:$J$1001,0)),""))</f>
        <v/>
      </c>
      <c r="I509" s="10">
        <f>IF(H509="","",INDEX(BANK_CLEAN!$B$2:$B$1001,H509))</f>
        <v/>
      </c>
      <c r="J509" s="14">
        <f>IF(H509="","",IF(F509="OUT",INDEX(BANK_CLEAN!$F$2:$F$1001,H509),INDEX(BANK_CLEAN!$E$2:$E$1001,H509)))</f>
        <v/>
      </c>
      <c r="K509" s="14">
        <f>IF(H509="","",ABS(E509-J509))</f>
        <v/>
      </c>
      <c r="L509" s="11">
        <f>IF(OR(H509="",B509="",I509=""),"",ABS(B509-I509))</f>
        <v/>
      </c>
      <c r="M509" s="15">
        <f>IF(H509="",0,LET(pct,IF(E509&gt;0,K509/E509,1),days,IFERROR(L509,999),100-pct*200-days*3))</f>
        <v/>
      </c>
      <c r="N509" s="11">
        <f>IF(A509="","",IF(H509="","Unmatched GL",IF(AND(K509&lt;=Tol_Amount,L509&lt;=Tol_Days),"Matched",IF(M509&gt;Tol_NearPct,"Near Match","Unmatched GL"))))</f>
        <v/>
      </c>
    </row>
    <row r="510">
      <c r="A510" s="13">
        <f>IF(GL_CLEAN!A510="","",GL_CLEAN!A510)</f>
        <v/>
      </c>
      <c r="B510" s="10">
        <f>IF(A510="","",GL_CLEAN!B510)</f>
        <v/>
      </c>
      <c r="C510" s="11">
        <f>IF(A510="","",GL_CLEAN!C510)</f>
        <v/>
      </c>
      <c r="D510" s="14">
        <f>IF(A510="","",GL_CLEAN!H510)</f>
        <v/>
      </c>
      <c r="E510" s="14">
        <f>IF(A510="","",GL_CLEAN!I510)</f>
        <v/>
      </c>
      <c r="F510" s="11">
        <f>IF(A510="","",GL_CLEAN!J510)</f>
        <v/>
      </c>
      <c r="G510" s="11">
        <f>IF(A510="","",IF(F510="OUT","DR","CR"))</f>
        <v/>
      </c>
      <c r="H510" s="11">
        <f>IF(A510="","",IFERROR(INDEX(BANK_CLEAN!$A$2:$A$1001,MATCH(MINIFS(BANK_CLEAN!$J$2:$J$1001,BANK_CLEAN!$H$2:$H$1001,G510,BANK_CLEAN!$L$2:$L$1001,""),BANK_CLEAN!$J$2:$J$1001,0)),""))</f>
        <v/>
      </c>
      <c r="I510" s="10">
        <f>IF(H510="","",INDEX(BANK_CLEAN!$B$2:$B$1001,H510))</f>
        <v/>
      </c>
      <c r="J510" s="14">
        <f>IF(H510="","",IF(F510="OUT",INDEX(BANK_CLEAN!$F$2:$F$1001,H510),INDEX(BANK_CLEAN!$E$2:$E$1001,H510)))</f>
        <v/>
      </c>
      <c r="K510" s="14">
        <f>IF(H510="","",ABS(E510-J510))</f>
        <v/>
      </c>
      <c r="L510" s="11">
        <f>IF(OR(H510="",B510="",I510=""),"",ABS(B510-I510))</f>
        <v/>
      </c>
      <c r="M510" s="15">
        <f>IF(H510="",0,LET(pct,IF(E510&gt;0,K510/E510,1),days,IFERROR(L510,999),100-pct*200-days*3))</f>
        <v/>
      </c>
      <c r="N510" s="11">
        <f>IF(A510="","",IF(H510="","Unmatched GL",IF(AND(K510&lt;=Tol_Amount,L510&lt;=Tol_Days),"Matched",IF(M510&gt;Tol_NearPct,"Near Match","Unmatched GL"))))</f>
        <v/>
      </c>
    </row>
    <row r="511">
      <c r="A511" s="13">
        <f>IF(GL_CLEAN!A511="","",GL_CLEAN!A511)</f>
        <v/>
      </c>
      <c r="B511" s="10">
        <f>IF(A511="","",GL_CLEAN!B511)</f>
        <v/>
      </c>
      <c r="C511" s="11">
        <f>IF(A511="","",GL_CLEAN!C511)</f>
        <v/>
      </c>
      <c r="D511" s="14">
        <f>IF(A511="","",GL_CLEAN!H511)</f>
        <v/>
      </c>
      <c r="E511" s="14">
        <f>IF(A511="","",GL_CLEAN!I511)</f>
        <v/>
      </c>
      <c r="F511" s="11">
        <f>IF(A511="","",GL_CLEAN!J511)</f>
        <v/>
      </c>
      <c r="G511" s="11">
        <f>IF(A511="","",IF(F511="OUT","DR","CR"))</f>
        <v/>
      </c>
      <c r="H511" s="11">
        <f>IF(A511="","",IFERROR(INDEX(BANK_CLEAN!$A$2:$A$1001,MATCH(MINIFS(BANK_CLEAN!$J$2:$J$1001,BANK_CLEAN!$H$2:$H$1001,G511,BANK_CLEAN!$L$2:$L$1001,""),BANK_CLEAN!$J$2:$J$1001,0)),""))</f>
        <v/>
      </c>
      <c r="I511" s="10">
        <f>IF(H511="","",INDEX(BANK_CLEAN!$B$2:$B$1001,H511))</f>
        <v/>
      </c>
      <c r="J511" s="14">
        <f>IF(H511="","",IF(F511="OUT",INDEX(BANK_CLEAN!$F$2:$F$1001,H511),INDEX(BANK_CLEAN!$E$2:$E$1001,H511)))</f>
        <v/>
      </c>
      <c r="K511" s="14">
        <f>IF(H511="","",ABS(E511-J511))</f>
        <v/>
      </c>
      <c r="L511" s="11">
        <f>IF(OR(H511="",B511="",I511=""),"",ABS(B511-I511))</f>
        <v/>
      </c>
      <c r="M511" s="15">
        <f>IF(H511="",0,LET(pct,IF(E511&gt;0,K511/E511,1),days,IFERROR(L511,999),100-pct*200-days*3))</f>
        <v/>
      </c>
      <c r="N511" s="11">
        <f>IF(A511="","",IF(H511="","Unmatched GL",IF(AND(K511&lt;=Tol_Amount,L511&lt;=Tol_Days),"Matched",IF(M511&gt;Tol_NearPct,"Near Match","Unmatched GL"))))</f>
        <v/>
      </c>
    </row>
    <row r="512">
      <c r="A512" s="13">
        <f>IF(GL_CLEAN!A512="","",GL_CLEAN!A512)</f>
        <v/>
      </c>
      <c r="B512" s="10">
        <f>IF(A512="","",GL_CLEAN!B512)</f>
        <v/>
      </c>
      <c r="C512" s="11">
        <f>IF(A512="","",GL_CLEAN!C512)</f>
        <v/>
      </c>
      <c r="D512" s="14">
        <f>IF(A512="","",GL_CLEAN!H512)</f>
        <v/>
      </c>
      <c r="E512" s="14">
        <f>IF(A512="","",GL_CLEAN!I512)</f>
        <v/>
      </c>
      <c r="F512" s="11">
        <f>IF(A512="","",GL_CLEAN!J512)</f>
        <v/>
      </c>
      <c r="G512" s="11">
        <f>IF(A512="","",IF(F512="OUT","DR","CR"))</f>
        <v/>
      </c>
      <c r="H512" s="11">
        <f>IF(A512="","",IFERROR(INDEX(BANK_CLEAN!$A$2:$A$1001,MATCH(MINIFS(BANK_CLEAN!$J$2:$J$1001,BANK_CLEAN!$H$2:$H$1001,G512,BANK_CLEAN!$L$2:$L$1001,""),BANK_CLEAN!$J$2:$J$1001,0)),""))</f>
        <v/>
      </c>
      <c r="I512" s="10">
        <f>IF(H512="","",INDEX(BANK_CLEAN!$B$2:$B$1001,H512))</f>
        <v/>
      </c>
      <c r="J512" s="14">
        <f>IF(H512="","",IF(F512="OUT",INDEX(BANK_CLEAN!$F$2:$F$1001,H512),INDEX(BANK_CLEAN!$E$2:$E$1001,H512)))</f>
        <v/>
      </c>
      <c r="K512" s="14">
        <f>IF(H512="","",ABS(E512-J512))</f>
        <v/>
      </c>
      <c r="L512" s="11">
        <f>IF(OR(H512="",B512="",I512=""),"",ABS(B512-I512))</f>
        <v/>
      </c>
      <c r="M512" s="15">
        <f>IF(H512="",0,LET(pct,IF(E512&gt;0,K512/E512,1),days,IFERROR(L512,999),100-pct*200-days*3))</f>
        <v/>
      </c>
      <c r="N512" s="11">
        <f>IF(A512="","",IF(H512="","Unmatched GL",IF(AND(K512&lt;=Tol_Amount,L512&lt;=Tol_Days),"Matched",IF(M512&gt;Tol_NearPct,"Near Match","Unmatched GL"))))</f>
        <v/>
      </c>
    </row>
    <row r="513">
      <c r="A513" s="13">
        <f>IF(GL_CLEAN!A513="","",GL_CLEAN!A513)</f>
        <v/>
      </c>
      <c r="B513" s="10">
        <f>IF(A513="","",GL_CLEAN!B513)</f>
        <v/>
      </c>
      <c r="C513" s="11">
        <f>IF(A513="","",GL_CLEAN!C513)</f>
        <v/>
      </c>
      <c r="D513" s="14">
        <f>IF(A513="","",GL_CLEAN!H513)</f>
        <v/>
      </c>
      <c r="E513" s="14">
        <f>IF(A513="","",GL_CLEAN!I513)</f>
        <v/>
      </c>
      <c r="F513" s="11">
        <f>IF(A513="","",GL_CLEAN!J513)</f>
        <v/>
      </c>
      <c r="G513" s="11">
        <f>IF(A513="","",IF(F513="OUT","DR","CR"))</f>
        <v/>
      </c>
      <c r="H513" s="11">
        <f>IF(A513="","",IFERROR(INDEX(BANK_CLEAN!$A$2:$A$1001,MATCH(MINIFS(BANK_CLEAN!$J$2:$J$1001,BANK_CLEAN!$H$2:$H$1001,G513,BANK_CLEAN!$L$2:$L$1001,""),BANK_CLEAN!$J$2:$J$1001,0)),""))</f>
        <v/>
      </c>
      <c r="I513" s="10">
        <f>IF(H513="","",INDEX(BANK_CLEAN!$B$2:$B$1001,H513))</f>
        <v/>
      </c>
      <c r="J513" s="14">
        <f>IF(H513="","",IF(F513="OUT",INDEX(BANK_CLEAN!$F$2:$F$1001,H513),INDEX(BANK_CLEAN!$E$2:$E$1001,H513)))</f>
        <v/>
      </c>
      <c r="K513" s="14">
        <f>IF(H513="","",ABS(E513-J513))</f>
        <v/>
      </c>
      <c r="L513" s="11">
        <f>IF(OR(H513="",B513="",I513=""),"",ABS(B513-I513))</f>
        <v/>
      </c>
      <c r="M513" s="15">
        <f>IF(H513="",0,LET(pct,IF(E513&gt;0,K513/E513,1),days,IFERROR(L513,999),100-pct*200-days*3))</f>
        <v/>
      </c>
      <c r="N513" s="11">
        <f>IF(A513="","",IF(H513="","Unmatched GL",IF(AND(K513&lt;=Tol_Amount,L513&lt;=Tol_Days),"Matched",IF(M513&gt;Tol_NearPct,"Near Match","Unmatched GL"))))</f>
        <v/>
      </c>
    </row>
    <row r="514">
      <c r="A514" s="13">
        <f>IF(GL_CLEAN!A514="","",GL_CLEAN!A514)</f>
        <v/>
      </c>
      <c r="B514" s="10">
        <f>IF(A514="","",GL_CLEAN!B514)</f>
        <v/>
      </c>
      <c r="C514" s="11">
        <f>IF(A514="","",GL_CLEAN!C514)</f>
        <v/>
      </c>
      <c r="D514" s="14">
        <f>IF(A514="","",GL_CLEAN!H514)</f>
        <v/>
      </c>
      <c r="E514" s="14">
        <f>IF(A514="","",GL_CLEAN!I514)</f>
        <v/>
      </c>
      <c r="F514" s="11">
        <f>IF(A514="","",GL_CLEAN!J514)</f>
        <v/>
      </c>
      <c r="G514" s="11">
        <f>IF(A514="","",IF(F514="OUT","DR","CR"))</f>
        <v/>
      </c>
      <c r="H514" s="11">
        <f>IF(A514="","",IFERROR(INDEX(BANK_CLEAN!$A$2:$A$1001,MATCH(MINIFS(BANK_CLEAN!$J$2:$J$1001,BANK_CLEAN!$H$2:$H$1001,G514,BANK_CLEAN!$L$2:$L$1001,""),BANK_CLEAN!$J$2:$J$1001,0)),""))</f>
        <v/>
      </c>
      <c r="I514" s="10">
        <f>IF(H514="","",INDEX(BANK_CLEAN!$B$2:$B$1001,H514))</f>
        <v/>
      </c>
      <c r="J514" s="14">
        <f>IF(H514="","",IF(F514="OUT",INDEX(BANK_CLEAN!$F$2:$F$1001,H514),INDEX(BANK_CLEAN!$E$2:$E$1001,H514)))</f>
        <v/>
      </c>
      <c r="K514" s="14">
        <f>IF(H514="","",ABS(E514-J514))</f>
        <v/>
      </c>
      <c r="L514" s="11">
        <f>IF(OR(H514="",B514="",I514=""),"",ABS(B514-I514))</f>
        <v/>
      </c>
      <c r="M514" s="15">
        <f>IF(H514="",0,LET(pct,IF(E514&gt;0,K514/E514,1),days,IFERROR(L514,999),100-pct*200-days*3))</f>
        <v/>
      </c>
      <c r="N514" s="11">
        <f>IF(A514="","",IF(H514="","Unmatched GL",IF(AND(K514&lt;=Tol_Amount,L514&lt;=Tol_Days),"Matched",IF(M514&gt;Tol_NearPct,"Near Match","Unmatched GL"))))</f>
        <v/>
      </c>
    </row>
    <row r="515">
      <c r="A515" s="13">
        <f>IF(GL_CLEAN!A515="","",GL_CLEAN!A515)</f>
        <v/>
      </c>
      <c r="B515" s="10">
        <f>IF(A515="","",GL_CLEAN!B515)</f>
        <v/>
      </c>
      <c r="C515" s="11">
        <f>IF(A515="","",GL_CLEAN!C515)</f>
        <v/>
      </c>
      <c r="D515" s="14">
        <f>IF(A515="","",GL_CLEAN!H515)</f>
        <v/>
      </c>
      <c r="E515" s="14">
        <f>IF(A515="","",GL_CLEAN!I515)</f>
        <v/>
      </c>
      <c r="F515" s="11">
        <f>IF(A515="","",GL_CLEAN!J515)</f>
        <v/>
      </c>
      <c r="G515" s="11">
        <f>IF(A515="","",IF(F515="OUT","DR","CR"))</f>
        <v/>
      </c>
      <c r="H515" s="11">
        <f>IF(A515="","",IFERROR(INDEX(BANK_CLEAN!$A$2:$A$1001,MATCH(MINIFS(BANK_CLEAN!$J$2:$J$1001,BANK_CLEAN!$H$2:$H$1001,G515,BANK_CLEAN!$L$2:$L$1001,""),BANK_CLEAN!$J$2:$J$1001,0)),""))</f>
        <v/>
      </c>
      <c r="I515" s="10">
        <f>IF(H515="","",INDEX(BANK_CLEAN!$B$2:$B$1001,H515))</f>
        <v/>
      </c>
      <c r="J515" s="14">
        <f>IF(H515="","",IF(F515="OUT",INDEX(BANK_CLEAN!$F$2:$F$1001,H515),INDEX(BANK_CLEAN!$E$2:$E$1001,H515)))</f>
        <v/>
      </c>
      <c r="K515" s="14">
        <f>IF(H515="","",ABS(E515-J515))</f>
        <v/>
      </c>
      <c r="L515" s="11">
        <f>IF(OR(H515="",B515="",I515=""),"",ABS(B515-I515))</f>
        <v/>
      </c>
      <c r="M515" s="15">
        <f>IF(H515="",0,LET(pct,IF(E515&gt;0,K515/E515,1),days,IFERROR(L515,999),100-pct*200-days*3))</f>
        <v/>
      </c>
      <c r="N515" s="11">
        <f>IF(A515="","",IF(H515="","Unmatched GL",IF(AND(K515&lt;=Tol_Amount,L515&lt;=Tol_Days),"Matched",IF(M515&gt;Tol_NearPct,"Near Match","Unmatched GL"))))</f>
        <v/>
      </c>
    </row>
    <row r="516">
      <c r="A516" s="13">
        <f>IF(GL_CLEAN!A516="","",GL_CLEAN!A516)</f>
        <v/>
      </c>
      <c r="B516" s="10">
        <f>IF(A516="","",GL_CLEAN!B516)</f>
        <v/>
      </c>
      <c r="C516" s="11">
        <f>IF(A516="","",GL_CLEAN!C516)</f>
        <v/>
      </c>
      <c r="D516" s="14">
        <f>IF(A516="","",GL_CLEAN!H516)</f>
        <v/>
      </c>
      <c r="E516" s="14">
        <f>IF(A516="","",GL_CLEAN!I516)</f>
        <v/>
      </c>
      <c r="F516" s="11">
        <f>IF(A516="","",GL_CLEAN!J516)</f>
        <v/>
      </c>
      <c r="G516" s="11">
        <f>IF(A516="","",IF(F516="OUT","DR","CR"))</f>
        <v/>
      </c>
      <c r="H516" s="11">
        <f>IF(A516="","",IFERROR(INDEX(BANK_CLEAN!$A$2:$A$1001,MATCH(MINIFS(BANK_CLEAN!$J$2:$J$1001,BANK_CLEAN!$H$2:$H$1001,G516,BANK_CLEAN!$L$2:$L$1001,""),BANK_CLEAN!$J$2:$J$1001,0)),""))</f>
        <v/>
      </c>
      <c r="I516" s="10">
        <f>IF(H516="","",INDEX(BANK_CLEAN!$B$2:$B$1001,H516))</f>
        <v/>
      </c>
      <c r="J516" s="14">
        <f>IF(H516="","",IF(F516="OUT",INDEX(BANK_CLEAN!$F$2:$F$1001,H516),INDEX(BANK_CLEAN!$E$2:$E$1001,H516)))</f>
        <v/>
      </c>
      <c r="K516" s="14">
        <f>IF(H516="","",ABS(E516-J516))</f>
        <v/>
      </c>
      <c r="L516" s="11">
        <f>IF(OR(H516="",B516="",I516=""),"",ABS(B516-I516))</f>
        <v/>
      </c>
      <c r="M516" s="15">
        <f>IF(H516="",0,LET(pct,IF(E516&gt;0,K516/E516,1),days,IFERROR(L516,999),100-pct*200-days*3))</f>
        <v/>
      </c>
      <c r="N516" s="11">
        <f>IF(A516="","",IF(H516="","Unmatched GL",IF(AND(K516&lt;=Tol_Amount,L516&lt;=Tol_Days),"Matched",IF(M516&gt;Tol_NearPct,"Near Match","Unmatched GL"))))</f>
        <v/>
      </c>
    </row>
    <row r="517">
      <c r="A517" s="13">
        <f>IF(GL_CLEAN!A517="","",GL_CLEAN!A517)</f>
        <v/>
      </c>
      <c r="B517" s="10">
        <f>IF(A517="","",GL_CLEAN!B517)</f>
        <v/>
      </c>
      <c r="C517" s="11">
        <f>IF(A517="","",GL_CLEAN!C517)</f>
        <v/>
      </c>
      <c r="D517" s="14">
        <f>IF(A517="","",GL_CLEAN!H517)</f>
        <v/>
      </c>
      <c r="E517" s="14">
        <f>IF(A517="","",GL_CLEAN!I517)</f>
        <v/>
      </c>
      <c r="F517" s="11">
        <f>IF(A517="","",GL_CLEAN!J517)</f>
        <v/>
      </c>
      <c r="G517" s="11">
        <f>IF(A517="","",IF(F517="OUT","DR","CR"))</f>
        <v/>
      </c>
      <c r="H517" s="11">
        <f>IF(A517="","",IFERROR(INDEX(BANK_CLEAN!$A$2:$A$1001,MATCH(MINIFS(BANK_CLEAN!$J$2:$J$1001,BANK_CLEAN!$H$2:$H$1001,G517,BANK_CLEAN!$L$2:$L$1001,""),BANK_CLEAN!$J$2:$J$1001,0)),""))</f>
        <v/>
      </c>
      <c r="I517" s="10">
        <f>IF(H517="","",INDEX(BANK_CLEAN!$B$2:$B$1001,H517))</f>
        <v/>
      </c>
      <c r="J517" s="14">
        <f>IF(H517="","",IF(F517="OUT",INDEX(BANK_CLEAN!$F$2:$F$1001,H517),INDEX(BANK_CLEAN!$E$2:$E$1001,H517)))</f>
        <v/>
      </c>
      <c r="K517" s="14">
        <f>IF(H517="","",ABS(E517-J517))</f>
        <v/>
      </c>
      <c r="L517" s="11">
        <f>IF(OR(H517="",B517="",I517=""),"",ABS(B517-I517))</f>
        <v/>
      </c>
      <c r="M517" s="15">
        <f>IF(H517="",0,LET(pct,IF(E517&gt;0,K517/E517,1),days,IFERROR(L517,999),100-pct*200-days*3))</f>
        <v/>
      </c>
      <c r="N517" s="11">
        <f>IF(A517="","",IF(H517="","Unmatched GL",IF(AND(K517&lt;=Tol_Amount,L517&lt;=Tol_Days),"Matched",IF(M517&gt;Tol_NearPct,"Near Match","Unmatched GL"))))</f>
        <v/>
      </c>
    </row>
    <row r="518">
      <c r="A518" s="13">
        <f>IF(GL_CLEAN!A518="","",GL_CLEAN!A518)</f>
        <v/>
      </c>
      <c r="B518" s="10">
        <f>IF(A518="","",GL_CLEAN!B518)</f>
        <v/>
      </c>
      <c r="C518" s="11">
        <f>IF(A518="","",GL_CLEAN!C518)</f>
        <v/>
      </c>
      <c r="D518" s="14">
        <f>IF(A518="","",GL_CLEAN!H518)</f>
        <v/>
      </c>
      <c r="E518" s="14">
        <f>IF(A518="","",GL_CLEAN!I518)</f>
        <v/>
      </c>
      <c r="F518" s="11">
        <f>IF(A518="","",GL_CLEAN!J518)</f>
        <v/>
      </c>
      <c r="G518" s="11">
        <f>IF(A518="","",IF(F518="OUT","DR","CR"))</f>
        <v/>
      </c>
      <c r="H518" s="11">
        <f>IF(A518="","",IFERROR(INDEX(BANK_CLEAN!$A$2:$A$1001,MATCH(MINIFS(BANK_CLEAN!$J$2:$J$1001,BANK_CLEAN!$H$2:$H$1001,G518,BANK_CLEAN!$L$2:$L$1001,""),BANK_CLEAN!$J$2:$J$1001,0)),""))</f>
        <v/>
      </c>
      <c r="I518" s="10">
        <f>IF(H518="","",INDEX(BANK_CLEAN!$B$2:$B$1001,H518))</f>
        <v/>
      </c>
      <c r="J518" s="14">
        <f>IF(H518="","",IF(F518="OUT",INDEX(BANK_CLEAN!$F$2:$F$1001,H518),INDEX(BANK_CLEAN!$E$2:$E$1001,H518)))</f>
        <v/>
      </c>
      <c r="K518" s="14">
        <f>IF(H518="","",ABS(E518-J518))</f>
        <v/>
      </c>
      <c r="L518" s="11">
        <f>IF(OR(H518="",B518="",I518=""),"",ABS(B518-I518))</f>
        <v/>
      </c>
      <c r="M518" s="15">
        <f>IF(H518="",0,LET(pct,IF(E518&gt;0,K518/E518,1),days,IFERROR(L518,999),100-pct*200-days*3))</f>
        <v/>
      </c>
      <c r="N518" s="11">
        <f>IF(A518="","",IF(H518="","Unmatched GL",IF(AND(K518&lt;=Tol_Amount,L518&lt;=Tol_Days),"Matched",IF(M518&gt;Tol_NearPct,"Near Match","Unmatched GL"))))</f>
        <v/>
      </c>
    </row>
    <row r="519">
      <c r="A519" s="13">
        <f>IF(GL_CLEAN!A519="","",GL_CLEAN!A519)</f>
        <v/>
      </c>
      <c r="B519" s="10">
        <f>IF(A519="","",GL_CLEAN!B519)</f>
        <v/>
      </c>
      <c r="C519" s="11">
        <f>IF(A519="","",GL_CLEAN!C519)</f>
        <v/>
      </c>
      <c r="D519" s="14">
        <f>IF(A519="","",GL_CLEAN!H519)</f>
        <v/>
      </c>
      <c r="E519" s="14">
        <f>IF(A519="","",GL_CLEAN!I519)</f>
        <v/>
      </c>
      <c r="F519" s="11">
        <f>IF(A519="","",GL_CLEAN!J519)</f>
        <v/>
      </c>
      <c r="G519" s="11">
        <f>IF(A519="","",IF(F519="OUT","DR","CR"))</f>
        <v/>
      </c>
      <c r="H519" s="11">
        <f>IF(A519="","",IFERROR(INDEX(BANK_CLEAN!$A$2:$A$1001,MATCH(MINIFS(BANK_CLEAN!$J$2:$J$1001,BANK_CLEAN!$H$2:$H$1001,G519,BANK_CLEAN!$L$2:$L$1001,""),BANK_CLEAN!$J$2:$J$1001,0)),""))</f>
        <v/>
      </c>
      <c r="I519" s="10">
        <f>IF(H519="","",INDEX(BANK_CLEAN!$B$2:$B$1001,H519))</f>
        <v/>
      </c>
      <c r="J519" s="14">
        <f>IF(H519="","",IF(F519="OUT",INDEX(BANK_CLEAN!$F$2:$F$1001,H519),INDEX(BANK_CLEAN!$E$2:$E$1001,H519)))</f>
        <v/>
      </c>
      <c r="K519" s="14">
        <f>IF(H519="","",ABS(E519-J519))</f>
        <v/>
      </c>
      <c r="L519" s="11">
        <f>IF(OR(H519="",B519="",I519=""),"",ABS(B519-I519))</f>
        <v/>
      </c>
      <c r="M519" s="15">
        <f>IF(H519="",0,LET(pct,IF(E519&gt;0,K519/E519,1),days,IFERROR(L519,999),100-pct*200-days*3))</f>
        <v/>
      </c>
      <c r="N519" s="11">
        <f>IF(A519="","",IF(H519="","Unmatched GL",IF(AND(K519&lt;=Tol_Amount,L519&lt;=Tol_Days),"Matched",IF(M519&gt;Tol_NearPct,"Near Match","Unmatched GL"))))</f>
        <v/>
      </c>
    </row>
    <row r="520">
      <c r="A520" s="13">
        <f>IF(GL_CLEAN!A520="","",GL_CLEAN!A520)</f>
        <v/>
      </c>
      <c r="B520" s="10">
        <f>IF(A520="","",GL_CLEAN!B520)</f>
        <v/>
      </c>
      <c r="C520" s="11">
        <f>IF(A520="","",GL_CLEAN!C520)</f>
        <v/>
      </c>
      <c r="D520" s="14">
        <f>IF(A520="","",GL_CLEAN!H520)</f>
        <v/>
      </c>
      <c r="E520" s="14">
        <f>IF(A520="","",GL_CLEAN!I520)</f>
        <v/>
      </c>
      <c r="F520" s="11">
        <f>IF(A520="","",GL_CLEAN!J520)</f>
        <v/>
      </c>
      <c r="G520" s="11">
        <f>IF(A520="","",IF(F520="OUT","DR","CR"))</f>
        <v/>
      </c>
      <c r="H520" s="11">
        <f>IF(A520="","",IFERROR(INDEX(BANK_CLEAN!$A$2:$A$1001,MATCH(MINIFS(BANK_CLEAN!$J$2:$J$1001,BANK_CLEAN!$H$2:$H$1001,G520,BANK_CLEAN!$L$2:$L$1001,""),BANK_CLEAN!$J$2:$J$1001,0)),""))</f>
        <v/>
      </c>
      <c r="I520" s="10">
        <f>IF(H520="","",INDEX(BANK_CLEAN!$B$2:$B$1001,H520))</f>
        <v/>
      </c>
      <c r="J520" s="14">
        <f>IF(H520="","",IF(F520="OUT",INDEX(BANK_CLEAN!$F$2:$F$1001,H520),INDEX(BANK_CLEAN!$E$2:$E$1001,H520)))</f>
        <v/>
      </c>
      <c r="K520" s="14">
        <f>IF(H520="","",ABS(E520-J520))</f>
        <v/>
      </c>
      <c r="L520" s="11">
        <f>IF(OR(H520="",B520="",I520=""),"",ABS(B520-I520))</f>
        <v/>
      </c>
      <c r="M520" s="15">
        <f>IF(H520="",0,LET(pct,IF(E520&gt;0,K520/E520,1),days,IFERROR(L520,999),100-pct*200-days*3))</f>
        <v/>
      </c>
      <c r="N520" s="11">
        <f>IF(A520="","",IF(H520="","Unmatched GL",IF(AND(K520&lt;=Tol_Amount,L520&lt;=Tol_Days),"Matched",IF(M520&gt;Tol_NearPct,"Near Match","Unmatched GL"))))</f>
        <v/>
      </c>
    </row>
    <row r="521">
      <c r="A521" s="13">
        <f>IF(GL_CLEAN!A521="","",GL_CLEAN!A521)</f>
        <v/>
      </c>
      <c r="B521" s="10">
        <f>IF(A521="","",GL_CLEAN!B521)</f>
        <v/>
      </c>
      <c r="C521" s="11">
        <f>IF(A521="","",GL_CLEAN!C521)</f>
        <v/>
      </c>
      <c r="D521" s="14">
        <f>IF(A521="","",GL_CLEAN!H521)</f>
        <v/>
      </c>
      <c r="E521" s="14">
        <f>IF(A521="","",GL_CLEAN!I521)</f>
        <v/>
      </c>
      <c r="F521" s="11">
        <f>IF(A521="","",GL_CLEAN!J521)</f>
        <v/>
      </c>
      <c r="G521" s="11">
        <f>IF(A521="","",IF(F521="OUT","DR","CR"))</f>
        <v/>
      </c>
      <c r="H521" s="11">
        <f>IF(A521="","",IFERROR(INDEX(BANK_CLEAN!$A$2:$A$1001,MATCH(MINIFS(BANK_CLEAN!$J$2:$J$1001,BANK_CLEAN!$H$2:$H$1001,G521,BANK_CLEAN!$L$2:$L$1001,""),BANK_CLEAN!$J$2:$J$1001,0)),""))</f>
        <v/>
      </c>
      <c r="I521" s="10">
        <f>IF(H521="","",INDEX(BANK_CLEAN!$B$2:$B$1001,H521))</f>
        <v/>
      </c>
      <c r="J521" s="14">
        <f>IF(H521="","",IF(F521="OUT",INDEX(BANK_CLEAN!$F$2:$F$1001,H521),INDEX(BANK_CLEAN!$E$2:$E$1001,H521)))</f>
        <v/>
      </c>
      <c r="K521" s="14">
        <f>IF(H521="","",ABS(E521-J521))</f>
        <v/>
      </c>
      <c r="L521" s="11">
        <f>IF(OR(H521="",B521="",I521=""),"",ABS(B521-I521))</f>
        <v/>
      </c>
      <c r="M521" s="15">
        <f>IF(H521="",0,LET(pct,IF(E521&gt;0,K521/E521,1),days,IFERROR(L521,999),100-pct*200-days*3))</f>
        <v/>
      </c>
      <c r="N521" s="11">
        <f>IF(A521="","",IF(H521="","Unmatched GL",IF(AND(K521&lt;=Tol_Amount,L521&lt;=Tol_Days),"Matched",IF(M521&gt;Tol_NearPct,"Near Match","Unmatched GL"))))</f>
        <v/>
      </c>
    </row>
    <row r="522">
      <c r="A522" s="13">
        <f>IF(GL_CLEAN!A522="","",GL_CLEAN!A522)</f>
        <v/>
      </c>
      <c r="B522" s="10">
        <f>IF(A522="","",GL_CLEAN!B522)</f>
        <v/>
      </c>
      <c r="C522" s="11">
        <f>IF(A522="","",GL_CLEAN!C522)</f>
        <v/>
      </c>
      <c r="D522" s="14">
        <f>IF(A522="","",GL_CLEAN!H522)</f>
        <v/>
      </c>
      <c r="E522" s="14">
        <f>IF(A522="","",GL_CLEAN!I522)</f>
        <v/>
      </c>
      <c r="F522" s="11">
        <f>IF(A522="","",GL_CLEAN!J522)</f>
        <v/>
      </c>
      <c r="G522" s="11">
        <f>IF(A522="","",IF(F522="OUT","DR","CR"))</f>
        <v/>
      </c>
      <c r="H522" s="11">
        <f>IF(A522="","",IFERROR(INDEX(BANK_CLEAN!$A$2:$A$1001,MATCH(MINIFS(BANK_CLEAN!$J$2:$J$1001,BANK_CLEAN!$H$2:$H$1001,G522,BANK_CLEAN!$L$2:$L$1001,""),BANK_CLEAN!$J$2:$J$1001,0)),""))</f>
        <v/>
      </c>
      <c r="I522" s="10">
        <f>IF(H522="","",INDEX(BANK_CLEAN!$B$2:$B$1001,H522))</f>
        <v/>
      </c>
      <c r="J522" s="14">
        <f>IF(H522="","",IF(F522="OUT",INDEX(BANK_CLEAN!$F$2:$F$1001,H522),INDEX(BANK_CLEAN!$E$2:$E$1001,H522)))</f>
        <v/>
      </c>
      <c r="K522" s="14">
        <f>IF(H522="","",ABS(E522-J522))</f>
        <v/>
      </c>
      <c r="L522" s="11">
        <f>IF(OR(H522="",B522="",I522=""),"",ABS(B522-I522))</f>
        <v/>
      </c>
      <c r="M522" s="15">
        <f>IF(H522="",0,LET(pct,IF(E522&gt;0,K522/E522,1),days,IFERROR(L522,999),100-pct*200-days*3))</f>
        <v/>
      </c>
      <c r="N522" s="11">
        <f>IF(A522="","",IF(H522="","Unmatched GL",IF(AND(K522&lt;=Tol_Amount,L522&lt;=Tol_Days),"Matched",IF(M522&gt;Tol_NearPct,"Near Match","Unmatched GL"))))</f>
        <v/>
      </c>
    </row>
    <row r="523">
      <c r="A523" s="13">
        <f>IF(GL_CLEAN!A523="","",GL_CLEAN!A523)</f>
        <v/>
      </c>
      <c r="B523" s="10">
        <f>IF(A523="","",GL_CLEAN!B523)</f>
        <v/>
      </c>
      <c r="C523" s="11">
        <f>IF(A523="","",GL_CLEAN!C523)</f>
        <v/>
      </c>
      <c r="D523" s="14">
        <f>IF(A523="","",GL_CLEAN!H523)</f>
        <v/>
      </c>
      <c r="E523" s="14">
        <f>IF(A523="","",GL_CLEAN!I523)</f>
        <v/>
      </c>
      <c r="F523" s="11">
        <f>IF(A523="","",GL_CLEAN!J523)</f>
        <v/>
      </c>
      <c r="G523" s="11">
        <f>IF(A523="","",IF(F523="OUT","DR","CR"))</f>
        <v/>
      </c>
      <c r="H523" s="11">
        <f>IF(A523="","",IFERROR(INDEX(BANK_CLEAN!$A$2:$A$1001,MATCH(MINIFS(BANK_CLEAN!$J$2:$J$1001,BANK_CLEAN!$H$2:$H$1001,G523,BANK_CLEAN!$L$2:$L$1001,""),BANK_CLEAN!$J$2:$J$1001,0)),""))</f>
        <v/>
      </c>
      <c r="I523" s="10">
        <f>IF(H523="","",INDEX(BANK_CLEAN!$B$2:$B$1001,H523))</f>
        <v/>
      </c>
      <c r="J523" s="14">
        <f>IF(H523="","",IF(F523="OUT",INDEX(BANK_CLEAN!$F$2:$F$1001,H523),INDEX(BANK_CLEAN!$E$2:$E$1001,H523)))</f>
        <v/>
      </c>
      <c r="K523" s="14">
        <f>IF(H523="","",ABS(E523-J523))</f>
        <v/>
      </c>
      <c r="L523" s="11">
        <f>IF(OR(H523="",B523="",I523=""),"",ABS(B523-I523))</f>
        <v/>
      </c>
      <c r="M523" s="15">
        <f>IF(H523="",0,LET(pct,IF(E523&gt;0,K523/E523,1),days,IFERROR(L523,999),100-pct*200-days*3))</f>
        <v/>
      </c>
      <c r="N523" s="11">
        <f>IF(A523="","",IF(H523="","Unmatched GL",IF(AND(K523&lt;=Tol_Amount,L523&lt;=Tol_Days),"Matched",IF(M523&gt;Tol_NearPct,"Near Match","Unmatched GL"))))</f>
        <v/>
      </c>
    </row>
    <row r="524">
      <c r="A524" s="13">
        <f>IF(GL_CLEAN!A524="","",GL_CLEAN!A524)</f>
        <v/>
      </c>
      <c r="B524" s="10">
        <f>IF(A524="","",GL_CLEAN!B524)</f>
        <v/>
      </c>
      <c r="C524" s="11">
        <f>IF(A524="","",GL_CLEAN!C524)</f>
        <v/>
      </c>
      <c r="D524" s="14">
        <f>IF(A524="","",GL_CLEAN!H524)</f>
        <v/>
      </c>
      <c r="E524" s="14">
        <f>IF(A524="","",GL_CLEAN!I524)</f>
        <v/>
      </c>
      <c r="F524" s="11">
        <f>IF(A524="","",GL_CLEAN!J524)</f>
        <v/>
      </c>
      <c r="G524" s="11">
        <f>IF(A524="","",IF(F524="OUT","DR","CR"))</f>
        <v/>
      </c>
      <c r="H524" s="11">
        <f>IF(A524="","",IFERROR(INDEX(BANK_CLEAN!$A$2:$A$1001,MATCH(MINIFS(BANK_CLEAN!$J$2:$J$1001,BANK_CLEAN!$H$2:$H$1001,G524,BANK_CLEAN!$L$2:$L$1001,""),BANK_CLEAN!$J$2:$J$1001,0)),""))</f>
        <v/>
      </c>
      <c r="I524" s="10">
        <f>IF(H524="","",INDEX(BANK_CLEAN!$B$2:$B$1001,H524))</f>
        <v/>
      </c>
      <c r="J524" s="14">
        <f>IF(H524="","",IF(F524="OUT",INDEX(BANK_CLEAN!$F$2:$F$1001,H524),INDEX(BANK_CLEAN!$E$2:$E$1001,H524)))</f>
        <v/>
      </c>
      <c r="K524" s="14">
        <f>IF(H524="","",ABS(E524-J524))</f>
        <v/>
      </c>
      <c r="L524" s="11">
        <f>IF(OR(H524="",B524="",I524=""),"",ABS(B524-I524))</f>
        <v/>
      </c>
      <c r="M524" s="15">
        <f>IF(H524="",0,LET(pct,IF(E524&gt;0,K524/E524,1),days,IFERROR(L524,999),100-pct*200-days*3))</f>
        <v/>
      </c>
      <c r="N524" s="11">
        <f>IF(A524="","",IF(H524="","Unmatched GL",IF(AND(K524&lt;=Tol_Amount,L524&lt;=Tol_Days),"Matched",IF(M524&gt;Tol_NearPct,"Near Match","Unmatched GL"))))</f>
        <v/>
      </c>
    </row>
    <row r="525">
      <c r="A525" s="13">
        <f>IF(GL_CLEAN!A525="","",GL_CLEAN!A525)</f>
        <v/>
      </c>
      <c r="B525" s="10">
        <f>IF(A525="","",GL_CLEAN!B525)</f>
        <v/>
      </c>
      <c r="C525" s="11">
        <f>IF(A525="","",GL_CLEAN!C525)</f>
        <v/>
      </c>
      <c r="D525" s="14">
        <f>IF(A525="","",GL_CLEAN!H525)</f>
        <v/>
      </c>
      <c r="E525" s="14">
        <f>IF(A525="","",GL_CLEAN!I525)</f>
        <v/>
      </c>
      <c r="F525" s="11">
        <f>IF(A525="","",GL_CLEAN!J525)</f>
        <v/>
      </c>
      <c r="G525" s="11">
        <f>IF(A525="","",IF(F525="OUT","DR","CR"))</f>
        <v/>
      </c>
      <c r="H525" s="11">
        <f>IF(A525="","",IFERROR(INDEX(BANK_CLEAN!$A$2:$A$1001,MATCH(MINIFS(BANK_CLEAN!$J$2:$J$1001,BANK_CLEAN!$H$2:$H$1001,G525,BANK_CLEAN!$L$2:$L$1001,""),BANK_CLEAN!$J$2:$J$1001,0)),""))</f>
        <v/>
      </c>
      <c r="I525" s="10">
        <f>IF(H525="","",INDEX(BANK_CLEAN!$B$2:$B$1001,H525))</f>
        <v/>
      </c>
      <c r="J525" s="14">
        <f>IF(H525="","",IF(F525="OUT",INDEX(BANK_CLEAN!$F$2:$F$1001,H525),INDEX(BANK_CLEAN!$E$2:$E$1001,H525)))</f>
        <v/>
      </c>
      <c r="K525" s="14">
        <f>IF(H525="","",ABS(E525-J525))</f>
        <v/>
      </c>
      <c r="L525" s="11">
        <f>IF(OR(H525="",B525="",I525=""),"",ABS(B525-I525))</f>
        <v/>
      </c>
      <c r="M525" s="15">
        <f>IF(H525="",0,LET(pct,IF(E525&gt;0,K525/E525,1),days,IFERROR(L525,999),100-pct*200-days*3))</f>
        <v/>
      </c>
      <c r="N525" s="11">
        <f>IF(A525="","",IF(H525="","Unmatched GL",IF(AND(K525&lt;=Tol_Amount,L525&lt;=Tol_Days),"Matched",IF(M525&gt;Tol_NearPct,"Near Match","Unmatched GL"))))</f>
        <v/>
      </c>
    </row>
    <row r="526">
      <c r="A526" s="13">
        <f>IF(GL_CLEAN!A526="","",GL_CLEAN!A526)</f>
        <v/>
      </c>
      <c r="B526" s="10">
        <f>IF(A526="","",GL_CLEAN!B526)</f>
        <v/>
      </c>
      <c r="C526" s="11">
        <f>IF(A526="","",GL_CLEAN!C526)</f>
        <v/>
      </c>
      <c r="D526" s="14">
        <f>IF(A526="","",GL_CLEAN!H526)</f>
        <v/>
      </c>
      <c r="E526" s="14">
        <f>IF(A526="","",GL_CLEAN!I526)</f>
        <v/>
      </c>
      <c r="F526" s="11">
        <f>IF(A526="","",GL_CLEAN!J526)</f>
        <v/>
      </c>
      <c r="G526" s="11">
        <f>IF(A526="","",IF(F526="OUT","DR","CR"))</f>
        <v/>
      </c>
      <c r="H526" s="11">
        <f>IF(A526="","",IFERROR(INDEX(BANK_CLEAN!$A$2:$A$1001,MATCH(MINIFS(BANK_CLEAN!$J$2:$J$1001,BANK_CLEAN!$H$2:$H$1001,G526,BANK_CLEAN!$L$2:$L$1001,""),BANK_CLEAN!$J$2:$J$1001,0)),""))</f>
        <v/>
      </c>
      <c r="I526" s="10">
        <f>IF(H526="","",INDEX(BANK_CLEAN!$B$2:$B$1001,H526))</f>
        <v/>
      </c>
      <c r="J526" s="14">
        <f>IF(H526="","",IF(F526="OUT",INDEX(BANK_CLEAN!$F$2:$F$1001,H526),INDEX(BANK_CLEAN!$E$2:$E$1001,H526)))</f>
        <v/>
      </c>
      <c r="K526" s="14">
        <f>IF(H526="","",ABS(E526-J526))</f>
        <v/>
      </c>
      <c r="L526" s="11">
        <f>IF(OR(H526="",B526="",I526=""),"",ABS(B526-I526))</f>
        <v/>
      </c>
      <c r="M526" s="15">
        <f>IF(H526="",0,LET(pct,IF(E526&gt;0,K526/E526,1),days,IFERROR(L526,999),100-pct*200-days*3))</f>
        <v/>
      </c>
      <c r="N526" s="11">
        <f>IF(A526="","",IF(H526="","Unmatched GL",IF(AND(K526&lt;=Tol_Amount,L526&lt;=Tol_Days),"Matched",IF(M526&gt;Tol_NearPct,"Near Match","Unmatched GL"))))</f>
        <v/>
      </c>
    </row>
    <row r="527">
      <c r="A527" s="13">
        <f>IF(GL_CLEAN!A527="","",GL_CLEAN!A527)</f>
        <v/>
      </c>
      <c r="B527" s="10">
        <f>IF(A527="","",GL_CLEAN!B527)</f>
        <v/>
      </c>
      <c r="C527" s="11">
        <f>IF(A527="","",GL_CLEAN!C527)</f>
        <v/>
      </c>
      <c r="D527" s="14">
        <f>IF(A527="","",GL_CLEAN!H527)</f>
        <v/>
      </c>
      <c r="E527" s="14">
        <f>IF(A527="","",GL_CLEAN!I527)</f>
        <v/>
      </c>
      <c r="F527" s="11">
        <f>IF(A527="","",GL_CLEAN!J527)</f>
        <v/>
      </c>
      <c r="G527" s="11">
        <f>IF(A527="","",IF(F527="OUT","DR","CR"))</f>
        <v/>
      </c>
      <c r="H527" s="11">
        <f>IF(A527="","",IFERROR(INDEX(BANK_CLEAN!$A$2:$A$1001,MATCH(MINIFS(BANK_CLEAN!$J$2:$J$1001,BANK_CLEAN!$H$2:$H$1001,G527,BANK_CLEAN!$L$2:$L$1001,""),BANK_CLEAN!$J$2:$J$1001,0)),""))</f>
        <v/>
      </c>
      <c r="I527" s="10">
        <f>IF(H527="","",INDEX(BANK_CLEAN!$B$2:$B$1001,H527))</f>
        <v/>
      </c>
      <c r="J527" s="14">
        <f>IF(H527="","",IF(F527="OUT",INDEX(BANK_CLEAN!$F$2:$F$1001,H527),INDEX(BANK_CLEAN!$E$2:$E$1001,H527)))</f>
        <v/>
      </c>
      <c r="K527" s="14">
        <f>IF(H527="","",ABS(E527-J527))</f>
        <v/>
      </c>
      <c r="L527" s="11">
        <f>IF(OR(H527="",B527="",I527=""),"",ABS(B527-I527))</f>
        <v/>
      </c>
      <c r="M527" s="15">
        <f>IF(H527="",0,LET(pct,IF(E527&gt;0,K527/E527,1),days,IFERROR(L527,999),100-pct*200-days*3))</f>
        <v/>
      </c>
      <c r="N527" s="11">
        <f>IF(A527="","",IF(H527="","Unmatched GL",IF(AND(K527&lt;=Tol_Amount,L527&lt;=Tol_Days),"Matched",IF(M527&gt;Tol_NearPct,"Near Match","Unmatched GL"))))</f>
        <v/>
      </c>
    </row>
    <row r="528">
      <c r="A528" s="13">
        <f>IF(GL_CLEAN!A528="","",GL_CLEAN!A528)</f>
        <v/>
      </c>
      <c r="B528" s="10">
        <f>IF(A528="","",GL_CLEAN!B528)</f>
        <v/>
      </c>
      <c r="C528" s="11">
        <f>IF(A528="","",GL_CLEAN!C528)</f>
        <v/>
      </c>
      <c r="D528" s="14">
        <f>IF(A528="","",GL_CLEAN!H528)</f>
        <v/>
      </c>
      <c r="E528" s="14">
        <f>IF(A528="","",GL_CLEAN!I528)</f>
        <v/>
      </c>
      <c r="F528" s="11">
        <f>IF(A528="","",GL_CLEAN!J528)</f>
        <v/>
      </c>
      <c r="G528" s="11">
        <f>IF(A528="","",IF(F528="OUT","DR","CR"))</f>
        <v/>
      </c>
      <c r="H528" s="11">
        <f>IF(A528="","",IFERROR(INDEX(BANK_CLEAN!$A$2:$A$1001,MATCH(MINIFS(BANK_CLEAN!$J$2:$J$1001,BANK_CLEAN!$H$2:$H$1001,G528,BANK_CLEAN!$L$2:$L$1001,""),BANK_CLEAN!$J$2:$J$1001,0)),""))</f>
        <v/>
      </c>
      <c r="I528" s="10">
        <f>IF(H528="","",INDEX(BANK_CLEAN!$B$2:$B$1001,H528))</f>
        <v/>
      </c>
      <c r="J528" s="14">
        <f>IF(H528="","",IF(F528="OUT",INDEX(BANK_CLEAN!$F$2:$F$1001,H528),INDEX(BANK_CLEAN!$E$2:$E$1001,H528)))</f>
        <v/>
      </c>
      <c r="K528" s="14">
        <f>IF(H528="","",ABS(E528-J528))</f>
        <v/>
      </c>
      <c r="L528" s="11">
        <f>IF(OR(H528="",B528="",I528=""),"",ABS(B528-I528))</f>
        <v/>
      </c>
      <c r="M528" s="15">
        <f>IF(H528="",0,LET(pct,IF(E528&gt;0,K528/E528,1),days,IFERROR(L528,999),100-pct*200-days*3))</f>
        <v/>
      </c>
      <c r="N528" s="11">
        <f>IF(A528="","",IF(H528="","Unmatched GL",IF(AND(K528&lt;=Tol_Amount,L528&lt;=Tol_Days),"Matched",IF(M528&gt;Tol_NearPct,"Near Match","Unmatched GL"))))</f>
        <v/>
      </c>
    </row>
    <row r="529">
      <c r="A529" s="13">
        <f>IF(GL_CLEAN!A529="","",GL_CLEAN!A529)</f>
        <v/>
      </c>
      <c r="B529" s="10">
        <f>IF(A529="","",GL_CLEAN!B529)</f>
        <v/>
      </c>
      <c r="C529" s="11">
        <f>IF(A529="","",GL_CLEAN!C529)</f>
        <v/>
      </c>
      <c r="D529" s="14">
        <f>IF(A529="","",GL_CLEAN!H529)</f>
        <v/>
      </c>
      <c r="E529" s="14">
        <f>IF(A529="","",GL_CLEAN!I529)</f>
        <v/>
      </c>
      <c r="F529" s="11">
        <f>IF(A529="","",GL_CLEAN!J529)</f>
        <v/>
      </c>
      <c r="G529" s="11">
        <f>IF(A529="","",IF(F529="OUT","DR","CR"))</f>
        <v/>
      </c>
      <c r="H529" s="11">
        <f>IF(A529="","",IFERROR(INDEX(BANK_CLEAN!$A$2:$A$1001,MATCH(MINIFS(BANK_CLEAN!$J$2:$J$1001,BANK_CLEAN!$H$2:$H$1001,G529,BANK_CLEAN!$L$2:$L$1001,""),BANK_CLEAN!$J$2:$J$1001,0)),""))</f>
        <v/>
      </c>
      <c r="I529" s="10">
        <f>IF(H529="","",INDEX(BANK_CLEAN!$B$2:$B$1001,H529))</f>
        <v/>
      </c>
      <c r="J529" s="14">
        <f>IF(H529="","",IF(F529="OUT",INDEX(BANK_CLEAN!$F$2:$F$1001,H529),INDEX(BANK_CLEAN!$E$2:$E$1001,H529)))</f>
        <v/>
      </c>
      <c r="K529" s="14">
        <f>IF(H529="","",ABS(E529-J529))</f>
        <v/>
      </c>
      <c r="L529" s="11">
        <f>IF(OR(H529="",B529="",I529=""),"",ABS(B529-I529))</f>
        <v/>
      </c>
      <c r="M529" s="15">
        <f>IF(H529="",0,LET(pct,IF(E529&gt;0,K529/E529,1),days,IFERROR(L529,999),100-pct*200-days*3))</f>
        <v/>
      </c>
      <c r="N529" s="11">
        <f>IF(A529="","",IF(H529="","Unmatched GL",IF(AND(K529&lt;=Tol_Amount,L529&lt;=Tol_Days),"Matched",IF(M529&gt;Tol_NearPct,"Near Match","Unmatched GL"))))</f>
        <v/>
      </c>
    </row>
    <row r="530">
      <c r="A530" s="13">
        <f>IF(GL_CLEAN!A530="","",GL_CLEAN!A530)</f>
        <v/>
      </c>
      <c r="B530" s="10">
        <f>IF(A530="","",GL_CLEAN!B530)</f>
        <v/>
      </c>
      <c r="C530" s="11">
        <f>IF(A530="","",GL_CLEAN!C530)</f>
        <v/>
      </c>
      <c r="D530" s="14">
        <f>IF(A530="","",GL_CLEAN!H530)</f>
        <v/>
      </c>
      <c r="E530" s="14">
        <f>IF(A530="","",GL_CLEAN!I530)</f>
        <v/>
      </c>
      <c r="F530" s="11">
        <f>IF(A530="","",GL_CLEAN!J530)</f>
        <v/>
      </c>
      <c r="G530" s="11">
        <f>IF(A530="","",IF(F530="OUT","DR","CR"))</f>
        <v/>
      </c>
      <c r="H530" s="11">
        <f>IF(A530="","",IFERROR(INDEX(BANK_CLEAN!$A$2:$A$1001,MATCH(MINIFS(BANK_CLEAN!$J$2:$J$1001,BANK_CLEAN!$H$2:$H$1001,G530,BANK_CLEAN!$L$2:$L$1001,""),BANK_CLEAN!$J$2:$J$1001,0)),""))</f>
        <v/>
      </c>
      <c r="I530" s="10">
        <f>IF(H530="","",INDEX(BANK_CLEAN!$B$2:$B$1001,H530))</f>
        <v/>
      </c>
      <c r="J530" s="14">
        <f>IF(H530="","",IF(F530="OUT",INDEX(BANK_CLEAN!$F$2:$F$1001,H530),INDEX(BANK_CLEAN!$E$2:$E$1001,H530)))</f>
        <v/>
      </c>
      <c r="K530" s="14">
        <f>IF(H530="","",ABS(E530-J530))</f>
        <v/>
      </c>
      <c r="L530" s="11">
        <f>IF(OR(H530="",B530="",I530=""),"",ABS(B530-I530))</f>
        <v/>
      </c>
      <c r="M530" s="15">
        <f>IF(H530="",0,LET(pct,IF(E530&gt;0,K530/E530,1),days,IFERROR(L530,999),100-pct*200-days*3))</f>
        <v/>
      </c>
      <c r="N530" s="11">
        <f>IF(A530="","",IF(H530="","Unmatched GL",IF(AND(K530&lt;=Tol_Amount,L530&lt;=Tol_Days),"Matched",IF(M530&gt;Tol_NearPct,"Near Match","Unmatched GL"))))</f>
        <v/>
      </c>
    </row>
    <row r="531">
      <c r="A531" s="13">
        <f>IF(GL_CLEAN!A531="","",GL_CLEAN!A531)</f>
        <v/>
      </c>
      <c r="B531" s="10">
        <f>IF(A531="","",GL_CLEAN!B531)</f>
        <v/>
      </c>
      <c r="C531" s="11">
        <f>IF(A531="","",GL_CLEAN!C531)</f>
        <v/>
      </c>
      <c r="D531" s="14">
        <f>IF(A531="","",GL_CLEAN!H531)</f>
        <v/>
      </c>
      <c r="E531" s="14">
        <f>IF(A531="","",GL_CLEAN!I531)</f>
        <v/>
      </c>
      <c r="F531" s="11">
        <f>IF(A531="","",GL_CLEAN!J531)</f>
        <v/>
      </c>
      <c r="G531" s="11">
        <f>IF(A531="","",IF(F531="OUT","DR","CR"))</f>
        <v/>
      </c>
      <c r="H531" s="11">
        <f>IF(A531="","",IFERROR(INDEX(BANK_CLEAN!$A$2:$A$1001,MATCH(MINIFS(BANK_CLEAN!$J$2:$J$1001,BANK_CLEAN!$H$2:$H$1001,G531,BANK_CLEAN!$L$2:$L$1001,""),BANK_CLEAN!$J$2:$J$1001,0)),""))</f>
        <v/>
      </c>
      <c r="I531" s="10">
        <f>IF(H531="","",INDEX(BANK_CLEAN!$B$2:$B$1001,H531))</f>
        <v/>
      </c>
      <c r="J531" s="14">
        <f>IF(H531="","",IF(F531="OUT",INDEX(BANK_CLEAN!$F$2:$F$1001,H531),INDEX(BANK_CLEAN!$E$2:$E$1001,H531)))</f>
        <v/>
      </c>
      <c r="K531" s="14">
        <f>IF(H531="","",ABS(E531-J531))</f>
        <v/>
      </c>
      <c r="L531" s="11">
        <f>IF(OR(H531="",B531="",I531=""),"",ABS(B531-I531))</f>
        <v/>
      </c>
      <c r="M531" s="15">
        <f>IF(H531="",0,LET(pct,IF(E531&gt;0,K531/E531,1),days,IFERROR(L531,999),100-pct*200-days*3))</f>
        <v/>
      </c>
      <c r="N531" s="11">
        <f>IF(A531="","",IF(H531="","Unmatched GL",IF(AND(K531&lt;=Tol_Amount,L531&lt;=Tol_Days),"Matched",IF(M531&gt;Tol_NearPct,"Near Match","Unmatched GL"))))</f>
        <v/>
      </c>
    </row>
    <row r="532">
      <c r="A532" s="13">
        <f>IF(GL_CLEAN!A532="","",GL_CLEAN!A532)</f>
        <v/>
      </c>
      <c r="B532" s="10">
        <f>IF(A532="","",GL_CLEAN!B532)</f>
        <v/>
      </c>
      <c r="C532" s="11">
        <f>IF(A532="","",GL_CLEAN!C532)</f>
        <v/>
      </c>
      <c r="D532" s="14">
        <f>IF(A532="","",GL_CLEAN!H532)</f>
        <v/>
      </c>
      <c r="E532" s="14">
        <f>IF(A532="","",GL_CLEAN!I532)</f>
        <v/>
      </c>
      <c r="F532" s="11">
        <f>IF(A532="","",GL_CLEAN!J532)</f>
        <v/>
      </c>
      <c r="G532" s="11">
        <f>IF(A532="","",IF(F532="OUT","DR","CR"))</f>
        <v/>
      </c>
      <c r="H532" s="11">
        <f>IF(A532="","",IFERROR(INDEX(BANK_CLEAN!$A$2:$A$1001,MATCH(MINIFS(BANK_CLEAN!$J$2:$J$1001,BANK_CLEAN!$H$2:$H$1001,G532,BANK_CLEAN!$L$2:$L$1001,""),BANK_CLEAN!$J$2:$J$1001,0)),""))</f>
        <v/>
      </c>
      <c r="I532" s="10">
        <f>IF(H532="","",INDEX(BANK_CLEAN!$B$2:$B$1001,H532))</f>
        <v/>
      </c>
      <c r="J532" s="14">
        <f>IF(H532="","",IF(F532="OUT",INDEX(BANK_CLEAN!$F$2:$F$1001,H532),INDEX(BANK_CLEAN!$E$2:$E$1001,H532)))</f>
        <v/>
      </c>
      <c r="K532" s="14">
        <f>IF(H532="","",ABS(E532-J532))</f>
        <v/>
      </c>
      <c r="L532" s="11">
        <f>IF(OR(H532="",B532="",I532=""),"",ABS(B532-I532))</f>
        <v/>
      </c>
      <c r="M532" s="15">
        <f>IF(H532="",0,LET(pct,IF(E532&gt;0,K532/E532,1),days,IFERROR(L532,999),100-pct*200-days*3))</f>
        <v/>
      </c>
      <c r="N532" s="11">
        <f>IF(A532="","",IF(H532="","Unmatched GL",IF(AND(K532&lt;=Tol_Amount,L532&lt;=Tol_Days),"Matched",IF(M532&gt;Tol_NearPct,"Near Match","Unmatched GL"))))</f>
        <v/>
      </c>
    </row>
    <row r="533">
      <c r="A533" s="13">
        <f>IF(GL_CLEAN!A533="","",GL_CLEAN!A533)</f>
        <v/>
      </c>
      <c r="B533" s="10">
        <f>IF(A533="","",GL_CLEAN!B533)</f>
        <v/>
      </c>
      <c r="C533" s="11">
        <f>IF(A533="","",GL_CLEAN!C533)</f>
        <v/>
      </c>
      <c r="D533" s="14">
        <f>IF(A533="","",GL_CLEAN!H533)</f>
        <v/>
      </c>
      <c r="E533" s="14">
        <f>IF(A533="","",GL_CLEAN!I533)</f>
        <v/>
      </c>
      <c r="F533" s="11">
        <f>IF(A533="","",GL_CLEAN!J533)</f>
        <v/>
      </c>
      <c r="G533" s="11">
        <f>IF(A533="","",IF(F533="OUT","DR","CR"))</f>
        <v/>
      </c>
      <c r="H533" s="11">
        <f>IF(A533="","",IFERROR(INDEX(BANK_CLEAN!$A$2:$A$1001,MATCH(MINIFS(BANK_CLEAN!$J$2:$J$1001,BANK_CLEAN!$H$2:$H$1001,G533,BANK_CLEAN!$L$2:$L$1001,""),BANK_CLEAN!$J$2:$J$1001,0)),""))</f>
        <v/>
      </c>
      <c r="I533" s="10">
        <f>IF(H533="","",INDEX(BANK_CLEAN!$B$2:$B$1001,H533))</f>
        <v/>
      </c>
      <c r="J533" s="14">
        <f>IF(H533="","",IF(F533="OUT",INDEX(BANK_CLEAN!$F$2:$F$1001,H533),INDEX(BANK_CLEAN!$E$2:$E$1001,H533)))</f>
        <v/>
      </c>
      <c r="K533" s="14">
        <f>IF(H533="","",ABS(E533-J533))</f>
        <v/>
      </c>
      <c r="L533" s="11">
        <f>IF(OR(H533="",B533="",I533=""),"",ABS(B533-I533))</f>
        <v/>
      </c>
      <c r="M533" s="15">
        <f>IF(H533="",0,LET(pct,IF(E533&gt;0,K533/E533,1),days,IFERROR(L533,999),100-pct*200-days*3))</f>
        <v/>
      </c>
      <c r="N533" s="11">
        <f>IF(A533="","",IF(H533="","Unmatched GL",IF(AND(K533&lt;=Tol_Amount,L533&lt;=Tol_Days),"Matched",IF(M533&gt;Tol_NearPct,"Near Match","Unmatched GL"))))</f>
        <v/>
      </c>
    </row>
    <row r="534">
      <c r="A534" s="13">
        <f>IF(GL_CLEAN!A534="","",GL_CLEAN!A534)</f>
        <v/>
      </c>
      <c r="B534" s="10">
        <f>IF(A534="","",GL_CLEAN!B534)</f>
        <v/>
      </c>
      <c r="C534" s="11">
        <f>IF(A534="","",GL_CLEAN!C534)</f>
        <v/>
      </c>
      <c r="D534" s="14">
        <f>IF(A534="","",GL_CLEAN!H534)</f>
        <v/>
      </c>
      <c r="E534" s="14">
        <f>IF(A534="","",GL_CLEAN!I534)</f>
        <v/>
      </c>
      <c r="F534" s="11">
        <f>IF(A534="","",GL_CLEAN!J534)</f>
        <v/>
      </c>
      <c r="G534" s="11">
        <f>IF(A534="","",IF(F534="OUT","DR","CR"))</f>
        <v/>
      </c>
      <c r="H534" s="11">
        <f>IF(A534="","",IFERROR(INDEX(BANK_CLEAN!$A$2:$A$1001,MATCH(MINIFS(BANK_CLEAN!$J$2:$J$1001,BANK_CLEAN!$H$2:$H$1001,G534,BANK_CLEAN!$L$2:$L$1001,""),BANK_CLEAN!$J$2:$J$1001,0)),""))</f>
        <v/>
      </c>
      <c r="I534" s="10">
        <f>IF(H534="","",INDEX(BANK_CLEAN!$B$2:$B$1001,H534))</f>
        <v/>
      </c>
      <c r="J534" s="14">
        <f>IF(H534="","",IF(F534="OUT",INDEX(BANK_CLEAN!$F$2:$F$1001,H534),INDEX(BANK_CLEAN!$E$2:$E$1001,H534)))</f>
        <v/>
      </c>
      <c r="K534" s="14">
        <f>IF(H534="","",ABS(E534-J534))</f>
        <v/>
      </c>
      <c r="L534" s="11">
        <f>IF(OR(H534="",B534="",I534=""),"",ABS(B534-I534))</f>
        <v/>
      </c>
      <c r="M534" s="15">
        <f>IF(H534="",0,LET(pct,IF(E534&gt;0,K534/E534,1),days,IFERROR(L534,999),100-pct*200-days*3))</f>
        <v/>
      </c>
      <c r="N534" s="11">
        <f>IF(A534="","",IF(H534="","Unmatched GL",IF(AND(K534&lt;=Tol_Amount,L534&lt;=Tol_Days),"Matched",IF(M534&gt;Tol_NearPct,"Near Match","Unmatched GL"))))</f>
        <v/>
      </c>
    </row>
    <row r="535">
      <c r="A535" s="13">
        <f>IF(GL_CLEAN!A535="","",GL_CLEAN!A535)</f>
        <v/>
      </c>
      <c r="B535" s="10">
        <f>IF(A535="","",GL_CLEAN!B535)</f>
        <v/>
      </c>
      <c r="C535" s="11">
        <f>IF(A535="","",GL_CLEAN!C535)</f>
        <v/>
      </c>
      <c r="D535" s="14">
        <f>IF(A535="","",GL_CLEAN!H535)</f>
        <v/>
      </c>
      <c r="E535" s="14">
        <f>IF(A535="","",GL_CLEAN!I535)</f>
        <v/>
      </c>
      <c r="F535" s="11">
        <f>IF(A535="","",GL_CLEAN!J535)</f>
        <v/>
      </c>
      <c r="G535" s="11">
        <f>IF(A535="","",IF(F535="OUT","DR","CR"))</f>
        <v/>
      </c>
      <c r="H535" s="11">
        <f>IF(A535="","",IFERROR(INDEX(BANK_CLEAN!$A$2:$A$1001,MATCH(MINIFS(BANK_CLEAN!$J$2:$J$1001,BANK_CLEAN!$H$2:$H$1001,G535,BANK_CLEAN!$L$2:$L$1001,""),BANK_CLEAN!$J$2:$J$1001,0)),""))</f>
        <v/>
      </c>
      <c r="I535" s="10">
        <f>IF(H535="","",INDEX(BANK_CLEAN!$B$2:$B$1001,H535))</f>
        <v/>
      </c>
      <c r="J535" s="14">
        <f>IF(H535="","",IF(F535="OUT",INDEX(BANK_CLEAN!$F$2:$F$1001,H535),INDEX(BANK_CLEAN!$E$2:$E$1001,H535)))</f>
        <v/>
      </c>
      <c r="K535" s="14">
        <f>IF(H535="","",ABS(E535-J535))</f>
        <v/>
      </c>
      <c r="L535" s="11">
        <f>IF(OR(H535="",B535="",I535=""),"",ABS(B535-I535))</f>
        <v/>
      </c>
      <c r="M535" s="15">
        <f>IF(H535="",0,LET(pct,IF(E535&gt;0,K535/E535,1),days,IFERROR(L535,999),100-pct*200-days*3))</f>
        <v/>
      </c>
      <c r="N535" s="11">
        <f>IF(A535="","",IF(H535="","Unmatched GL",IF(AND(K535&lt;=Tol_Amount,L535&lt;=Tol_Days),"Matched",IF(M535&gt;Tol_NearPct,"Near Match","Unmatched GL"))))</f>
        <v/>
      </c>
    </row>
    <row r="536">
      <c r="A536" s="13">
        <f>IF(GL_CLEAN!A536="","",GL_CLEAN!A536)</f>
        <v/>
      </c>
      <c r="B536" s="10">
        <f>IF(A536="","",GL_CLEAN!B536)</f>
        <v/>
      </c>
      <c r="C536" s="11">
        <f>IF(A536="","",GL_CLEAN!C536)</f>
        <v/>
      </c>
      <c r="D536" s="14">
        <f>IF(A536="","",GL_CLEAN!H536)</f>
        <v/>
      </c>
      <c r="E536" s="14">
        <f>IF(A536="","",GL_CLEAN!I536)</f>
        <v/>
      </c>
      <c r="F536" s="11">
        <f>IF(A536="","",GL_CLEAN!J536)</f>
        <v/>
      </c>
      <c r="G536" s="11">
        <f>IF(A536="","",IF(F536="OUT","DR","CR"))</f>
        <v/>
      </c>
      <c r="H536" s="11">
        <f>IF(A536="","",IFERROR(INDEX(BANK_CLEAN!$A$2:$A$1001,MATCH(MINIFS(BANK_CLEAN!$J$2:$J$1001,BANK_CLEAN!$H$2:$H$1001,G536,BANK_CLEAN!$L$2:$L$1001,""),BANK_CLEAN!$J$2:$J$1001,0)),""))</f>
        <v/>
      </c>
      <c r="I536" s="10">
        <f>IF(H536="","",INDEX(BANK_CLEAN!$B$2:$B$1001,H536))</f>
        <v/>
      </c>
      <c r="J536" s="14">
        <f>IF(H536="","",IF(F536="OUT",INDEX(BANK_CLEAN!$F$2:$F$1001,H536),INDEX(BANK_CLEAN!$E$2:$E$1001,H536)))</f>
        <v/>
      </c>
      <c r="K536" s="14">
        <f>IF(H536="","",ABS(E536-J536))</f>
        <v/>
      </c>
      <c r="L536" s="11">
        <f>IF(OR(H536="",B536="",I536=""),"",ABS(B536-I536))</f>
        <v/>
      </c>
      <c r="M536" s="15">
        <f>IF(H536="",0,LET(pct,IF(E536&gt;0,K536/E536,1),days,IFERROR(L536,999),100-pct*200-days*3))</f>
        <v/>
      </c>
      <c r="N536" s="11">
        <f>IF(A536="","",IF(H536="","Unmatched GL",IF(AND(K536&lt;=Tol_Amount,L536&lt;=Tol_Days),"Matched",IF(M536&gt;Tol_NearPct,"Near Match","Unmatched GL"))))</f>
        <v/>
      </c>
    </row>
    <row r="537">
      <c r="A537" s="13">
        <f>IF(GL_CLEAN!A537="","",GL_CLEAN!A537)</f>
        <v/>
      </c>
      <c r="B537" s="10">
        <f>IF(A537="","",GL_CLEAN!B537)</f>
        <v/>
      </c>
      <c r="C537" s="11">
        <f>IF(A537="","",GL_CLEAN!C537)</f>
        <v/>
      </c>
      <c r="D537" s="14">
        <f>IF(A537="","",GL_CLEAN!H537)</f>
        <v/>
      </c>
      <c r="E537" s="14">
        <f>IF(A537="","",GL_CLEAN!I537)</f>
        <v/>
      </c>
      <c r="F537" s="11">
        <f>IF(A537="","",GL_CLEAN!J537)</f>
        <v/>
      </c>
      <c r="G537" s="11">
        <f>IF(A537="","",IF(F537="OUT","DR","CR"))</f>
        <v/>
      </c>
      <c r="H537" s="11">
        <f>IF(A537="","",IFERROR(INDEX(BANK_CLEAN!$A$2:$A$1001,MATCH(MINIFS(BANK_CLEAN!$J$2:$J$1001,BANK_CLEAN!$H$2:$H$1001,G537,BANK_CLEAN!$L$2:$L$1001,""),BANK_CLEAN!$J$2:$J$1001,0)),""))</f>
        <v/>
      </c>
      <c r="I537" s="10">
        <f>IF(H537="","",INDEX(BANK_CLEAN!$B$2:$B$1001,H537))</f>
        <v/>
      </c>
      <c r="J537" s="14">
        <f>IF(H537="","",IF(F537="OUT",INDEX(BANK_CLEAN!$F$2:$F$1001,H537),INDEX(BANK_CLEAN!$E$2:$E$1001,H537)))</f>
        <v/>
      </c>
      <c r="K537" s="14">
        <f>IF(H537="","",ABS(E537-J537))</f>
        <v/>
      </c>
      <c r="L537" s="11">
        <f>IF(OR(H537="",B537="",I537=""),"",ABS(B537-I537))</f>
        <v/>
      </c>
      <c r="M537" s="15">
        <f>IF(H537="",0,LET(pct,IF(E537&gt;0,K537/E537,1),days,IFERROR(L537,999),100-pct*200-days*3))</f>
        <v/>
      </c>
      <c r="N537" s="11">
        <f>IF(A537="","",IF(H537="","Unmatched GL",IF(AND(K537&lt;=Tol_Amount,L537&lt;=Tol_Days),"Matched",IF(M537&gt;Tol_NearPct,"Near Match","Unmatched GL"))))</f>
        <v/>
      </c>
    </row>
    <row r="538">
      <c r="A538" s="13">
        <f>IF(GL_CLEAN!A538="","",GL_CLEAN!A538)</f>
        <v/>
      </c>
      <c r="B538" s="10">
        <f>IF(A538="","",GL_CLEAN!B538)</f>
        <v/>
      </c>
      <c r="C538" s="11">
        <f>IF(A538="","",GL_CLEAN!C538)</f>
        <v/>
      </c>
      <c r="D538" s="14">
        <f>IF(A538="","",GL_CLEAN!H538)</f>
        <v/>
      </c>
      <c r="E538" s="14">
        <f>IF(A538="","",GL_CLEAN!I538)</f>
        <v/>
      </c>
      <c r="F538" s="11">
        <f>IF(A538="","",GL_CLEAN!J538)</f>
        <v/>
      </c>
      <c r="G538" s="11">
        <f>IF(A538="","",IF(F538="OUT","DR","CR"))</f>
        <v/>
      </c>
      <c r="H538" s="11">
        <f>IF(A538="","",IFERROR(INDEX(BANK_CLEAN!$A$2:$A$1001,MATCH(MINIFS(BANK_CLEAN!$J$2:$J$1001,BANK_CLEAN!$H$2:$H$1001,G538,BANK_CLEAN!$L$2:$L$1001,""),BANK_CLEAN!$J$2:$J$1001,0)),""))</f>
        <v/>
      </c>
      <c r="I538" s="10">
        <f>IF(H538="","",INDEX(BANK_CLEAN!$B$2:$B$1001,H538))</f>
        <v/>
      </c>
      <c r="J538" s="14">
        <f>IF(H538="","",IF(F538="OUT",INDEX(BANK_CLEAN!$F$2:$F$1001,H538),INDEX(BANK_CLEAN!$E$2:$E$1001,H538)))</f>
        <v/>
      </c>
      <c r="K538" s="14">
        <f>IF(H538="","",ABS(E538-J538))</f>
        <v/>
      </c>
      <c r="L538" s="11">
        <f>IF(OR(H538="",B538="",I538=""),"",ABS(B538-I538))</f>
        <v/>
      </c>
      <c r="M538" s="15">
        <f>IF(H538="",0,LET(pct,IF(E538&gt;0,K538/E538,1),days,IFERROR(L538,999),100-pct*200-days*3))</f>
        <v/>
      </c>
      <c r="N538" s="11">
        <f>IF(A538="","",IF(H538="","Unmatched GL",IF(AND(K538&lt;=Tol_Amount,L538&lt;=Tol_Days),"Matched",IF(M538&gt;Tol_NearPct,"Near Match","Unmatched GL"))))</f>
        <v/>
      </c>
    </row>
    <row r="539">
      <c r="A539" s="13">
        <f>IF(GL_CLEAN!A539="","",GL_CLEAN!A539)</f>
        <v/>
      </c>
      <c r="B539" s="10">
        <f>IF(A539="","",GL_CLEAN!B539)</f>
        <v/>
      </c>
      <c r="C539" s="11">
        <f>IF(A539="","",GL_CLEAN!C539)</f>
        <v/>
      </c>
      <c r="D539" s="14">
        <f>IF(A539="","",GL_CLEAN!H539)</f>
        <v/>
      </c>
      <c r="E539" s="14">
        <f>IF(A539="","",GL_CLEAN!I539)</f>
        <v/>
      </c>
      <c r="F539" s="11">
        <f>IF(A539="","",GL_CLEAN!J539)</f>
        <v/>
      </c>
      <c r="G539" s="11">
        <f>IF(A539="","",IF(F539="OUT","DR","CR"))</f>
        <v/>
      </c>
      <c r="H539" s="11">
        <f>IF(A539="","",IFERROR(INDEX(BANK_CLEAN!$A$2:$A$1001,MATCH(MINIFS(BANK_CLEAN!$J$2:$J$1001,BANK_CLEAN!$H$2:$H$1001,G539,BANK_CLEAN!$L$2:$L$1001,""),BANK_CLEAN!$J$2:$J$1001,0)),""))</f>
        <v/>
      </c>
      <c r="I539" s="10">
        <f>IF(H539="","",INDEX(BANK_CLEAN!$B$2:$B$1001,H539))</f>
        <v/>
      </c>
      <c r="J539" s="14">
        <f>IF(H539="","",IF(F539="OUT",INDEX(BANK_CLEAN!$F$2:$F$1001,H539),INDEX(BANK_CLEAN!$E$2:$E$1001,H539)))</f>
        <v/>
      </c>
      <c r="K539" s="14">
        <f>IF(H539="","",ABS(E539-J539))</f>
        <v/>
      </c>
      <c r="L539" s="11">
        <f>IF(OR(H539="",B539="",I539=""),"",ABS(B539-I539))</f>
        <v/>
      </c>
      <c r="M539" s="15">
        <f>IF(H539="",0,LET(pct,IF(E539&gt;0,K539/E539,1),days,IFERROR(L539,999),100-pct*200-days*3))</f>
        <v/>
      </c>
      <c r="N539" s="11">
        <f>IF(A539="","",IF(H539="","Unmatched GL",IF(AND(K539&lt;=Tol_Amount,L539&lt;=Tol_Days),"Matched",IF(M539&gt;Tol_NearPct,"Near Match","Unmatched GL"))))</f>
        <v/>
      </c>
    </row>
    <row r="540">
      <c r="A540" s="13">
        <f>IF(GL_CLEAN!A540="","",GL_CLEAN!A540)</f>
        <v/>
      </c>
      <c r="B540" s="10">
        <f>IF(A540="","",GL_CLEAN!B540)</f>
        <v/>
      </c>
      <c r="C540" s="11">
        <f>IF(A540="","",GL_CLEAN!C540)</f>
        <v/>
      </c>
      <c r="D540" s="14">
        <f>IF(A540="","",GL_CLEAN!H540)</f>
        <v/>
      </c>
      <c r="E540" s="14">
        <f>IF(A540="","",GL_CLEAN!I540)</f>
        <v/>
      </c>
      <c r="F540" s="11">
        <f>IF(A540="","",GL_CLEAN!J540)</f>
        <v/>
      </c>
      <c r="G540" s="11">
        <f>IF(A540="","",IF(F540="OUT","DR","CR"))</f>
        <v/>
      </c>
      <c r="H540" s="11">
        <f>IF(A540="","",IFERROR(INDEX(BANK_CLEAN!$A$2:$A$1001,MATCH(MINIFS(BANK_CLEAN!$J$2:$J$1001,BANK_CLEAN!$H$2:$H$1001,G540,BANK_CLEAN!$L$2:$L$1001,""),BANK_CLEAN!$J$2:$J$1001,0)),""))</f>
        <v/>
      </c>
      <c r="I540" s="10">
        <f>IF(H540="","",INDEX(BANK_CLEAN!$B$2:$B$1001,H540))</f>
        <v/>
      </c>
      <c r="J540" s="14">
        <f>IF(H540="","",IF(F540="OUT",INDEX(BANK_CLEAN!$F$2:$F$1001,H540),INDEX(BANK_CLEAN!$E$2:$E$1001,H540)))</f>
        <v/>
      </c>
      <c r="K540" s="14">
        <f>IF(H540="","",ABS(E540-J540))</f>
        <v/>
      </c>
      <c r="L540" s="11">
        <f>IF(OR(H540="",B540="",I540=""),"",ABS(B540-I540))</f>
        <v/>
      </c>
      <c r="M540" s="15">
        <f>IF(H540="",0,LET(pct,IF(E540&gt;0,K540/E540,1),days,IFERROR(L540,999),100-pct*200-days*3))</f>
        <v/>
      </c>
      <c r="N540" s="11">
        <f>IF(A540="","",IF(H540="","Unmatched GL",IF(AND(K540&lt;=Tol_Amount,L540&lt;=Tol_Days),"Matched",IF(M540&gt;Tol_NearPct,"Near Match","Unmatched GL"))))</f>
        <v/>
      </c>
    </row>
    <row r="541">
      <c r="A541" s="13">
        <f>IF(GL_CLEAN!A541="","",GL_CLEAN!A541)</f>
        <v/>
      </c>
      <c r="B541" s="10">
        <f>IF(A541="","",GL_CLEAN!B541)</f>
        <v/>
      </c>
      <c r="C541" s="11">
        <f>IF(A541="","",GL_CLEAN!C541)</f>
        <v/>
      </c>
      <c r="D541" s="14">
        <f>IF(A541="","",GL_CLEAN!H541)</f>
        <v/>
      </c>
      <c r="E541" s="14">
        <f>IF(A541="","",GL_CLEAN!I541)</f>
        <v/>
      </c>
      <c r="F541" s="11">
        <f>IF(A541="","",GL_CLEAN!J541)</f>
        <v/>
      </c>
      <c r="G541" s="11">
        <f>IF(A541="","",IF(F541="OUT","DR","CR"))</f>
        <v/>
      </c>
      <c r="H541" s="11">
        <f>IF(A541="","",IFERROR(INDEX(BANK_CLEAN!$A$2:$A$1001,MATCH(MINIFS(BANK_CLEAN!$J$2:$J$1001,BANK_CLEAN!$H$2:$H$1001,G541,BANK_CLEAN!$L$2:$L$1001,""),BANK_CLEAN!$J$2:$J$1001,0)),""))</f>
        <v/>
      </c>
      <c r="I541" s="10">
        <f>IF(H541="","",INDEX(BANK_CLEAN!$B$2:$B$1001,H541))</f>
        <v/>
      </c>
      <c r="J541" s="14">
        <f>IF(H541="","",IF(F541="OUT",INDEX(BANK_CLEAN!$F$2:$F$1001,H541),INDEX(BANK_CLEAN!$E$2:$E$1001,H541)))</f>
        <v/>
      </c>
      <c r="K541" s="14">
        <f>IF(H541="","",ABS(E541-J541))</f>
        <v/>
      </c>
      <c r="L541" s="11">
        <f>IF(OR(H541="",B541="",I541=""),"",ABS(B541-I541))</f>
        <v/>
      </c>
      <c r="M541" s="15">
        <f>IF(H541="",0,LET(pct,IF(E541&gt;0,K541/E541,1),days,IFERROR(L541,999),100-pct*200-days*3))</f>
        <v/>
      </c>
      <c r="N541" s="11">
        <f>IF(A541="","",IF(H541="","Unmatched GL",IF(AND(K541&lt;=Tol_Amount,L541&lt;=Tol_Days),"Matched",IF(M541&gt;Tol_NearPct,"Near Match","Unmatched GL"))))</f>
        <v/>
      </c>
    </row>
    <row r="542">
      <c r="A542" s="13">
        <f>IF(GL_CLEAN!A542="","",GL_CLEAN!A542)</f>
        <v/>
      </c>
      <c r="B542" s="10">
        <f>IF(A542="","",GL_CLEAN!B542)</f>
        <v/>
      </c>
      <c r="C542" s="11">
        <f>IF(A542="","",GL_CLEAN!C542)</f>
        <v/>
      </c>
      <c r="D542" s="14">
        <f>IF(A542="","",GL_CLEAN!H542)</f>
        <v/>
      </c>
      <c r="E542" s="14">
        <f>IF(A542="","",GL_CLEAN!I542)</f>
        <v/>
      </c>
      <c r="F542" s="11">
        <f>IF(A542="","",GL_CLEAN!J542)</f>
        <v/>
      </c>
      <c r="G542" s="11">
        <f>IF(A542="","",IF(F542="OUT","DR","CR"))</f>
        <v/>
      </c>
      <c r="H542" s="11">
        <f>IF(A542="","",IFERROR(INDEX(BANK_CLEAN!$A$2:$A$1001,MATCH(MINIFS(BANK_CLEAN!$J$2:$J$1001,BANK_CLEAN!$H$2:$H$1001,G542,BANK_CLEAN!$L$2:$L$1001,""),BANK_CLEAN!$J$2:$J$1001,0)),""))</f>
        <v/>
      </c>
      <c r="I542" s="10">
        <f>IF(H542="","",INDEX(BANK_CLEAN!$B$2:$B$1001,H542))</f>
        <v/>
      </c>
      <c r="J542" s="14">
        <f>IF(H542="","",IF(F542="OUT",INDEX(BANK_CLEAN!$F$2:$F$1001,H542),INDEX(BANK_CLEAN!$E$2:$E$1001,H542)))</f>
        <v/>
      </c>
      <c r="K542" s="14">
        <f>IF(H542="","",ABS(E542-J542))</f>
        <v/>
      </c>
      <c r="L542" s="11">
        <f>IF(OR(H542="",B542="",I542=""),"",ABS(B542-I542))</f>
        <v/>
      </c>
      <c r="M542" s="15">
        <f>IF(H542="",0,LET(pct,IF(E542&gt;0,K542/E542,1),days,IFERROR(L542,999),100-pct*200-days*3))</f>
        <v/>
      </c>
      <c r="N542" s="11">
        <f>IF(A542="","",IF(H542="","Unmatched GL",IF(AND(K542&lt;=Tol_Amount,L542&lt;=Tol_Days),"Matched",IF(M542&gt;Tol_NearPct,"Near Match","Unmatched GL"))))</f>
        <v/>
      </c>
    </row>
    <row r="543">
      <c r="A543" s="13">
        <f>IF(GL_CLEAN!A543="","",GL_CLEAN!A543)</f>
        <v/>
      </c>
      <c r="B543" s="10">
        <f>IF(A543="","",GL_CLEAN!B543)</f>
        <v/>
      </c>
      <c r="C543" s="11">
        <f>IF(A543="","",GL_CLEAN!C543)</f>
        <v/>
      </c>
      <c r="D543" s="14">
        <f>IF(A543="","",GL_CLEAN!H543)</f>
        <v/>
      </c>
      <c r="E543" s="14">
        <f>IF(A543="","",GL_CLEAN!I543)</f>
        <v/>
      </c>
      <c r="F543" s="11">
        <f>IF(A543="","",GL_CLEAN!J543)</f>
        <v/>
      </c>
      <c r="G543" s="11">
        <f>IF(A543="","",IF(F543="OUT","DR","CR"))</f>
        <v/>
      </c>
      <c r="H543" s="11">
        <f>IF(A543="","",IFERROR(INDEX(BANK_CLEAN!$A$2:$A$1001,MATCH(MINIFS(BANK_CLEAN!$J$2:$J$1001,BANK_CLEAN!$H$2:$H$1001,G543,BANK_CLEAN!$L$2:$L$1001,""),BANK_CLEAN!$J$2:$J$1001,0)),""))</f>
        <v/>
      </c>
      <c r="I543" s="10">
        <f>IF(H543="","",INDEX(BANK_CLEAN!$B$2:$B$1001,H543))</f>
        <v/>
      </c>
      <c r="J543" s="14">
        <f>IF(H543="","",IF(F543="OUT",INDEX(BANK_CLEAN!$F$2:$F$1001,H543),INDEX(BANK_CLEAN!$E$2:$E$1001,H543)))</f>
        <v/>
      </c>
      <c r="K543" s="14">
        <f>IF(H543="","",ABS(E543-J543))</f>
        <v/>
      </c>
      <c r="L543" s="11">
        <f>IF(OR(H543="",B543="",I543=""),"",ABS(B543-I543))</f>
        <v/>
      </c>
      <c r="M543" s="15">
        <f>IF(H543="",0,LET(pct,IF(E543&gt;0,K543/E543,1),days,IFERROR(L543,999),100-pct*200-days*3))</f>
        <v/>
      </c>
      <c r="N543" s="11">
        <f>IF(A543="","",IF(H543="","Unmatched GL",IF(AND(K543&lt;=Tol_Amount,L543&lt;=Tol_Days),"Matched",IF(M543&gt;Tol_NearPct,"Near Match","Unmatched GL"))))</f>
        <v/>
      </c>
    </row>
    <row r="544">
      <c r="A544" s="13">
        <f>IF(GL_CLEAN!A544="","",GL_CLEAN!A544)</f>
        <v/>
      </c>
      <c r="B544" s="10">
        <f>IF(A544="","",GL_CLEAN!B544)</f>
        <v/>
      </c>
      <c r="C544" s="11">
        <f>IF(A544="","",GL_CLEAN!C544)</f>
        <v/>
      </c>
      <c r="D544" s="14">
        <f>IF(A544="","",GL_CLEAN!H544)</f>
        <v/>
      </c>
      <c r="E544" s="14">
        <f>IF(A544="","",GL_CLEAN!I544)</f>
        <v/>
      </c>
      <c r="F544" s="11">
        <f>IF(A544="","",GL_CLEAN!J544)</f>
        <v/>
      </c>
      <c r="G544" s="11">
        <f>IF(A544="","",IF(F544="OUT","DR","CR"))</f>
        <v/>
      </c>
      <c r="H544" s="11">
        <f>IF(A544="","",IFERROR(INDEX(BANK_CLEAN!$A$2:$A$1001,MATCH(MINIFS(BANK_CLEAN!$J$2:$J$1001,BANK_CLEAN!$H$2:$H$1001,G544,BANK_CLEAN!$L$2:$L$1001,""),BANK_CLEAN!$J$2:$J$1001,0)),""))</f>
        <v/>
      </c>
      <c r="I544" s="10">
        <f>IF(H544="","",INDEX(BANK_CLEAN!$B$2:$B$1001,H544))</f>
        <v/>
      </c>
      <c r="J544" s="14">
        <f>IF(H544="","",IF(F544="OUT",INDEX(BANK_CLEAN!$F$2:$F$1001,H544),INDEX(BANK_CLEAN!$E$2:$E$1001,H544)))</f>
        <v/>
      </c>
      <c r="K544" s="14">
        <f>IF(H544="","",ABS(E544-J544))</f>
        <v/>
      </c>
      <c r="L544" s="11">
        <f>IF(OR(H544="",B544="",I544=""),"",ABS(B544-I544))</f>
        <v/>
      </c>
      <c r="M544" s="15">
        <f>IF(H544="",0,LET(pct,IF(E544&gt;0,K544/E544,1),days,IFERROR(L544,999),100-pct*200-days*3))</f>
        <v/>
      </c>
      <c r="N544" s="11">
        <f>IF(A544="","",IF(H544="","Unmatched GL",IF(AND(K544&lt;=Tol_Amount,L544&lt;=Tol_Days),"Matched",IF(M544&gt;Tol_NearPct,"Near Match","Unmatched GL"))))</f>
        <v/>
      </c>
    </row>
    <row r="545">
      <c r="A545" s="13">
        <f>IF(GL_CLEAN!A545="","",GL_CLEAN!A545)</f>
        <v/>
      </c>
      <c r="B545" s="10">
        <f>IF(A545="","",GL_CLEAN!B545)</f>
        <v/>
      </c>
      <c r="C545" s="11">
        <f>IF(A545="","",GL_CLEAN!C545)</f>
        <v/>
      </c>
      <c r="D545" s="14">
        <f>IF(A545="","",GL_CLEAN!H545)</f>
        <v/>
      </c>
      <c r="E545" s="14">
        <f>IF(A545="","",GL_CLEAN!I545)</f>
        <v/>
      </c>
      <c r="F545" s="11">
        <f>IF(A545="","",GL_CLEAN!J545)</f>
        <v/>
      </c>
      <c r="G545" s="11">
        <f>IF(A545="","",IF(F545="OUT","DR","CR"))</f>
        <v/>
      </c>
      <c r="H545" s="11">
        <f>IF(A545="","",IFERROR(INDEX(BANK_CLEAN!$A$2:$A$1001,MATCH(MINIFS(BANK_CLEAN!$J$2:$J$1001,BANK_CLEAN!$H$2:$H$1001,G545,BANK_CLEAN!$L$2:$L$1001,""),BANK_CLEAN!$J$2:$J$1001,0)),""))</f>
        <v/>
      </c>
      <c r="I545" s="10">
        <f>IF(H545="","",INDEX(BANK_CLEAN!$B$2:$B$1001,H545))</f>
        <v/>
      </c>
      <c r="J545" s="14">
        <f>IF(H545="","",IF(F545="OUT",INDEX(BANK_CLEAN!$F$2:$F$1001,H545),INDEX(BANK_CLEAN!$E$2:$E$1001,H545)))</f>
        <v/>
      </c>
      <c r="K545" s="14">
        <f>IF(H545="","",ABS(E545-J545))</f>
        <v/>
      </c>
      <c r="L545" s="11">
        <f>IF(OR(H545="",B545="",I545=""),"",ABS(B545-I545))</f>
        <v/>
      </c>
      <c r="M545" s="15">
        <f>IF(H545="",0,LET(pct,IF(E545&gt;0,K545/E545,1),days,IFERROR(L545,999),100-pct*200-days*3))</f>
        <v/>
      </c>
      <c r="N545" s="11">
        <f>IF(A545="","",IF(H545="","Unmatched GL",IF(AND(K545&lt;=Tol_Amount,L545&lt;=Tol_Days),"Matched",IF(M545&gt;Tol_NearPct,"Near Match","Unmatched GL"))))</f>
        <v/>
      </c>
    </row>
    <row r="546">
      <c r="A546" s="13">
        <f>IF(GL_CLEAN!A546="","",GL_CLEAN!A546)</f>
        <v/>
      </c>
      <c r="B546" s="10">
        <f>IF(A546="","",GL_CLEAN!B546)</f>
        <v/>
      </c>
      <c r="C546" s="11">
        <f>IF(A546="","",GL_CLEAN!C546)</f>
        <v/>
      </c>
      <c r="D546" s="14">
        <f>IF(A546="","",GL_CLEAN!H546)</f>
        <v/>
      </c>
      <c r="E546" s="14">
        <f>IF(A546="","",GL_CLEAN!I546)</f>
        <v/>
      </c>
      <c r="F546" s="11">
        <f>IF(A546="","",GL_CLEAN!J546)</f>
        <v/>
      </c>
      <c r="G546" s="11">
        <f>IF(A546="","",IF(F546="OUT","DR","CR"))</f>
        <v/>
      </c>
      <c r="H546" s="11">
        <f>IF(A546="","",IFERROR(INDEX(BANK_CLEAN!$A$2:$A$1001,MATCH(MINIFS(BANK_CLEAN!$J$2:$J$1001,BANK_CLEAN!$H$2:$H$1001,G546,BANK_CLEAN!$L$2:$L$1001,""),BANK_CLEAN!$J$2:$J$1001,0)),""))</f>
        <v/>
      </c>
      <c r="I546" s="10">
        <f>IF(H546="","",INDEX(BANK_CLEAN!$B$2:$B$1001,H546))</f>
        <v/>
      </c>
      <c r="J546" s="14">
        <f>IF(H546="","",IF(F546="OUT",INDEX(BANK_CLEAN!$F$2:$F$1001,H546),INDEX(BANK_CLEAN!$E$2:$E$1001,H546)))</f>
        <v/>
      </c>
      <c r="K546" s="14">
        <f>IF(H546="","",ABS(E546-J546))</f>
        <v/>
      </c>
      <c r="L546" s="11">
        <f>IF(OR(H546="",B546="",I546=""),"",ABS(B546-I546))</f>
        <v/>
      </c>
      <c r="M546" s="15">
        <f>IF(H546="",0,LET(pct,IF(E546&gt;0,K546/E546,1),days,IFERROR(L546,999),100-pct*200-days*3))</f>
        <v/>
      </c>
      <c r="N546" s="11">
        <f>IF(A546="","",IF(H546="","Unmatched GL",IF(AND(K546&lt;=Tol_Amount,L546&lt;=Tol_Days),"Matched",IF(M546&gt;Tol_NearPct,"Near Match","Unmatched GL"))))</f>
        <v/>
      </c>
    </row>
    <row r="547">
      <c r="A547" s="13">
        <f>IF(GL_CLEAN!A547="","",GL_CLEAN!A547)</f>
        <v/>
      </c>
      <c r="B547" s="10">
        <f>IF(A547="","",GL_CLEAN!B547)</f>
        <v/>
      </c>
      <c r="C547" s="11">
        <f>IF(A547="","",GL_CLEAN!C547)</f>
        <v/>
      </c>
      <c r="D547" s="14">
        <f>IF(A547="","",GL_CLEAN!H547)</f>
        <v/>
      </c>
      <c r="E547" s="14">
        <f>IF(A547="","",GL_CLEAN!I547)</f>
        <v/>
      </c>
      <c r="F547" s="11">
        <f>IF(A547="","",GL_CLEAN!J547)</f>
        <v/>
      </c>
      <c r="G547" s="11">
        <f>IF(A547="","",IF(F547="OUT","DR","CR"))</f>
        <v/>
      </c>
      <c r="H547" s="11">
        <f>IF(A547="","",IFERROR(INDEX(BANK_CLEAN!$A$2:$A$1001,MATCH(MINIFS(BANK_CLEAN!$J$2:$J$1001,BANK_CLEAN!$H$2:$H$1001,G547,BANK_CLEAN!$L$2:$L$1001,""),BANK_CLEAN!$J$2:$J$1001,0)),""))</f>
        <v/>
      </c>
      <c r="I547" s="10">
        <f>IF(H547="","",INDEX(BANK_CLEAN!$B$2:$B$1001,H547))</f>
        <v/>
      </c>
      <c r="J547" s="14">
        <f>IF(H547="","",IF(F547="OUT",INDEX(BANK_CLEAN!$F$2:$F$1001,H547),INDEX(BANK_CLEAN!$E$2:$E$1001,H547)))</f>
        <v/>
      </c>
      <c r="K547" s="14">
        <f>IF(H547="","",ABS(E547-J547))</f>
        <v/>
      </c>
      <c r="L547" s="11">
        <f>IF(OR(H547="",B547="",I547=""),"",ABS(B547-I547))</f>
        <v/>
      </c>
      <c r="M547" s="15">
        <f>IF(H547="",0,LET(pct,IF(E547&gt;0,K547/E547,1),days,IFERROR(L547,999),100-pct*200-days*3))</f>
        <v/>
      </c>
      <c r="N547" s="11">
        <f>IF(A547="","",IF(H547="","Unmatched GL",IF(AND(K547&lt;=Tol_Amount,L547&lt;=Tol_Days),"Matched",IF(M547&gt;Tol_NearPct,"Near Match","Unmatched GL"))))</f>
        <v/>
      </c>
    </row>
    <row r="548">
      <c r="A548" s="13">
        <f>IF(GL_CLEAN!A548="","",GL_CLEAN!A548)</f>
        <v/>
      </c>
      <c r="B548" s="10">
        <f>IF(A548="","",GL_CLEAN!B548)</f>
        <v/>
      </c>
      <c r="C548" s="11">
        <f>IF(A548="","",GL_CLEAN!C548)</f>
        <v/>
      </c>
      <c r="D548" s="14">
        <f>IF(A548="","",GL_CLEAN!H548)</f>
        <v/>
      </c>
      <c r="E548" s="14">
        <f>IF(A548="","",GL_CLEAN!I548)</f>
        <v/>
      </c>
      <c r="F548" s="11">
        <f>IF(A548="","",GL_CLEAN!J548)</f>
        <v/>
      </c>
      <c r="G548" s="11">
        <f>IF(A548="","",IF(F548="OUT","DR","CR"))</f>
        <v/>
      </c>
      <c r="H548" s="11">
        <f>IF(A548="","",IFERROR(INDEX(BANK_CLEAN!$A$2:$A$1001,MATCH(MINIFS(BANK_CLEAN!$J$2:$J$1001,BANK_CLEAN!$H$2:$H$1001,G548,BANK_CLEAN!$L$2:$L$1001,""),BANK_CLEAN!$J$2:$J$1001,0)),""))</f>
        <v/>
      </c>
      <c r="I548" s="10">
        <f>IF(H548="","",INDEX(BANK_CLEAN!$B$2:$B$1001,H548))</f>
        <v/>
      </c>
      <c r="J548" s="14">
        <f>IF(H548="","",IF(F548="OUT",INDEX(BANK_CLEAN!$F$2:$F$1001,H548),INDEX(BANK_CLEAN!$E$2:$E$1001,H548)))</f>
        <v/>
      </c>
      <c r="K548" s="14">
        <f>IF(H548="","",ABS(E548-J548))</f>
        <v/>
      </c>
      <c r="L548" s="11">
        <f>IF(OR(H548="",B548="",I548=""),"",ABS(B548-I548))</f>
        <v/>
      </c>
      <c r="M548" s="15">
        <f>IF(H548="",0,LET(pct,IF(E548&gt;0,K548/E548,1),days,IFERROR(L548,999),100-pct*200-days*3))</f>
        <v/>
      </c>
      <c r="N548" s="11">
        <f>IF(A548="","",IF(H548="","Unmatched GL",IF(AND(K548&lt;=Tol_Amount,L548&lt;=Tol_Days),"Matched",IF(M548&gt;Tol_NearPct,"Near Match","Unmatched GL"))))</f>
        <v/>
      </c>
    </row>
    <row r="549">
      <c r="A549" s="13">
        <f>IF(GL_CLEAN!A549="","",GL_CLEAN!A549)</f>
        <v/>
      </c>
      <c r="B549" s="10">
        <f>IF(A549="","",GL_CLEAN!B549)</f>
        <v/>
      </c>
      <c r="C549" s="11">
        <f>IF(A549="","",GL_CLEAN!C549)</f>
        <v/>
      </c>
      <c r="D549" s="14">
        <f>IF(A549="","",GL_CLEAN!H549)</f>
        <v/>
      </c>
      <c r="E549" s="14">
        <f>IF(A549="","",GL_CLEAN!I549)</f>
        <v/>
      </c>
      <c r="F549" s="11">
        <f>IF(A549="","",GL_CLEAN!J549)</f>
        <v/>
      </c>
      <c r="G549" s="11">
        <f>IF(A549="","",IF(F549="OUT","DR","CR"))</f>
        <v/>
      </c>
      <c r="H549" s="11">
        <f>IF(A549="","",IFERROR(INDEX(BANK_CLEAN!$A$2:$A$1001,MATCH(MINIFS(BANK_CLEAN!$J$2:$J$1001,BANK_CLEAN!$H$2:$H$1001,G549,BANK_CLEAN!$L$2:$L$1001,""),BANK_CLEAN!$J$2:$J$1001,0)),""))</f>
        <v/>
      </c>
      <c r="I549" s="10">
        <f>IF(H549="","",INDEX(BANK_CLEAN!$B$2:$B$1001,H549))</f>
        <v/>
      </c>
      <c r="J549" s="14">
        <f>IF(H549="","",IF(F549="OUT",INDEX(BANK_CLEAN!$F$2:$F$1001,H549),INDEX(BANK_CLEAN!$E$2:$E$1001,H549)))</f>
        <v/>
      </c>
      <c r="K549" s="14">
        <f>IF(H549="","",ABS(E549-J549))</f>
        <v/>
      </c>
      <c r="L549" s="11">
        <f>IF(OR(H549="",B549="",I549=""),"",ABS(B549-I549))</f>
        <v/>
      </c>
      <c r="M549" s="15">
        <f>IF(H549="",0,LET(pct,IF(E549&gt;0,K549/E549,1),days,IFERROR(L549,999),100-pct*200-days*3))</f>
        <v/>
      </c>
      <c r="N549" s="11">
        <f>IF(A549="","",IF(H549="","Unmatched GL",IF(AND(K549&lt;=Tol_Amount,L549&lt;=Tol_Days),"Matched",IF(M549&gt;Tol_NearPct,"Near Match","Unmatched GL"))))</f>
        <v/>
      </c>
    </row>
    <row r="550">
      <c r="A550" s="13">
        <f>IF(GL_CLEAN!A550="","",GL_CLEAN!A550)</f>
        <v/>
      </c>
      <c r="B550" s="10">
        <f>IF(A550="","",GL_CLEAN!B550)</f>
        <v/>
      </c>
      <c r="C550" s="11">
        <f>IF(A550="","",GL_CLEAN!C550)</f>
        <v/>
      </c>
      <c r="D550" s="14">
        <f>IF(A550="","",GL_CLEAN!H550)</f>
        <v/>
      </c>
      <c r="E550" s="14">
        <f>IF(A550="","",GL_CLEAN!I550)</f>
        <v/>
      </c>
      <c r="F550" s="11">
        <f>IF(A550="","",GL_CLEAN!J550)</f>
        <v/>
      </c>
      <c r="G550" s="11">
        <f>IF(A550="","",IF(F550="OUT","DR","CR"))</f>
        <v/>
      </c>
      <c r="H550" s="11">
        <f>IF(A550="","",IFERROR(INDEX(BANK_CLEAN!$A$2:$A$1001,MATCH(MINIFS(BANK_CLEAN!$J$2:$J$1001,BANK_CLEAN!$H$2:$H$1001,G550,BANK_CLEAN!$L$2:$L$1001,""),BANK_CLEAN!$J$2:$J$1001,0)),""))</f>
        <v/>
      </c>
      <c r="I550" s="10">
        <f>IF(H550="","",INDEX(BANK_CLEAN!$B$2:$B$1001,H550))</f>
        <v/>
      </c>
      <c r="J550" s="14">
        <f>IF(H550="","",IF(F550="OUT",INDEX(BANK_CLEAN!$F$2:$F$1001,H550),INDEX(BANK_CLEAN!$E$2:$E$1001,H550)))</f>
        <v/>
      </c>
      <c r="K550" s="14">
        <f>IF(H550="","",ABS(E550-J550))</f>
        <v/>
      </c>
      <c r="L550" s="11">
        <f>IF(OR(H550="",B550="",I550=""),"",ABS(B550-I550))</f>
        <v/>
      </c>
      <c r="M550" s="15">
        <f>IF(H550="",0,LET(pct,IF(E550&gt;0,K550/E550,1),days,IFERROR(L550,999),100-pct*200-days*3))</f>
        <v/>
      </c>
      <c r="N550" s="11">
        <f>IF(A550="","",IF(H550="","Unmatched GL",IF(AND(K550&lt;=Tol_Amount,L550&lt;=Tol_Days),"Matched",IF(M550&gt;Tol_NearPct,"Near Match","Unmatched GL"))))</f>
        <v/>
      </c>
    </row>
    <row r="551">
      <c r="A551" s="13">
        <f>IF(GL_CLEAN!A551="","",GL_CLEAN!A551)</f>
        <v/>
      </c>
      <c r="B551" s="10">
        <f>IF(A551="","",GL_CLEAN!B551)</f>
        <v/>
      </c>
      <c r="C551" s="11">
        <f>IF(A551="","",GL_CLEAN!C551)</f>
        <v/>
      </c>
      <c r="D551" s="14">
        <f>IF(A551="","",GL_CLEAN!H551)</f>
        <v/>
      </c>
      <c r="E551" s="14">
        <f>IF(A551="","",GL_CLEAN!I551)</f>
        <v/>
      </c>
      <c r="F551" s="11">
        <f>IF(A551="","",GL_CLEAN!J551)</f>
        <v/>
      </c>
      <c r="G551" s="11">
        <f>IF(A551="","",IF(F551="OUT","DR","CR"))</f>
        <v/>
      </c>
      <c r="H551" s="11">
        <f>IF(A551="","",IFERROR(INDEX(BANK_CLEAN!$A$2:$A$1001,MATCH(MINIFS(BANK_CLEAN!$J$2:$J$1001,BANK_CLEAN!$H$2:$H$1001,G551,BANK_CLEAN!$L$2:$L$1001,""),BANK_CLEAN!$J$2:$J$1001,0)),""))</f>
        <v/>
      </c>
      <c r="I551" s="10">
        <f>IF(H551="","",INDEX(BANK_CLEAN!$B$2:$B$1001,H551))</f>
        <v/>
      </c>
      <c r="J551" s="14">
        <f>IF(H551="","",IF(F551="OUT",INDEX(BANK_CLEAN!$F$2:$F$1001,H551),INDEX(BANK_CLEAN!$E$2:$E$1001,H551)))</f>
        <v/>
      </c>
      <c r="K551" s="14">
        <f>IF(H551="","",ABS(E551-J551))</f>
        <v/>
      </c>
      <c r="L551" s="11">
        <f>IF(OR(H551="",B551="",I551=""),"",ABS(B551-I551))</f>
        <v/>
      </c>
      <c r="M551" s="15">
        <f>IF(H551="",0,LET(pct,IF(E551&gt;0,K551/E551,1),days,IFERROR(L551,999),100-pct*200-days*3))</f>
        <v/>
      </c>
      <c r="N551" s="11">
        <f>IF(A551="","",IF(H551="","Unmatched GL",IF(AND(K551&lt;=Tol_Amount,L551&lt;=Tol_Days),"Matched",IF(M551&gt;Tol_NearPct,"Near Match","Unmatched GL"))))</f>
        <v/>
      </c>
    </row>
    <row r="552">
      <c r="A552" s="13">
        <f>IF(GL_CLEAN!A552="","",GL_CLEAN!A552)</f>
        <v/>
      </c>
      <c r="B552" s="10">
        <f>IF(A552="","",GL_CLEAN!B552)</f>
        <v/>
      </c>
      <c r="C552" s="11">
        <f>IF(A552="","",GL_CLEAN!C552)</f>
        <v/>
      </c>
      <c r="D552" s="14">
        <f>IF(A552="","",GL_CLEAN!H552)</f>
        <v/>
      </c>
      <c r="E552" s="14">
        <f>IF(A552="","",GL_CLEAN!I552)</f>
        <v/>
      </c>
      <c r="F552" s="11">
        <f>IF(A552="","",GL_CLEAN!J552)</f>
        <v/>
      </c>
      <c r="G552" s="11">
        <f>IF(A552="","",IF(F552="OUT","DR","CR"))</f>
        <v/>
      </c>
      <c r="H552" s="11">
        <f>IF(A552="","",IFERROR(INDEX(BANK_CLEAN!$A$2:$A$1001,MATCH(MINIFS(BANK_CLEAN!$J$2:$J$1001,BANK_CLEAN!$H$2:$H$1001,G552,BANK_CLEAN!$L$2:$L$1001,""),BANK_CLEAN!$J$2:$J$1001,0)),""))</f>
        <v/>
      </c>
      <c r="I552" s="10">
        <f>IF(H552="","",INDEX(BANK_CLEAN!$B$2:$B$1001,H552))</f>
        <v/>
      </c>
      <c r="J552" s="14">
        <f>IF(H552="","",IF(F552="OUT",INDEX(BANK_CLEAN!$F$2:$F$1001,H552),INDEX(BANK_CLEAN!$E$2:$E$1001,H552)))</f>
        <v/>
      </c>
      <c r="K552" s="14">
        <f>IF(H552="","",ABS(E552-J552))</f>
        <v/>
      </c>
      <c r="L552" s="11">
        <f>IF(OR(H552="",B552="",I552=""),"",ABS(B552-I552))</f>
        <v/>
      </c>
      <c r="M552" s="15">
        <f>IF(H552="",0,LET(pct,IF(E552&gt;0,K552/E552,1),days,IFERROR(L552,999),100-pct*200-days*3))</f>
        <v/>
      </c>
      <c r="N552" s="11">
        <f>IF(A552="","",IF(H552="","Unmatched GL",IF(AND(K552&lt;=Tol_Amount,L552&lt;=Tol_Days),"Matched",IF(M552&gt;Tol_NearPct,"Near Match","Unmatched GL"))))</f>
        <v/>
      </c>
    </row>
    <row r="553">
      <c r="A553" s="13">
        <f>IF(GL_CLEAN!A553="","",GL_CLEAN!A553)</f>
        <v/>
      </c>
      <c r="B553" s="10">
        <f>IF(A553="","",GL_CLEAN!B553)</f>
        <v/>
      </c>
      <c r="C553" s="11">
        <f>IF(A553="","",GL_CLEAN!C553)</f>
        <v/>
      </c>
      <c r="D553" s="14">
        <f>IF(A553="","",GL_CLEAN!H553)</f>
        <v/>
      </c>
      <c r="E553" s="14">
        <f>IF(A553="","",GL_CLEAN!I553)</f>
        <v/>
      </c>
      <c r="F553" s="11">
        <f>IF(A553="","",GL_CLEAN!J553)</f>
        <v/>
      </c>
      <c r="G553" s="11">
        <f>IF(A553="","",IF(F553="OUT","DR","CR"))</f>
        <v/>
      </c>
      <c r="H553" s="11">
        <f>IF(A553="","",IFERROR(INDEX(BANK_CLEAN!$A$2:$A$1001,MATCH(MINIFS(BANK_CLEAN!$J$2:$J$1001,BANK_CLEAN!$H$2:$H$1001,G553,BANK_CLEAN!$L$2:$L$1001,""),BANK_CLEAN!$J$2:$J$1001,0)),""))</f>
        <v/>
      </c>
      <c r="I553" s="10">
        <f>IF(H553="","",INDEX(BANK_CLEAN!$B$2:$B$1001,H553))</f>
        <v/>
      </c>
      <c r="J553" s="14">
        <f>IF(H553="","",IF(F553="OUT",INDEX(BANK_CLEAN!$F$2:$F$1001,H553),INDEX(BANK_CLEAN!$E$2:$E$1001,H553)))</f>
        <v/>
      </c>
      <c r="K553" s="14">
        <f>IF(H553="","",ABS(E553-J553))</f>
        <v/>
      </c>
      <c r="L553" s="11">
        <f>IF(OR(H553="",B553="",I553=""),"",ABS(B553-I553))</f>
        <v/>
      </c>
      <c r="M553" s="15">
        <f>IF(H553="",0,LET(pct,IF(E553&gt;0,K553/E553,1),days,IFERROR(L553,999),100-pct*200-days*3))</f>
        <v/>
      </c>
      <c r="N553" s="11">
        <f>IF(A553="","",IF(H553="","Unmatched GL",IF(AND(K553&lt;=Tol_Amount,L553&lt;=Tol_Days),"Matched",IF(M553&gt;Tol_NearPct,"Near Match","Unmatched GL"))))</f>
        <v/>
      </c>
    </row>
    <row r="554">
      <c r="A554" s="13">
        <f>IF(GL_CLEAN!A554="","",GL_CLEAN!A554)</f>
        <v/>
      </c>
      <c r="B554" s="10">
        <f>IF(A554="","",GL_CLEAN!B554)</f>
        <v/>
      </c>
      <c r="C554" s="11">
        <f>IF(A554="","",GL_CLEAN!C554)</f>
        <v/>
      </c>
      <c r="D554" s="14">
        <f>IF(A554="","",GL_CLEAN!H554)</f>
        <v/>
      </c>
      <c r="E554" s="14">
        <f>IF(A554="","",GL_CLEAN!I554)</f>
        <v/>
      </c>
      <c r="F554" s="11">
        <f>IF(A554="","",GL_CLEAN!J554)</f>
        <v/>
      </c>
      <c r="G554" s="11">
        <f>IF(A554="","",IF(F554="OUT","DR","CR"))</f>
        <v/>
      </c>
      <c r="H554" s="11">
        <f>IF(A554="","",IFERROR(INDEX(BANK_CLEAN!$A$2:$A$1001,MATCH(MINIFS(BANK_CLEAN!$J$2:$J$1001,BANK_CLEAN!$H$2:$H$1001,G554,BANK_CLEAN!$L$2:$L$1001,""),BANK_CLEAN!$J$2:$J$1001,0)),""))</f>
        <v/>
      </c>
      <c r="I554" s="10">
        <f>IF(H554="","",INDEX(BANK_CLEAN!$B$2:$B$1001,H554))</f>
        <v/>
      </c>
      <c r="J554" s="14">
        <f>IF(H554="","",IF(F554="OUT",INDEX(BANK_CLEAN!$F$2:$F$1001,H554),INDEX(BANK_CLEAN!$E$2:$E$1001,H554)))</f>
        <v/>
      </c>
      <c r="K554" s="14">
        <f>IF(H554="","",ABS(E554-J554))</f>
        <v/>
      </c>
      <c r="L554" s="11">
        <f>IF(OR(H554="",B554="",I554=""),"",ABS(B554-I554))</f>
        <v/>
      </c>
      <c r="M554" s="15">
        <f>IF(H554="",0,LET(pct,IF(E554&gt;0,K554/E554,1),days,IFERROR(L554,999),100-pct*200-days*3))</f>
        <v/>
      </c>
      <c r="N554" s="11">
        <f>IF(A554="","",IF(H554="","Unmatched GL",IF(AND(K554&lt;=Tol_Amount,L554&lt;=Tol_Days),"Matched",IF(M554&gt;Tol_NearPct,"Near Match","Unmatched GL"))))</f>
        <v/>
      </c>
    </row>
    <row r="555">
      <c r="A555" s="13">
        <f>IF(GL_CLEAN!A555="","",GL_CLEAN!A555)</f>
        <v/>
      </c>
      <c r="B555" s="10">
        <f>IF(A555="","",GL_CLEAN!B555)</f>
        <v/>
      </c>
      <c r="C555" s="11">
        <f>IF(A555="","",GL_CLEAN!C555)</f>
        <v/>
      </c>
      <c r="D555" s="14">
        <f>IF(A555="","",GL_CLEAN!H555)</f>
        <v/>
      </c>
      <c r="E555" s="14">
        <f>IF(A555="","",GL_CLEAN!I555)</f>
        <v/>
      </c>
      <c r="F555" s="11">
        <f>IF(A555="","",GL_CLEAN!J555)</f>
        <v/>
      </c>
      <c r="G555" s="11">
        <f>IF(A555="","",IF(F555="OUT","DR","CR"))</f>
        <v/>
      </c>
      <c r="H555" s="11">
        <f>IF(A555="","",IFERROR(INDEX(BANK_CLEAN!$A$2:$A$1001,MATCH(MINIFS(BANK_CLEAN!$J$2:$J$1001,BANK_CLEAN!$H$2:$H$1001,G555,BANK_CLEAN!$L$2:$L$1001,""),BANK_CLEAN!$J$2:$J$1001,0)),""))</f>
        <v/>
      </c>
      <c r="I555" s="10">
        <f>IF(H555="","",INDEX(BANK_CLEAN!$B$2:$B$1001,H555))</f>
        <v/>
      </c>
      <c r="J555" s="14">
        <f>IF(H555="","",IF(F555="OUT",INDEX(BANK_CLEAN!$F$2:$F$1001,H555),INDEX(BANK_CLEAN!$E$2:$E$1001,H555)))</f>
        <v/>
      </c>
      <c r="K555" s="14">
        <f>IF(H555="","",ABS(E555-J555))</f>
        <v/>
      </c>
      <c r="L555" s="11">
        <f>IF(OR(H555="",B555="",I555=""),"",ABS(B555-I555))</f>
        <v/>
      </c>
      <c r="M555" s="15">
        <f>IF(H555="",0,LET(pct,IF(E555&gt;0,K555/E555,1),days,IFERROR(L555,999),100-pct*200-days*3))</f>
        <v/>
      </c>
      <c r="N555" s="11">
        <f>IF(A555="","",IF(H555="","Unmatched GL",IF(AND(K555&lt;=Tol_Amount,L555&lt;=Tol_Days),"Matched",IF(M555&gt;Tol_NearPct,"Near Match","Unmatched GL"))))</f>
        <v/>
      </c>
    </row>
    <row r="556">
      <c r="A556" s="13">
        <f>IF(GL_CLEAN!A556="","",GL_CLEAN!A556)</f>
        <v/>
      </c>
      <c r="B556" s="10">
        <f>IF(A556="","",GL_CLEAN!B556)</f>
        <v/>
      </c>
      <c r="C556" s="11">
        <f>IF(A556="","",GL_CLEAN!C556)</f>
        <v/>
      </c>
      <c r="D556" s="14">
        <f>IF(A556="","",GL_CLEAN!H556)</f>
        <v/>
      </c>
      <c r="E556" s="14">
        <f>IF(A556="","",GL_CLEAN!I556)</f>
        <v/>
      </c>
      <c r="F556" s="11">
        <f>IF(A556="","",GL_CLEAN!J556)</f>
        <v/>
      </c>
      <c r="G556" s="11">
        <f>IF(A556="","",IF(F556="OUT","DR","CR"))</f>
        <v/>
      </c>
      <c r="H556" s="11">
        <f>IF(A556="","",IFERROR(INDEX(BANK_CLEAN!$A$2:$A$1001,MATCH(MINIFS(BANK_CLEAN!$J$2:$J$1001,BANK_CLEAN!$H$2:$H$1001,G556,BANK_CLEAN!$L$2:$L$1001,""),BANK_CLEAN!$J$2:$J$1001,0)),""))</f>
        <v/>
      </c>
      <c r="I556" s="10">
        <f>IF(H556="","",INDEX(BANK_CLEAN!$B$2:$B$1001,H556))</f>
        <v/>
      </c>
      <c r="J556" s="14">
        <f>IF(H556="","",IF(F556="OUT",INDEX(BANK_CLEAN!$F$2:$F$1001,H556),INDEX(BANK_CLEAN!$E$2:$E$1001,H556)))</f>
        <v/>
      </c>
      <c r="K556" s="14">
        <f>IF(H556="","",ABS(E556-J556))</f>
        <v/>
      </c>
      <c r="L556" s="11">
        <f>IF(OR(H556="",B556="",I556=""),"",ABS(B556-I556))</f>
        <v/>
      </c>
      <c r="M556" s="15">
        <f>IF(H556="",0,LET(pct,IF(E556&gt;0,K556/E556,1),days,IFERROR(L556,999),100-pct*200-days*3))</f>
        <v/>
      </c>
      <c r="N556" s="11">
        <f>IF(A556="","",IF(H556="","Unmatched GL",IF(AND(K556&lt;=Tol_Amount,L556&lt;=Tol_Days),"Matched",IF(M556&gt;Tol_NearPct,"Near Match","Unmatched GL"))))</f>
        <v/>
      </c>
    </row>
    <row r="557">
      <c r="A557" s="13">
        <f>IF(GL_CLEAN!A557="","",GL_CLEAN!A557)</f>
        <v/>
      </c>
      <c r="B557" s="10">
        <f>IF(A557="","",GL_CLEAN!B557)</f>
        <v/>
      </c>
      <c r="C557" s="11">
        <f>IF(A557="","",GL_CLEAN!C557)</f>
        <v/>
      </c>
      <c r="D557" s="14">
        <f>IF(A557="","",GL_CLEAN!H557)</f>
        <v/>
      </c>
      <c r="E557" s="14">
        <f>IF(A557="","",GL_CLEAN!I557)</f>
        <v/>
      </c>
      <c r="F557" s="11">
        <f>IF(A557="","",GL_CLEAN!J557)</f>
        <v/>
      </c>
      <c r="G557" s="11">
        <f>IF(A557="","",IF(F557="OUT","DR","CR"))</f>
        <v/>
      </c>
      <c r="H557" s="11">
        <f>IF(A557="","",IFERROR(INDEX(BANK_CLEAN!$A$2:$A$1001,MATCH(MINIFS(BANK_CLEAN!$J$2:$J$1001,BANK_CLEAN!$H$2:$H$1001,G557,BANK_CLEAN!$L$2:$L$1001,""),BANK_CLEAN!$J$2:$J$1001,0)),""))</f>
        <v/>
      </c>
      <c r="I557" s="10">
        <f>IF(H557="","",INDEX(BANK_CLEAN!$B$2:$B$1001,H557))</f>
        <v/>
      </c>
      <c r="J557" s="14">
        <f>IF(H557="","",IF(F557="OUT",INDEX(BANK_CLEAN!$F$2:$F$1001,H557),INDEX(BANK_CLEAN!$E$2:$E$1001,H557)))</f>
        <v/>
      </c>
      <c r="K557" s="14">
        <f>IF(H557="","",ABS(E557-J557))</f>
        <v/>
      </c>
      <c r="L557" s="11">
        <f>IF(OR(H557="",B557="",I557=""),"",ABS(B557-I557))</f>
        <v/>
      </c>
      <c r="M557" s="15">
        <f>IF(H557="",0,LET(pct,IF(E557&gt;0,K557/E557,1),days,IFERROR(L557,999),100-pct*200-days*3))</f>
        <v/>
      </c>
      <c r="N557" s="11">
        <f>IF(A557="","",IF(H557="","Unmatched GL",IF(AND(K557&lt;=Tol_Amount,L557&lt;=Tol_Days),"Matched",IF(M557&gt;Tol_NearPct,"Near Match","Unmatched GL"))))</f>
        <v/>
      </c>
    </row>
    <row r="558">
      <c r="A558" s="13">
        <f>IF(GL_CLEAN!A558="","",GL_CLEAN!A558)</f>
        <v/>
      </c>
      <c r="B558" s="10">
        <f>IF(A558="","",GL_CLEAN!B558)</f>
        <v/>
      </c>
      <c r="C558" s="11">
        <f>IF(A558="","",GL_CLEAN!C558)</f>
        <v/>
      </c>
      <c r="D558" s="14">
        <f>IF(A558="","",GL_CLEAN!H558)</f>
        <v/>
      </c>
      <c r="E558" s="14">
        <f>IF(A558="","",GL_CLEAN!I558)</f>
        <v/>
      </c>
      <c r="F558" s="11">
        <f>IF(A558="","",GL_CLEAN!J558)</f>
        <v/>
      </c>
      <c r="G558" s="11">
        <f>IF(A558="","",IF(F558="OUT","DR","CR"))</f>
        <v/>
      </c>
      <c r="H558" s="11">
        <f>IF(A558="","",IFERROR(INDEX(BANK_CLEAN!$A$2:$A$1001,MATCH(MINIFS(BANK_CLEAN!$J$2:$J$1001,BANK_CLEAN!$H$2:$H$1001,G558,BANK_CLEAN!$L$2:$L$1001,""),BANK_CLEAN!$J$2:$J$1001,0)),""))</f>
        <v/>
      </c>
      <c r="I558" s="10">
        <f>IF(H558="","",INDEX(BANK_CLEAN!$B$2:$B$1001,H558))</f>
        <v/>
      </c>
      <c r="J558" s="14">
        <f>IF(H558="","",IF(F558="OUT",INDEX(BANK_CLEAN!$F$2:$F$1001,H558),INDEX(BANK_CLEAN!$E$2:$E$1001,H558)))</f>
        <v/>
      </c>
      <c r="K558" s="14">
        <f>IF(H558="","",ABS(E558-J558))</f>
        <v/>
      </c>
      <c r="L558" s="11">
        <f>IF(OR(H558="",B558="",I558=""),"",ABS(B558-I558))</f>
        <v/>
      </c>
      <c r="M558" s="15">
        <f>IF(H558="",0,LET(pct,IF(E558&gt;0,K558/E558,1),days,IFERROR(L558,999),100-pct*200-days*3))</f>
        <v/>
      </c>
      <c r="N558" s="11">
        <f>IF(A558="","",IF(H558="","Unmatched GL",IF(AND(K558&lt;=Tol_Amount,L558&lt;=Tol_Days),"Matched",IF(M558&gt;Tol_NearPct,"Near Match","Unmatched GL"))))</f>
        <v/>
      </c>
    </row>
    <row r="559">
      <c r="A559" s="13">
        <f>IF(GL_CLEAN!A559="","",GL_CLEAN!A559)</f>
        <v/>
      </c>
      <c r="B559" s="10">
        <f>IF(A559="","",GL_CLEAN!B559)</f>
        <v/>
      </c>
      <c r="C559" s="11">
        <f>IF(A559="","",GL_CLEAN!C559)</f>
        <v/>
      </c>
      <c r="D559" s="14">
        <f>IF(A559="","",GL_CLEAN!H559)</f>
        <v/>
      </c>
      <c r="E559" s="14">
        <f>IF(A559="","",GL_CLEAN!I559)</f>
        <v/>
      </c>
      <c r="F559" s="11">
        <f>IF(A559="","",GL_CLEAN!J559)</f>
        <v/>
      </c>
      <c r="G559" s="11">
        <f>IF(A559="","",IF(F559="OUT","DR","CR"))</f>
        <v/>
      </c>
      <c r="H559" s="11">
        <f>IF(A559="","",IFERROR(INDEX(BANK_CLEAN!$A$2:$A$1001,MATCH(MINIFS(BANK_CLEAN!$J$2:$J$1001,BANK_CLEAN!$H$2:$H$1001,G559,BANK_CLEAN!$L$2:$L$1001,""),BANK_CLEAN!$J$2:$J$1001,0)),""))</f>
        <v/>
      </c>
      <c r="I559" s="10">
        <f>IF(H559="","",INDEX(BANK_CLEAN!$B$2:$B$1001,H559))</f>
        <v/>
      </c>
      <c r="J559" s="14">
        <f>IF(H559="","",IF(F559="OUT",INDEX(BANK_CLEAN!$F$2:$F$1001,H559),INDEX(BANK_CLEAN!$E$2:$E$1001,H559)))</f>
        <v/>
      </c>
      <c r="K559" s="14">
        <f>IF(H559="","",ABS(E559-J559))</f>
        <v/>
      </c>
      <c r="L559" s="11">
        <f>IF(OR(H559="",B559="",I559=""),"",ABS(B559-I559))</f>
        <v/>
      </c>
      <c r="M559" s="15">
        <f>IF(H559="",0,LET(pct,IF(E559&gt;0,K559/E559,1),days,IFERROR(L559,999),100-pct*200-days*3))</f>
        <v/>
      </c>
      <c r="N559" s="11">
        <f>IF(A559="","",IF(H559="","Unmatched GL",IF(AND(K559&lt;=Tol_Amount,L559&lt;=Tol_Days),"Matched",IF(M559&gt;Tol_NearPct,"Near Match","Unmatched GL"))))</f>
        <v/>
      </c>
    </row>
    <row r="560">
      <c r="A560" s="13">
        <f>IF(GL_CLEAN!A560="","",GL_CLEAN!A560)</f>
        <v/>
      </c>
      <c r="B560" s="10">
        <f>IF(A560="","",GL_CLEAN!B560)</f>
        <v/>
      </c>
      <c r="C560" s="11">
        <f>IF(A560="","",GL_CLEAN!C560)</f>
        <v/>
      </c>
      <c r="D560" s="14">
        <f>IF(A560="","",GL_CLEAN!H560)</f>
        <v/>
      </c>
      <c r="E560" s="14">
        <f>IF(A560="","",GL_CLEAN!I560)</f>
        <v/>
      </c>
      <c r="F560" s="11">
        <f>IF(A560="","",GL_CLEAN!J560)</f>
        <v/>
      </c>
      <c r="G560" s="11">
        <f>IF(A560="","",IF(F560="OUT","DR","CR"))</f>
        <v/>
      </c>
      <c r="H560" s="11">
        <f>IF(A560="","",IFERROR(INDEX(BANK_CLEAN!$A$2:$A$1001,MATCH(MINIFS(BANK_CLEAN!$J$2:$J$1001,BANK_CLEAN!$H$2:$H$1001,G560,BANK_CLEAN!$L$2:$L$1001,""),BANK_CLEAN!$J$2:$J$1001,0)),""))</f>
        <v/>
      </c>
      <c r="I560" s="10">
        <f>IF(H560="","",INDEX(BANK_CLEAN!$B$2:$B$1001,H560))</f>
        <v/>
      </c>
      <c r="J560" s="14">
        <f>IF(H560="","",IF(F560="OUT",INDEX(BANK_CLEAN!$F$2:$F$1001,H560),INDEX(BANK_CLEAN!$E$2:$E$1001,H560)))</f>
        <v/>
      </c>
      <c r="K560" s="14">
        <f>IF(H560="","",ABS(E560-J560))</f>
        <v/>
      </c>
      <c r="L560" s="11">
        <f>IF(OR(H560="",B560="",I560=""),"",ABS(B560-I560))</f>
        <v/>
      </c>
      <c r="M560" s="15">
        <f>IF(H560="",0,LET(pct,IF(E560&gt;0,K560/E560,1),days,IFERROR(L560,999),100-pct*200-days*3))</f>
        <v/>
      </c>
      <c r="N560" s="11">
        <f>IF(A560="","",IF(H560="","Unmatched GL",IF(AND(K560&lt;=Tol_Amount,L560&lt;=Tol_Days),"Matched",IF(M560&gt;Tol_NearPct,"Near Match","Unmatched GL"))))</f>
        <v/>
      </c>
    </row>
    <row r="561">
      <c r="A561" s="13">
        <f>IF(GL_CLEAN!A561="","",GL_CLEAN!A561)</f>
        <v/>
      </c>
      <c r="B561" s="10">
        <f>IF(A561="","",GL_CLEAN!B561)</f>
        <v/>
      </c>
      <c r="C561" s="11">
        <f>IF(A561="","",GL_CLEAN!C561)</f>
        <v/>
      </c>
      <c r="D561" s="14">
        <f>IF(A561="","",GL_CLEAN!H561)</f>
        <v/>
      </c>
      <c r="E561" s="14">
        <f>IF(A561="","",GL_CLEAN!I561)</f>
        <v/>
      </c>
      <c r="F561" s="11">
        <f>IF(A561="","",GL_CLEAN!J561)</f>
        <v/>
      </c>
      <c r="G561" s="11">
        <f>IF(A561="","",IF(F561="OUT","DR","CR"))</f>
        <v/>
      </c>
      <c r="H561" s="11">
        <f>IF(A561="","",IFERROR(INDEX(BANK_CLEAN!$A$2:$A$1001,MATCH(MINIFS(BANK_CLEAN!$J$2:$J$1001,BANK_CLEAN!$H$2:$H$1001,G561,BANK_CLEAN!$L$2:$L$1001,""),BANK_CLEAN!$J$2:$J$1001,0)),""))</f>
        <v/>
      </c>
      <c r="I561" s="10">
        <f>IF(H561="","",INDEX(BANK_CLEAN!$B$2:$B$1001,H561))</f>
        <v/>
      </c>
      <c r="J561" s="14">
        <f>IF(H561="","",IF(F561="OUT",INDEX(BANK_CLEAN!$F$2:$F$1001,H561),INDEX(BANK_CLEAN!$E$2:$E$1001,H561)))</f>
        <v/>
      </c>
      <c r="K561" s="14">
        <f>IF(H561="","",ABS(E561-J561))</f>
        <v/>
      </c>
      <c r="L561" s="11">
        <f>IF(OR(H561="",B561="",I561=""),"",ABS(B561-I561))</f>
        <v/>
      </c>
      <c r="M561" s="15">
        <f>IF(H561="",0,LET(pct,IF(E561&gt;0,K561/E561,1),days,IFERROR(L561,999),100-pct*200-days*3))</f>
        <v/>
      </c>
      <c r="N561" s="11">
        <f>IF(A561="","",IF(H561="","Unmatched GL",IF(AND(K561&lt;=Tol_Amount,L561&lt;=Tol_Days),"Matched",IF(M561&gt;Tol_NearPct,"Near Match","Unmatched GL"))))</f>
        <v/>
      </c>
    </row>
    <row r="562">
      <c r="A562" s="13">
        <f>IF(GL_CLEAN!A562="","",GL_CLEAN!A562)</f>
        <v/>
      </c>
      <c r="B562" s="10">
        <f>IF(A562="","",GL_CLEAN!B562)</f>
        <v/>
      </c>
      <c r="C562" s="11">
        <f>IF(A562="","",GL_CLEAN!C562)</f>
        <v/>
      </c>
      <c r="D562" s="14">
        <f>IF(A562="","",GL_CLEAN!H562)</f>
        <v/>
      </c>
      <c r="E562" s="14">
        <f>IF(A562="","",GL_CLEAN!I562)</f>
        <v/>
      </c>
      <c r="F562" s="11">
        <f>IF(A562="","",GL_CLEAN!J562)</f>
        <v/>
      </c>
      <c r="G562" s="11">
        <f>IF(A562="","",IF(F562="OUT","DR","CR"))</f>
        <v/>
      </c>
      <c r="H562" s="11">
        <f>IF(A562="","",IFERROR(INDEX(BANK_CLEAN!$A$2:$A$1001,MATCH(MINIFS(BANK_CLEAN!$J$2:$J$1001,BANK_CLEAN!$H$2:$H$1001,G562,BANK_CLEAN!$L$2:$L$1001,""),BANK_CLEAN!$J$2:$J$1001,0)),""))</f>
        <v/>
      </c>
      <c r="I562" s="10">
        <f>IF(H562="","",INDEX(BANK_CLEAN!$B$2:$B$1001,H562))</f>
        <v/>
      </c>
      <c r="J562" s="14">
        <f>IF(H562="","",IF(F562="OUT",INDEX(BANK_CLEAN!$F$2:$F$1001,H562),INDEX(BANK_CLEAN!$E$2:$E$1001,H562)))</f>
        <v/>
      </c>
      <c r="K562" s="14">
        <f>IF(H562="","",ABS(E562-J562))</f>
        <v/>
      </c>
      <c r="L562" s="11">
        <f>IF(OR(H562="",B562="",I562=""),"",ABS(B562-I562))</f>
        <v/>
      </c>
      <c r="M562" s="15">
        <f>IF(H562="",0,LET(pct,IF(E562&gt;0,K562/E562,1),days,IFERROR(L562,999),100-pct*200-days*3))</f>
        <v/>
      </c>
      <c r="N562" s="11">
        <f>IF(A562="","",IF(H562="","Unmatched GL",IF(AND(K562&lt;=Tol_Amount,L562&lt;=Tol_Days),"Matched",IF(M562&gt;Tol_NearPct,"Near Match","Unmatched GL"))))</f>
        <v/>
      </c>
    </row>
    <row r="563">
      <c r="A563" s="13">
        <f>IF(GL_CLEAN!A563="","",GL_CLEAN!A563)</f>
        <v/>
      </c>
      <c r="B563" s="10">
        <f>IF(A563="","",GL_CLEAN!B563)</f>
        <v/>
      </c>
      <c r="C563" s="11">
        <f>IF(A563="","",GL_CLEAN!C563)</f>
        <v/>
      </c>
      <c r="D563" s="14">
        <f>IF(A563="","",GL_CLEAN!H563)</f>
        <v/>
      </c>
      <c r="E563" s="14">
        <f>IF(A563="","",GL_CLEAN!I563)</f>
        <v/>
      </c>
      <c r="F563" s="11">
        <f>IF(A563="","",GL_CLEAN!J563)</f>
        <v/>
      </c>
      <c r="G563" s="11">
        <f>IF(A563="","",IF(F563="OUT","DR","CR"))</f>
        <v/>
      </c>
      <c r="H563" s="11">
        <f>IF(A563="","",IFERROR(INDEX(BANK_CLEAN!$A$2:$A$1001,MATCH(MINIFS(BANK_CLEAN!$J$2:$J$1001,BANK_CLEAN!$H$2:$H$1001,G563,BANK_CLEAN!$L$2:$L$1001,""),BANK_CLEAN!$J$2:$J$1001,0)),""))</f>
        <v/>
      </c>
      <c r="I563" s="10">
        <f>IF(H563="","",INDEX(BANK_CLEAN!$B$2:$B$1001,H563))</f>
        <v/>
      </c>
      <c r="J563" s="14">
        <f>IF(H563="","",IF(F563="OUT",INDEX(BANK_CLEAN!$F$2:$F$1001,H563),INDEX(BANK_CLEAN!$E$2:$E$1001,H563)))</f>
        <v/>
      </c>
      <c r="K563" s="14">
        <f>IF(H563="","",ABS(E563-J563))</f>
        <v/>
      </c>
      <c r="L563" s="11">
        <f>IF(OR(H563="",B563="",I563=""),"",ABS(B563-I563))</f>
        <v/>
      </c>
      <c r="M563" s="15">
        <f>IF(H563="",0,LET(pct,IF(E563&gt;0,K563/E563,1),days,IFERROR(L563,999),100-pct*200-days*3))</f>
        <v/>
      </c>
      <c r="N563" s="11">
        <f>IF(A563="","",IF(H563="","Unmatched GL",IF(AND(K563&lt;=Tol_Amount,L563&lt;=Tol_Days),"Matched",IF(M563&gt;Tol_NearPct,"Near Match","Unmatched GL"))))</f>
        <v/>
      </c>
    </row>
    <row r="564">
      <c r="A564" s="13">
        <f>IF(GL_CLEAN!A564="","",GL_CLEAN!A564)</f>
        <v/>
      </c>
      <c r="B564" s="10">
        <f>IF(A564="","",GL_CLEAN!B564)</f>
        <v/>
      </c>
      <c r="C564" s="11">
        <f>IF(A564="","",GL_CLEAN!C564)</f>
        <v/>
      </c>
      <c r="D564" s="14">
        <f>IF(A564="","",GL_CLEAN!H564)</f>
        <v/>
      </c>
      <c r="E564" s="14">
        <f>IF(A564="","",GL_CLEAN!I564)</f>
        <v/>
      </c>
      <c r="F564" s="11">
        <f>IF(A564="","",GL_CLEAN!J564)</f>
        <v/>
      </c>
      <c r="G564" s="11">
        <f>IF(A564="","",IF(F564="OUT","DR","CR"))</f>
        <v/>
      </c>
      <c r="H564" s="11">
        <f>IF(A564="","",IFERROR(INDEX(BANK_CLEAN!$A$2:$A$1001,MATCH(MINIFS(BANK_CLEAN!$J$2:$J$1001,BANK_CLEAN!$H$2:$H$1001,G564,BANK_CLEAN!$L$2:$L$1001,""),BANK_CLEAN!$J$2:$J$1001,0)),""))</f>
        <v/>
      </c>
      <c r="I564" s="10">
        <f>IF(H564="","",INDEX(BANK_CLEAN!$B$2:$B$1001,H564))</f>
        <v/>
      </c>
      <c r="J564" s="14">
        <f>IF(H564="","",IF(F564="OUT",INDEX(BANK_CLEAN!$F$2:$F$1001,H564),INDEX(BANK_CLEAN!$E$2:$E$1001,H564)))</f>
        <v/>
      </c>
      <c r="K564" s="14">
        <f>IF(H564="","",ABS(E564-J564))</f>
        <v/>
      </c>
      <c r="L564" s="11">
        <f>IF(OR(H564="",B564="",I564=""),"",ABS(B564-I564))</f>
        <v/>
      </c>
      <c r="M564" s="15">
        <f>IF(H564="",0,LET(pct,IF(E564&gt;0,K564/E564,1),days,IFERROR(L564,999),100-pct*200-days*3))</f>
        <v/>
      </c>
      <c r="N564" s="11">
        <f>IF(A564="","",IF(H564="","Unmatched GL",IF(AND(K564&lt;=Tol_Amount,L564&lt;=Tol_Days),"Matched",IF(M564&gt;Tol_NearPct,"Near Match","Unmatched GL"))))</f>
        <v/>
      </c>
    </row>
    <row r="565">
      <c r="A565" s="13">
        <f>IF(GL_CLEAN!A565="","",GL_CLEAN!A565)</f>
        <v/>
      </c>
      <c r="B565" s="10">
        <f>IF(A565="","",GL_CLEAN!B565)</f>
        <v/>
      </c>
      <c r="C565" s="11">
        <f>IF(A565="","",GL_CLEAN!C565)</f>
        <v/>
      </c>
      <c r="D565" s="14">
        <f>IF(A565="","",GL_CLEAN!H565)</f>
        <v/>
      </c>
      <c r="E565" s="14">
        <f>IF(A565="","",GL_CLEAN!I565)</f>
        <v/>
      </c>
      <c r="F565" s="11">
        <f>IF(A565="","",GL_CLEAN!J565)</f>
        <v/>
      </c>
      <c r="G565" s="11">
        <f>IF(A565="","",IF(F565="OUT","DR","CR"))</f>
        <v/>
      </c>
      <c r="H565" s="11">
        <f>IF(A565="","",IFERROR(INDEX(BANK_CLEAN!$A$2:$A$1001,MATCH(MINIFS(BANK_CLEAN!$J$2:$J$1001,BANK_CLEAN!$H$2:$H$1001,G565,BANK_CLEAN!$L$2:$L$1001,""),BANK_CLEAN!$J$2:$J$1001,0)),""))</f>
        <v/>
      </c>
      <c r="I565" s="10">
        <f>IF(H565="","",INDEX(BANK_CLEAN!$B$2:$B$1001,H565))</f>
        <v/>
      </c>
      <c r="J565" s="14">
        <f>IF(H565="","",IF(F565="OUT",INDEX(BANK_CLEAN!$F$2:$F$1001,H565),INDEX(BANK_CLEAN!$E$2:$E$1001,H565)))</f>
        <v/>
      </c>
      <c r="K565" s="14">
        <f>IF(H565="","",ABS(E565-J565))</f>
        <v/>
      </c>
      <c r="L565" s="11">
        <f>IF(OR(H565="",B565="",I565=""),"",ABS(B565-I565))</f>
        <v/>
      </c>
      <c r="M565" s="15">
        <f>IF(H565="",0,LET(pct,IF(E565&gt;0,K565/E565,1),days,IFERROR(L565,999),100-pct*200-days*3))</f>
        <v/>
      </c>
      <c r="N565" s="11">
        <f>IF(A565="","",IF(H565="","Unmatched GL",IF(AND(K565&lt;=Tol_Amount,L565&lt;=Tol_Days),"Matched",IF(M565&gt;Tol_NearPct,"Near Match","Unmatched GL"))))</f>
        <v/>
      </c>
    </row>
    <row r="566">
      <c r="A566" s="13">
        <f>IF(GL_CLEAN!A566="","",GL_CLEAN!A566)</f>
        <v/>
      </c>
      <c r="B566" s="10">
        <f>IF(A566="","",GL_CLEAN!B566)</f>
        <v/>
      </c>
      <c r="C566" s="11">
        <f>IF(A566="","",GL_CLEAN!C566)</f>
        <v/>
      </c>
      <c r="D566" s="14">
        <f>IF(A566="","",GL_CLEAN!H566)</f>
        <v/>
      </c>
      <c r="E566" s="14">
        <f>IF(A566="","",GL_CLEAN!I566)</f>
        <v/>
      </c>
      <c r="F566" s="11">
        <f>IF(A566="","",GL_CLEAN!J566)</f>
        <v/>
      </c>
      <c r="G566" s="11">
        <f>IF(A566="","",IF(F566="OUT","DR","CR"))</f>
        <v/>
      </c>
      <c r="H566" s="11">
        <f>IF(A566="","",IFERROR(INDEX(BANK_CLEAN!$A$2:$A$1001,MATCH(MINIFS(BANK_CLEAN!$J$2:$J$1001,BANK_CLEAN!$H$2:$H$1001,G566,BANK_CLEAN!$L$2:$L$1001,""),BANK_CLEAN!$J$2:$J$1001,0)),""))</f>
        <v/>
      </c>
      <c r="I566" s="10">
        <f>IF(H566="","",INDEX(BANK_CLEAN!$B$2:$B$1001,H566))</f>
        <v/>
      </c>
      <c r="J566" s="14">
        <f>IF(H566="","",IF(F566="OUT",INDEX(BANK_CLEAN!$F$2:$F$1001,H566),INDEX(BANK_CLEAN!$E$2:$E$1001,H566)))</f>
        <v/>
      </c>
      <c r="K566" s="14">
        <f>IF(H566="","",ABS(E566-J566))</f>
        <v/>
      </c>
      <c r="L566" s="11">
        <f>IF(OR(H566="",B566="",I566=""),"",ABS(B566-I566))</f>
        <v/>
      </c>
      <c r="M566" s="15">
        <f>IF(H566="",0,LET(pct,IF(E566&gt;0,K566/E566,1),days,IFERROR(L566,999),100-pct*200-days*3))</f>
        <v/>
      </c>
      <c r="N566" s="11">
        <f>IF(A566="","",IF(H566="","Unmatched GL",IF(AND(K566&lt;=Tol_Amount,L566&lt;=Tol_Days),"Matched",IF(M566&gt;Tol_NearPct,"Near Match","Unmatched GL"))))</f>
        <v/>
      </c>
    </row>
    <row r="567">
      <c r="A567" s="13">
        <f>IF(GL_CLEAN!A567="","",GL_CLEAN!A567)</f>
        <v/>
      </c>
      <c r="B567" s="10">
        <f>IF(A567="","",GL_CLEAN!B567)</f>
        <v/>
      </c>
      <c r="C567" s="11">
        <f>IF(A567="","",GL_CLEAN!C567)</f>
        <v/>
      </c>
      <c r="D567" s="14">
        <f>IF(A567="","",GL_CLEAN!H567)</f>
        <v/>
      </c>
      <c r="E567" s="14">
        <f>IF(A567="","",GL_CLEAN!I567)</f>
        <v/>
      </c>
      <c r="F567" s="11">
        <f>IF(A567="","",GL_CLEAN!J567)</f>
        <v/>
      </c>
      <c r="G567" s="11">
        <f>IF(A567="","",IF(F567="OUT","DR","CR"))</f>
        <v/>
      </c>
      <c r="H567" s="11">
        <f>IF(A567="","",IFERROR(INDEX(BANK_CLEAN!$A$2:$A$1001,MATCH(MINIFS(BANK_CLEAN!$J$2:$J$1001,BANK_CLEAN!$H$2:$H$1001,G567,BANK_CLEAN!$L$2:$L$1001,""),BANK_CLEAN!$J$2:$J$1001,0)),""))</f>
        <v/>
      </c>
      <c r="I567" s="10">
        <f>IF(H567="","",INDEX(BANK_CLEAN!$B$2:$B$1001,H567))</f>
        <v/>
      </c>
      <c r="J567" s="14">
        <f>IF(H567="","",IF(F567="OUT",INDEX(BANK_CLEAN!$F$2:$F$1001,H567),INDEX(BANK_CLEAN!$E$2:$E$1001,H567)))</f>
        <v/>
      </c>
      <c r="K567" s="14">
        <f>IF(H567="","",ABS(E567-J567))</f>
        <v/>
      </c>
      <c r="L567" s="11">
        <f>IF(OR(H567="",B567="",I567=""),"",ABS(B567-I567))</f>
        <v/>
      </c>
      <c r="M567" s="15">
        <f>IF(H567="",0,LET(pct,IF(E567&gt;0,K567/E567,1),days,IFERROR(L567,999),100-pct*200-days*3))</f>
        <v/>
      </c>
      <c r="N567" s="11">
        <f>IF(A567="","",IF(H567="","Unmatched GL",IF(AND(K567&lt;=Tol_Amount,L567&lt;=Tol_Days),"Matched",IF(M567&gt;Tol_NearPct,"Near Match","Unmatched GL"))))</f>
        <v/>
      </c>
    </row>
    <row r="568">
      <c r="A568" s="13">
        <f>IF(GL_CLEAN!A568="","",GL_CLEAN!A568)</f>
        <v/>
      </c>
      <c r="B568" s="10">
        <f>IF(A568="","",GL_CLEAN!B568)</f>
        <v/>
      </c>
      <c r="C568" s="11">
        <f>IF(A568="","",GL_CLEAN!C568)</f>
        <v/>
      </c>
      <c r="D568" s="14">
        <f>IF(A568="","",GL_CLEAN!H568)</f>
        <v/>
      </c>
      <c r="E568" s="14">
        <f>IF(A568="","",GL_CLEAN!I568)</f>
        <v/>
      </c>
      <c r="F568" s="11">
        <f>IF(A568="","",GL_CLEAN!J568)</f>
        <v/>
      </c>
      <c r="G568" s="11">
        <f>IF(A568="","",IF(F568="OUT","DR","CR"))</f>
        <v/>
      </c>
      <c r="H568" s="11">
        <f>IF(A568="","",IFERROR(INDEX(BANK_CLEAN!$A$2:$A$1001,MATCH(MINIFS(BANK_CLEAN!$J$2:$J$1001,BANK_CLEAN!$H$2:$H$1001,G568,BANK_CLEAN!$L$2:$L$1001,""),BANK_CLEAN!$J$2:$J$1001,0)),""))</f>
        <v/>
      </c>
      <c r="I568" s="10">
        <f>IF(H568="","",INDEX(BANK_CLEAN!$B$2:$B$1001,H568))</f>
        <v/>
      </c>
      <c r="J568" s="14">
        <f>IF(H568="","",IF(F568="OUT",INDEX(BANK_CLEAN!$F$2:$F$1001,H568),INDEX(BANK_CLEAN!$E$2:$E$1001,H568)))</f>
        <v/>
      </c>
      <c r="K568" s="14">
        <f>IF(H568="","",ABS(E568-J568))</f>
        <v/>
      </c>
      <c r="L568" s="11">
        <f>IF(OR(H568="",B568="",I568=""),"",ABS(B568-I568))</f>
        <v/>
      </c>
      <c r="M568" s="15">
        <f>IF(H568="",0,LET(pct,IF(E568&gt;0,K568/E568,1),days,IFERROR(L568,999),100-pct*200-days*3))</f>
        <v/>
      </c>
      <c r="N568" s="11">
        <f>IF(A568="","",IF(H568="","Unmatched GL",IF(AND(K568&lt;=Tol_Amount,L568&lt;=Tol_Days),"Matched",IF(M568&gt;Tol_NearPct,"Near Match","Unmatched GL"))))</f>
        <v/>
      </c>
    </row>
    <row r="569">
      <c r="A569" s="13">
        <f>IF(GL_CLEAN!A569="","",GL_CLEAN!A569)</f>
        <v/>
      </c>
      <c r="B569" s="10">
        <f>IF(A569="","",GL_CLEAN!B569)</f>
        <v/>
      </c>
      <c r="C569" s="11">
        <f>IF(A569="","",GL_CLEAN!C569)</f>
        <v/>
      </c>
      <c r="D569" s="14">
        <f>IF(A569="","",GL_CLEAN!H569)</f>
        <v/>
      </c>
      <c r="E569" s="14">
        <f>IF(A569="","",GL_CLEAN!I569)</f>
        <v/>
      </c>
      <c r="F569" s="11">
        <f>IF(A569="","",GL_CLEAN!J569)</f>
        <v/>
      </c>
      <c r="G569" s="11">
        <f>IF(A569="","",IF(F569="OUT","DR","CR"))</f>
        <v/>
      </c>
      <c r="H569" s="11">
        <f>IF(A569="","",IFERROR(INDEX(BANK_CLEAN!$A$2:$A$1001,MATCH(MINIFS(BANK_CLEAN!$J$2:$J$1001,BANK_CLEAN!$H$2:$H$1001,G569,BANK_CLEAN!$L$2:$L$1001,""),BANK_CLEAN!$J$2:$J$1001,0)),""))</f>
        <v/>
      </c>
      <c r="I569" s="10">
        <f>IF(H569="","",INDEX(BANK_CLEAN!$B$2:$B$1001,H569))</f>
        <v/>
      </c>
      <c r="J569" s="14">
        <f>IF(H569="","",IF(F569="OUT",INDEX(BANK_CLEAN!$F$2:$F$1001,H569),INDEX(BANK_CLEAN!$E$2:$E$1001,H569)))</f>
        <v/>
      </c>
      <c r="K569" s="14">
        <f>IF(H569="","",ABS(E569-J569))</f>
        <v/>
      </c>
      <c r="L569" s="11">
        <f>IF(OR(H569="",B569="",I569=""),"",ABS(B569-I569))</f>
        <v/>
      </c>
      <c r="M569" s="15">
        <f>IF(H569="",0,LET(pct,IF(E569&gt;0,K569/E569,1),days,IFERROR(L569,999),100-pct*200-days*3))</f>
        <v/>
      </c>
      <c r="N569" s="11">
        <f>IF(A569="","",IF(H569="","Unmatched GL",IF(AND(K569&lt;=Tol_Amount,L569&lt;=Tol_Days),"Matched",IF(M569&gt;Tol_NearPct,"Near Match","Unmatched GL"))))</f>
        <v/>
      </c>
    </row>
    <row r="570">
      <c r="A570" s="13">
        <f>IF(GL_CLEAN!A570="","",GL_CLEAN!A570)</f>
        <v/>
      </c>
      <c r="B570" s="10">
        <f>IF(A570="","",GL_CLEAN!B570)</f>
        <v/>
      </c>
      <c r="C570" s="11">
        <f>IF(A570="","",GL_CLEAN!C570)</f>
        <v/>
      </c>
      <c r="D570" s="14">
        <f>IF(A570="","",GL_CLEAN!H570)</f>
        <v/>
      </c>
      <c r="E570" s="14">
        <f>IF(A570="","",GL_CLEAN!I570)</f>
        <v/>
      </c>
      <c r="F570" s="11">
        <f>IF(A570="","",GL_CLEAN!J570)</f>
        <v/>
      </c>
      <c r="G570" s="11">
        <f>IF(A570="","",IF(F570="OUT","DR","CR"))</f>
        <v/>
      </c>
      <c r="H570" s="11">
        <f>IF(A570="","",IFERROR(INDEX(BANK_CLEAN!$A$2:$A$1001,MATCH(MINIFS(BANK_CLEAN!$J$2:$J$1001,BANK_CLEAN!$H$2:$H$1001,G570,BANK_CLEAN!$L$2:$L$1001,""),BANK_CLEAN!$J$2:$J$1001,0)),""))</f>
        <v/>
      </c>
      <c r="I570" s="10">
        <f>IF(H570="","",INDEX(BANK_CLEAN!$B$2:$B$1001,H570))</f>
        <v/>
      </c>
      <c r="J570" s="14">
        <f>IF(H570="","",IF(F570="OUT",INDEX(BANK_CLEAN!$F$2:$F$1001,H570),INDEX(BANK_CLEAN!$E$2:$E$1001,H570)))</f>
        <v/>
      </c>
      <c r="K570" s="14">
        <f>IF(H570="","",ABS(E570-J570))</f>
        <v/>
      </c>
      <c r="L570" s="11">
        <f>IF(OR(H570="",B570="",I570=""),"",ABS(B570-I570))</f>
        <v/>
      </c>
      <c r="M570" s="15">
        <f>IF(H570="",0,LET(pct,IF(E570&gt;0,K570/E570,1),days,IFERROR(L570,999),100-pct*200-days*3))</f>
        <v/>
      </c>
      <c r="N570" s="11">
        <f>IF(A570="","",IF(H570="","Unmatched GL",IF(AND(K570&lt;=Tol_Amount,L570&lt;=Tol_Days),"Matched",IF(M570&gt;Tol_NearPct,"Near Match","Unmatched GL"))))</f>
        <v/>
      </c>
    </row>
    <row r="571">
      <c r="A571" s="13">
        <f>IF(GL_CLEAN!A571="","",GL_CLEAN!A571)</f>
        <v/>
      </c>
      <c r="B571" s="10">
        <f>IF(A571="","",GL_CLEAN!B571)</f>
        <v/>
      </c>
      <c r="C571" s="11">
        <f>IF(A571="","",GL_CLEAN!C571)</f>
        <v/>
      </c>
      <c r="D571" s="14">
        <f>IF(A571="","",GL_CLEAN!H571)</f>
        <v/>
      </c>
      <c r="E571" s="14">
        <f>IF(A571="","",GL_CLEAN!I571)</f>
        <v/>
      </c>
      <c r="F571" s="11">
        <f>IF(A571="","",GL_CLEAN!J571)</f>
        <v/>
      </c>
      <c r="G571" s="11">
        <f>IF(A571="","",IF(F571="OUT","DR","CR"))</f>
        <v/>
      </c>
      <c r="H571" s="11">
        <f>IF(A571="","",IFERROR(INDEX(BANK_CLEAN!$A$2:$A$1001,MATCH(MINIFS(BANK_CLEAN!$J$2:$J$1001,BANK_CLEAN!$H$2:$H$1001,G571,BANK_CLEAN!$L$2:$L$1001,""),BANK_CLEAN!$J$2:$J$1001,0)),""))</f>
        <v/>
      </c>
      <c r="I571" s="10">
        <f>IF(H571="","",INDEX(BANK_CLEAN!$B$2:$B$1001,H571))</f>
        <v/>
      </c>
      <c r="J571" s="14">
        <f>IF(H571="","",IF(F571="OUT",INDEX(BANK_CLEAN!$F$2:$F$1001,H571),INDEX(BANK_CLEAN!$E$2:$E$1001,H571)))</f>
        <v/>
      </c>
      <c r="K571" s="14">
        <f>IF(H571="","",ABS(E571-J571))</f>
        <v/>
      </c>
      <c r="L571" s="11">
        <f>IF(OR(H571="",B571="",I571=""),"",ABS(B571-I571))</f>
        <v/>
      </c>
      <c r="M571" s="15">
        <f>IF(H571="",0,LET(pct,IF(E571&gt;0,K571/E571,1),days,IFERROR(L571,999),100-pct*200-days*3))</f>
        <v/>
      </c>
      <c r="N571" s="11">
        <f>IF(A571="","",IF(H571="","Unmatched GL",IF(AND(K571&lt;=Tol_Amount,L571&lt;=Tol_Days),"Matched",IF(M571&gt;Tol_NearPct,"Near Match","Unmatched GL"))))</f>
        <v/>
      </c>
    </row>
    <row r="572">
      <c r="A572" s="13">
        <f>IF(GL_CLEAN!A572="","",GL_CLEAN!A572)</f>
        <v/>
      </c>
      <c r="B572" s="10">
        <f>IF(A572="","",GL_CLEAN!B572)</f>
        <v/>
      </c>
      <c r="C572" s="11">
        <f>IF(A572="","",GL_CLEAN!C572)</f>
        <v/>
      </c>
      <c r="D572" s="14">
        <f>IF(A572="","",GL_CLEAN!H572)</f>
        <v/>
      </c>
      <c r="E572" s="14">
        <f>IF(A572="","",GL_CLEAN!I572)</f>
        <v/>
      </c>
      <c r="F572" s="11">
        <f>IF(A572="","",GL_CLEAN!J572)</f>
        <v/>
      </c>
      <c r="G572" s="11">
        <f>IF(A572="","",IF(F572="OUT","DR","CR"))</f>
        <v/>
      </c>
      <c r="H572" s="11">
        <f>IF(A572="","",IFERROR(INDEX(BANK_CLEAN!$A$2:$A$1001,MATCH(MINIFS(BANK_CLEAN!$J$2:$J$1001,BANK_CLEAN!$H$2:$H$1001,G572,BANK_CLEAN!$L$2:$L$1001,""),BANK_CLEAN!$J$2:$J$1001,0)),""))</f>
        <v/>
      </c>
      <c r="I572" s="10">
        <f>IF(H572="","",INDEX(BANK_CLEAN!$B$2:$B$1001,H572))</f>
        <v/>
      </c>
      <c r="J572" s="14">
        <f>IF(H572="","",IF(F572="OUT",INDEX(BANK_CLEAN!$F$2:$F$1001,H572),INDEX(BANK_CLEAN!$E$2:$E$1001,H572)))</f>
        <v/>
      </c>
      <c r="K572" s="14">
        <f>IF(H572="","",ABS(E572-J572))</f>
        <v/>
      </c>
      <c r="L572" s="11">
        <f>IF(OR(H572="",B572="",I572=""),"",ABS(B572-I572))</f>
        <v/>
      </c>
      <c r="M572" s="15">
        <f>IF(H572="",0,LET(pct,IF(E572&gt;0,K572/E572,1),days,IFERROR(L572,999),100-pct*200-days*3))</f>
        <v/>
      </c>
      <c r="N572" s="11">
        <f>IF(A572="","",IF(H572="","Unmatched GL",IF(AND(K572&lt;=Tol_Amount,L572&lt;=Tol_Days),"Matched",IF(M572&gt;Tol_NearPct,"Near Match","Unmatched GL"))))</f>
        <v/>
      </c>
    </row>
    <row r="573">
      <c r="A573" s="13">
        <f>IF(GL_CLEAN!A573="","",GL_CLEAN!A573)</f>
        <v/>
      </c>
      <c r="B573" s="10">
        <f>IF(A573="","",GL_CLEAN!B573)</f>
        <v/>
      </c>
      <c r="C573" s="11">
        <f>IF(A573="","",GL_CLEAN!C573)</f>
        <v/>
      </c>
      <c r="D573" s="14">
        <f>IF(A573="","",GL_CLEAN!H573)</f>
        <v/>
      </c>
      <c r="E573" s="14">
        <f>IF(A573="","",GL_CLEAN!I573)</f>
        <v/>
      </c>
      <c r="F573" s="11">
        <f>IF(A573="","",GL_CLEAN!J573)</f>
        <v/>
      </c>
      <c r="G573" s="11">
        <f>IF(A573="","",IF(F573="OUT","DR","CR"))</f>
        <v/>
      </c>
      <c r="H573" s="11">
        <f>IF(A573="","",IFERROR(INDEX(BANK_CLEAN!$A$2:$A$1001,MATCH(MINIFS(BANK_CLEAN!$J$2:$J$1001,BANK_CLEAN!$H$2:$H$1001,G573,BANK_CLEAN!$L$2:$L$1001,""),BANK_CLEAN!$J$2:$J$1001,0)),""))</f>
        <v/>
      </c>
      <c r="I573" s="10">
        <f>IF(H573="","",INDEX(BANK_CLEAN!$B$2:$B$1001,H573))</f>
        <v/>
      </c>
      <c r="J573" s="14">
        <f>IF(H573="","",IF(F573="OUT",INDEX(BANK_CLEAN!$F$2:$F$1001,H573),INDEX(BANK_CLEAN!$E$2:$E$1001,H573)))</f>
        <v/>
      </c>
      <c r="K573" s="14">
        <f>IF(H573="","",ABS(E573-J573))</f>
        <v/>
      </c>
      <c r="L573" s="11">
        <f>IF(OR(H573="",B573="",I573=""),"",ABS(B573-I573))</f>
        <v/>
      </c>
      <c r="M573" s="15">
        <f>IF(H573="",0,LET(pct,IF(E573&gt;0,K573/E573,1),days,IFERROR(L573,999),100-pct*200-days*3))</f>
        <v/>
      </c>
      <c r="N573" s="11">
        <f>IF(A573="","",IF(H573="","Unmatched GL",IF(AND(K573&lt;=Tol_Amount,L573&lt;=Tol_Days),"Matched",IF(M573&gt;Tol_NearPct,"Near Match","Unmatched GL"))))</f>
        <v/>
      </c>
    </row>
    <row r="574">
      <c r="A574" s="13">
        <f>IF(GL_CLEAN!A574="","",GL_CLEAN!A574)</f>
        <v/>
      </c>
      <c r="B574" s="10">
        <f>IF(A574="","",GL_CLEAN!B574)</f>
        <v/>
      </c>
      <c r="C574" s="11">
        <f>IF(A574="","",GL_CLEAN!C574)</f>
        <v/>
      </c>
      <c r="D574" s="14">
        <f>IF(A574="","",GL_CLEAN!H574)</f>
        <v/>
      </c>
      <c r="E574" s="14">
        <f>IF(A574="","",GL_CLEAN!I574)</f>
        <v/>
      </c>
      <c r="F574" s="11">
        <f>IF(A574="","",GL_CLEAN!J574)</f>
        <v/>
      </c>
      <c r="G574" s="11">
        <f>IF(A574="","",IF(F574="OUT","DR","CR"))</f>
        <v/>
      </c>
      <c r="H574" s="11">
        <f>IF(A574="","",IFERROR(INDEX(BANK_CLEAN!$A$2:$A$1001,MATCH(MINIFS(BANK_CLEAN!$J$2:$J$1001,BANK_CLEAN!$H$2:$H$1001,G574,BANK_CLEAN!$L$2:$L$1001,""),BANK_CLEAN!$J$2:$J$1001,0)),""))</f>
        <v/>
      </c>
      <c r="I574" s="10">
        <f>IF(H574="","",INDEX(BANK_CLEAN!$B$2:$B$1001,H574))</f>
        <v/>
      </c>
      <c r="J574" s="14">
        <f>IF(H574="","",IF(F574="OUT",INDEX(BANK_CLEAN!$F$2:$F$1001,H574),INDEX(BANK_CLEAN!$E$2:$E$1001,H574)))</f>
        <v/>
      </c>
      <c r="K574" s="14">
        <f>IF(H574="","",ABS(E574-J574))</f>
        <v/>
      </c>
      <c r="L574" s="11">
        <f>IF(OR(H574="",B574="",I574=""),"",ABS(B574-I574))</f>
        <v/>
      </c>
      <c r="M574" s="15">
        <f>IF(H574="",0,LET(pct,IF(E574&gt;0,K574/E574,1),days,IFERROR(L574,999),100-pct*200-days*3))</f>
        <v/>
      </c>
      <c r="N574" s="11">
        <f>IF(A574="","",IF(H574="","Unmatched GL",IF(AND(K574&lt;=Tol_Amount,L574&lt;=Tol_Days),"Matched",IF(M574&gt;Tol_NearPct,"Near Match","Unmatched GL"))))</f>
        <v/>
      </c>
    </row>
    <row r="575">
      <c r="A575" s="13">
        <f>IF(GL_CLEAN!A575="","",GL_CLEAN!A575)</f>
        <v/>
      </c>
      <c r="B575" s="10">
        <f>IF(A575="","",GL_CLEAN!B575)</f>
        <v/>
      </c>
      <c r="C575" s="11">
        <f>IF(A575="","",GL_CLEAN!C575)</f>
        <v/>
      </c>
      <c r="D575" s="14">
        <f>IF(A575="","",GL_CLEAN!H575)</f>
        <v/>
      </c>
      <c r="E575" s="14">
        <f>IF(A575="","",GL_CLEAN!I575)</f>
        <v/>
      </c>
      <c r="F575" s="11">
        <f>IF(A575="","",GL_CLEAN!J575)</f>
        <v/>
      </c>
      <c r="G575" s="11">
        <f>IF(A575="","",IF(F575="OUT","DR","CR"))</f>
        <v/>
      </c>
      <c r="H575" s="11">
        <f>IF(A575="","",IFERROR(INDEX(BANK_CLEAN!$A$2:$A$1001,MATCH(MINIFS(BANK_CLEAN!$J$2:$J$1001,BANK_CLEAN!$H$2:$H$1001,G575,BANK_CLEAN!$L$2:$L$1001,""),BANK_CLEAN!$J$2:$J$1001,0)),""))</f>
        <v/>
      </c>
      <c r="I575" s="10">
        <f>IF(H575="","",INDEX(BANK_CLEAN!$B$2:$B$1001,H575))</f>
        <v/>
      </c>
      <c r="J575" s="14">
        <f>IF(H575="","",IF(F575="OUT",INDEX(BANK_CLEAN!$F$2:$F$1001,H575),INDEX(BANK_CLEAN!$E$2:$E$1001,H575)))</f>
        <v/>
      </c>
      <c r="K575" s="14">
        <f>IF(H575="","",ABS(E575-J575))</f>
        <v/>
      </c>
      <c r="L575" s="11">
        <f>IF(OR(H575="",B575="",I575=""),"",ABS(B575-I575))</f>
        <v/>
      </c>
      <c r="M575" s="15">
        <f>IF(H575="",0,LET(pct,IF(E575&gt;0,K575/E575,1),days,IFERROR(L575,999),100-pct*200-days*3))</f>
        <v/>
      </c>
      <c r="N575" s="11">
        <f>IF(A575="","",IF(H575="","Unmatched GL",IF(AND(K575&lt;=Tol_Amount,L575&lt;=Tol_Days),"Matched",IF(M575&gt;Tol_NearPct,"Near Match","Unmatched GL"))))</f>
        <v/>
      </c>
    </row>
    <row r="576">
      <c r="A576" s="13">
        <f>IF(GL_CLEAN!A576="","",GL_CLEAN!A576)</f>
        <v/>
      </c>
      <c r="B576" s="10">
        <f>IF(A576="","",GL_CLEAN!B576)</f>
        <v/>
      </c>
      <c r="C576" s="11">
        <f>IF(A576="","",GL_CLEAN!C576)</f>
        <v/>
      </c>
      <c r="D576" s="14">
        <f>IF(A576="","",GL_CLEAN!H576)</f>
        <v/>
      </c>
      <c r="E576" s="14">
        <f>IF(A576="","",GL_CLEAN!I576)</f>
        <v/>
      </c>
      <c r="F576" s="11">
        <f>IF(A576="","",GL_CLEAN!J576)</f>
        <v/>
      </c>
      <c r="G576" s="11">
        <f>IF(A576="","",IF(F576="OUT","DR","CR"))</f>
        <v/>
      </c>
      <c r="H576" s="11">
        <f>IF(A576="","",IFERROR(INDEX(BANK_CLEAN!$A$2:$A$1001,MATCH(MINIFS(BANK_CLEAN!$J$2:$J$1001,BANK_CLEAN!$H$2:$H$1001,G576,BANK_CLEAN!$L$2:$L$1001,""),BANK_CLEAN!$J$2:$J$1001,0)),""))</f>
        <v/>
      </c>
      <c r="I576" s="10">
        <f>IF(H576="","",INDEX(BANK_CLEAN!$B$2:$B$1001,H576))</f>
        <v/>
      </c>
      <c r="J576" s="14">
        <f>IF(H576="","",IF(F576="OUT",INDEX(BANK_CLEAN!$F$2:$F$1001,H576),INDEX(BANK_CLEAN!$E$2:$E$1001,H576)))</f>
        <v/>
      </c>
      <c r="K576" s="14">
        <f>IF(H576="","",ABS(E576-J576))</f>
        <v/>
      </c>
      <c r="L576" s="11">
        <f>IF(OR(H576="",B576="",I576=""),"",ABS(B576-I576))</f>
        <v/>
      </c>
      <c r="M576" s="15">
        <f>IF(H576="",0,LET(pct,IF(E576&gt;0,K576/E576,1),days,IFERROR(L576,999),100-pct*200-days*3))</f>
        <v/>
      </c>
      <c r="N576" s="11">
        <f>IF(A576="","",IF(H576="","Unmatched GL",IF(AND(K576&lt;=Tol_Amount,L576&lt;=Tol_Days),"Matched",IF(M576&gt;Tol_NearPct,"Near Match","Unmatched GL"))))</f>
        <v/>
      </c>
    </row>
    <row r="577">
      <c r="A577" s="13">
        <f>IF(GL_CLEAN!A577="","",GL_CLEAN!A577)</f>
        <v/>
      </c>
      <c r="B577" s="10">
        <f>IF(A577="","",GL_CLEAN!B577)</f>
        <v/>
      </c>
      <c r="C577" s="11">
        <f>IF(A577="","",GL_CLEAN!C577)</f>
        <v/>
      </c>
      <c r="D577" s="14">
        <f>IF(A577="","",GL_CLEAN!H577)</f>
        <v/>
      </c>
      <c r="E577" s="14">
        <f>IF(A577="","",GL_CLEAN!I577)</f>
        <v/>
      </c>
      <c r="F577" s="11">
        <f>IF(A577="","",GL_CLEAN!J577)</f>
        <v/>
      </c>
      <c r="G577" s="11">
        <f>IF(A577="","",IF(F577="OUT","DR","CR"))</f>
        <v/>
      </c>
      <c r="H577" s="11">
        <f>IF(A577="","",IFERROR(INDEX(BANK_CLEAN!$A$2:$A$1001,MATCH(MINIFS(BANK_CLEAN!$J$2:$J$1001,BANK_CLEAN!$H$2:$H$1001,G577,BANK_CLEAN!$L$2:$L$1001,""),BANK_CLEAN!$J$2:$J$1001,0)),""))</f>
        <v/>
      </c>
      <c r="I577" s="10">
        <f>IF(H577="","",INDEX(BANK_CLEAN!$B$2:$B$1001,H577))</f>
        <v/>
      </c>
      <c r="J577" s="14">
        <f>IF(H577="","",IF(F577="OUT",INDEX(BANK_CLEAN!$F$2:$F$1001,H577),INDEX(BANK_CLEAN!$E$2:$E$1001,H577)))</f>
        <v/>
      </c>
      <c r="K577" s="14">
        <f>IF(H577="","",ABS(E577-J577))</f>
        <v/>
      </c>
      <c r="L577" s="11">
        <f>IF(OR(H577="",B577="",I577=""),"",ABS(B577-I577))</f>
        <v/>
      </c>
      <c r="M577" s="15">
        <f>IF(H577="",0,LET(pct,IF(E577&gt;0,K577/E577,1),days,IFERROR(L577,999),100-pct*200-days*3))</f>
        <v/>
      </c>
      <c r="N577" s="11">
        <f>IF(A577="","",IF(H577="","Unmatched GL",IF(AND(K577&lt;=Tol_Amount,L577&lt;=Tol_Days),"Matched",IF(M577&gt;Tol_NearPct,"Near Match","Unmatched GL"))))</f>
        <v/>
      </c>
    </row>
    <row r="578">
      <c r="A578" s="13">
        <f>IF(GL_CLEAN!A578="","",GL_CLEAN!A578)</f>
        <v/>
      </c>
      <c r="B578" s="10">
        <f>IF(A578="","",GL_CLEAN!B578)</f>
        <v/>
      </c>
      <c r="C578" s="11">
        <f>IF(A578="","",GL_CLEAN!C578)</f>
        <v/>
      </c>
      <c r="D578" s="14">
        <f>IF(A578="","",GL_CLEAN!H578)</f>
        <v/>
      </c>
      <c r="E578" s="14">
        <f>IF(A578="","",GL_CLEAN!I578)</f>
        <v/>
      </c>
      <c r="F578" s="11">
        <f>IF(A578="","",GL_CLEAN!J578)</f>
        <v/>
      </c>
      <c r="G578" s="11">
        <f>IF(A578="","",IF(F578="OUT","DR","CR"))</f>
        <v/>
      </c>
      <c r="H578" s="11">
        <f>IF(A578="","",IFERROR(INDEX(BANK_CLEAN!$A$2:$A$1001,MATCH(MINIFS(BANK_CLEAN!$J$2:$J$1001,BANK_CLEAN!$H$2:$H$1001,G578,BANK_CLEAN!$L$2:$L$1001,""),BANK_CLEAN!$J$2:$J$1001,0)),""))</f>
        <v/>
      </c>
      <c r="I578" s="10">
        <f>IF(H578="","",INDEX(BANK_CLEAN!$B$2:$B$1001,H578))</f>
        <v/>
      </c>
      <c r="J578" s="14">
        <f>IF(H578="","",IF(F578="OUT",INDEX(BANK_CLEAN!$F$2:$F$1001,H578),INDEX(BANK_CLEAN!$E$2:$E$1001,H578)))</f>
        <v/>
      </c>
      <c r="K578" s="14">
        <f>IF(H578="","",ABS(E578-J578))</f>
        <v/>
      </c>
      <c r="L578" s="11">
        <f>IF(OR(H578="",B578="",I578=""),"",ABS(B578-I578))</f>
        <v/>
      </c>
      <c r="M578" s="15">
        <f>IF(H578="",0,LET(pct,IF(E578&gt;0,K578/E578,1),days,IFERROR(L578,999),100-pct*200-days*3))</f>
        <v/>
      </c>
      <c r="N578" s="11">
        <f>IF(A578="","",IF(H578="","Unmatched GL",IF(AND(K578&lt;=Tol_Amount,L578&lt;=Tol_Days),"Matched",IF(M578&gt;Tol_NearPct,"Near Match","Unmatched GL"))))</f>
        <v/>
      </c>
    </row>
    <row r="579">
      <c r="A579" s="13">
        <f>IF(GL_CLEAN!A579="","",GL_CLEAN!A579)</f>
        <v/>
      </c>
      <c r="B579" s="10">
        <f>IF(A579="","",GL_CLEAN!B579)</f>
        <v/>
      </c>
      <c r="C579" s="11">
        <f>IF(A579="","",GL_CLEAN!C579)</f>
        <v/>
      </c>
      <c r="D579" s="14">
        <f>IF(A579="","",GL_CLEAN!H579)</f>
        <v/>
      </c>
      <c r="E579" s="14">
        <f>IF(A579="","",GL_CLEAN!I579)</f>
        <v/>
      </c>
      <c r="F579" s="11">
        <f>IF(A579="","",GL_CLEAN!J579)</f>
        <v/>
      </c>
      <c r="G579" s="11">
        <f>IF(A579="","",IF(F579="OUT","DR","CR"))</f>
        <v/>
      </c>
      <c r="H579" s="11">
        <f>IF(A579="","",IFERROR(INDEX(BANK_CLEAN!$A$2:$A$1001,MATCH(MINIFS(BANK_CLEAN!$J$2:$J$1001,BANK_CLEAN!$H$2:$H$1001,G579,BANK_CLEAN!$L$2:$L$1001,""),BANK_CLEAN!$J$2:$J$1001,0)),""))</f>
        <v/>
      </c>
      <c r="I579" s="10">
        <f>IF(H579="","",INDEX(BANK_CLEAN!$B$2:$B$1001,H579))</f>
        <v/>
      </c>
      <c r="J579" s="14">
        <f>IF(H579="","",IF(F579="OUT",INDEX(BANK_CLEAN!$F$2:$F$1001,H579),INDEX(BANK_CLEAN!$E$2:$E$1001,H579)))</f>
        <v/>
      </c>
      <c r="K579" s="14">
        <f>IF(H579="","",ABS(E579-J579))</f>
        <v/>
      </c>
      <c r="L579" s="11">
        <f>IF(OR(H579="",B579="",I579=""),"",ABS(B579-I579))</f>
        <v/>
      </c>
      <c r="M579" s="15">
        <f>IF(H579="",0,LET(pct,IF(E579&gt;0,K579/E579,1),days,IFERROR(L579,999),100-pct*200-days*3))</f>
        <v/>
      </c>
      <c r="N579" s="11">
        <f>IF(A579="","",IF(H579="","Unmatched GL",IF(AND(K579&lt;=Tol_Amount,L579&lt;=Tol_Days),"Matched",IF(M579&gt;Tol_NearPct,"Near Match","Unmatched GL"))))</f>
        <v/>
      </c>
    </row>
    <row r="580">
      <c r="A580" s="13">
        <f>IF(GL_CLEAN!A580="","",GL_CLEAN!A580)</f>
        <v/>
      </c>
      <c r="B580" s="10">
        <f>IF(A580="","",GL_CLEAN!B580)</f>
        <v/>
      </c>
      <c r="C580" s="11">
        <f>IF(A580="","",GL_CLEAN!C580)</f>
        <v/>
      </c>
      <c r="D580" s="14">
        <f>IF(A580="","",GL_CLEAN!H580)</f>
        <v/>
      </c>
      <c r="E580" s="14">
        <f>IF(A580="","",GL_CLEAN!I580)</f>
        <v/>
      </c>
      <c r="F580" s="11">
        <f>IF(A580="","",GL_CLEAN!J580)</f>
        <v/>
      </c>
      <c r="G580" s="11">
        <f>IF(A580="","",IF(F580="OUT","DR","CR"))</f>
        <v/>
      </c>
      <c r="H580" s="11">
        <f>IF(A580="","",IFERROR(INDEX(BANK_CLEAN!$A$2:$A$1001,MATCH(MINIFS(BANK_CLEAN!$J$2:$J$1001,BANK_CLEAN!$H$2:$H$1001,G580,BANK_CLEAN!$L$2:$L$1001,""),BANK_CLEAN!$J$2:$J$1001,0)),""))</f>
        <v/>
      </c>
      <c r="I580" s="10">
        <f>IF(H580="","",INDEX(BANK_CLEAN!$B$2:$B$1001,H580))</f>
        <v/>
      </c>
      <c r="J580" s="14">
        <f>IF(H580="","",IF(F580="OUT",INDEX(BANK_CLEAN!$F$2:$F$1001,H580),INDEX(BANK_CLEAN!$E$2:$E$1001,H580)))</f>
        <v/>
      </c>
      <c r="K580" s="14">
        <f>IF(H580="","",ABS(E580-J580))</f>
        <v/>
      </c>
      <c r="L580" s="11">
        <f>IF(OR(H580="",B580="",I580=""),"",ABS(B580-I580))</f>
        <v/>
      </c>
      <c r="M580" s="15">
        <f>IF(H580="",0,LET(pct,IF(E580&gt;0,K580/E580,1),days,IFERROR(L580,999),100-pct*200-days*3))</f>
        <v/>
      </c>
      <c r="N580" s="11">
        <f>IF(A580="","",IF(H580="","Unmatched GL",IF(AND(K580&lt;=Tol_Amount,L580&lt;=Tol_Days),"Matched",IF(M580&gt;Tol_NearPct,"Near Match","Unmatched GL"))))</f>
        <v/>
      </c>
    </row>
    <row r="581">
      <c r="A581" s="13">
        <f>IF(GL_CLEAN!A581="","",GL_CLEAN!A581)</f>
        <v/>
      </c>
      <c r="B581" s="10">
        <f>IF(A581="","",GL_CLEAN!B581)</f>
        <v/>
      </c>
      <c r="C581" s="11">
        <f>IF(A581="","",GL_CLEAN!C581)</f>
        <v/>
      </c>
      <c r="D581" s="14">
        <f>IF(A581="","",GL_CLEAN!H581)</f>
        <v/>
      </c>
      <c r="E581" s="14">
        <f>IF(A581="","",GL_CLEAN!I581)</f>
        <v/>
      </c>
      <c r="F581" s="11">
        <f>IF(A581="","",GL_CLEAN!J581)</f>
        <v/>
      </c>
      <c r="G581" s="11">
        <f>IF(A581="","",IF(F581="OUT","DR","CR"))</f>
        <v/>
      </c>
      <c r="H581" s="11">
        <f>IF(A581="","",IFERROR(INDEX(BANK_CLEAN!$A$2:$A$1001,MATCH(MINIFS(BANK_CLEAN!$J$2:$J$1001,BANK_CLEAN!$H$2:$H$1001,G581,BANK_CLEAN!$L$2:$L$1001,""),BANK_CLEAN!$J$2:$J$1001,0)),""))</f>
        <v/>
      </c>
      <c r="I581" s="10">
        <f>IF(H581="","",INDEX(BANK_CLEAN!$B$2:$B$1001,H581))</f>
        <v/>
      </c>
      <c r="J581" s="14">
        <f>IF(H581="","",IF(F581="OUT",INDEX(BANK_CLEAN!$F$2:$F$1001,H581),INDEX(BANK_CLEAN!$E$2:$E$1001,H581)))</f>
        <v/>
      </c>
      <c r="K581" s="14">
        <f>IF(H581="","",ABS(E581-J581))</f>
        <v/>
      </c>
      <c r="L581" s="11">
        <f>IF(OR(H581="",B581="",I581=""),"",ABS(B581-I581))</f>
        <v/>
      </c>
      <c r="M581" s="15">
        <f>IF(H581="",0,LET(pct,IF(E581&gt;0,K581/E581,1),days,IFERROR(L581,999),100-pct*200-days*3))</f>
        <v/>
      </c>
      <c r="N581" s="11">
        <f>IF(A581="","",IF(H581="","Unmatched GL",IF(AND(K581&lt;=Tol_Amount,L581&lt;=Tol_Days),"Matched",IF(M581&gt;Tol_NearPct,"Near Match","Unmatched GL"))))</f>
        <v/>
      </c>
    </row>
    <row r="582">
      <c r="A582" s="13">
        <f>IF(GL_CLEAN!A582="","",GL_CLEAN!A582)</f>
        <v/>
      </c>
      <c r="B582" s="10">
        <f>IF(A582="","",GL_CLEAN!B582)</f>
        <v/>
      </c>
      <c r="C582" s="11">
        <f>IF(A582="","",GL_CLEAN!C582)</f>
        <v/>
      </c>
      <c r="D582" s="14">
        <f>IF(A582="","",GL_CLEAN!H582)</f>
        <v/>
      </c>
      <c r="E582" s="14">
        <f>IF(A582="","",GL_CLEAN!I582)</f>
        <v/>
      </c>
      <c r="F582" s="11">
        <f>IF(A582="","",GL_CLEAN!J582)</f>
        <v/>
      </c>
      <c r="G582" s="11">
        <f>IF(A582="","",IF(F582="OUT","DR","CR"))</f>
        <v/>
      </c>
      <c r="H582" s="11">
        <f>IF(A582="","",IFERROR(INDEX(BANK_CLEAN!$A$2:$A$1001,MATCH(MINIFS(BANK_CLEAN!$J$2:$J$1001,BANK_CLEAN!$H$2:$H$1001,G582,BANK_CLEAN!$L$2:$L$1001,""),BANK_CLEAN!$J$2:$J$1001,0)),""))</f>
        <v/>
      </c>
      <c r="I582" s="10">
        <f>IF(H582="","",INDEX(BANK_CLEAN!$B$2:$B$1001,H582))</f>
        <v/>
      </c>
      <c r="J582" s="14">
        <f>IF(H582="","",IF(F582="OUT",INDEX(BANK_CLEAN!$F$2:$F$1001,H582),INDEX(BANK_CLEAN!$E$2:$E$1001,H582)))</f>
        <v/>
      </c>
      <c r="K582" s="14">
        <f>IF(H582="","",ABS(E582-J582))</f>
        <v/>
      </c>
      <c r="L582" s="11">
        <f>IF(OR(H582="",B582="",I582=""),"",ABS(B582-I582))</f>
        <v/>
      </c>
      <c r="M582" s="15">
        <f>IF(H582="",0,LET(pct,IF(E582&gt;0,K582/E582,1),days,IFERROR(L582,999),100-pct*200-days*3))</f>
        <v/>
      </c>
      <c r="N582" s="11">
        <f>IF(A582="","",IF(H582="","Unmatched GL",IF(AND(K582&lt;=Tol_Amount,L582&lt;=Tol_Days),"Matched",IF(M582&gt;Tol_NearPct,"Near Match","Unmatched GL"))))</f>
        <v/>
      </c>
    </row>
    <row r="583">
      <c r="A583" s="13">
        <f>IF(GL_CLEAN!A583="","",GL_CLEAN!A583)</f>
        <v/>
      </c>
      <c r="B583" s="10">
        <f>IF(A583="","",GL_CLEAN!B583)</f>
        <v/>
      </c>
      <c r="C583" s="11">
        <f>IF(A583="","",GL_CLEAN!C583)</f>
        <v/>
      </c>
      <c r="D583" s="14">
        <f>IF(A583="","",GL_CLEAN!H583)</f>
        <v/>
      </c>
      <c r="E583" s="14">
        <f>IF(A583="","",GL_CLEAN!I583)</f>
        <v/>
      </c>
      <c r="F583" s="11">
        <f>IF(A583="","",GL_CLEAN!J583)</f>
        <v/>
      </c>
      <c r="G583" s="11">
        <f>IF(A583="","",IF(F583="OUT","DR","CR"))</f>
        <v/>
      </c>
      <c r="H583" s="11">
        <f>IF(A583="","",IFERROR(INDEX(BANK_CLEAN!$A$2:$A$1001,MATCH(MINIFS(BANK_CLEAN!$J$2:$J$1001,BANK_CLEAN!$H$2:$H$1001,G583,BANK_CLEAN!$L$2:$L$1001,""),BANK_CLEAN!$J$2:$J$1001,0)),""))</f>
        <v/>
      </c>
      <c r="I583" s="10">
        <f>IF(H583="","",INDEX(BANK_CLEAN!$B$2:$B$1001,H583))</f>
        <v/>
      </c>
      <c r="J583" s="14">
        <f>IF(H583="","",IF(F583="OUT",INDEX(BANK_CLEAN!$F$2:$F$1001,H583),INDEX(BANK_CLEAN!$E$2:$E$1001,H583)))</f>
        <v/>
      </c>
      <c r="K583" s="14">
        <f>IF(H583="","",ABS(E583-J583))</f>
        <v/>
      </c>
      <c r="L583" s="11">
        <f>IF(OR(H583="",B583="",I583=""),"",ABS(B583-I583))</f>
        <v/>
      </c>
      <c r="M583" s="15">
        <f>IF(H583="",0,LET(pct,IF(E583&gt;0,K583/E583,1),days,IFERROR(L583,999),100-pct*200-days*3))</f>
        <v/>
      </c>
      <c r="N583" s="11">
        <f>IF(A583="","",IF(H583="","Unmatched GL",IF(AND(K583&lt;=Tol_Amount,L583&lt;=Tol_Days),"Matched",IF(M583&gt;Tol_NearPct,"Near Match","Unmatched GL"))))</f>
        <v/>
      </c>
    </row>
    <row r="584">
      <c r="A584" s="13">
        <f>IF(GL_CLEAN!A584="","",GL_CLEAN!A584)</f>
        <v/>
      </c>
      <c r="B584" s="10">
        <f>IF(A584="","",GL_CLEAN!B584)</f>
        <v/>
      </c>
      <c r="C584" s="11">
        <f>IF(A584="","",GL_CLEAN!C584)</f>
        <v/>
      </c>
      <c r="D584" s="14">
        <f>IF(A584="","",GL_CLEAN!H584)</f>
        <v/>
      </c>
      <c r="E584" s="14">
        <f>IF(A584="","",GL_CLEAN!I584)</f>
        <v/>
      </c>
      <c r="F584" s="11">
        <f>IF(A584="","",GL_CLEAN!J584)</f>
        <v/>
      </c>
      <c r="G584" s="11">
        <f>IF(A584="","",IF(F584="OUT","DR","CR"))</f>
        <v/>
      </c>
      <c r="H584" s="11">
        <f>IF(A584="","",IFERROR(INDEX(BANK_CLEAN!$A$2:$A$1001,MATCH(MINIFS(BANK_CLEAN!$J$2:$J$1001,BANK_CLEAN!$H$2:$H$1001,G584,BANK_CLEAN!$L$2:$L$1001,""),BANK_CLEAN!$J$2:$J$1001,0)),""))</f>
        <v/>
      </c>
      <c r="I584" s="10">
        <f>IF(H584="","",INDEX(BANK_CLEAN!$B$2:$B$1001,H584))</f>
        <v/>
      </c>
      <c r="J584" s="14">
        <f>IF(H584="","",IF(F584="OUT",INDEX(BANK_CLEAN!$F$2:$F$1001,H584),INDEX(BANK_CLEAN!$E$2:$E$1001,H584)))</f>
        <v/>
      </c>
      <c r="K584" s="14">
        <f>IF(H584="","",ABS(E584-J584))</f>
        <v/>
      </c>
      <c r="L584" s="11">
        <f>IF(OR(H584="",B584="",I584=""),"",ABS(B584-I584))</f>
        <v/>
      </c>
      <c r="M584" s="15">
        <f>IF(H584="",0,LET(pct,IF(E584&gt;0,K584/E584,1),days,IFERROR(L584,999),100-pct*200-days*3))</f>
        <v/>
      </c>
      <c r="N584" s="11">
        <f>IF(A584="","",IF(H584="","Unmatched GL",IF(AND(K584&lt;=Tol_Amount,L584&lt;=Tol_Days),"Matched",IF(M584&gt;Tol_NearPct,"Near Match","Unmatched GL"))))</f>
        <v/>
      </c>
    </row>
    <row r="585">
      <c r="A585" s="13">
        <f>IF(GL_CLEAN!A585="","",GL_CLEAN!A585)</f>
        <v/>
      </c>
      <c r="B585" s="10">
        <f>IF(A585="","",GL_CLEAN!B585)</f>
        <v/>
      </c>
      <c r="C585" s="11">
        <f>IF(A585="","",GL_CLEAN!C585)</f>
        <v/>
      </c>
      <c r="D585" s="14">
        <f>IF(A585="","",GL_CLEAN!H585)</f>
        <v/>
      </c>
      <c r="E585" s="14">
        <f>IF(A585="","",GL_CLEAN!I585)</f>
        <v/>
      </c>
      <c r="F585" s="11">
        <f>IF(A585="","",GL_CLEAN!J585)</f>
        <v/>
      </c>
      <c r="G585" s="11">
        <f>IF(A585="","",IF(F585="OUT","DR","CR"))</f>
        <v/>
      </c>
      <c r="H585" s="11">
        <f>IF(A585="","",IFERROR(INDEX(BANK_CLEAN!$A$2:$A$1001,MATCH(MINIFS(BANK_CLEAN!$J$2:$J$1001,BANK_CLEAN!$H$2:$H$1001,G585,BANK_CLEAN!$L$2:$L$1001,""),BANK_CLEAN!$J$2:$J$1001,0)),""))</f>
        <v/>
      </c>
      <c r="I585" s="10">
        <f>IF(H585="","",INDEX(BANK_CLEAN!$B$2:$B$1001,H585))</f>
        <v/>
      </c>
      <c r="J585" s="14">
        <f>IF(H585="","",IF(F585="OUT",INDEX(BANK_CLEAN!$F$2:$F$1001,H585),INDEX(BANK_CLEAN!$E$2:$E$1001,H585)))</f>
        <v/>
      </c>
      <c r="K585" s="14">
        <f>IF(H585="","",ABS(E585-J585))</f>
        <v/>
      </c>
      <c r="L585" s="11">
        <f>IF(OR(H585="",B585="",I585=""),"",ABS(B585-I585))</f>
        <v/>
      </c>
      <c r="M585" s="15">
        <f>IF(H585="",0,LET(pct,IF(E585&gt;0,K585/E585,1),days,IFERROR(L585,999),100-pct*200-days*3))</f>
        <v/>
      </c>
      <c r="N585" s="11">
        <f>IF(A585="","",IF(H585="","Unmatched GL",IF(AND(K585&lt;=Tol_Amount,L585&lt;=Tol_Days),"Matched",IF(M585&gt;Tol_NearPct,"Near Match","Unmatched GL"))))</f>
        <v/>
      </c>
    </row>
    <row r="586">
      <c r="A586" s="13">
        <f>IF(GL_CLEAN!A586="","",GL_CLEAN!A586)</f>
        <v/>
      </c>
      <c r="B586" s="10">
        <f>IF(A586="","",GL_CLEAN!B586)</f>
        <v/>
      </c>
      <c r="C586" s="11">
        <f>IF(A586="","",GL_CLEAN!C586)</f>
        <v/>
      </c>
      <c r="D586" s="14">
        <f>IF(A586="","",GL_CLEAN!H586)</f>
        <v/>
      </c>
      <c r="E586" s="14">
        <f>IF(A586="","",GL_CLEAN!I586)</f>
        <v/>
      </c>
      <c r="F586" s="11">
        <f>IF(A586="","",GL_CLEAN!J586)</f>
        <v/>
      </c>
      <c r="G586" s="11">
        <f>IF(A586="","",IF(F586="OUT","DR","CR"))</f>
        <v/>
      </c>
      <c r="H586" s="11">
        <f>IF(A586="","",IFERROR(INDEX(BANK_CLEAN!$A$2:$A$1001,MATCH(MINIFS(BANK_CLEAN!$J$2:$J$1001,BANK_CLEAN!$H$2:$H$1001,G586,BANK_CLEAN!$L$2:$L$1001,""),BANK_CLEAN!$J$2:$J$1001,0)),""))</f>
        <v/>
      </c>
      <c r="I586" s="10">
        <f>IF(H586="","",INDEX(BANK_CLEAN!$B$2:$B$1001,H586))</f>
        <v/>
      </c>
      <c r="J586" s="14">
        <f>IF(H586="","",IF(F586="OUT",INDEX(BANK_CLEAN!$F$2:$F$1001,H586),INDEX(BANK_CLEAN!$E$2:$E$1001,H586)))</f>
        <v/>
      </c>
      <c r="K586" s="14">
        <f>IF(H586="","",ABS(E586-J586))</f>
        <v/>
      </c>
      <c r="L586" s="11">
        <f>IF(OR(H586="",B586="",I586=""),"",ABS(B586-I586))</f>
        <v/>
      </c>
      <c r="M586" s="15">
        <f>IF(H586="",0,LET(pct,IF(E586&gt;0,K586/E586,1),days,IFERROR(L586,999),100-pct*200-days*3))</f>
        <v/>
      </c>
      <c r="N586" s="11">
        <f>IF(A586="","",IF(H586="","Unmatched GL",IF(AND(K586&lt;=Tol_Amount,L586&lt;=Tol_Days),"Matched",IF(M586&gt;Tol_NearPct,"Near Match","Unmatched GL"))))</f>
        <v/>
      </c>
    </row>
    <row r="587">
      <c r="A587" s="13">
        <f>IF(GL_CLEAN!A587="","",GL_CLEAN!A587)</f>
        <v/>
      </c>
      <c r="B587" s="10">
        <f>IF(A587="","",GL_CLEAN!B587)</f>
        <v/>
      </c>
      <c r="C587" s="11">
        <f>IF(A587="","",GL_CLEAN!C587)</f>
        <v/>
      </c>
      <c r="D587" s="14">
        <f>IF(A587="","",GL_CLEAN!H587)</f>
        <v/>
      </c>
      <c r="E587" s="14">
        <f>IF(A587="","",GL_CLEAN!I587)</f>
        <v/>
      </c>
      <c r="F587" s="11">
        <f>IF(A587="","",GL_CLEAN!J587)</f>
        <v/>
      </c>
      <c r="G587" s="11">
        <f>IF(A587="","",IF(F587="OUT","DR","CR"))</f>
        <v/>
      </c>
      <c r="H587" s="11">
        <f>IF(A587="","",IFERROR(INDEX(BANK_CLEAN!$A$2:$A$1001,MATCH(MINIFS(BANK_CLEAN!$J$2:$J$1001,BANK_CLEAN!$H$2:$H$1001,G587,BANK_CLEAN!$L$2:$L$1001,""),BANK_CLEAN!$J$2:$J$1001,0)),""))</f>
        <v/>
      </c>
      <c r="I587" s="10">
        <f>IF(H587="","",INDEX(BANK_CLEAN!$B$2:$B$1001,H587))</f>
        <v/>
      </c>
      <c r="J587" s="14">
        <f>IF(H587="","",IF(F587="OUT",INDEX(BANK_CLEAN!$F$2:$F$1001,H587),INDEX(BANK_CLEAN!$E$2:$E$1001,H587)))</f>
        <v/>
      </c>
      <c r="K587" s="14">
        <f>IF(H587="","",ABS(E587-J587))</f>
        <v/>
      </c>
      <c r="L587" s="11">
        <f>IF(OR(H587="",B587="",I587=""),"",ABS(B587-I587))</f>
        <v/>
      </c>
      <c r="M587" s="15">
        <f>IF(H587="",0,LET(pct,IF(E587&gt;0,K587/E587,1),days,IFERROR(L587,999),100-pct*200-days*3))</f>
        <v/>
      </c>
      <c r="N587" s="11">
        <f>IF(A587="","",IF(H587="","Unmatched GL",IF(AND(K587&lt;=Tol_Amount,L587&lt;=Tol_Days),"Matched",IF(M587&gt;Tol_NearPct,"Near Match","Unmatched GL"))))</f>
        <v/>
      </c>
    </row>
    <row r="588">
      <c r="A588" s="13">
        <f>IF(GL_CLEAN!A588="","",GL_CLEAN!A588)</f>
        <v/>
      </c>
      <c r="B588" s="10">
        <f>IF(A588="","",GL_CLEAN!B588)</f>
        <v/>
      </c>
      <c r="C588" s="11">
        <f>IF(A588="","",GL_CLEAN!C588)</f>
        <v/>
      </c>
      <c r="D588" s="14">
        <f>IF(A588="","",GL_CLEAN!H588)</f>
        <v/>
      </c>
      <c r="E588" s="14">
        <f>IF(A588="","",GL_CLEAN!I588)</f>
        <v/>
      </c>
      <c r="F588" s="11">
        <f>IF(A588="","",GL_CLEAN!J588)</f>
        <v/>
      </c>
      <c r="G588" s="11">
        <f>IF(A588="","",IF(F588="OUT","DR","CR"))</f>
        <v/>
      </c>
      <c r="H588" s="11">
        <f>IF(A588="","",IFERROR(INDEX(BANK_CLEAN!$A$2:$A$1001,MATCH(MINIFS(BANK_CLEAN!$J$2:$J$1001,BANK_CLEAN!$H$2:$H$1001,G588,BANK_CLEAN!$L$2:$L$1001,""),BANK_CLEAN!$J$2:$J$1001,0)),""))</f>
        <v/>
      </c>
      <c r="I588" s="10">
        <f>IF(H588="","",INDEX(BANK_CLEAN!$B$2:$B$1001,H588))</f>
        <v/>
      </c>
      <c r="J588" s="14">
        <f>IF(H588="","",IF(F588="OUT",INDEX(BANK_CLEAN!$F$2:$F$1001,H588),INDEX(BANK_CLEAN!$E$2:$E$1001,H588)))</f>
        <v/>
      </c>
      <c r="K588" s="14">
        <f>IF(H588="","",ABS(E588-J588))</f>
        <v/>
      </c>
      <c r="L588" s="11">
        <f>IF(OR(H588="",B588="",I588=""),"",ABS(B588-I588))</f>
        <v/>
      </c>
      <c r="M588" s="15">
        <f>IF(H588="",0,LET(pct,IF(E588&gt;0,K588/E588,1),days,IFERROR(L588,999),100-pct*200-days*3))</f>
        <v/>
      </c>
      <c r="N588" s="11">
        <f>IF(A588="","",IF(H588="","Unmatched GL",IF(AND(K588&lt;=Tol_Amount,L588&lt;=Tol_Days),"Matched",IF(M588&gt;Tol_NearPct,"Near Match","Unmatched GL"))))</f>
        <v/>
      </c>
    </row>
    <row r="589">
      <c r="A589" s="13">
        <f>IF(GL_CLEAN!A589="","",GL_CLEAN!A589)</f>
        <v/>
      </c>
      <c r="B589" s="10">
        <f>IF(A589="","",GL_CLEAN!B589)</f>
        <v/>
      </c>
      <c r="C589" s="11">
        <f>IF(A589="","",GL_CLEAN!C589)</f>
        <v/>
      </c>
      <c r="D589" s="14">
        <f>IF(A589="","",GL_CLEAN!H589)</f>
        <v/>
      </c>
      <c r="E589" s="14">
        <f>IF(A589="","",GL_CLEAN!I589)</f>
        <v/>
      </c>
      <c r="F589" s="11">
        <f>IF(A589="","",GL_CLEAN!J589)</f>
        <v/>
      </c>
      <c r="G589" s="11">
        <f>IF(A589="","",IF(F589="OUT","DR","CR"))</f>
        <v/>
      </c>
      <c r="H589" s="11">
        <f>IF(A589="","",IFERROR(INDEX(BANK_CLEAN!$A$2:$A$1001,MATCH(MINIFS(BANK_CLEAN!$J$2:$J$1001,BANK_CLEAN!$H$2:$H$1001,G589,BANK_CLEAN!$L$2:$L$1001,""),BANK_CLEAN!$J$2:$J$1001,0)),""))</f>
        <v/>
      </c>
      <c r="I589" s="10">
        <f>IF(H589="","",INDEX(BANK_CLEAN!$B$2:$B$1001,H589))</f>
        <v/>
      </c>
      <c r="J589" s="14">
        <f>IF(H589="","",IF(F589="OUT",INDEX(BANK_CLEAN!$F$2:$F$1001,H589),INDEX(BANK_CLEAN!$E$2:$E$1001,H589)))</f>
        <v/>
      </c>
      <c r="K589" s="14">
        <f>IF(H589="","",ABS(E589-J589))</f>
        <v/>
      </c>
      <c r="L589" s="11">
        <f>IF(OR(H589="",B589="",I589=""),"",ABS(B589-I589))</f>
        <v/>
      </c>
      <c r="M589" s="15">
        <f>IF(H589="",0,LET(pct,IF(E589&gt;0,K589/E589,1),days,IFERROR(L589,999),100-pct*200-days*3))</f>
        <v/>
      </c>
      <c r="N589" s="11">
        <f>IF(A589="","",IF(H589="","Unmatched GL",IF(AND(K589&lt;=Tol_Amount,L589&lt;=Tol_Days),"Matched",IF(M589&gt;Tol_NearPct,"Near Match","Unmatched GL"))))</f>
        <v/>
      </c>
    </row>
    <row r="590">
      <c r="A590" s="13">
        <f>IF(GL_CLEAN!A590="","",GL_CLEAN!A590)</f>
        <v/>
      </c>
      <c r="B590" s="10">
        <f>IF(A590="","",GL_CLEAN!B590)</f>
        <v/>
      </c>
      <c r="C590" s="11">
        <f>IF(A590="","",GL_CLEAN!C590)</f>
        <v/>
      </c>
      <c r="D590" s="14">
        <f>IF(A590="","",GL_CLEAN!H590)</f>
        <v/>
      </c>
      <c r="E590" s="14">
        <f>IF(A590="","",GL_CLEAN!I590)</f>
        <v/>
      </c>
      <c r="F590" s="11">
        <f>IF(A590="","",GL_CLEAN!J590)</f>
        <v/>
      </c>
      <c r="G590" s="11">
        <f>IF(A590="","",IF(F590="OUT","DR","CR"))</f>
        <v/>
      </c>
      <c r="H590" s="11">
        <f>IF(A590="","",IFERROR(INDEX(BANK_CLEAN!$A$2:$A$1001,MATCH(MINIFS(BANK_CLEAN!$J$2:$J$1001,BANK_CLEAN!$H$2:$H$1001,G590,BANK_CLEAN!$L$2:$L$1001,""),BANK_CLEAN!$J$2:$J$1001,0)),""))</f>
        <v/>
      </c>
      <c r="I590" s="10">
        <f>IF(H590="","",INDEX(BANK_CLEAN!$B$2:$B$1001,H590))</f>
        <v/>
      </c>
      <c r="J590" s="14">
        <f>IF(H590="","",IF(F590="OUT",INDEX(BANK_CLEAN!$F$2:$F$1001,H590),INDEX(BANK_CLEAN!$E$2:$E$1001,H590)))</f>
        <v/>
      </c>
      <c r="K590" s="14">
        <f>IF(H590="","",ABS(E590-J590))</f>
        <v/>
      </c>
      <c r="L590" s="11">
        <f>IF(OR(H590="",B590="",I590=""),"",ABS(B590-I590))</f>
        <v/>
      </c>
      <c r="M590" s="15">
        <f>IF(H590="",0,LET(pct,IF(E590&gt;0,K590/E590,1),days,IFERROR(L590,999),100-pct*200-days*3))</f>
        <v/>
      </c>
      <c r="N590" s="11">
        <f>IF(A590="","",IF(H590="","Unmatched GL",IF(AND(K590&lt;=Tol_Amount,L590&lt;=Tol_Days),"Matched",IF(M590&gt;Tol_NearPct,"Near Match","Unmatched GL"))))</f>
        <v/>
      </c>
    </row>
    <row r="591">
      <c r="A591" s="13">
        <f>IF(GL_CLEAN!A591="","",GL_CLEAN!A591)</f>
        <v/>
      </c>
      <c r="B591" s="10">
        <f>IF(A591="","",GL_CLEAN!B591)</f>
        <v/>
      </c>
      <c r="C591" s="11">
        <f>IF(A591="","",GL_CLEAN!C591)</f>
        <v/>
      </c>
      <c r="D591" s="14">
        <f>IF(A591="","",GL_CLEAN!H591)</f>
        <v/>
      </c>
      <c r="E591" s="14">
        <f>IF(A591="","",GL_CLEAN!I591)</f>
        <v/>
      </c>
      <c r="F591" s="11">
        <f>IF(A591="","",GL_CLEAN!J591)</f>
        <v/>
      </c>
      <c r="G591" s="11">
        <f>IF(A591="","",IF(F591="OUT","DR","CR"))</f>
        <v/>
      </c>
      <c r="H591" s="11">
        <f>IF(A591="","",IFERROR(INDEX(BANK_CLEAN!$A$2:$A$1001,MATCH(MINIFS(BANK_CLEAN!$J$2:$J$1001,BANK_CLEAN!$H$2:$H$1001,G591,BANK_CLEAN!$L$2:$L$1001,""),BANK_CLEAN!$J$2:$J$1001,0)),""))</f>
        <v/>
      </c>
      <c r="I591" s="10">
        <f>IF(H591="","",INDEX(BANK_CLEAN!$B$2:$B$1001,H591))</f>
        <v/>
      </c>
      <c r="J591" s="14">
        <f>IF(H591="","",IF(F591="OUT",INDEX(BANK_CLEAN!$F$2:$F$1001,H591),INDEX(BANK_CLEAN!$E$2:$E$1001,H591)))</f>
        <v/>
      </c>
      <c r="K591" s="14">
        <f>IF(H591="","",ABS(E591-J591))</f>
        <v/>
      </c>
      <c r="L591" s="11">
        <f>IF(OR(H591="",B591="",I591=""),"",ABS(B591-I591))</f>
        <v/>
      </c>
      <c r="M591" s="15">
        <f>IF(H591="",0,LET(pct,IF(E591&gt;0,K591/E591,1),days,IFERROR(L591,999),100-pct*200-days*3))</f>
        <v/>
      </c>
      <c r="N591" s="11">
        <f>IF(A591="","",IF(H591="","Unmatched GL",IF(AND(K591&lt;=Tol_Amount,L591&lt;=Tol_Days),"Matched",IF(M591&gt;Tol_NearPct,"Near Match","Unmatched GL"))))</f>
        <v/>
      </c>
    </row>
    <row r="592">
      <c r="A592" s="13">
        <f>IF(GL_CLEAN!A592="","",GL_CLEAN!A592)</f>
        <v/>
      </c>
      <c r="B592" s="10">
        <f>IF(A592="","",GL_CLEAN!B592)</f>
        <v/>
      </c>
      <c r="C592" s="11">
        <f>IF(A592="","",GL_CLEAN!C592)</f>
        <v/>
      </c>
      <c r="D592" s="14">
        <f>IF(A592="","",GL_CLEAN!H592)</f>
        <v/>
      </c>
      <c r="E592" s="14">
        <f>IF(A592="","",GL_CLEAN!I592)</f>
        <v/>
      </c>
      <c r="F592" s="11">
        <f>IF(A592="","",GL_CLEAN!J592)</f>
        <v/>
      </c>
      <c r="G592" s="11">
        <f>IF(A592="","",IF(F592="OUT","DR","CR"))</f>
        <v/>
      </c>
      <c r="H592" s="11">
        <f>IF(A592="","",IFERROR(INDEX(BANK_CLEAN!$A$2:$A$1001,MATCH(MINIFS(BANK_CLEAN!$J$2:$J$1001,BANK_CLEAN!$H$2:$H$1001,G592,BANK_CLEAN!$L$2:$L$1001,""),BANK_CLEAN!$J$2:$J$1001,0)),""))</f>
        <v/>
      </c>
      <c r="I592" s="10">
        <f>IF(H592="","",INDEX(BANK_CLEAN!$B$2:$B$1001,H592))</f>
        <v/>
      </c>
      <c r="J592" s="14">
        <f>IF(H592="","",IF(F592="OUT",INDEX(BANK_CLEAN!$F$2:$F$1001,H592),INDEX(BANK_CLEAN!$E$2:$E$1001,H592)))</f>
        <v/>
      </c>
      <c r="K592" s="14">
        <f>IF(H592="","",ABS(E592-J592))</f>
        <v/>
      </c>
      <c r="L592" s="11">
        <f>IF(OR(H592="",B592="",I592=""),"",ABS(B592-I592))</f>
        <v/>
      </c>
      <c r="M592" s="15">
        <f>IF(H592="",0,LET(pct,IF(E592&gt;0,K592/E592,1),days,IFERROR(L592,999),100-pct*200-days*3))</f>
        <v/>
      </c>
      <c r="N592" s="11">
        <f>IF(A592="","",IF(H592="","Unmatched GL",IF(AND(K592&lt;=Tol_Amount,L592&lt;=Tol_Days),"Matched",IF(M592&gt;Tol_NearPct,"Near Match","Unmatched GL"))))</f>
        <v/>
      </c>
    </row>
    <row r="593">
      <c r="A593" s="13">
        <f>IF(GL_CLEAN!A593="","",GL_CLEAN!A593)</f>
        <v/>
      </c>
      <c r="B593" s="10">
        <f>IF(A593="","",GL_CLEAN!B593)</f>
        <v/>
      </c>
      <c r="C593" s="11">
        <f>IF(A593="","",GL_CLEAN!C593)</f>
        <v/>
      </c>
      <c r="D593" s="14">
        <f>IF(A593="","",GL_CLEAN!H593)</f>
        <v/>
      </c>
      <c r="E593" s="14">
        <f>IF(A593="","",GL_CLEAN!I593)</f>
        <v/>
      </c>
      <c r="F593" s="11">
        <f>IF(A593="","",GL_CLEAN!J593)</f>
        <v/>
      </c>
      <c r="G593" s="11">
        <f>IF(A593="","",IF(F593="OUT","DR","CR"))</f>
        <v/>
      </c>
      <c r="H593" s="11">
        <f>IF(A593="","",IFERROR(INDEX(BANK_CLEAN!$A$2:$A$1001,MATCH(MINIFS(BANK_CLEAN!$J$2:$J$1001,BANK_CLEAN!$H$2:$H$1001,G593,BANK_CLEAN!$L$2:$L$1001,""),BANK_CLEAN!$J$2:$J$1001,0)),""))</f>
        <v/>
      </c>
      <c r="I593" s="10">
        <f>IF(H593="","",INDEX(BANK_CLEAN!$B$2:$B$1001,H593))</f>
        <v/>
      </c>
      <c r="J593" s="14">
        <f>IF(H593="","",IF(F593="OUT",INDEX(BANK_CLEAN!$F$2:$F$1001,H593),INDEX(BANK_CLEAN!$E$2:$E$1001,H593)))</f>
        <v/>
      </c>
      <c r="K593" s="14">
        <f>IF(H593="","",ABS(E593-J593))</f>
        <v/>
      </c>
      <c r="L593" s="11">
        <f>IF(OR(H593="",B593="",I593=""),"",ABS(B593-I593))</f>
        <v/>
      </c>
      <c r="M593" s="15">
        <f>IF(H593="",0,LET(pct,IF(E593&gt;0,K593/E593,1),days,IFERROR(L593,999),100-pct*200-days*3))</f>
        <v/>
      </c>
      <c r="N593" s="11">
        <f>IF(A593="","",IF(H593="","Unmatched GL",IF(AND(K593&lt;=Tol_Amount,L593&lt;=Tol_Days),"Matched",IF(M593&gt;Tol_NearPct,"Near Match","Unmatched GL"))))</f>
        <v/>
      </c>
    </row>
    <row r="594">
      <c r="A594" s="13">
        <f>IF(GL_CLEAN!A594="","",GL_CLEAN!A594)</f>
        <v/>
      </c>
      <c r="B594" s="10">
        <f>IF(A594="","",GL_CLEAN!B594)</f>
        <v/>
      </c>
      <c r="C594" s="11">
        <f>IF(A594="","",GL_CLEAN!C594)</f>
        <v/>
      </c>
      <c r="D594" s="14">
        <f>IF(A594="","",GL_CLEAN!H594)</f>
        <v/>
      </c>
      <c r="E594" s="14">
        <f>IF(A594="","",GL_CLEAN!I594)</f>
        <v/>
      </c>
      <c r="F594" s="11">
        <f>IF(A594="","",GL_CLEAN!J594)</f>
        <v/>
      </c>
      <c r="G594" s="11">
        <f>IF(A594="","",IF(F594="OUT","DR","CR"))</f>
        <v/>
      </c>
      <c r="H594" s="11">
        <f>IF(A594="","",IFERROR(INDEX(BANK_CLEAN!$A$2:$A$1001,MATCH(MINIFS(BANK_CLEAN!$J$2:$J$1001,BANK_CLEAN!$H$2:$H$1001,G594,BANK_CLEAN!$L$2:$L$1001,""),BANK_CLEAN!$J$2:$J$1001,0)),""))</f>
        <v/>
      </c>
      <c r="I594" s="10">
        <f>IF(H594="","",INDEX(BANK_CLEAN!$B$2:$B$1001,H594))</f>
        <v/>
      </c>
      <c r="J594" s="14">
        <f>IF(H594="","",IF(F594="OUT",INDEX(BANK_CLEAN!$F$2:$F$1001,H594),INDEX(BANK_CLEAN!$E$2:$E$1001,H594)))</f>
        <v/>
      </c>
      <c r="K594" s="14">
        <f>IF(H594="","",ABS(E594-J594))</f>
        <v/>
      </c>
      <c r="L594" s="11">
        <f>IF(OR(H594="",B594="",I594=""),"",ABS(B594-I594))</f>
        <v/>
      </c>
      <c r="M594" s="15">
        <f>IF(H594="",0,LET(pct,IF(E594&gt;0,K594/E594,1),days,IFERROR(L594,999),100-pct*200-days*3))</f>
        <v/>
      </c>
      <c r="N594" s="11">
        <f>IF(A594="","",IF(H594="","Unmatched GL",IF(AND(K594&lt;=Tol_Amount,L594&lt;=Tol_Days),"Matched",IF(M594&gt;Tol_NearPct,"Near Match","Unmatched GL"))))</f>
        <v/>
      </c>
    </row>
    <row r="595">
      <c r="A595" s="13">
        <f>IF(GL_CLEAN!A595="","",GL_CLEAN!A595)</f>
        <v/>
      </c>
      <c r="B595" s="10">
        <f>IF(A595="","",GL_CLEAN!B595)</f>
        <v/>
      </c>
      <c r="C595" s="11">
        <f>IF(A595="","",GL_CLEAN!C595)</f>
        <v/>
      </c>
      <c r="D595" s="14">
        <f>IF(A595="","",GL_CLEAN!H595)</f>
        <v/>
      </c>
      <c r="E595" s="14">
        <f>IF(A595="","",GL_CLEAN!I595)</f>
        <v/>
      </c>
      <c r="F595" s="11">
        <f>IF(A595="","",GL_CLEAN!J595)</f>
        <v/>
      </c>
      <c r="G595" s="11">
        <f>IF(A595="","",IF(F595="OUT","DR","CR"))</f>
        <v/>
      </c>
      <c r="H595" s="11">
        <f>IF(A595="","",IFERROR(INDEX(BANK_CLEAN!$A$2:$A$1001,MATCH(MINIFS(BANK_CLEAN!$J$2:$J$1001,BANK_CLEAN!$H$2:$H$1001,G595,BANK_CLEAN!$L$2:$L$1001,""),BANK_CLEAN!$J$2:$J$1001,0)),""))</f>
        <v/>
      </c>
      <c r="I595" s="10">
        <f>IF(H595="","",INDEX(BANK_CLEAN!$B$2:$B$1001,H595))</f>
        <v/>
      </c>
      <c r="J595" s="14">
        <f>IF(H595="","",IF(F595="OUT",INDEX(BANK_CLEAN!$F$2:$F$1001,H595),INDEX(BANK_CLEAN!$E$2:$E$1001,H595)))</f>
        <v/>
      </c>
      <c r="K595" s="14">
        <f>IF(H595="","",ABS(E595-J595))</f>
        <v/>
      </c>
      <c r="L595" s="11">
        <f>IF(OR(H595="",B595="",I595=""),"",ABS(B595-I595))</f>
        <v/>
      </c>
      <c r="M595" s="15">
        <f>IF(H595="",0,LET(pct,IF(E595&gt;0,K595/E595,1),days,IFERROR(L595,999),100-pct*200-days*3))</f>
        <v/>
      </c>
      <c r="N595" s="11">
        <f>IF(A595="","",IF(H595="","Unmatched GL",IF(AND(K595&lt;=Tol_Amount,L595&lt;=Tol_Days),"Matched",IF(M595&gt;Tol_NearPct,"Near Match","Unmatched GL"))))</f>
        <v/>
      </c>
    </row>
    <row r="596">
      <c r="A596" s="13">
        <f>IF(GL_CLEAN!A596="","",GL_CLEAN!A596)</f>
        <v/>
      </c>
      <c r="B596" s="10">
        <f>IF(A596="","",GL_CLEAN!B596)</f>
        <v/>
      </c>
      <c r="C596" s="11">
        <f>IF(A596="","",GL_CLEAN!C596)</f>
        <v/>
      </c>
      <c r="D596" s="14">
        <f>IF(A596="","",GL_CLEAN!H596)</f>
        <v/>
      </c>
      <c r="E596" s="14">
        <f>IF(A596="","",GL_CLEAN!I596)</f>
        <v/>
      </c>
      <c r="F596" s="11">
        <f>IF(A596="","",GL_CLEAN!J596)</f>
        <v/>
      </c>
      <c r="G596" s="11">
        <f>IF(A596="","",IF(F596="OUT","DR","CR"))</f>
        <v/>
      </c>
      <c r="H596" s="11">
        <f>IF(A596="","",IFERROR(INDEX(BANK_CLEAN!$A$2:$A$1001,MATCH(MINIFS(BANK_CLEAN!$J$2:$J$1001,BANK_CLEAN!$H$2:$H$1001,G596,BANK_CLEAN!$L$2:$L$1001,""),BANK_CLEAN!$J$2:$J$1001,0)),""))</f>
        <v/>
      </c>
      <c r="I596" s="10">
        <f>IF(H596="","",INDEX(BANK_CLEAN!$B$2:$B$1001,H596))</f>
        <v/>
      </c>
      <c r="J596" s="14">
        <f>IF(H596="","",IF(F596="OUT",INDEX(BANK_CLEAN!$F$2:$F$1001,H596),INDEX(BANK_CLEAN!$E$2:$E$1001,H596)))</f>
        <v/>
      </c>
      <c r="K596" s="14">
        <f>IF(H596="","",ABS(E596-J596))</f>
        <v/>
      </c>
      <c r="L596" s="11">
        <f>IF(OR(H596="",B596="",I596=""),"",ABS(B596-I596))</f>
        <v/>
      </c>
      <c r="M596" s="15">
        <f>IF(H596="",0,LET(pct,IF(E596&gt;0,K596/E596,1),days,IFERROR(L596,999),100-pct*200-days*3))</f>
        <v/>
      </c>
      <c r="N596" s="11">
        <f>IF(A596="","",IF(H596="","Unmatched GL",IF(AND(K596&lt;=Tol_Amount,L596&lt;=Tol_Days),"Matched",IF(M596&gt;Tol_NearPct,"Near Match","Unmatched GL"))))</f>
        <v/>
      </c>
    </row>
    <row r="597">
      <c r="A597" s="13">
        <f>IF(GL_CLEAN!A597="","",GL_CLEAN!A597)</f>
        <v/>
      </c>
      <c r="B597" s="10">
        <f>IF(A597="","",GL_CLEAN!B597)</f>
        <v/>
      </c>
      <c r="C597" s="11">
        <f>IF(A597="","",GL_CLEAN!C597)</f>
        <v/>
      </c>
      <c r="D597" s="14">
        <f>IF(A597="","",GL_CLEAN!H597)</f>
        <v/>
      </c>
      <c r="E597" s="14">
        <f>IF(A597="","",GL_CLEAN!I597)</f>
        <v/>
      </c>
      <c r="F597" s="11">
        <f>IF(A597="","",GL_CLEAN!J597)</f>
        <v/>
      </c>
      <c r="G597" s="11">
        <f>IF(A597="","",IF(F597="OUT","DR","CR"))</f>
        <v/>
      </c>
      <c r="H597" s="11">
        <f>IF(A597="","",IFERROR(INDEX(BANK_CLEAN!$A$2:$A$1001,MATCH(MINIFS(BANK_CLEAN!$J$2:$J$1001,BANK_CLEAN!$H$2:$H$1001,G597,BANK_CLEAN!$L$2:$L$1001,""),BANK_CLEAN!$J$2:$J$1001,0)),""))</f>
        <v/>
      </c>
      <c r="I597" s="10">
        <f>IF(H597="","",INDEX(BANK_CLEAN!$B$2:$B$1001,H597))</f>
        <v/>
      </c>
      <c r="J597" s="14">
        <f>IF(H597="","",IF(F597="OUT",INDEX(BANK_CLEAN!$F$2:$F$1001,H597),INDEX(BANK_CLEAN!$E$2:$E$1001,H597)))</f>
        <v/>
      </c>
      <c r="K597" s="14">
        <f>IF(H597="","",ABS(E597-J597))</f>
        <v/>
      </c>
      <c r="L597" s="11">
        <f>IF(OR(H597="",B597="",I597=""),"",ABS(B597-I597))</f>
        <v/>
      </c>
      <c r="M597" s="15">
        <f>IF(H597="",0,LET(pct,IF(E597&gt;0,K597/E597,1),days,IFERROR(L597,999),100-pct*200-days*3))</f>
        <v/>
      </c>
      <c r="N597" s="11">
        <f>IF(A597="","",IF(H597="","Unmatched GL",IF(AND(K597&lt;=Tol_Amount,L597&lt;=Tol_Days),"Matched",IF(M597&gt;Tol_NearPct,"Near Match","Unmatched GL"))))</f>
        <v/>
      </c>
    </row>
    <row r="598">
      <c r="A598" s="13">
        <f>IF(GL_CLEAN!A598="","",GL_CLEAN!A598)</f>
        <v/>
      </c>
      <c r="B598" s="10">
        <f>IF(A598="","",GL_CLEAN!B598)</f>
        <v/>
      </c>
      <c r="C598" s="11">
        <f>IF(A598="","",GL_CLEAN!C598)</f>
        <v/>
      </c>
      <c r="D598" s="14">
        <f>IF(A598="","",GL_CLEAN!H598)</f>
        <v/>
      </c>
      <c r="E598" s="14">
        <f>IF(A598="","",GL_CLEAN!I598)</f>
        <v/>
      </c>
      <c r="F598" s="11">
        <f>IF(A598="","",GL_CLEAN!J598)</f>
        <v/>
      </c>
      <c r="G598" s="11">
        <f>IF(A598="","",IF(F598="OUT","DR","CR"))</f>
        <v/>
      </c>
      <c r="H598" s="11">
        <f>IF(A598="","",IFERROR(INDEX(BANK_CLEAN!$A$2:$A$1001,MATCH(MINIFS(BANK_CLEAN!$J$2:$J$1001,BANK_CLEAN!$H$2:$H$1001,G598,BANK_CLEAN!$L$2:$L$1001,""),BANK_CLEAN!$J$2:$J$1001,0)),""))</f>
        <v/>
      </c>
      <c r="I598" s="10">
        <f>IF(H598="","",INDEX(BANK_CLEAN!$B$2:$B$1001,H598))</f>
        <v/>
      </c>
      <c r="J598" s="14">
        <f>IF(H598="","",IF(F598="OUT",INDEX(BANK_CLEAN!$F$2:$F$1001,H598),INDEX(BANK_CLEAN!$E$2:$E$1001,H598)))</f>
        <v/>
      </c>
      <c r="K598" s="14">
        <f>IF(H598="","",ABS(E598-J598))</f>
        <v/>
      </c>
      <c r="L598" s="11">
        <f>IF(OR(H598="",B598="",I598=""),"",ABS(B598-I598))</f>
        <v/>
      </c>
      <c r="M598" s="15">
        <f>IF(H598="",0,LET(pct,IF(E598&gt;0,K598/E598,1),days,IFERROR(L598,999),100-pct*200-days*3))</f>
        <v/>
      </c>
      <c r="N598" s="11">
        <f>IF(A598="","",IF(H598="","Unmatched GL",IF(AND(K598&lt;=Tol_Amount,L598&lt;=Tol_Days),"Matched",IF(M598&gt;Tol_NearPct,"Near Match","Unmatched GL"))))</f>
        <v/>
      </c>
    </row>
    <row r="599">
      <c r="A599" s="13">
        <f>IF(GL_CLEAN!A599="","",GL_CLEAN!A599)</f>
        <v/>
      </c>
      <c r="B599" s="10">
        <f>IF(A599="","",GL_CLEAN!B599)</f>
        <v/>
      </c>
      <c r="C599" s="11">
        <f>IF(A599="","",GL_CLEAN!C599)</f>
        <v/>
      </c>
      <c r="D599" s="14">
        <f>IF(A599="","",GL_CLEAN!H599)</f>
        <v/>
      </c>
      <c r="E599" s="14">
        <f>IF(A599="","",GL_CLEAN!I599)</f>
        <v/>
      </c>
      <c r="F599" s="11">
        <f>IF(A599="","",GL_CLEAN!J599)</f>
        <v/>
      </c>
      <c r="G599" s="11">
        <f>IF(A599="","",IF(F599="OUT","DR","CR"))</f>
        <v/>
      </c>
      <c r="H599" s="11">
        <f>IF(A599="","",IFERROR(INDEX(BANK_CLEAN!$A$2:$A$1001,MATCH(MINIFS(BANK_CLEAN!$J$2:$J$1001,BANK_CLEAN!$H$2:$H$1001,G599,BANK_CLEAN!$L$2:$L$1001,""),BANK_CLEAN!$J$2:$J$1001,0)),""))</f>
        <v/>
      </c>
      <c r="I599" s="10">
        <f>IF(H599="","",INDEX(BANK_CLEAN!$B$2:$B$1001,H599))</f>
        <v/>
      </c>
      <c r="J599" s="14">
        <f>IF(H599="","",IF(F599="OUT",INDEX(BANK_CLEAN!$F$2:$F$1001,H599),INDEX(BANK_CLEAN!$E$2:$E$1001,H599)))</f>
        <v/>
      </c>
      <c r="K599" s="14">
        <f>IF(H599="","",ABS(E599-J599))</f>
        <v/>
      </c>
      <c r="L599" s="11">
        <f>IF(OR(H599="",B599="",I599=""),"",ABS(B599-I599))</f>
        <v/>
      </c>
      <c r="M599" s="15">
        <f>IF(H599="",0,LET(pct,IF(E599&gt;0,K599/E599,1),days,IFERROR(L599,999),100-pct*200-days*3))</f>
        <v/>
      </c>
      <c r="N599" s="11">
        <f>IF(A599="","",IF(H599="","Unmatched GL",IF(AND(K599&lt;=Tol_Amount,L599&lt;=Tol_Days),"Matched",IF(M599&gt;Tol_NearPct,"Near Match","Unmatched GL"))))</f>
        <v/>
      </c>
    </row>
    <row r="600">
      <c r="A600" s="13">
        <f>IF(GL_CLEAN!A600="","",GL_CLEAN!A600)</f>
        <v/>
      </c>
      <c r="B600" s="10">
        <f>IF(A600="","",GL_CLEAN!B600)</f>
        <v/>
      </c>
      <c r="C600" s="11">
        <f>IF(A600="","",GL_CLEAN!C600)</f>
        <v/>
      </c>
      <c r="D600" s="14">
        <f>IF(A600="","",GL_CLEAN!H600)</f>
        <v/>
      </c>
      <c r="E600" s="14">
        <f>IF(A600="","",GL_CLEAN!I600)</f>
        <v/>
      </c>
      <c r="F600" s="11">
        <f>IF(A600="","",GL_CLEAN!J600)</f>
        <v/>
      </c>
      <c r="G600" s="11">
        <f>IF(A600="","",IF(F600="OUT","DR","CR"))</f>
        <v/>
      </c>
      <c r="H600" s="11">
        <f>IF(A600="","",IFERROR(INDEX(BANK_CLEAN!$A$2:$A$1001,MATCH(MINIFS(BANK_CLEAN!$J$2:$J$1001,BANK_CLEAN!$H$2:$H$1001,G600,BANK_CLEAN!$L$2:$L$1001,""),BANK_CLEAN!$J$2:$J$1001,0)),""))</f>
        <v/>
      </c>
      <c r="I600" s="10">
        <f>IF(H600="","",INDEX(BANK_CLEAN!$B$2:$B$1001,H600))</f>
        <v/>
      </c>
      <c r="J600" s="14">
        <f>IF(H600="","",IF(F600="OUT",INDEX(BANK_CLEAN!$F$2:$F$1001,H600),INDEX(BANK_CLEAN!$E$2:$E$1001,H600)))</f>
        <v/>
      </c>
      <c r="K600" s="14">
        <f>IF(H600="","",ABS(E600-J600))</f>
        <v/>
      </c>
      <c r="L600" s="11">
        <f>IF(OR(H600="",B600="",I600=""),"",ABS(B600-I600))</f>
        <v/>
      </c>
      <c r="M600" s="15">
        <f>IF(H600="",0,LET(pct,IF(E600&gt;0,K600/E600,1),days,IFERROR(L600,999),100-pct*200-days*3))</f>
        <v/>
      </c>
      <c r="N600" s="11">
        <f>IF(A600="","",IF(H600="","Unmatched GL",IF(AND(K600&lt;=Tol_Amount,L600&lt;=Tol_Days),"Matched",IF(M600&gt;Tol_NearPct,"Near Match","Unmatched GL"))))</f>
        <v/>
      </c>
    </row>
    <row r="601">
      <c r="A601" s="13">
        <f>IF(GL_CLEAN!A601="","",GL_CLEAN!A601)</f>
        <v/>
      </c>
      <c r="B601" s="10">
        <f>IF(A601="","",GL_CLEAN!B601)</f>
        <v/>
      </c>
      <c r="C601" s="11">
        <f>IF(A601="","",GL_CLEAN!C601)</f>
        <v/>
      </c>
      <c r="D601" s="14">
        <f>IF(A601="","",GL_CLEAN!H601)</f>
        <v/>
      </c>
      <c r="E601" s="14">
        <f>IF(A601="","",GL_CLEAN!I601)</f>
        <v/>
      </c>
      <c r="F601" s="11">
        <f>IF(A601="","",GL_CLEAN!J601)</f>
        <v/>
      </c>
      <c r="G601" s="11">
        <f>IF(A601="","",IF(F601="OUT","DR","CR"))</f>
        <v/>
      </c>
      <c r="H601" s="11">
        <f>IF(A601="","",IFERROR(INDEX(BANK_CLEAN!$A$2:$A$1001,MATCH(MINIFS(BANK_CLEAN!$J$2:$J$1001,BANK_CLEAN!$H$2:$H$1001,G601,BANK_CLEAN!$L$2:$L$1001,""),BANK_CLEAN!$J$2:$J$1001,0)),""))</f>
        <v/>
      </c>
      <c r="I601" s="10">
        <f>IF(H601="","",INDEX(BANK_CLEAN!$B$2:$B$1001,H601))</f>
        <v/>
      </c>
      <c r="J601" s="14">
        <f>IF(H601="","",IF(F601="OUT",INDEX(BANK_CLEAN!$F$2:$F$1001,H601),INDEX(BANK_CLEAN!$E$2:$E$1001,H601)))</f>
        <v/>
      </c>
      <c r="K601" s="14">
        <f>IF(H601="","",ABS(E601-J601))</f>
        <v/>
      </c>
      <c r="L601" s="11">
        <f>IF(OR(H601="",B601="",I601=""),"",ABS(B601-I601))</f>
        <v/>
      </c>
      <c r="M601" s="15">
        <f>IF(H601="",0,LET(pct,IF(E601&gt;0,K601/E601,1),days,IFERROR(L601,999),100-pct*200-days*3))</f>
        <v/>
      </c>
      <c r="N601" s="11">
        <f>IF(A601="","",IF(H601="","Unmatched GL",IF(AND(K601&lt;=Tol_Amount,L601&lt;=Tol_Days),"Matched",IF(M601&gt;Tol_NearPct,"Near Match","Unmatched GL"))))</f>
        <v/>
      </c>
    </row>
    <row r="602">
      <c r="A602" s="13">
        <f>IF(GL_CLEAN!A602="","",GL_CLEAN!A602)</f>
        <v/>
      </c>
      <c r="B602" s="10">
        <f>IF(A602="","",GL_CLEAN!B602)</f>
        <v/>
      </c>
      <c r="C602" s="11">
        <f>IF(A602="","",GL_CLEAN!C602)</f>
        <v/>
      </c>
      <c r="D602" s="14">
        <f>IF(A602="","",GL_CLEAN!H602)</f>
        <v/>
      </c>
      <c r="E602" s="14">
        <f>IF(A602="","",GL_CLEAN!I602)</f>
        <v/>
      </c>
      <c r="F602" s="11">
        <f>IF(A602="","",GL_CLEAN!J602)</f>
        <v/>
      </c>
      <c r="G602" s="11">
        <f>IF(A602="","",IF(F602="OUT","DR","CR"))</f>
        <v/>
      </c>
      <c r="H602" s="11">
        <f>IF(A602="","",IFERROR(INDEX(BANK_CLEAN!$A$2:$A$1001,MATCH(MINIFS(BANK_CLEAN!$J$2:$J$1001,BANK_CLEAN!$H$2:$H$1001,G602,BANK_CLEAN!$L$2:$L$1001,""),BANK_CLEAN!$J$2:$J$1001,0)),""))</f>
        <v/>
      </c>
      <c r="I602" s="10">
        <f>IF(H602="","",INDEX(BANK_CLEAN!$B$2:$B$1001,H602))</f>
        <v/>
      </c>
      <c r="J602" s="14">
        <f>IF(H602="","",IF(F602="OUT",INDEX(BANK_CLEAN!$F$2:$F$1001,H602),INDEX(BANK_CLEAN!$E$2:$E$1001,H602)))</f>
        <v/>
      </c>
      <c r="K602" s="14">
        <f>IF(H602="","",ABS(E602-J602))</f>
        <v/>
      </c>
      <c r="L602" s="11">
        <f>IF(OR(H602="",B602="",I602=""),"",ABS(B602-I602))</f>
        <v/>
      </c>
      <c r="M602" s="15">
        <f>IF(H602="",0,LET(pct,IF(E602&gt;0,K602/E602,1),days,IFERROR(L602,999),100-pct*200-days*3))</f>
        <v/>
      </c>
      <c r="N602" s="11">
        <f>IF(A602="","",IF(H602="","Unmatched GL",IF(AND(K602&lt;=Tol_Amount,L602&lt;=Tol_Days),"Matched",IF(M602&gt;Tol_NearPct,"Near Match","Unmatched GL"))))</f>
        <v/>
      </c>
    </row>
    <row r="603">
      <c r="A603" s="13">
        <f>IF(GL_CLEAN!A603="","",GL_CLEAN!A603)</f>
        <v/>
      </c>
      <c r="B603" s="10">
        <f>IF(A603="","",GL_CLEAN!B603)</f>
        <v/>
      </c>
      <c r="C603" s="11">
        <f>IF(A603="","",GL_CLEAN!C603)</f>
        <v/>
      </c>
      <c r="D603" s="14">
        <f>IF(A603="","",GL_CLEAN!H603)</f>
        <v/>
      </c>
      <c r="E603" s="14">
        <f>IF(A603="","",GL_CLEAN!I603)</f>
        <v/>
      </c>
      <c r="F603" s="11">
        <f>IF(A603="","",GL_CLEAN!J603)</f>
        <v/>
      </c>
      <c r="G603" s="11">
        <f>IF(A603="","",IF(F603="OUT","DR","CR"))</f>
        <v/>
      </c>
      <c r="H603" s="11">
        <f>IF(A603="","",IFERROR(INDEX(BANK_CLEAN!$A$2:$A$1001,MATCH(MINIFS(BANK_CLEAN!$J$2:$J$1001,BANK_CLEAN!$H$2:$H$1001,G603,BANK_CLEAN!$L$2:$L$1001,""),BANK_CLEAN!$J$2:$J$1001,0)),""))</f>
        <v/>
      </c>
      <c r="I603" s="10">
        <f>IF(H603="","",INDEX(BANK_CLEAN!$B$2:$B$1001,H603))</f>
        <v/>
      </c>
      <c r="J603" s="14">
        <f>IF(H603="","",IF(F603="OUT",INDEX(BANK_CLEAN!$F$2:$F$1001,H603),INDEX(BANK_CLEAN!$E$2:$E$1001,H603)))</f>
        <v/>
      </c>
      <c r="K603" s="14">
        <f>IF(H603="","",ABS(E603-J603))</f>
        <v/>
      </c>
      <c r="L603" s="11">
        <f>IF(OR(H603="",B603="",I603=""),"",ABS(B603-I603))</f>
        <v/>
      </c>
      <c r="M603" s="15">
        <f>IF(H603="",0,LET(pct,IF(E603&gt;0,K603/E603,1),days,IFERROR(L603,999),100-pct*200-days*3))</f>
        <v/>
      </c>
      <c r="N603" s="11">
        <f>IF(A603="","",IF(H603="","Unmatched GL",IF(AND(K603&lt;=Tol_Amount,L603&lt;=Tol_Days),"Matched",IF(M603&gt;Tol_NearPct,"Near Match","Unmatched GL"))))</f>
        <v/>
      </c>
    </row>
    <row r="604">
      <c r="A604" s="13">
        <f>IF(GL_CLEAN!A604="","",GL_CLEAN!A604)</f>
        <v/>
      </c>
      <c r="B604" s="10">
        <f>IF(A604="","",GL_CLEAN!B604)</f>
        <v/>
      </c>
      <c r="C604" s="11">
        <f>IF(A604="","",GL_CLEAN!C604)</f>
        <v/>
      </c>
      <c r="D604" s="14">
        <f>IF(A604="","",GL_CLEAN!H604)</f>
        <v/>
      </c>
      <c r="E604" s="14">
        <f>IF(A604="","",GL_CLEAN!I604)</f>
        <v/>
      </c>
      <c r="F604" s="11">
        <f>IF(A604="","",GL_CLEAN!J604)</f>
        <v/>
      </c>
      <c r="G604" s="11">
        <f>IF(A604="","",IF(F604="OUT","DR","CR"))</f>
        <v/>
      </c>
      <c r="H604" s="11">
        <f>IF(A604="","",IFERROR(INDEX(BANK_CLEAN!$A$2:$A$1001,MATCH(MINIFS(BANK_CLEAN!$J$2:$J$1001,BANK_CLEAN!$H$2:$H$1001,G604,BANK_CLEAN!$L$2:$L$1001,""),BANK_CLEAN!$J$2:$J$1001,0)),""))</f>
        <v/>
      </c>
      <c r="I604" s="10">
        <f>IF(H604="","",INDEX(BANK_CLEAN!$B$2:$B$1001,H604))</f>
        <v/>
      </c>
      <c r="J604" s="14">
        <f>IF(H604="","",IF(F604="OUT",INDEX(BANK_CLEAN!$F$2:$F$1001,H604),INDEX(BANK_CLEAN!$E$2:$E$1001,H604)))</f>
        <v/>
      </c>
      <c r="K604" s="14">
        <f>IF(H604="","",ABS(E604-J604))</f>
        <v/>
      </c>
      <c r="L604" s="11">
        <f>IF(OR(H604="",B604="",I604=""),"",ABS(B604-I604))</f>
        <v/>
      </c>
      <c r="M604" s="15">
        <f>IF(H604="",0,LET(pct,IF(E604&gt;0,K604/E604,1),days,IFERROR(L604,999),100-pct*200-days*3))</f>
        <v/>
      </c>
      <c r="N604" s="11">
        <f>IF(A604="","",IF(H604="","Unmatched GL",IF(AND(K604&lt;=Tol_Amount,L604&lt;=Tol_Days),"Matched",IF(M604&gt;Tol_NearPct,"Near Match","Unmatched GL"))))</f>
        <v/>
      </c>
    </row>
    <row r="605">
      <c r="A605" s="13">
        <f>IF(GL_CLEAN!A605="","",GL_CLEAN!A605)</f>
        <v/>
      </c>
      <c r="B605" s="10">
        <f>IF(A605="","",GL_CLEAN!B605)</f>
        <v/>
      </c>
      <c r="C605" s="11">
        <f>IF(A605="","",GL_CLEAN!C605)</f>
        <v/>
      </c>
      <c r="D605" s="14">
        <f>IF(A605="","",GL_CLEAN!H605)</f>
        <v/>
      </c>
      <c r="E605" s="14">
        <f>IF(A605="","",GL_CLEAN!I605)</f>
        <v/>
      </c>
      <c r="F605" s="11">
        <f>IF(A605="","",GL_CLEAN!J605)</f>
        <v/>
      </c>
      <c r="G605" s="11">
        <f>IF(A605="","",IF(F605="OUT","DR","CR"))</f>
        <v/>
      </c>
      <c r="H605" s="11">
        <f>IF(A605="","",IFERROR(INDEX(BANK_CLEAN!$A$2:$A$1001,MATCH(MINIFS(BANK_CLEAN!$J$2:$J$1001,BANK_CLEAN!$H$2:$H$1001,G605,BANK_CLEAN!$L$2:$L$1001,""),BANK_CLEAN!$J$2:$J$1001,0)),""))</f>
        <v/>
      </c>
      <c r="I605" s="10">
        <f>IF(H605="","",INDEX(BANK_CLEAN!$B$2:$B$1001,H605))</f>
        <v/>
      </c>
      <c r="J605" s="14">
        <f>IF(H605="","",IF(F605="OUT",INDEX(BANK_CLEAN!$F$2:$F$1001,H605),INDEX(BANK_CLEAN!$E$2:$E$1001,H605)))</f>
        <v/>
      </c>
      <c r="K605" s="14">
        <f>IF(H605="","",ABS(E605-J605))</f>
        <v/>
      </c>
      <c r="L605" s="11">
        <f>IF(OR(H605="",B605="",I605=""),"",ABS(B605-I605))</f>
        <v/>
      </c>
      <c r="M605" s="15">
        <f>IF(H605="",0,LET(pct,IF(E605&gt;0,K605/E605,1),days,IFERROR(L605,999),100-pct*200-days*3))</f>
        <v/>
      </c>
      <c r="N605" s="11">
        <f>IF(A605="","",IF(H605="","Unmatched GL",IF(AND(K605&lt;=Tol_Amount,L605&lt;=Tol_Days),"Matched",IF(M605&gt;Tol_NearPct,"Near Match","Unmatched GL"))))</f>
        <v/>
      </c>
    </row>
    <row r="606">
      <c r="A606" s="13">
        <f>IF(GL_CLEAN!A606="","",GL_CLEAN!A606)</f>
        <v/>
      </c>
      <c r="B606" s="10">
        <f>IF(A606="","",GL_CLEAN!B606)</f>
        <v/>
      </c>
      <c r="C606" s="11">
        <f>IF(A606="","",GL_CLEAN!C606)</f>
        <v/>
      </c>
      <c r="D606" s="14">
        <f>IF(A606="","",GL_CLEAN!H606)</f>
        <v/>
      </c>
      <c r="E606" s="14">
        <f>IF(A606="","",GL_CLEAN!I606)</f>
        <v/>
      </c>
      <c r="F606" s="11">
        <f>IF(A606="","",GL_CLEAN!J606)</f>
        <v/>
      </c>
      <c r="G606" s="11">
        <f>IF(A606="","",IF(F606="OUT","DR","CR"))</f>
        <v/>
      </c>
      <c r="H606" s="11">
        <f>IF(A606="","",IFERROR(INDEX(BANK_CLEAN!$A$2:$A$1001,MATCH(MINIFS(BANK_CLEAN!$J$2:$J$1001,BANK_CLEAN!$H$2:$H$1001,G606,BANK_CLEAN!$L$2:$L$1001,""),BANK_CLEAN!$J$2:$J$1001,0)),""))</f>
        <v/>
      </c>
      <c r="I606" s="10">
        <f>IF(H606="","",INDEX(BANK_CLEAN!$B$2:$B$1001,H606))</f>
        <v/>
      </c>
      <c r="J606" s="14">
        <f>IF(H606="","",IF(F606="OUT",INDEX(BANK_CLEAN!$F$2:$F$1001,H606),INDEX(BANK_CLEAN!$E$2:$E$1001,H606)))</f>
        <v/>
      </c>
      <c r="K606" s="14">
        <f>IF(H606="","",ABS(E606-J606))</f>
        <v/>
      </c>
      <c r="L606" s="11">
        <f>IF(OR(H606="",B606="",I606=""),"",ABS(B606-I606))</f>
        <v/>
      </c>
      <c r="M606" s="15">
        <f>IF(H606="",0,LET(pct,IF(E606&gt;0,K606/E606,1),days,IFERROR(L606,999),100-pct*200-days*3))</f>
        <v/>
      </c>
      <c r="N606" s="11">
        <f>IF(A606="","",IF(H606="","Unmatched GL",IF(AND(K606&lt;=Tol_Amount,L606&lt;=Tol_Days),"Matched",IF(M606&gt;Tol_NearPct,"Near Match","Unmatched GL"))))</f>
        <v/>
      </c>
    </row>
    <row r="607">
      <c r="A607" s="13">
        <f>IF(GL_CLEAN!A607="","",GL_CLEAN!A607)</f>
        <v/>
      </c>
      <c r="B607" s="10">
        <f>IF(A607="","",GL_CLEAN!B607)</f>
        <v/>
      </c>
      <c r="C607" s="11">
        <f>IF(A607="","",GL_CLEAN!C607)</f>
        <v/>
      </c>
      <c r="D607" s="14">
        <f>IF(A607="","",GL_CLEAN!H607)</f>
        <v/>
      </c>
      <c r="E607" s="14">
        <f>IF(A607="","",GL_CLEAN!I607)</f>
        <v/>
      </c>
      <c r="F607" s="11">
        <f>IF(A607="","",GL_CLEAN!J607)</f>
        <v/>
      </c>
      <c r="G607" s="11">
        <f>IF(A607="","",IF(F607="OUT","DR","CR"))</f>
        <v/>
      </c>
      <c r="H607" s="11">
        <f>IF(A607="","",IFERROR(INDEX(BANK_CLEAN!$A$2:$A$1001,MATCH(MINIFS(BANK_CLEAN!$J$2:$J$1001,BANK_CLEAN!$H$2:$H$1001,G607,BANK_CLEAN!$L$2:$L$1001,""),BANK_CLEAN!$J$2:$J$1001,0)),""))</f>
        <v/>
      </c>
      <c r="I607" s="10">
        <f>IF(H607="","",INDEX(BANK_CLEAN!$B$2:$B$1001,H607))</f>
        <v/>
      </c>
      <c r="J607" s="14">
        <f>IF(H607="","",IF(F607="OUT",INDEX(BANK_CLEAN!$F$2:$F$1001,H607),INDEX(BANK_CLEAN!$E$2:$E$1001,H607)))</f>
        <v/>
      </c>
      <c r="K607" s="14">
        <f>IF(H607="","",ABS(E607-J607))</f>
        <v/>
      </c>
      <c r="L607" s="11">
        <f>IF(OR(H607="",B607="",I607=""),"",ABS(B607-I607))</f>
        <v/>
      </c>
      <c r="M607" s="15">
        <f>IF(H607="",0,LET(pct,IF(E607&gt;0,K607/E607,1),days,IFERROR(L607,999),100-pct*200-days*3))</f>
        <v/>
      </c>
      <c r="N607" s="11">
        <f>IF(A607="","",IF(H607="","Unmatched GL",IF(AND(K607&lt;=Tol_Amount,L607&lt;=Tol_Days),"Matched",IF(M607&gt;Tol_NearPct,"Near Match","Unmatched GL"))))</f>
        <v/>
      </c>
    </row>
    <row r="608">
      <c r="A608" s="13">
        <f>IF(GL_CLEAN!A608="","",GL_CLEAN!A608)</f>
        <v/>
      </c>
      <c r="B608" s="10">
        <f>IF(A608="","",GL_CLEAN!B608)</f>
        <v/>
      </c>
      <c r="C608" s="11">
        <f>IF(A608="","",GL_CLEAN!C608)</f>
        <v/>
      </c>
      <c r="D608" s="14">
        <f>IF(A608="","",GL_CLEAN!H608)</f>
        <v/>
      </c>
      <c r="E608" s="14">
        <f>IF(A608="","",GL_CLEAN!I608)</f>
        <v/>
      </c>
      <c r="F608" s="11">
        <f>IF(A608="","",GL_CLEAN!J608)</f>
        <v/>
      </c>
      <c r="G608" s="11">
        <f>IF(A608="","",IF(F608="OUT","DR","CR"))</f>
        <v/>
      </c>
      <c r="H608" s="11">
        <f>IF(A608="","",IFERROR(INDEX(BANK_CLEAN!$A$2:$A$1001,MATCH(MINIFS(BANK_CLEAN!$J$2:$J$1001,BANK_CLEAN!$H$2:$H$1001,G608,BANK_CLEAN!$L$2:$L$1001,""),BANK_CLEAN!$J$2:$J$1001,0)),""))</f>
        <v/>
      </c>
      <c r="I608" s="10">
        <f>IF(H608="","",INDEX(BANK_CLEAN!$B$2:$B$1001,H608))</f>
        <v/>
      </c>
      <c r="J608" s="14">
        <f>IF(H608="","",IF(F608="OUT",INDEX(BANK_CLEAN!$F$2:$F$1001,H608),INDEX(BANK_CLEAN!$E$2:$E$1001,H608)))</f>
        <v/>
      </c>
      <c r="K608" s="14">
        <f>IF(H608="","",ABS(E608-J608))</f>
        <v/>
      </c>
      <c r="L608" s="11">
        <f>IF(OR(H608="",B608="",I608=""),"",ABS(B608-I608))</f>
        <v/>
      </c>
      <c r="M608" s="15">
        <f>IF(H608="",0,LET(pct,IF(E608&gt;0,K608/E608,1),days,IFERROR(L608,999),100-pct*200-days*3))</f>
        <v/>
      </c>
      <c r="N608" s="11">
        <f>IF(A608="","",IF(H608="","Unmatched GL",IF(AND(K608&lt;=Tol_Amount,L608&lt;=Tol_Days),"Matched",IF(M608&gt;Tol_NearPct,"Near Match","Unmatched GL"))))</f>
        <v/>
      </c>
    </row>
    <row r="609">
      <c r="A609" s="13">
        <f>IF(GL_CLEAN!A609="","",GL_CLEAN!A609)</f>
        <v/>
      </c>
      <c r="B609" s="10">
        <f>IF(A609="","",GL_CLEAN!B609)</f>
        <v/>
      </c>
      <c r="C609" s="11">
        <f>IF(A609="","",GL_CLEAN!C609)</f>
        <v/>
      </c>
      <c r="D609" s="14">
        <f>IF(A609="","",GL_CLEAN!H609)</f>
        <v/>
      </c>
      <c r="E609" s="14">
        <f>IF(A609="","",GL_CLEAN!I609)</f>
        <v/>
      </c>
      <c r="F609" s="11">
        <f>IF(A609="","",GL_CLEAN!J609)</f>
        <v/>
      </c>
      <c r="G609" s="11">
        <f>IF(A609="","",IF(F609="OUT","DR","CR"))</f>
        <v/>
      </c>
      <c r="H609" s="11">
        <f>IF(A609="","",IFERROR(INDEX(BANK_CLEAN!$A$2:$A$1001,MATCH(MINIFS(BANK_CLEAN!$J$2:$J$1001,BANK_CLEAN!$H$2:$H$1001,G609,BANK_CLEAN!$L$2:$L$1001,""),BANK_CLEAN!$J$2:$J$1001,0)),""))</f>
        <v/>
      </c>
      <c r="I609" s="10">
        <f>IF(H609="","",INDEX(BANK_CLEAN!$B$2:$B$1001,H609))</f>
        <v/>
      </c>
      <c r="J609" s="14">
        <f>IF(H609="","",IF(F609="OUT",INDEX(BANK_CLEAN!$F$2:$F$1001,H609),INDEX(BANK_CLEAN!$E$2:$E$1001,H609)))</f>
        <v/>
      </c>
      <c r="K609" s="14">
        <f>IF(H609="","",ABS(E609-J609))</f>
        <v/>
      </c>
      <c r="L609" s="11">
        <f>IF(OR(H609="",B609="",I609=""),"",ABS(B609-I609))</f>
        <v/>
      </c>
      <c r="M609" s="15">
        <f>IF(H609="",0,LET(pct,IF(E609&gt;0,K609/E609,1),days,IFERROR(L609,999),100-pct*200-days*3))</f>
        <v/>
      </c>
      <c r="N609" s="11">
        <f>IF(A609="","",IF(H609="","Unmatched GL",IF(AND(K609&lt;=Tol_Amount,L609&lt;=Tol_Days),"Matched",IF(M609&gt;Tol_NearPct,"Near Match","Unmatched GL"))))</f>
        <v/>
      </c>
    </row>
    <row r="610">
      <c r="A610" s="13">
        <f>IF(GL_CLEAN!A610="","",GL_CLEAN!A610)</f>
        <v/>
      </c>
      <c r="B610" s="10">
        <f>IF(A610="","",GL_CLEAN!B610)</f>
        <v/>
      </c>
      <c r="C610" s="11">
        <f>IF(A610="","",GL_CLEAN!C610)</f>
        <v/>
      </c>
      <c r="D610" s="14">
        <f>IF(A610="","",GL_CLEAN!H610)</f>
        <v/>
      </c>
      <c r="E610" s="14">
        <f>IF(A610="","",GL_CLEAN!I610)</f>
        <v/>
      </c>
      <c r="F610" s="11">
        <f>IF(A610="","",GL_CLEAN!J610)</f>
        <v/>
      </c>
      <c r="G610" s="11">
        <f>IF(A610="","",IF(F610="OUT","DR","CR"))</f>
        <v/>
      </c>
      <c r="H610" s="11">
        <f>IF(A610="","",IFERROR(INDEX(BANK_CLEAN!$A$2:$A$1001,MATCH(MINIFS(BANK_CLEAN!$J$2:$J$1001,BANK_CLEAN!$H$2:$H$1001,G610,BANK_CLEAN!$L$2:$L$1001,""),BANK_CLEAN!$J$2:$J$1001,0)),""))</f>
        <v/>
      </c>
      <c r="I610" s="10">
        <f>IF(H610="","",INDEX(BANK_CLEAN!$B$2:$B$1001,H610))</f>
        <v/>
      </c>
      <c r="J610" s="14">
        <f>IF(H610="","",IF(F610="OUT",INDEX(BANK_CLEAN!$F$2:$F$1001,H610),INDEX(BANK_CLEAN!$E$2:$E$1001,H610)))</f>
        <v/>
      </c>
      <c r="K610" s="14">
        <f>IF(H610="","",ABS(E610-J610))</f>
        <v/>
      </c>
      <c r="L610" s="11">
        <f>IF(OR(H610="",B610="",I610=""),"",ABS(B610-I610))</f>
        <v/>
      </c>
      <c r="M610" s="15">
        <f>IF(H610="",0,LET(pct,IF(E610&gt;0,K610/E610,1),days,IFERROR(L610,999),100-pct*200-days*3))</f>
        <v/>
      </c>
      <c r="N610" s="11">
        <f>IF(A610="","",IF(H610="","Unmatched GL",IF(AND(K610&lt;=Tol_Amount,L610&lt;=Tol_Days),"Matched",IF(M610&gt;Tol_NearPct,"Near Match","Unmatched GL"))))</f>
        <v/>
      </c>
    </row>
    <row r="611">
      <c r="A611" s="13">
        <f>IF(GL_CLEAN!A611="","",GL_CLEAN!A611)</f>
        <v/>
      </c>
      <c r="B611" s="10">
        <f>IF(A611="","",GL_CLEAN!B611)</f>
        <v/>
      </c>
      <c r="C611" s="11">
        <f>IF(A611="","",GL_CLEAN!C611)</f>
        <v/>
      </c>
      <c r="D611" s="14">
        <f>IF(A611="","",GL_CLEAN!H611)</f>
        <v/>
      </c>
      <c r="E611" s="14">
        <f>IF(A611="","",GL_CLEAN!I611)</f>
        <v/>
      </c>
      <c r="F611" s="11">
        <f>IF(A611="","",GL_CLEAN!J611)</f>
        <v/>
      </c>
      <c r="G611" s="11">
        <f>IF(A611="","",IF(F611="OUT","DR","CR"))</f>
        <v/>
      </c>
      <c r="H611" s="11">
        <f>IF(A611="","",IFERROR(INDEX(BANK_CLEAN!$A$2:$A$1001,MATCH(MINIFS(BANK_CLEAN!$J$2:$J$1001,BANK_CLEAN!$H$2:$H$1001,G611,BANK_CLEAN!$L$2:$L$1001,""),BANK_CLEAN!$J$2:$J$1001,0)),""))</f>
        <v/>
      </c>
      <c r="I611" s="10">
        <f>IF(H611="","",INDEX(BANK_CLEAN!$B$2:$B$1001,H611))</f>
        <v/>
      </c>
      <c r="J611" s="14">
        <f>IF(H611="","",IF(F611="OUT",INDEX(BANK_CLEAN!$F$2:$F$1001,H611),INDEX(BANK_CLEAN!$E$2:$E$1001,H611)))</f>
        <v/>
      </c>
      <c r="K611" s="14">
        <f>IF(H611="","",ABS(E611-J611))</f>
        <v/>
      </c>
      <c r="L611" s="11">
        <f>IF(OR(H611="",B611="",I611=""),"",ABS(B611-I611))</f>
        <v/>
      </c>
      <c r="M611" s="15">
        <f>IF(H611="",0,LET(pct,IF(E611&gt;0,K611/E611,1),days,IFERROR(L611,999),100-pct*200-days*3))</f>
        <v/>
      </c>
      <c r="N611" s="11">
        <f>IF(A611="","",IF(H611="","Unmatched GL",IF(AND(K611&lt;=Tol_Amount,L611&lt;=Tol_Days),"Matched",IF(M611&gt;Tol_NearPct,"Near Match","Unmatched GL"))))</f>
        <v/>
      </c>
    </row>
    <row r="612">
      <c r="A612" s="13">
        <f>IF(GL_CLEAN!A612="","",GL_CLEAN!A612)</f>
        <v/>
      </c>
      <c r="B612" s="10">
        <f>IF(A612="","",GL_CLEAN!B612)</f>
        <v/>
      </c>
      <c r="C612" s="11">
        <f>IF(A612="","",GL_CLEAN!C612)</f>
        <v/>
      </c>
      <c r="D612" s="14">
        <f>IF(A612="","",GL_CLEAN!H612)</f>
        <v/>
      </c>
      <c r="E612" s="14">
        <f>IF(A612="","",GL_CLEAN!I612)</f>
        <v/>
      </c>
      <c r="F612" s="11">
        <f>IF(A612="","",GL_CLEAN!J612)</f>
        <v/>
      </c>
      <c r="G612" s="11">
        <f>IF(A612="","",IF(F612="OUT","DR","CR"))</f>
        <v/>
      </c>
      <c r="H612" s="11">
        <f>IF(A612="","",IFERROR(INDEX(BANK_CLEAN!$A$2:$A$1001,MATCH(MINIFS(BANK_CLEAN!$J$2:$J$1001,BANK_CLEAN!$H$2:$H$1001,G612,BANK_CLEAN!$L$2:$L$1001,""),BANK_CLEAN!$J$2:$J$1001,0)),""))</f>
        <v/>
      </c>
      <c r="I612" s="10">
        <f>IF(H612="","",INDEX(BANK_CLEAN!$B$2:$B$1001,H612))</f>
        <v/>
      </c>
      <c r="J612" s="14">
        <f>IF(H612="","",IF(F612="OUT",INDEX(BANK_CLEAN!$F$2:$F$1001,H612),INDEX(BANK_CLEAN!$E$2:$E$1001,H612)))</f>
        <v/>
      </c>
      <c r="K612" s="14">
        <f>IF(H612="","",ABS(E612-J612))</f>
        <v/>
      </c>
      <c r="L612" s="11">
        <f>IF(OR(H612="",B612="",I612=""),"",ABS(B612-I612))</f>
        <v/>
      </c>
      <c r="M612" s="15">
        <f>IF(H612="",0,LET(pct,IF(E612&gt;0,K612/E612,1),days,IFERROR(L612,999),100-pct*200-days*3))</f>
        <v/>
      </c>
      <c r="N612" s="11">
        <f>IF(A612="","",IF(H612="","Unmatched GL",IF(AND(K612&lt;=Tol_Amount,L612&lt;=Tol_Days),"Matched",IF(M612&gt;Tol_NearPct,"Near Match","Unmatched GL"))))</f>
        <v/>
      </c>
    </row>
    <row r="613">
      <c r="A613" s="13">
        <f>IF(GL_CLEAN!A613="","",GL_CLEAN!A613)</f>
        <v/>
      </c>
      <c r="B613" s="10">
        <f>IF(A613="","",GL_CLEAN!B613)</f>
        <v/>
      </c>
      <c r="C613" s="11">
        <f>IF(A613="","",GL_CLEAN!C613)</f>
        <v/>
      </c>
      <c r="D613" s="14">
        <f>IF(A613="","",GL_CLEAN!H613)</f>
        <v/>
      </c>
      <c r="E613" s="14">
        <f>IF(A613="","",GL_CLEAN!I613)</f>
        <v/>
      </c>
      <c r="F613" s="11">
        <f>IF(A613="","",GL_CLEAN!J613)</f>
        <v/>
      </c>
      <c r="G613" s="11">
        <f>IF(A613="","",IF(F613="OUT","DR","CR"))</f>
        <v/>
      </c>
      <c r="H613" s="11">
        <f>IF(A613="","",IFERROR(INDEX(BANK_CLEAN!$A$2:$A$1001,MATCH(MINIFS(BANK_CLEAN!$J$2:$J$1001,BANK_CLEAN!$H$2:$H$1001,G613,BANK_CLEAN!$L$2:$L$1001,""),BANK_CLEAN!$J$2:$J$1001,0)),""))</f>
        <v/>
      </c>
      <c r="I613" s="10">
        <f>IF(H613="","",INDEX(BANK_CLEAN!$B$2:$B$1001,H613))</f>
        <v/>
      </c>
      <c r="J613" s="14">
        <f>IF(H613="","",IF(F613="OUT",INDEX(BANK_CLEAN!$F$2:$F$1001,H613),INDEX(BANK_CLEAN!$E$2:$E$1001,H613)))</f>
        <v/>
      </c>
      <c r="K613" s="14">
        <f>IF(H613="","",ABS(E613-J613))</f>
        <v/>
      </c>
      <c r="L613" s="11">
        <f>IF(OR(H613="",B613="",I613=""),"",ABS(B613-I613))</f>
        <v/>
      </c>
      <c r="M613" s="15">
        <f>IF(H613="",0,LET(pct,IF(E613&gt;0,K613/E613,1),days,IFERROR(L613,999),100-pct*200-days*3))</f>
        <v/>
      </c>
      <c r="N613" s="11">
        <f>IF(A613="","",IF(H613="","Unmatched GL",IF(AND(K613&lt;=Tol_Amount,L613&lt;=Tol_Days),"Matched",IF(M613&gt;Tol_NearPct,"Near Match","Unmatched GL"))))</f>
        <v/>
      </c>
    </row>
    <row r="614">
      <c r="A614" s="13">
        <f>IF(GL_CLEAN!A614="","",GL_CLEAN!A614)</f>
        <v/>
      </c>
      <c r="B614" s="10">
        <f>IF(A614="","",GL_CLEAN!B614)</f>
        <v/>
      </c>
      <c r="C614" s="11">
        <f>IF(A614="","",GL_CLEAN!C614)</f>
        <v/>
      </c>
      <c r="D614" s="14">
        <f>IF(A614="","",GL_CLEAN!H614)</f>
        <v/>
      </c>
      <c r="E614" s="14">
        <f>IF(A614="","",GL_CLEAN!I614)</f>
        <v/>
      </c>
      <c r="F614" s="11">
        <f>IF(A614="","",GL_CLEAN!J614)</f>
        <v/>
      </c>
      <c r="G614" s="11">
        <f>IF(A614="","",IF(F614="OUT","DR","CR"))</f>
        <v/>
      </c>
      <c r="H614" s="11">
        <f>IF(A614="","",IFERROR(INDEX(BANK_CLEAN!$A$2:$A$1001,MATCH(MINIFS(BANK_CLEAN!$J$2:$J$1001,BANK_CLEAN!$H$2:$H$1001,G614,BANK_CLEAN!$L$2:$L$1001,""),BANK_CLEAN!$J$2:$J$1001,0)),""))</f>
        <v/>
      </c>
      <c r="I614" s="10">
        <f>IF(H614="","",INDEX(BANK_CLEAN!$B$2:$B$1001,H614))</f>
        <v/>
      </c>
      <c r="J614" s="14">
        <f>IF(H614="","",IF(F614="OUT",INDEX(BANK_CLEAN!$F$2:$F$1001,H614),INDEX(BANK_CLEAN!$E$2:$E$1001,H614)))</f>
        <v/>
      </c>
      <c r="K614" s="14">
        <f>IF(H614="","",ABS(E614-J614))</f>
        <v/>
      </c>
      <c r="L614" s="11">
        <f>IF(OR(H614="",B614="",I614=""),"",ABS(B614-I614))</f>
        <v/>
      </c>
      <c r="M614" s="15">
        <f>IF(H614="",0,LET(pct,IF(E614&gt;0,K614/E614,1),days,IFERROR(L614,999),100-pct*200-days*3))</f>
        <v/>
      </c>
      <c r="N614" s="11">
        <f>IF(A614="","",IF(H614="","Unmatched GL",IF(AND(K614&lt;=Tol_Amount,L614&lt;=Tol_Days),"Matched",IF(M614&gt;Tol_NearPct,"Near Match","Unmatched GL"))))</f>
        <v/>
      </c>
    </row>
    <row r="615">
      <c r="A615" s="13">
        <f>IF(GL_CLEAN!A615="","",GL_CLEAN!A615)</f>
        <v/>
      </c>
      <c r="B615" s="10">
        <f>IF(A615="","",GL_CLEAN!B615)</f>
        <v/>
      </c>
      <c r="C615" s="11">
        <f>IF(A615="","",GL_CLEAN!C615)</f>
        <v/>
      </c>
      <c r="D615" s="14">
        <f>IF(A615="","",GL_CLEAN!H615)</f>
        <v/>
      </c>
      <c r="E615" s="14">
        <f>IF(A615="","",GL_CLEAN!I615)</f>
        <v/>
      </c>
      <c r="F615" s="11">
        <f>IF(A615="","",GL_CLEAN!J615)</f>
        <v/>
      </c>
      <c r="G615" s="11">
        <f>IF(A615="","",IF(F615="OUT","DR","CR"))</f>
        <v/>
      </c>
      <c r="H615" s="11">
        <f>IF(A615="","",IFERROR(INDEX(BANK_CLEAN!$A$2:$A$1001,MATCH(MINIFS(BANK_CLEAN!$J$2:$J$1001,BANK_CLEAN!$H$2:$H$1001,G615,BANK_CLEAN!$L$2:$L$1001,""),BANK_CLEAN!$J$2:$J$1001,0)),""))</f>
        <v/>
      </c>
      <c r="I615" s="10">
        <f>IF(H615="","",INDEX(BANK_CLEAN!$B$2:$B$1001,H615))</f>
        <v/>
      </c>
      <c r="J615" s="14">
        <f>IF(H615="","",IF(F615="OUT",INDEX(BANK_CLEAN!$F$2:$F$1001,H615),INDEX(BANK_CLEAN!$E$2:$E$1001,H615)))</f>
        <v/>
      </c>
      <c r="K615" s="14">
        <f>IF(H615="","",ABS(E615-J615))</f>
        <v/>
      </c>
      <c r="L615" s="11">
        <f>IF(OR(H615="",B615="",I615=""),"",ABS(B615-I615))</f>
        <v/>
      </c>
      <c r="M615" s="15">
        <f>IF(H615="",0,LET(pct,IF(E615&gt;0,K615/E615,1),days,IFERROR(L615,999),100-pct*200-days*3))</f>
        <v/>
      </c>
      <c r="N615" s="11">
        <f>IF(A615="","",IF(H615="","Unmatched GL",IF(AND(K615&lt;=Tol_Amount,L615&lt;=Tol_Days),"Matched",IF(M615&gt;Tol_NearPct,"Near Match","Unmatched GL"))))</f>
        <v/>
      </c>
    </row>
    <row r="616">
      <c r="A616" s="13">
        <f>IF(GL_CLEAN!A616="","",GL_CLEAN!A616)</f>
        <v/>
      </c>
      <c r="B616" s="10">
        <f>IF(A616="","",GL_CLEAN!B616)</f>
        <v/>
      </c>
      <c r="C616" s="11">
        <f>IF(A616="","",GL_CLEAN!C616)</f>
        <v/>
      </c>
      <c r="D616" s="14">
        <f>IF(A616="","",GL_CLEAN!H616)</f>
        <v/>
      </c>
      <c r="E616" s="14">
        <f>IF(A616="","",GL_CLEAN!I616)</f>
        <v/>
      </c>
      <c r="F616" s="11">
        <f>IF(A616="","",GL_CLEAN!J616)</f>
        <v/>
      </c>
      <c r="G616" s="11">
        <f>IF(A616="","",IF(F616="OUT","DR","CR"))</f>
        <v/>
      </c>
      <c r="H616" s="11">
        <f>IF(A616="","",IFERROR(INDEX(BANK_CLEAN!$A$2:$A$1001,MATCH(MINIFS(BANK_CLEAN!$J$2:$J$1001,BANK_CLEAN!$H$2:$H$1001,G616,BANK_CLEAN!$L$2:$L$1001,""),BANK_CLEAN!$J$2:$J$1001,0)),""))</f>
        <v/>
      </c>
      <c r="I616" s="10">
        <f>IF(H616="","",INDEX(BANK_CLEAN!$B$2:$B$1001,H616))</f>
        <v/>
      </c>
      <c r="J616" s="14">
        <f>IF(H616="","",IF(F616="OUT",INDEX(BANK_CLEAN!$F$2:$F$1001,H616),INDEX(BANK_CLEAN!$E$2:$E$1001,H616)))</f>
        <v/>
      </c>
      <c r="K616" s="14">
        <f>IF(H616="","",ABS(E616-J616))</f>
        <v/>
      </c>
      <c r="L616" s="11">
        <f>IF(OR(H616="",B616="",I616=""),"",ABS(B616-I616))</f>
        <v/>
      </c>
      <c r="M616" s="15">
        <f>IF(H616="",0,LET(pct,IF(E616&gt;0,K616/E616,1),days,IFERROR(L616,999),100-pct*200-days*3))</f>
        <v/>
      </c>
      <c r="N616" s="11">
        <f>IF(A616="","",IF(H616="","Unmatched GL",IF(AND(K616&lt;=Tol_Amount,L616&lt;=Tol_Days),"Matched",IF(M616&gt;Tol_NearPct,"Near Match","Unmatched GL"))))</f>
        <v/>
      </c>
    </row>
    <row r="617">
      <c r="A617" s="13">
        <f>IF(GL_CLEAN!A617="","",GL_CLEAN!A617)</f>
        <v/>
      </c>
      <c r="B617" s="10">
        <f>IF(A617="","",GL_CLEAN!B617)</f>
        <v/>
      </c>
      <c r="C617" s="11">
        <f>IF(A617="","",GL_CLEAN!C617)</f>
        <v/>
      </c>
      <c r="D617" s="14">
        <f>IF(A617="","",GL_CLEAN!H617)</f>
        <v/>
      </c>
      <c r="E617" s="14">
        <f>IF(A617="","",GL_CLEAN!I617)</f>
        <v/>
      </c>
      <c r="F617" s="11">
        <f>IF(A617="","",GL_CLEAN!J617)</f>
        <v/>
      </c>
      <c r="G617" s="11">
        <f>IF(A617="","",IF(F617="OUT","DR","CR"))</f>
        <v/>
      </c>
      <c r="H617" s="11">
        <f>IF(A617="","",IFERROR(INDEX(BANK_CLEAN!$A$2:$A$1001,MATCH(MINIFS(BANK_CLEAN!$J$2:$J$1001,BANK_CLEAN!$H$2:$H$1001,G617,BANK_CLEAN!$L$2:$L$1001,""),BANK_CLEAN!$J$2:$J$1001,0)),""))</f>
        <v/>
      </c>
      <c r="I617" s="10">
        <f>IF(H617="","",INDEX(BANK_CLEAN!$B$2:$B$1001,H617))</f>
        <v/>
      </c>
      <c r="J617" s="14">
        <f>IF(H617="","",IF(F617="OUT",INDEX(BANK_CLEAN!$F$2:$F$1001,H617),INDEX(BANK_CLEAN!$E$2:$E$1001,H617)))</f>
        <v/>
      </c>
      <c r="K617" s="14">
        <f>IF(H617="","",ABS(E617-J617))</f>
        <v/>
      </c>
      <c r="L617" s="11">
        <f>IF(OR(H617="",B617="",I617=""),"",ABS(B617-I617))</f>
        <v/>
      </c>
      <c r="M617" s="15">
        <f>IF(H617="",0,LET(pct,IF(E617&gt;0,K617/E617,1),days,IFERROR(L617,999),100-pct*200-days*3))</f>
        <v/>
      </c>
      <c r="N617" s="11">
        <f>IF(A617="","",IF(H617="","Unmatched GL",IF(AND(K617&lt;=Tol_Amount,L617&lt;=Tol_Days),"Matched",IF(M617&gt;Tol_NearPct,"Near Match","Unmatched GL"))))</f>
        <v/>
      </c>
    </row>
    <row r="618">
      <c r="A618" s="13">
        <f>IF(GL_CLEAN!A618="","",GL_CLEAN!A618)</f>
        <v/>
      </c>
      <c r="B618" s="10">
        <f>IF(A618="","",GL_CLEAN!B618)</f>
        <v/>
      </c>
      <c r="C618" s="11">
        <f>IF(A618="","",GL_CLEAN!C618)</f>
        <v/>
      </c>
      <c r="D618" s="14">
        <f>IF(A618="","",GL_CLEAN!H618)</f>
        <v/>
      </c>
      <c r="E618" s="14">
        <f>IF(A618="","",GL_CLEAN!I618)</f>
        <v/>
      </c>
      <c r="F618" s="11">
        <f>IF(A618="","",GL_CLEAN!J618)</f>
        <v/>
      </c>
      <c r="G618" s="11">
        <f>IF(A618="","",IF(F618="OUT","DR","CR"))</f>
        <v/>
      </c>
      <c r="H618" s="11">
        <f>IF(A618="","",IFERROR(INDEX(BANK_CLEAN!$A$2:$A$1001,MATCH(MINIFS(BANK_CLEAN!$J$2:$J$1001,BANK_CLEAN!$H$2:$H$1001,G618,BANK_CLEAN!$L$2:$L$1001,""),BANK_CLEAN!$J$2:$J$1001,0)),""))</f>
        <v/>
      </c>
      <c r="I618" s="10">
        <f>IF(H618="","",INDEX(BANK_CLEAN!$B$2:$B$1001,H618))</f>
        <v/>
      </c>
      <c r="J618" s="14">
        <f>IF(H618="","",IF(F618="OUT",INDEX(BANK_CLEAN!$F$2:$F$1001,H618),INDEX(BANK_CLEAN!$E$2:$E$1001,H618)))</f>
        <v/>
      </c>
      <c r="K618" s="14">
        <f>IF(H618="","",ABS(E618-J618))</f>
        <v/>
      </c>
      <c r="L618" s="11">
        <f>IF(OR(H618="",B618="",I618=""),"",ABS(B618-I618))</f>
        <v/>
      </c>
      <c r="M618" s="15">
        <f>IF(H618="",0,LET(pct,IF(E618&gt;0,K618/E618,1),days,IFERROR(L618,999),100-pct*200-days*3))</f>
        <v/>
      </c>
      <c r="N618" s="11">
        <f>IF(A618="","",IF(H618="","Unmatched GL",IF(AND(K618&lt;=Tol_Amount,L618&lt;=Tol_Days),"Matched",IF(M618&gt;Tol_NearPct,"Near Match","Unmatched GL"))))</f>
        <v/>
      </c>
    </row>
    <row r="619">
      <c r="A619" s="13">
        <f>IF(GL_CLEAN!A619="","",GL_CLEAN!A619)</f>
        <v/>
      </c>
      <c r="B619" s="10">
        <f>IF(A619="","",GL_CLEAN!B619)</f>
        <v/>
      </c>
      <c r="C619" s="11">
        <f>IF(A619="","",GL_CLEAN!C619)</f>
        <v/>
      </c>
      <c r="D619" s="14">
        <f>IF(A619="","",GL_CLEAN!H619)</f>
        <v/>
      </c>
      <c r="E619" s="14">
        <f>IF(A619="","",GL_CLEAN!I619)</f>
        <v/>
      </c>
      <c r="F619" s="11">
        <f>IF(A619="","",GL_CLEAN!J619)</f>
        <v/>
      </c>
      <c r="G619" s="11">
        <f>IF(A619="","",IF(F619="OUT","DR","CR"))</f>
        <v/>
      </c>
      <c r="H619" s="11">
        <f>IF(A619="","",IFERROR(INDEX(BANK_CLEAN!$A$2:$A$1001,MATCH(MINIFS(BANK_CLEAN!$J$2:$J$1001,BANK_CLEAN!$H$2:$H$1001,G619,BANK_CLEAN!$L$2:$L$1001,""),BANK_CLEAN!$J$2:$J$1001,0)),""))</f>
        <v/>
      </c>
      <c r="I619" s="10">
        <f>IF(H619="","",INDEX(BANK_CLEAN!$B$2:$B$1001,H619))</f>
        <v/>
      </c>
      <c r="J619" s="14">
        <f>IF(H619="","",IF(F619="OUT",INDEX(BANK_CLEAN!$F$2:$F$1001,H619),INDEX(BANK_CLEAN!$E$2:$E$1001,H619)))</f>
        <v/>
      </c>
      <c r="K619" s="14">
        <f>IF(H619="","",ABS(E619-J619))</f>
        <v/>
      </c>
      <c r="L619" s="11">
        <f>IF(OR(H619="",B619="",I619=""),"",ABS(B619-I619))</f>
        <v/>
      </c>
      <c r="M619" s="15">
        <f>IF(H619="",0,LET(pct,IF(E619&gt;0,K619/E619,1),days,IFERROR(L619,999),100-pct*200-days*3))</f>
        <v/>
      </c>
      <c r="N619" s="11">
        <f>IF(A619="","",IF(H619="","Unmatched GL",IF(AND(K619&lt;=Tol_Amount,L619&lt;=Tol_Days),"Matched",IF(M619&gt;Tol_NearPct,"Near Match","Unmatched GL"))))</f>
        <v/>
      </c>
    </row>
    <row r="620">
      <c r="A620" s="13">
        <f>IF(GL_CLEAN!A620="","",GL_CLEAN!A620)</f>
        <v/>
      </c>
      <c r="B620" s="10">
        <f>IF(A620="","",GL_CLEAN!B620)</f>
        <v/>
      </c>
      <c r="C620" s="11">
        <f>IF(A620="","",GL_CLEAN!C620)</f>
        <v/>
      </c>
      <c r="D620" s="14">
        <f>IF(A620="","",GL_CLEAN!H620)</f>
        <v/>
      </c>
      <c r="E620" s="14">
        <f>IF(A620="","",GL_CLEAN!I620)</f>
        <v/>
      </c>
      <c r="F620" s="11">
        <f>IF(A620="","",GL_CLEAN!J620)</f>
        <v/>
      </c>
      <c r="G620" s="11">
        <f>IF(A620="","",IF(F620="OUT","DR","CR"))</f>
        <v/>
      </c>
      <c r="H620" s="11">
        <f>IF(A620="","",IFERROR(INDEX(BANK_CLEAN!$A$2:$A$1001,MATCH(MINIFS(BANK_CLEAN!$J$2:$J$1001,BANK_CLEAN!$H$2:$H$1001,G620,BANK_CLEAN!$L$2:$L$1001,""),BANK_CLEAN!$J$2:$J$1001,0)),""))</f>
        <v/>
      </c>
      <c r="I620" s="10">
        <f>IF(H620="","",INDEX(BANK_CLEAN!$B$2:$B$1001,H620))</f>
        <v/>
      </c>
      <c r="J620" s="14">
        <f>IF(H620="","",IF(F620="OUT",INDEX(BANK_CLEAN!$F$2:$F$1001,H620),INDEX(BANK_CLEAN!$E$2:$E$1001,H620)))</f>
        <v/>
      </c>
      <c r="K620" s="14">
        <f>IF(H620="","",ABS(E620-J620))</f>
        <v/>
      </c>
      <c r="L620" s="11">
        <f>IF(OR(H620="",B620="",I620=""),"",ABS(B620-I620))</f>
        <v/>
      </c>
      <c r="M620" s="15">
        <f>IF(H620="",0,LET(pct,IF(E620&gt;0,K620/E620,1),days,IFERROR(L620,999),100-pct*200-days*3))</f>
        <v/>
      </c>
      <c r="N620" s="11">
        <f>IF(A620="","",IF(H620="","Unmatched GL",IF(AND(K620&lt;=Tol_Amount,L620&lt;=Tol_Days),"Matched",IF(M620&gt;Tol_NearPct,"Near Match","Unmatched GL"))))</f>
        <v/>
      </c>
    </row>
    <row r="621">
      <c r="A621" s="13">
        <f>IF(GL_CLEAN!A621="","",GL_CLEAN!A621)</f>
        <v/>
      </c>
      <c r="B621" s="10">
        <f>IF(A621="","",GL_CLEAN!B621)</f>
        <v/>
      </c>
      <c r="C621" s="11">
        <f>IF(A621="","",GL_CLEAN!C621)</f>
        <v/>
      </c>
      <c r="D621" s="14">
        <f>IF(A621="","",GL_CLEAN!H621)</f>
        <v/>
      </c>
      <c r="E621" s="14">
        <f>IF(A621="","",GL_CLEAN!I621)</f>
        <v/>
      </c>
      <c r="F621" s="11">
        <f>IF(A621="","",GL_CLEAN!J621)</f>
        <v/>
      </c>
      <c r="G621" s="11">
        <f>IF(A621="","",IF(F621="OUT","DR","CR"))</f>
        <v/>
      </c>
      <c r="H621" s="11">
        <f>IF(A621="","",IFERROR(INDEX(BANK_CLEAN!$A$2:$A$1001,MATCH(MINIFS(BANK_CLEAN!$J$2:$J$1001,BANK_CLEAN!$H$2:$H$1001,G621,BANK_CLEAN!$L$2:$L$1001,""),BANK_CLEAN!$J$2:$J$1001,0)),""))</f>
        <v/>
      </c>
      <c r="I621" s="10">
        <f>IF(H621="","",INDEX(BANK_CLEAN!$B$2:$B$1001,H621))</f>
        <v/>
      </c>
      <c r="J621" s="14">
        <f>IF(H621="","",IF(F621="OUT",INDEX(BANK_CLEAN!$F$2:$F$1001,H621),INDEX(BANK_CLEAN!$E$2:$E$1001,H621)))</f>
        <v/>
      </c>
      <c r="K621" s="14">
        <f>IF(H621="","",ABS(E621-J621))</f>
        <v/>
      </c>
      <c r="L621" s="11">
        <f>IF(OR(H621="",B621="",I621=""),"",ABS(B621-I621))</f>
        <v/>
      </c>
      <c r="M621" s="15">
        <f>IF(H621="",0,LET(pct,IF(E621&gt;0,K621/E621,1),days,IFERROR(L621,999),100-pct*200-days*3))</f>
        <v/>
      </c>
      <c r="N621" s="11">
        <f>IF(A621="","",IF(H621="","Unmatched GL",IF(AND(K621&lt;=Tol_Amount,L621&lt;=Tol_Days),"Matched",IF(M621&gt;Tol_NearPct,"Near Match","Unmatched GL"))))</f>
        <v/>
      </c>
    </row>
    <row r="622">
      <c r="A622" s="13">
        <f>IF(GL_CLEAN!A622="","",GL_CLEAN!A622)</f>
        <v/>
      </c>
      <c r="B622" s="10">
        <f>IF(A622="","",GL_CLEAN!B622)</f>
        <v/>
      </c>
      <c r="C622" s="11">
        <f>IF(A622="","",GL_CLEAN!C622)</f>
        <v/>
      </c>
      <c r="D622" s="14">
        <f>IF(A622="","",GL_CLEAN!H622)</f>
        <v/>
      </c>
      <c r="E622" s="14">
        <f>IF(A622="","",GL_CLEAN!I622)</f>
        <v/>
      </c>
      <c r="F622" s="11">
        <f>IF(A622="","",GL_CLEAN!J622)</f>
        <v/>
      </c>
      <c r="G622" s="11">
        <f>IF(A622="","",IF(F622="OUT","DR","CR"))</f>
        <v/>
      </c>
      <c r="H622" s="11">
        <f>IF(A622="","",IFERROR(INDEX(BANK_CLEAN!$A$2:$A$1001,MATCH(MINIFS(BANK_CLEAN!$J$2:$J$1001,BANK_CLEAN!$H$2:$H$1001,G622,BANK_CLEAN!$L$2:$L$1001,""),BANK_CLEAN!$J$2:$J$1001,0)),""))</f>
        <v/>
      </c>
      <c r="I622" s="10">
        <f>IF(H622="","",INDEX(BANK_CLEAN!$B$2:$B$1001,H622))</f>
        <v/>
      </c>
      <c r="J622" s="14">
        <f>IF(H622="","",IF(F622="OUT",INDEX(BANK_CLEAN!$F$2:$F$1001,H622),INDEX(BANK_CLEAN!$E$2:$E$1001,H622)))</f>
        <v/>
      </c>
      <c r="K622" s="14">
        <f>IF(H622="","",ABS(E622-J622))</f>
        <v/>
      </c>
      <c r="L622" s="11">
        <f>IF(OR(H622="",B622="",I622=""),"",ABS(B622-I622))</f>
        <v/>
      </c>
      <c r="M622" s="15">
        <f>IF(H622="",0,LET(pct,IF(E622&gt;0,K622/E622,1),days,IFERROR(L622,999),100-pct*200-days*3))</f>
        <v/>
      </c>
      <c r="N622" s="11">
        <f>IF(A622="","",IF(H622="","Unmatched GL",IF(AND(K622&lt;=Tol_Amount,L622&lt;=Tol_Days),"Matched",IF(M622&gt;Tol_NearPct,"Near Match","Unmatched GL"))))</f>
        <v/>
      </c>
    </row>
    <row r="623">
      <c r="A623" s="13">
        <f>IF(GL_CLEAN!A623="","",GL_CLEAN!A623)</f>
        <v/>
      </c>
      <c r="B623" s="10">
        <f>IF(A623="","",GL_CLEAN!B623)</f>
        <v/>
      </c>
      <c r="C623" s="11">
        <f>IF(A623="","",GL_CLEAN!C623)</f>
        <v/>
      </c>
      <c r="D623" s="14">
        <f>IF(A623="","",GL_CLEAN!H623)</f>
        <v/>
      </c>
      <c r="E623" s="14">
        <f>IF(A623="","",GL_CLEAN!I623)</f>
        <v/>
      </c>
      <c r="F623" s="11">
        <f>IF(A623="","",GL_CLEAN!J623)</f>
        <v/>
      </c>
      <c r="G623" s="11">
        <f>IF(A623="","",IF(F623="OUT","DR","CR"))</f>
        <v/>
      </c>
      <c r="H623" s="11">
        <f>IF(A623="","",IFERROR(INDEX(BANK_CLEAN!$A$2:$A$1001,MATCH(MINIFS(BANK_CLEAN!$J$2:$J$1001,BANK_CLEAN!$H$2:$H$1001,G623,BANK_CLEAN!$L$2:$L$1001,""),BANK_CLEAN!$J$2:$J$1001,0)),""))</f>
        <v/>
      </c>
      <c r="I623" s="10">
        <f>IF(H623="","",INDEX(BANK_CLEAN!$B$2:$B$1001,H623))</f>
        <v/>
      </c>
      <c r="J623" s="14">
        <f>IF(H623="","",IF(F623="OUT",INDEX(BANK_CLEAN!$F$2:$F$1001,H623),INDEX(BANK_CLEAN!$E$2:$E$1001,H623)))</f>
        <v/>
      </c>
      <c r="K623" s="14">
        <f>IF(H623="","",ABS(E623-J623))</f>
        <v/>
      </c>
      <c r="L623" s="11">
        <f>IF(OR(H623="",B623="",I623=""),"",ABS(B623-I623))</f>
        <v/>
      </c>
      <c r="M623" s="15">
        <f>IF(H623="",0,LET(pct,IF(E623&gt;0,K623/E623,1),days,IFERROR(L623,999),100-pct*200-days*3))</f>
        <v/>
      </c>
      <c r="N623" s="11">
        <f>IF(A623="","",IF(H623="","Unmatched GL",IF(AND(K623&lt;=Tol_Amount,L623&lt;=Tol_Days),"Matched",IF(M623&gt;Tol_NearPct,"Near Match","Unmatched GL"))))</f>
        <v/>
      </c>
    </row>
    <row r="624">
      <c r="A624" s="13">
        <f>IF(GL_CLEAN!A624="","",GL_CLEAN!A624)</f>
        <v/>
      </c>
      <c r="B624" s="10">
        <f>IF(A624="","",GL_CLEAN!B624)</f>
        <v/>
      </c>
      <c r="C624" s="11">
        <f>IF(A624="","",GL_CLEAN!C624)</f>
        <v/>
      </c>
      <c r="D624" s="14">
        <f>IF(A624="","",GL_CLEAN!H624)</f>
        <v/>
      </c>
      <c r="E624" s="14">
        <f>IF(A624="","",GL_CLEAN!I624)</f>
        <v/>
      </c>
      <c r="F624" s="11">
        <f>IF(A624="","",GL_CLEAN!J624)</f>
        <v/>
      </c>
      <c r="G624" s="11">
        <f>IF(A624="","",IF(F624="OUT","DR","CR"))</f>
        <v/>
      </c>
      <c r="H624" s="11">
        <f>IF(A624="","",IFERROR(INDEX(BANK_CLEAN!$A$2:$A$1001,MATCH(MINIFS(BANK_CLEAN!$J$2:$J$1001,BANK_CLEAN!$H$2:$H$1001,G624,BANK_CLEAN!$L$2:$L$1001,""),BANK_CLEAN!$J$2:$J$1001,0)),""))</f>
        <v/>
      </c>
      <c r="I624" s="10">
        <f>IF(H624="","",INDEX(BANK_CLEAN!$B$2:$B$1001,H624))</f>
        <v/>
      </c>
      <c r="J624" s="14">
        <f>IF(H624="","",IF(F624="OUT",INDEX(BANK_CLEAN!$F$2:$F$1001,H624),INDEX(BANK_CLEAN!$E$2:$E$1001,H624)))</f>
        <v/>
      </c>
      <c r="K624" s="14">
        <f>IF(H624="","",ABS(E624-J624))</f>
        <v/>
      </c>
      <c r="L624" s="11">
        <f>IF(OR(H624="",B624="",I624=""),"",ABS(B624-I624))</f>
        <v/>
      </c>
      <c r="M624" s="15">
        <f>IF(H624="",0,LET(pct,IF(E624&gt;0,K624/E624,1),days,IFERROR(L624,999),100-pct*200-days*3))</f>
        <v/>
      </c>
      <c r="N624" s="11">
        <f>IF(A624="","",IF(H624="","Unmatched GL",IF(AND(K624&lt;=Tol_Amount,L624&lt;=Tol_Days),"Matched",IF(M624&gt;Tol_NearPct,"Near Match","Unmatched GL"))))</f>
        <v/>
      </c>
    </row>
    <row r="625">
      <c r="A625" s="13">
        <f>IF(GL_CLEAN!A625="","",GL_CLEAN!A625)</f>
        <v/>
      </c>
      <c r="B625" s="10">
        <f>IF(A625="","",GL_CLEAN!B625)</f>
        <v/>
      </c>
      <c r="C625" s="11">
        <f>IF(A625="","",GL_CLEAN!C625)</f>
        <v/>
      </c>
      <c r="D625" s="14">
        <f>IF(A625="","",GL_CLEAN!H625)</f>
        <v/>
      </c>
      <c r="E625" s="14">
        <f>IF(A625="","",GL_CLEAN!I625)</f>
        <v/>
      </c>
      <c r="F625" s="11">
        <f>IF(A625="","",GL_CLEAN!J625)</f>
        <v/>
      </c>
      <c r="G625" s="11">
        <f>IF(A625="","",IF(F625="OUT","DR","CR"))</f>
        <v/>
      </c>
      <c r="H625" s="11">
        <f>IF(A625="","",IFERROR(INDEX(BANK_CLEAN!$A$2:$A$1001,MATCH(MINIFS(BANK_CLEAN!$J$2:$J$1001,BANK_CLEAN!$H$2:$H$1001,G625,BANK_CLEAN!$L$2:$L$1001,""),BANK_CLEAN!$J$2:$J$1001,0)),""))</f>
        <v/>
      </c>
      <c r="I625" s="10">
        <f>IF(H625="","",INDEX(BANK_CLEAN!$B$2:$B$1001,H625))</f>
        <v/>
      </c>
      <c r="J625" s="14">
        <f>IF(H625="","",IF(F625="OUT",INDEX(BANK_CLEAN!$F$2:$F$1001,H625),INDEX(BANK_CLEAN!$E$2:$E$1001,H625)))</f>
        <v/>
      </c>
      <c r="K625" s="14">
        <f>IF(H625="","",ABS(E625-J625))</f>
        <v/>
      </c>
      <c r="L625" s="11">
        <f>IF(OR(H625="",B625="",I625=""),"",ABS(B625-I625))</f>
        <v/>
      </c>
      <c r="M625" s="15">
        <f>IF(H625="",0,LET(pct,IF(E625&gt;0,K625/E625,1),days,IFERROR(L625,999),100-pct*200-days*3))</f>
        <v/>
      </c>
      <c r="N625" s="11">
        <f>IF(A625="","",IF(H625="","Unmatched GL",IF(AND(K625&lt;=Tol_Amount,L625&lt;=Tol_Days),"Matched",IF(M625&gt;Tol_NearPct,"Near Match","Unmatched GL"))))</f>
        <v/>
      </c>
    </row>
    <row r="626">
      <c r="A626" s="13">
        <f>IF(GL_CLEAN!A626="","",GL_CLEAN!A626)</f>
        <v/>
      </c>
      <c r="B626" s="10">
        <f>IF(A626="","",GL_CLEAN!B626)</f>
        <v/>
      </c>
      <c r="C626" s="11">
        <f>IF(A626="","",GL_CLEAN!C626)</f>
        <v/>
      </c>
      <c r="D626" s="14">
        <f>IF(A626="","",GL_CLEAN!H626)</f>
        <v/>
      </c>
      <c r="E626" s="14">
        <f>IF(A626="","",GL_CLEAN!I626)</f>
        <v/>
      </c>
      <c r="F626" s="11">
        <f>IF(A626="","",GL_CLEAN!J626)</f>
        <v/>
      </c>
      <c r="G626" s="11">
        <f>IF(A626="","",IF(F626="OUT","DR","CR"))</f>
        <v/>
      </c>
      <c r="H626" s="11">
        <f>IF(A626="","",IFERROR(INDEX(BANK_CLEAN!$A$2:$A$1001,MATCH(MINIFS(BANK_CLEAN!$J$2:$J$1001,BANK_CLEAN!$H$2:$H$1001,G626,BANK_CLEAN!$L$2:$L$1001,""),BANK_CLEAN!$J$2:$J$1001,0)),""))</f>
        <v/>
      </c>
      <c r="I626" s="10">
        <f>IF(H626="","",INDEX(BANK_CLEAN!$B$2:$B$1001,H626))</f>
        <v/>
      </c>
      <c r="J626" s="14">
        <f>IF(H626="","",IF(F626="OUT",INDEX(BANK_CLEAN!$F$2:$F$1001,H626),INDEX(BANK_CLEAN!$E$2:$E$1001,H626)))</f>
        <v/>
      </c>
      <c r="K626" s="14">
        <f>IF(H626="","",ABS(E626-J626))</f>
        <v/>
      </c>
      <c r="L626" s="11">
        <f>IF(OR(H626="",B626="",I626=""),"",ABS(B626-I626))</f>
        <v/>
      </c>
      <c r="M626" s="15">
        <f>IF(H626="",0,LET(pct,IF(E626&gt;0,K626/E626,1),days,IFERROR(L626,999),100-pct*200-days*3))</f>
        <v/>
      </c>
      <c r="N626" s="11">
        <f>IF(A626="","",IF(H626="","Unmatched GL",IF(AND(K626&lt;=Tol_Amount,L626&lt;=Tol_Days),"Matched",IF(M626&gt;Tol_NearPct,"Near Match","Unmatched GL"))))</f>
        <v/>
      </c>
    </row>
    <row r="627">
      <c r="A627" s="13">
        <f>IF(GL_CLEAN!A627="","",GL_CLEAN!A627)</f>
        <v/>
      </c>
      <c r="B627" s="10">
        <f>IF(A627="","",GL_CLEAN!B627)</f>
        <v/>
      </c>
      <c r="C627" s="11">
        <f>IF(A627="","",GL_CLEAN!C627)</f>
        <v/>
      </c>
      <c r="D627" s="14">
        <f>IF(A627="","",GL_CLEAN!H627)</f>
        <v/>
      </c>
      <c r="E627" s="14">
        <f>IF(A627="","",GL_CLEAN!I627)</f>
        <v/>
      </c>
      <c r="F627" s="11">
        <f>IF(A627="","",GL_CLEAN!J627)</f>
        <v/>
      </c>
      <c r="G627" s="11">
        <f>IF(A627="","",IF(F627="OUT","DR","CR"))</f>
        <v/>
      </c>
      <c r="H627" s="11">
        <f>IF(A627="","",IFERROR(INDEX(BANK_CLEAN!$A$2:$A$1001,MATCH(MINIFS(BANK_CLEAN!$J$2:$J$1001,BANK_CLEAN!$H$2:$H$1001,G627,BANK_CLEAN!$L$2:$L$1001,""),BANK_CLEAN!$J$2:$J$1001,0)),""))</f>
        <v/>
      </c>
      <c r="I627" s="10">
        <f>IF(H627="","",INDEX(BANK_CLEAN!$B$2:$B$1001,H627))</f>
        <v/>
      </c>
      <c r="J627" s="14">
        <f>IF(H627="","",IF(F627="OUT",INDEX(BANK_CLEAN!$F$2:$F$1001,H627),INDEX(BANK_CLEAN!$E$2:$E$1001,H627)))</f>
        <v/>
      </c>
      <c r="K627" s="14">
        <f>IF(H627="","",ABS(E627-J627))</f>
        <v/>
      </c>
      <c r="L627" s="11">
        <f>IF(OR(H627="",B627="",I627=""),"",ABS(B627-I627))</f>
        <v/>
      </c>
      <c r="M627" s="15">
        <f>IF(H627="",0,LET(pct,IF(E627&gt;0,K627/E627,1),days,IFERROR(L627,999),100-pct*200-days*3))</f>
        <v/>
      </c>
      <c r="N627" s="11">
        <f>IF(A627="","",IF(H627="","Unmatched GL",IF(AND(K627&lt;=Tol_Amount,L627&lt;=Tol_Days),"Matched",IF(M627&gt;Tol_NearPct,"Near Match","Unmatched GL"))))</f>
        <v/>
      </c>
    </row>
    <row r="628">
      <c r="A628" s="13">
        <f>IF(GL_CLEAN!A628="","",GL_CLEAN!A628)</f>
        <v/>
      </c>
      <c r="B628" s="10">
        <f>IF(A628="","",GL_CLEAN!B628)</f>
        <v/>
      </c>
      <c r="C628" s="11">
        <f>IF(A628="","",GL_CLEAN!C628)</f>
        <v/>
      </c>
      <c r="D628" s="14">
        <f>IF(A628="","",GL_CLEAN!H628)</f>
        <v/>
      </c>
      <c r="E628" s="14">
        <f>IF(A628="","",GL_CLEAN!I628)</f>
        <v/>
      </c>
      <c r="F628" s="11">
        <f>IF(A628="","",GL_CLEAN!J628)</f>
        <v/>
      </c>
      <c r="G628" s="11">
        <f>IF(A628="","",IF(F628="OUT","DR","CR"))</f>
        <v/>
      </c>
      <c r="H628" s="11">
        <f>IF(A628="","",IFERROR(INDEX(BANK_CLEAN!$A$2:$A$1001,MATCH(MINIFS(BANK_CLEAN!$J$2:$J$1001,BANK_CLEAN!$H$2:$H$1001,G628,BANK_CLEAN!$L$2:$L$1001,""),BANK_CLEAN!$J$2:$J$1001,0)),""))</f>
        <v/>
      </c>
      <c r="I628" s="10">
        <f>IF(H628="","",INDEX(BANK_CLEAN!$B$2:$B$1001,H628))</f>
        <v/>
      </c>
      <c r="J628" s="14">
        <f>IF(H628="","",IF(F628="OUT",INDEX(BANK_CLEAN!$F$2:$F$1001,H628),INDEX(BANK_CLEAN!$E$2:$E$1001,H628)))</f>
        <v/>
      </c>
      <c r="K628" s="14">
        <f>IF(H628="","",ABS(E628-J628))</f>
        <v/>
      </c>
      <c r="L628" s="11">
        <f>IF(OR(H628="",B628="",I628=""),"",ABS(B628-I628))</f>
        <v/>
      </c>
      <c r="M628" s="15">
        <f>IF(H628="",0,LET(pct,IF(E628&gt;0,K628/E628,1),days,IFERROR(L628,999),100-pct*200-days*3))</f>
        <v/>
      </c>
      <c r="N628" s="11">
        <f>IF(A628="","",IF(H628="","Unmatched GL",IF(AND(K628&lt;=Tol_Amount,L628&lt;=Tol_Days),"Matched",IF(M628&gt;Tol_NearPct,"Near Match","Unmatched GL"))))</f>
        <v/>
      </c>
    </row>
    <row r="629">
      <c r="A629" s="13">
        <f>IF(GL_CLEAN!A629="","",GL_CLEAN!A629)</f>
        <v/>
      </c>
      <c r="B629" s="10">
        <f>IF(A629="","",GL_CLEAN!B629)</f>
        <v/>
      </c>
      <c r="C629" s="11">
        <f>IF(A629="","",GL_CLEAN!C629)</f>
        <v/>
      </c>
      <c r="D629" s="14">
        <f>IF(A629="","",GL_CLEAN!H629)</f>
        <v/>
      </c>
      <c r="E629" s="14">
        <f>IF(A629="","",GL_CLEAN!I629)</f>
        <v/>
      </c>
      <c r="F629" s="11">
        <f>IF(A629="","",GL_CLEAN!J629)</f>
        <v/>
      </c>
      <c r="G629" s="11">
        <f>IF(A629="","",IF(F629="OUT","DR","CR"))</f>
        <v/>
      </c>
      <c r="H629" s="11">
        <f>IF(A629="","",IFERROR(INDEX(BANK_CLEAN!$A$2:$A$1001,MATCH(MINIFS(BANK_CLEAN!$J$2:$J$1001,BANK_CLEAN!$H$2:$H$1001,G629,BANK_CLEAN!$L$2:$L$1001,""),BANK_CLEAN!$J$2:$J$1001,0)),""))</f>
        <v/>
      </c>
      <c r="I629" s="10">
        <f>IF(H629="","",INDEX(BANK_CLEAN!$B$2:$B$1001,H629))</f>
        <v/>
      </c>
      <c r="J629" s="14">
        <f>IF(H629="","",IF(F629="OUT",INDEX(BANK_CLEAN!$F$2:$F$1001,H629),INDEX(BANK_CLEAN!$E$2:$E$1001,H629)))</f>
        <v/>
      </c>
      <c r="K629" s="14">
        <f>IF(H629="","",ABS(E629-J629))</f>
        <v/>
      </c>
      <c r="L629" s="11">
        <f>IF(OR(H629="",B629="",I629=""),"",ABS(B629-I629))</f>
        <v/>
      </c>
      <c r="M629" s="15">
        <f>IF(H629="",0,LET(pct,IF(E629&gt;0,K629/E629,1),days,IFERROR(L629,999),100-pct*200-days*3))</f>
        <v/>
      </c>
      <c r="N629" s="11">
        <f>IF(A629="","",IF(H629="","Unmatched GL",IF(AND(K629&lt;=Tol_Amount,L629&lt;=Tol_Days),"Matched",IF(M629&gt;Tol_NearPct,"Near Match","Unmatched GL"))))</f>
        <v/>
      </c>
    </row>
    <row r="630">
      <c r="A630" s="13">
        <f>IF(GL_CLEAN!A630="","",GL_CLEAN!A630)</f>
        <v/>
      </c>
      <c r="B630" s="10">
        <f>IF(A630="","",GL_CLEAN!B630)</f>
        <v/>
      </c>
      <c r="C630" s="11">
        <f>IF(A630="","",GL_CLEAN!C630)</f>
        <v/>
      </c>
      <c r="D630" s="14">
        <f>IF(A630="","",GL_CLEAN!H630)</f>
        <v/>
      </c>
      <c r="E630" s="14">
        <f>IF(A630="","",GL_CLEAN!I630)</f>
        <v/>
      </c>
      <c r="F630" s="11">
        <f>IF(A630="","",GL_CLEAN!J630)</f>
        <v/>
      </c>
      <c r="G630" s="11">
        <f>IF(A630="","",IF(F630="OUT","DR","CR"))</f>
        <v/>
      </c>
      <c r="H630" s="11">
        <f>IF(A630="","",IFERROR(INDEX(BANK_CLEAN!$A$2:$A$1001,MATCH(MINIFS(BANK_CLEAN!$J$2:$J$1001,BANK_CLEAN!$H$2:$H$1001,G630,BANK_CLEAN!$L$2:$L$1001,""),BANK_CLEAN!$J$2:$J$1001,0)),""))</f>
        <v/>
      </c>
      <c r="I630" s="10">
        <f>IF(H630="","",INDEX(BANK_CLEAN!$B$2:$B$1001,H630))</f>
        <v/>
      </c>
      <c r="J630" s="14">
        <f>IF(H630="","",IF(F630="OUT",INDEX(BANK_CLEAN!$F$2:$F$1001,H630),INDEX(BANK_CLEAN!$E$2:$E$1001,H630)))</f>
        <v/>
      </c>
      <c r="K630" s="14">
        <f>IF(H630="","",ABS(E630-J630))</f>
        <v/>
      </c>
      <c r="L630" s="11">
        <f>IF(OR(H630="",B630="",I630=""),"",ABS(B630-I630))</f>
        <v/>
      </c>
      <c r="M630" s="15">
        <f>IF(H630="",0,LET(pct,IF(E630&gt;0,K630/E630,1),days,IFERROR(L630,999),100-pct*200-days*3))</f>
        <v/>
      </c>
      <c r="N630" s="11">
        <f>IF(A630="","",IF(H630="","Unmatched GL",IF(AND(K630&lt;=Tol_Amount,L630&lt;=Tol_Days),"Matched",IF(M630&gt;Tol_NearPct,"Near Match","Unmatched GL"))))</f>
        <v/>
      </c>
    </row>
    <row r="631">
      <c r="A631" s="13">
        <f>IF(GL_CLEAN!A631="","",GL_CLEAN!A631)</f>
        <v/>
      </c>
      <c r="B631" s="10">
        <f>IF(A631="","",GL_CLEAN!B631)</f>
        <v/>
      </c>
      <c r="C631" s="11">
        <f>IF(A631="","",GL_CLEAN!C631)</f>
        <v/>
      </c>
      <c r="D631" s="14">
        <f>IF(A631="","",GL_CLEAN!H631)</f>
        <v/>
      </c>
      <c r="E631" s="14">
        <f>IF(A631="","",GL_CLEAN!I631)</f>
        <v/>
      </c>
      <c r="F631" s="11">
        <f>IF(A631="","",GL_CLEAN!J631)</f>
        <v/>
      </c>
      <c r="G631" s="11">
        <f>IF(A631="","",IF(F631="OUT","DR","CR"))</f>
        <v/>
      </c>
      <c r="H631" s="11">
        <f>IF(A631="","",IFERROR(INDEX(BANK_CLEAN!$A$2:$A$1001,MATCH(MINIFS(BANK_CLEAN!$J$2:$J$1001,BANK_CLEAN!$H$2:$H$1001,G631,BANK_CLEAN!$L$2:$L$1001,""),BANK_CLEAN!$J$2:$J$1001,0)),""))</f>
        <v/>
      </c>
      <c r="I631" s="10">
        <f>IF(H631="","",INDEX(BANK_CLEAN!$B$2:$B$1001,H631))</f>
        <v/>
      </c>
      <c r="J631" s="14">
        <f>IF(H631="","",IF(F631="OUT",INDEX(BANK_CLEAN!$F$2:$F$1001,H631),INDEX(BANK_CLEAN!$E$2:$E$1001,H631)))</f>
        <v/>
      </c>
      <c r="K631" s="14">
        <f>IF(H631="","",ABS(E631-J631))</f>
        <v/>
      </c>
      <c r="L631" s="11">
        <f>IF(OR(H631="",B631="",I631=""),"",ABS(B631-I631))</f>
        <v/>
      </c>
      <c r="M631" s="15">
        <f>IF(H631="",0,LET(pct,IF(E631&gt;0,K631/E631,1),days,IFERROR(L631,999),100-pct*200-days*3))</f>
        <v/>
      </c>
      <c r="N631" s="11">
        <f>IF(A631="","",IF(H631="","Unmatched GL",IF(AND(K631&lt;=Tol_Amount,L631&lt;=Tol_Days),"Matched",IF(M631&gt;Tol_NearPct,"Near Match","Unmatched GL"))))</f>
        <v/>
      </c>
    </row>
    <row r="632">
      <c r="A632" s="13">
        <f>IF(GL_CLEAN!A632="","",GL_CLEAN!A632)</f>
        <v/>
      </c>
      <c r="B632" s="10">
        <f>IF(A632="","",GL_CLEAN!B632)</f>
        <v/>
      </c>
      <c r="C632" s="11">
        <f>IF(A632="","",GL_CLEAN!C632)</f>
        <v/>
      </c>
      <c r="D632" s="14">
        <f>IF(A632="","",GL_CLEAN!H632)</f>
        <v/>
      </c>
      <c r="E632" s="14">
        <f>IF(A632="","",GL_CLEAN!I632)</f>
        <v/>
      </c>
      <c r="F632" s="11">
        <f>IF(A632="","",GL_CLEAN!J632)</f>
        <v/>
      </c>
      <c r="G632" s="11">
        <f>IF(A632="","",IF(F632="OUT","DR","CR"))</f>
        <v/>
      </c>
      <c r="H632" s="11">
        <f>IF(A632="","",IFERROR(INDEX(BANK_CLEAN!$A$2:$A$1001,MATCH(MINIFS(BANK_CLEAN!$J$2:$J$1001,BANK_CLEAN!$H$2:$H$1001,G632,BANK_CLEAN!$L$2:$L$1001,""),BANK_CLEAN!$J$2:$J$1001,0)),""))</f>
        <v/>
      </c>
      <c r="I632" s="10">
        <f>IF(H632="","",INDEX(BANK_CLEAN!$B$2:$B$1001,H632))</f>
        <v/>
      </c>
      <c r="J632" s="14">
        <f>IF(H632="","",IF(F632="OUT",INDEX(BANK_CLEAN!$F$2:$F$1001,H632),INDEX(BANK_CLEAN!$E$2:$E$1001,H632)))</f>
        <v/>
      </c>
      <c r="K632" s="14">
        <f>IF(H632="","",ABS(E632-J632))</f>
        <v/>
      </c>
      <c r="L632" s="11">
        <f>IF(OR(H632="",B632="",I632=""),"",ABS(B632-I632))</f>
        <v/>
      </c>
      <c r="M632" s="15">
        <f>IF(H632="",0,LET(pct,IF(E632&gt;0,K632/E632,1),days,IFERROR(L632,999),100-pct*200-days*3))</f>
        <v/>
      </c>
      <c r="N632" s="11">
        <f>IF(A632="","",IF(H632="","Unmatched GL",IF(AND(K632&lt;=Tol_Amount,L632&lt;=Tol_Days),"Matched",IF(M632&gt;Tol_NearPct,"Near Match","Unmatched GL"))))</f>
        <v/>
      </c>
    </row>
    <row r="633">
      <c r="A633" s="13">
        <f>IF(GL_CLEAN!A633="","",GL_CLEAN!A633)</f>
        <v/>
      </c>
      <c r="B633" s="10">
        <f>IF(A633="","",GL_CLEAN!B633)</f>
        <v/>
      </c>
      <c r="C633" s="11">
        <f>IF(A633="","",GL_CLEAN!C633)</f>
        <v/>
      </c>
      <c r="D633" s="14">
        <f>IF(A633="","",GL_CLEAN!H633)</f>
        <v/>
      </c>
      <c r="E633" s="14">
        <f>IF(A633="","",GL_CLEAN!I633)</f>
        <v/>
      </c>
      <c r="F633" s="11">
        <f>IF(A633="","",GL_CLEAN!J633)</f>
        <v/>
      </c>
      <c r="G633" s="11">
        <f>IF(A633="","",IF(F633="OUT","DR","CR"))</f>
        <v/>
      </c>
      <c r="H633" s="11">
        <f>IF(A633="","",IFERROR(INDEX(BANK_CLEAN!$A$2:$A$1001,MATCH(MINIFS(BANK_CLEAN!$J$2:$J$1001,BANK_CLEAN!$H$2:$H$1001,G633,BANK_CLEAN!$L$2:$L$1001,""),BANK_CLEAN!$J$2:$J$1001,0)),""))</f>
        <v/>
      </c>
      <c r="I633" s="10">
        <f>IF(H633="","",INDEX(BANK_CLEAN!$B$2:$B$1001,H633))</f>
        <v/>
      </c>
      <c r="J633" s="14">
        <f>IF(H633="","",IF(F633="OUT",INDEX(BANK_CLEAN!$F$2:$F$1001,H633),INDEX(BANK_CLEAN!$E$2:$E$1001,H633)))</f>
        <v/>
      </c>
      <c r="K633" s="14">
        <f>IF(H633="","",ABS(E633-J633))</f>
        <v/>
      </c>
      <c r="L633" s="11">
        <f>IF(OR(H633="",B633="",I633=""),"",ABS(B633-I633))</f>
        <v/>
      </c>
      <c r="M633" s="15">
        <f>IF(H633="",0,LET(pct,IF(E633&gt;0,K633/E633,1),days,IFERROR(L633,999),100-pct*200-days*3))</f>
        <v/>
      </c>
      <c r="N633" s="11">
        <f>IF(A633="","",IF(H633="","Unmatched GL",IF(AND(K633&lt;=Tol_Amount,L633&lt;=Tol_Days),"Matched",IF(M633&gt;Tol_NearPct,"Near Match","Unmatched GL"))))</f>
        <v/>
      </c>
    </row>
    <row r="634">
      <c r="A634" s="13">
        <f>IF(GL_CLEAN!A634="","",GL_CLEAN!A634)</f>
        <v/>
      </c>
      <c r="B634" s="10">
        <f>IF(A634="","",GL_CLEAN!B634)</f>
        <v/>
      </c>
      <c r="C634" s="11">
        <f>IF(A634="","",GL_CLEAN!C634)</f>
        <v/>
      </c>
      <c r="D634" s="14">
        <f>IF(A634="","",GL_CLEAN!H634)</f>
        <v/>
      </c>
      <c r="E634" s="14">
        <f>IF(A634="","",GL_CLEAN!I634)</f>
        <v/>
      </c>
      <c r="F634" s="11">
        <f>IF(A634="","",GL_CLEAN!J634)</f>
        <v/>
      </c>
      <c r="G634" s="11">
        <f>IF(A634="","",IF(F634="OUT","DR","CR"))</f>
        <v/>
      </c>
      <c r="H634" s="11">
        <f>IF(A634="","",IFERROR(INDEX(BANK_CLEAN!$A$2:$A$1001,MATCH(MINIFS(BANK_CLEAN!$J$2:$J$1001,BANK_CLEAN!$H$2:$H$1001,G634,BANK_CLEAN!$L$2:$L$1001,""),BANK_CLEAN!$J$2:$J$1001,0)),""))</f>
        <v/>
      </c>
      <c r="I634" s="10">
        <f>IF(H634="","",INDEX(BANK_CLEAN!$B$2:$B$1001,H634))</f>
        <v/>
      </c>
      <c r="J634" s="14">
        <f>IF(H634="","",IF(F634="OUT",INDEX(BANK_CLEAN!$F$2:$F$1001,H634),INDEX(BANK_CLEAN!$E$2:$E$1001,H634)))</f>
        <v/>
      </c>
      <c r="K634" s="14">
        <f>IF(H634="","",ABS(E634-J634))</f>
        <v/>
      </c>
      <c r="L634" s="11">
        <f>IF(OR(H634="",B634="",I634=""),"",ABS(B634-I634))</f>
        <v/>
      </c>
      <c r="M634" s="15">
        <f>IF(H634="",0,LET(pct,IF(E634&gt;0,K634/E634,1),days,IFERROR(L634,999),100-pct*200-days*3))</f>
        <v/>
      </c>
      <c r="N634" s="11">
        <f>IF(A634="","",IF(H634="","Unmatched GL",IF(AND(K634&lt;=Tol_Amount,L634&lt;=Tol_Days),"Matched",IF(M634&gt;Tol_NearPct,"Near Match","Unmatched GL"))))</f>
        <v/>
      </c>
    </row>
    <row r="635">
      <c r="A635" s="13">
        <f>IF(GL_CLEAN!A635="","",GL_CLEAN!A635)</f>
        <v/>
      </c>
      <c r="B635" s="10">
        <f>IF(A635="","",GL_CLEAN!B635)</f>
        <v/>
      </c>
      <c r="C635" s="11">
        <f>IF(A635="","",GL_CLEAN!C635)</f>
        <v/>
      </c>
      <c r="D635" s="14">
        <f>IF(A635="","",GL_CLEAN!H635)</f>
        <v/>
      </c>
      <c r="E635" s="14">
        <f>IF(A635="","",GL_CLEAN!I635)</f>
        <v/>
      </c>
      <c r="F635" s="11">
        <f>IF(A635="","",GL_CLEAN!J635)</f>
        <v/>
      </c>
      <c r="G635" s="11">
        <f>IF(A635="","",IF(F635="OUT","DR","CR"))</f>
        <v/>
      </c>
      <c r="H635" s="11">
        <f>IF(A635="","",IFERROR(INDEX(BANK_CLEAN!$A$2:$A$1001,MATCH(MINIFS(BANK_CLEAN!$J$2:$J$1001,BANK_CLEAN!$H$2:$H$1001,G635,BANK_CLEAN!$L$2:$L$1001,""),BANK_CLEAN!$J$2:$J$1001,0)),""))</f>
        <v/>
      </c>
      <c r="I635" s="10">
        <f>IF(H635="","",INDEX(BANK_CLEAN!$B$2:$B$1001,H635))</f>
        <v/>
      </c>
      <c r="J635" s="14">
        <f>IF(H635="","",IF(F635="OUT",INDEX(BANK_CLEAN!$F$2:$F$1001,H635),INDEX(BANK_CLEAN!$E$2:$E$1001,H635)))</f>
        <v/>
      </c>
      <c r="K635" s="14">
        <f>IF(H635="","",ABS(E635-J635))</f>
        <v/>
      </c>
      <c r="L635" s="11">
        <f>IF(OR(H635="",B635="",I635=""),"",ABS(B635-I635))</f>
        <v/>
      </c>
      <c r="M635" s="15">
        <f>IF(H635="",0,LET(pct,IF(E635&gt;0,K635/E635,1),days,IFERROR(L635,999),100-pct*200-days*3))</f>
        <v/>
      </c>
      <c r="N635" s="11">
        <f>IF(A635="","",IF(H635="","Unmatched GL",IF(AND(K635&lt;=Tol_Amount,L635&lt;=Tol_Days),"Matched",IF(M635&gt;Tol_NearPct,"Near Match","Unmatched GL"))))</f>
        <v/>
      </c>
    </row>
    <row r="636">
      <c r="A636" s="13">
        <f>IF(GL_CLEAN!A636="","",GL_CLEAN!A636)</f>
        <v/>
      </c>
      <c r="B636" s="10">
        <f>IF(A636="","",GL_CLEAN!B636)</f>
        <v/>
      </c>
      <c r="C636" s="11">
        <f>IF(A636="","",GL_CLEAN!C636)</f>
        <v/>
      </c>
      <c r="D636" s="14">
        <f>IF(A636="","",GL_CLEAN!H636)</f>
        <v/>
      </c>
      <c r="E636" s="14">
        <f>IF(A636="","",GL_CLEAN!I636)</f>
        <v/>
      </c>
      <c r="F636" s="11">
        <f>IF(A636="","",GL_CLEAN!J636)</f>
        <v/>
      </c>
      <c r="G636" s="11">
        <f>IF(A636="","",IF(F636="OUT","DR","CR"))</f>
        <v/>
      </c>
      <c r="H636" s="11">
        <f>IF(A636="","",IFERROR(INDEX(BANK_CLEAN!$A$2:$A$1001,MATCH(MINIFS(BANK_CLEAN!$J$2:$J$1001,BANK_CLEAN!$H$2:$H$1001,G636,BANK_CLEAN!$L$2:$L$1001,""),BANK_CLEAN!$J$2:$J$1001,0)),""))</f>
        <v/>
      </c>
      <c r="I636" s="10">
        <f>IF(H636="","",INDEX(BANK_CLEAN!$B$2:$B$1001,H636))</f>
        <v/>
      </c>
      <c r="J636" s="14">
        <f>IF(H636="","",IF(F636="OUT",INDEX(BANK_CLEAN!$F$2:$F$1001,H636),INDEX(BANK_CLEAN!$E$2:$E$1001,H636)))</f>
        <v/>
      </c>
      <c r="K636" s="14">
        <f>IF(H636="","",ABS(E636-J636))</f>
        <v/>
      </c>
      <c r="L636" s="11">
        <f>IF(OR(H636="",B636="",I636=""),"",ABS(B636-I636))</f>
        <v/>
      </c>
      <c r="M636" s="15">
        <f>IF(H636="",0,LET(pct,IF(E636&gt;0,K636/E636,1),days,IFERROR(L636,999),100-pct*200-days*3))</f>
        <v/>
      </c>
      <c r="N636" s="11">
        <f>IF(A636="","",IF(H636="","Unmatched GL",IF(AND(K636&lt;=Tol_Amount,L636&lt;=Tol_Days),"Matched",IF(M636&gt;Tol_NearPct,"Near Match","Unmatched GL"))))</f>
        <v/>
      </c>
    </row>
    <row r="637">
      <c r="A637" s="13">
        <f>IF(GL_CLEAN!A637="","",GL_CLEAN!A637)</f>
        <v/>
      </c>
      <c r="B637" s="10">
        <f>IF(A637="","",GL_CLEAN!B637)</f>
        <v/>
      </c>
      <c r="C637" s="11">
        <f>IF(A637="","",GL_CLEAN!C637)</f>
        <v/>
      </c>
      <c r="D637" s="14">
        <f>IF(A637="","",GL_CLEAN!H637)</f>
        <v/>
      </c>
      <c r="E637" s="14">
        <f>IF(A637="","",GL_CLEAN!I637)</f>
        <v/>
      </c>
      <c r="F637" s="11">
        <f>IF(A637="","",GL_CLEAN!J637)</f>
        <v/>
      </c>
      <c r="G637" s="11">
        <f>IF(A637="","",IF(F637="OUT","DR","CR"))</f>
        <v/>
      </c>
      <c r="H637" s="11">
        <f>IF(A637="","",IFERROR(INDEX(BANK_CLEAN!$A$2:$A$1001,MATCH(MINIFS(BANK_CLEAN!$J$2:$J$1001,BANK_CLEAN!$H$2:$H$1001,G637,BANK_CLEAN!$L$2:$L$1001,""),BANK_CLEAN!$J$2:$J$1001,0)),""))</f>
        <v/>
      </c>
      <c r="I637" s="10">
        <f>IF(H637="","",INDEX(BANK_CLEAN!$B$2:$B$1001,H637))</f>
        <v/>
      </c>
      <c r="J637" s="14">
        <f>IF(H637="","",IF(F637="OUT",INDEX(BANK_CLEAN!$F$2:$F$1001,H637),INDEX(BANK_CLEAN!$E$2:$E$1001,H637)))</f>
        <v/>
      </c>
      <c r="K637" s="14">
        <f>IF(H637="","",ABS(E637-J637))</f>
        <v/>
      </c>
      <c r="L637" s="11">
        <f>IF(OR(H637="",B637="",I637=""),"",ABS(B637-I637))</f>
        <v/>
      </c>
      <c r="M637" s="15">
        <f>IF(H637="",0,LET(pct,IF(E637&gt;0,K637/E637,1),days,IFERROR(L637,999),100-pct*200-days*3))</f>
        <v/>
      </c>
      <c r="N637" s="11">
        <f>IF(A637="","",IF(H637="","Unmatched GL",IF(AND(K637&lt;=Tol_Amount,L637&lt;=Tol_Days),"Matched",IF(M637&gt;Tol_NearPct,"Near Match","Unmatched GL"))))</f>
        <v/>
      </c>
    </row>
    <row r="638">
      <c r="A638" s="13">
        <f>IF(GL_CLEAN!A638="","",GL_CLEAN!A638)</f>
        <v/>
      </c>
      <c r="B638" s="10">
        <f>IF(A638="","",GL_CLEAN!B638)</f>
        <v/>
      </c>
      <c r="C638" s="11">
        <f>IF(A638="","",GL_CLEAN!C638)</f>
        <v/>
      </c>
      <c r="D638" s="14">
        <f>IF(A638="","",GL_CLEAN!H638)</f>
        <v/>
      </c>
      <c r="E638" s="14">
        <f>IF(A638="","",GL_CLEAN!I638)</f>
        <v/>
      </c>
      <c r="F638" s="11">
        <f>IF(A638="","",GL_CLEAN!J638)</f>
        <v/>
      </c>
      <c r="G638" s="11">
        <f>IF(A638="","",IF(F638="OUT","DR","CR"))</f>
        <v/>
      </c>
      <c r="H638" s="11">
        <f>IF(A638="","",IFERROR(INDEX(BANK_CLEAN!$A$2:$A$1001,MATCH(MINIFS(BANK_CLEAN!$J$2:$J$1001,BANK_CLEAN!$H$2:$H$1001,G638,BANK_CLEAN!$L$2:$L$1001,""),BANK_CLEAN!$J$2:$J$1001,0)),""))</f>
        <v/>
      </c>
      <c r="I638" s="10">
        <f>IF(H638="","",INDEX(BANK_CLEAN!$B$2:$B$1001,H638))</f>
        <v/>
      </c>
      <c r="J638" s="14">
        <f>IF(H638="","",IF(F638="OUT",INDEX(BANK_CLEAN!$F$2:$F$1001,H638),INDEX(BANK_CLEAN!$E$2:$E$1001,H638)))</f>
        <v/>
      </c>
      <c r="K638" s="14">
        <f>IF(H638="","",ABS(E638-J638))</f>
        <v/>
      </c>
      <c r="L638" s="11">
        <f>IF(OR(H638="",B638="",I638=""),"",ABS(B638-I638))</f>
        <v/>
      </c>
      <c r="M638" s="15">
        <f>IF(H638="",0,LET(pct,IF(E638&gt;0,K638/E638,1),days,IFERROR(L638,999),100-pct*200-days*3))</f>
        <v/>
      </c>
      <c r="N638" s="11">
        <f>IF(A638="","",IF(H638="","Unmatched GL",IF(AND(K638&lt;=Tol_Amount,L638&lt;=Tol_Days),"Matched",IF(M638&gt;Tol_NearPct,"Near Match","Unmatched GL"))))</f>
        <v/>
      </c>
    </row>
    <row r="639">
      <c r="A639" s="13">
        <f>IF(GL_CLEAN!A639="","",GL_CLEAN!A639)</f>
        <v/>
      </c>
      <c r="B639" s="10">
        <f>IF(A639="","",GL_CLEAN!B639)</f>
        <v/>
      </c>
      <c r="C639" s="11">
        <f>IF(A639="","",GL_CLEAN!C639)</f>
        <v/>
      </c>
      <c r="D639" s="14">
        <f>IF(A639="","",GL_CLEAN!H639)</f>
        <v/>
      </c>
      <c r="E639" s="14">
        <f>IF(A639="","",GL_CLEAN!I639)</f>
        <v/>
      </c>
      <c r="F639" s="11">
        <f>IF(A639="","",GL_CLEAN!J639)</f>
        <v/>
      </c>
      <c r="G639" s="11">
        <f>IF(A639="","",IF(F639="OUT","DR","CR"))</f>
        <v/>
      </c>
      <c r="H639" s="11">
        <f>IF(A639="","",IFERROR(INDEX(BANK_CLEAN!$A$2:$A$1001,MATCH(MINIFS(BANK_CLEAN!$J$2:$J$1001,BANK_CLEAN!$H$2:$H$1001,G639,BANK_CLEAN!$L$2:$L$1001,""),BANK_CLEAN!$J$2:$J$1001,0)),""))</f>
        <v/>
      </c>
      <c r="I639" s="10">
        <f>IF(H639="","",INDEX(BANK_CLEAN!$B$2:$B$1001,H639))</f>
        <v/>
      </c>
      <c r="J639" s="14">
        <f>IF(H639="","",IF(F639="OUT",INDEX(BANK_CLEAN!$F$2:$F$1001,H639),INDEX(BANK_CLEAN!$E$2:$E$1001,H639)))</f>
        <v/>
      </c>
      <c r="K639" s="14">
        <f>IF(H639="","",ABS(E639-J639))</f>
        <v/>
      </c>
      <c r="L639" s="11">
        <f>IF(OR(H639="",B639="",I639=""),"",ABS(B639-I639))</f>
        <v/>
      </c>
      <c r="M639" s="15">
        <f>IF(H639="",0,LET(pct,IF(E639&gt;0,K639/E639,1),days,IFERROR(L639,999),100-pct*200-days*3))</f>
        <v/>
      </c>
      <c r="N639" s="11">
        <f>IF(A639="","",IF(H639="","Unmatched GL",IF(AND(K639&lt;=Tol_Amount,L639&lt;=Tol_Days),"Matched",IF(M639&gt;Tol_NearPct,"Near Match","Unmatched GL"))))</f>
        <v/>
      </c>
    </row>
    <row r="640">
      <c r="A640" s="13">
        <f>IF(GL_CLEAN!A640="","",GL_CLEAN!A640)</f>
        <v/>
      </c>
      <c r="B640" s="10">
        <f>IF(A640="","",GL_CLEAN!B640)</f>
        <v/>
      </c>
      <c r="C640" s="11">
        <f>IF(A640="","",GL_CLEAN!C640)</f>
        <v/>
      </c>
      <c r="D640" s="14">
        <f>IF(A640="","",GL_CLEAN!H640)</f>
        <v/>
      </c>
      <c r="E640" s="14">
        <f>IF(A640="","",GL_CLEAN!I640)</f>
        <v/>
      </c>
      <c r="F640" s="11">
        <f>IF(A640="","",GL_CLEAN!J640)</f>
        <v/>
      </c>
      <c r="G640" s="11">
        <f>IF(A640="","",IF(F640="OUT","DR","CR"))</f>
        <v/>
      </c>
      <c r="H640" s="11">
        <f>IF(A640="","",IFERROR(INDEX(BANK_CLEAN!$A$2:$A$1001,MATCH(MINIFS(BANK_CLEAN!$J$2:$J$1001,BANK_CLEAN!$H$2:$H$1001,G640,BANK_CLEAN!$L$2:$L$1001,""),BANK_CLEAN!$J$2:$J$1001,0)),""))</f>
        <v/>
      </c>
      <c r="I640" s="10">
        <f>IF(H640="","",INDEX(BANK_CLEAN!$B$2:$B$1001,H640))</f>
        <v/>
      </c>
      <c r="J640" s="14">
        <f>IF(H640="","",IF(F640="OUT",INDEX(BANK_CLEAN!$F$2:$F$1001,H640),INDEX(BANK_CLEAN!$E$2:$E$1001,H640)))</f>
        <v/>
      </c>
      <c r="K640" s="14">
        <f>IF(H640="","",ABS(E640-J640))</f>
        <v/>
      </c>
      <c r="L640" s="11">
        <f>IF(OR(H640="",B640="",I640=""),"",ABS(B640-I640))</f>
        <v/>
      </c>
      <c r="M640" s="15">
        <f>IF(H640="",0,LET(pct,IF(E640&gt;0,K640/E640,1),days,IFERROR(L640,999),100-pct*200-days*3))</f>
        <v/>
      </c>
      <c r="N640" s="11">
        <f>IF(A640="","",IF(H640="","Unmatched GL",IF(AND(K640&lt;=Tol_Amount,L640&lt;=Tol_Days),"Matched",IF(M640&gt;Tol_NearPct,"Near Match","Unmatched GL"))))</f>
        <v/>
      </c>
    </row>
    <row r="641">
      <c r="A641" s="13">
        <f>IF(GL_CLEAN!A641="","",GL_CLEAN!A641)</f>
        <v/>
      </c>
      <c r="B641" s="10">
        <f>IF(A641="","",GL_CLEAN!B641)</f>
        <v/>
      </c>
      <c r="C641" s="11">
        <f>IF(A641="","",GL_CLEAN!C641)</f>
        <v/>
      </c>
      <c r="D641" s="14">
        <f>IF(A641="","",GL_CLEAN!H641)</f>
        <v/>
      </c>
      <c r="E641" s="14">
        <f>IF(A641="","",GL_CLEAN!I641)</f>
        <v/>
      </c>
      <c r="F641" s="11">
        <f>IF(A641="","",GL_CLEAN!J641)</f>
        <v/>
      </c>
      <c r="G641" s="11">
        <f>IF(A641="","",IF(F641="OUT","DR","CR"))</f>
        <v/>
      </c>
      <c r="H641" s="11">
        <f>IF(A641="","",IFERROR(INDEX(BANK_CLEAN!$A$2:$A$1001,MATCH(MINIFS(BANK_CLEAN!$J$2:$J$1001,BANK_CLEAN!$H$2:$H$1001,G641,BANK_CLEAN!$L$2:$L$1001,""),BANK_CLEAN!$J$2:$J$1001,0)),""))</f>
        <v/>
      </c>
      <c r="I641" s="10">
        <f>IF(H641="","",INDEX(BANK_CLEAN!$B$2:$B$1001,H641))</f>
        <v/>
      </c>
      <c r="J641" s="14">
        <f>IF(H641="","",IF(F641="OUT",INDEX(BANK_CLEAN!$F$2:$F$1001,H641),INDEX(BANK_CLEAN!$E$2:$E$1001,H641)))</f>
        <v/>
      </c>
      <c r="K641" s="14">
        <f>IF(H641="","",ABS(E641-J641))</f>
        <v/>
      </c>
      <c r="L641" s="11">
        <f>IF(OR(H641="",B641="",I641=""),"",ABS(B641-I641))</f>
        <v/>
      </c>
      <c r="M641" s="15">
        <f>IF(H641="",0,LET(pct,IF(E641&gt;0,K641/E641,1),days,IFERROR(L641,999),100-pct*200-days*3))</f>
        <v/>
      </c>
      <c r="N641" s="11">
        <f>IF(A641="","",IF(H641="","Unmatched GL",IF(AND(K641&lt;=Tol_Amount,L641&lt;=Tol_Days),"Matched",IF(M641&gt;Tol_NearPct,"Near Match","Unmatched GL"))))</f>
        <v/>
      </c>
    </row>
    <row r="642">
      <c r="A642" s="13">
        <f>IF(GL_CLEAN!A642="","",GL_CLEAN!A642)</f>
        <v/>
      </c>
      <c r="B642" s="10">
        <f>IF(A642="","",GL_CLEAN!B642)</f>
        <v/>
      </c>
      <c r="C642" s="11">
        <f>IF(A642="","",GL_CLEAN!C642)</f>
        <v/>
      </c>
      <c r="D642" s="14">
        <f>IF(A642="","",GL_CLEAN!H642)</f>
        <v/>
      </c>
      <c r="E642" s="14">
        <f>IF(A642="","",GL_CLEAN!I642)</f>
        <v/>
      </c>
      <c r="F642" s="11">
        <f>IF(A642="","",GL_CLEAN!J642)</f>
        <v/>
      </c>
      <c r="G642" s="11">
        <f>IF(A642="","",IF(F642="OUT","DR","CR"))</f>
        <v/>
      </c>
      <c r="H642" s="11">
        <f>IF(A642="","",IFERROR(INDEX(BANK_CLEAN!$A$2:$A$1001,MATCH(MINIFS(BANK_CLEAN!$J$2:$J$1001,BANK_CLEAN!$H$2:$H$1001,G642,BANK_CLEAN!$L$2:$L$1001,""),BANK_CLEAN!$J$2:$J$1001,0)),""))</f>
        <v/>
      </c>
      <c r="I642" s="10">
        <f>IF(H642="","",INDEX(BANK_CLEAN!$B$2:$B$1001,H642))</f>
        <v/>
      </c>
      <c r="J642" s="14">
        <f>IF(H642="","",IF(F642="OUT",INDEX(BANK_CLEAN!$F$2:$F$1001,H642),INDEX(BANK_CLEAN!$E$2:$E$1001,H642)))</f>
        <v/>
      </c>
      <c r="K642" s="14">
        <f>IF(H642="","",ABS(E642-J642))</f>
        <v/>
      </c>
      <c r="L642" s="11">
        <f>IF(OR(H642="",B642="",I642=""),"",ABS(B642-I642))</f>
        <v/>
      </c>
      <c r="M642" s="15">
        <f>IF(H642="",0,LET(pct,IF(E642&gt;0,K642/E642,1),days,IFERROR(L642,999),100-pct*200-days*3))</f>
        <v/>
      </c>
      <c r="N642" s="11">
        <f>IF(A642="","",IF(H642="","Unmatched GL",IF(AND(K642&lt;=Tol_Amount,L642&lt;=Tol_Days),"Matched",IF(M642&gt;Tol_NearPct,"Near Match","Unmatched GL"))))</f>
        <v/>
      </c>
    </row>
    <row r="643">
      <c r="A643" s="13">
        <f>IF(GL_CLEAN!A643="","",GL_CLEAN!A643)</f>
        <v/>
      </c>
      <c r="B643" s="10">
        <f>IF(A643="","",GL_CLEAN!B643)</f>
        <v/>
      </c>
      <c r="C643" s="11">
        <f>IF(A643="","",GL_CLEAN!C643)</f>
        <v/>
      </c>
      <c r="D643" s="14">
        <f>IF(A643="","",GL_CLEAN!H643)</f>
        <v/>
      </c>
      <c r="E643" s="14">
        <f>IF(A643="","",GL_CLEAN!I643)</f>
        <v/>
      </c>
      <c r="F643" s="11">
        <f>IF(A643="","",GL_CLEAN!J643)</f>
        <v/>
      </c>
      <c r="G643" s="11">
        <f>IF(A643="","",IF(F643="OUT","DR","CR"))</f>
        <v/>
      </c>
      <c r="H643" s="11">
        <f>IF(A643="","",IFERROR(INDEX(BANK_CLEAN!$A$2:$A$1001,MATCH(MINIFS(BANK_CLEAN!$J$2:$J$1001,BANK_CLEAN!$H$2:$H$1001,G643,BANK_CLEAN!$L$2:$L$1001,""),BANK_CLEAN!$J$2:$J$1001,0)),""))</f>
        <v/>
      </c>
      <c r="I643" s="10">
        <f>IF(H643="","",INDEX(BANK_CLEAN!$B$2:$B$1001,H643))</f>
        <v/>
      </c>
      <c r="J643" s="14">
        <f>IF(H643="","",IF(F643="OUT",INDEX(BANK_CLEAN!$F$2:$F$1001,H643),INDEX(BANK_CLEAN!$E$2:$E$1001,H643)))</f>
        <v/>
      </c>
      <c r="K643" s="14">
        <f>IF(H643="","",ABS(E643-J643))</f>
        <v/>
      </c>
      <c r="L643" s="11">
        <f>IF(OR(H643="",B643="",I643=""),"",ABS(B643-I643))</f>
        <v/>
      </c>
      <c r="M643" s="15">
        <f>IF(H643="",0,LET(pct,IF(E643&gt;0,K643/E643,1),days,IFERROR(L643,999),100-pct*200-days*3))</f>
        <v/>
      </c>
      <c r="N643" s="11">
        <f>IF(A643="","",IF(H643="","Unmatched GL",IF(AND(K643&lt;=Tol_Amount,L643&lt;=Tol_Days),"Matched",IF(M643&gt;Tol_NearPct,"Near Match","Unmatched GL"))))</f>
        <v/>
      </c>
    </row>
    <row r="644">
      <c r="A644" s="13">
        <f>IF(GL_CLEAN!A644="","",GL_CLEAN!A644)</f>
        <v/>
      </c>
      <c r="B644" s="10">
        <f>IF(A644="","",GL_CLEAN!B644)</f>
        <v/>
      </c>
      <c r="C644" s="11">
        <f>IF(A644="","",GL_CLEAN!C644)</f>
        <v/>
      </c>
      <c r="D644" s="14">
        <f>IF(A644="","",GL_CLEAN!H644)</f>
        <v/>
      </c>
      <c r="E644" s="14">
        <f>IF(A644="","",GL_CLEAN!I644)</f>
        <v/>
      </c>
      <c r="F644" s="11">
        <f>IF(A644="","",GL_CLEAN!J644)</f>
        <v/>
      </c>
      <c r="G644" s="11">
        <f>IF(A644="","",IF(F644="OUT","DR","CR"))</f>
        <v/>
      </c>
      <c r="H644" s="11">
        <f>IF(A644="","",IFERROR(INDEX(BANK_CLEAN!$A$2:$A$1001,MATCH(MINIFS(BANK_CLEAN!$J$2:$J$1001,BANK_CLEAN!$H$2:$H$1001,G644,BANK_CLEAN!$L$2:$L$1001,""),BANK_CLEAN!$J$2:$J$1001,0)),""))</f>
        <v/>
      </c>
      <c r="I644" s="10">
        <f>IF(H644="","",INDEX(BANK_CLEAN!$B$2:$B$1001,H644))</f>
        <v/>
      </c>
      <c r="J644" s="14">
        <f>IF(H644="","",IF(F644="OUT",INDEX(BANK_CLEAN!$F$2:$F$1001,H644),INDEX(BANK_CLEAN!$E$2:$E$1001,H644)))</f>
        <v/>
      </c>
      <c r="K644" s="14">
        <f>IF(H644="","",ABS(E644-J644))</f>
        <v/>
      </c>
      <c r="L644" s="11">
        <f>IF(OR(H644="",B644="",I644=""),"",ABS(B644-I644))</f>
        <v/>
      </c>
      <c r="M644" s="15">
        <f>IF(H644="",0,LET(pct,IF(E644&gt;0,K644/E644,1),days,IFERROR(L644,999),100-pct*200-days*3))</f>
        <v/>
      </c>
      <c r="N644" s="11">
        <f>IF(A644="","",IF(H644="","Unmatched GL",IF(AND(K644&lt;=Tol_Amount,L644&lt;=Tol_Days),"Matched",IF(M644&gt;Tol_NearPct,"Near Match","Unmatched GL"))))</f>
        <v/>
      </c>
    </row>
    <row r="645">
      <c r="A645" s="13">
        <f>IF(GL_CLEAN!A645="","",GL_CLEAN!A645)</f>
        <v/>
      </c>
      <c r="B645" s="10">
        <f>IF(A645="","",GL_CLEAN!B645)</f>
        <v/>
      </c>
      <c r="C645" s="11">
        <f>IF(A645="","",GL_CLEAN!C645)</f>
        <v/>
      </c>
      <c r="D645" s="14">
        <f>IF(A645="","",GL_CLEAN!H645)</f>
        <v/>
      </c>
      <c r="E645" s="14">
        <f>IF(A645="","",GL_CLEAN!I645)</f>
        <v/>
      </c>
      <c r="F645" s="11">
        <f>IF(A645="","",GL_CLEAN!J645)</f>
        <v/>
      </c>
      <c r="G645" s="11">
        <f>IF(A645="","",IF(F645="OUT","DR","CR"))</f>
        <v/>
      </c>
      <c r="H645" s="11">
        <f>IF(A645="","",IFERROR(INDEX(BANK_CLEAN!$A$2:$A$1001,MATCH(MINIFS(BANK_CLEAN!$J$2:$J$1001,BANK_CLEAN!$H$2:$H$1001,G645,BANK_CLEAN!$L$2:$L$1001,""),BANK_CLEAN!$J$2:$J$1001,0)),""))</f>
        <v/>
      </c>
      <c r="I645" s="10">
        <f>IF(H645="","",INDEX(BANK_CLEAN!$B$2:$B$1001,H645))</f>
        <v/>
      </c>
      <c r="J645" s="14">
        <f>IF(H645="","",IF(F645="OUT",INDEX(BANK_CLEAN!$F$2:$F$1001,H645),INDEX(BANK_CLEAN!$E$2:$E$1001,H645)))</f>
        <v/>
      </c>
      <c r="K645" s="14">
        <f>IF(H645="","",ABS(E645-J645))</f>
        <v/>
      </c>
      <c r="L645" s="11">
        <f>IF(OR(H645="",B645="",I645=""),"",ABS(B645-I645))</f>
        <v/>
      </c>
      <c r="M645" s="15">
        <f>IF(H645="",0,LET(pct,IF(E645&gt;0,K645/E645,1),days,IFERROR(L645,999),100-pct*200-days*3))</f>
        <v/>
      </c>
      <c r="N645" s="11">
        <f>IF(A645="","",IF(H645="","Unmatched GL",IF(AND(K645&lt;=Tol_Amount,L645&lt;=Tol_Days),"Matched",IF(M645&gt;Tol_NearPct,"Near Match","Unmatched GL"))))</f>
        <v/>
      </c>
    </row>
    <row r="646">
      <c r="A646" s="13">
        <f>IF(GL_CLEAN!A646="","",GL_CLEAN!A646)</f>
        <v/>
      </c>
      <c r="B646" s="10">
        <f>IF(A646="","",GL_CLEAN!B646)</f>
        <v/>
      </c>
      <c r="C646" s="11">
        <f>IF(A646="","",GL_CLEAN!C646)</f>
        <v/>
      </c>
      <c r="D646" s="14">
        <f>IF(A646="","",GL_CLEAN!H646)</f>
        <v/>
      </c>
      <c r="E646" s="14">
        <f>IF(A646="","",GL_CLEAN!I646)</f>
        <v/>
      </c>
      <c r="F646" s="11">
        <f>IF(A646="","",GL_CLEAN!J646)</f>
        <v/>
      </c>
      <c r="G646" s="11">
        <f>IF(A646="","",IF(F646="OUT","DR","CR"))</f>
        <v/>
      </c>
      <c r="H646" s="11">
        <f>IF(A646="","",IFERROR(INDEX(BANK_CLEAN!$A$2:$A$1001,MATCH(MINIFS(BANK_CLEAN!$J$2:$J$1001,BANK_CLEAN!$H$2:$H$1001,G646,BANK_CLEAN!$L$2:$L$1001,""),BANK_CLEAN!$J$2:$J$1001,0)),""))</f>
        <v/>
      </c>
      <c r="I646" s="10">
        <f>IF(H646="","",INDEX(BANK_CLEAN!$B$2:$B$1001,H646))</f>
        <v/>
      </c>
      <c r="J646" s="14">
        <f>IF(H646="","",IF(F646="OUT",INDEX(BANK_CLEAN!$F$2:$F$1001,H646),INDEX(BANK_CLEAN!$E$2:$E$1001,H646)))</f>
        <v/>
      </c>
      <c r="K646" s="14">
        <f>IF(H646="","",ABS(E646-J646))</f>
        <v/>
      </c>
      <c r="L646" s="11">
        <f>IF(OR(H646="",B646="",I646=""),"",ABS(B646-I646))</f>
        <v/>
      </c>
      <c r="M646" s="15">
        <f>IF(H646="",0,LET(pct,IF(E646&gt;0,K646/E646,1),days,IFERROR(L646,999),100-pct*200-days*3))</f>
        <v/>
      </c>
      <c r="N646" s="11">
        <f>IF(A646="","",IF(H646="","Unmatched GL",IF(AND(K646&lt;=Tol_Amount,L646&lt;=Tol_Days),"Matched",IF(M646&gt;Tol_NearPct,"Near Match","Unmatched GL"))))</f>
        <v/>
      </c>
    </row>
    <row r="647">
      <c r="A647" s="13">
        <f>IF(GL_CLEAN!A647="","",GL_CLEAN!A647)</f>
        <v/>
      </c>
      <c r="B647" s="10">
        <f>IF(A647="","",GL_CLEAN!B647)</f>
        <v/>
      </c>
      <c r="C647" s="11">
        <f>IF(A647="","",GL_CLEAN!C647)</f>
        <v/>
      </c>
      <c r="D647" s="14">
        <f>IF(A647="","",GL_CLEAN!H647)</f>
        <v/>
      </c>
      <c r="E647" s="14">
        <f>IF(A647="","",GL_CLEAN!I647)</f>
        <v/>
      </c>
      <c r="F647" s="11">
        <f>IF(A647="","",GL_CLEAN!J647)</f>
        <v/>
      </c>
      <c r="G647" s="11">
        <f>IF(A647="","",IF(F647="OUT","DR","CR"))</f>
        <v/>
      </c>
      <c r="H647" s="11">
        <f>IF(A647="","",IFERROR(INDEX(BANK_CLEAN!$A$2:$A$1001,MATCH(MINIFS(BANK_CLEAN!$J$2:$J$1001,BANK_CLEAN!$H$2:$H$1001,G647,BANK_CLEAN!$L$2:$L$1001,""),BANK_CLEAN!$J$2:$J$1001,0)),""))</f>
        <v/>
      </c>
      <c r="I647" s="10">
        <f>IF(H647="","",INDEX(BANK_CLEAN!$B$2:$B$1001,H647))</f>
        <v/>
      </c>
      <c r="J647" s="14">
        <f>IF(H647="","",IF(F647="OUT",INDEX(BANK_CLEAN!$F$2:$F$1001,H647),INDEX(BANK_CLEAN!$E$2:$E$1001,H647)))</f>
        <v/>
      </c>
      <c r="K647" s="14">
        <f>IF(H647="","",ABS(E647-J647))</f>
        <v/>
      </c>
      <c r="L647" s="11">
        <f>IF(OR(H647="",B647="",I647=""),"",ABS(B647-I647))</f>
        <v/>
      </c>
      <c r="M647" s="15">
        <f>IF(H647="",0,LET(pct,IF(E647&gt;0,K647/E647,1),days,IFERROR(L647,999),100-pct*200-days*3))</f>
        <v/>
      </c>
      <c r="N647" s="11">
        <f>IF(A647="","",IF(H647="","Unmatched GL",IF(AND(K647&lt;=Tol_Amount,L647&lt;=Tol_Days),"Matched",IF(M647&gt;Tol_NearPct,"Near Match","Unmatched GL"))))</f>
        <v/>
      </c>
    </row>
    <row r="648">
      <c r="A648" s="13">
        <f>IF(GL_CLEAN!A648="","",GL_CLEAN!A648)</f>
        <v/>
      </c>
      <c r="B648" s="10">
        <f>IF(A648="","",GL_CLEAN!B648)</f>
        <v/>
      </c>
      <c r="C648" s="11">
        <f>IF(A648="","",GL_CLEAN!C648)</f>
        <v/>
      </c>
      <c r="D648" s="14">
        <f>IF(A648="","",GL_CLEAN!H648)</f>
        <v/>
      </c>
      <c r="E648" s="14">
        <f>IF(A648="","",GL_CLEAN!I648)</f>
        <v/>
      </c>
      <c r="F648" s="11">
        <f>IF(A648="","",GL_CLEAN!J648)</f>
        <v/>
      </c>
      <c r="G648" s="11">
        <f>IF(A648="","",IF(F648="OUT","DR","CR"))</f>
        <v/>
      </c>
      <c r="H648" s="11">
        <f>IF(A648="","",IFERROR(INDEX(BANK_CLEAN!$A$2:$A$1001,MATCH(MINIFS(BANK_CLEAN!$J$2:$J$1001,BANK_CLEAN!$H$2:$H$1001,G648,BANK_CLEAN!$L$2:$L$1001,""),BANK_CLEAN!$J$2:$J$1001,0)),""))</f>
        <v/>
      </c>
      <c r="I648" s="10">
        <f>IF(H648="","",INDEX(BANK_CLEAN!$B$2:$B$1001,H648))</f>
        <v/>
      </c>
      <c r="J648" s="14">
        <f>IF(H648="","",IF(F648="OUT",INDEX(BANK_CLEAN!$F$2:$F$1001,H648),INDEX(BANK_CLEAN!$E$2:$E$1001,H648)))</f>
        <v/>
      </c>
      <c r="K648" s="14">
        <f>IF(H648="","",ABS(E648-J648))</f>
        <v/>
      </c>
      <c r="L648" s="11">
        <f>IF(OR(H648="",B648="",I648=""),"",ABS(B648-I648))</f>
        <v/>
      </c>
      <c r="M648" s="15">
        <f>IF(H648="",0,LET(pct,IF(E648&gt;0,K648/E648,1),days,IFERROR(L648,999),100-pct*200-days*3))</f>
        <v/>
      </c>
      <c r="N648" s="11">
        <f>IF(A648="","",IF(H648="","Unmatched GL",IF(AND(K648&lt;=Tol_Amount,L648&lt;=Tol_Days),"Matched",IF(M648&gt;Tol_NearPct,"Near Match","Unmatched GL"))))</f>
        <v/>
      </c>
    </row>
    <row r="649">
      <c r="A649" s="13">
        <f>IF(GL_CLEAN!A649="","",GL_CLEAN!A649)</f>
        <v/>
      </c>
      <c r="B649" s="10">
        <f>IF(A649="","",GL_CLEAN!B649)</f>
        <v/>
      </c>
      <c r="C649" s="11">
        <f>IF(A649="","",GL_CLEAN!C649)</f>
        <v/>
      </c>
      <c r="D649" s="14">
        <f>IF(A649="","",GL_CLEAN!H649)</f>
        <v/>
      </c>
      <c r="E649" s="14">
        <f>IF(A649="","",GL_CLEAN!I649)</f>
        <v/>
      </c>
      <c r="F649" s="11">
        <f>IF(A649="","",GL_CLEAN!J649)</f>
        <v/>
      </c>
      <c r="G649" s="11">
        <f>IF(A649="","",IF(F649="OUT","DR","CR"))</f>
        <v/>
      </c>
      <c r="H649" s="11">
        <f>IF(A649="","",IFERROR(INDEX(BANK_CLEAN!$A$2:$A$1001,MATCH(MINIFS(BANK_CLEAN!$J$2:$J$1001,BANK_CLEAN!$H$2:$H$1001,G649,BANK_CLEAN!$L$2:$L$1001,""),BANK_CLEAN!$J$2:$J$1001,0)),""))</f>
        <v/>
      </c>
      <c r="I649" s="10">
        <f>IF(H649="","",INDEX(BANK_CLEAN!$B$2:$B$1001,H649))</f>
        <v/>
      </c>
      <c r="J649" s="14">
        <f>IF(H649="","",IF(F649="OUT",INDEX(BANK_CLEAN!$F$2:$F$1001,H649),INDEX(BANK_CLEAN!$E$2:$E$1001,H649)))</f>
        <v/>
      </c>
      <c r="K649" s="14">
        <f>IF(H649="","",ABS(E649-J649))</f>
        <v/>
      </c>
      <c r="L649" s="11">
        <f>IF(OR(H649="",B649="",I649=""),"",ABS(B649-I649))</f>
        <v/>
      </c>
      <c r="M649" s="15">
        <f>IF(H649="",0,LET(pct,IF(E649&gt;0,K649/E649,1),days,IFERROR(L649,999),100-pct*200-days*3))</f>
        <v/>
      </c>
      <c r="N649" s="11">
        <f>IF(A649="","",IF(H649="","Unmatched GL",IF(AND(K649&lt;=Tol_Amount,L649&lt;=Tol_Days),"Matched",IF(M649&gt;Tol_NearPct,"Near Match","Unmatched GL"))))</f>
        <v/>
      </c>
    </row>
    <row r="650">
      <c r="A650" s="13">
        <f>IF(GL_CLEAN!A650="","",GL_CLEAN!A650)</f>
        <v/>
      </c>
      <c r="B650" s="10">
        <f>IF(A650="","",GL_CLEAN!B650)</f>
        <v/>
      </c>
      <c r="C650" s="11">
        <f>IF(A650="","",GL_CLEAN!C650)</f>
        <v/>
      </c>
      <c r="D650" s="14">
        <f>IF(A650="","",GL_CLEAN!H650)</f>
        <v/>
      </c>
      <c r="E650" s="14">
        <f>IF(A650="","",GL_CLEAN!I650)</f>
        <v/>
      </c>
      <c r="F650" s="11">
        <f>IF(A650="","",GL_CLEAN!J650)</f>
        <v/>
      </c>
      <c r="G650" s="11">
        <f>IF(A650="","",IF(F650="OUT","DR","CR"))</f>
        <v/>
      </c>
      <c r="H650" s="11">
        <f>IF(A650="","",IFERROR(INDEX(BANK_CLEAN!$A$2:$A$1001,MATCH(MINIFS(BANK_CLEAN!$J$2:$J$1001,BANK_CLEAN!$H$2:$H$1001,G650,BANK_CLEAN!$L$2:$L$1001,""),BANK_CLEAN!$J$2:$J$1001,0)),""))</f>
        <v/>
      </c>
      <c r="I650" s="10">
        <f>IF(H650="","",INDEX(BANK_CLEAN!$B$2:$B$1001,H650))</f>
        <v/>
      </c>
      <c r="J650" s="14">
        <f>IF(H650="","",IF(F650="OUT",INDEX(BANK_CLEAN!$F$2:$F$1001,H650),INDEX(BANK_CLEAN!$E$2:$E$1001,H650)))</f>
        <v/>
      </c>
      <c r="K650" s="14">
        <f>IF(H650="","",ABS(E650-J650))</f>
        <v/>
      </c>
      <c r="L650" s="11">
        <f>IF(OR(H650="",B650="",I650=""),"",ABS(B650-I650))</f>
        <v/>
      </c>
      <c r="M650" s="15">
        <f>IF(H650="",0,LET(pct,IF(E650&gt;0,K650/E650,1),days,IFERROR(L650,999),100-pct*200-days*3))</f>
        <v/>
      </c>
      <c r="N650" s="11">
        <f>IF(A650="","",IF(H650="","Unmatched GL",IF(AND(K650&lt;=Tol_Amount,L650&lt;=Tol_Days),"Matched",IF(M650&gt;Tol_NearPct,"Near Match","Unmatched GL"))))</f>
        <v/>
      </c>
    </row>
    <row r="651">
      <c r="A651" s="13">
        <f>IF(GL_CLEAN!A651="","",GL_CLEAN!A651)</f>
        <v/>
      </c>
      <c r="B651" s="10">
        <f>IF(A651="","",GL_CLEAN!B651)</f>
        <v/>
      </c>
      <c r="C651" s="11">
        <f>IF(A651="","",GL_CLEAN!C651)</f>
        <v/>
      </c>
      <c r="D651" s="14">
        <f>IF(A651="","",GL_CLEAN!H651)</f>
        <v/>
      </c>
      <c r="E651" s="14">
        <f>IF(A651="","",GL_CLEAN!I651)</f>
        <v/>
      </c>
      <c r="F651" s="11">
        <f>IF(A651="","",GL_CLEAN!J651)</f>
        <v/>
      </c>
      <c r="G651" s="11">
        <f>IF(A651="","",IF(F651="OUT","DR","CR"))</f>
        <v/>
      </c>
      <c r="H651" s="11">
        <f>IF(A651="","",IFERROR(INDEX(BANK_CLEAN!$A$2:$A$1001,MATCH(MINIFS(BANK_CLEAN!$J$2:$J$1001,BANK_CLEAN!$H$2:$H$1001,G651,BANK_CLEAN!$L$2:$L$1001,""),BANK_CLEAN!$J$2:$J$1001,0)),""))</f>
        <v/>
      </c>
      <c r="I651" s="10">
        <f>IF(H651="","",INDEX(BANK_CLEAN!$B$2:$B$1001,H651))</f>
        <v/>
      </c>
      <c r="J651" s="14">
        <f>IF(H651="","",IF(F651="OUT",INDEX(BANK_CLEAN!$F$2:$F$1001,H651),INDEX(BANK_CLEAN!$E$2:$E$1001,H651)))</f>
        <v/>
      </c>
      <c r="K651" s="14">
        <f>IF(H651="","",ABS(E651-J651))</f>
        <v/>
      </c>
      <c r="L651" s="11">
        <f>IF(OR(H651="",B651="",I651=""),"",ABS(B651-I651))</f>
        <v/>
      </c>
      <c r="M651" s="15">
        <f>IF(H651="",0,LET(pct,IF(E651&gt;0,K651/E651,1),days,IFERROR(L651,999),100-pct*200-days*3))</f>
        <v/>
      </c>
      <c r="N651" s="11">
        <f>IF(A651="","",IF(H651="","Unmatched GL",IF(AND(K651&lt;=Tol_Amount,L651&lt;=Tol_Days),"Matched",IF(M651&gt;Tol_NearPct,"Near Match","Unmatched GL"))))</f>
        <v/>
      </c>
    </row>
    <row r="652">
      <c r="A652" s="13">
        <f>IF(GL_CLEAN!A652="","",GL_CLEAN!A652)</f>
        <v/>
      </c>
      <c r="B652" s="10">
        <f>IF(A652="","",GL_CLEAN!B652)</f>
        <v/>
      </c>
      <c r="C652" s="11">
        <f>IF(A652="","",GL_CLEAN!C652)</f>
        <v/>
      </c>
      <c r="D652" s="14">
        <f>IF(A652="","",GL_CLEAN!H652)</f>
        <v/>
      </c>
      <c r="E652" s="14">
        <f>IF(A652="","",GL_CLEAN!I652)</f>
        <v/>
      </c>
      <c r="F652" s="11">
        <f>IF(A652="","",GL_CLEAN!J652)</f>
        <v/>
      </c>
      <c r="G652" s="11">
        <f>IF(A652="","",IF(F652="OUT","DR","CR"))</f>
        <v/>
      </c>
      <c r="H652" s="11">
        <f>IF(A652="","",IFERROR(INDEX(BANK_CLEAN!$A$2:$A$1001,MATCH(MINIFS(BANK_CLEAN!$J$2:$J$1001,BANK_CLEAN!$H$2:$H$1001,G652,BANK_CLEAN!$L$2:$L$1001,""),BANK_CLEAN!$J$2:$J$1001,0)),""))</f>
        <v/>
      </c>
      <c r="I652" s="10">
        <f>IF(H652="","",INDEX(BANK_CLEAN!$B$2:$B$1001,H652))</f>
        <v/>
      </c>
      <c r="J652" s="14">
        <f>IF(H652="","",IF(F652="OUT",INDEX(BANK_CLEAN!$F$2:$F$1001,H652),INDEX(BANK_CLEAN!$E$2:$E$1001,H652)))</f>
        <v/>
      </c>
      <c r="K652" s="14">
        <f>IF(H652="","",ABS(E652-J652))</f>
        <v/>
      </c>
      <c r="L652" s="11">
        <f>IF(OR(H652="",B652="",I652=""),"",ABS(B652-I652))</f>
        <v/>
      </c>
      <c r="M652" s="15">
        <f>IF(H652="",0,LET(pct,IF(E652&gt;0,K652/E652,1),days,IFERROR(L652,999),100-pct*200-days*3))</f>
        <v/>
      </c>
      <c r="N652" s="11">
        <f>IF(A652="","",IF(H652="","Unmatched GL",IF(AND(K652&lt;=Tol_Amount,L652&lt;=Tol_Days),"Matched",IF(M652&gt;Tol_NearPct,"Near Match","Unmatched GL"))))</f>
        <v/>
      </c>
    </row>
    <row r="653">
      <c r="A653" s="13">
        <f>IF(GL_CLEAN!A653="","",GL_CLEAN!A653)</f>
        <v/>
      </c>
      <c r="B653" s="10">
        <f>IF(A653="","",GL_CLEAN!B653)</f>
        <v/>
      </c>
      <c r="C653" s="11">
        <f>IF(A653="","",GL_CLEAN!C653)</f>
        <v/>
      </c>
      <c r="D653" s="14">
        <f>IF(A653="","",GL_CLEAN!H653)</f>
        <v/>
      </c>
      <c r="E653" s="14">
        <f>IF(A653="","",GL_CLEAN!I653)</f>
        <v/>
      </c>
      <c r="F653" s="11">
        <f>IF(A653="","",GL_CLEAN!J653)</f>
        <v/>
      </c>
      <c r="G653" s="11">
        <f>IF(A653="","",IF(F653="OUT","DR","CR"))</f>
        <v/>
      </c>
      <c r="H653" s="11">
        <f>IF(A653="","",IFERROR(INDEX(BANK_CLEAN!$A$2:$A$1001,MATCH(MINIFS(BANK_CLEAN!$J$2:$J$1001,BANK_CLEAN!$H$2:$H$1001,G653,BANK_CLEAN!$L$2:$L$1001,""),BANK_CLEAN!$J$2:$J$1001,0)),""))</f>
        <v/>
      </c>
      <c r="I653" s="10">
        <f>IF(H653="","",INDEX(BANK_CLEAN!$B$2:$B$1001,H653))</f>
        <v/>
      </c>
      <c r="J653" s="14">
        <f>IF(H653="","",IF(F653="OUT",INDEX(BANK_CLEAN!$F$2:$F$1001,H653),INDEX(BANK_CLEAN!$E$2:$E$1001,H653)))</f>
        <v/>
      </c>
      <c r="K653" s="14">
        <f>IF(H653="","",ABS(E653-J653))</f>
        <v/>
      </c>
      <c r="L653" s="11">
        <f>IF(OR(H653="",B653="",I653=""),"",ABS(B653-I653))</f>
        <v/>
      </c>
      <c r="M653" s="15">
        <f>IF(H653="",0,LET(pct,IF(E653&gt;0,K653/E653,1),days,IFERROR(L653,999),100-pct*200-days*3))</f>
        <v/>
      </c>
      <c r="N653" s="11">
        <f>IF(A653="","",IF(H653="","Unmatched GL",IF(AND(K653&lt;=Tol_Amount,L653&lt;=Tol_Days),"Matched",IF(M653&gt;Tol_NearPct,"Near Match","Unmatched GL"))))</f>
        <v/>
      </c>
    </row>
    <row r="654">
      <c r="A654" s="13">
        <f>IF(GL_CLEAN!A654="","",GL_CLEAN!A654)</f>
        <v/>
      </c>
      <c r="B654" s="10">
        <f>IF(A654="","",GL_CLEAN!B654)</f>
        <v/>
      </c>
      <c r="C654" s="11">
        <f>IF(A654="","",GL_CLEAN!C654)</f>
        <v/>
      </c>
      <c r="D654" s="14">
        <f>IF(A654="","",GL_CLEAN!H654)</f>
        <v/>
      </c>
      <c r="E654" s="14">
        <f>IF(A654="","",GL_CLEAN!I654)</f>
        <v/>
      </c>
      <c r="F654" s="11">
        <f>IF(A654="","",GL_CLEAN!J654)</f>
        <v/>
      </c>
      <c r="G654" s="11">
        <f>IF(A654="","",IF(F654="OUT","DR","CR"))</f>
        <v/>
      </c>
      <c r="H654" s="11">
        <f>IF(A654="","",IFERROR(INDEX(BANK_CLEAN!$A$2:$A$1001,MATCH(MINIFS(BANK_CLEAN!$J$2:$J$1001,BANK_CLEAN!$H$2:$H$1001,G654,BANK_CLEAN!$L$2:$L$1001,""),BANK_CLEAN!$J$2:$J$1001,0)),""))</f>
        <v/>
      </c>
      <c r="I654" s="10">
        <f>IF(H654="","",INDEX(BANK_CLEAN!$B$2:$B$1001,H654))</f>
        <v/>
      </c>
      <c r="J654" s="14">
        <f>IF(H654="","",IF(F654="OUT",INDEX(BANK_CLEAN!$F$2:$F$1001,H654),INDEX(BANK_CLEAN!$E$2:$E$1001,H654)))</f>
        <v/>
      </c>
      <c r="K654" s="14">
        <f>IF(H654="","",ABS(E654-J654))</f>
        <v/>
      </c>
      <c r="L654" s="11">
        <f>IF(OR(H654="",B654="",I654=""),"",ABS(B654-I654))</f>
        <v/>
      </c>
      <c r="M654" s="15">
        <f>IF(H654="",0,LET(pct,IF(E654&gt;0,K654/E654,1),days,IFERROR(L654,999),100-pct*200-days*3))</f>
        <v/>
      </c>
      <c r="N654" s="11">
        <f>IF(A654="","",IF(H654="","Unmatched GL",IF(AND(K654&lt;=Tol_Amount,L654&lt;=Tol_Days),"Matched",IF(M654&gt;Tol_NearPct,"Near Match","Unmatched GL"))))</f>
        <v/>
      </c>
    </row>
    <row r="655">
      <c r="A655" s="13">
        <f>IF(GL_CLEAN!A655="","",GL_CLEAN!A655)</f>
        <v/>
      </c>
      <c r="B655" s="10">
        <f>IF(A655="","",GL_CLEAN!B655)</f>
        <v/>
      </c>
      <c r="C655" s="11">
        <f>IF(A655="","",GL_CLEAN!C655)</f>
        <v/>
      </c>
      <c r="D655" s="14">
        <f>IF(A655="","",GL_CLEAN!H655)</f>
        <v/>
      </c>
      <c r="E655" s="14">
        <f>IF(A655="","",GL_CLEAN!I655)</f>
        <v/>
      </c>
      <c r="F655" s="11">
        <f>IF(A655="","",GL_CLEAN!J655)</f>
        <v/>
      </c>
      <c r="G655" s="11">
        <f>IF(A655="","",IF(F655="OUT","DR","CR"))</f>
        <v/>
      </c>
      <c r="H655" s="11">
        <f>IF(A655="","",IFERROR(INDEX(BANK_CLEAN!$A$2:$A$1001,MATCH(MINIFS(BANK_CLEAN!$J$2:$J$1001,BANK_CLEAN!$H$2:$H$1001,G655,BANK_CLEAN!$L$2:$L$1001,""),BANK_CLEAN!$J$2:$J$1001,0)),""))</f>
        <v/>
      </c>
      <c r="I655" s="10">
        <f>IF(H655="","",INDEX(BANK_CLEAN!$B$2:$B$1001,H655))</f>
        <v/>
      </c>
      <c r="J655" s="14">
        <f>IF(H655="","",IF(F655="OUT",INDEX(BANK_CLEAN!$F$2:$F$1001,H655),INDEX(BANK_CLEAN!$E$2:$E$1001,H655)))</f>
        <v/>
      </c>
      <c r="K655" s="14">
        <f>IF(H655="","",ABS(E655-J655))</f>
        <v/>
      </c>
      <c r="L655" s="11">
        <f>IF(OR(H655="",B655="",I655=""),"",ABS(B655-I655))</f>
        <v/>
      </c>
      <c r="M655" s="15">
        <f>IF(H655="",0,LET(pct,IF(E655&gt;0,K655/E655,1),days,IFERROR(L655,999),100-pct*200-days*3))</f>
        <v/>
      </c>
      <c r="N655" s="11">
        <f>IF(A655="","",IF(H655="","Unmatched GL",IF(AND(K655&lt;=Tol_Amount,L655&lt;=Tol_Days),"Matched",IF(M655&gt;Tol_NearPct,"Near Match","Unmatched GL"))))</f>
        <v/>
      </c>
    </row>
    <row r="656">
      <c r="A656" s="13">
        <f>IF(GL_CLEAN!A656="","",GL_CLEAN!A656)</f>
        <v/>
      </c>
      <c r="B656" s="10">
        <f>IF(A656="","",GL_CLEAN!B656)</f>
        <v/>
      </c>
      <c r="C656" s="11">
        <f>IF(A656="","",GL_CLEAN!C656)</f>
        <v/>
      </c>
      <c r="D656" s="14">
        <f>IF(A656="","",GL_CLEAN!H656)</f>
        <v/>
      </c>
      <c r="E656" s="14">
        <f>IF(A656="","",GL_CLEAN!I656)</f>
        <v/>
      </c>
      <c r="F656" s="11">
        <f>IF(A656="","",GL_CLEAN!J656)</f>
        <v/>
      </c>
      <c r="G656" s="11">
        <f>IF(A656="","",IF(F656="OUT","DR","CR"))</f>
        <v/>
      </c>
      <c r="H656" s="11">
        <f>IF(A656="","",IFERROR(INDEX(BANK_CLEAN!$A$2:$A$1001,MATCH(MINIFS(BANK_CLEAN!$J$2:$J$1001,BANK_CLEAN!$H$2:$H$1001,G656,BANK_CLEAN!$L$2:$L$1001,""),BANK_CLEAN!$J$2:$J$1001,0)),""))</f>
        <v/>
      </c>
      <c r="I656" s="10">
        <f>IF(H656="","",INDEX(BANK_CLEAN!$B$2:$B$1001,H656))</f>
        <v/>
      </c>
      <c r="J656" s="14">
        <f>IF(H656="","",IF(F656="OUT",INDEX(BANK_CLEAN!$F$2:$F$1001,H656),INDEX(BANK_CLEAN!$E$2:$E$1001,H656)))</f>
        <v/>
      </c>
      <c r="K656" s="14">
        <f>IF(H656="","",ABS(E656-J656))</f>
        <v/>
      </c>
      <c r="L656" s="11">
        <f>IF(OR(H656="",B656="",I656=""),"",ABS(B656-I656))</f>
        <v/>
      </c>
      <c r="M656" s="15">
        <f>IF(H656="",0,LET(pct,IF(E656&gt;0,K656/E656,1),days,IFERROR(L656,999),100-pct*200-days*3))</f>
        <v/>
      </c>
      <c r="N656" s="11">
        <f>IF(A656="","",IF(H656="","Unmatched GL",IF(AND(K656&lt;=Tol_Amount,L656&lt;=Tol_Days),"Matched",IF(M656&gt;Tol_NearPct,"Near Match","Unmatched GL"))))</f>
        <v/>
      </c>
    </row>
    <row r="657">
      <c r="A657" s="13">
        <f>IF(GL_CLEAN!A657="","",GL_CLEAN!A657)</f>
        <v/>
      </c>
      <c r="B657" s="10">
        <f>IF(A657="","",GL_CLEAN!B657)</f>
        <v/>
      </c>
      <c r="C657" s="11">
        <f>IF(A657="","",GL_CLEAN!C657)</f>
        <v/>
      </c>
      <c r="D657" s="14">
        <f>IF(A657="","",GL_CLEAN!H657)</f>
        <v/>
      </c>
      <c r="E657" s="14">
        <f>IF(A657="","",GL_CLEAN!I657)</f>
        <v/>
      </c>
      <c r="F657" s="11">
        <f>IF(A657="","",GL_CLEAN!J657)</f>
        <v/>
      </c>
      <c r="G657" s="11">
        <f>IF(A657="","",IF(F657="OUT","DR","CR"))</f>
        <v/>
      </c>
      <c r="H657" s="11">
        <f>IF(A657="","",IFERROR(INDEX(BANK_CLEAN!$A$2:$A$1001,MATCH(MINIFS(BANK_CLEAN!$J$2:$J$1001,BANK_CLEAN!$H$2:$H$1001,G657,BANK_CLEAN!$L$2:$L$1001,""),BANK_CLEAN!$J$2:$J$1001,0)),""))</f>
        <v/>
      </c>
      <c r="I657" s="10">
        <f>IF(H657="","",INDEX(BANK_CLEAN!$B$2:$B$1001,H657))</f>
        <v/>
      </c>
      <c r="J657" s="14">
        <f>IF(H657="","",IF(F657="OUT",INDEX(BANK_CLEAN!$F$2:$F$1001,H657),INDEX(BANK_CLEAN!$E$2:$E$1001,H657)))</f>
        <v/>
      </c>
      <c r="K657" s="14">
        <f>IF(H657="","",ABS(E657-J657))</f>
        <v/>
      </c>
      <c r="L657" s="11">
        <f>IF(OR(H657="",B657="",I657=""),"",ABS(B657-I657))</f>
        <v/>
      </c>
      <c r="M657" s="15">
        <f>IF(H657="",0,LET(pct,IF(E657&gt;0,K657/E657,1),days,IFERROR(L657,999),100-pct*200-days*3))</f>
        <v/>
      </c>
      <c r="N657" s="11">
        <f>IF(A657="","",IF(H657="","Unmatched GL",IF(AND(K657&lt;=Tol_Amount,L657&lt;=Tol_Days),"Matched",IF(M657&gt;Tol_NearPct,"Near Match","Unmatched GL"))))</f>
        <v/>
      </c>
    </row>
    <row r="658">
      <c r="A658" s="13">
        <f>IF(GL_CLEAN!A658="","",GL_CLEAN!A658)</f>
        <v/>
      </c>
      <c r="B658" s="10">
        <f>IF(A658="","",GL_CLEAN!B658)</f>
        <v/>
      </c>
      <c r="C658" s="11">
        <f>IF(A658="","",GL_CLEAN!C658)</f>
        <v/>
      </c>
      <c r="D658" s="14">
        <f>IF(A658="","",GL_CLEAN!H658)</f>
        <v/>
      </c>
      <c r="E658" s="14">
        <f>IF(A658="","",GL_CLEAN!I658)</f>
        <v/>
      </c>
      <c r="F658" s="11">
        <f>IF(A658="","",GL_CLEAN!J658)</f>
        <v/>
      </c>
      <c r="G658" s="11">
        <f>IF(A658="","",IF(F658="OUT","DR","CR"))</f>
        <v/>
      </c>
      <c r="H658" s="11">
        <f>IF(A658="","",IFERROR(INDEX(BANK_CLEAN!$A$2:$A$1001,MATCH(MINIFS(BANK_CLEAN!$J$2:$J$1001,BANK_CLEAN!$H$2:$H$1001,G658,BANK_CLEAN!$L$2:$L$1001,""),BANK_CLEAN!$J$2:$J$1001,0)),""))</f>
        <v/>
      </c>
      <c r="I658" s="10">
        <f>IF(H658="","",INDEX(BANK_CLEAN!$B$2:$B$1001,H658))</f>
        <v/>
      </c>
      <c r="J658" s="14">
        <f>IF(H658="","",IF(F658="OUT",INDEX(BANK_CLEAN!$F$2:$F$1001,H658),INDEX(BANK_CLEAN!$E$2:$E$1001,H658)))</f>
        <v/>
      </c>
      <c r="K658" s="14">
        <f>IF(H658="","",ABS(E658-J658))</f>
        <v/>
      </c>
      <c r="L658" s="11">
        <f>IF(OR(H658="",B658="",I658=""),"",ABS(B658-I658))</f>
        <v/>
      </c>
      <c r="M658" s="15">
        <f>IF(H658="",0,LET(pct,IF(E658&gt;0,K658/E658,1),days,IFERROR(L658,999),100-pct*200-days*3))</f>
        <v/>
      </c>
      <c r="N658" s="11">
        <f>IF(A658="","",IF(H658="","Unmatched GL",IF(AND(K658&lt;=Tol_Amount,L658&lt;=Tol_Days),"Matched",IF(M658&gt;Tol_NearPct,"Near Match","Unmatched GL"))))</f>
        <v/>
      </c>
    </row>
    <row r="659">
      <c r="A659" s="13">
        <f>IF(GL_CLEAN!A659="","",GL_CLEAN!A659)</f>
        <v/>
      </c>
      <c r="B659" s="10">
        <f>IF(A659="","",GL_CLEAN!B659)</f>
        <v/>
      </c>
      <c r="C659" s="11">
        <f>IF(A659="","",GL_CLEAN!C659)</f>
        <v/>
      </c>
      <c r="D659" s="14">
        <f>IF(A659="","",GL_CLEAN!H659)</f>
        <v/>
      </c>
      <c r="E659" s="14">
        <f>IF(A659="","",GL_CLEAN!I659)</f>
        <v/>
      </c>
      <c r="F659" s="11">
        <f>IF(A659="","",GL_CLEAN!J659)</f>
        <v/>
      </c>
      <c r="G659" s="11">
        <f>IF(A659="","",IF(F659="OUT","DR","CR"))</f>
        <v/>
      </c>
      <c r="H659" s="11">
        <f>IF(A659="","",IFERROR(INDEX(BANK_CLEAN!$A$2:$A$1001,MATCH(MINIFS(BANK_CLEAN!$J$2:$J$1001,BANK_CLEAN!$H$2:$H$1001,G659,BANK_CLEAN!$L$2:$L$1001,""),BANK_CLEAN!$J$2:$J$1001,0)),""))</f>
        <v/>
      </c>
      <c r="I659" s="10">
        <f>IF(H659="","",INDEX(BANK_CLEAN!$B$2:$B$1001,H659))</f>
        <v/>
      </c>
      <c r="J659" s="14">
        <f>IF(H659="","",IF(F659="OUT",INDEX(BANK_CLEAN!$F$2:$F$1001,H659),INDEX(BANK_CLEAN!$E$2:$E$1001,H659)))</f>
        <v/>
      </c>
      <c r="K659" s="14">
        <f>IF(H659="","",ABS(E659-J659))</f>
        <v/>
      </c>
      <c r="L659" s="11">
        <f>IF(OR(H659="",B659="",I659=""),"",ABS(B659-I659))</f>
        <v/>
      </c>
      <c r="M659" s="15">
        <f>IF(H659="",0,LET(pct,IF(E659&gt;0,K659/E659,1),days,IFERROR(L659,999),100-pct*200-days*3))</f>
        <v/>
      </c>
      <c r="N659" s="11">
        <f>IF(A659="","",IF(H659="","Unmatched GL",IF(AND(K659&lt;=Tol_Amount,L659&lt;=Tol_Days),"Matched",IF(M659&gt;Tol_NearPct,"Near Match","Unmatched GL"))))</f>
        <v/>
      </c>
    </row>
    <row r="660">
      <c r="A660" s="13">
        <f>IF(GL_CLEAN!A660="","",GL_CLEAN!A660)</f>
        <v/>
      </c>
      <c r="B660" s="10">
        <f>IF(A660="","",GL_CLEAN!B660)</f>
        <v/>
      </c>
      <c r="C660" s="11">
        <f>IF(A660="","",GL_CLEAN!C660)</f>
        <v/>
      </c>
      <c r="D660" s="14">
        <f>IF(A660="","",GL_CLEAN!H660)</f>
        <v/>
      </c>
      <c r="E660" s="14">
        <f>IF(A660="","",GL_CLEAN!I660)</f>
        <v/>
      </c>
      <c r="F660" s="11">
        <f>IF(A660="","",GL_CLEAN!J660)</f>
        <v/>
      </c>
      <c r="G660" s="11">
        <f>IF(A660="","",IF(F660="OUT","DR","CR"))</f>
        <v/>
      </c>
      <c r="H660" s="11">
        <f>IF(A660="","",IFERROR(INDEX(BANK_CLEAN!$A$2:$A$1001,MATCH(MINIFS(BANK_CLEAN!$J$2:$J$1001,BANK_CLEAN!$H$2:$H$1001,G660,BANK_CLEAN!$L$2:$L$1001,""),BANK_CLEAN!$J$2:$J$1001,0)),""))</f>
        <v/>
      </c>
      <c r="I660" s="10">
        <f>IF(H660="","",INDEX(BANK_CLEAN!$B$2:$B$1001,H660))</f>
        <v/>
      </c>
      <c r="J660" s="14">
        <f>IF(H660="","",IF(F660="OUT",INDEX(BANK_CLEAN!$F$2:$F$1001,H660),INDEX(BANK_CLEAN!$E$2:$E$1001,H660)))</f>
        <v/>
      </c>
      <c r="K660" s="14">
        <f>IF(H660="","",ABS(E660-J660))</f>
        <v/>
      </c>
      <c r="L660" s="11">
        <f>IF(OR(H660="",B660="",I660=""),"",ABS(B660-I660))</f>
        <v/>
      </c>
      <c r="M660" s="15">
        <f>IF(H660="",0,LET(pct,IF(E660&gt;0,K660/E660,1),days,IFERROR(L660,999),100-pct*200-days*3))</f>
        <v/>
      </c>
      <c r="N660" s="11">
        <f>IF(A660="","",IF(H660="","Unmatched GL",IF(AND(K660&lt;=Tol_Amount,L660&lt;=Tol_Days),"Matched",IF(M660&gt;Tol_NearPct,"Near Match","Unmatched GL"))))</f>
        <v/>
      </c>
    </row>
    <row r="661">
      <c r="A661" s="13">
        <f>IF(GL_CLEAN!A661="","",GL_CLEAN!A661)</f>
        <v/>
      </c>
      <c r="B661" s="10">
        <f>IF(A661="","",GL_CLEAN!B661)</f>
        <v/>
      </c>
      <c r="C661" s="11">
        <f>IF(A661="","",GL_CLEAN!C661)</f>
        <v/>
      </c>
      <c r="D661" s="14">
        <f>IF(A661="","",GL_CLEAN!H661)</f>
        <v/>
      </c>
      <c r="E661" s="14">
        <f>IF(A661="","",GL_CLEAN!I661)</f>
        <v/>
      </c>
      <c r="F661" s="11">
        <f>IF(A661="","",GL_CLEAN!J661)</f>
        <v/>
      </c>
      <c r="G661" s="11">
        <f>IF(A661="","",IF(F661="OUT","DR","CR"))</f>
        <v/>
      </c>
      <c r="H661" s="11">
        <f>IF(A661="","",IFERROR(INDEX(BANK_CLEAN!$A$2:$A$1001,MATCH(MINIFS(BANK_CLEAN!$J$2:$J$1001,BANK_CLEAN!$H$2:$H$1001,G661,BANK_CLEAN!$L$2:$L$1001,""),BANK_CLEAN!$J$2:$J$1001,0)),""))</f>
        <v/>
      </c>
      <c r="I661" s="10">
        <f>IF(H661="","",INDEX(BANK_CLEAN!$B$2:$B$1001,H661))</f>
        <v/>
      </c>
      <c r="J661" s="14">
        <f>IF(H661="","",IF(F661="OUT",INDEX(BANK_CLEAN!$F$2:$F$1001,H661),INDEX(BANK_CLEAN!$E$2:$E$1001,H661)))</f>
        <v/>
      </c>
      <c r="K661" s="14">
        <f>IF(H661="","",ABS(E661-J661))</f>
        <v/>
      </c>
      <c r="L661" s="11">
        <f>IF(OR(H661="",B661="",I661=""),"",ABS(B661-I661))</f>
        <v/>
      </c>
      <c r="M661" s="15">
        <f>IF(H661="",0,LET(pct,IF(E661&gt;0,K661/E661,1),days,IFERROR(L661,999),100-pct*200-days*3))</f>
        <v/>
      </c>
      <c r="N661" s="11">
        <f>IF(A661="","",IF(H661="","Unmatched GL",IF(AND(K661&lt;=Tol_Amount,L661&lt;=Tol_Days),"Matched",IF(M661&gt;Tol_NearPct,"Near Match","Unmatched GL"))))</f>
        <v/>
      </c>
    </row>
    <row r="662">
      <c r="A662" s="13">
        <f>IF(GL_CLEAN!A662="","",GL_CLEAN!A662)</f>
        <v/>
      </c>
      <c r="B662" s="10">
        <f>IF(A662="","",GL_CLEAN!B662)</f>
        <v/>
      </c>
      <c r="C662" s="11">
        <f>IF(A662="","",GL_CLEAN!C662)</f>
        <v/>
      </c>
      <c r="D662" s="14">
        <f>IF(A662="","",GL_CLEAN!H662)</f>
        <v/>
      </c>
      <c r="E662" s="14">
        <f>IF(A662="","",GL_CLEAN!I662)</f>
        <v/>
      </c>
      <c r="F662" s="11">
        <f>IF(A662="","",GL_CLEAN!J662)</f>
        <v/>
      </c>
      <c r="G662" s="11">
        <f>IF(A662="","",IF(F662="OUT","DR","CR"))</f>
        <v/>
      </c>
      <c r="H662" s="11">
        <f>IF(A662="","",IFERROR(INDEX(BANK_CLEAN!$A$2:$A$1001,MATCH(MINIFS(BANK_CLEAN!$J$2:$J$1001,BANK_CLEAN!$H$2:$H$1001,G662,BANK_CLEAN!$L$2:$L$1001,""),BANK_CLEAN!$J$2:$J$1001,0)),""))</f>
        <v/>
      </c>
      <c r="I662" s="10">
        <f>IF(H662="","",INDEX(BANK_CLEAN!$B$2:$B$1001,H662))</f>
        <v/>
      </c>
      <c r="J662" s="14">
        <f>IF(H662="","",IF(F662="OUT",INDEX(BANK_CLEAN!$F$2:$F$1001,H662),INDEX(BANK_CLEAN!$E$2:$E$1001,H662)))</f>
        <v/>
      </c>
      <c r="K662" s="14">
        <f>IF(H662="","",ABS(E662-J662))</f>
        <v/>
      </c>
      <c r="L662" s="11">
        <f>IF(OR(H662="",B662="",I662=""),"",ABS(B662-I662))</f>
        <v/>
      </c>
      <c r="M662" s="15">
        <f>IF(H662="",0,LET(pct,IF(E662&gt;0,K662/E662,1),days,IFERROR(L662,999),100-pct*200-days*3))</f>
        <v/>
      </c>
      <c r="N662" s="11">
        <f>IF(A662="","",IF(H662="","Unmatched GL",IF(AND(K662&lt;=Tol_Amount,L662&lt;=Tol_Days),"Matched",IF(M662&gt;Tol_NearPct,"Near Match","Unmatched GL"))))</f>
        <v/>
      </c>
    </row>
    <row r="663">
      <c r="A663" s="13">
        <f>IF(GL_CLEAN!A663="","",GL_CLEAN!A663)</f>
        <v/>
      </c>
      <c r="B663" s="10">
        <f>IF(A663="","",GL_CLEAN!B663)</f>
        <v/>
      </c>
      <c r="C663" s="11">
        <f>IF(A663="","",GL_CLEAN!C663)</f>
        <v/>
      </c>
      <c r="D663" s="14">
        <f>IF(A663="","",GL_CLEAN!H663)</f>
        <v/>
      </c>
      <c r="E663" s="14">
        <f>IF(A663="","",GL_CLEAN!I663)</f>
        <v/>
      </c>
      <c r="F663" s="11">
        <f>IF(A663="","",GL_CLEAN!J663)</f>
        <v/>
      </c>
      <c r="G663" s="11">
        <f>IF(A663="","",IF(F663="OUT","DR","CR"))</f>
        <v/>
      </c>
      <c r="H663" s="11">
        <f>IF(A663="","",IFERROR(INDEX(BANK_CLEAN!$A$2:$A$1001,MATCH(MINIFS(BANK_CLEAN!$J$2:$J$1001,BANK_CLEAN!$H$2:$H$1001,G663,BANK_CLEAN!$L$2:$L$1001,""),BANK_CLEAN!$J$2:$J$1001,0)),""))</f>
        <v/>
      </c>
      <c r="I663" s="10">
        <f>IF(H663="","",INDEX(BANK_CLEAN!$B$2:$B$1001,H663))</f>
        <v/>
      </c>
      <c r="J663" s="14">
        <f>IF(H663="","",IF(F663="OUT",INDEX(BANK_CLEAN!$F$2:$F$1001,H663),INDEX(BANK_CLEAN!$E$2:$E$1001,H663)))</f>
        <v/>
      </c>
      <c r="K663" s="14">
        <f>IF(H663="","",ABS(E663-J663))</f>
        <v/>
      </c>
      <c r="L663" s="11">
        <f>IF(OR(H663="",B663="",I663=""),"",ABS(B663-I663))</f>
        <v/>
      </c>
      <c r="M663" s="15">
        <f>IF(H663="",0,LET(pct,IF(E663&gt;0,K663/E663,1),days,IFERROR(L663,999),100-pct*200-days*3))</f>
        <v/>
      </c>
      <c r="N663" s="11">
        <f>IF(A663="","",IF(H663="","Unmatched GL",IF(AND(K663&lt;=Tol_Amount,L663&lt;=Tol_Days),"Matched",IF(M663&gt;Tol_NearPct,"Near Match","Unmatched GL"))))</f>
        <v/>
      </c>
    </row>
    <row r="664">
      <c r="A664" s="13">
        <f>IF(GL_CLEAN!A664="","",GL_CLEAN!A664)</f>
        <v/>
      </c>
      <c r="B664" s="10">
        <f>IF(A664="","",GL_CLEAN!B664)</f>
        <v/>
      </c>
      <c r="C664" s="11">
        <f>IF(A664="","",GL_CLEAN!C664)</f>
        <v/>
      </c>
      <c r="D664" s="14">
        <f>IF(A664="","",GL_CLEAN!H664)</f>
        <v/>
      </c>
      <c r="E664" s="14">
        <f>IF(A664="","",GL_CLEAN!I664)</f>
        <v/>
      </c>
      <c r="F664" s="11">
        <f>IF(A664="","",GL_CLEAN!J664)</f>
        <v/>
      </c>
      <c r="G664" s="11">
        <f>IF(A664="","",IF(F664="OUT","DR","CR"))</f>
        <v/>
      </c>
      <c r="H664" s="11">
        <f>IF(A664="","",IFERROR(INDEX(BANK_CLEAN!$A$2:$A$1001,MATCH(MINIFS(BANK_CLEAN!$J$2:$J$1001,BANK_CLEAN!$H$2:$H$1001,G664,BANK_CLEAN!$L$2:$L$1001,""),BANK_CLEAN!$J$2:$J$1001,0)),""))</f>
        <v/>
      </c>
      <c r="I664" s="10">
        <f>IF(H664="","",INDEX(BANK_CLEAN!$B$2:$B$1001,H664))</f>
        <v/>
      </c>
      <c r="J664" s="14">
        <f>IF(H664="","",IF(F664="OUT",INDEX(BANK_CLEAN!$F$2:$F$1001,H664),INDEX(BANK_CLEAN!$E$2:$E$1001,H664)))</f>
        <v/>
      </c>
      <c r="K664" s="14">
        <f>IF(H664="","",ABS(E664-J664))</f>
        <v/>
      </c>
      <c r="L664" s="11">
        <f>IF(OR(H664="",B664="",I664=""),"",ABS(B664-I664))</f>
        <v/>
      </c>
      <c r="M664" s="15">
        <f>IF(H664="",0,LET(pct,IF(E664&gt;0,K664/E664,1),days,IFERROR(L664,999),100-pct*200-days*3))</f>
        <v/>
      </c>
      <c r="N664" s="11">
        <f>IF(A664="","",IF(H664="","Unmatched GL",IF(AND(K664&lt;=Tol_Amount,L664&lt;=Tol_Days),"Matched",IF(M664&gt;Tol_NearPct,"Near Match","Unmatched GL"))))</f>
        <v/>
      </c>
    </row>
    <row r="665">
      <c r="A665" s="13">
        <f>IF(GL_CLEAN!A665="","",GL_CLEAN!A665)</f>
        <v/>
      </c>
      <c r="B665" s="10">
        <f>IF(A665="","",GL_CLEAN!B665)</f>
        <v/>
      </c>
      <c r="C665" s="11">
        <f>IF(A665="","",GL_CLEAN!C665)</f>
        <v/>
      </c>
      <c r="D665" s="14">
        <f>IF(A665="","",GL_CLEAN!H665)</f>
        <v/>
      </c>
      <c r="E665" s="14">
        <f>IF(A665="","",GL_CLEAN!I665)</f>
        <v/>
      </c>
      <c r="F665" s="11">
        <f>IF(A665="","",GL_CLEAN!J665)</f>
        <v/>
      </c>
      <c r="G665" s="11">
        <f>IF(A665="","",IF(F665="OUT","DR","CR"))</f>
        <v/>
      </c>
      <c r="H665" s="11">
        <f>IF(A665="","",IFERROR(INDEX(BANK_CLEAN!$A$2:$A$1001,MATCH(MINIFS(BANK_CLEAN!$J$2:$J$1001,BANK_CLEAN!$H$2:$H$1001,G665,BANK_CLEAN!$L$2:$L$1001,""),BANK_CLEAN!$J$2:$J$1001,0)),""))</f>
        <v/>
      </c>
      <c r="I665" s="10">
        <f>IF(H665="","",INDEX(BANK_CLEAN!$B$2:$B$1001,H665))</f>
        <v/>
      </c>
      <c r="J665" s="14">
        <f>IF(H665="","",IF(F665="OUT",INDEX(BANK_CLEAN!$F$2:$F$1001,H665),INDEX(BANK_CLEAN!$E$2:$E$1001,H665)))</f>
        <v/>
      </c>
      <c r="K665" s="14">
        <f>IF(H665="","",ABS(E665-J665))</f>
        <v/>
      </c>
      <c r="L665" s="11">
        <f>IF(OR(H665="",B665="",I665=""),"",ABS(B665-I665))</f>
        <v/>
      </c>
      <c r="M665" s="15">
        <f>IF(H665="",0,LET(pct,IF(E665&gt;0,K665/E665,1),days,IFERROR(L665,999),100-pct*200-days*3))</f>
        <v/>
      </c>
      <c r="N665" s="11">
        <f>IF(A665="","",IF(H665="","Unmatched GL",IF(AND(K665&lt;=Tol_Amount,L665&lt;=Tol_Days),"Matched",IF(M665&gt;Tol_NearPct,"Near Match","Unmatched GL"))))</f>
        <v/>
      </c>
    </row>
    <row r="666">
      <c r="A666" s="13">
        <f>IF(GL_CLEAN!A666="","",GL_CLEAN!A666)</f>
        <v/>
      </c>
      <c r="B666" s="10">
        <f>IF(A666="","",GL_CLEAN!B666)</f>
        <v/>
      </c>
      <c r="C666" s="11">
        <f>IF(A666="","",GL_CLEAN!C666)</f>
        <v/>
      </c>
      <c r="D666" s="14">
        <f>IF(A666="","",GL_CLEAN!H666)</f>
        <v/>
      </c>
      <c r="E666" s="14">
        <f>IF(A666="","",GL_CLEAN!I666)</f>
        <v/>
      </c>
      <c r="F666" s="11">
        <f>IF(A666="","",GL_CLEAN!J666)</f>
        <v/>
      </c>
      <c r="G666" s="11">
        <f>IF(A666="","",IF(F666="OUT","DR","CR"))</f>
        <v/>
      </c>
      <c r="H666" s="11">
        <f>IF(A666="","",IFERROR(INDEX(BANK_CLEAN!$A$2:$A$1001,MATCH(MINIFS(BANK_CLEAN!$J$2:$J$1001,BANK_CLEAN!$H$2:$H$1001,G666,BANK_CLEAN!$L$2:$L$1001,""),BANK_CLEAN!$J$2:$J$1001,0)),""))</f>
        <v/>
      </c>
      <c r="I666" s="10">
        <f>IF(H666="","",INDEX(BANK_CLEAN!$B$2:$B$1001,H666))</f>
        <v/>
      </c>
      <c r="J666" s="14">
        <f>IF(H666="","",IF(F666="OUT",INDEX(BANK_CLEAN!$F$2:$F$1001,H666),INDEX(BANK_CLEAN!$E$2:$E$1001,H666)))</f>
        <v/>
      </c>
      <c r="K666" s="14">
        <f>IF(H666="","",ABS(E666-J666))</f>
        <v/>
      </c>
      <c r="L666" s="11">
        <f>IF(OR(H666="",B666="",I666=""),"",ABS(B666-I666))</f>
        <v/>
      </c>
      <c r="M666" s="15">
        <f>IF(H666="",0,LET(pct,IF(E666&gt;0,K666/E666,1),days,IFERROR(L666,999),100-pct*200-days*3))</f>
        <v/>
      </c>
      <c r="N666" s="11">
        <f>IF(A666="","",IF(H666="","Unmatched GL",IF(AND(K666&lt;=Tol_Amount,L666&lt;=Tol_Days),"Matched",IF(M666&gt;Tol_NearPct,"Near Match","Unmatched GL"))))</f>
        <v/>
      </c>
    </row>
    <row r="667">
      <c r="A667" s="13">
        <f>IF(GL_CLEAN!A667="","",GL_CLEAN!A667)</f>
        <v/>
      </c>
      <c r="B667" s="10">
        <f>IF(A667="","",GL_CLEAN!B667)</f>
        <v/>
      </c>
      <c r="C667" s="11">
        <f>IF(A667="","",GL_CLEAN!C667)</f>
        <v/>
      </c>
      <c r="D667" s="14">
        <f>IF(A667="","",GL_CLEAN!H667)</f>
        <v/>
      </c>
      <c r="E667" s="14">
        <f>IF(A667="","",GL_CLEAN!I667)</f>
        <v/>
      </c>
      <c r="F667" s="11">
        <f>IF(A667="","",GL_CLEAN!J667)</f>
        <v/>
      </c>
      <c r="G667" s="11">
        <f>IF(A667="","",IF(F667="OUT","DR","CR"))</f>
        <v/>
      </c>
      <c r="H667" s="11">
        <f>IF(A667="","",IFERROR(INDEX(BANK_CLEAN!$A$2:$A$1001,MATCH(MINIFS(BANK_CLEAN!$J$2:$J$1001,BANK_CLEAN!$H$2:$H$1001,G667,BANK_CLEAN!$L$2:$L$1001,""),BANK_CLEAN!$J$2:$J$1001,0)),""))</f>
        <v/>
      </c>
      <c r="I667" s="10">
        <f>IF(H667="","",INDEX(BANK_CLEAN!$B$2:$B$1001,H667))</f>
        <v/>
      </c>
      <c r="J667" s="14">
        <f>IF(H667="","",IF(F667="OUT",INDEX(BANK_CLEAN!$F$2:$F$1001,H667),INDEX(BANK_CLEAN!$E$2:$E$1001,H667)))</f>
        <v/>
      </c>
      <c r="K667" s="14">
        <f>IF(H667="","",ABS(E667-J667))</f>
        <v/>
      </c>
      <c r="L667" s="11">
        <f>IF(OR(H667="",B667="",I667=""),"",ABS(B667-I667))</f>
        <v/>
      </c>
      <c r="M667" s="15">
        <f>IF(H667="",0,LET(pct,IF(E667&gt;0,K667/E667,1),days,IFERROR(L667,999),100-pct*200-days*3))</f>
        <v/>
      </c>
      <c r="N667" s="11">
        <f>IF(A667="","",IF(H667="","Unmatched GL",IF(AND(K667&lt;=Tol_Amount,L667&lt;=Tol_Days),"Matched",IF(M667&gt;Tol_NearPct,"Near Match","Unmatched GL"))))</f>
        <v/>
      </c>
    </row>
    <row r="668">
      <c r="A668" s="13">
        <f>IF(GL_CLEAN!A668="","",GL_CLEAN!A668)</f>
        <v/>
      </c>
      <c r="B668" s="10">
        <f>IF(A668="","",GL_CLEAN!B668)</f>
        <v/>
      </c>
      <c r="C668" s="11">
        <f>IF(A668="","",GL_CLEAN!C668)</f>
        <v/>
      </c>
      <c r="D668" s="14">
        <f>IF(A668="","",GL_CLEAN!H668)</f>
        <v/>
      </c>
      <c r="E668" s="14">
        <f>IF(A668="","",GL_CLEAN!I668)</f>
        <v/>
      </c>
      <c r="F668" s="11">
        <f>IF(A668="","",GL_CLEAN!J668)</f>
        <v/>
      </c>
      <c r="G668" s="11">
        <f>IF(A668="","",IF(F668="OUT","DR","CR"))</f>
        <v/>
      </c>
      <c r="H668" s="11">
        <f>IF(A668="","",IFERROR(INDEX(BANK_CLEAN!$A$2:$A$1001,MATCH(MINIFS(BANK_CLEAN!$J$2:$J$1001,BANK_CLEAN!$H$2:$H$1001,G668,BANK_CLEAN!$L$2:$L$1001,""),BANK_CLEAN!$J$2:$J$1001,0)),""))</f>
        <v/>
      </c>
      <c r="I668" s="10">
        <f>IF(H668="","",INDEX(BANK_CLEAN!$B$2:$B$1001,H668))</f>
        <v/>
      </c>
      <c r="J668" s="14">
        <f>IF(H668="","",IF(F668="OUT",INDEX(BANK_CLEAN!$F$2:$F$1001,H668),INDEX(BANK_CLEAN!$E$2:$E$1001,H668)))</f>
        <v/>
      </c>
      <c r="K668" s="14">
        <f>IF(H668="","",ABS(E668-J668))</f>
        <v/>
      </c>
      <c r="L668" s="11">
        <f>IF(OR(H668="",B668="",I668=""),"",ABS(B668-I668))</f>
        <v/>
      </c>
      <c r="M668" s="15">
        <f>IF(H668="",0,LET(pct,IF(E668&gt;0,K668/E668,1),days,IFERROR(L668,999),100-pct*200-days*3))</f>
        <v/>
      </c>
      <c r="N668" s="11">
        <f>IF(A668="","",IF(H668="","Unmatched GL",IF(AND(K668&lt;=Tol_Amount,L668&lt;=Tol_Days),"Matched",IF(M668&gt;Tol_NearPct,"Near Match","Unmatched GL"))))</f>
        <v/>
      </c>
    </row>
    <row r="669">
      <c r="A669" s="13">
        <f>IF(GL_CLEAN!A669="","",GL_CLEAN!A669)</f>
        <v/>
      </c>
      <c r="B669" s="10">
        <f>IF(A669="","",GL_CLEAN!B669)</f>
        <v/>
      </c>
      <c r="C669" s="11">
        <f>IF(A669="","",GL_CLEAN!C669)</f>
        <v/>
      </c>
      <c r="D669" s="14">
        <f>IF(A669="","",GL_CLEAN!H669)</f>
        <v/>
      </c>
      <c r="E669" s="14">
        <f>IF(A669="","",GL_CLEAN!I669)</f>
        <v/>
      </c>
      <c r="F669" s="11">
        <f>IF(A669="","",GL_CLEAN!J669)</f>
        <v/>
      </c>
      <c r="G669" s="11">
        <f>IF(A669="","",IF(F669="OUT","DR","CR"))</f>
        <v/>
      </c>
      <c r="H669" s="11">
        <f>IF(A669="","",IFERROR(INDEX(BANK_CLEAN!$A$2:$A$1001,MATCH(MINIFS(BANK_CLEAN!$J$2:$J$1001,BANK_CLEAN!$H$2:$H$1001,G669,BANK_CLEAN!$L$2:$L$1001,""),BANK_CLEAN!$J$2:$J$1001,0)),""))</f>
        <v/>
      </c>
      <c r="I669" s="10">
        <f>IF(H669="","",INDEX(BANK_CLEAN!$B$2:$B$1001,H669))</f>
        <v/>
      </c>
      <c r="J669" s="14">
        <f>IF(H669="","",IF(F669="OUT",INDEX(BANK_CLEAN!$F$2:$F$1001,H669),INDEX(BANK_CLEAN!$E$2:$E$1001,H669)))</f>
        <v/>
      </c>
      <c r="K669" s="14">
        <f>IF(H669="","",ABS(E669-J669))</f>
        <v/>
      </c>
      <c r="L669" s="11">
        <f>IF(OR(H669="",B669="",I669=""),"",ABS(B669-I669))</f>
        <v/>
      </c>
      <c r="M669" s="15">
        <f>IF(H669="",0,LET(pct,IF(E669&gt;0,K669/E669,1),days,IFERROR(L669,999),100-pct*200-days*3))</f>
        <v/>
      </c>
      <c r="N669" s="11">
        <f>IF(A669="","",IF(H669="","Unmatched GL",IF(AND(K669&lt;=Tol_Amount,L669&lt;=Tol_Days),"Matched",IF(M669&gt;Tol_NearPct,"Near Match","Unmatched GL"))))</f>
        <v/>
      </c>
    </row>
    <row r="670">
      <c r="A670" s="13">
        <f>IF(GL_CLEAN!A670="","",GL_CLEAN!A670)</f>
        <v/>
      </c>
      <c r="B670" s="10">
        <f>IF(A670="","",GL_CLEAN!B670)</f>
        <v/>
      </c>
      <c r="C670" s="11">
        <f>IF(A670="","",GL_CLEAN!C670)</f>
        <v/>
      </c>
      <c r="D670" s="14">
        <f>IF(A670="","",GL_CLEAN!H670)</f>
        <v/>
      </c>
      <c r="E670" s="14">
        <f>IF(A670="","",GL_CLEAN!I670)</f>
        <v/>
      </c>
      <c r="F670" s="11">
        <f>IF(A670="","",GL_CLEAN!J670)</f>
        <v/>
      </c>
      <c r="G670" s="11">
        <f>IF(A670="","",IF(F670="OUT","DR","CR"))</f>
        <v/>
      </c>
      <c r="H670" s="11">
        <f>IF(A670="","",IFERROR(INDEX(BANK_CLEAN!$A$2:$A$1001,MATCH(MINIFS(BANK_CLEAN!$J$2:$J$1001,BANK_CLEAN!$H$2:$H$1001,G670,BANK_CLEAN!$L$2:$L$1001,""),BANK_CLEAN!$J$2:$J$1001,0)),""))</f>
        <v/>
      </c>
      <c r="I670" s="10">
        <f>IF(H670="","",INDEX(BANK_CLEAN!$B$2:$B$1001,H670))</f>
        <v/>
      </c>
      <c r="J670" s="14">
        <f>IF(H670="","",IF(F670="OUT",INDEX(BANK_CLEAN!$F$2:$F$1001,H670),INDEX(BANK_CLEAN!$E$2:$E$1001,H670)))</f>
        <v/>
      </c>
      <c r="K670" s="14">
        <f>IF(H670="","",ABS(E670-J670))</f>
        <v/>
      </c>
      <c r="L670" s="11">
        <f>IF(OR(H670="",B670="",I670=""),"",ABS(B670-I670))</f>
        <v/>
      </c>
      <c r="M670" s="15">
        <f>IF(H670="",0,LET(pct,IF(E670&gt;0,K670/E670,1),days,IFERROR(L670,999),100-pct*200-days*3))</f>
        <v/>
      </c>
      <c r="N670" s="11">
        <f>IF(A670="","",IF(H670="","Unmatched GL",IF(AND(K670&lt;=Tol_Amount,L670&lt;=Tol_Days),"Matched",IF(M670&gt;Tol_NearPct,"Near Match","Unmatched GL"))))</f>
        <v/>
      </c>
    </row>
    <row r="671">
      <c r="A671" s="13">
        <f>IF(GL_CLEAN!A671="","",GL_CLEAN!A671)</f>
        <v/>
      </c>
      <c r="B671" s="10">
        <f>IF(A671="","",GL_CLEAN!B671)</f>
        <v/>
      </c>
      <c r="C671" s="11">
        <f>IF(A671="","",GL_CLEAN!C671)</f>
        <v/>
      </c>
      <c r="D671" s="14">
        <f>IF(A671="","",GL_CLEAN!H671)</f>
        <v/>
      </c>
      <c r="E671" s="14">
        <f>IF(A671="","",GL_CLEAN!I671)</f>
        <v/>
      </c>
      <c r="F671" s="11">
        <f>IF(A671="","",GL_CLEAN!J671)</f>
        <v/>
      </c>
      <c r="G671" s="11">
        <f>IF(A671="","",IF(F671="OUT","DR","CR"))</f>
        <v/>
      </c>
      <c r="H671" s="11">
        <f>IF(A671="","",IFERROR(INDEX(BANK_CLEAN!$A$2:$A$1001,MATCH(MINIFS(BANK_CLEAN!$J$2:$J$1001,BANK_CLEAN!$H$2:$H$1001,G671,BANK_CLEAN!$L$2:$L$1001,""),BANK_CLEAN!$J$2:$J$1001,0)),""))</f>
        <v/>
      </c>
      <c r="I671" s="10">
        <f>IF(H671="","",INDEX(BANK_CLEAN!$B$2:$B$1001,H671))</f>
        <v/>
      </c>
      <c r="J671" s="14">
        <f>IF(H671="","",IF(F671="OUT",INDEX(BANK_CLEAN!$F$2:$F$1001,H671),INDEX(BANK_CLEAN!$E$2:$E$1001,H671)))</f>
        <v/>
      </c>
      <c r="K671" s="14">
        <f>IF(H671="","",ABS(E671-J671))</f>
        <v/>
      </c>
      <c r="L671" s="11">
        <f>IF(OR(H671="",B671="",I671=""),"",ABS(B671-I671))</f>
        <v/>
      </c>
      <c r="M671" s="15">
        <f>IF(H671="",0,LET(pct,IF(E671&gt;0,K671/E671,1),days,IFERROR(L671,999),100-pct*200-days*3))</f>
        <v/>
      </c>
      <c r="N671" s="11">
        <f>IF(A671="","",IF(H671="","Unmatched GL",IF(AND(K671&lt;=Tol_Amount,L671&lt;=Tol_Days),"Matched",IF(M671&gt;Tol_NearPct,"Near Match","Unmatched GL"))))</f>
        <v/>
      </c>
    </row>
    <row r="672">
      <c r="A672" s="13">
        <f>IF(GL_CLEAN!A672="","",GL_CLEAN!A672)</f>
        <v/>
      </c>
      <c r="B672" s="10">
        <f>IF(A672="","",GL_CLEAN!B672)</f>
        <v/>
      </c>
      <c r="C672" s="11">
        <f>IF(A672="","",GL_CLEAN!C672)</f>
        <v/>
      </c>
      <c r="D672" s="14">
        <f>IF(A672="","",GL_CLEAN!H672)</f>
        <v/>
      </c>
      <c r="E672" s="14">
        <f>IF(A672="","",GL_CLEAN!I672)</f>
        <v/>
      </c>
      <c r="F672" s="11">
        <f>IF(A672="","",GL_CLEAN!J672)</f>
        <v/>
      </c>
      <c r="G672" s="11">
        <f>IF(A672="","",IF(F672="OUT","DR","CR"))</f>
        <v/>
      </c>
      <c r="H672" s="11">
        <f>IF(A672="","",IFERROR(INDEX(BANK_CLEAN!$A$2:$A$1001,MATCH(MINIFS(BANK_CLEAN!$J$2:$J$1001,BANK_CLEAN!$H$2:$H$1001,G672,BANK_CLEAN!$L$2:$L$1001,""),BANK_CLEAN!$J$2:$J$1001,0)),""))</f>
        <v/>
      </c>
      <c r="I672" s="10">
        <f>IF(H672="","",INDEX(BANK_CLEAN!$B$2:$B$1001,H672))</f>
        <v/>
      </c>
      <c r="J672" s="14">
        <f>IF(H672="","",IF(F672="OUT",INDEX(BANK_CLEAN!$F$2:$F$1001,H672),INDEX(BANK_CLEAN!$E$2:$E$1001,H672)))</f>
        <v/>
      </c>
      <c r="K672" s="14">
        <f>IF(H672="","",ABS(E672-J672))</f>
        <v/>
      </c>
      <c r="L672" s="11">
        <f>IF(OR(H672="",B672="",I672=""),"",ABS(B672-I672))</f>
        <v/>
      </c>
      <c r="M672" s="15">
        <f>IF(H672="",0,LET(pct,IF(E672&gt;0,K672/E672,1),days,IFERROR(L672,999),100-pct*200-days*3))</f>
        <v/>
      </c>
      <c r="N672" s="11">
        <f>IF(A672="","",IF(H672="","Unmatched GL",IF(AND(K672&lt;=Tol_Amount,L672&lt;=Tol_Days),"Matched",IF(M672&gt;Tol_NearPct,"Near Match","Unmatched GL"))))</f>
        <v/>
      </c>
    </row>
    <row r="673">
      <c r="A673" s="13">
        <f>IF(GL_CLEAN!A673="","",GL_CLEAN!A673)</f>
        <v/>
      </c>
      <c r="B673" s="10">
        <f>IF(A673="","",GL_CLEAN!B673)</f>
        <v/>
      </c>
      <c r="C673" s="11">
        <f>IF(A673="","",GL_CLEAN!C673)</f>
        <v/>
      </c>
      <c r="D673" s="14">
        <f>IF(A673="","",GL_CLEAN!H673)</f>
        <v/>
      </c>
      <c r="E673" s="14">
        <f>IF(A673="","",GL_CLEAN!I673)</f>
        <v/>
      </c>
      <c r="F673" s="11">
        <f>IF(A673="","",GL_CLEAN!J673)</f>
        <v/>
      </c>
      <c r="G673" s="11">
        <f>IF(A673="","",IF(F673="OUT","DR","CR"))</f>
        <v/>
      </c>
      <c r="H673" s="11">
        <f>IF(A673="","",IFERROR(INDEX(BANK_CLEAN!$A$2:$A$1001,MATCH(MINIFS(BANK_CLEAN!$J$2:$J$1001,BANK_CLEAN!$H$2:$H$1001,G673,BANK_CLEAN!$L$2:$L$1001,""),BANK_CLEAN!$J$2:$J$1001,0)),""))</f>
        <v/>
      </c>
      <c r="I673" s="10">
        <f>IF(H673="","",INDEX(BANK_CLEAN!$B$2:$B$1001,H673))</f>
        <v/>
      </c>
      <c r="J673" s="14">
        <f>IF(H673="","",IF(F673="OUT",INDEX(BANK_CLEAN!$F$2:$F$1001,H673),INDEX(BANK_CLEAN!$E$2:$E$1001,H673)))</f>
        <v/>
      </c>
      <c r="K673" s="14">
        <f>IF(H673="","",ABS(E673-J673))</f>
        <v/>
      </c>
      <c r="L673" s="11">
        <f>IF(OR(H673="",B673="",I673=""),"",ABS(B673-I673))</f>
        <v/>
      </c>
      <c r="M673" s="15">
        <f>IF(H673="",0,LET(pct,IF(E673&gt;0,K673/E673,1),days,IFERROR(L673,999),100-pct*200-days*3))</f>
        <v/>
      </c>
      <c r="N673" s="11">
        <f>IF(A673="","",IF(H673="","Unmatched GL",IF(AND(K673&lt;=Tol_Amount,L673&lt;=Tol_Days),"Matched",IF(M673&gt;Tol_NearPct,"Near Match","Unmatched GL"))))</f>
        <v/>
      </c>
    </row>
    <row r="674">
      <c r="A674" s="13">
        <f>IF(GL_CLEAN!A674="","",GL_CLEAN!A674)</f>
        <v/>
      </c>
      <c r="B674" s="10">
        <f>IF(A674="","",GL_CLEAN!B674)</f>
        <v/>
      </c>
      <c r="C674" s="11">
        <f>IF(A674="","",GL_CLEAN!C674)</f>
        <v/>
      </c>
      <c r="D674" s="14">
        <f>IF(A674="","",GL_CLEAN!H674)</f>
        <v/>
      </c>
      <c r="E674" s="14">
        <f>IF(A674="","",GL_CLEAN!I674)</f>
        <v/>
      </c>
      <c r="F674" s="11">
        <f>IF(A674="","",GL_CLEAN!J674)</f>
        <v/>
      </c>
      <c r="G674" s="11">
        <f>IF(A674="","",IF(F674="OUT","DR","CR"))</f>
        <v/>
      </c>
      <c r="H674" s="11">
        <f>IF(A674="","",IFERROR(INDEX(BANK_CLEAN!$A$2:$A$1001,MATCH(MINIFS(BANK_CLEAN!$J$2:$J$1001,BANK_CLEAN!$H$2:$H$1001,G674,BANK_CLEAN!$L$2:$L$1001,""),BANK_CLEAN!$J$2:$J$1001,0)),""))</f>
        <v/>
      </c>
      <c r="I674" s="10">
        <f>IF(H674="","",INDEX(BANK_CLEAN!$B$2:$B$1001,H674))</f>
        <v/>
      </c>
      <c r="J674" s="14">
        <f>IF(H674="","",IF(F674="OUT",INDEX(BANK_CLEAN!$F$2:$F$1001,H674),INDEX(BANK_CLEAN!$E$2:$E$1001,H674)))</f>
        <v/>
      </c>
      <c r="K674" s="14">
        <f>IF(H674="","",ABS(E674-J674))</f>
        <v/>
      </c>
      <c r="L674" s="11">
        <f>IF(OR(H674="",B674="",I674=""),"",ABS(B674-I674))</f>
        <v/>
      </c>
      <c r="M674" s="15">
        <f>IF(H674="",0,LET(pct,IF(E674&gt;0,K674/E674,1),days,IFERROR(L674,999),100-pct*200-days*3))</f>
        <v/>
      </c>
      <c r="N674" s="11">
        <f>IF(A674="","",IF(H674="","Unmatched GL",IF(AND(K674&lt;=Tol_Amount,L674&lt;=Tol_Days),"Matched",IF(M674&gt;Tol_NearPct,"Near Match","Unmatched GL"))))</f>
        <v/>
      </c>
    </row>
    <row r="675">
      <c r="A675" s="13">
        <f>IF(GL_CLEAN!A675="","",GL_CLEAN!A675)</f>
        <v/>
      </c>
      <c r="B675" s="10">
        <f>IF(A675="","",GL_CLEAN!B675)</f>
        <v/>
      </c>
      <c r="C675" s="11">
        <f>IF(A675="","",GL_CLEAN!C675)</f>
        <v/>
      </c>
      <c r="D675" s="14">
        <f>IF(A675="","",GL_CLEAN!H675)</f>
        <v/>
      </c>
      <c r="E675" s="14">
        <f>IF(A675="","",GL_CLEAN!I675)</f>
        <v/>
      </c>
      <c r="F675" s="11">
        <f>IF(A675="","",GL_CLEAN!J675)</f>
        <v/>
      </c>
      <c r="G675" s="11">
        <f>IF(A675="","",IF(F675="OUT","DR","CR"))</f>
        <v/>
      </c>
      <c r="H675" s="11">
        <f>IF(A675="","",IFERROR(INDEX(BANK_CLEAN!$A$2:$A$1001,MATCH(MINIFS(BANK_CLEAN!$J$2:$J$1001,BANK_CLEAN!$H$2:$H$1001,G675,BANK_CLEAN!$L$2:$L$1001,""),BANK_CLEAN!$J$2:$J$1001,0)),""))</f>
        <v/>
      </c>
      <c r="I675" s="10">
        <f>IF(H675="","",INDEX(BANK_CLEAN!$B$2:$B$1001,H675))</f>
        <v/>
      </c>
      <c r="J675" s="14">
        <f>IF(H675="","",IF(F675="OUT",INDEX(BANK_CLEAN!$F$2:$F$1001,H675),INDEX(BANK_CLEAN!$E$2:$E$1001,H675)))</f>
        <v/>
      </c>
      <c r="K675" s="14">
        <f>IF(H675="","",ABS(E675-J675))</f>
        <v/>
      </c>
      <c r="L675" s="11">
        <f>IF(OR(H675="",B675="",I675=""),"",ABS(B675-I675))</f>
        <v/>
      </c>
      <c r="M675" s="15">
        <f>IF(H675="",0,LET(pct,IF(E675&gt;0,K675/E675,1),days,IFERROR(L675,999),100-pct*200-days*3))</f>
        <v/>
      </c>
      <c r="N675" s="11">
        <f>IF(A675="","",IF(H675="","Unmatched GL",IF(AND(K675&lt;=Tol_Amount,L675&lt;=Tol_Days),"Matched",IF(M675&gt;Tol_NearPct,"Near Match","Unmatched GL"))))</f>
        <v/>
      </c>
    </row>
    <row r="676">
      <c r="A676" s="13">
        <f>IF(GL_CLEAN!A676="","",GL_CLEAN!A676)</f>
        <v/>
      </c>
      <c r="B676" s="10">
        <f>IF(A676="","",GL_CLEAN!B676)</f>
        <v/>
      </c>
      <c r="C676" s="11">
        <f>IF(A676="","",GL_CLEAN!C676)</f>
        <v/>
      </c>
      <c r="D676" s="14">
        <f>IF(A676="","",GL_CLEAN!H676)</f>
        <v/>
      </c>
      <c r="E676" s="14">
        <f>IF(A676="","",GL_CLEAN!I676)</f>
        <v/>
      </c>
      <c r="F676" s="11">
        <f>IF(A676="","",GL_CLEAN!J676)</f>
        <v/>
      </c>
      <c r="G676" s="11">
        <f>IF(A676="","",IF(F676="OUT","DR","CR"))</f>
        <v/>
      </c>
      <c r="H676" s="11">
        <f>IF(A676="","",IFERROR(INDEX(BANK_CLEAN!$A$2:$A$1001,MATCH(MINIFS(BANK_CLEAN!$J$2:$J$1001,BANK_CLEAN!$H$2:$H$1001,G676,BANK_CLEAN!$L$2:$L$1001,""),BANK_CLEAN!$J$2:$J$1001,0)),""))</f>
        <v/>
      </c>
      <c r="I676" s="10">
        <f>IF(H676="","",INDEX(BANK_CLEAN!$B$2:$B$1001,H676))</f>
        <v/>
      </c>
      <c r="J676" s="14">
        <f>IF(H676="","",IF(F676="OUT",INDEX(BANK_CLEAN!$F$2:$F$1001,H676),INDEX(BANK_CLEAN!$E$2:$E$1001,H676)))</f>
        <v/>
      </c>
      <c r="K676" s="14">
        <f>IF(H676="","",ABS(E676-J676))</f>
        <v/>
      </c>
      <c r="L676" s="11">
        <f>IF(OR(H676="",B676="",I676=""),"",ABS(B676-I676))</f>
        <v/>
      </c>
      <c r="M676" s="15">
        <f>IF(H676="",0,LET(pct,IF(E676&gt;0,K676/E676,1),days,IFERROR(L676,999),100-pct*200-days*3))</f>
        <v/>
      </c>
      <c r="N676" s="11">
        <f>IF(A676="","",IF(H676="","Unmatched GL",IF(AND(K676&lt;=Tol_Amount,L676&lt;=Tol_Days),"Matched",IF(M676&gt;Tol_NearPct,"Near Match","Unmatched GL"))))</f>
        <v/>
      </c>
    </row>
    <row r="677">
      <c r="A677" s="13">
        <f>IF(GL_CLEAN!A677="","",GL_CLEAN!A677)</f>
        <v/>
      </c>
      <c r="B677" s="10">
        <f>IF(A677="","",GL_CLEAN!B677)</f>
        <v/>
      </c>
      <c r="C677" s="11">
        <f>IF(A677="","",GL_CLEAN!C677)</f>
        <v/>
      </c>
      <c r="D677" s="14">
        <f>IF(A677="","",GL_CLEAN!H677)</f>
        <v/>
      </c>
      <c r="E677" s="14">
        <f>IF(A677="","",GL_CLEAN!I677)</f>
        <v/>
      </c>
      <c r="F677" s="11">
        <f>IF(A677="","",GL_CLEAN!J677)</f>
        <v/>
      </c>
      <c r="G677" s="11">
        <f>IF(A677="","",IF(F677="OUT","DR","CR"))</f>
        <v/>
      </c>
      <c r="H677" s="11">
        <f>IF(A677="","",IFERROR(INDEX(BANK_CLEAN!$A$2:$A$1001,MATCH(MINIFS(BANK_CLEAN!$J$2:$J$1001,BANK_CLEAN!$H$2:$H$1001,G677,BANK_CLEAN!$L$2:$L$1001,""),BANK_CLEAN!$J$2:$J$1001,0)),""))</f>
        <v/>
      </c>
      <c r="I677" s="10">
        <f>IF(H677="","",INDEX(BANK_CLEAN!$B$2:$B$1001,H677))</f>
        <v/>
      </c>
      <c r="J677" s="14">
        <f>IF(H677="","",IF(F677="OUT",INDEX(BANK_CLEAN!$F$2:$F$1001,H677),INDEX(BANK_CLEAN!$E$2:$E$1001,H677)))</f>
        <v/>
      </c>
      <c r="K677" s="14">
        <f>IF(H677="","",ABS(E677-J677))</f>
        <v/>
      </c>
      <c r="L677" s="11">
        <f>IF(OR(H677="",B677="",I677=""),"",ABS(B677-I677))</f>
        <v/>
      </c>
      <c r="M677" s="15">
        <f>IF(H677="",0,LET(pct,IF(E677&gt;0,K677/E677,1),days,IFERROR(L677,999),100-pct*200-days*3))</f>
        <v/>
      </c>
      <c r="N677" s="11">
        <f>IF(A677="","",IF(H677="","Unmatched GL",IF(AND(K677&lt;=Tol_Amount,L677&lt;=Tol_Days),"Matched",IF(M677&gt;Tol_NearPct,"Near Match","Unmatched GL"))))</f>
        <v/>
      </c>
    </row>
    <row r="678">
      <c r="A678" s="13">
        <f>IF(GL_CLEAN!A678="","",GL_CLEAN!A678)</f>
        <v/>
      </c>
      <c r="B678" s="10">
        <f>IF(A678="","",GL_CLEAN!B678)</f>
        <v/>
      </c>
      <c r="C678" s="11">
        <f>IF(A678="","",GL_CLEAN!C678)</f>
        <v/>
      </c>
      <c r="D678" s="14">
        <f>IF(A678="","",GL_CLEAN!H678)</f>
        <v/>
      </c>
      <c r="E678" s="14">
        <f>IF(A678="","",GL_CLEAN!I678)</f>
        <v/>
      </c>
      <c r="F678" s="11">
        <f>IF(A678="","",GL_CLEAN!J678)</f>
        <v/>
      </c>
      <c r="G678" s="11">
        <f>IF(A678="","",IF(F678="OUT","DR","CR"))</f>
        <v/>
      </c>
      <c r="H678" s="11">
        <f>IF(A678="","",IFERROR(INDEX(BANK_CLEAN!$A$2:$A$1001,MATCH(MINIFS(BANK_CLEAN!$J$2:$J$1001,BANK_CLEAN!$H$2:$H$1001,G678,BANK_CLEAN!$L$2:$L$1001,""),BANK_CLEAN!$J$2:$J$1001,0)),""))</f>
        <v/>
      </c>
      <c r="I678" s="10">
        <f>IF(H678="","",INDEX(BANK_CLEAN!$B$2:$B$1001,H678))</f>
        <v/>
      </c>
      <c r="J678" s="14">
        <f>IF(H678="","",IF(F678="OUT",INDEX(BANK_CLEAN!$F$2:$F$1001,H678),INDEX(BANK_CLEAN!$E$2:$E$1001,H678)))</f>
        <v/>
      </c>
      <c r="K678" s="14">
        <f>IF(H678="","",ABS(E678-J678))</f>
        <v/>
      </c>
      <c r="L678" s="11">
        <f>IF(OR(H678="",B678="",I678=""),"",ABS(B678-I678))</f>
        <v/>
      </c>
      <c r="M678" s="15">
        <f>IF(H678="",0,LET(pct,IF(E678&gt;0,K678/E678,1),days,IFERROR(L678,999),100-pct*200-days*3))</f>
        <v/>
      </c>
      <c r="N678" s="11">
        <f>IF(A678="","",IF(H678="","Unmatched GL",IF(AND(K678&lt;=Tol_Amount,L678&lt;=Tol_Days),"Matched",IF(M678&gt;Tol_NearPct,"Near Match","Unmatched GL"))))</f>
        <v/>
      </c>
    </row>
    <row r="679">
      <c r="A679" s="13">
        <f>IF(GL_CLEAN!A679="","",GL_CLEAN!A679)</f>
        <v/>
      </c>
      <c r="B679" s="10">
        <f>IF(A679="","",GL_CLEAN!B679)</f>
        <v/>
      </c>
      <c r="C679" s="11">
        <f>IF(A679="","",GL_CLEAN!C679)</f>
        <v/>
      </c>
      <c r="D679" s="14">
        <f>IF(A679="","",GL_CLEAN!H679)</f>
        <v/>
      </c>
      <c r="E679" s="14">
        <f>IF(A679="","",GL_CLEAN!I679)</f>
        <v/>
      </c>
      <c r="F679" s="11">
        <f>IF(A679="","",GL_CLEAN!J679)</f>
        <v/>
      </c>
      <c r="G679" s="11">
        <f>IF(A679="","",IF(F679="OUT","DR","CR"))</f>
        <v/>
      </c>
      <c r="H679" s="11">
        <f>IF(A679="","",IFERROR(INDEX(BANK_CLEAN!$A$2:$A$1001,MATCH(MINIFS(BANK_CLEAN!$J$2:$J$1001,BANK_CLEAN!$H$2:$H$1001,G679,BANK_CLEAN!$L$2:$L$1001,""),BANK_CLEAN!$J$2:$J$1001,0)),""))</f>
        <v/>
      </c>
      <c r="I679" s="10">
        <f>IF(H679="","",INDEX(BANK_CLEAN!$B$2:$B$1001,H679))</f>
        <v/>
      </c>
      <c r="J679" s="14">
        <f>IF(H679="","",IF(F679="OUT",INDEX(BANK_CLEAN!$F$2:$F$1001,H679),INDEX(BANK_CLEAN!$E$2:$E$1001,H679)))</f>
        <v/>
      </c>
      <c r="K679" s="14">
        <f>IF(H679="","",ABS(E679-J679))</f>
        <v/>
      </c>
      <c r="L679" s="11">
        <f>IF(OR(H679="",B679="",I679=""),"",ABS(B679-I679))</f>
        <v/>
      </c>
      <c r="M679" s="15">
        <f>IF(H679="",0,LET(pct,IF(E679&gt;0,K679/E679,1),days,IFERROR(L679,999),100-pct*200-days*3))</f>
        <v/>
      </c>
      <c r="N679" s="11">
        <f>IF(A679="","",IF(H679="","Unmatched GL",IF(AND(K679&lt;=Tol_Amount,L679&lt;=Tol_Days),"Matched",IF(M679&gt;Tol_NearPct,"Near Match","Unmatched GL"))))</f>
        <v/>
      </c>
    </row>
    <row r="680">
      <c r="A680" s="13">
        <f>IF(GL_CLEAN!A680="","",GL_CLEAN!A680)</f>
        <v/>
      </c>
      <c r="B680" s="10">
        <f>IF(A680="","",GL_CLEAN!B680)</f>
        <v/>
      </c>
      <c r="C680" s="11">
        <f>IF(A680="","",GL_CLEAN!C680)</f>
        <v/>
      </c>
      <c r="D680" s="14">
        <f>IF(A680="","",GL_CLEAN!H680)</f>
        <v/>
      </c>
      <c r="E680" s="14">
        <f>IF(A680="","",GL_CLEAN!I680)</f>
        <v/>
      </c>
      <c r="F680" s="11">
        <f>IF(A680="","",GL_CLEAN!J680)</f>
        <v/>
      </c>
      <c r="G680" s="11">
        <f>IF(A680="","",IF(F680="OUT","DR","CR"))</f>
        <v/>
      </c>
      <c r="H680" s="11">
        <f>IF(A680="","",IFERROR(INDEX(BANK_CLEAN!$A$2:$A$1001,MATCH(MINIFS(BANK_CLEAN!$J$2:$J$1001,BANK_CLEAN!$H$2:$H$1001,G680,BANK_CLEAN!$L$2:$L$1001,""),BANK_CLEAN!$J$2:$J$1001,0)),""))</f>
        <v/>
      </c>
      <c r="I680" s="10">
        <f>IF(H680="","",INDEX(BANK_CLEAN!$B$2:$B$1001,H680))</f>
        <v/>
      </c>
      <c r="J680" s="14">
        <f>IF(H680="","",IF(F680="OUT",INDEX(BANK_CLEAN!$F$2:$F$1001,H680),INDEX(BANK_CLEAN!$E$2:$E$1001,H680)))</f>
        <v/>
      </c>
      <c r="K680" s="14">
        <f>IF(H680="","",ABS(E680-J680))</f>
        <v/>
      </c>
      <c r="L680" s="11">
        <f>IF(OR(H680="",B680="",I680=""),"",ABS(B680-I680))</f>
        <v/>
      </c>
      <c r="M680" s="15">
        <f>IF(H680="",0,LET(pct,IF(E680&gt;0,K680/E680,1),days,IFERROR(L680,999),100-pct*200-days*3))</f>
        <v/>
      </c>
      <c r="N680" s="11">
        <f>IF(A680="","",IF(H680="","Unmatched GL",IF(AND(K680&lt;=Tol_Amount,L680&lt;=Tol_Days),"Matched",IF(M680&gt;Tol_NearPct,"Near Match","Unmatched GL"))))</f>
        <v/>
      </c>
    </row>
    <row r="681">
      <c r="A681" s="13">
        <f>IF(GL_CLEAN!A681="","",GL_CLEAN!A681)</f>
        <v/>
      </c>
      <c r="B681" s="10">
        <f>IF(A681="","",GL_CLEAN!B681)</f>
        <v/>
      </c>
      <c r="C681" s="11">
        <f>IF(A681="","",GL_CLEAN!C681)</f>
        <v/>
      </c>
      <c r="D681" s="14">
        <f>IF(A681="","",GL_CLEAN!H681)</f>
        <v/>
      </c>
      <c r="E681" s="14">
        <f>IF(A681="","",GL_CLEAN!I681)</f>
        <v/>
      </c>
      <c r="F681" s="11">
        <f>IF(A681="","",GL_CLEAN!J681)</f>
        <v/>
      </c>
      <c r="G681" s="11">
        <f>IF(A681="","",IF(F681="OUT","DR","CR"))</f>
        <v/>
      </c>
      <c r="H681" s="11">
        <f>IF(A681="","",IFERROR(INDEX(BANK_CLEAN!$A$2:$A$1001,MATCH(MINIFS(BANK_CLEAN!$J$2:$J$1001,BANK_CLEAN!$H$2:$H$1001,G681,BANK_CLEAN!$L$2:$L$1001,""),BANK_CLEAN!$J$2:$J$1001,0)),""))</f>
        <v/>
      </c>
      <c r="I681" s="10">
        <f>IF(H681="","",INDEX(BANK_CLEAN!$B$2:$B$1001,H681))</f>
        <v/>
      </c>
      <c r="J681" s="14">
        <f>IF(H681="","",IF(F681="OUT",INDEX(BANK_CLEAN!$F$2:$F$1001,H681),INDEX(BANK_CLEAN!$E$2:$E$1001,H681)))</f>
        <v/>
      </c>
      <c r="K681" s="14">
        <f>IF(H681="","",ABS(E681-J681))</f>
        <v/>
      </c>
      <c r="L681" s="11">
        <f>IF(OR(H681="",B681="",I681=""),"",ABS(B681-I681))</f>
        <v/>
      </c>
      <c r="M681" s="15">
        <f>IF(H681="",0,LET(pct,IF(E681&gt;0,K681/E681,1),days,IFERROR(L681,999),100-pct*200-days*3))</f>
        <v/>
      </c>
      <c r="N681" s="11">
        <f>IF(A681="","",IF(H681="","Unmatched GL",IF(AND(K681&lt;=Tol_Amount,L681&lt;=Tol_Days),"Matched",IF(M681&gt;Tol_NearPct,"Near Match","Unmatched GL"))))</f>
        <v/>
      </c>
    </row>
    <row r="682">
      <c r="A682" s="13">
        <f>IF(GL_CLEAN!A682="","",GL_CLEAN!A682)</f>
        <v/>
      </c>
      <c r="B682" s="10">
        <f>IF(A682="","",GL_CLEAN!B682)</f>
        <v/>
      </c>
      <c r="C682" s="11">
        <f>IF(A682="","",GL_CLEAN!C682)</f>
        <v/>
      </c>
      <c r="D682" s="14">
        <f>IF(A682="","",GL_CLEAN!H682)</f>
        <v/>
      </c>
      <c r="E682" s="14">
        <f>IF(A682="","",GL_CLEAN!I682)</f>
        <v/>
      </c>
      <c r="F682" s="11">
        <f>IF(A682="","",GL_CLEAN!J682)</f>
        <v/>
      </c>
      <c r="G682" s="11">
        <f>IF(A682="","",IF(F682="OUT","DR","CR"))</f>
        <v/>
      </c>
      <c r="H682" s="11">
        <f>IF(A682="","",IFERROR(INDEX(BANK_CLEAN!$A$2:$A$1001,MATCH(MINIFS(BANK_CLEAN!$J$2:$J$1001,BANK_CLEAN!$H$2:$H$1001,G682,BANK_CLEAN!$L$2:$L$1001,""),BANK_CLEAN!$J$2:$J$1001,0)),""))</f>
        <v/>
      </c>
      <c r="I682" s="10">
        <f>IF(H682="","",INDEX(BANK_CLEAN!$B$2:$B$1001,H682))</f>
        <v/>
      </c>
      <c r="J682" s="14">
        <f>IF(H682="","",IF(F682="OUT",INDEX(BANK_CLEAN!$F$2:$F$1001,H682),INDEX(BANK_CLEAN!$E$2:$E$1001,H682)))</f>
        <v/>
      </c>
      <c r="K682" s="14">
        <f>IF(H682="","",ABS(E682-J682))</f>
        <v/>
      </c>
      <c r="L682" s="11">
        <f>IF(OR(H682="",B682="",I682=""),"",ABS(B682-I682))</f>
        <v/>
      </c>
      <c r="M682" s="15">
        <f>IF(H682="",0,LET(pct,IF(E682&gt;0,K682/E682,1),days,IFERROR(L682,999),100-pct*200-days*3))</f>
        <v/>
      </c>
      <c r="N682" s="11">
        <f>IF(A682="","",IF(H682="","Unmatched GL",IF(AND(K682&lt;=Tol_Amount,L682&lt;=Tol_Days),"Matched",IF(M682&gt;Tol_NearPct,"Near Match","Unmatched GL"))))</f>
        <v/>
      </c>
    </row>
    <row r="683">
      <c r="A683" s="13">
        <f>IF(GL_CLEAN!A683="","",GL_CLEAN!A683)</f>
        <v/>
      </c>
      <c r="B683" s="10">
        <f>IF(A683="","",GL_CLEAN!B683)</f>
        <v/>
      </c>
      <c r="C683" s="11">
        <f>IF(A683="","",GL_CLEAN!C683)</f>
        <v/>
      </c>
      <c r="D683" s="14">
        <f>IF(A683="","",GL_CLEAN!H683)</f>
        <v/>
      </c>
      <c r="E683" s="14">
        <f>IF(A683="","",GL_CLEAN!I683)</f>
        <v/>
      </c>
      <c r="F683" s="11">
        <f>IF(A683="","",GL_CLEAN!J683)</f>
        <v/>
      </c>
      <c r="G683" s="11">
        <f>IF(A683="","",IF(F683="OUT","DR","CR"))</f>
        <v/>
      </c>
      <c r="H683" s="11">
        <f>IF(A683="","",IFERROR(INDEX(BANK_CLEAN!$A$2:$A$1001,MATCH(MINIFS(BANK_CLEAN!$J$2:$J$1001,BANK_CLEAN!$H$2:$H$1001,G683,BANK_CLEAN!$L$2:$L$1001,""),BANK_CLEAN!$J$2:$J$1001,0)),""))</f>
        <v/>
      </c>
      <c r="I683" s="10">
        <f>IF(H683="","",INDEX(BANK_CLEAN!$B$2:$B$1001,H683))</f>
        <v/>
      </c>
      <c r="J683" s="14">
        <f>IF(H683="","",IF(F683="OUT",INDEX(BANK_CLEAN!$F$2:$F$1001,H683),INDEX(BANK_CLEAN!$E$2:$E$1001,H683)))</f>
        <v/>
      </c>
      <c r="K683" s="14">
        <f>IF(H683="","",ABS(E683-J683))</f>
        <v/>
      </c>
      <c r="L683" s="11">
        <f>IF(OR(H683="",B683="",I683=""),"",ABS(B683-I683))</f>
        <v/>
      </c>
      <c r="M683" s="15">
        <f>IF(H683="",0,LET(pct,IF(E683&gt;0,K683/E683,1),days,IFERROR(L683,999),100-pct*200-days*3))</f>
        <v/>
      </c>
      <c r="N683" s="11">
        <f>IF(A683="","",IF(H683="","Unmatched GL",IF(AND(K683&lt;=Tol_Amount,L683&lt;=Tol_Days),"Matched",IF(M683&gt;Tol_NearPct,"Near Match","Unmatched GL"))))</f>
        <v/>
      </c>
    </row>
    <row r="684">
      <c r="A684" s="13">
        <f>IF(GL_CLEAN!A684="","",GL_CLEAN!A684)</f>
        <v/>
      </c>
      <c r="B684" s="10">
        <f>IF(A684="","",GL_CLEAN!B684)</f>
        <v/>
      </c>
      <c r="C684" s="11">
        <f>IF(A684="","",GL_CLEAN!C684)</f>
        <v/>
      </c>
      <c r="D684" s="14">
        <f>IF(A684="","",GL_CLEAN!H684)</f>
        <v/>
      </c>
      <c r="E684" s="14">
        <f>IF(A684="","",GL_CLEAN!I684)</f>
        <v/>
      </c>
      <c r="F684" s="11">
        <f>IF(A684="","",GL_CLEAN!J684)</f>
        <v/>
      </c>
      <c r="G684" s="11">
        <f>IF(A684="","",IF(F684="OUT","DR","CR"))</f>
        <v/>
      </c>
      <c r="H684" s="11">
        <f>IF(A684="","",IFERROR(INDEX(BANK_CLEAN!$A$2:$A$1001,MATCH(MINIFS(BANK_CLEAN!$J$2:$J$1001,BANK_CLEAN!$H$2:$H$1001,G684,BANK_CLEAN!$L$2:$L$1001,""),BANK_CLEAN!$J$2:$J$1001,0)),""))</f>
        <v/>
      </c>
      <c r="I684" s="10">
        <f>IF(H684="","",INDEX(BANK_CLEAN!$B$2:$B$1001,H684))</f>
        <v/>
      </c>
      <c r="J684" s="14">
        <f>IF(H684="","",IF(F684="OUT",INDEX(BANK_CLEAN!$F$2:$F$1001,H684),INDEX(BANK_CLEAN!$E$2:$E$1001,H684)))</f>
        <v/>
      </c>
      <c r="K684" s="14">
        <f>IF(H684="","",ABS(E684-J684))</f>
        <v/>
      </c>
      <c r="L684" s="11">
        <f>IF(OR(H684="",B684="",I684=""),"",ABS(B684-I684))</f>
        <v/>
      </c>
      <c r="M684" s="15">
        <f>IF(H684="",0,LET(pct,IF(E684&gt;0,K684/E684,1),days,IFERROR(L684,999),100-pct*200-days*3))</f>
        <v/>
      </c>
      <c r="N684" s="11">
        <f>IF(A684="","",IF(H684="","Unmatched GL",IF(AND(K684&lt;=Tol_Amount,L684&lt;=Tol_Days),"Matched",IF(M684&gt;Tol_NearPct,"Near Match","Unmatched GL"))))</f>
        <v/>
      </c>
    </row>
    <row r="685">
      <c r="A685" s="13">
        <f>IF(GL_CLEAN!A685="","",GL_CLEAN!A685)</f>
        <v/>
      </c>
      <c r="B685" s="10">
        <f>IF(A685="","",GL_CLEAN!B685)</f>
        <v/>
      </c>
      <c r="C685" s="11">
        <f>IF(A685="","",GL_CLEAN!C685)</f>
        <v/>
      </c>
      <c r="D685" s="14">
        <f>IF(A685="","",GL_CLEAN!H685)</f>
        <v/>
      </c>
      <c r="E685" s="14">
        <f>IF(A685="","",GL_CLEAN!I685)</f>
        <v/>
      </c>
      <c r="F685" s="11">
        <f>IF(A685="","",GL_CLEAN!J685)</f>
        <v/>
      </c>
      <c r="G685" s="11">
        <f>IF(A685="","",IF(F685="OUT","DR","CR"))</f>
        <v/>
      </c>
      <c r="H685" s="11">
        <f>IF(A685="","",IFERROR(INDEX(BANK_CLEAN!$A$2:$A$1001,MATCH(MINIFS(BANK_CLEAN!$J$2:$J$1001,BANK_CLEAN!$H$2:$H$1001,G685,BANK_CLEAN!$L$2:$L$1001,""),BANK_CLEAN!$J$2:$J$1001,0)),""))</f>
        <v/>
      </c>
      <c r="I685" s="10">
        <f>IF(H685="","",INDEX(BANK_CLEAN!$B$2:$B$1001,H685))</f>
        <v/>
      </c>
      <c r="J685" s="14">
        <f>IF(H685="","",IF(F685="OUT",INDEX(BANK_CLEAN!$F$2:$F$1001,H685),INDEX(BANK_CLEAN!$E$2:$E$1001,H685)))</f>
        <v/>
      </c>
      <c r="K685" s="14">
        <f>IF(H685="","",ABS(E685-J685))</f>
        <v/>
      </c>
      <c r="L685" s="11">
        <f>IF(OR(H685="",B685="",I685=""),"",ABS(B685-I685))</f>
        <v/>
      </c>
      <c r="M685" s="15">
        <f>IF(H685="",0,LET(pct,IF(E685&gt;0,K685/E685,1),days,IFERROR(L685,999),100-pct*200-days*3))</f>
        <v/>
      </c>
      <c r="N685" s="11">
        <f>IF(A685="","",IF(H685="","Unmatched GL",IF(AND(K685&lt;=Tol_Amount,L685&lt;=Tol_Days),"Matched",IF(M685&gt;Tol_NearPct,"Near Match","Unmatched GL"))))</f>
        <v/>
      </c>
    </row>
    <row r="686">
      <c r="A686" s="13">
        <f>IF(GL_CLEAN!A686="","",GL_CLEAN!A686)</f>
        <v/>
      </c>
      <c r="B686" s="10">
        <f>IF(A686="","",GL_CLEAN!B686)</f>
        <v/>
      </c>
      <c r="C686" s="11">
        <f>IF(A686="","",GL_CLEAN!C686)</f>
        <v/>
      </c>
      <c r="D686" s="14">
        <f>IF(A686="","",GL_CLEAN!H686)</f>
        <v/>
      </c>
      <c r="E686" s="14">
        <f>IF(A686="","",GL_CLEAN!I686)</f>
        <v/>
      </c>
      <c r="F686" s="11">
        <f>IF(A686="","",GL_CLEAN!J686)</f>
        <v/>
      </c>
      <c r="G686" s="11">
        <f>IF(A686="","",IF(F686="OUT","DR","CR"))</f>
        <v/>
      </c>
      <c r="H686" s="11">
        <f>IF(A686="","",IFERROR(INDEX(BANK_CLEAN!$A$2:$A$1001,MATCH(MINIFS(BANK_CLEAN!$J$2:$J$1001,BANK_CLEAN!$H$2:$H$1001,G686,BANK_CLEAN!$L$2:$L$1001,""),BANK_CLEAN!$J$2:$J$1001,0)),""))</f>
        <v/>
      </c>
      <c r="I686" s="10">
        <f>IF(H686="","",INDEX(BANK_CLEAN!$B$2:$B$1001,H686))</f>
        <v/>
      </c>
      <c r="J686" s="14">
        <f>IF(H686="","",IF(F686="OUT",INDEX(BANK_CLEAN!$F$2:$F$1001,H686),INDEX(BANK_CLEAN!$E$2:$E$1001,H686)))</f>
        <v/>
      </c>
      <c r="K686" s="14">
        <f>IF(H686="","",ABS(E686-J686))</f>
        <v/>
      </c>
      <c r="L686" s="11">
        <f>IF(OR(H686="",B686="",I686=""),"",ABS(B686-I686))</f>
        <v/>
      </c>
      <c r="M686" s="15">
        <f>IF(H686="",0,LET(pct,IF(E686&gt;0,K686/E686,1),days,IFERROR(L686,999),100-pct*200-days*3))</f>
        <v/>
      </c>
      <c r="N686" s="11">
        <f>IF(A686="","",IF(H686="","Unmatched GL",IF(AND(K686&lt;=Tol_Amount,L686&lt;=Tol_Days),"Matched",IF(M686&gt;Tol_NearPct,"Near Match","Unmatched GL"))))</f>
        <v/>
      </c>
    </row>
    <row r="687">
      <c r="A687" s="13">
        <f>IF(GL_CLEAN!A687="","",GL_CLEAN!A687)</f>
        <v/>
      </c>
      <c r="B687" s="10">
        <f>IF(A687="","",GL_CLEAN!B687)</f>
        <v/>
      </c>
      <c r="C687" s="11">
        <f>IF(A687="","",GL_CLEAN!C687)</f>
        <v/>
      </c>
      <c r="D687" s="14">
        <f>IF(A687="","",GL_CLEAN!H687)</f>
        <v/>
      </c>
      <c r="E687" s="14">
        <f>IF(A687="","",GL_CLEAN!I687)</f>
        <v/>
      </c>
      <c r="F687" s="11">
        <f>IF(A687="","",GL_CLEAN!J687)</f>
        <v/>
      </c>
      <c r="G687" s="11">
        <f>IF(A687="","",IF(F687="OUT","DR","CR"))</f>
        <v/>
      </c>
      <c r="H687" s="11">
        <f>IF(A687="","",IFERROR(INDEX(BANK_CLEAN!$A$2:$A$1001,MATCH(MINIFS(BANK_CLEAN!$J$2:$J$1001,BANK_CLEAN!$H$2:$H$1001,G687,BANK_CLEAN!$L$2:$L$1001,""),BANK_CLEAN!$J$2:$J$1001,0)),""))</f>
        <v/>
      </c>
      <c r="I687" s="10">
        <f>IF(H687="","",INDEX(BANK_CLEAN!$B$2:$B$1001,H687))</f>
        <v/>
      </c>
      <c r="J687" s="14">
        <f>IF(H687="","",IF(F687="OUT",INDEX(BANK_CLEAN!$F$2:$F$1001,H687),INDEX(BANK_CLEAN!$E$2:$E$1001,H687)))</f>
        <v/>
      </c>
      <c r="K687" s="14">
        <f>IF(H687="","",ABS(E687-J687))</f>
        <v/>
      </c>
      <c r="L687" s="11">
        <f>IF(OR(H687="",B687="",I687=""),"",ABS(B687-I687))</f>
        <v/>
      </c>
      <c r="M687" s="15">
        <f>IF(H687="",0,LET(pct,IF(E687&gt;0,K687/E687,1),days,IFERROR(L687,999),100-pct*200-days*3))</f>
        <v/>
      </c>
      <c r="N687" s="11">
        <f>IF(A687="","",IF(H687="","Unmatched GL",IF(AND(K687&lt;=Tol_Amount,L687&lt;=Tol_Days),"Matched",IF(M687&gt;Tol_NearPct,"Near Match","Unmatched GL"))))</f>
        <v/>
      </c>
    </row>
    <row r="688">
      <c r="A688" s="13">
        <f>IF(GL_CLEAN!A688="","",GL_CLEAN!A688)</f>
        <v/>
      </c>
      <c r="B688" s="10">
        <f>IF(A688="","",GL_CLEAN!B688)</f>
        <v/>
      </c>
      <c r="C688" s="11">
        <f>IF(A688="","",GL_CLEAN!C688)</f>
        <v/>
      </c>
      <c r="D688" s="14">
        <f>IF(A688="","",GL_CLEAN!H688)</f>
        <v/>
      </c>
      <c r="E688" s="14">
        <f>IF(A688="","",GL_CLEAN!I688)</f>
        <v/>
      </c>
      <c r="F688" s="11">
        <f>IF(A688="","",GL_CLEAN!J688)</f>
        <v/>
      </c>
      <c r="G688" s="11">
        <f>IF(A688="","",IF(F688="OUT","DR","CR"))</f>
        <v/>
      </c>
      <c r="H688" s="11">
        <f>IF(A688="","",IFERROR(INDEX(BANK_CLEAN!$A$2:$A$1001,MATCH(MINIFS(BANK_CLEAN!$J$2:$J$1001,BANK_CLEAN!$H$2:$H$1001,G688,BANK_CLEAN!$L$2:$L$1001,""),BANK_CLEAN!$J$2:$J$1001,0)),""))</f>
        <v/>
      </c>
      <c r="I688" s="10">
        <f>IF(H688="","",INDEX(BANK_CLEAN!$B$2:$B$1001,H688))</f>
        <v/>
      </c>
      <c r="J688" s="14">
        <f>IF(H688="","",IF(F688="OUT",INDEX(BANK_CLEAN!$F$2:$F$1001,H688),INDEX(BANK_CLEAN!$E$2:$E$1001,H688)))</f>
        <v/>
      </c>
      <c r="K688" s="14">
        <f>IF(H688="","",ABS(E688-J688))</f>
        <v/>
      </c>
      <c r="L688" s="11">
        <f>IF(OR(H688="",B688="",I688=""),"",ABS(B688-I688))</f>
        <v/>
      </c>
      <c r="M688" s="15">
        <f>IF(H688="",0,LET(pct,IF(E688&gt;0,K688/E688,1),days,IFERROR(L688,999),100-pct*200-days*3))</f>
        <v/>
      </c>
      <c r="N688" s="11">
        <f>IF(A688="","",IF(H688="","Unmatched GL",IF(AND(K688&lt;=Tol_Amount,L688&lt;=Tol_Days),"Matched",IF(M688&gt;Tol_NearPct,"Near Match","Unmatched GL"))))</f>
        <v/>
      </c>
    </row>
    <row r="689">
      <c r="A689" s="13">
        <f>IF(GL_CLEAN!A689="","",GL_CLEAN!A689)</f>
        <v/>
      </c>
      <c r="B689" s="10">
        <f>IF(A689="","",GL_CLEAN!B689)</f>
        <v/>
      </c>
      <c r="C689" s="11">
        <f>IF(A689="","",GL_CLEAN!C689)</f>
        <v/>
      </c>
      <c r="D689" s="14">
        <f>IF(A689="","",GL_CLEAN!H689)</f>
        <v/>
      </c>
      <c r="E689" s="14">
        <f>IF(A689="","",GL_CLEAN!I689)</f>
        <v/>
      </c>
      <c r="F689" s="11">
        <f>IF(A689="","",GL_CLEAN!J689)</f>
        <v/>
      </c>
      <c r="G689" s="11">
        <f>IF(A689="","",IF(F689="OUT","DR","CR"))</f>
        <v/>
      </c>
      <c r="H689" s="11">
        <f>IF(A689="","",IFERROR(INDEX(BANK_CLEAN!$A$2:$A$1001,MATCH(MINIFS(BANK_CLEAN!$J$2:$J$1001,BANK_CLEAN!$H$2:$H$1001,G689,BANK_CLEAN!$L$2:$L$1001,""),BANK_CLEAN!$J$2:$J$1001,0)),""))</f>
        <v/>
      </c>
      <c r="I689" s="10">
        <f>IF(H689="","",INDEX(BANK_CLEAN!$B$2:$B$1001,H689))</f>
        <v/>
      </c>
      <c r="J689" s="14">
        <f>IF(H689="","",IF(F689="OUT",INDEX(BANK_CLEAN!$F$2:$F$1001,H689),INDEX(BANK_CLEAN!$E$2:$E$1001,H689)))</f>
        <v/>
      </c>
      <c r="K689" s="14">
        <f>IF(H689="","",ABS(E689-J689))</f>
        <v/>
      </c>
      <c r="L689" s="11">
        <f>IF(OR(H689="",B689="",I689=""),"",ABS(B689-I689))</f>
        <v/>
      </c>
      <c r="M689" s="15">
        <f>IF(H689="",0,LET(pct,IF(E689&gt;0,K689/E689,1),days,IFERROR(L689,999),100-pct*200-days*3))</f>
        <v/>
      </c>
      <c r="N689" s="11">
        <f>IF(A689="","",IF(H689="","Unmatched GL",IF(AND(K689&lt;=Tol_Amount,L689&lt;=Tol_Days),"Matched",IF(M689&gt;Tol_NearPct,"Near Match","Unmatched GL"))))</f>
        <v/>
      </c>
    </row>
    <row r="690">
      <c r="A690" s="13">
        <f>IF(GL_CLEAN!A690="","",GL_CLEAN!A690)</f>
        <v/>
      </c>
      <c r="B690" s="10">
        <f>IF(A690="","",GL_CLEAN!B690)</f>
        <v/>
      </c>
      <c r="C690" s="11">
        <f>IF(A690="","",GL_CLEAN!C690)</f>
        <v/>
      </c>
      <c r="D690" s="14">
        <f>IF(A690="","",GL_CLEAN!H690)</f>
        <v/>
      </c>
      <c r="E690" s="14">
        <f>IF(A690="","",GL_CLEAN!I690)</f>
        <v/>
      </c>
      <c r="F690" s="11">
        <f>IF(A690="","",GL_CLEAN!J690)</f>
        <v/>
      </c>
      <c r="G690" s="11">
        <f>IF(A690="","",IF(F690="OUT","DR","CR"))</f>
        <v/>
      </c>
      <c r="H690" s="11">
        <f>IF(A690="","",IFERROR(INDEX(BANK_CLEAN!$A$2:$A$1001,MATCH(MINIFS(BANK_CLEAN!$J$2:$J$1001,BANK_CLEAN!$H$2:$H$1001,G690,BANK_CLEAN!$L$2:$L$1001,""),BANK_CLEAN!$J$2:$J$1001,0)),""))</f>
        <v/>
      </c>
      <c r="I690" s="10">
        <f>IF(H690="","",INDEX(BANK_CLEAN!$B$2:$B$1001,H690))</f>
        <v/>
      </c>
      <c r="J690" s="14">
        <f>IF(H690="","",IF(F690="OUT",INDEX(BANK_CLEAN!$F$2:$F$1001,H690),INDEX(BANK_CLEAN!$E$2:$E$1001,H690)))</f>
        <v/>
      </c>
      <c r="K690" s="14">
        <f>IF(H690="","",ABS(E690-J690))</f>
        <v/>
      </c>
      <c r="L690" s="11">
        <f>IF(OR(H690="",B690="",I690=""),"",ABS(B690-I690))</f>
        <v/>
      </c>
      <c r="M690" s="15">
        <f>IF(H690="",0,LET(pct,IF(E690&gt;0,K690/E690,1),days,IFERROR(L690,999),100-pct*200-days*3))</f>
        <v/>
      </c>
      <c r="N690" s="11">
        <f>IF(A690="","",IF(H690="","Unmatched GL",IF(AND(K690&lt;=Tol_Amount,L690&lt;=Tol_Days),"Matched",IF(M690&gt;Tol_NearPct,"Near Match","Unmatched GL"))))</f>
        <v/>
      </c>
    </row>
    <row r="691">
      <c r="A691" s="13">
        <f>IF(GL_CLEAN!A691="","",GL_CLEAN!A691)</f>
        <v/>
      </c>
      <c r="B691" s="10">
        <f>IF(A691="","",GL_CLEAN!B691)</f>
        <v/>
      </c>
      <c r="C691" s="11">
        <f>IF(A691="","",GL_CLEAN!C691)</f>
        <v/>
      </c>
      <c r="D691" s="14">
        <f>IF(A691="","",GL_CLEAN!H691)</f>
        <v/>
      </c>
      <c r="E691" s="14">
        <f>IF(A691="","",GL_CLEAN!I691)</f>
        <v/>
      </c>
      <c r="F691" s="11">
        <f>IF(A691="","",GL_CLEAN!J691)</f>
        <v/>
      </c>
      <c r="G691" s="11">
        <f>IF(A691="","",IF(F691="OUT","DR","CR"))</f>
        <v/>
      </c>
      <c r="H691" s="11">
        <f>IF(A691="","",IFERROR(INDEX(BANK_CLEAN!$A$2:$A$1001,MATCH(MINIFS(BANK_CLEAN!$J$2:$J$1001,BANK_CLEAN!$H$2:$H$1001,G691,BANK_CLEAN!$L$2:$L$1001,""),BANK_CLEAN!$J$2:$J$1001,0)),""))</f>
        <v/>
      </c>
      <c r="I691" s="10">
        <f>IF(H691="","",INDEX(BANK_CLEAN!$B$2:$B$1001,H691))</f>
        <v/>
      </c>
      <c r="J691" s="14">
        <f>IF(H691="","",IF(F691="OUT",INDEX(BANK_CLEAN!$F$2:$F$1001,H691),INDEX(BANK_CLEAN!$E$2:$E$1001,H691)))</f>
        <v/>
      </c>
      <c r="K691" s="14">
        <f>IF(H691="","",ABS(E691-J691))</f>
        <v/>
      </c>
      <c r="L691" s="11">
        <f>IF(OR(H691="",B691="",I691=""),"",ABS(B691-I691))</f>
        <v/>
      </c>
      <c r="M691" s="15">
        <f>IF(H691="",0,LET(pct,IF(E691&gt;0,K691/E691,1),days,IFERROR(L691,999),100-pct*200-days*3))</f>
        <v/>
      </c>
      <c r="N691" s="11">
        <f>IF(A691="","",IF(H691="","Unmatched GL",IF(AND(K691&lt;=Tol_Amount,L691&lt;=Tol_Days),"Matched",IF(M691&gt;Tol_NearPct,"Near Match","Unmatched GL"))))</f>
        <v/>
      </c>
    </row>
    <row r="692">
      <c r="A692" s="13">
        <f>IF(GL_CLEAN!A692="","",GL_CLEAN!A692)</f>
        <v/>
      </c>
      <c r="B692" s="10">
        <f>IF(A692="","",GL_CLEAN!B692)</f>
        <v/>
      </c>
      <c r="C692" s="11">
        <f>IF(A692="","",GL_CLEAN!C692)</f>
        <v/>
      </c>
      <c r="D692" s="14">
        <f>IF(A692="","",GL_CLEAN!H692)</f>
        <v/>
      </c>
      <c r="E692" s="14">
        <f>IF(A692="","",GL_CLEAN!I692)</f>
        <v/>
      </c>
      <c r="F692" s="11">
        <f>IF(A692="","",GL_CLEAN!J692)</f>
        <v/>
      </c>
      <c r="G692" s="11">
        <f>IF(A692="","",IF(F692="OUT","DR","CR"))</f>
        <v/>
      </c>
      <c r="H692" s="11">
        <f>IF(A692="","",IFERROR(INDEX(BANK_CLEAN!$A$2:$A$1001,MATCH(MINIFS(BANK_CLEAN!$J$2:$J$1001,BANK_CLEAN!$H$2:$H$1001,G692,BANK_CLEAN!$L$2:$L$1001,""),BANK_CLEAN!$J$2:$J$1001,0)),""))</f>
        <v/>
      </c>
      <c r="I692" s="10">
        <f>IF(H692="","",INDEX(BANK_CLEAN!$B$2:$B$1001,H692))</f>
        <v/>
      </c>
      <c r="J692" s="14">
        <f>IF(H692="","",IF(F692="OUT",INDEX(BANK_CLEAN!$F$2:$F$1001,H692),INDEX(BANK_CLEAN!$E$2:$E$1001,H692)))</f>
        <v/>
      </c>
      <c r="K692" s="14">
        <f>IF(H692="","",ABS(E692-J692))</f>
        <v/>
      </c>
      <c r="L692" s="11">
        <f>IF(OR(H692="",B692="",I692=""),"",ABS(B692-I692))</f>
        <v/>
      </c>
      <c r="M692" s="15">
        <f>IF(H692="",0,LET(pct,IF(E692&gt;0,K692/E692,1),days,IFERROR(L692,999),100-pct*200-days*3))</f>
        <v/>
      </c>
      <c r="N692" s="11">
        <f>IF(A692="","",IF(H692="","Unmatched GL",IF(AND(K692&lt;=Tol_Amount,L692&lt;=Tol_Days),"Matched",IF(M692&gt;Tol_NearPct,"Near Match","Unmatched GL"))))</f>
        <v/>
      </c>
    </row>
    <row r="693">
      <c r="A693" s="13">
        <f>IF(GL_CLEAN!A693="","",GL_CLEAN!A693)</f>
        <v/>
      </c>
      <c r="B693" s="10">
        <f>IF(A693="","",GL_CLEAN!B693)</f>
        <v/>
      </c>
      <c r="C693" s="11">
        <f>IF(A693="","",GL_CLEAN!C693)</f>
        <v/>
      </c>
      <c r="D693" s="14">
        <f>IF(A693="","",GL_CLEAN!H693)</f>
        <v/>
      </c>
      <c r="E693" s="14">
        <f>IF(A693="","",GL_CLEAN!I693)</f>
        <v/>
      </c>
      <c r="F693" s="11">
        <f>IF(A693="","",GL_CLEAN!J693)</f>
        <v/>
      </c>
      <c r="G693" s="11">
        <f>IF(A693="","",IF(F693="OUT","DR","CR"))</f>
        <v/>
      </c>
      <c r="H693" s="11">
        <f>IF(A693="","",IFERROR(INDEX(BANK_CLEAN!$A$2:$A$1001,MATCH(MINIFS(BANK_CLEAN!$J$2:$J$1001,BANK_CLEAN!$H$2:$H$1001,G693,BANK_CLEAN!$L$2:$L$1001,""),BANK_CLEAN!$J$2:$J$1001,0)),""))</f>
        <v/>
      </c>
      <c r="I693" s="10">
        <f>IF(H693="","",INDEX(BANK_CLEAN!$B$2:$B$1001,H693))</f>
        <v/>
      </c>
      <c r="J693" s="14">
        <f>IF(H693="","",IF(F693="OUT",INDEX(BANK_CLEAN!$F$2:$F$1001,H693),INDEX(BANK_CLEAN!$E$2:$E$1001,H693)))</f>
        <v/>
      </c>
      <c r="K693" s="14">
        <f>IF(H693="","",ABS(E693-J693))</f>
        <v/>
      </c>
      <c r="L693" s="11">
        <f>IF(OR(H693="",B693="",I693=""),"",ABS(B693-I693))</f>
        <v/>
      </c>
      <c r="M693" s="15">
        <f>IF(H693="",0,LET(pct,IF(E693&gt;0,K693/E693,1),days,IFERROR(L693,999),100-pct*200-days*3))</f>
        <v/>
      </c>
      <c r="N693" s="11">
        <f>IF(A693="","",IF(H693="","Unmatched GL",IF(AND(K693&lt;=Tol_Amount,L693&lt;=Tol_Days),"Matched",IF(M693&gt;Tol_NearPct,"Near Match","Unmatched GL"))))</f>
        <v/>
      </c>
    </row>
    <row r="694">
      <c r="A694" s="13">
        <f>IF(GL_CLEAN!A694="","",GL_CLEAN!A694)</f>
        <v/>
      </c>
      <c r="B694" s="10">
        <f>IF(A694="","",GL_CLEAN!B694)</f>
        <v/>
      </c>
      <c r="C694" s="11">
        <f>IF(A694="","",GL_CLEAN!C694)</f>
        <v/>
      </c>
      <c r="D694" s="14">
        <f>IF(A694="","",GL_CLEAN!H694)</f>
        <v/>
      </c>
      <c r="E694" s="14">
        <f>IF(A694="","",GL_CLEAN!I694)</f>
        <v/>
      </c>
      <c r="F694" s="11">
        <f>IF(A694="","",GL_CLEAN!J694)</f>
        <v/>
      </c>
      <c r="G694" s="11">
        <f>IF(A694="","",IF(F694="OUT","DR","CR"))</f>
        <v/>
      </c>
      <c r="H694" s="11">
        <f>IF(A694="","",IFERROR(INDEX(BANK_CLEAN!$A$2:$A$1001,MATCH(MINIFS(BANK_CLEAN!$J$2:$J$1001,BANK_CLEAN!$H$2:$H$1001,G694,BANK_CLEAN!$L$2:$L$1001,""),BANK_CLEAN!$J$2:$J$1001,0)),""))</f>
        <v/>
      </c>
      <c r="I694" s="10">
        <f>IF(H694="","",INDEX(BANK_CLEAN!$B$2:$B$1001,H694))</f>
        <v/>
      </c>
      <c r="J694" s="14">
        <f>IF(H694="","",IF(F694="OUT",INDEX(BANK_CLEAN!$F$2:$F$1001,H694),INDEX(BANK_CLEAN!$E$2:$E$1001,H694)))</f>
        <v/>
      </c>
      <c r="K694" s="14">
        <f>IF(H694="","",ABS(E694-J694))</f>
        <v/>
      </c>
      <c r="L694" s="11">
        <f>IF(OR(H694="",B694="",I694=""),"",ABS(B694-I694))</f>
        <v/>
      </c>
      <c r="M694" s="15">
        <f>IF(H694="",0,LET(pct,IF(E694&gt;0,K694/E694,1),days,IFERROR(L694,999),100-pct*200-days*3))</f>
        <v/>
      </c>
      <c r="N694" s="11">
        <f>IF(A694="","",IF(H694="","Unmatched GL",IF(AND(K694&lt;=Tol_Amount,L694&lt;=Tol_Days),"Matched",IF(M694&gt;Tol_NearPct,"Near Match","Unmatched GL"))))</f>
        <v/>
      </c>
    </row>
    <row r="695">
      <c r="A695" s="13">
        <f>IF(GL_CLEAN!A695="","",GL_CLEAN!A695)</f>
        <v/>
      </c>
      <c r="B695" s="10">
        <f>IF(A695="","",GL_CLEAN!B695)</f>
        <v/>
      </c>
      <c r="C695" s="11">
        <f>IF(A695="","",GL_CLEAN!C695)</f>
        <v/>
      </c>
      <c r="D695" s="14">
        <f>IF(A695="","",GL_CLEAN!H695)</f>
        <v/>
      </c>
      <c r="E695" s="14">
        <f>IF(A695="","",GL_CLEAN!I695)</f>
        <v/>
      </c>
      <c r="F695" s="11">
        <f>IF(A695="","",GL_CLEAN!J695)</f>
        <v/>
      </c>
      <c r="G695" s="11">
        <f>IF(A695="","",IF(F695="OUT","DR","CR"))</f>
        <v/>
      </c>
      <c r="H695" s="11">
        <f>IF(A695="","",IFERROR(INDEX(BANK_CLEAN!$A$2:$A$1001,MATCH(MINIFS(BANK_CLEAN!$J$2:$J$1001,BANK_CLEAN!$H$2:$H$1001,G695,BANK_CLEAN!$L$2:$L$1001,""),BANK_CLEAN!$J$2:$J$1001,0)),""))</f>
        <v/>
      </c>
      <c r="I695" s="10">
        <f>IF(H695="","",INDEX(BANK_CLEAN!$B$2:$B$1001,H695))</f>
        <v/>
      </c>
      <c r="J695" s="14">
        <f>IF(H695="","",IF(F695="OUT",INDEX(BANK_CLEAN!$F$2:$F$1001,H695),INDEX(BANK_CLEAN!$E$2:$E$1001,H695)))</f>
        <v/>
      </c>
      <c r="K695" s="14">
        <f>IF(H695="","",ABS(E695-J695))</f>
        <v/>
      </c>
      <c r="L695" s="11">
        <f>IF(OR(H695="",B695="",I695=""),"",ABS(B695-I695))</f>
        <v/>
      </c>
      <c r="M695" s="15">
        <f>IF(H695="",0,LET(pct,IF(E695&gt;0,K695/E695,1),days,IFERROR(L695,999),100-pct*200-days*3))</f>
        <v/>
      </c>
      <c r="N695" s="11">
        <f>IF(A695="","",IF(H695="","Unmatched GL",IF(AND(K695&lt;=Tol_Amount,L695&lt;=Tol_Days),"Matched",IF(M695&gt;Tol_NearPct,"Near Match","Unmatched GL"))))</f>
        <v/>
      </c>
    </row>
    <row r="696">
      <c r="A696" s="13">
        <f>IF(GL_CLEAN!A696="","",GL_CLEAN!A696)</f>
        <v/>
      </c>
      <c r="B696" s="10">
        <f>IF(A696="","",GL_CLEAN!B696)</f>
        <v/>
      </c>
      <c r="C696" s="11">
        <f>IF(A696="","",GL_CLEAN!C696)</f>
        <v/>
      </c>
      <c r="D696" s="14">
        <f>IF(A696="","",GL_CLEAN!H696)</f>
        <v/>
      </c>
      <c r="E696" s="14">
        <f>IF(A696="","",GL_CLEAN!I696)</f>
        <v/>
      </c>
      <c r="F696" s="11">
        <f>IF(A696="","",GL_CLEAN!J696)</f>
        <v/>
      </c>
      <c r="G696" s="11">
        <f>IF(A696="","",IF(F696="OUT","DR","CR"))</f>
        <v/>
      </c>
      <c r="H696" s="11">
        <f>IF(A696="","",IFERROR(INDEX(BANK_CLEAN!$A$2:$A$1001,MATCH(MINIFS(BANK_CLEAN!$J$2:$J$1001,BANK_CLEAN!$H$2:$H$1001,G696,BANK_CLEAN!$L$2:$L$1001,""),BANK_CLEAN!$J$2:$J$1001,0)),""))</f>
        <v/>
      </c>
      <c r="I696" s="10">
        <f>IF(H696="","",INDEX(BANK_CLEAN!$B$2:$B$1001,H696))</f>
        <v/>
      </c>
      <c r="J696" s="14">
        <f>IF(H696="","",IF(F696="OUT",INDEX(BANK_CLEAN!$F$2:$F$1001,H696),INDEX(BANK_CLEAN!$E$2:$E$1001,H696)))</f>
        <v/>
      </c>
      <c r="K696" s="14">
        <f>IF(H696="","",ABS(E696-J696))</f>
        <v/>
      </c>
      <c r="L696" s="11">
        <f>IF(OR(H696="",B696="",I696=""),"",ABS(B696-I696))</f>
        <v/>
      </c>
      <c r="M696" s="15">
        <f>IF(H696="",0,LET(pct,IF(E696&gt;0,K696/E696,1),days,IFERROR(L696,999),100-pct*200-days*3))</f>
        <v/>
      </c>
      <c r="N696" s="11">
        <f>IF(A696="","",IF(H696="","Unmatched GL",IF(AND(K696&lt;=Tol_Amount,L696&lt;=Tol_Days),"Matched",IF(M696&gt;Tol_NearPct,"Near Match","Unmatched GL"))))</f>
        <v/>
      </c>
    </row>
    <row r="697">
      <c r="A697" s="13">
        <f>IF(GL_CLEAN!A697="","",GL_CLEAN!A697)</f>
        <v/>
      </c>
      <c r="B697" s="10">
        <f>IF(A697="","",GL_CLEAN!B697)</f>
        <v/>
      </c>
      <c r="C697" s="11">
        <f>IF(A697="","",GL_CLEAN!C697)</f>
        <v/>
      </c>
      <c r="D697" s="14">
        <f>IF(A697="","",GL_CLEAN!H697)</f>
        <v/>
      </c>
      <c r="E697" s="14">
        <f>IF(A697="","",GL_CLEAN!I697)</f>
        <v/>
      </c>
      <c r="F697" s="11">
        <f>IF(A697="","",GL_CLEAN!J697)</f>
        <v/>
      </c>
      <c r="G697" s="11">
        <f>IF(A697="","",IF(F697="OUT","DR","CR"))</f>
        <v/>
      </c>
      <c r="H697" s="11">
        <f>IF(A697="","",IFERROR(INDEX(BANK_CLEAN!$A$2:$A$1001,MATCH(MINIFS(BANK_CLEAN!$J$2:$J$1001,BANK_CLEAN!$H$2:$H$1001,G697,BANK_CLEAN!$L$2:$L$1001,""),BANK_CLEAN!$J$2:$J$1001,0)),""))</f>
        <v/>
      </c>
      <c r="I697" s="10">
        <f>IF(H697="","",INDEX(BANK_CLEAN!$B$2:$B$1001,H697))</f>
        <v/>
      </c>
      <c r="J697" s="14">
        <f>IF(H697="","",IF(F697="OUT",INDEX(BANK_CLEAN!$F$2:$F$1001,H697),INDEX(BANK_CLEAN!$E$2:$E$1001,H697)))</f>
        <v/>
      </c>
      <c r="K697" s="14">
        <f>IF(H697="","",ABS(E697-J697))</f>
        <v/>
      </c>
      <c r="L697" s="11">
        <f>IF(OR(H697="",B697="",I697=""),"",ABS(B697-I697))</f>
        <v/>
      </c>
      <c r="M697" s="15">
        <f>IF(H697="",0,LET(pct,IF(E697&gt;0,K697/E697,1),days,IFERROR(L697,999),100-pct*200-days*3))</f>
        <v/>
      </c>
      <c r="N697" s="11">
        <f>IF(A697="","",IF(H697="","Unmatched GL",IF(AND(K697&lt;=Tol_Amount,L697&lt;=Tol_Days),"Matched",IF(M697&gt;Tol_NearPct,"Near Match","Unmatched GL"))))</f>
        <v/>
      </c>
    </row>
    <row r="698">
      <c r="A698" s="13">
        <f>IF(GL_CLEAN!A698="","",GL_CLEAN!A698)</f>
        <v/>
      </c>
      <c r="B698" s="10">
        <f>IF(A698="","",GL_CLEAN!B698)</f>
        <v/>
      </c>
      <c r="C698" s="11">
        <f>IF(A698="","",GL_CLEAN!C698)</f>
        <v/>
      </c>
      <c r="D698" s="14">
        <f>IF(A698="","",GL_CLEAN!H698)</f>
        <v/>
      </c>
      <c r="E698" s="14">
        <f>IF(A698="","",GL_CLEAN!I698)</f>
        <v/>
      </c>
      <c r="F698" s="11">
        <f>IF(A698="","",GL_CLEAN!J698)</f>
        <v/>
      </c>
      <c r="G698" s="11">
        <f>IF(A698="","",IF(F698="OUT","DR","CR"))</f>
        <v/>
      </c>
      <c r="H698" s="11">
        <f>IF(A698="","",IFERROR(INDEX(BANK_CLEAN!$A$2:$A$1001,MATCH(MINIFS(BANK_CLEAN!$J$2:$J$1001,BANK_CLEAN!$H$2:$H$1001,G698,BANK_CLEAN!$L$2:$L$1001,""),BANK_CLEAN!$J$2:$J$1001,0)),""))</f>
        <v/>
      </c>
      <c r="I698" s="10">
        <f>IF(H698="","",INDEX(BANK_CLEAN!$B$2:$B$1001,H698))</f>
        <v/>
      </c>
      <c r="J698" s="14">
        <f>IF(H698="","",IF(F698="OUT",INDEX(BANK_CLEAN!$F$2:$F$1001,H698),INDEX(BANK_CLEAN!$E$2:$E$1001,H698)))</f>
        <v/>
      </c>
      <c r="K698" s="14">
        <f>IF(H698="","",ABS(E698-J698))</f>
        <v/>
      </c>
      <c r="L698" s="11">
        <f>IF(OR(H698="",B698="",I698=""),"",ABS(B698-I698))</f>
        <v/>
      </c>
      <c r="M698" s="15">
        <f>IF(H698="",0,LET(pct,IF(E698&gt;0,K698/E698,1),days,IFERROR(L698,999),100-pct*200-days*3))</f>
        <v/>
      </c>
      <c r="N698" s="11">
        <f>IF(A698="","",IF(H698="","Unmatched GL",IF(AND(K698&lt;=Tol_Amount,L698&lt;=Tol_Days),"Matched",IF(M698&gt;Tol_NearPct,"Near Match","Unmatched GL"))))</f>
        <v/>
      </c>
    </row>
    <row r="699">
      <c r="A699" s="13">
        <f>IF(GL_CLEAN!A699="","",GL_CLEAN!A699)</f>
        <v/>
      </c>
      <c r="B699" s="10">
        <f>IF(A699="","",GL_CLEAN!B699)</f>
        <v/>
      </c>
      <c r="C699" s="11">
        <f>IF(A699="","",GL_CLEAN!C699)</f>
        <v/>
      </c>
      <c r="D699" s="14">
        <f>IF(A699="","",GL_CLEAN!H699)</f>
        <v/>
      </c>
      <c r="E699" s="14">
        <f>IF(A699="","",GL_CLEAN!I699)</f>
        <v/>
      </c>
      <c r="F699" s="11">
        <f>IF(A699="","",GL_CLEAN!J699)</f>
        <v/>
      </c>
      <c r="G699" s="11">
        <f>IF(A699="","",IF(F699="OUT","DR","CR"))</f>
        <v/>
      </c>
      <c r="H699" s="11">
        <f>IF(A699="","",IFERROR(INDEX(BANK_CLEAN!$A$2:$A$1001,MATCH(MINIFS(BANK_CLEAN!$J$2:$J$1001,BANK_CLEAN!$H$2:$H$1001,G699,BANK_CLEAN!$L$2:$L$1001,""),BANK_CLEAN!$J$2:$J$1001,0)),""))</f>
        <v/>
      </c>
      <c r="I699" s="10">
        <f>IF(H699="","",INDEX(BANK_CLEAN!$B$2:$B$1001,H699))</f>
        <v/>
      </c>
      <c r="J699" s="14">
        <f>IF(H699="","",IF(F699="OUT",INDEX(BANK_CLEAN!$F$2:$F$1001,H699),INDEX(BANK_CLEAN!$E$2:$E$1001,H699)))</f>
        <v/>
      </c>
      <c r="K699" s="14">
        <f>IF(H699="","",ABS(E699-J699))</f>
        <v/>
      </c>
      <c r="L699" s="11">
        <f>IF(OR(H699="",B699="",I699=""),"",ABS(B699-I699))</f>
        <v/>
      </c>
      <c r="M699" s="15">
        <f>IF(H699="",0,LET(pct,IF(E699&gt;0,K699/E699,1),days,IFERROR(L699,999),100-pct*200-days*3))</f>
        <v/>
      </c>
      <c r="N699" s="11">
        <f>IF(A699="","",IF(H699="","Unmatched GL",IF(AND(K699&lt;=Tol_Amount,L699&lt;=Tol_Days),"Matched",IF(M699&gt;Tol_NearPct,"Near Match","Unmatched GL"))))</f>
        <v/>
      </c>
    </row>
    <row r="700">
      <c r="A700" s="13">
        <f>IF(GL_CLEAN!A700="","",GL_CLEAN!A700)</f>
        <v/>
      </c>
      <c r="B700" s="10">
        <f>IF(A700="","",GL_CLEAN!B700)</f>
        <v/>
      </c>
      <c r="C700" s="11">
        <f>IF(A700="","",GL_CLEAN!C700)</f>
        <v/>
      </c>
      <c r="D700" s="14">
        <f>IF(A700="","",GL_CLEAN!H700)</f>
        <v/>
      </c>
      <c r="E700" s="14">
        <f>IF(A700="","",GL_CLEAN!I700)</f>
        <v/>
      </c>
      <c r="F700" s="11">
        <f>IF(A700="","",GL_CLEAN!J700)</f>
        <v/>
      </c>
      <c r="G700" s="11">
        <f>IF(A700="","",IF(F700="OUT","DR","CR"))</f>
        <v/>
      </c>
      <c r="H700" s="11">
        <f>IF(A700="","",IFERROR(INDEX(BANK_CLEAN!$A$2:$A$1001,MATCH(MINIFS(BANK_CLEAN!$J$2:$J$1001,BANK_CLEAN!$H$2:$H$1001,G700,BANK_CLEAN!$L$2:$L$1001,""),BANK_CLEAN!$J$2:$J$1001,0)),""))</f>
        <v/>
      </c>
      <c r="I700" s="10">
        <f>IF(H700="","",INDEX(BANK_CLEAN!$B$2:$B$1001,H700))</f>
        <v/>
      </c>
      <c r="J700" s="14">
        <f>IF(H700="","",IF(F700="OUT",INDEX(BANK_CLEAN!$F$2:$F$1001,H700),INDEX(BANK_CLEAN!$E$2:$E$1001,H700)))</f>
        <v/>
      </c>
      <c r="K700" s="14">
        <f>IF(H700="","",ABS(E700-J700))</f>
        <v/>
      </c>
      <c r="L700" s="11">
        <f>IF(OR(H700="",B700="",I700=""),"",ABS(B700-I700))</f>
        <v/>
      </c>
      <c r="M700" s="15">
        <f>IF(H700="",0,LET(pct,IF(E700&gt;0,K700/E700,1),days,IFERROR(L700,999),100-pct*200-days*3))</f>
        <v/>
      </c>
      <c r="N700" s="11">
        <f>IF(A700="","",IF(H700="","Unmatched GL",IF(AND(K700&lt;=Tol_Amount,L700&lt;=Tol_Days),"Matched",IF(M700&gt;Tol_NearPct,"Near Match","Unmatched GL"))))</f>
        <v/>
      </c>
    </row>
    <row r="701">
      <c r="A701" s="13">
        <f>IF(GL_CLEAN!A701="","",GL_CLEAN!A701)</f>
        <v/>
      </c>
      <c r="B701" s="10">
        <f>IF(A701="","",GL_CLEAN!B701)</f>
        <v/>
      </c>
      <c r="C701" s="11">
        <f>IF(A701="","",GL_CLEAN!C701)</f>
        <v/>
      </c>
      <c r="D701" s="14">
        <f>IF(A701="","",GL_CLEAN!H701)</f>
        <v/>
      </c>
      <c r="E701" s="14">
        <f>IF(A701="","",GL_CLEAN!I701)</f>
        <v/>
      </c>
      <c r="F701" s="11">
        <f>IF(A701="","",GL_CLEAN!J701)</f>
        <v/>
      </c>
      <c r="G701" s="11">
        <f>IF(A701="","",IF(F701="OUT","DR","CR"))</f>
        <v/>
      </c>
      <c r="H701" s="11">
        <f>IF(A701="","",IFERROR(INDEX(BANK_CLEAN!$A$2:$A$1001,MATCH(MINIFS(BANK_CLEAN!$J$2:$J$1001,BANK_CLEAN!$H$2:$H$1001,G701,BANK_CLEAN!$L$2:$L$1001,""),BANK_CLEAN!$J$2:$J$1001,0)),""))</f>
        <v/>
      </c>
      <c r="I701" s="10">
        <f>IF(H701="","",INDEX(BANK_CLEAN!$B$2:$B$1001,H701))</f>
        <v/>
      </c>
      <c r="J701" s="14">
        <f>IF(H701="","",IF(F701="OUT",INDEX(BANK_CLEAN!$F$2:$F$1001,H701),INDEX(BANK_CLEAN!$E$2:$E$1001,H701)))</f>
        <v/>
      </c>
      <c r="K701" s="14">
        <f>IF(H701="","",ABS(E701-J701))</f>
        <v/>
      </c>
      <c r="L701" s="11">
        <f>IF(OR(H701="",B701="",I701=""),"",ABS(B701-I701))</f>
        <v/>
      </c>
      <c r="M701" s="15">
        <f>IF(H701="",0,LET(pct,IF(E701&gt;0,K701/E701,1),days,IFERROR(L701,999),100-pct*200-days*3))</f>
        <v/>
      </c>
      <c r="N701" s="11">
        <f>IF(A701="","",IF(H701="","Unmatched GL",IF(AND(K701&lt;=Tol_Amount,L701&lt;=Tol_Days),"Matched",IF(M701&gt;Tol_NearPct,"Near Match","Unmatched GL"))))</f>
        <v/>
      </c>
    </row>
    <row r="702">
      <c r="A702" s="13">
        <f>IF(GL_CLEAN!A702="","",GL_CLEAN!A702)</f>
        <v/>
      </c>
      <c r="B702" s="10">
        <f>IF(A702="","",GL_CLEAN!B702)</f>
        <v/>
      </c>
      <c r="C702" s="11">
        <f>IF(A702="","",GL_CLEAN!C702)</f>
        <v/>
      </c>
      <c r="D702" s="14">
        <f>IF(A702="","",GL_CLEAN!H702)</f>
        <v/>
      </c>
      <c r="E702" s="14">
        <f>IF(A702="","",GL_CLEAN!I702)</f>
        <v/>
      </c>
      <c r="F702" s="11">
        <f>IF(A702="","",GL_CLEAN!J702)</f>
        <v/>
      </c>
      <c r="G702" s="11">
        <f>IF(A702="","",IF(F702="OUT","DR","CR"))</f>
        <v/>
      </c>
      <c r="H702" s="11">
        <f>IF(A702="","",IFERROR(INDEX(BANK_CLEAN!$A$2:$A$1001,MATCH(MINIFS(BANK_CLEAN!$J$2:$J$1001,BANK_CLEAN!$H$2:$H$1001,G702,BANK_CLEAN!$L$2:$L$1001,""),BANK_CLEAN!$J$2:$J$1001,0)),""))</f>
        <v/>
      </c>
      <c r="I702" s="10">
        <f>IF(H702="","",INDEX(BANK_CLEAN!$B$2:$B$1001,H702))</f>
        <v/>
      </c>
      <c r="J702" s="14">
        <f>IF(H702="","",IF(F702="OUT",INDEX(BANK_CLEAN!$F$2:$F$1001,H702),INDEX(BANK_CLEAN!$E$2:$E$1001,H702)))</f>
        <v/>
      </c>
      <c r="K702" s="14">
        <f>IF(H702="","",ABS(E702-J702))</f>
        <v/>
      </c>
      <c r="L702" s="11">
        <f>IF(OR(H702="",B702="",I702=""),"",ABS(B702-I702))</f>
        <v/>
      </c>
      <c r="M702" s="15">
        <f>IF(H702="",0,LET(pct,IF(E702&gt;0,K702/E702,1),days,IFERROR(L702,999),100-pct*200-days*3))</f>
        <v/>
      </c>
      <c r="N702" s="11">
        <f>IF(A702="","",IF(H702="","Unmatched GL",IF(AND(K702&lt;=Tol_Amount,L702&lt;=Tol_Days),"Matched",IF(M702&gt;Tol_NearPct,"Near Match","Unmatched GL"))))</f>
        <v/>
      </c>
    </row>
    <row r="703">
      <c r="A703" s="13">
        <f>IF(GL_CLEAN!A703="","",GL_CLEAN!A703)</f>
        <v/>
      </c>
      <c r="B703" s="10">
        <f>IF(A703="","",GL_CLEAN!B703)</f>
        <v/>
      </c>
      <c r="C703" s="11">
        <f>IF(A703="","",GL_CLEAN!C703)</f>
        <v/>
      </c>
      <c r="D703" s="14">
        <f>IF(A703="","",GL_CLEAN!H703)</f>
        <v/>
      </c>
      <c r="E703" s="14">
        <f>IF(A703="","",GL_CLEAN!I703)</f>
        <v/>
      </c>
      <c r="F703" s="11">
        <f>IF(A703="","",GL_CLEAN!J703)</f>
        <v/>
      </c>
      <c r="G703" s="11">
        <f>IF(A703="","",IF(F703="OUT","DR","CR"))</f>
        <v/>
      </c>
      <c r="H703" s="11">
        <f>IF(A703="","",IFERROR(INDEX(BANK_CLEAN!$A$2:$A$1001,MATCH(MINIFS(BANK_CLEAN!$J$2:$J$1001,BANK_CLEAN!$H$2:$H$1001,G703,BANK_CLEAN!$L$2:$L$1001,""),BANK_CLEAN!$J$2:$J$1001,0)),""))</f>
        <v/>
      </c>
      <c r="I703" s="10">
        <f>IF(H703="","",INDEX(BANK_CLEAN!$B$2:$B$1001,H703))</f>
        <v/>
      </c>
      <c r="J703" s="14">
        <f>IF(H703="","",IF(F703="OUT",INDEX(BANK_CLEAN!$F$2:$F$1001,H703),INDEX(BANK_CLEAN!$E$2:$E$1001,H703)))</f>
        <v/>
      </c>
      <c r="K703" s="14">
        <f>IF(H703="","",ABS(E703-J703))</f>
        <v/>
      </c>
      <c r="L703" s="11">
        <f>IF(OR(H703="",B703="",I703=""),"",ABS(B703-I703))</f>
        <v/>
      </c>
      <c r="M703" s="15">
        <f>IF(H703="",0,LET(pct,IF(E703&gt;0,K703/E703,1),days,IFERROR(L703,999),100-pct*200-days*3))</f>
        <v/>
      </c>
      <c r="N703" s="11">
        <f>IF(A703="","",IF(H703="","Unmatched GL",IF(AND(K703&lt;=Tol_Amount,L703&lt;=Tol_Days),"Matched",IF(M703&gt;Tol_NearPct,"Near Match","Unmatched GL"))))</f>
        <v/>
      </c>
    </row>
    <row r="704">
      <c r="A704" s="13">
        <f>IF(GL_CLEAN!A704="","",GL_CLEAN!A704)</f>
        <v/>
      </c>
      <c r="B704" s="10">
        <f>IF(A704="","",GL_CLEAN!B704)</f>
        <v/>
      </c>
      <c r="C704" s="11">
        <f>IF(A704="","",GL_CLEAN!C704)</f>
        <v/>
      </c>
      <c r="D704" s="14">
        <f>IF(A704="","",GL_CLEAN!H704)</f>
        <v/>
      </c>
      <c r="E704" s="14">
        <f>IF(A704="","",GL_CLEAN!I704)</f>
        <v/>
      </c>
      <c r="F704" s="11">
        <f>IF(A704="","",GL_CLEAN!J704)</f>
        <v/>
      </c>
      <c r="G704" s="11">
        <f>IF(A704="","",IF(F704="OUT","DR","CR"))</f>
        <v/>
      </c>
      <c r="H704" s="11">
        <f>IF(A704="","",IFERROR(INDEX(BANK_CLEAN!$A$2:$A$1001,MATCH(MINIFS(BANK_CLEAN!$J$2:$J$1001,BANK_CLEAN!$H$2:$H$1001,G704,BANK_CLEAN!$L$2:$L$1001,""),BANK_CLEAN!$J$2:$J$1001,0)),""))</f>
        <v/>
      </c>
      <c r="I704" s="10">
        <f>IF(H704="","",INDEX(BANK_CLEAN!$B$2:$B$1001,H704))</f>
        <v/>
      </c>
      <c r="J704" s="14">
        <f>IF(H704="","",IF(F704="OUT",INDEX(BANK_CLEAN!$F$2:$F$1001,H704),INDEX(BANK_CLEAN!$E$2:$E$1001,H704)))</f>
        <v/>
      </c>
      <c r="K704" s="14">
        <f>IF(H704="","",ABS(E704-J704))</f>
        <v/>
      </c>
      <c r="L704" s="11">
        <f>IF(OR(H704="",B704="",I704=""),"",ABS(B704-I704))</f>
        <v/>
      </c>
      <c r="M704" s="15">
        <f>IF(H704="",0,LET(pct,IF(E704&gt;0,K704/E704,1),days,IFERROR(L704,999),100-pct*200-days*3))</f>
        <v/>
      </c>
      <c r="N704" s="11">
        <f>IF(A704="","",IF(H704="","Unmatched GL",IF(AND(K704&lt;=Tol_Amount,L704&lt;=Tol_Days),"Matched",IF(M704&gt;Tol_NearPct,"Near Match","Unmatched GL"))))</f>
        <v/>
      </c>
    </row>
    <row r="705">
      <c r="A705" s="13">
        <f>IF(GL_CLEAN!A705="","",GL_CLEAN!A705)</f>
        <v/>
      </c>
      <c r="B705" s="10">
        <f>IF(A705="","",GL_CLEAN!B705)</f>
        <v/>
      </c>
      <c r="C705" s="11">
        <f>IF(A705="","",GL_CLEAN!C705)</f>
        <v/>
      </c>
      <c r="D705" s="14">
        <f>IF(A705="","",GL_CLEAN!H705)</f>
        <v/>
      </c>
      <c r="E705" s="14">
        <f>IF(A705="","",GL_CLEAN!I705)</f>
        <v/>
      </c>
      <c r="F705" s="11">
        <f>IF(A705="","",GL_CLEAN!J705)</f>
        <v/>
      </c>
      <c r="G705" s="11">
        <f>IF(A705="","",IF(F705="OUT","DR","CR"))</f>
        <v/>
      </c>
      <c r="H705" s="11">
        <f>IF(A705="","",IFERROR(INDEX(BANK_CLEAN!$A$2:$A$1001,MATCH(MINIFS(BANK_CLEAN!$J$2:$J$1001,BANK_CLEAN!$H$2:$H$1001,G705,BANK_CLEAN!$L$2:$L$1001,""),BANK_CLEAN!$J$2:$J$1001,0)),""))</f>
        <v/>
      </c>
      <c r="I705" s="10">
        <f>IF(H705="","",INDEX(BANK_CLEAN!$B$2:$B$1001,H705))</f>
        <v/>
      </c>
      <c r="J705" s="14">
        <f>IF(H705="","",IF(F705="OUT",INDEX(BANK_CLEAN!$F$2:$F$1001,H705),INDEX(BANK_CLEAN!$E$2:$E$1001,H705)))</f>
        <v/>
      </c>
      <c r="K705" s="14">
        <f>IF(H705="","",ABS(E705-J705))</f>
        <v/>
      </c>
      <c r="L705" s="11">
        <f>IF(OR(H705="",B705="",I705=""),"",ABS(B705-I705))</f>
        <v/>
      </c>
      <c r="M705" s="15">
        <f>IF(H705="",0,LET(pct,IF(E705&gt;0,K705/E705,1),days,IFERROR(L705,999),100-pct*200-days*3))</f>
        <v/>
      </c>
      <c r="N705" s="11">
        <f>IF(A705="","",IF(H705="","Unmatched GL",IF(AND(K705&lt;=Tol_Amount,L705&lt;=Tol_Days),"Matched",IF(M705&gt;Tol_NearPct,"Near Match","Unmatched GL"))))</f>
        <v/>
      </c>
    </row>
    <row r="706">
      <c r="A706" s="13">
        <f>IF(GL_CLEAN!A706="","",GL_CLEAN!A706)</f>
        <v/>
      </c>
      <c r="B706" s="10">
        <f>IF(A706="","",GL_CLEAN!B706)</f>
        <v/>
      </c>
      <c r="C706" s="11">
        <f>IF(A706="","",GL_CLEAN!C706)</f>
        <v/>
      </c>
      <c r="D706" s="14">
        <f>IF(A706="","",GL_CLEAN!H706)</f>
        <v/>
      </c>
      <c r="E706" s="14">
        <f>IF(A706="","",GL_CLEAN!I706)</f>
        <v/>
      </c>
      <c r="F706" s="11">
        <f>IF(A706="","",GL_CLEAN!J706)</f>
        <v/>
      </c>
      <c r="G706" s="11">
        <f>IF(A706="","",IF(F706="OUT","DR","CR"))</f>
        <v/>
      </c>
      <c r="H706" s="11">
        <f>IF(A706="","",IFERROR(INDEX(BANK_CLEAN!$A$2:$A$1001,MATCH(MINIFS(BANK_CLEAN!$J$2:$J$1001,BANK_CLEAN!$H$2:$H$1001,G706,BANK_CLEAN!$L$2:$L$1001,""),BANK_CLEAN!$J$2:$J$1001,0)),""))</f>
        <v/>
      </c>
      <c r="I706" s="10">
        <f>IF(H706="","",INDEX(BANK_CLEAN!$B$2:$B$1001,H706))</f>
        <v/>
      </c>
      <c r="J706" s="14">
        <f>IF(H706="","",IF(F706="OUT",INDEX(BANK_CLEAN!$F$2:$F$1001,H706),INDEX(BANK_CLEAN!$E$2:$E$1001,H706)))</f>
        <v/>
      </c>
      <c r="K706" s="14">
        <f>IF(H706="","",ABS(E706-J706))</f>
        <v/>
      </c>
      <c r="L706" s="11">
        <f>IF(OR(H706="",B706="",I706=""),"",ABS(B706-I706))</f>
        <v/>
      </c>
      <c r="M706" s="15">
        <f>IF(H706="",0,LET(pct,IF(E706&gt;0,K706/E706,1),days,IFERROR(L706,999),100-pct*200-days*3))</f>
        <v/>
      </c>
      <c r="N706" s="11">
        <f>IF(A706="","",IF(H706="","Unmatched GL",IF(AND(K706&lt;=Tol_Amount,L706&lt;=Tol_Days),"Matched",IF(M706&gt;Tol_NearPct,"Near Match","Unmatched GL"))))</f>
        <v/>
      </c>
    </row>
    <row r="707">
      <c r="A707" s="13">
        <f>IF(GL_CLEAN!A707="","",GL_CLEAN!A707)</f>
        <v/>
      </c>
      <c r="B707" s="10">
        <f>IF(A707="","",GL_CLEAN!B707)</f>
        <v/>
      </c>
      <c r="C707" s="11">
        <f>IF(A707="","",GL_CLEAN!C707)</f>
        <v/>
      </c>
      <c r="D707" s="14">
        <f>IF(A707="","",GL_CLEAN!H707)</f>
        <v/>
      </c>
      <c r="E707" s="14">
        <f>IF(A707="","",GL_CLEAN!I707)</f>
        <v/>
      </c>
      <c r="F707" s="11">
        <f>IF(A707="","",GL_CLEAN!J707)</f>
        <v/>
      </c>
      <c r="G707" s="11">
        <f>IF(A707="","",IF(F707="OUT","DR","CR"))</f>
        <v/>
      </c>
      <c r="H707" s="11">
        <f>IF(A707="","",IFERROR(INDEX(BANK_CLEAN!$A$2:$A$1001,MATCH(MINIFS(BANK_CLEAN!$J$2:$J$1001,BANK_CLEAN!$H$2:$H$1001,G707,BANK_CLEAN!$L$2:$L$1001,""),BANK_CLEAN!$J$2:$J$1001,0)),""))</f>
        <v/>
      </c>
      <c r="I707" s="10">
        <f>IF(H707="","",INDEX(BANK_CLEAN!$B$2:$B$1001,H707))</f>
        <v/>
      </c>
      <c r="J707" s="14">
        <f>IF(H707="","",IF(F707="OUT",INDEX(BANK_CLEAN!$F$2:$F$1001,H707),INDEX(BANK_CLEAN!$E$2:$E$1001,H707)))</f>
        <v/>
      </c>
      <c r="K707" s="14">
        <f>IF(H707="","",ABS(E707-J707))</f>
        <v/>
      </c>
      <c r="L707" s="11">
        <f>IF(OR(H707="",B707="",I707=""),"",ABS(B707-I707))</f>
        <v/>
      </c>
      <c r="M707" s="15">
        <f>IF(H707="",0,LET(pct,IF(E707&gt;0,K707/E707,1),days,IFERROR(L707,999),100-pct*200-days*3))</f>
        <v/>
      </c>
      <c r="N707" s="11">
        <f>IF(A707="","",IF(H707="","Unmatched GL",IF(AND(K707&lt;=Tol_Amount,L707&lt;=Tol_Days),"Matched",IF(M707&gt;Tol_NearPct,"Near Match","Unmatched GL"))))</f>
        <v/>
      </c>
    </row>
    <row r="708">
      <c r="A708" s="13">
        <f>IF(GL_CLEAN!A708="","",GL_CLEAN!A708)</f>
        <v/>
      </c>
      <c r="B708" s="10">
        <f>IF(A708="","",GL_CLEAN!B708)</f>
        <v/>
      </c>
      <c r="C708" s="11">
        <f>IF(A708="","",GL_CLEAN!C708)</f>
        <v/>
      </c>
      <c r="D708" s="14">
        <f>IF(A708="","",GL_CLEAN!H708)</f>
        <v/>
      </c>
      <c r="E708" s="14">
        <f>IF(A708="","",GL_CLEAN!I708)</f>
        <v/>
      </c>
      <c r="F708" s="11">
        <f>IF(A708="","",GL_CLEAN!J708)</f>
        <v/>
      </c>
      <c r="G708" s="11">
        <f>IF(A708="","",IF(F708="OUT","DR","CR"))</f>
        <v/>
      </c>
      <c r="H708" s="11">
        <f>IF(A708="","",IFERROR(INDEX(BANK_CLEAN!$A$2:$A$1001,MATCH(MINIFS(BANK_CLEAN!$J$2:$J$1001,BANK_CLEAN!$H$2:$H$1001,G708,BANK_CLEAN!$L$2:$L$1001,""),BANK_CLEAN!$J$2:$J$1001,0)),""))</f>
        <v/>
      </c>
      <c r="I708" s="10">
        <f>IF(H708="","",INDEX(BANK_CLEAN!$B$2:$B$1001,H708))</f>
        <v/>
      </c>
      <c r="J708" s="14">
        <f>IF(H708="","",IF(F708="OUT",INDEX(BANK_CLEAN!$F$2:$F$1001,H708),INDEX(BANK_CLEAN!$E$2:$E$1001,H708)))</f>
        <v/>
      </c>
      <c r="K708" s="14">
        <f>IF(H708="","",ABS(E708-J708))</f>
        <v/>
      </c>
      <c r="L708" s="11">
        <f>IF(OR(H708="",B708="",I708=""),"",ABS(B708-I708))</f>
        <v/>
      </c>
      <c r="M708" s="15">
        <f>IF(H708="",0,LET(pct,IF(E708&gt;0,K708/E708,1),days,IFERROR(L708,999),100-pct*200-days*3))</f>
        <v/>
      </c>
      <c r="N708" s="11">
        <f>IF(A708="","",IF(H708="","Unmatched GL",IF(AND(K708&lt;=Tol_Amount,L708&lt;=Tol_Days),"Matched",IF(M708&gt;Tol_NearPct,"Near Match","Unmatched GL"))))</f>
        <v/>
      </c>
    </row>
    <row r="709">
      <c r="A709" s="13">
        <f>IF(GL_CLEAN!A709="","",GL_CLEAN!A709)</f>
        <v/>
      </c>
      <c r="B709" s="10">
        <f>IF(A709="","",GL_CLEAN!B709)</f>
        <v/>
      </c>
      <c r="C709" s="11">
        <f>IF(A709="","",GL_CLEAN!C709)</f>
        <v/>
      </c>
      <c r="D709" s="14">
        <f>IF(A709="","",GL_CLEAN!H709)</f>
        <v/>
      </c>
      <c r="E709" s="14">
        <f>IF(A709="","",GL_CLEAN!I709)</f>
        <v/>
      </c>
      <c r="F709" s="11">
        <f>IF(A709="","",GL_CLEAN!J709)</f>
        <v/>
      </c>
      <c r="G709" s="11">
        <f>IF(A709="","",IF(F709="OUT","DR","CR"))</f>
        <v/>
      </c>
      <c r="H709" s="11">
        <f>IF(A709="","",IFERROR(INDEX(BANK_CLEAN!$A$2:$A$1001,MATCH(MINIFS(BANK_CLEAN!$J$2:$J$1001,BANK_CLEAN!$H$2:$H$1001,G709,BANK_CLEAN!$L$2:$L$1001,""),BANK_CLEAN!$J$2:$J$1001,0)),""))</f>
        <v/>
      </c>
      <c r="I709" s="10">
        <f>IF(H709="","",INDEX(BANK_CLEAN!$B$2:$B$1001,H709))</f>
        <v/>
      </c>
      <c r="J709" s="14">
        <f>IF(H709="","",IF(F709="OUT",INDEX(BANK_CLEAN!$F$2:$F$1001,H709),INDEX(BANK_CLEAN!$E$2:$E$1001,H709)))</f>
        <v/>
      </c>
      <c r="K709" s="14">
        <f>IF(H709="","",ABS(E709-J709))</f>
        <v/>
      </c>
      <c r="L709" s="11">
        <f>IF(OR(H709="",B709="",I709=""),"",ABS(B709-I709))</f>
        <v/>
      </c>
      <c r="M709" s="15">
        <f>IF(H709="",0,LET(pct,IF(E709&gt;0,K709/E709,1),days,IFERROR(L709,999),100-pct*200-days*3))</f>
        <v/>
      </c>
      <c r="N709" s="11">
        <f>IF(A709="","",IF(H709="","Unmatched GL",IF(AND(K709&lt;=Tol_Amount,L709&lt;=Tol_Days),"Matched",IF(M709&gt;Tol_NearPct,"Near Match","Unmatched GL"))))</f>
        <v/>
      </c>
    </row>
    <row r="710">
      <c r="A710" s="13">
        <f>IF(GL_CLEAN!A710="","",GL_CLEAN!A710)</f>
        <v/>
      </c>
      <c r="B710" s="10">
        <f>IF(A710="","",GL_CLEAN!B710)</f>
        <v/>
      </c>
      <c r="C710" s="11">
        <f>IF(A710="","",GL_CLEAN!C710)</f>
        <v/>
      </c>
      <c r="D710" s="14">
        <f>IF(A710="","",GL_CLEAN!H710)</f>
        <v/>
      </c>
      <c r="E710" s="14">
        <f>IF(A710="","",GL_CLEAN!I710)</f>
        <v/>
      </c>
      <c r="F710" s="11">
        <f>IF(A710="","",GL_CLEAN!J710)</f>
        <v/>
      </c>
      <c r="G710" s="11">
        <f>IF(A710="","",IF(F710="OUT","DR","CR"))</f>
        <v/>
      </c>
      <c r="H710" s="11">
        <f>IF(A710="","",IFERROR(INDEX(BANK_CLEAN!$A$2:$A$1001,MATCH(MINIFS(BANK_CLEAN!$J$2:$J$1001,BANK_CLEAN!$H$2:$H$1001,G710,BANK_CLEAN!$L$2:$L$1001,""),BANK_CLEAN!$J$2:$J$1001,0)),""))</f>
        <v/>
      </c>
      <c r="I710" s="10">
        <f>IF(H710="","",INDEX(BANK_CLEAN!$B$2:$B$1001,H710))</f>
        <v/>
      </c>
      <c r="J710" s="14">
        <f>IF(H710="","",IF(F710="OUT",INDEX(BANK_CLEAN!$F$2:$F$1001,H710),INDEX(BANK_CLEAN!$E$2:$E$1001,H710)))</f>
        <v/>
      </c>
      <c r="K710" s="14">
        <f>IF(H710="","",ABS(E710-J710))</f>
        <v/>
      </c>
      <c r="L710" s="11">
        <f>IF(OR(H710="",B710="",I710=""),"",ABS(B710-I710))</f>
        <v/>
      </c>
      <c r="M710" s="15">
        <f>IF(H710="",0,LET(pct,IF(E710&gt;0,K710/E710,1),days,IFERROR(L710,999),100-pct*200-days*3))</f>
        <v/>
      </c>
      <c r="N710" s="11">
        <f>IF(A710="","",IF(H710="","Unmatched GL",IF(AND(K710&lt;=Tol_Amount,L710&lt;=Tol_Days),"Matched",IF(M710&gt;Tol_NearPct,"Near Match","Unmatched GL"))))</f>
        <v/>
      </c>
    </row>
    <row r="711">
      <c r="A711" s="13">
        <f>IF(GL_CLEAN!A711="","",GL_CLEAN!A711)</f>
        <v/>
      </c>
      <c r="B711" s="10">
        <f>IF(A711="","",GL_CLEAN!B711)</f>
        <v/>
      </c>
      <c r="C711" s="11">
        <f>IF(A711="","",GL_CLEAN!C711)</f>
        <v/>
      </c>
      <c r="D711" s="14">
        <f>IF(A711="","",GL_CLEAN!H711)</f>
        <v/>
      </c>
      <c r="E711" s="14">
        <f>IF(A711="","",GL_CLEAN!I711)</f>
        <v/>
      </c>
      <c r="F711" s="11">
        <f>IF(A711="","",GL_CLEAN!J711)</f>
        <v/>
      </c>
      <c r="G711" s="11">
        <f>IF(A711="","",IF(F711="OUT","DR","CR"))</f>
        <v/>
      </c>
      <c r="H711" s="11">
        <f>IF(A711="","",IFERROR(INDEX(BANK_CLEAN!$A$2:$A$1001,MATCH(MINIFS(BANK_CLEAN!$J$2:$J$1001,BANK_CLEAN!$H$2:$H$1001,G711,BANK_CLEAN!$L$2:$L$1001,""),BANK_CLEAN!$J$2:$J$1001,0)),""))</f>
        <v/>
      </c>
      <c r="I711" s="10">
        <f>IF(H711="","",INDEX(BANK_CLEAN!$B$2:$B$1001,H711))</f>
        <v/>
      </c>
      <c r="J711" s="14">
        <f>IF(H711="","",IF(F711="OUT",INDEX(BANK_CLEAN!$F$2:$F$1001,H711),INDEX(BANK_CLEAN!$E$2:$E$1001,H711)))</f>
        <v/>
      </c>
      <c r="K711" s="14">
        <f>IF(H711="","",ABS(E711-J711))</f>
        <v/>
      </c>
      <c r="L711" s="11">
        <f>IF(OR(H711="",B711="",I711=""),"",ABS(B711-I711))</f>
        <v/>
      </c>
      <c r="M711" s="15">
        <f>IF(H711="",0,LET(pct,IF(E711&gt;0,K711/E711,1),days,IFERROR(L711,999),100-pct*200-days*3))</f>
        <v/>
      </c>
      <c r="N711" s="11">
        <f>IF(A711="","",IF(H711="","Unmatched GL",IF(AND(K711&lt;=Tol_Amount,L711&lt;=Tol_Days),"Matched",IF(M711&gt;Tol_NearPct,"Near Match","Unmatched GL"))))</f>
        <v/>
      </c>
    </row>
    <row r="712">
      <c r="A712" s="13">
        <f>IF(GL_CLEAN!A712="","",GL_CLEAN!A712)</f>
        <v/>
      </c>
      <c r="B712" s="10">
        <f>IF(A712="","",GL_CLEAN!B712)</f>
        <v/>
      </c>
      <c r="C712" s="11">
        <f>IF(A712="","",GL_CLEAN!C712)</f>
        <v/>
      </c>
      <c r="D712" s="14">
        <f>IF(A712="","",GL_CLEAN!H712)</f>
        <v/>
      </c>
      <c r="E712" s="14">
        <f>IF(A712="","",GL_CLEAN!I712)</f>
        <v/>
      </c>
      <c r="F712" s="11">
        <f>IF(A712="","",GL_CLEAN!J712)</f>
        <v/>
      </c>
      <c r="G712" s="11">
        <f>IF(A712="","",IF(F712="OUT","DR","CR"))</f>
        <v/>
      </c>
      <c r="H712" s="11">
        <f>IF(A712="","",IFERROR(INDEX(BANK_CLEAN!$A$2:$A$1001,MATCH(MINIFS(BANK_CLEAN!$J$2:$J$1001,BANK_CLEAN!$H$2:$H$1001,G712,BANK_CLEAN!$L$2:$L$1001,""),BANK_CLEAN!$J$2:$J$1001,0)),""))</f>
        <v/>
      </c>
      <c r="I712" s="10">
        <f>IF(H712="","",INDEX(BANK_CLEAN!$B$2:$B$1001,H712))</f>
        <v/>
      </c>
      <c r="J712" s="14">
        <f>IF(H712="","",IF(F712="OUT",INDEX(BANK_CLEAN!$F$2:$F$1001,H712),INDEX(BANK_CLEAN!$E$2:$E$1001,H712)))</f>
        <v/>
      </c>
      <c r="K712" s="14">
        <f>IF(H712="","",ABS(E712-J712))</f>
        <v/>
      </c>
      <c r="L712" s="11">
        <f>IF(OR(H712="",B712="",I712=""),"",ABS(B712-I712))</f>
        <v/>
      </c>
      <c r="M712" s="15">
        <f>IF(H712="",0,LET(pct,IF(E712&gt;0,K712/E712,1),days,IFERROR(L712,999),100-pct*200-days*3))</f>
        <v/>
      </c>
      <c r="N712" s="11">
        <f>IF(A712="","",IF(H712="","Unmatched GL",IF(AND(K712&lt;=Tol_Amount,L712&lt;=Tol_Days),"Matched",IF(M712&gt;Tol_NearPct,"Near Match","Unmatched GL"))))</f>
        <v/>
      </c>
    </row>
    <row r="713">
      <c r="A713" s="13">
        <f>IF(GL_CLEAN!A713="","",GL_CLEAN!A713)</f>
        <v/>
      </c>
      <c r="B713" s="10">
        <f>IF(A713="","",GL_CLEAN!B713)</f>
        <v/>
      </c>
      <c r="C713" s="11">
        <f>IF(A713="","",GL_CLEAN!C713)</f>
        <v/>
      </c>
      <c r="D713" s="14">
        <f>IF(A713="","",GL_CLEAN!H713)</f>
        <v/>
      </c>
      <c r="E713" s="14">
        <f>IF(A713="","",GL_CLEAN!I713)</f>
        <v/>
      </c>
      <c r="F713" s="11">
        <f>IF(A713="","",GL_CLEAN!J713)</f>
        <v/>
      </c>
      <c r="G713" s="11">
        <f>IF(A713="","",IF(F713="OUT","DR","CR"))</f>
        <v/>
      </c>
      <c r="H713" s="11">
        <f>IF(A713="","",IFERROR(INDEX(BANK_CLEAN!$A$2:$A$1001,MATCH(MINIFS(BANK_CLEAN!$J$2:$J$1001,BANK_CLEAN!$H$2:$H$1001,G713,BANK_CLEAN!$L$2:$L$1001,""),BANK_CLEAN!$J$2:$J$1001,0)),""))</f>
        <v/>
      </c>
      <c r="I713" s="10">
        <f>IF(H713="","",INDEX(BANK_CLEAN!$B$2:$B$1001,H713))</f>
        <v/>
      </c>
      <c r="J713" s="14">
        <f>IF(H713="","",IF(F713="OUT",INDEX(BANK_CLEAN!$F$2:$F$1001,H713),INDEX(BANK_CLEAN!$E$2:$E$1001,H713)))</f>
        <v/>
      </c>
      <c r="K713" s="14">
        <f>IF(H713="","",ABS(E713-J713))</f>
        <v/>
      </c>
      <c r="L713" s="11">
        <f>IF(OR(H713="",B713="",I713=""),"",ABS(B713-I713))</f>
        <v/>
      </c>
      <c r="M713" s="15">
        <f>IF(H713="",0,LET(pct,IF(E713&gt;0,K713/E713,1),days,IFERROR(L713,999),100-pct*200-days*3))</f>
        <v/>
      </c>
      <c r="N713" s="11">
        <f>IF(A713="","",IF(H713="","Unmatched GL",IF(AND(K713&lt;=Tol_Amount,L713&lt;=Tol_Days),"Matched",IF(M713&gt;Tol_NearPct,"Near Match","Unmatched GL"))))</f>
        <v/>
      </c>
    </row>
    <row r="714">
      <c r="A714" s="13">
        <f>IF(GL_CLEAN!A714="","",GL_CLEAN!A714)</f>
        <v/>
      </c>
      <c r="B714" s="10">
        <f>IF(A714="","",GL_CLEAN!B714)</f>
        <v/>
      </c>
      <c r="C714" s="11">
        <f>IF(A714="","",GL_CLEAN!C714)</f>
        <v/>
      </c>
      <c r="D714" s="14">
        <f>IF(A714="","",GL_CLEAN!H714)</f>
        <v/>
      </c>
      <c r="E714" s="14">
        <f>IF(A714="","",GL_CLEAN!I714)</f>
        <v/>
      </c>
      <c r="F714" s="11">
        <f>IF(A714="","",GL_CLEAN!J714)</f>
        <v/>
      </c>
      <c r="G714" s="11">
        <f>IF(A714="","",IF(F714="OUT","DR","CR"))</f>
        <v/>
      </c>
      <c r="H714" s="11">
        <f>IF(A714="","",IFERROR(INDEX(BANK_CLEAN!$A$2:$A$1001,MATCH(MINIFS(BANK_CLEAN!$J$2:$J$1001,BANK_CLEAN!$H$2:$H$1001,G714,BANK_CLEAN!$L$2:$L$1001,""),BANK_CLEAN!$J$2:$J$1001,0)),""))</f>
        <v/>
      </c>
      <c r="I714" s="10">
        <f>IF(H714="","",INDEX(BANK_CLEAN!$B$2:$B$1001,H714))</f>
        <v/>
      </c>
      <c r="J714" s="14">
        <f>IF(H714="","",IF(F714="OUT",INDEX(BANK_CLEAN!$F$2:$F$1001,H714),INDEX(BANK_CLEAN!$E$2:$E$1001,H714)))</f>
        <v/>
      </c>
      <c r="K714" s="14">
        <f>IF(H714="","",ABS(E714-J714))</f>
        <v/>
      </c>
      <c r="L714" s="11">
        <f>IF(OR(H714="",B714="",I714=""),"",ABS(B714-I714))</f>
        <v/>
      </c>
      <c r="M714" s="15">
        <f>IF(H714="",0,LET(pct,IF(E714&gt;0,K714/E714,1),days,IFERROR(L714,999),100-pct*200-days*3))</f>
        <v/>
      </c>
      <c r="N714" s="11">
        <f>IF(A714="","",IF(H714="","Unmatched GL",IF(AND(K714&lt;=Tol_Amount,L714&lt;=Tol_Days),"Matched",IF(M714&gt;Tol_NearPct,"Near Match","Unmatched GL"))))</f>
        <v/>
      </c>
    </row>
    <row r="715">
      <c r="A715" s="13">
        <f>IF(GL_CLEAN!A715="","",GL_CLEAN!A715)</f>
        <v/>
      </c>
      <c r="B715" s="10">
        <f>IF(A715="","",GL_CLEAN!B715)</f>
        <v/>
      </c>
      <c r="C715" s="11">
        <f>IF(A715="","",GL_CLEAN!C715)</f>
        <v/>
      </c>
      <c r="D715" s="14">
        <f>IF(A715="","",GL_CLEAN!H715)</f>
        <v/>
      </c>
      <c r="E715" s="14">
        <f>IF(A715="","",GL_CLEAN!I715)</f>
        <v/>
      </c>
      <c r="F715" s="11">
        <f>IF(A715="","",GL_CLEAN!J715)</f>
        <v/>
      </c>
      <c r="G715" s="11">
        <f>IF(A715="","",IF(F715="OUT","DR","CR"))</f>
        <v/>
      </c>
      <c r="H715" s="11">
        <f>IF(A715="","",IFERROR(INDEX(BANK_CLEAN!$A$2:$A$1001,MATCH(MINIFS(BANK_CLEAN!$J$2:$J$1001,BANK_CLEAN!$H$2:$H$1001,G715,BANK_CLEAN!$L$2:$L$1001,""),BANK_CLEAN!$J$2:$J$1001,0)),""))</f>
        <v/>
      </c>
      <c r="I715" s="10">
        <f>IF(H715="","",INDEX(BANK_CLEAN!$B$2:$B$1001,H715))</f>
        <v/>
      </c>
      <c r="J715" s="14">
        <f>IF(H715="","",IF(F715="OUT",INDEX(BANK_CLEAN!$F$2:$F$1001,H715),INDEX(BANK_CLEAN!$E$2:$E$1001,H715)))</f>
        <v/>
      </c>
      <c r="K715" s="14">
        <f>IF(H715="","",ABS(E715-J715))</f>
        <v/>
      </c>
      <c r="L715" s="11">
        <f>IF(OR(H715="",B715="",I715=""),"",ABS(B715-I715))</f>
        <v/>
      </c>
      <c r="M715" s="15">
        <f>IF(H715="",0,LET(pct,IF(E715&gt;0,K715/E715,1),days,IFERROR(L715,999),100-pct*200-days*3))</f>
        <v/>
      </c>
      <c r="N715" s="11">
        <f>IF(A715="","",IF(H715="","Unmatched GL",IF(AND(K715&lt;=Tol_Amount,L715&lt;=Tol_Days),"Matched",IF(M715&gt;Tol_NearPct,"Near Match","Unmatched GL"))))</f>
        <v/>
      </c>
    </row>
    <row r="716">
      <c r="A716" s="13">
        <f>IF(GL_CLEAN!A716="","",GL_CLEAN!A716)</f>
        <v/>
      </c>
      <c r="B716" s="10">
        <f>IF(A716="","",GL_CLEAN!B716)</f>
        <v/>
      </c>
      <c r="C716" s="11">
        <f>IF(A716="","",GL_CLEAN!C716)</f>
        <v/>
      </c>
      <c r="D716" s="14">
        <f>IF(A716="","",GL_CLEAN!H716)</f>
        <v/>
      </c>
      <c r="E716" s="14">
        <f>IF(A716="","",GL_CLEAN!I716)</f>
        <v/>
      </c>
      <c r="F716" s="11">
        <f>IF(A716="","",GL_CLEAN!J716)</f>
        <v/>
      </c>
      <c r="G716" s="11">
        <f>IF(A716="","",IF(F716="OUT","DR","CR"))</f>
        <v/>
      </c>
      <c r="H716" s="11">
        <f>IF(A716="","",IFERROR(INDEX(BANK_CLEAN!$A$2:$A$1001,MATCH(MINIFS(BANK_CLEAN!$J$2:$J$1001,BANK_CLEAN!$H$2:$H$1001,G716,BANK_CLEAN!$L$2:$L$1001,""),BANK_CLEAN!$J$2:$J$1001,0)),""))</f>
        <v/>
      </c>
      <c r="I716" s="10">
        <f>IF(H716="","",INDEX(BANK_CLEAN!$B$2:$B$1001,H716))</f>
        <v/>
      </c>
      <c r="J716" s="14">
        <f>IF(H716="","",IF(F716="OUT",INDEX(BANK_CLEAN!$F$2:$F$1001,H716),INDEX(BANK_CLEAN!$E$2:$E$1001,H716)))</f>
        <v/>
      </c>
      <c r="K716" s="14">
        <f>IF(H716="","",ABS(E716-J716))</f>
        <v/>
      </c>
      <c r="L716" s="11">
        <f>IF(OR(H716="",B716="",I716=""),"",ABS(B716-I716))</f>
        <v/>
      </c>
      <c r="M716" s="15">
        <f>IF(H716="",0,LET(pct,IF(E716&gt;0,K716/E716,1),days,IFERROR(L716,999),100-pct*200-days*3))</f>
        <v/>
      </c>
      <c r="N716" s="11">
        <f>IF(A716="","",IF(H716="","Unmatched GL",IF(AND(K716&lt;=Tol_Amount,L716&lt;=Tol_Days),"Matched",IF(M716&gt;Tol_NearPct,"Near Match","Unmatched GL"))))</f>
        <v/>
      </c>
    </row>
    <row r="717">
      <c r="A717" s="13">
        <f>IF(GL_CLEAN!A717="","",GL_CLEAN!A717)</f>
        <v/>
      </c>
      <c r="B717" s="10">
        <f>IF(A717="","",GL_CLEAN!B717)</f>
        <v/>
      </c>
      <c r="C717" s="11">
        <f>IF(A717="","",GL_CLEAN!C717)</f>
        <v/>
      </c>
      <c r="D717" s="14">
        <f>IF(A717="","",GL_CLEAN!H717)</f>
        <v/>
      </c>
      <c r="E717" s="14">
        <f>IF(A717="","",GL_CLEAN!I717)</f>
        <v/>
      </c>
      <c r="F717" s="11">
        <f>IF(A717="","",GL_CLEAN!J717)</f>
        <v/>
      </c>
      <c r="G717" s="11">
        <f>IF(A717="","",IF(F717="OUT","DR","CR"))</f>
        <v/>
      </c>
      <c r="H717" s="11">
        <f>IF(A717="","",IFERROR(INDEX(BANK_CLEAN!$A$2:$A$1001,MATCH(MINIFS(BANK_CLEAN!$J$2:$J$1001,BANK_CLEAN!$H$2:$H$1001,G717,BANK_CLEAN!$L$2:$L$1001,""),BANK_CLEAN!$J$2:$J$1001,0)),""))</f>
        <v/>
      </c>
      <c r="I717" s="10">
        <f>IF(H717="","",INDEX(BANK_CLEAN!$B$2:$B$1001,H717))</f>
        <v/>
      </c>
      <c r="J717" s="14">
        <f>IF(H717="","",IF(F717="OUT",INDEX(BANK_CLEAN!$F$2:$F$1001,H717),INDEX(BANK_CLEAN!$E$2:$E$1001,H717)))</f>
        <v/>
      </c>
      <c r="K717" s="14">
        <f>IF(H717="","",ABS(E717-J717))</f>
        <v/>
      </c>
      <c r="L717" s="11">
        <f>IF(OR(H717="",B717="",I717=""),"",ABS(B717-I717))</f>
        <v/>
      </c>
      <c r="M717" s="15">
        <f>IF(H717="",0,LET(pct,IF(E717&gt;0,K717/E717,1),days,IFERROR(L717,999),100-pct*200-days*3))</f>
        <v/>
      </c>
      <c r="N717" s="11">
        <f>IF(A717="","",IF(H717="","Unmatched GL",IF(AND(K717&lt;=Tol_Amount,L717&lt;=Tol_Days),"Matched",IF(M717&gt;Tol_NearPct,"Near Match","Unmatched GL"))))</f>
        <v/>
      </c>
    </row>
    <row r="718">
      <c r="A718" s="13">
        <f>IF(GL_CLEAN!A718="","",GL_CLEAN!A718)</f>
        <v/>
      </c>
      <c r="B718" s="10">
        <f>IF(A718="","",GL_CLEAN!B718)</f>
        <v/>
      </c>
      <c r="C718" s="11">
        <f>IF(A718="","",GL_CLEAN!C718)</f>
        <v/>
      </c>
      <c r="D718" s="14">
        <f>IF(A718="","",GL_CLEAN!H718)</f>
        <v/>
      </c>
      <c r="E718" s="14">
        <f>IF(A718="","",GL_CLEAN!I718)</f>
        <v/>
      </c>
      <c r="F718" s="11">
        <f>IF(A718="","",GL_CLEAN!J718)</f>
        <v/>
      </c>
      <c r="G718" s="11">
        <f>IF(A718="","",IF(F718="OUT","DR","CR"))</f>
        <v/>
      </c>
      <c r="H718" s="11">
        <f>IF(A718="","",IFERROR(INDEX(BANK_CLEAN!$A$2:$A$1001,MATCH(MINIFS(BANK_CLEAN!$J$2:$J$1001,BANK_CLEAN!$H$2:$H$1001,G718,BANK_CLEAN!$L$2:$L$1001,""),BANK_CLEAN!$J$2:$J$1001,0)),""))</f>
        <v/>
      </c>
      <c r="I718" s="10">
        <f>IF(H718="","",INDEX(BANK_CLEAN!$B$2:$B$1001,H718))</f>
        <v/>
      </c>
      <c r="J718" s="14">
        <f>IF(H718="","",IF(F718="OUT",INDEX(BANK_CLEAN!$F$2:$F$1001,H718),INDEX(BANK_CLEAN!$E$2:$E$1001,H718)))</f>
        <v/>
      </c>
      <c r="K718" s="14">
        <f>IF(H718="","",ABS(E718-J718))</f>
        <v/>
      </c>
      <c r="L718" s="11">
        <f>IF(OR(H718="",B718="",I718=""),"",ABS(B718-I718))</f>
        <v/>
      </c>
      <c r="M718" s="15">
        <f>IF(H718="",0,LET(pct,IF(E718&gt;0,K718/E718,1),days,IFERROR(L718,999),100-pct*200-days*3))</f>
        <v/>
      </c>
      <c r="N718" s="11">
        <f>IF(A718="","",IF(H718="","Unmatched GL",IF(AND(K718&lt;=Tol_Amount,L718&lt;=Tol_Days),"Matched",IF(M718&gt;Tol_NearPct,"Near Match","Unmatched GL"))))</f>
        <v/>
      </c>
    </row>
    <row r="719">
      <c r="A719" s="13">
        <f>IF(GL_CLEAN!A719="","",GL_CLEAN!A719)</f>
        <v/>
      </c>
      <c r="B719" s="10">
        <f>IF(A719="","",GL_CLEAN!B719)</f>
        <v/>
      </c>
      <c r="C719" s="11">
        <f>IF(A719="","",GL_CLEAN!C719)</f>
        <v/>
      </c>
      <c r="D719" s="14">
        <f>IF(A719="","",GL_CLEAN!H719)</f>
        <v/>
      </c>
      <c r="E719" s="14">
        <f>IF(A719="","",GL_CLEAN!I719)</f>
        <v/>
      </c>
      <c r="F719" s="11">
        <f>IF(A719="","",GL_CLEAN!J719)</f>
        <v/>
      </c>
      <c r="G719" s="11">
        <f>IF(A719="","",IF(F719="OUT","DR","CR"))</f>
        <v/>
      </c>
      <c r="H719" s="11">
        <f>IF(A719="","",IFERROR(INDEX(BANK_CLEAN!$A$2:$A$1001,MATCH(MINIFS(BANK_CLEAN!$J$2:$J$1001,BANK_CLEAN!$H$2:$H$1001,G719,BANK_CLEAN!$L$2:$L$1001,""),BANK_CLEAN!$J$2:$J$1001,0)),""))</f>
        <v/>
      </c>
      <c r="I719" s="10">
        <f>IF(H719="","",INDEX(BANK_CLEAN!$B$2:$B$1001,H719))</f>
        <v/>
      </c>
      <c r="J719" s="14">
        <f>IF(H719="","",IF(F719="OUT",INDEX(BANK_CLEAN!$F$2:$F$1001,H719),INDEX(BANK_CLEAN!$E$2:$E$1001,H719)))</f>
        <v/>
      </c>
      <c r="K719" s="14">
        <f>IF(H719="","",ABS(E719-J719))</f>
        <v/>
      </c>
      <c r="L719" s="11">
        <f>IF(OR(H719="",B719="",I719=""),"",ABS(B719-I719))</f>
        <v/>
      </c>
      <c r="M719" s="15">
        <f>IF(H719="",0,LET(pct,IF(E719&gt;0,K719/E719,1),days,IFERROR(L719,999),100-pct*200-days*3))</f>
        <v/>
      </c>
      <c r="N719" s="11">
        <f>IF(A719="","",IF(H719="","Unmatched GL",IF(AND(K719&lt;=Tol_Amount,L719&lt;=Tol_Days),"Matched",IF(M719&gt;Tol_NearPct,"Near Match","Unmatched GL"))))</f>
        <v/>
      </c>
    </row>
    <row r="720">
      <c r="A720" s="13">
        <f>IF(GL_CLEAN!A720="","",GL_CLEAN!A720)</f>
        <v/>
      </c>
      <c r="B720" s="10">
        <f>IF(A720="","",GL_CLEAN!B720)</f>
        <v/>
      </c>
      <c r="C720" s="11">
        <f>IF(A720="","",GL_CLEAN!C720)</f>
        <v/>
      </c>
      <c r="D720" s="14">
        <f>IF(A720="","",GL_CLEAN!H720)</f>
        <v/>
      </c>
      <c r="E720" s="14">
        <f>IF(A720="","",GL_CLEAN!I720)</f>
        <v/>
      </c>
      <c r="F720" s="11">
        <f>IF(A720="","",GL_CLEAN!J720)</f>
        <v/>
      </c>
      <c r="G720" s="11">
        <f>IF(A720="","",IF(F720="OUT","DR","CR"))</f>
        <v/>
      </c>
      <c r="H720" s="11">
        <f>IF(A720="","",IFERROR(INDEX(BANK_CLEAN!$A$2:$A$1001,MATCH(MINIFS(BANK_CLEAN!$J$2:$J$1001,BANK_CLEAN!$H$2:$H$1001,G720,BANK_CLEAN!$L$2:$L$1001,""),BANK_CLEAN!$J$2:$J$1001,0)),""))</f>
        <v/>
      </c>
      <c r="I720" s="10">
        <f>IF(H720="","",INDEX(BANK_CLEAN!$B$2:$B$1001,H720))</f>
        <v/>
      </c>
      <c r="J720" s="14">
        <f>IF(H720="","",IF(F720="OUT",INDEX(BANK_CLEAN!$F$2:$F$1001,H720),INDEX(BANK_CLEAN!$E$2:$E$1001,H720)))</f>
        <v/>
      </c>
      <c r="K720" s="14">
        <f>IF(H720="","",ABS(E720-J720))</f>
        <v/>
      </c>
      <c r="L720" s="11">
        <f>IF(OR(H720="",B720="",I720=""),"",ABS(B720-I720))</f>
        <v/>
      </c>
      <c r="M720" s="15">
        <f>IF(H720="",0,LET(pct,IF(E720&gt;0,K720/E720,1),days,IFERROR(L720,999),100-pct*200-days*3))</f>
        <v/>
      </c>
      <c r="N720" s="11">
        <f>IF(A720="","",IF(H720="","Unmatched GL",IF(AND(K720&lt;=Tol_Amount,L720&lt;=Tol_Days),"Matched",IF(M720&gt;Tol_NearPct,"Near Match","Unmatched GL"))))</f>
        <v/>
      </c>
    </row>
    <row r="721">
      <c r="A721" s="13">
        <f>IF(GL_CLEAN!A721="","",GL_CLEAN!A721)</f>
        <v/>
      </c>
      <c r="B721" s="10">
        <f>IF(A721="","",GL_CLEAN!B721)</f>
        <v/>
      </c>
      <c r="C721" s="11">
        <f>IF(A721="","",GL_CLEAN!C721)</f>
        <v/>
      </c>
      <c r="D721" s="14">
        <f>IF(A721="","",GL_CLEAN!H721)</f>
        <v/>
      </c>
      <c r="E721" s="14">
        <f>IF(A721="","",GL_CLEAN!I721)</f>
        <v/>
      </c>
      <c r="F721" s="11">
        <f>IF(A721="","",GL_CLEAN!J721)</f>
        <v/>
      </c>
      <c r="G721" s="11">
        <f>IF(A721="","",IF(F721="OUT","DR","CR"))</f>
        <v/>
      </c>
      <c r="H721" s="11">
        <f>IF(A721="","",IFERROR(INDEX(BANK_CLEAN!$A$2:$A$1001,MATCH(MINIFS(BANK_CLEAN!$J$2:$J$1001,BANK_CLEAN!$H$2:$H$1001,G721,BANK_CLEAN!$L$2:$L$1001,""),BANK_CLEAN!$J$2:$J$1001,0)),""))</f>
        <v/>
      </c>
      <c r="I721" s="10">
        <f>IF(H721="","",INDEX(BANK_CLEAN!$B$2:$B$1001,H721))</f>
        <v/>
      </c>
      <c r="J721" s="14">
        <f>IF(H721="","",IF(F721="OUT",INDEX(BANK_CLEAN!$F$2:$F$1001,H721),INDEX(BANK_CLEAN!$E$2:$E$1001,H721)))</f>
        <v/>
      </c>
      <c r="K721" s="14">
        <f>IF(H721="","",ABS(E721-J721))</f>
        <v/>
      </c>
      <c r="L721" s="11">
        <f>IF(OR(H721="",B721="",I721=""),"",ABS(B721-I721))</f>
        <v/>
      </c>
      <c r="M721" s="15">
        <f>IF(H721="",0,LET(pct,IF(E721&gt;0,K721/E721,1),days,IFERROR(L721,999),100-pct*200-days*3))</f>
        <v/>
      </c>
      <c r="N721" s="11">
        <f>IF(A721="","",IF(H721="","Unmatched GL",IF(AND(K721&lt;=Tol_Amount,L721&lt;=Tol_Days),"Matched",IF(M721&gt;Tol_NearPct,"Near Match","Unmatched GL"))))</f>
        <v/>
      </c>
    </row>
    <row r="722">
      <c r="A722" s="13">
        <f>IF(GL_CLEAN!A722="","",GL_CLEAN!A722)</f>
        <v/>
      </c>
      <c r="B722" s="10">
        <f>IF(A722="","",GL_CLEAN!B722)</f>
        <v/>
      </c>
      <c r="C722" s="11">
        <f>IF(A722="","",GL_CLEAN!C722)</f>
        <v/>
      </c>
      <c r="D722" s="14">
        <f>IF(A722="","",GL_CLEAN!H722)</f>
        <v/>
      </c>
      <c r="E722" s="14">
        <f>IF(A722="","",GL_CLEAN!I722)</f>
        <v/>
      </c>
      <c r="F722" s="11">
        <f>IF(A722="","",GL_CLEAN!J722)</f>
        <v/>
      </c>
      <c r="G722" s="11">
        <f>IF(A722="","",IF(F722="OUT","DR","CR"))</f>
        <v/>
      </c>
      <c r="H722" s="11">
        <f>IF(A722="","",IFERROR(INDEX(BANK_CLEAN!$A$2:$A$1001,MATCH(MINIFS(BANK_CLEAN!$J$2:$J$1001,BANK_CLEAN!$H$2:$H$1001,G722,BANK_CLEAN!$L$2:$L$1001,""),BANK_CLEAN!$J$2:$J$1001,0)),""))</f>
        <v/>
      </c>
      <c r="I722" s="10">
        <f>IF(H722="","",INDEX(BANK_CLEAN!$B$2:$B$1001,H722))</f>
        <v/>
      </c>
      <c r="J722" s="14">
        <f>IF(H722="","",IF(F722="OUT",INDEX(BANK_CLEAN!$F$2:$F$1001,H722),INDEX(BANK_CLEAN!$E$2:$E$1001,H722)))</f>
        <v/>
      </c>
      <c r="K722" s="14">
        <f>IF(H722="","",ABS(E722-J722))</f>
        <v/>
      </c>
      <c r="L722" s="11">
        <f>IF(OR(H722="",B722="",I722=""),"",ABS(B722-I722))</f>
        <v/>
      </c>
      <c r="M722" s="15">
        <f>IF(H722="",0,LET(pct,IF(E722&gt;0,K722/E722,1),days,IFERROR(L722,999),100-pct*200-days*3))</f>
        <v/>
      </c>
      <c r="N722" s="11">
        <f>IF(A722="","",IF(H722="","Unmatched GL",IF(AND(K722&lt;=Tol_Amount,L722&lt;=Tol_Days),"Matched",IF(M722&gt;Tol_NearPct,"Near Match","Unmatched GL"))))</f>
        <v/>
      </c>
    </row>
    <row r="723">
      <c r="A723" s="13">
        <f>IF(GL_CLEAN!A723="","",GL_CLEAN!A723)</f>
        <v/>
      </c>
      <c r="B723" s="10">
        <f>IF(A723="","",GL_CLEAN!B723)</f>
        <v/>
      </c>
      <c r="C723" s="11">
        <f>IF(A723="","",GL_CLEAN!C723)</f>
        <v/>
      </c>
      <c r="D723" s="14">
        <f>IF(A723="","",GL_CLEAN!H723)</f>
        <v/>
      </c>
      <c r="E723" s="14">
        <f>IF(A723="","",GL_CLEAN!I723)</f>
        <v/>
      </c>
      <c r="F723" s="11">
        <f>IF(A723="","",GL_CLEAN!J723)</f>
        <v/>
      </c>
      <c r="G723" s="11">
        <f>IF(A723="","",IF(F723="OUT","DR","CR"))</f>
        <v/>
      </c>
      <c r="H723" s="11">
        <f>IF(A723="","",IFERROR(INDEX(BANK_CLEAN!$A$2:$A$1001,MATCH(MINIFS(BANK_CLEAN!$J$2:$J$1001,BANK_CLEAN!$H$2:$H$1001,G723,BANK_CLEAN!$L$2:$L$1001,""),BANK_CLEAN!$J$2:$J$1001,0)),""))</f>
        <v/>
      </c>
      <c r="I723" s="10">
        <f>IF(H723="","",INDEX(BANK_CLEAN!$B$2:$B$1001,H723))</f>
        <v/>
      </c>
      <c r="J723" s="14">
        <f>IF(H723="","",IF(F723="OUT",INDEX(BANK_CLEAN!$F$2:$F$1001,H723),INDEX(BANK_CLEAN!$E$2:$E$1001,H723)))</f>
        <v/>
      </c>
      <c r="K723" s="14">
        <f>IF(H723="","",ABS(E723-J723))</f>
        <v/>
      </c>
      <c r="L723" s="11">
        <f>IF(OR(H723="",B723="",I723=""),"",ABS(B723-I723))</f>
        <v/>
      </c>
      <c r="M723" s="15">
        <f>IF(H723="",0,LET(pct,IF(E723&gt;0,K723/E723,1),days,IFERROR(L723,999),100-pct*200-days*3))</f>
        <v/>
      </c>
      <c r="N723" s="11">
        <f>IF(A723="","",IF(H723="","Unmatched GL",IF(AND(K723&lt;=Tol_Amount,L723&lt;=Tol_Days),"Matched",IF(M723&gt;Tol_NearPct,"Near Match","Unmatched GL"))))</f>
        <v/>
      </c>
    </row>
    <row r="724">
      <c r="A724" s="13">
        <f>IF(GL_CLEAN!A724="","",GL_CLEAN!A724)</f>
        <v/>
      </c>
      <c r="B724" s="10">
        <f>IF(A724="","",GL_CLEAN!B724)</f>
        <v/>
      </c>
      <c r="C724" s="11">
        <f>IF(A724="","",GL_CLEAN!C724)</f>
        <v/>
      </c>
      <c r="D724" s="14">
        <f>IF(A724="","",GL_CLEAN!H724)</f>
        <v/>
      </c>
      <c r="E724" s="14">
        <f>IF(A724="","",GL_CLEAN!I724)</f>
        <v/>
      </c>
      <c r="F724" s="11">
        <f>IF(A724="","",GL_CLEAN!J724)</f>
        <v/>
      </c>
      <c r="G724" s="11">
        <f>IF(A724="","",IF(F724="OUT","DR","CR"))</f>
        <v/>
      </c>
      <c r="H724" s="11">
        <f>IF(A724="","",IFERROR(INDEX(BANK_CLEAN!$A$2:$A$1001,MATCH(MINIFS(BANK_CLEAN!$J$2:$J$1001,BANK_CLEAN!$H$2:$H$1001,G724,BANK_CLEAN!$L$2:$L$1001,""),BANK_CLEAN!$J$2:$J$1001,0)),""))</f>
        <v/>
      </c>
      <c r="I724" s="10">
        <f>IF(H724="","",INDEX(BANK_CLEAN!$B$2:$B$1001,H724))</f>
        <v/>
      </c>
      <c r="J724" s="14">
        <f>IF(H724="","",IF(F724="OUT",INDEX(BANK_CLEAN!$F$2:$F$1001,H724),INDEX(BANK_CLEAN!$E$2:$E$1001,H724)))</f>
        <v/>
      </c>
      <c r="K724" s="14">
        <f>IF(H724="","",ABS(E724-J724))</f>
        <v/>
      </c>
      <c r="L724" s="11">
        <f>IF(OR(H724="",B724="",I724=""),"",ABS(B724-I724))</f>
        <v/>
      </c>
      <c r="M724" s="15">
        <f>IF(H724="",0,LET(pct,IF(E724&gt;0,K724/E724,1),days,IFERROR(L724,999),100-pct*200-days*3))</f>
        <v/>
      </c>
      <c r="N724" s="11">
        <f>IF(A724="","",IF(H724="","Unmatched GL",IF(AND(K724&lt;=Tol_Amount,L724&lt;=Tol_Days),"Matched",IF(M724&gt;Tol_NearPct,"Near Match","Unmatched GL"))))</f>
        <v/>
      </c>
    </row>
    <row r="725">
      <c r="A725" s="13">
        <f>IF(GL_CLEAN!A725="","",GL_CLEAN!A725)</f>
        <v/>
      </c>
      <c r="B725" s="10">
        <f>IF(A725="","",GL_CLEAN!B725)</f>
        <v/>
      </c>
      <c r="C725" s="11">
        <f>IF(A725="","",GL_CLEAN!C725)</f>
        <v/>
      </c>
      <c r="D725" s="14">
        <f>IF(A725="","",GL_CLEAN!H725)</f>
        <v/>
      </c>
      <c r="E725" s="14">
        <f>IF(A725="","",GL_CLEAN!I725)</f>
        <v/>
      </c>
      <c r="F725" s="11">
        <f>IF(A725="","",GL_CLEAN!J725)</f>
        <v/>
      </c>
      <c r="G725" s="11">
        <f>IF(A725="","",IF(F725="OUT","DR","CR"))</f>
        <v/>
      </c>
      <c r="H725" s="11">
        <f>IF(A725="","",IFERROR(INDEX(BANK_CLEAN!$A$2:$A$1001,MATCH(MINIFS(BANK_CLEAN!$J$2:$J$1001,BANK_CLEAN!$H$2:$H$1001,G725,BANK_CLEAN!$L$2:$L$1001,""),BANK_CLEAN!$J$2:$J$1001,0)),""))</f>
        <v/>
      </c>
      <c r="I725" s="10">
        <f>IF(H725="","",INDEX(BANK_CLEAN!$B$2:$B$1001,H725))</f>
        <v/>
      </c>
      <c r="J725" s="14">
        <f>IF(H725="","",IF(F725="OUT",INDEX(BANK_CLEAN!$F$2:$F$1001,H725),INDEX(BANK_CLEAN!$E$2:$E$1001,H725)))</f>
        <v/>
      </c>
      <c r="K725" s="14">
        <f>IF(H725="","",ABS(E725-J725))</f>
        <v/>
      </c>
      <c r="L725" s="11">
        <f>IF(OR(H725="",B725="",I725=""),"",ABS(B725-I725))</f>
        <v/>
      </c>
      <c r="M725" s="15">
        <f>IF(H725="",0,LET(pct,IF(E725&gt;0,K725/E725,1),days,IFERROR(L725,999),100-pct*200-days*3))</f>
        <v/>
      </c>
      <c r="N725" s="11">
        <f>IF(A725="","",IF(H725="","Unmatched GL",IF(AND(K725&lt;=Tol_Amount,L725&lt;=Tol_Days),"Matched",IF(M725&gt;Tol_NearPct,"Near Match","Unmatched GL"))))</f>
        <v/>
      </c>
    </row>
    <row r="726">
      <c r="A726" s="13">
        <f>IF(GL_CLEAN!A726="","",GL_CLEAN!A726)</f>
        <v/>
      </c>
      <c r="B726" s="10">
        <f>IF(A726="","",GL_CLEAN!B726)</f>
        <v/>
      </c>
      <c r="C726" s="11">
        <f>IF(A726="","",GL_CLEAN!C726)</f>
        <v/>
      </c>
      <c r="D726" s="14">
        <f>IF(A726="","",GL_CLEAN!H726)</f>
        <v/>
      </c>
      <c r="E726" s="14">
        <f>IF(A726="","",GL_CLEAN!I726)</f>
        <v/>
      </c>
      <c r="F726" s="11">
        <f>IF(A726="","",GL_CLEAN!J726)</f>
        <v/>
      </c>
      <c r="G726" s="11">
        <f>IF(A726="","",IF(F726="OUT","DR","CR"))</f>
        <v/>
      </c>
      <c r="H726" s="11">
        <f>IF(A726="","",IFERROR(INDEX(BANK_CLEAN!$A$2:$A$1001,MATCH(MINIFS(BANK_CLEAN!$J$2:$J$1001,BANK_CLEAN!$H$2:$H$1001,G726,BANK_CLEAN!$L$2:$L$1001,""),BANK_CLEAN!$J$2:$J$1001,0)),""))</f>
        <v/>
      </c>
      <c r="I726" s="10">
        <f>IF(H726="","",INDEX(BANK_CLEAN!$B$2:$B$1001,H726))</f>
        <v/>
      </c>
      <c r="J726" s="14">
        <f>IF(H726="","",IF(F726="OUT",INDEX(BANK_CLEAN!$F$2:$F$1001,H726),INDEX(BANK_CLEAN!$E$2:$E$1001,H726)))</f>
        <v/>
      </c>
      <c r="K726" s="14">
        <f>IF(H726="","",ABS(E726-J726))</f>
        <v/>
      </c>
      <c r="L726" s="11">
        <f>IF(OR(H726="",B726="",I726=""),"",ABS(B726-I726))</f>
        <v/>
      </c>
      <c r="M726" s="15">
        <f>IF(H726="",0,LET(pct,IF(E726&gt;0,K726/E726,1),days,IFERROR(L726,999),100-pct*200-days*3))</f>
        <v/>
      </c>
      <c r="N726" s="11">
        <f>IF(A726="","",IF(H726="","Unmatched GL",IF(AND(K726&lt;=Tol_Amount,L726&lt;=Tol_Days),"Matched",IF(M726&gt;Tol_NearPct,"Near Match","Unmatched GL"))))</f>
        <v/>
      </c>
    </row>
    <row r="727">
      <c r="A727" s="13">
        <f>IF(GL_CLEAN!A727="","",GL_CLEAN!A727)</f>
        <v/>
      </c>
      <c r="B727" s="10">
        <f>IF(A727="","",GL_CLEAN!B727)</f>
        <v/>
      </c>
      <c r="C727" s="11">
        <f>IF(A727="","",GL_CLEAN!C727)</f>
        <v/>
      </c>
      <c r="D727" s="14">
        <f>IF(A727="","",GL_CLEAN!H727)</f>
        <v/>
      </c>
      <c r="E727" s="14">
        <f>IF(A727="","",GL_CLEAN!I727)</f>
        <v/>
      </c>
      <c r="F727" s="11">
        <f>IF(A727="","",GL_CLEAN!J727)</f>
        <v/>
      </c>
      <c r="G727" s="11">
        <f>IF(A727="","",IF(F727="OUT","DR","CR"))</f>
        <v/>
      </c>
      <c r="H727" s="11">
        <f>IF(A727="","",IFERROR(INDEX(BANK_CLEAN!$A$2:$A$1001,MATCH(MINIFS(BANK_CLEAN!$J$2:$J$1001,BANK_CLEAN!$H$2:$H$1001,G727,BANK_CLEAN!$L$2:$L$1001,""),BANK_CLEAN!$J$2:$J$1001,0)),""))</f>
        <v/>
      </c>
      <c r="I727" s="10">
        <f>IF(H727="","",INDEX(BANK_CLEAN!$B$2:$B$1001,H727))</f>
        <v/>
      </c>
      <c r="J727" s="14">
        <f>IF(H727="","",IF(F727="OUT",INDEX(BANK_CLEAN!$F$2:$F$1001,H727),INDEX(BANK_CLEAN!$E$2:$E$1001,H727)))</f>
        <v/>
      </c>
      <c r="K727" s="14">
        <f>IF(H727="","",ABS(E727-J727))</f>
        <v/>
      </c>
      <c r="L727" s="11">
        <f>IF(OR(H727="",B727="",I727=""),"",ABS(B727-I727))</f>
        <v/>
      </c>
      <c r="M727" s="15">
        <f>IF(H727="",0,LET(pct,IF(E727&gt;0,K727/E727,1),days,IFERROR(L727,999),100-pct*200-days*3))</f>
        <v/>
      </c>
      <c r="N727" s="11">
        <f>IF(A727="","",IF(H727="","Unmatched GL",IF(AND(K727&lt;=Tol_Amount,L727&lt;=Tol_Days),"Matched",IF(M727&gt;Tol_NearPct,"Near Match","Unmatched GL"))))</f>
        <v/>
      </c>
    </row>
    <row r="728">
      <c r="A728" s="13">
        <f>IF(GL_CLEAN!A728="","",GL_CLEAN!A728)</f>
        <v/>
      </c>
      <c r="B728" s="10">
        <f>IF(A728="","",GL_CLEAN!B728)</f>
        <v/>
      </c>
      <c r="C728" s="11">
        <f>IF(A728="","",GL_CLEAN!C728)</f>
        <v/>
      </c>
      <c r="D728" s="14">
        <f>IF(A728="","",GL_CLEAN!H728)</f>
        <v/>
      </c>
      <c r="E728" s="14">
        <f>IF(A728="","",GL_CLEAN!I728)</f>
        <v/>
      </c>
      <c r="F728" s="11">
        <f>IF(A728="","",GL_CLEAN!J728)</f>
        <v/>
      </c>
      <c r="G728" s="11">
        <f>IF(A728="","",IF(F728="OUT","DR","CR"))</f>
        <v/>
      </c>
      <c r="H728" s="11">
        <f>IF(A728="","",IFERROR(INDEX(BANK_CLEAN!$A$2:$A$1001,MATCH(MINIFS(BANK_CLEAN!$J$2:$J$1001,BANK_CLEAN!$H$2:$H$1001,G728,BANK_CLEAN!$L$2:$L$1001,""),BANK_CLEAN!$J$2:$J$1001,0)),""))</f>
        <v/>
      </c>
      <c r="I728" s="10">
        <f>IF(H728="","",INDEX(BANK_CLEAN!$B$2:$B$1001,H728))</f>
        <v/>
      </c>
      <c r="J728" s="14">
        <f>IF(H728="","",IF(F728="OUT",INDEX(BANK_CLEAN!$F$2:$F$1001,H728),INDEX(BANK_CLEAN!$E$2:$E$1001,H728)))</f>
        <v/>
      </c>
      <c r="K728" s="14">
        <f>IF(H728="","",ABS(E728-J728))</f>
        <v/>
      </c>
      <c r="L728" s="11">
        <f>IF(OR(H728="",B728="",I728=""),"",ABS(B728-I728))</f>
        <v/>
      </c>
      <c r="M728" s="15">
        <f>IF(H728="",0,LET(pct,IF(E728&gt;0,K728/E728,1),days,IFERROR(L728,999),100-pct*200-days*3))</f>
        <v/>
      </c>
      <c r="N728" s="11">
        <f>IF(A728="","",IF(H728="","Unmatched GL",IF(AND(K728&lt;=Tol_Amount,L728&lt;=Tol_Days),"Matched",IF(M728&gt;Tol_NearPct,"Near Match","Unmatched GL"))))</f>
        <v/>
      </c>
    </row>
    <row r="729">
      <c r="A729" s="13">
        <f>IF(GL_CLEAN!A729="","",GL_CLEAN!A729)</f>
        <v/>
      </c>
      <c r="B729" s="10">
        <f>IF(A729="","",GL_CLEAN!B729)</f>
        <v/>
      </c>
      <c r="C729" s="11">
        <f>IF(A729="","",GL_CLEAN!C729)</f>
        <v/>
      </c>
      <c r="D729" s="14">
        <f>IF(A729="","",GL_CLEAN!H729)</f>
        <v/>
      </c>
      <c r="E729" s="14">
        <f>IF(A729="","",GL_CLEAN!I729)</f>
        <v/>
      </c>
      <c r="F729" s="11">
        <f>IF(A729="","",GL_CLEAN!J729)</f>
        <v/>
      </c>
      <c r="G729" s="11">
        <f>IF(A729="","",IF(F729="OUT","DR","CR"))</f>
        <v/>
      </c>
      <c r="H729" s="11">
        <f>IF(A729="","",IFERROR(INDEX(BANK_CLEAN!$A$2:$A$1001,MATCH(MINIFS(BANK_CLEAN!$J$2:$J$1001,BANK_CLEAN!$H$2:$H$1001,G729,BANK_CLEAN!$L$2:$L$1001,""),BANK_CLEAN!$J$2:$J$1001,0)),""))</f>
        <v/>
      </c>
      <c r="I729" s="10">
        <f>IF(H729="","",INDEX(BANK_CLEAN!$B$2:$B$1001,H729))</f>
        <v/>
      </c>
      <c r="J729" s="14">
        <f>IF(H729="","",IF(F729="OUT",INDEX(BANK_CLEAN!$F$2:$F$1001,H729),INDEX(BANK_CLEAN!$E$2:$E$1001,H729)))</f>
        <v/>
      </c>
      <c r="K729" s="14">
        <f>IF(H729="","",ABS(E729-J729))</f>
        <v/>
      </c>
      <c r="L729" s="11">
        <f>IF(OR(H729="",B729="",I729=""),"",ABS(B729-I729))</f>
        <v/>
      </c>
      <c r="M729" s="15">
        <f>IF(H729="",0,LET(pct,IF(E729&gt;0,K729/E729,1),days,IFERROR(L729,999),100-pct*200-days*3))</f>
        <v/>
      </c>
      <c r="N729" s="11">
        <f>IF(A729="","",IF(H729="","Unmatched GL",IF(AND(K729&lt;=Tol_Amount,L729&lt;=Tol_Days),"Matched",IF(M729&gt;Tol_NearPct,"Near Match","Unmatched GL"))))</f>
        <v/>
      </c>
    </row>
    <row r="730">
      <c r="A730" s="13">
        <f>IF(GL_CLEAN!A730="","",GL_CLEAN!A730)</f>
        <v/>
      </c>
      <c r="B730" s="10">
        <f>IF(A730="","",GL_CLEAN!B730)</f>
        <v/>
      </c>
      <c r="C730" s="11">
        <f>IF(A730="","",GL_CLEAN!C730)</f>
        <v/>
      </c>
      <c r="D730" s="14">
        <f>IF(A730="","",GL_CLEAN!H730)</f>
        <v/>
      </c>
      <c r="E730" s="14">
        <f>IF(A730="","",GL_CLEAN!I730)</f>
        <v/>
      </c>
      <c r="F730" s="11">
        <f>IF(A730="","",GL_CLEAN!J730)</f>
        <v/>
      </c>
      <c r="G730" s="11">
        <f>IF(A730="","",IF(F730="OUT","DR","CR"))</f>
        <v/>
      </c>
      <c r="H730" s="11">
        <f>IF(A730="","",IFERROR(INDEX(BANK_CLEAN!$A$2:$A$1001,MATCH(MINIFS(BANK_CLEAN!$J$2:$J$1001,BANK_CLEAN!$H$2:$H$1001,G730,BANK_CLEAN!$L$2:$L$1001,""),BANK_CLEAN!$J$2:$J$1001,0)),""))</f>
        <v/>
      </c>
      <c r="I730" s="10">
        <f>IF(H730="","",INDEX(BANK_CLEAN!$B$2:$B$1001,H730))</f>
        <v/>
      </c>
      <c r="J730" s="14">
        <f>IF(H730="","",IF(F730="OUT",INDEX(BANK_CLEAN!$F$2:$F$1001,H730),INDEX(BANK_CLEAN!$E$2:$E$1001,H730)))</f>
        <v/>
      </c>
      <c r="K730" s="14">
        <f>IF(H730="","",ABS(E730-J730))</f>
        <v/>
      </c>
      <c r="L730" s="11">
        <f>IF(OR(H730="",B730="",I730=""),"",ABS(B730-I730))</f>
        <v/>
      </c>
      <c r="M730" s="15">
        <f>IF(H730="",0,LET(pct,IF(E730&gt;0,K730/E730,1),days,IFERROR(L730,999),100-pct*200-days*3))</f>
        <v/>
      </c>
      <c r="N730" s="11">
        <f>IF(A730="","",IF(H730="","Unmatched GL",IF(AND(K730&lt;=Tol_Amount,L730&lt;=Tol_Days),"Matched",IF(M730&gt;Tol_NearPct,"Near Match","Unmatched GL"))))</f>
        <v/>
      </c>
    </row>
    <row r="731">
      <c r="A731" s="13">
        <f>IF(GL_CLEAN!A731="","",GL_CLEAN!A731)</f>
        <v/>
      </c>
      <c r="B731" s="10">
        <f>IF(A731="","",GL_CLEAN!B731)</f>
        <v/>
      </c>
      <c r="C731" s="11">
        <f>IF(A731="","",GL_CLEAN!C731)</f>
        <v/>
      </c>
      <c r="D731" s="14">
        <f>IF(A731="","",GL_CLEAN!H731)</f>
        <v/>
      </c>
      <c r="E731" s="14">
        <f>IF(A731="","",GL_CLEAN!I731)</f>
        <v/>
      </c>
      <c r="F731" s="11">
        <f>IF(A731="","",GL_CLEAN!J731)</f>
        <v/>
      </c>
      <c r="G731" s="11">
        <f>IF(A731="","",IF(F731="OUT","DR","CR"))</f>
        <v/>
      </c>
      <c r="H731" s="11">
        <f>IF(A731="","",IFERROR(INDEX(BANK_CLEAN!$A$2:$A$1001,MATCH(MINIFS(BANK_CLEAN!$J$2:$J$1001,BANK_CLEAN!$H$2:$H$1001,G731,BANK_CLEAN!$L$2:$L$1001,""),BANK_CLEAN!$J$2:$J$1001,0)),""))</f>
        <v/>
      </c>
      <c r="I731" s="10">
        <f>IF(H731="","",INDEX(BANK_CLEAN!$B$2:$B$1001,H731))</f>
        <v/>
      </c>
      <c r="J731" s="14">
        <f>IF(H731="","",IF(F731="OUT",INDEX(BANK_CLEAN!$F$2:$F$1001,H731),INDEX(BANK_CLEAN!$E$2:$E$1001,H731)))</f>
        <v/>
      </c>
      <c r="K731" s="14">
        <f>IF(H731="","",ABS(E731-J731))</f>
        <v/>
      </c>
      <c r="L731" s="11">
        <f>IF(OR(H731="",B731="",I731=""),"",ABS(B731-I731))</f>
        <v/>
      </c>
      <c r="M731" s="15">
        <f>IF(H731="",0,LET(pct,IF(E731&gt;0,K731/E731,1),days,IFERROR(L731,999),100-pct*200-days*3))</f>
        <v/>
      </c>
      <c r="N731" s="11">
        <f>IF(A731="","",IF(H731="","Unmatched GL",IF(AND(K731&lt;=Tol_Amount,L731&lt;=Tol_Days),"Matched",IF(M731&gt;Tol_NearPct,"Near Match","Unmatched GL"))))</f>
        <v/>
      </c>
    </row>
    <row r="732">
      <c r="A732" s="13">
        <f>IF(GL_CLEAN!A732="","",GL_CLEAN!A732)</f>
        <v/>
      </c>
      <c r="B732" s="10">
        <f>IF(A732="","",GL_CLEAN!B732)</f>
        <v/>
      </c>
      <c r="C732" s="11">
        <f>IF(A732="","",GL_CLEAN!C732)</f>
        <v/>
      </c>
      <c r="D732" s="14">
        <f>IF(A732="","",GL_CLEAN!H732)</f>
        <v/>
      </c>
      <c r="E732" s="14">
        <f>IF(A732="","",GL_CLEAN!I732)</f>
        <v/>
      </c>
      <c r="F732" s="11">
        <f>IF(A732="","",GL_CLEAN!J732)</f>
        <v/>
      </c>
      <c r="G732" s="11">
        <f>IF(A732="","",IF(F732="OUT","DR","CR"))</f>
        <v/>
      </c>
      <c r="H732" s="11">
        <f>IF(A732="","",IFERROR(INDEX(BANK_CLEAN!$A$2:$A$1001,MATCH(MINIFS(BANK_CLEAN!$J$2:$J$1001,BANK_CLEAN!$H$2:$H$1001,G732,BANK_CLEAN!$L$2:$L$1001,""),BANK_CLEAN!$J$2:$J$1001,0)),""))</f>
        <v/>
      </c>
      <c r="I732" s="10">
        <f>IF(H732="","",INDEX(BANK_CLEAN!$B$2:$B$1001,H732))</f>
        <v/>
      </c>
      <c r="J732" s="14">
        <f>IF(H732="","",IF(F732="OUT",INDEX(BANK_CLEAN!$F$2:$F$1001,H732),INDEX(BANK_CLEAN!$E$2:$E$1001,H732)))</f>
        <v/>
      </c>
      <c r="K732" s="14">
        <f>IF(H732="","",ABS(E732-J732))</f>
        <v/>
      </c>
      <c r="L732" s="11">
        <f>IF(OR(H732="",B732="",I732=""),"",ABS(B732-I732))</f>
        <v/>
      </c>
      <c r="M732" s="15">
        <f>IF(H732="",0,LET(pct,IF(E732&gt;0,K732/E732,1),days,IFERROR(L732,999),100-pct*200-days*3))</f>
        <v/>
      </c>
      <c r="N732" s="11">
        <f>IF(A732="","",IF(H732="","Unmatched GL",IF(AND(K732&lt;=Tol_Amount,L732&lt;=Tol_Days),"Matched",IF(M732&gt;Tol_NearPct,"Near Match","Unmatched GL"))))</f>
        <v/>
      </c>
    </row>
    <row r="733">
      <c r="A733" s="13">
        <f>IF(GL_CLEAN!A733="","",GL_CLEAN!A733)</f>
        <v/>
      </c>
      <c r="B733" s="10">
        <f>IF(A733="","",GL_CLEAN!B733)</f>
        <v/>
      </c>
      <c r="C733" s="11">
        <f>IF(A733="","",GL_CLEAN!C733)</f>
        <v/>
      </c>
      <c r="D733" s="14">
        <f>IF(A733="","",GL_CLEAN!H733)</f>
        <v/>
      </c>
      <c r="E733" s="14">
        <f>IF(A733="","",GL_CLEAN!I733)</f>
        <v/>
      </c>
      <c r="F733" s="11">
        <f>IF(A733="","",GL_CLEAN!J733)</f>
        <v/>
      </c>
      <c r="G733" s="11">
        <f>IF(A733="","",IF(F733="OUT","DR","CR"))</f>
        <v/>
      </c>
      <c r="H733" s="11">
        <f>IF(A733="","",IFERROR(INDEX(BANK_CLEAN!$A$2:$A$1001,MATCH(MINIFS(BANK_CLEAN!$J$2:$J$1001,BANK_CLEAN!$H$2:$H$1001,G733,BANK_CLEAN!$L$2:$L$1001,""),BANK_CLEAN!$J$2:$J$1001,0)),""))</f>
        <v/>
      </c>
      <c r="I733" s="10">
        <f>IF(H733="","",INDEX(BANK_CLEAN!$B$2:$B$1001,H733))</f>
        <v/>
      </c>
      <c r="J733" s="14">
        <f>IF(H733="","",IF(F733="OUT",INDEX(BANK_CLEAN!$F$2:$F$1001,H733),INDEX(BANK_CLEAN!$E$2:$E$1001,H733)))</f>
        <v/>
      </c>
      <c r="K733" s="14">
        <f>IF(H733="","",ABS(E733-J733))</f>
        <v/>
      </c>
      <c r="L733" s="11">
        <f>IF(OR(H733="",B733="",I733=""),"",ABS(B733-I733))</f>
        <v/>
      </c>
      <c r="M733" s="15">
        <f>IF(H733="",0,LET(pct,IF(E733&gt;0,K733/E733,1),days,IFERROR(L733,999),100-pct*200-days*3))</f>
        <v/>
      </c>
      <c r="N733" s="11">
        <f>IF(A733="","",IF(H733="","Unmatched GL",IF(AND(K733&lt;=Tol_Amount,L733&lt;=Tol_Days),"Matched",IF(M733&gt;Tol_NearPct,"Near Match","Unmatched GL"))))</f>
        <v/>
      </c>
    </row>
    <row r="734">
      <c r="A734" s="13">
        <f>IF(GL_CLEAN!A734="","",GL_CLEAN!A734)</f>
        <v/>
      </c>
      <c r="B734" s="10">
        <f>IF(A734="","",GL_CLEAN!B734)</f>
        <v/>
      </c>
      <c r="C734" s="11">
        <f>IF(A734="","",GL_CLEAN!C734)</f>
        <v/>
      </c>
      <c r="D734" s="14">
        <f>IF(A734="","",GL_CLEAN!H734)</f>
        <v/>
      </c>
      <c r="E734" s="14">
        <f>IF(A734="","",GL_CLEAN!I734)</f>
        <v/>
      </c>
      <c r="F734" s="11">
        <f>IF(A734="","",GL_CLEAN!J734)</f>
        <v/>
      </c>
      <c r="G734" s="11">
        <f>IF(A734="","",IF(F734="OUT","DR","CR"))</f>
        <v/>
      </c>
      <c r="H734" s="11">
        <f>IF(A734="","",IFERROR(INDEX(BANK_CLEAN!$A$2:$A$1001,MATCH(MINIFS(BANK_CLEAN!$J$2:$J$1001,BANK_CLEAN!$H$2:$H$1001,G734,BANK_CLEAN!$L$2:$L$1001,""),BANK_CLEAN!$J$2:$J$1001,0)),""))</f>
        <v/>
      </c>
      <c r="I734" s="10">
        <f>IF(H734="","",INDEX(BANK_CLEAN!$B$2:$B$1001,H734))</f>
        <v/>
      </c>
      <c r="J734" s="14">
        <f>IF(H734="","",IF(F734="OUT",INDEX(BANK_CLEAN!$F$2:$F$1001,H734),INDEX(BANK_CLEAN!$E$2:$E$1001,H734)))</f>
        <v/>
      </c>
      <c r="K734" s="14">
        <f>IF(H734="","",ABS(E734-J734))</f>
        <v/>
      </c>
      <c r="L734" s="11">
        <f>IF(OR(H734="",B734="",I734=""),"",ABS(B734-I734))</f>
        <v/>
      </c>
      <c r="M734" s="15">
        <f>IF(H734="",0,LET(pct,IF(E734&gt;0,K734/E734,1),days,IFERROR(L734,999),100-pct*200-days*3))</f>
        <v/>
      </c>
      <c r="N734" s="11">
        <f>IF(A734="","",IF(H734="","Unmatched GL",IF(AND(K734&lt;=Tol_Amount,L734&lt;=Tol_Days),"Matched",IF(M734&gt;Tol_NearPct,"Near Match","Unmatched GL"))))</f>
        <v/>
      </c>
    </row>
    <row r="735">
      <c r="A735" s="13">
        <f>IF(GL_CLEAN!A735="","",GL_CLEAN!A735)</f>
        <v/>
      </c>
      <c r="B735" s="10">
        <f>IF(A735="","",GL_CLEAN!B735)</f>
        <v/>
      </c>
      <c r="C735" s="11">
        <f>IF(A735="","",GL_CLEAN!C735)</f>
        <v/>
      </c>
      <c r="D735" s="14">
        <f>IF(A735="","",GL_CLEAN!H735)</f>
        <v/>
      </c>
      <c r="E735" s="14">
        <f>IF(A735="","",GL_CLEAN!I735)</f>
        <v/>
      </c>
      <c r="F735" s="11">
        <f>IF(A735="","",GL_CLEAN!J735)</f>
        <v/>
      </c>
      <c r="G735" s="11">
        <f>IF(A735="","",IF(F735="OUT","DR","CR"))</f>
        <v/>
      </c>
      <c r="H735" s="11">
        <f>IF(A735="","",IFERROR(INDEX(BANK_CLEAN!$A$2:$A$1001,MATCH(MINIFS(BANK_CLEAN!$J$2:$J$1001,BANK_CLEAN!$H$2:$H$1001,G735,BANK_CLEAN!$L$2:$L$1001,""),BANK_CLEAN!$J$2:$J$1001,0)),""))</f>
        <v/>
      </c>
      <c r="I735" s="10">
        <f>IF(H735="","",INDEX(BANK_CLEAN!$B$2:$B$1001,H735))</f>
        <v/>
      </c>
      <c r="J735" s="14">
        <f>IF(H735="","",IF(F735="OUT",INDEX(BANK_CLEAN!$F$2:$F$1001,H735),INDEX(BANK_CLEAN!$E$2:$E$1001,H735)))</f>
        <v/>
      </c>
      <c r="K735" s="14">
        <f>IF(H735="","",ABS(E735-J735))</f>
        <v/>
      </c>
      <c r="L735" s="11">
        <f>IF(OR(H735="",B735="",I735=""),"",ABS(B735-I735))</f>
        <v/>
      </c>
      <c r="M735" s="15">
        <f>IF(H735="",0,LET(pct,IF(E735&gt;0,K735/E735,1),days,IFERROR(L735,999),100-pct*200-days*3))</f>
        <v/>
      </c>
      <c r="N735" s="11">
        <f>IF(A735="","",IF(H735="","Unmatched GL",IF(AND(K735&lt;=Tol_Amount,L735&lt;=Tol_Days),"Matched",IF(M735&gt;Tol_NearPct,"Near Match","Unmatched GL"))))</f>
        <v/>
      </c>
    </row>
    <row r="736">
      <c r="A736" s="13">
        <f>IF(GL_CLEAN!A736="","",GL_CLEAN!A736)</f>
        <v/>
      </c>
      <c r="B736" s="10">
        <f>IF(A736="","",GL_CLEAN!B736)</f>
        <v/>
      </c>
      <c r="C736" s="11">
        <f>IF(A736="","",GL_CLEAN!C736)</f>
        <v/>
      </c>
      <c r="D736" s="14">
        <f>IF(A736="","",GL_CLEAN!H736)</f>
        <v/>
      </c>
      <c r="E736" s="14">
        <f>IF(A736="","",GL_CLEAN!I736)</f>
        <v/>
      </c>
      <c r="F736" s="11">
        <f>IF(A736="","",GL_CLEAN!J736)</f>
        <v/>
      </c>
      <c r="G736" s="11">
        <f>IF(A736="","",IF(F736="OUT","DR","CR"))</f>
        <v/>
      </c>
      <c r="H736" s="11">
        <f>IF(A736="","",IFERROR(INDEX(BANK_CLEAN!$A$2:$A$1001,MATCH(MINIFS(BANK_CLEAN!$J$2:$J$1001,BANK_CLEAN!$H$2:$H$1001,G736,BANK_CLEAN!$L$2:$L$1001,""),BANK_CLEAN!$J$2:$J$1001,0)),""))</f>
        <v/>
      </c>
      <c r="I736" s="10">
        <f>IF(H736="","",INDEX(BANK_CLEAN!$B$2:$B$1001,H736))</f>
        <v/>
      </c>
      <c r="J736" s="14">
        <f>IF(H736="","",IF(F736="OUT",INDEX(BANK_CLEAN!$F$2:$F$1001,H736),INDEX(BANK_CLEAN!$E$2:$E$1001,H736)))</f>
        <v/>
      </c>
      <c r="K736" s="14">
        <f>IF(H736="","",ABS(E736-J736))</f>
        <v/>
      </c>
      <c r="L736" s="11">
        <f>IF(OR(H736="",B736="",I736=""),"",ABS(B736-I736))</f>
        <v/>
      </c>
      <c r="M736" s="15">
        <f>IF(H736="",0,LET(pct,IF(E736&gt;0,K736/E736,1),days,IFERROR(L736,999),100-pct*200-days*3))</f>
        <v/>
      </c>
      <c r="N736" s="11">
        <f>IF(A736="","",IF(H736="","Unmatched GL",IF(AND(K736&lt;=Tol_Amount,L736&lt;=Tol_Days),"Matched",IF(M736&gt;Tol_NearPct,"Near Match","Unmatched GL"))))</f>
        <v/>
      </c>
    </row>
    <row r="737">
      <c r="A737" s="13">
        <f>IF(GL_CLEAN!A737="","",GL_CLEAN!A737)</f>
        <v/>
      </c>
      <c r="B737" s="10">
        <f>IF(A737="","",GL_CLEAN!B737)</f>
        <v/>
      </c>
      <c r="C737" s="11">
        <f>IF(A737="","",GL_CLEAN!C737)</f>
        <v/>
      </c>
      <c r="D737" s="14">
        <f>IF(A737="","",GL_CLEAN!H737)</f>
        <v/>
      </c>
      <c r="E737" s="14">
        <f>IF(A737="","",GL_CLEAN!I737)</f>
        <v/>
      </c>
      <c r="F737" s="11">
        <f>IF(A737="","",GL_CLEAN!J737)</f>
        <v/>
      </c>
      <c r="G737" s="11">
        <f>IF(A737="","",IF(F737="OUT","DR","CR"))</f>
        <v/>
      </c>
      <c r="H737" s="11">
        <f>IF(A737="","",IFERROR(INDEX(BANK_CLEAN!$A$2:$A$1001,MATCH(MINIFS(BANK_CLEAN!$J$2:$J$1001,BANK_CLEAN!$H$2:$H$1001,G737,BANK_CLEAN!$L$2:$L$1001,""),BANK_CLEAN!$J$2:$J$1001,0)),""))</f>
        <v/>
      </c>
      <c r="I737" s="10">
        <f>IF(H737="","",INDEX(BANK_CLEAN!$B$2:$B$1001,H737))</f>
        <v/>
      </c>
      <c r="J737" s="14">
        <f>IF(H737="","",IF(F737="OUT",INDEX(BANK_CLEAN!$F$2:$F$1001,H737),INDEX(BANK_CLEAN!$E$2:$E$1001,H737)))</f>
        <v/>
      </c>
      <c r="K737" s="14">
        <f>IF(H737="","",ABS(E737-J737))</f>
        <v/>
      </c>
      <c r="L737" s="11">
        <f>IF(OR(H737="",B737="",I737=""),"",ABS(B737-I737))</f>
        <v/>
      </c>
      <c r="M737" s="15">
        <f>IF(H737="",0,LET(pct,IF(E737&gt;0,K737/E737,1),days,IFERROR(L737,999),100-pct*200-days*3))</f>
        <v/>
      </c>
      <c r="N737" s="11">
        <f>IF(A737="","",IF(H737="","Unmatched GL",IF(AND(K737&lt;=Tol_Amount,L737&lt;=Tol_Days),"Matched",IF(M737&gt;Tol_NearPct,"Near Match","Unmatched GL"))))</f>
        <v/>
      </c>
    </row>
    <row r="738">
      <c r="A738" s="13">
        <f>IF(GL_CLEAN!A738="","",GL_CLEAN!A738)</f>
        <v/>
      </c>
      <c r="B738" s="10">
        <f>IF(A738="","",GL_CLEAN!B738)</f>
        <v/>
      </c>
      <c r="C738" s="11">
        <f>IF(A738="","",GL_CLEAN!C738)</f>
        <v/>
      </c>
      <c r="D738" s="14">
        <f>IF(A738="","",GL_CLEAN!H738)</f>
        <v/>
      </c>
      <c r="E738" s="14">
        <f>IF(A738="","",GL_CLEAN!I738)</f>
        <v/>
      </c>
      <c r="F738" s="11">
        <f>IF(A738="","",GL_CLEAN!J738)</f>
        <v/>
      </c>
      <c r="G738" s="11">
        <f>IF(A738="","",IF(F738="OUT","DR","CR"))</f>
        <v/>
      </c>
      <c r="H738" s="11">
        <f>IF(A738="","",IFERROR(INDEX(BANK_CLEAN!$A$2:$A$1001,MATCH(MINIFS(BANK_CLEAN!$J$2:$J$1001,BANK_CLEAN!$H$2:$H$1001,G738,BANK_CLEAN!$L$2:$L$1001,""),BANK_CLEAN!$J$2:$J$1001,0)),""))</f>
        <v/>
      </c>
      <c r="I738" s="10">
        <f>IF(H738="","",INDEX(BANK_CLEAN!$B$2:$B$1001,H738))</f>
        <v/>
      </c>
      <c r="J738" s="14">
        <f>IF(H738="","",IF(F738="OUT",INDEX(BANK_CLEAN!$F$2:$F$1001,H738),INDEX(BANK_CLEAN!$E$2:$E$1001,H738)))</f>
        <v/>
      </c>
      <c r="K738" s="14">
        <f>IF(H738="","",ABS(E738-J738))</f>
        <v/>
      </c>
      <c r="L738" s="11">
        <f>IF(OR(H738="",B738="",I738=""),"",ABS(B738-I738))</f>
        <v/>
      </c>
      <c r="M738" s="15">
        <f>IF(H738="",0,LET(pct,IF(E738&gt;0,K738/E738,1),days,IFERROR(L738,999),100-pct*200-days*3))</f>
        <v/>
      </c>
      <c r="N738" s="11">
        <f>IF(A738="","",IF(H738="","Unmatched GL",IF(AND(K738&lt;=Tol_Amount,L738&lt;=Tol_Days),"Matched",IF(M738&gt;Tol_NearPct,"Near Match","Unmatched GL"))))</f>
        <v/>
      </c>
    </row>
    <row r="739">
      <c r="A739" s="13">
        <f>IF(GL_CLEAN!A739="","",GL_CLEAN!A739)</f>
        <v/>
      </c>
      <c r="B739" s="10">
        <f>IF(A739="","",GL_CLEAN!B739)</f>
        <v/>
      </c>
      <c r="C739" s="11">
        <f>IF(A739="","",GL_CLEAN!C739)</f>
        <v/>
      </c>
      <c r="D739" s="14">
        <f>IF(A739="","",GL_CLEAN!H739)</f>
        <v/>
      </c>
      <c r="E739" s="14">
        <f>IF(A739="","",GL_CLEAN!I739)</f>
        <v/>
      </c>
      <c r="F739" s="11">
        <f>IF(A739="","",GL_CLEAN!J739)</f>
        <v/>
      </c>
      <c r="G739" s="11">
        <f>IF(A739="","",IF(F739="OUT","DR","CR"))</f>
        <v/>
      </c>
      <c r="H739" s="11">
        <f>IF(A739="","",IFERROR(INDEX(BANK_CLEAN!$A$2:$A$1001,MATCH(MINIFS(BANK_CLEAN!$J$2:$J$1001,BANK_CLEAN!$H$2:$H$1001,G739,BANK_CLEAN!$L$2:$L$1001,""),BANK_CLEAN!$J$2:$J$1001,0)),""))</f>
        <v/>
      </c>
      <c r="I739" s="10">
        <f>IF(H739="","",INDEX(BANK_CLEAN!$B$2:$B$1001,H739))</f>
        <v/>
      </c>
      <c r="J739" s="14">
        <f>IF(H739="","",IF(F739="OUT",INDEX(BANK_CLEAN!$F$2:$F$1001,H739),INDEX(BANK_CLEAN!$E$2:$E$1001,H739)))</f>
        <v/>
      </c>
      <c r="K739" s="14">
        <f>IF(H739="","",ABS(E739-J739))</f>
        <v/>
      </c>
      <c r="L739" s="11">
        <f>IF(OR(H739="",B739="",I739=""),"",ABS(B739-I739))</f>
        <v/>
      </c>
      <c r="M739" s="15">
        <f>IF(H739="",0,LET(pct,IF(E739&gt;0,K739/E739,1),days,IFERROR(L739,999),100-pct*200-days*3))</f>
        <v/>
      </c>
      <c r="N739" s="11">
        <f>IF(A739="","",IF(H739="","Unmatched GL",IF(AND(K739&lt;=Tol_Amount,L739&lt;=Tol_Days),"Matched",IF(M739&gt;Tol_NearPct,"Near Match","Unmatched GL"))))</f>
        <v/>
      </c>
    </row>
    <row r="740">
      <c r="A740" s="13">
        <f>IF(GL_CLEAN!A740="","",GL_CLEAN!A740)</f>
        <v/>
      </c>
      <c r="B740" s="10">
        <f>IF(A740="","",GL_CLEAN!B740)</f>
        <v/>
      </c>
      <c r="C740" s="11">
        <f>IF(A740="","",GL_CLEAN!C740)</f>
        <v/>
      </c>
      <c r="D740" s="14">
        <f>IF(A740="","",GL_CLEAN!H740)</f>
        <v/>
      </c>
      <c r="E740" s="14">
        <f>IF(A740="","",GL_CLEAN!I740)</f>
        <v/>
      </c>
      <c r="F740" s="11">
        <f>IF(A740="","",GL_CLEAN!J740)</f>
        <v/>
      </c>
      <c r="G740" s="11">
        <f>IF(A740="","",IF(F740="OUT","DR","CR"))</f>
        <v/>
      </c>
      <c r="H740" s="11">
        <f>IF(A740="","",IFERROR(INDEX(BANK_CLEAN!$A$2:$A$1001,MATCH(MINIFS(BANK_CLEAN!$J$2:$J$1001,BANK_CLEAN!$H$2:$H$1001,G740,BANK_CLEAN!$L$2:$L$1001,""),BANK_CLEAN!$J$2:$J$1001,0)),""))</f>
        <v/>
      </c>
      <c r="I740" s="10">
        <f>IF(H740="","",INDEX(BANK_CLEAN!$B$2:$B$1001,H740))</f>
        <v/>
      </c>
      <c r="J740" s="14">
        <f>IF(H740="","",IF(F740="OUT",INDEX(BANK_CLEAN!$F$2:$F$1001,H740),INDEX(BANK_CLEAN!$E$2:$E$1001,H740)))</f>
        <v/>
      </c>
      <c r="K740" s="14">
        <f>IF(H740="","",ABS(E740-J740))</f>
        <v/>
      </c>
      <c r="L740" s="11">
        <f>IF(OR(H740="",B740="",I740=""),"",ABS(B740-I740))</f>
        <v/>
      </c>
      <c r="M740" s="15">
        <f>IF(H740="",0,LET(pct,IF(E740&gt;0,K740/E740,1),days,IFERROR(L740,999),100-pct*200-days*3))</f>
        <v/>
      </c>
      <c r="N740" s="11">
        <f>IF(A740="","",IF(H740="","Unmatched GL",IF(AND(K740&lt;=Tol_Amount,L740&lt;=Tol_Days),"Matched",IF(M740&gt;Tol_NearPct,"Near Match","Unmatched GL"))))</f>
        <v/>
      </c>
    </row>
    <row r="741">
      <c r="A741" s="13">
        <f>IF(GL_CLEAN!A741="","",GL_CLEAN!A741)</f>
        <v/>
      </c>
      <c r="B741" s="10">
        <f>IF(A741="","",GL_CLEAN!B741)</f>
        <v/>
      </c>
      <c r="C741" s="11">
        <f>IF(A741="","",GL_CLEAN!C741)</f>
        <v/>
      </c>
      <c r="D741" s="14">
        <f>IF(A741="","",GL_CLEAN!H741)</f>
        <v/>
      </c>
      <c r="E741" s="14">
        <f>IF(A741="","",GL_CLEAN!I741)</f>
        <v/>
      </c>
      <c r="F741" s="11">
        <f>IF(A741="","",GL_CLEAN!J741)</f>
        <v/>
      </c>
      <c r="G741" s="11">
        <f>IF(A741="","",IF(F741="OUT","DR","CR"))</f>
        <v/>
      </c>
      <c r="H741" s="11">
        <f>IF(A741="","",IFERROR(INDEX(BANK_CLEAN!$A$2:$A$1001,MATCH(MINIFS(BANK_CLEAN!$J$2:$J$1001,BANK_CLEAN!$H$2:$H$1001,G741,BANK_CLEAN!$L$2:$L$1001,""),BANK_CLEAN!$J$2:$J$1001,0)),""))</f>
        <v/>
      </c>
      <c r="I741" s="10">
        <f>IF(H741="","",INDEX(BANK_CLEAN!$B$2:$B$1001,H741))</f>
        <v/>
      </c>
      <c r="J741" s="14">
        <f>IF(H741="","",IF(F741="OUT",INDEX(BANK_CLEAN!$F$2:$F$1001,H741),INDEX(BANK_CLEAN!$E$2:$E$1001,H741)))</f>
        <v/>
      </c>
      <c r="K741" s="14">
        <f>IF(H741="","",ABS(E741-J741))</f>
        <v/>
      </c>
      <c r="L741" s="11">
        <f>IF(OR(H741="",B741="",I741=""),"",ABS(B741-I741))</f>
        <v/>
      </c>
      <c r="M741" s="15">
        <f>IF(H741="",0,LET(pct,IF(E741&gt;0,K741/E741,1),days,IFERROR(L741,999),100-pct*200-days*3))</f>
        <v/>
      </c>
      <c r="N741" s="11">
        <f>IF(A741="","",IF(H741="","Unmatched GL",IF(AND(K741&lt;=Tol_Amount,L741&lt;=Tol_Days),"Matched",IF(M741&gt;Tol_NearPct,"Near Match","Unmatched GL"))))</f>
        <v/>
      </c>
    </row>
    <row r="742">
      <c r="A742" s="13">
        <f>IF(GL_CLEAN!A742="","",GL_CLEAN!A742)</f>
        <v/>
      </c>
      <c r="B742" s="10">
        <f>IF(A742="","",GL_CLEAN!B742)</f>
        <v/>
      </c>
      <c r="C742" s="11">
        <f>IF(A742="","",GL_CLEAN!C742)</f>
        <v/>
      </c>
      <c r="D742" s="14">
        <f>IF(A742="","",GL_CLEAN!H742)</f>
        <v/>
      </c>
      <c r="E742" s="14">
        <f>IF(A742="","",GL_CLEAN!I742)</f>
        <v/>
      </c>
      <c r="F742" s="11">
        <f>IF(A742="","",GL_CLEAN!J742)</f>
        <v/>
      </c>
      <c r="G742" s="11">
        <f>IF(A742="","",IF(F742="OUT","DR","CR"))</f>
        <v/>
      </c>
      <c r="H742" s="11">
        <f>IF(A742="","",IFERROR(INDEX(BANK_CLEAN!$A$2:$A$1001,MATCH(MINIFS(BANK_CLEAN!$J$2:$J$1001,BANK_CLEAN!$H$2:$H$1001,G742,BANK_CLEAN!$L$2:$L$1001,""),BANK_CLEAN!$J$2:$J$1001,0)),""))</f>
        <v/>
      </c>
      <c r="I742" s="10">
        <f>IF(H742="","",INDEX(BANK_CLEAN!$B$2:$B$1001,H742))</f>
        <v/>
      </c>
      <c r="J742" s="14">
        <f>IF(H742="","",IF(F742="OUT",INDEX(BANK_CLEAN!$F$2:$F$1001,H742),INDEX(BANK_CLEAN!$E$2:$E$1001,H742)))</f>
        <v/>
      </c>
      <c r="K742" s="14">
        <f>IF(H742="","",ABS(E742-J742))</f>
        <v/>
      </c>
      <c r="L742" s="11">
        <f>IF(OR(H742="",B742="",I742=""),"",ABS(B742-I742))</f>
        <v/>
      </c>
      <c r="M742" s="15">
        <f>IF(H742="",0,LET(pct,IF(E742&gt;0,K742/E742,1),days,IFERROR(L742,999),100-pct*200-days*3))</f>
        <v/>
      </c>
      <c r="N742" s="11">
        <f>IF(A742="","",IF(H742="","Unmatched GL",IF(AND(K742&lt;=Tol_Amount,L742&lt;=Tol_Days),"Matched",IF(M742&gt;Tol_NearPct,"Near Match","Unmatched GL"))))</f>
        <v/>
      </c>
    </row>
    <row r="743">
      <c r="A743" s="13">
        <f>IF(GL_CLEAN!A743="","",GL_CLEAN!A743)</f>
        <v/>
      </c>
      <c r="B743" s="10">
        <f>IF(A743="","",GL_CLEAN!B743)</f>
        <v/>
      </c>
      <c r="C743" s="11">
        <f>IF(A743="","",GL_CLEAN!C743)</f>
        <v/>
      </c>
      <c r="D743" s="14">
        <f>IF(A743="","",GL_CLEAN!H743)</f>
        <v/>
      </c>
      <c r="E743" s="14">
        <f>IF(A743="","",GL_CLEAN!I743)</f>
        <v/>
      </c>
      <c r="F743" s="11">
        <f>IF(A743="","",GL_CLEAN!J743)</f>
        <v/>
      </c>
      <c r="G743" s="11">
        <f>IF(A743="","",IF(F743="OUT","DR","CR"))</f>
        <v/>
      </c>
      <c r="H743" s="11">
        <f>IF(A743="","",IFERROR(INDEX(BANK_CLEAN!$A$2:$A$1001,MATCH(MINIFS(BANK_CLEAN!$J$2:$J$1001,BANK_CLEAN!$H$2:$H$1001,G743,BANK_CLEAN!$L$2:$L$1001,""),BANK_CLEAN!$J$2:$J$1001,0)),""))</f>
        <v/>
      </c>
      <c r="I743" s="10">
        <f>IF(H743="","",INDEX(BANK_CLEAN!$B$2:$B$1001,H743))</f>
        <v/>
      </c>
      <c r="J743" s="14">
        <f>IF(H743="","",IF(F743="OUT",INDEX(BANK_CLEAN!$F$2:$F$1001,H743),INDEX(BANK_CLEAN!$E$2:$E$1001,H743)))</f>
        <v/>
      </c>
      <c r="K743" s="14">
        <f>IF(H743="","",ABS(E743-J743))</f>
        <v/>
      </c>
      <c r="L743" s="11">
        <f>IF(OR(H743="",B743="",I743=""),"",ABS(B743-I743))</f>
        <v/>
      </c>
      <c r="M743" s="15">
        <f>IF(H743="",0,LET(pct,IF(E743&gt;0,K743/E743,1),days,IFERROR(L743,999),100-pct*200-days*3))</f>
        <v/>
      </c>
      <c r="N743" s="11">
        <f>IF(A743="","",IF(H743="","Unmatched GL",IF(AND(K743&lt;=Tol_Amount,L743&lt;=Tol_Days),"Matched",IF(M743&gt;Tol_NearPct,"Near Match","Unmatched GL"))))</f>
        <v/>
      </c>
    </row>
    <row r="744">
      <c r="A744" s="13">
        <f>IF(GL_CLEAN!A744="","",GL_CLEAN!A744)</f>
        <v/>
      </c>
      <c r="B744" s="10">
        <f>IF(A744="","",GL_CLEAN!B744)</f>
        <v/>
      </c>
      <c r="C744" s="11">
        <f>IF(A744="","",GL_CLEAN!C744)</f>
        <v/>
      </c>
      <c r="D744" s="14">
        <f>IF(A744="","",GL_CLEAN!H744)</f>
        <v/>
      </c>
      <c r="E744" s="14">
        <f>IF(A744="","",GL_CLEAN!I744)</f>
        <v/>
      </c>
      <c r="F744" s="11">
        <f>IF(A744="","",GL_CLEAN!J744)</f>
        <v/>
      </c>
      <c r="G744" s="11">
        <f>IF(A744="","",IF(F744="OUT","DR","CR"))</f>
        <v/>
      </c>
      <c r="H744" s="11">
        <f>IF(A744="","",IFERROR(INDEX(BANK_CLEAN!$A$2:$A$1001,MATCH(MINIFS(BANK_CLEAN!$J$2:$J$1001,BANK_CLEAN!$H$2:$H$1001,G744,BANK_CLEAN!$L$2:$L$1001,""),BANK_CLEAN!$J$2:$J$1001,0)),""))</f>
        <v/>
      </c>
      <c r="I744" s="10">
        <f>IF(H744="","",INDEX(BANK_CLEAN!$B$2:$B$1001,H744))</f>
        <v/>
      </c>
      <c r="J744" s="14">
        <f>IF(H744="","",IF(F744="OUT",INDEX(BANK_CLEAN!$F$2:$F$1001,H744),INDEX(BANK_CLEAN!$E$2:$E$1001,H744)))</f>
        <v/>
      </c>
      <c r="K744" s="14">
        <f>IF(H744="","",ABS(E744-J744))</f>
        <v/>
      </c>
      <c r="L744" s="11">
        <f>IF(OR(H744="",B744="",I744=""),"",ABS(B744-I744))</f>
        <v/>
      </c>
      <c r="M744" s="15">
        <f>IF(H744="",0,LET(pct,IF(E744&gt;0,K744/E744,1),days,IFERROR(L744,999),100-pct*200-days*3))</f>
        <v/>
      </c>
      <c r="N744" s="11">
        <f>IF(A744="","",IF(H744="","Unmatched GL",IF(AND(K744&lt;=Tol_Amount,L744&lt;=Tol_Days),"Matched",IF(M744&gt;Tol_NearPct,"Near Match","Unmatched GL"))))</f>
        <v/>
      </c>
    </row>
    <row r="745">
      <c r="A745" s="13">
        <f>IF(GL_CLEAN!A745="","",GL_CLEAN!A745)</f>
        <v/>
      </c>
      <c r="B745" s="10">
        <f>IF(A745="","",GL_CLEAN!B745)</f>
        <v/>
      </c>
      <c r="C745" s="11">
        <f>IF(A745="","",GL_CLEAN!C745)</f>
        <v/>
      </c>
      <c r="D745" s="14">
        <f>IF(A745="","",GL_CLEAN!H745)</f>
        <v/>
      </c>
      <c r="E745" s="14">
        <f>IF(A745="","",GL_CLEAN!I745)</f>
        <v/>
      </c>
      <c r="F745" s="11">
        <f>IF(A745="","",GL_CLEAN!J745)</f>
        <v/>
      </c>
      <c r="G745" s="11">
        <f>IF(A745="","",IF(F745="OUT","DR","CR"))</f>
        <v/>
      </c>
      <c r="H745" s="11">
        <f>IF(A745="","",IFERROR(INDEX(BANK_CLEAN!$A$2:$A$1001,MATCH(MINIFS(BANK_CLEAN!$J$2:$J$1001,BANK_CLEAN!$H$2:$H$1001,G745,BANK_CLEAN!$L$2:$L$1001,""),BANK_CLEAN!$J$2:$J$1001,0)),""))</f>
        <v/>
      </c>
      <c r="I745" s="10">
        <f>IF(H745="","",INDEX(BANK_CLEAN!$B$2:$B$1001,H745))</f>
        <v/>
      </c>
      <c r="J745" s="14">
        <f>IF(H745="","",IF(F745="OUT",INDEX(BANK_CLEAN!$F$2:$F$1001,H745),INDEX(BANK_CLEAN!$E$2:$E$1001,H745)))</f>
        <v/>
      </c>
      <c r="K745" s="14">
        <f>IF(H745="","",ABS(E745-J745))</f>
        <v/>
      </c>
      <c r="L745" s="11">
        <f>IF(OR(H745="",B745="",I745=""),"",ABS(B745-I745))</f>
        <v/>
      </c>
      <c r="M745" s="15">
        <f>IF(H745="",0,LET(pct,IF(E745&gt;0,K745/E745,1),days,IFERROR(L745,999),100-pct*200-days*3))</f>
        <v/>
      </c>
      <c r="N745" s="11">
        <f>IF(A745="","",IF(H745="","Unmatched GL",IF(AND(K745&lt;=Tol_Amount,L745&lt;=Tol_Days),"Matched",IF(M745&gt;Tol_NearPct,"Near Match","Unmatched GL"))))</f>
        <v/>
      </c>
    </row>
    <row r="746">
      <c r="A746" s="13">
        <f>IF(GL_CLEAN!A746="","",GL_CLEAN!A746)</f>
        <v/>
      </c>
      <c r="B746" s="10">
        <f>IF(A746="","",GL_CLEAN!B746)</f>
        <v/>
      </c>
      <c r="C746" s="11">
        <f>IF(A746="","",GL_CLEAN!C746)</f>
        <v/>
      </c>
      <c r="D746" s="14">
        <f>IF(A746="","",GL_CLEAN!H746)</f>
        <v/>
      </c>
      <c r="E746" s="14">
        <f>IF(A746="","",GL_CLEAN!I746)</f>
        <v/>
      </c>
      <c r="F746" s="11">
        <f>IF(A746="","",GL_CLEAN!J746)</f>
        <v/>
      </c>
      <c r="G746" s="11">
        <f>IF(A746="","",IF(F746="OUT","DR","CR"))</f>
        <v/>
      </c>
      <c r="H746" s="11">
        <f>IF(A746="","",IFERROR(INDEX(BANK_CLEAN!$A$2:$A$1001,MATCH(MINIFS(BANK_CLEAN!$J$2:$J$1001,BANK_CLEAN!$H$2:$H$1001,G746,BANK_CLEAN!$L$2:$L$1001,""),BANK_CLEAN!$J$2:$J$1001,0)),""))</f>
        <v/>
      </c>
      <c r="I746" s="10">
        <f>IF(H746="","",INDEX(BANK_CLEAN!$B$2:$B$1001,H746))</f>
        <v/>
      </c>
      <c r="J746" s="14">
        <f>IF(H746="","",IF(F746="OUT",INDEX(BANK_CLEAN!$F$2:$F$1001,H746),INDEX(BANK_CLEAN!$E$2:$E$1001,H746)))</f>
        <v/>
      </c>
      <c r="K746" s="14">
        <f>IF(H746="","",ABS(E746-J746))</f>
        <v/>
      </c>
      <c r="L746" s="11">
        <f>IF(OR(H746="",B746="",I746=""),"",ABS(B746-I746))</f>
        <v/>
      </c>
      <c r="M746" s="15">
        <f>IF(H746="",0,LET(pct,IF(E746&gt;0,K746/E746,1),days,IFERROR(L746,999),100-pct*200-days*3))</f>
        <v/>
      </c>
      <c r="N746" s="11">
        <f>IF(A746="","",IF(H746="","Unmatched GL",IF(AND(K746&lt;=Tol_Amount,L746&lt;=Tol_Days),"Matched",IF(M746&gt;Tol_NearPct,"Near Match","Unmatched GL"))))</f>
        <v/>
      </c>
    </row>
    <row r="747">
      <c r="A747" s="13">
        <f>IF(GL_CLEAN!A747="","",GL_CLEAN!A747)</f>
        <v/>
      </c>
      <c r="B747" s="10">
        <f>IF(A747="","",GL_CLEAN!B747)</f>
        <v/>
      </c>
      <c r="C747" s="11">
        <f>IF(A747="","",GL_CLEAN!C747)</f>
        <v/>
      </c>
      <c r="D747" s="14">
        <f>IF(A747="","",GL_CLEAN!H747)</f>
        <v/>
      </c>
      <c r="E747" s="14">
        <f>IF(A747="","",GL_CLEAN!I747)</f>
        <v/>
      </c>
      <c r="F747" s="11">
        <f>IF(A747="","",GL_CLEAN!J747)</f>
        <v/>
      </c>
      <c r="G747" s="11">
        <f>IF(A747="","",IF(F747="OUT","DR","CR"))</f>
        <v/>
      </c>
      <c r="H747" s="11">
        <f>IF(A747="","",IFERROR(INDEX(BANK_CLEAN!$A$2:$A$1001,MATCH(MINIFS(BANK_CLEAN!$J$2:$J$1001,BANK_CLEAN!$H$2:$H$1001,G747,BANK_CLEAN!$L$2:$L$1001,""),BANK_CLEAN!$J$2:$J$1001,0)),""))</f>
        <v/>
      </c>
      <c r="I747" s="10">
        <f>IF(H747="","",INDEX(BANK_CLEAN!$B$2:$B$1001,H747))</f>
        <v/>
      </c>
      <c r="J747" s="14">
        <f>IF(H747="","",IF(F747="OUT",INDEX(BANK_CLEAN!$F$2:$F$1001,H747),INDEX(BANK_CLEAN!$E$2:$E$1001,H747)))</f>
        <v/>
      </c>
      <c r="K747" s="14">
        <f>IF(H747="","",ABS(E747-J747))</f>
        <v/>
      </c>
      <c r="L747" s="11">
        <f>IF(OR(H747="",B747="",I747=""),"",ABS(B747-I747))</f>
        <v/>
      </c>
      <c r="M747" s="15">
        <f>IF(H747="",0,LET(pct,IF(E747&gt;0,K747/E747,1),days,IFERROR(L747,999),100-pct*200-days*3))</f>
        <v/>
      </c>
      <c r="N747" s="11">
        <f>IF(A747="","",IF(H747="","Unmatched GL",IF(AND(K747&lt;=Tol_Amount,L747&lt;=Tol_Days),"Matched",IF(M747&gt;Tol_NearPct,"Near Match","Unmatched GL"))))</f>
        <v/>
      </c>
    </row>
    <row r="748">
      <c r="A748" s="13">
        <f>IF(GL_CLEAN!A748="","",GL_CLEAN!A748)</f>
        <v/>
      </c>
      <c r="B748" s="10">
        <f>IF(A748="","",GL_CLEAN!B748)</f>
        <v/>
      </c>
      <c r="C748" s="11">
        <f>IF(A748="","",GL_CLEAN!C748)</f>
        <v/>
      </c>
      <c r="D748" s="14">
        <f>IF(A748="","",GL_CLEAN!H748)</f>
        <v/>
      </c>
      <c r="E748" s="14">
        <f>IF(A748="","",GL_CLEAN!I748)</f>
        <v/>
      </c>
      <c r="F748" s="11">
        <f>IF(A748="","",GL_CLEAN!J748)</f>
        <v/>
      </c>
      <c r="G748" s="11">
        <f>IF(A748="","",IF(F748="OUT","DR","CR"))</f>
        <v/>
      </c>
      <c r="H748" s="11">
        <f>IF(A748="","",IFERROR(INDEX(BANK_CLEAN!$A$2:$A$1001,MATCH(MINIFS(BANK_CLEAN!$J$2:$J$1001,BANK_CLEAN!$H$2:$H$1001,G748,BANK_CLEAN!$L$2:$L$1001,""),BANK_CLEAN!$J$2:$J$1001,0)),""))</f>
        <v/>
      </c>
      <c r="I748" s="10">
        <f>IF(H748="","",INDEX(BANK_CLEAN!$B$2:$B$1001,H748))</f>
        <v/>
      </c>
      <c r="J748" s="14">
        <f>IF(H748="","",IF(F748="OUT",INDEX(BANK_CLEAN!$F$2:$F$1001,H748),INDEX(BANK_CLEAN!$E$2:$E$1001,H748)))</f>
        <v/>
      </c>
      <c r="K748" s="14">
        <f>IF(H748="","",ABS(E748-J748))</f>
        <v/>
      </c>
      <c r="L748" s="11">
        <f>IF(OR(H748="",B748="",I748=""),"",ABS(B748-I748))</f>
        <v/>
      </c>
      <c r="M748" s="15">
        <f>IF(H748="",0,LET(pct,IF(E748&gt;0,K748/E748,1),days,IFERROR(L748,999),100-pct*200-days*3))</f>
        <v/>
      </c>
      <c r="N748" s="11">
        <f>IF(A748="","",IF(H748="","Unmatched GL",IF(AND(K748&lt;=Tol_Amount,L748&lt;=Tol_Days),"Matched",IF(M748&gt;Tol_NearPct,"Near Match","Unmatched GL"))))</f>
        <v/>
      </c>
    </row>
    <row r="749">
      <c r="A749" s="13">
        <f>IF(GL_CLEAN!A749="","",GL_CLEAN!A749)</f>
        <v/>
      </c>
      <c r="B749" s="10">
        <f>IF(A749="","",GL_CLEAN!B749)</f>
        <v/>
      </c>
      <c r="C749" s="11">
        <f>IF(A749="","",GL_CLEAN!C749)</f>
        <v/>
      </c>
      <c r="D749" s="14">
        <f>IF(A749="","",GL_CLEAN!H749)</f>
        <v/>
      </c>
      <c r="E749" s="14">
        <f>IF(A749="","",GL_CLEAN!I749)</f>
        <v/>
      </c>
      <c r="F749" s="11">
        <f>IF(A749="","",GL_CLEAN!J749)</f>
        <v/>
      </c>
      <c r="G749" s="11">
        <f>IF(A749="","",IF(F749="OUT","DR","CR"))</f>
        <v/>
      </c>
      <c r="H749" s="11">
        <f>IF(A749="","",IFERROR(INDEX(BANK_CLEAN!$A$2:$A$1001,MATCH(MINIFS(BANK_CLEAN!$J$2:$J$1001,BANK_CLEAN!$H$2:$H$1001,G749,BANK_CLEAN!$L$2:$L$1001,""),BANK_CLEAN!$J$2:$J$1001,0)),""))</f>
        <v/>
      </c>
      <c r="I749" s="10">
        <f>IF(H749="","",INDEX(BANK_CLEAN!$B$2:$B$1001,H749))</f>
        <v/>
      </c>
      <c r="J749" s="14">
        <f>IF(H749="","",IF(F749="OUT",INDEX(BANK_CLEAN!$F$2:$F$1001,H749),INDEX(BANK_CLEAN!$E$2:$E$1001,H749)))</f>
        <v/>
      </c>
      <c r="K749" s="14">
        <f>IF(H749="","",ABS(E749-J749))</f>
        <v/>
      </c>
      <c r="L749" s="11">
        <f>IF(OR(H749="",B749="",I749=""),"",ABS(B749-I749))</f>
        <v/>
      </c>
      <c r="M749" s="15">
        <f>IF(H749="",0,LET(pct,IF(E749&gt;0,K749/E749,1),days,IFERROR(L749,999),100-pct*200-days*3))</f>
        <v/>
      </c>
      <c r="N749" s="11">
        <f>IF(A749="","",IF(H749="","Unmatched GL",IF(AND(K749&lt;=Tol_Amount,L749&lt;=Tol_Days),"Matched",IF(M749&gt;Tol_NearPct,"Near Match","Unmatched GL"))))</f>
        <v/>
      </c>
    </row>
    <row r="750">
      <c r="A750" s="13">
        <f>IF(GL_CLEAN!A750="","",GL_CLEAN!A750)</f>
        <v/>
      </c>
      <c r="B750" s="10">
        <f>IF(A750="","",GL_CLEAN!B750)</f>
        <v/>
      </c>
      <c r="C750" s="11">
        <f>IF(A750="","",GL_CLEAN!C750)</f>
        <v/>
      </c>
      <c r="D750" s="14">
        <f>IF(A750="","",GL_CLEAN!H750)</f>
        <v/>
      </c>
      <c r="E750" s="14">
        <f>IF(A750="","",GL_CLEAN!I750)</f>
        <v/>
      </c>
      <c r="F750" s="11">
        <f>IF(A750="","",GL_CLEAN!J750)</f>
        <v/>
      </c>
      <c r="G750" s="11">
        <f>IF(A750="","",IF(F750="OUT","DR","CR"))</f>
        <v/>
      </c>
      <c r="H750" s="11">
        <f>IF(A750="","",IFERROR(INDEX(BANK_CLEAN!$A$2:$A$1001,MATCH(MINIFS(BANK_CLEAN!$J$2:$J$1001,BANK_CLEAN!$H$2:$H$1001,G750,BANK_CLEAN!$L$2:$L$1001,""),BANK_CLEAN!$J$2:$J$1001,0)),""))</f>
        <v/>
      </c>
      <c r="I750" s="10">
        <f>IF(H750="","",INDEX(BANK_CLEAN!$B$2:$B$1001,H750))</f>
        <v/>
      </c>
      <c r="J750" s="14">
        <f>IF(H750="","",IF(F750="OUT",INDEX(BANK_CLEAN!$F$2:$F$1001,H750),INDEX(BANK_CLEAN!$E$2:$E$1001,H750)))</f>
        <v/>
      </c>
      <c r="K750" s="14">
        <f>IF(H750="","",ABS(E750-J750))</f>
        <v/>
      </c>
      <c r="L750" s="11">
        <f>IF(OR(H750="",B750="",I750=""),"",ABS(B750-I750))</f>
        <v/>
      </c>
      <c r="M750" s="15">
        <f>IF(H750="",0,LET(pct,IF(E750&gt;0,K750/E750,1),days,IFERROR(L750,999),100-pct*200-days*3))</f>
        <v/>
      </c>
      <c r="N750" s="11">
        <f>IF(A750="","",IF(H750="","Unmatched GL",IF(AND(K750&lt;=Tol_Amount,L750&lt;=Tol_Days),"Matched",IF(M750&gt;Tol_NearPct,"Near Match","Unmatched GL"))))</f>
        <v/>
      </c>
    </row>
    <row r="751">
      <c r="A751" s="13">
        <f>IF(GL_CLEAN!A751="","",GL_CLEAN!A751)</f>
        <v/>
      </c>
      <c r="B751" s="10">
        <f>IF(A751="","",GL_CLEAN!B751)</f>
        <v/>
      </c>
      <c r="C751" s="11">
        <f>IF(A751="","",GL_CLEAN!C751)</f>
        <v/>
      </c>
      <c r="D751" s="14">
        <f>IF(A751="","",GL_CLEAN!H751)</f>
        <v/>
      </c>
      <c r="E751" s="14">
        <f>IF(A751="","",GL_CLEAN!I751)</f>
        <v/>
      </c>
      <c r="F751" s="11">
        <f>IF(A751="","",GL_CLEAN!J751)</f>
        <v/>
      </c>
      <c r="G751" s="11">
        <f>IF(A751="","",IF(F751="OUT","DR","CR"))</f>
        <v/>
      </c>
      <c r="H751" s="11">
        <f>IF(A751="","",IFERROR(INDEX(BANK_CLEAN!$A$2:$A$1001,MATCH(MINIFS(BANK_CLEAN!$J$2:$J$1001,BANK_CLEAN!$H$2:$H$1001,G751,BANK_CLEAN!$L$2:$L$1001,""),BANK_CLEAN!$J$2:$J$1001,0)),""))</f>
        <v/>
      </c>
      <c r="I751" s="10">
        <f>IF(H751="","",INDEX(BANK_CLEAN!$B$2:$B$1001,H751))</f>
        <v/>
      </c>
      <c r="J751" s="14">
        <f>IF(H751="","",IF(F751="OUT",INDEX(BANK_CLEAN!$F$2:$F$1001,H751),INDEX(BANK_CLEAN!$E$2:$E$1001,H751)))</f>
        <v/>
      </c>
      <c r="K751" s="14">
        <f>IF(H751="","",ABS(E751-J751))</f>
        <v/>
      </c>
      <c r="L751" s="11">
        <f>IF(OR(H751="",B751="",I751=""),"",ABS(B751-I751))</f>
        <v/>
      </c>
      <c r="M751" s="15">
        <f>IF(H751="",0,LET(pct,IF(E751&gt;0,K751/E751,1),days,IFERROR(L751,999),100-pct*200-days*3))</f>
        <v/>
      </c>
      <c r="N751" s="11">
        <f>IF(A751="","",IF(H751="","Unmatched GL",IF(AND(K751&lt;=Tol_Amount,L751&lt;=Tol_Days),"Matched",IF(M751&gt;Tol_NearPct,"Near Match","Unmatched GL"))))</f>
        <v/>
      </c>
    </row>
    <row r="752">
      <c r="A752" s="13">
        <f>IF(GL_CLEAN!A752="","",GL_CLEAN!A752)</f>
        <v/>
      </c>
      <c r="B752" s="10">
        <f>IF(A752="","",GL_CLEAN!B752)</f>
        <v/>
      </c>
      <c r="C752" s="11">
        <f>IF(A752="","",GL_CLEAN!C752)</f>
        <v/>
      </c>
      <c r="D752" s="14">
        <f>IF(A752="","",GL_CLEAN!H752)</f>
        <v/>
      </c>
      <c r="E752" s="14">
        <f>IF(A752="","",GL_CLEAN!I752)</f>
        <v/>
      </c>
      <c r="F752" s="11">
        <f>IF(A752="","",GL_CLEAN!J752)</f>
        <v/>
      </c>
      <c r="G752" s="11">
        <f>IF(A752="","",IF(F752="OUT","DR","CR"))</f>
        <v/>
      </c>
      <c r="H752" s="11">
        <f>IF(A752="","",IFERROR(INDEX(BANK_CLEAN!$A$2:$A$1001,MATCH(MINIFS(BANK_CLEAN!$J$2:$J$1001,BANK_CLEAN!$H$2:$H$1001,G752,BANK_CLEAN!$L$2:$L$1001,""),BANK_CLEAN!$J$2:$J$1001,0)),""))</f>
        <v/>
      </c>
      <c r="I752" s="10">
        <f>IF(H752="","",INDEX(BANK_CLEAN!$B$2:$B$1001,H752))</f>
        <v/>
      </c>
      <c r="J752" s="14">
        <f>IF(H752="","",IF(F752="OUT",INDEX(BANK_CLEAN!$F$2:$F$1001,H752),INDEX(BANK_CLEAN!$E$2:$E$1001,H752)))</f>
        <v/>
      </c>
      <c r="K752" s="14">
        <f>IF(H752="","",ABS(E752-J752))</f>
        <v/>
      </c>
      <c r="L752" s="11">
        <f>IF(OR(H752="",B752="",I752=""),"",ABS(B752-I752))</f>
        <v/>
      </c>
      <c r="M752" s="15">
        <f>IF(H752="",0,LET(pct,IF(E752&gt;0,K752/E752,1),days,IFERROR(L752,999),100-pct*200-days*3))</f>
        <v/>
      </c>
      <c r="N752" s="11">
        <f>IF(A752="","",IF(H752="","Unmatched GL",IF(AND(K752&lt;=Tol_Amount,L752&lt;=Tol_Days),"Matched",IF(M752&gt;Tol_NearPct,"Near Match","Unmatched GL"))))</f>
        <v/>
      </c>
    </row>
    <row r="753">
      <c r="A753" s="13">
        <f>IF(GL_CLEAN!A753="","",GL_CLEAN!A753)</f>
        <v/>
      </c>
      <c r="B753" s="10">
        <f>IF(A753="","",GL_CLEAN!B753)</f>
        <v/>
      </c>
      <c r="C753" s="11">
        <f>IF(A753="","",GL_CLEAN!C753)</f>
        <v/>
      </c>
      <c r="D753" s="14">
        <f>IF(A753="","",GL_CLEAN!H753)</f>
        <v/>
      </c>
      <c r="E753" s="14">
        <f>IF(A753="","",GL_CLEAN!I753)</f>
        <v/>
      </c>
      <c r="F753" s="11">
        <f>IF(A753="","",GL_CLEAN!J753)</f>
        <v/>
      </c>
      <c r="G753" s="11">
        <f>IF(A753="","",IF(F753="OUT","DR","CR"))</f>
        <v/>
      </c>
      <c r="H753" s="11">
        <f>IF(A753="","",IFERROR(INDEX(BANK_CLEAN!$A$2:$A$1001,MATCH(MINIFS(BANK_CLEAN!$J$2:$J$1001,BANK_CLEAN!$H$2:$H$1001,G753,BANK_CLEAN!$L$2:$L$1001,""),BANK_CLEAN!$J$2:$J$1001,0)),""))</f>
        <v/>
      </c>
      <c r="I753" s="10">
        <f>IF(H753="","",INDEX(BANK_CLEAN!$B$2:$B$1001,H753))</f>
        <v/>
      </c>
      <c r="J753" s="14">
        <f>IF(H753="","",IF(F753="OUT",INDEX(BANK_CLEAN!$F$2:$F$1001,H753),INDEX(BANK_CLEAN!$E$2:$E$1001,H753)))</f>
        <v/>
      </c>
      <c r="K753" s="14">
        <f>IF(H753="","",ABS(E753-J753))</f>
        <v/>
      </c>
      <c r="L753" s="11">
        <f>IF(OR(H753="",B753="",I753=""),"",ABS(B753-I753))</f>
        <v/>
      </c>
      <c r="M753" s="15">
        <f>IF(H753="",0,LET(pct,IF(E753&gt;0,K753/E753,1),days,IFERROR(L753,999),100-pct*200-days*3))</f>
        <v/>
      </c>
      <c r="N753" s="11">
        <f>IF(A753="","",IF(H753="","Unmatched GL",IF(AND(K753&lt;=Tol_Amount,L753&lt;=Tol_Days),"Matched",IF(M753&gt;Tol_NearPct,"Near Match","Unmatched GL"))))</f>
        <v/>
      </c>
    </row>
    <row r="754">
      <c r="A754" s="13">
        <f>IF(GL_CLEAN!A754="","",GL_CLEAN!A754)</f>
        <v/>
      </c>
      <c r="B754" s="10">
        <f>IF(A754="","",GL_CLEAN!B754)</f>
        <v/>
      </c>
      <c r="C754" s="11">
        <f>IF(A754="","",GL_CLEAN!C754)</f>
        <v/>
      </c>
      <c r="D754" s="14">
        <f>IF(A754="","",GL_CLEAN!H754)</f>
        <v/>
      </c>
      <c r="E754" s="14">
        <f>IF(A754="","",GL_CLEAN!I754)</f>
        <v/>
      </c>
      <c r="F754" s="11">
        <f>IF(A754="","",GL_CLEAN!J754)</f>
        <v/>
      </c>
      <c r="G754" s="11">
        <f>IF(A754="","",IF(F754="OUT","DR","CR"))</f>
        <v/>
      </c>
      <c r="H754" s="11">
        <f>IF(A754="","",IFERROR(INDEX(BANK_CLEAN!$A$2:$A$1001,MATCH(MINIFS(BANK_CLEAN!$J$2:$J$1001,BANK_CLEAN!$H$2:$H$1001,G754,BANK_CLEAN!$L$2:$L$1001,""),BANK_CLEAN!$J$2:$J$1001,0)),""))</f>
        <v/>
      </c>
      <c r="I754" s="10">
        <f>IF(H754="","",INDEX(BANK_CLEAN!$B$2:$B$1001,H754))</f>
        <v/>
      </c>
      <c r="J754" s="14">
        <f>IF(H754="","",IF(F754="OUT",INDEX(BANK_CLEAN!$F$2:$F$1001,H754),INDEX(BANK_CLEAN!$E$2:$E$1001,H754)))</f>
        <v/>
      </c>
      <c r="K754" s="14">
        <f>IF(H754="","",ABS(E754-J754))</f>
        <v/>
      </c>
      <c r="L754" s="11">
        <f>IF(OR(H754="",B754="",I754=""),"",ABS(B754-I754))</f>
        <v/>
      </c>
      <c r="M754" s="15">
        <f>IF(H754="",0,LET(pct,IF(E754&gt;0,K754/E754,1),days,IFERROR(L754,999),100-pct*200-days*3))</f>
        <v/>
      </c>
      <c r="N754" s="11">
        <f>IF(A754="","",IF(H754="","Unmatched GL",IF(AND(K754&lt;=Tol_Amount,L754&lt;=Tol_Days),"Matched",IF(M754&gt;Tol_NearPct,"Near Match","Unmatched GL"))))</f>
        <v/>
      </c>
    </row>
    <row r="755">
      <c r="A755" s="13">
        <f>IF(GL_CLEAN!A755="","",GL_CLEAN!A755)</f>
        <v/>
      </c>
      <c r="B755" s="10">
        <f>IF(A755="","",GL_CLEAN!B755)</f>
        <v/>
      </c>
      <c r="C755" s="11">
        <f>IF(A755="","",GL_CLEAN!C755)</f>
        <v/>
      </c>
      <c r="D755" s="14">
        <f>IF(A755="","",GL_CLEAN!H755)</f>
        <v/>
      </c>
      <c r="E755" s="14">
        <f>IF(A755="","",GL_CLEAN!I755)</f>
        <v/>
      </c>
      <c r="F755" s="11">
        <f>IF(A755="","",GL_CLEAN!J755)</f>
        <v/>
      </c>
      <c r="G755" s="11">
        <f>IF(A755="","",IF(F755="OUT","DR","CR"))</f>
        <v/>
      </c>
      <c r="H755" s="11">
        <f>IF(A755="","",IFERROR(INDEX(BANK_CLEAN!$A$2:$A$1001,MATCH(MINIFS(BANK_CLEAN!$J$2:$J$1001,BANK_CLEAN!$H$2:$H$1001,G755,BANK_CLEAN!$L$2:$L$1001,""),BANK_CLEAN!$J$2:$J$1001,0)),""))</f>
        <v/>
      </c>
      <c r="I755" s="10">
        <f>IF(H755="","",INDEX(BANK_CLEAN!$B$2:$B$1001,H755))</f>
        <v/>
      </c>
      <c r="J755" s="14">
        <f>IF(H755="","",IF(F755="OUT",INDEX(BANK_CLEAN!$F$2:$F$1001,H755),INDEX(BANK_CLEAN!$E$2:$E$1001,H755)))</f>
        <v/>
      </c>
      <c r="K755" s="14">
        <f>IF(H755="","",ABS(E755-J755))</f>
        <v/>
      </c>
      <c r="L755" s="11">
        <f>IF(OR(H755="",B755="",I755=""),"",ABS(B755-I755))</f>
        <v/>
      </c>
      <c r="M755" s="15">
        <f>IF(H755="",0,LET(pct,IF(E755&gt;0,K755/E755,1),days,IFERROR(L755,999),100-pct*200-days*3))</f>
        <v/>
      </c>
      <c r="N755" s="11">
        <f>IF(A755="","",IF(H755="","Unmatched GL",IF(AND(K755&lt;=Tol_Amount,L755&lt;=Tol_Days),"Matched",IF(M755&gt;Tol_NearPct,"Near Match","Unmatched GL"))))</f>
        <v/>
      </c>
    </row>
    <row r="756">
      <c r="A756" s="13">
        <f>IF(GL_CLEAN!A756="","",GL_CLEAN!A756)</f>
        <v/>
      </c>
      <c r="B756" s="10">
        <f>IF(A756="","",GL_CLEAN!B756)</f>
        <v/>
      </c>
      <c r="C756" s="11">
        <f>IF(A756="","",GL_CLEAN!C756)</f>
        <v/>
      </c>
      <c r="D756" s="14">
        <f>IF(A756="","",GL_CLEAN!H756)</f>
        <v/>
      </c>
      <c r="E756" s="14">
        <f>IF(A756="","",GL_CLEAN!I756)</f>
        <v/>
      </c>
      <c r="F756" s="11">
        <f>IF(A756="","",GL_CLEAN!J756)</f>
        <v/>
      </c>
      <c r="G756" s="11">
        <f>IF(A756="","",IF(F756="OUT","DR","CR"))</f>
        <v/>
      </c>
      <c r="H756" s="11">
        <f>IF(A756="","",IFERROR(INDEX(BANK_CLEAN!$A$2:$A$1001,MATCH(MINIFS(BANK_CLEAN!$J$2:$J$1001,BANK_CLEAN!$H$2:$H$1001,G756,BANK_CLEAN!$L$2:$L$1001,""),BANK_CLEAN!$J$2:$J$1001,0)),""))</f>
        <v/>
      </c>
      <c r="I756" s="10">
        <f>IF(H756="","",INDEX(BANK_CLEAN!$B$2:$B$1001,H756))</f>
        <v/>
      </c>
      <c r="J756" s="14">
        <f>IF(H756="","",IF(F756="OUT",INDEX(BANK_CLEAN!$F$2:$F$1001,H756),INDEX(BANK_CLEAN!$E$2:$E$1001,H756)))</f>
        <v/>
      </c>
      <c r="K756" s="14">
        <f>IF(H756="","",ABS(E756-J756))</f>
        <v/>
      </c>
      <c r="L756" s="11">
        <f>IF(OR(H756="",B756="",I756=""),"",ABS(B756-I756))</f>
        <v/>
      </c>
      <c r="M756" s="15">
        <f>IF(H756="",0,LET(pct,IF(E756&gt;0,K756/E756,1),days,IFERROR(L756,999),100-pct*200-days*3))</f>
        <v/>
      </c>
      <c r="N756" s="11">
        <f>IF(A756="","",IF(H756="","Unmatched GL",IF(AND(K756&lt;=Tol_Amount,L756&lt;=Tol_Days),"Matched",IF(M756&gt;Tol_NearPct,"Near Match","Unmatched GL"))))</f>
        <v/>
      </c>
    </row>
    <row r="757">
      <c r="A757" s="13">
        <f>IF(GL_CLEAN!A757="","",GL_CLEAN!A757)</f>
        <v/>
      </c>
      <c r="B757" s="10">
        <f>IF(A757="","",GL_CLEAN!B757)</f>
        <v/>
      </c>
      <c r="C757" s="11">
        <f>IF(A757="","",GL_CLEAN!C757)</f>
        <v/>
      </c>
      <c r="D757" s="14">
        <f>IF(A757="","",GL_CLEAN!H757)</f>
        <v/>
      </c>
      <c r="E757" s="14">
        <f>IF(A757="","",GL_CLEAN!I757)</f>
        <v/>
      </c>
      <c r="F757" s="11">
        <f>IF(A757="","",GL_CLEAN!J757)</f>
        <v/>
      </c>
      <c r="G757" s="11">
        <f>IF(A757="","",IF(F757="OUT","DR","CR"))</f>
        <v/>
      </c>
      <c r="H757" s="11">
        <f>IF(A757="","",IFERROR(INDEX(BANK_CLEAN!$A$2:$A$1001,MATCH(MINIFS(BANK_CLEAN!$J$2:$J$1001,BANK_CLEAN!$H$2:$H$1001,G757,BANK_CLEAN!$L$2:$L$1001,""),BANK_CLEAN!$J$2:$J$1001,0)),""))</f>
        <v/>
      </c>
      <c r="I757" s="10">
        <f>IF(H757="","",INDEX(BANK_CLEAN!$B$2:$B$1001,H757))</f>
        <v/>
      </c>
      <c r="J757" s="14">
        <f>IF(H757="","",IF(F757="OUT",INDEX(BANK_CLEAN!$F$2:$F$1001,H757),INDEX(BANK_CLEAN!$E$2:$E$1001,H757)))</f>
        <v/>
      </c>
      <c r="K757" s="14">
        <f>IF(H757="","",ABS(E757-J757))</f>
        <v/>
      </c>
      <c r="L757" s="11">
        <f>IF(OR(H757="",B757="",I757=""),"",ABS(B757-I757))</f>
        <v/>
      </c>
      <c r="M757" s="15">
        <f>IF(H757="",0,LET(pct,IF(E757&gt;0,K757/E757,1),days,IFERROR(L757,999),100-pct*200-days*3))</f>
        <v/>
      </c>
      <c r="N757" s="11">
        <f>IF(A757="","",IF(H757="","Unmatched GL",IF(AND(K757&lt;=Tol_Amount,L757&lt;=Tol_Days),"Matched",IF(M757&gt;Tol_NearPct,"Near Match","Unmatched GL"))))</f>
        <v/>
      </c>
    </row>
    <row r="758">
      <c r="A758" s="13">
        <f>IF(GL_CLEAN!A758="","",GL_CLEAN!A758)</f>
        <v/>
      </c>
      <c r="B758" s="10">
        <f>IF(A758="","",GL_CLEAN!B758)</f>
        <v/>
      </c>
      <c r="C758" s="11">
        <f>IF(A758="","",GL_CLEAN!C758)</f>
        <v/>
      </c>
      <c r="D758" s="14">
        <f>IF(A758="","",GL_CLEAN!H758)</f>
        <v/>
      </c>
      <c r="E758" s="14">
        <f>IF(A758="","",GL_CLEAN!I758)</f>
        <v/>
      </c>
      <c r="F758" s="11">
        <f>IF(A758="","",GL_CLEAN!J758)</f>
        <v/>
      </c>
      <c r="G758" s="11">
        <f>IF(A758="","",IF(F758="OUT","DR","CR"))</f>
        <v/>
      </c>
      <c r="H758" s="11">
        <f>IF(A758="","",IFERROR(INDEX(BANK_CLEAN!$A$2:$A$1001,MATCH(MINIFS(BANK_CLEAN!$J$2:$J$1001,BANK_CLEAN!$H$2:$H$1001,G758,BANK_CLEAN!$L$2:$L$1001,""),BANK_CLEAN!$J$2:$J$1001,0)),""))</f>
        <v/>
      </c>
      <c r="I758" s="10">
        <f>IF(H758="","",INDEX(BANK_CLEAN!$B$2:$B$1001,H758))</f>
        <v/>
      </c>
      <c r="J758" s="14">
        <f>IF(H758="","",IF(F758="OUT",INDEX(BANK_CLEAN!$F$2:$F$1001,H758),INDEX(BANK_CLEAN!$E$2:$E$1001,H758)))</f>
        <v/>
      </c>
      <c r="K758" s="14">
        <f>IF(H758="","",ABS(E758-J758))</f>
        <v/>
      </c>
      <c r="L758" s="11">
        <f>IF(OR(H758="",B758="",I758=""),"",ABS(B758-I758))</f>
        <v/>
      </c>
      <c r="M758" s="15">
        <f>IF(H758="",0,LET(pct,IF(E758&gt;0,K758/E758,1),days,IFERROR(L758,999),100-pct*200-days*3))</f>
        <v/>
      </c>
      <c r="N758" s="11">
        <f>IF(A758="","",IF(H758="","Unmatched GL",IF(AND(K758&lt;=Tol_Amount,L758&lt;=Tol_Days),"Matched",IF(M758&gt;Tol_NearPct,"Near Match","Unmatched GL"))))</f>
        <v/>
      </c>
    </row>
    <row r="759">
      <c r="A759" s="13">
        <f>IF(GL_CLEAN!A759="","",GL_CLEAN!A759)</f>
        <v/>
      </c>
      <c r="B759" s="10">
        <f>IF(A759="","",GL_CLEAN!B759)</f>
        <v/>
      </c>
      <c r="C759" s="11">
        <f>IF(A759="","",GL_CLEAN!C759)</f>
        <v/>
      </c>
      <c r="D759" s="14">
        <f>IF(A759="","",GL_CLEAN!H759)</f>
        <v/>
      </c>
      <c r="E759" s="14">
        <f>IF(A759="","",GL_CLEAN!I759)</f>
        <v/>
      </c>
      <c r="F759" s="11">
        <f>IF(A759="","",GL_CLEAN!J759)</f>
        <v/>
      </c>
      <c r="G759" s="11">
        <f>IF(A759="","",IF(F759="OUT","DR","CR"))</f>
        <v/>
      </c>
      <c r="H759" s="11">
        <f>IF(A759="","",IFERROR(INDEX(BANK_CLEAN!$A$2:$A$1001,MATCH(MINIFS(BANK_CLEAN!$J$2:$J$1001,BANK_CLEAN!$H$2:$H$1001,G759,BANK_CLEAN!$L$2:$L$1001,""),BANK_CLEAN!$J$2:$J$1001,0)),""))</f>
        <v/>
      </c>
      <c r="I759" s="10">
        <f>IF(H759="","",INDEX(BANK_CLEAN!$B$2:$B$1001,H759))</f>
        <v/>
      </c>
      <c r="J759" s="14">
        <f>IF(H759="","",IF(F759="OUT",INDEX(BANK_CLEAN!$F$2:$F$1001,H759),INDEX(BANK_CLEAN!$E$2:$E$1001,H759)))</f>
        <v/>
      </c>
      <c r="K759" s="14">
        <f>IF(H759="","",ABS(E759-J759))</f>
        <v/>
      </c>
      <c r="L759" s="11">
        <f>IF(OR(H759="",B759="",I759=""),"",ABS(B759-I759))</f>
        <v/>
      </c>
      <c r="M759" s="15">
        <f>IF(H759="",0,LET(pct,IF(E759&gt;0,K759/E759,1),days,IFERROR(L759,999),100-pct*200-days*3))</f>
        <v/>
      </c>
      <c r="N759" s="11">
        <f>IF(A759="","",IF(H759="","Unmatched GL",IF(AND(K759&lt;=Tol_Amount,L759&lt;=Tol_Days),"Matched",IF(M759&gt;Tol_NearPct,"Near Match","Unmatched GL"))))</f>
        <v/>
      </c>
    </row>
    <row r="760">
      <c r="A760" s="13">
        <f>IF(GL_CLEAN!A760="","",GL_CLEAN!A760)</f>
        <v/>
      </c>
      <c r="B760" s="10">
        <f>IF(A760="","",GL_CLEAN!B760)</f>
        <v/>
      </c>
      <c r="C760" s="11">
        <f>IF(A760="","",GL_CLEAN!C760)</f>
        <v/>
      </c>
      <c r="D760" s="14">
        <f>IF(A760="","",GL_CLEAN!H760)</f>
        <v/>
      </c>
      <c r="E760" s="14">
        <f>IF(A760="","",GL_CLEAN!I760)</f>
        <v/>
      </c>
      <c r="F760" s="11">
        <f>IF(A760="","",GL_CLEAN!J760)</f>
        <v/>
      </c>
      <c r="G760" s="11">
        <f>IF(A760="","",IF(F760="OUT","DR","CR"))</f>
        <v/>
      </c>
      <c r="H760" s="11">
        <f>IF(A760="","",IFERROR(INDEX(BANK_CLEAN!$A$2:$A$1001,MATCH(MINIFS(BANK_CLEAN!$J$2:$J$1001,BANK_CLEAN!$H$2:$H$1001,G760,BANK_CLEAN!$L$2:$L$1001,""),BANK_CLEAN!$J$2:$J$1001,0)),""))</f>
        <v/>
      </c>
      <c r="I760" s="10">
        <f>IF(H760="","",INDEX(BANK_CLEAN!$B$2:$B$1001,H760))</f>
        <v/>
      </c>
      <c r="J760" s="14">
        <f>IF(H760="","",IF(F760="OUT",INDEX(BANK_CLEAN!$F$2:$F$1001,H760),INDEX(BANK_CLEAN!$E$2:$E$1001,H760)))</f>
        <v/>
      </c>
      <c r="K760" s="14">
        <f>IF(H760="","",ABS(E760-J760))</f>
        <v/>
      </c>
      <c r="L760" s="11">
        <f>IF(OR(H760="",B760="",I760=""),"",ABS(B760-I760))</f>
        <v/>
      </c>
      <c r="M760" s="15">
        <f>IF(H760="",0,LET(pct,IF(E760&gt;0,K760/E760,1),days,IFERROR(L760,999),100-pct*200-days*3))</f>
        <v/>
      </c>
      <c r="N760" s="11">
        <f>IF(A760="","",IF(H760="","Unmatched GL",IF(AND(K760&lt;=Tol_Amount,L760&lt;=Tol_Days),"Matched",IF(M760&gt;Tol_NearPct,"Near Match","Unmatched GL"))))</f>
        <v/>
      </c>
    </row>
    <row r="761">
      <c r="A761" s="13">
        <f>IF(GL_CLEAN!A761="","",GL_CLEAN!A761)</f>
        <v/>
      </c>
      <c r="B761" s="10">
        <f>IF(A761="","",GL_CLEAN!B761)</f>
        <v/>
      </c>
      <c r="C761" s="11">
        <f>IF(A761="","",GL_CLEAN!C761)</f>
        <v/>
      </c>
      <c r="D761" s="14">
        <f>IF(A761="","",GL_CLEAN!H761)</f>
        <v/>
      </c>
      <c r="E761" s="14">
        <f>IF(A761="","",GL_CLEAN!I761)</f>
        <v/>
      </c>
      <c r="F761" s="11">
        <f>IF(A761="","",GL_CLEAN!J761)</f>
        <v/>
      </c>
      <c r="G761" s="11">
        <f>IF(A761="","",IF(F761="OUT","DR","CR"))</f>
        <v/>
      </c>
      <c r="H761" s="11">
        <f>IF(A761="","",IFERROR(INDEX(BANK_CLEAN!$A$2:$A$1001,MATCH(MINIFS(BANK_CLEAN!$J$2:$J$1001,BANK_CLEAN!$H$2:$H$1001,G761,BANK_CLEAN!$L$2:$L$1001,""),BANK_CLEAN!$J$2:$J$1001,0)),""))</f>
        <v/>
      </c>
      <c r="I761" s="10">
        <f>IF(H761="","",INDEX(BANK_CLEAN!$B$2:$B$1001,H761))</f>
        <v/>
      </c>
      <c r="J761" s="14">
        <f>IF(H761="","",IF(F761="OUT",INDEX(BANK_CLEAN!$F$2:$F$1001,H761),INDEX(BANK_CLEAN!$E$2:$E$1001,H761)))</f>
        <v/>
      </c>
      <c r="K761" s="14">
        <f>IF(H761="","",ABS(E761-J761))</f>
        <v/>
      </c>
      <c r="L761" s="11">
        <f>IF(OR(H761="",B761="",I761=""),"",ABS(B761-I761))</f>
        <v/>
      </c>
      <c r="M761" s="15">
        <f>IF(H761="",0,LET(pct,IF(E761&gt;0,K761/E761,1),days,IFERROR(L761,999),100-pct*200-days*3))</f>
        <v/>
      </c>
      <c r="N761" s="11">
        <f>IF(A761="","",IF(H761="","Unmatched GL",IF(AND(K761&lt;=Tol_Amount,L761&lt;=Tol_Days),"Matched",IF(M761&gt;Tol_NearPct,"Near Match","Unmatched GL"))))</f>
        <v/>
      </c>
    </row>
    <row r="762">
      <c r="A762" s="13">
        <f>IF(GL_CLEAN!A762="","",GL_CLEAN!A762)</f>
        <v/>
      </c>
      <c r="B762" s="10">
        <f>IF(A762="","",GL_CLEAN!B762)</f>
        <v/>
      </c>
      <c r="C762" s="11">
        <f>IF(A762="","",GL_CLEAN!C762)</f>
        <v/>
      </c>
      <c r="D762" s="14">
        <f>IF(A762="","",GL_CLEAN!H762)</f>
        <v/>
      </c>
      <c r="E762" s="14">
        <f>IF(A762="","",GL_CLEAN!I762)</f>
        <v/>
      </c>
      <c r="F762" s="11">
        <f>IF(A762="","",GL_CLEAN!J762)</f>
        <v/>
      </c>
      <c r="G762" s="11">
        <f>IF(A762="","",IF(F762="OUT","DR","CR"))</f>
        <v/>
      </c>
      <c r="H762" s="11">
        <f>IF(A762="","",IFERROR(INDEX(BANK_CLEAN!$A$2:$A$1001,MATCH(MINIFS(BANK_CLEAN!$J$2:$J$1001,BANK_CLEAN!$H$2:$H$1001,G762,BANK_CLEAN!$L$2:$L$1001,""),BANK_CLEAN!$J$2:$J$1001,0)),""))</f>
        <v/>
      </c>
      <c r="I762" s="10">
        <f>IF(H762="","",INDEX(BANK_CLEAN!$B$2:$B$1001,H762))</f>
        <v/>
      </c>
      <c r="J762" s="14">
        <f>IF(H762="","",IF(F762="OUT",INDEX(BANK_CLEAN!$F$2:$F$1001,H762),INDEX(BANK_CLEAN!$E$2:$E$1001,H762)))</f>
        <v/>
      </c>
      <c r="K762" s="14">
        <f>IF(H762="","",ABS(E762-J762))</f>
        <v/>
      </c>
      <c r="L762" s="11">
        <f>IF(OR(H762="",B762="",I762=""),"",ABS(B762-I762))</f>
        <v/>
      </c>
      <c r="M762" s="15">
        <f>IF(H762="",0,LET(pct,IF(E762&gt;0,K762/E762,1),days,IFERROR(L762,999),100-pct*200-days*3))</f>
        <v/>
      </c>
      <c r="N762" s="11">
        <f>IF(A762="","",IF(H762="","Unmatched GL",IF(AND(K762&lt;=Tol_Amount,L762&lt;=Tol_Days),"Matched",IF(M762&gt;Tol_NearPct,"Near Match","Unmatched GL"))))</f>
        <v/>
      </c>
    </row>
    <row r="763">
      <c r="A763" s="13">
        <f>IF(GL_CLEAN!A763="","",GL_CLEAN!A763)</f>
        <v/>
      </c>
      <c r="B763" s="10">
        <f>IF(A763="","",GL_CLEAN!B763)</f>
        <v/>
      </c>
      <c r="C763" s="11">
        <f>IF(A763="","",GL_CLEAN!C763)</f>
        <v/>
      </c>
      <c r="D763" s="14">
        <f>IF(A763="","",GL_CLEAN!H763)</f>
        <v/>
      </c>
      <c r="E763" s="14">
        <f>IF(A763="","",GL_CLEAN!I763)</f>
        <v/>
      </c>
      <c r="F763" s="11">
        <f>IF(A763="","",GL_CLEAN!J763)</f>
        <v/>
      </c>
      <c r="G763" s="11">
        <f>IF(A763="","",IF(F763="OUT","DR","CR"))</f>
        <v/>
      </c>
      <c r="H763" s="11">
        <f>IF(A763="","",IFERROR(INDEX(BANK_CLEAN!$A$2:$A$1001,MATCH(MINIFS(BANK_CLEAN!$J$2:$J$1001,BANK_CLEAN!$H$2:$H$1001,G763,BANK_CLEAN!$L$2:$L$1001,""),BANK_CLEAN!$J$2:$J$1001,0)),""))</f>
        <v/>
      </c>
      <c r="I763" s="10">
        <f>IF(H763="","",INDEX(BANK_CLEAN!$B$2:$B$1001,H763))</f>
        <v/>
      </c>
      <c r="J763" s="14">
        <f>IF(H763="","",IF(F763="OUT",INDEX(BANK_CLEAN!$F$2:$F$1001,H763),INDEX(BANK_CLEAN!$E$2:$E$1001,H763)))</f>
        <v/>
      </c>
      <c r="K763" s="14">
        <f>IF(H763="","",ABS(E763-J763))</f>
        <v/>
      </c>
      <c r="L763" s="11">
        <f>IF(OR(H763="",B763="",I763=""),"",ABS(B763-I763))</f>
        <v/>
      </c>
      <c r="M763" s="15">
        <f>IF(H763="",0,LET(pct,IF(E763&gt;0,K763/E763,1),days,IFERROR(L763,999),100-pct*200-days*3))</f>
        <v/>
      </c>
      <c r="N763" s="11">
        <f>IF(A763="","",IF(H763="","Unmatched GL",IF(AND(K763&lt;=Tol_Amount,L763&lt;=Tol_Days),"Matched",IF(M763&gt;Tol_NearPct,"Near Match","Unmatched GL"))))</f>
        <v/>
      </c>
    </row>
    <row r="764">
      <c r="A764" s="13">
        <f>IF(GL_CLEAN!A764="","",GL_CLEAN!A764)</f>
        <v/>
      </c>
      <c r="B764" s="10">
        <f>IF(A764="","",GL_CLEAN!B764)</f>
        <v/>
      </c>
      <c r="C764" s="11">
        <f>IF(A764="","",GL_CLEAN!C764)</f>
        <v/>
      </c>
      <c r="D764" s="14">
        <f>IF(A764="","",GL_CLEAN!H764)</f>
        <v/>
      </c>
      <c r="E764" s="14">
        <f>IF(A764="","",GL_CLEAN!I764)</f>
        <v/>
      </c>
      <c r="F764" s="11">
        <f>IF(A764="","",GL_CLEAN!J764)</f>
        <v/>
      </c>
      <c r="G764" s="11">
        <f>IF(A764="","",IF(F764="OUT","DR","CR"))</f>
        <v/>
      </c>
      <c r="H764" s="11">
        <f>IF(A764="","",IFERROR(INDEX(BANK_CLEAN!$A$2:$A$1001,MATCH(MINIFS(BANK_CLEAN!$J$2:$J$1001,BANK_CLEAN!$H$2:$H$1001,G764,BANK_CLEAN!$L$2:$L$1001,""),BANK_CLEAN!$J$2:$J$1001,0)),""))</f>
        <v/>
      </c>
      <c r="I764" s="10">
        <f>IF(H764="","",INDEX(BANK_CLEAN!$B$2:$B$1001,H764))</f>
        <v/>
      </c>
      <c r="J764" s="14">
        <f>IF(H764="","",IF(F764="OUT",INDEX(BANK_CLEAN!$F$2:$F$1001,H764),INDEX(BANK_CLEAN!$E$2:$E$1001,H764)))</f>
        <v/>
      </c>
      <c r="K764" s="14">
        <f>IF(H764="","",ABS(E764-J764))</f>
        <v/>
      </c>
      <c r="L764" s="11">
        <f>IF(OR(H764="",B764="",I764=""),"",ABS(B764-I764))</f>
        <v/>
      </c>
      <c r="M764" s="15">
        <f>IF(H764="",0,LET(pct,IF(E764&gt;0,K764/E764,1),days,IFERROR(L764,999),100-pct*200-days*3))</f>
        <v/>
      </c>
      <c r="N764" s="11">
        <f>IF(A764="","",IF(H764="","Unmatched GL",IF(AND(K764&lt;=Tol_Amount,L764&lt;=Tol_Days),"Matched",IF(M764&gt;Tol_NearPct,"Near Match","Unmatched GL"))))</f>
        <v/>
      </c>
    </row>
    <row r="765">
      <c r="A765" s="13">
        <f>IF(GL_CLEAN!A765="","",GL_CLEAN!A765)</f>
        <v/>
      </c>
      <c r="B765" s="10">
        <f>IF(A765="","",GL_CLEAN!B765)</f>
        <v/>
      </c>
      <c r="C765" s="11">
        <f>IF(A765="","",GL_CLEAN!C765)</f>
        <v/>
      </c>
      <c r="D765" s="14">
        <f>IF(A765="","",GL_CLEAN!H765)</f>
        <v/>
      </c>
      <c r="E765" s="14">
        <f>IF(A765="","",GL_CLEAN!I765)</f>
        <v/>
      </c>
      <c r="F765" s="11">
        <f>IF(A765="","",GL_CLEAN!J765)</f>
        <v/>
      </c>
      <c r="G765" s="11">
        <f>IF(A765="","",IF(F765="OUT","DR","CR"))</f>
        <v/>
      </c>
      <c r="H765" s="11">
        <f>IF(A765="","",IFERROR(INDEX(BANK_CLEAN!$A$2:$A$1001,MATCH(MINIFS(BANK_CLEAN!$J$2:$J$1001,BANK_CLEAN!$H$2:$H$1001,G765,BANK_CLEAN!$L$2:$L$1001,""),BANK_CLEAN!$J$2:$J$1001,0)),""))</f>
        <v/>
      </c>
      <c r="I765" s="10">
        <f>IF(H765="","",INDEX(BANK_CLEAN!$B$2:$B$1001,H765))</f>
        <v/>
      </c>
      <c r="J765" s="14">
        <f>IF(H765="","",IF(F765="OUT",INDEX(BANK_CLEAN!$F$2:$F$1001,H765),INDEX(BANK_CLEAN!$E$2:$E$1001,H765)))</f>
        <v/>
      </c>
      <c r="K765" s="14">
        <f>IF(H765="","",ABS(E765-J765))</f>
        <v/>
      </c>
      <c r="L765" s="11">
        <f>IF(OR(H765="",B765="",I765=""),"",ABS(B765-I765))</f>
        <v/>
      </c>
      <c r="M765" s="15">
        <f>IF(H765="",0,LET(pct,IF(E765&gt;0,K765/E765,1),days,IFERROR(L765,999),100-pct*200-days*3))</f>
        <v/>
      </c>
      <c r="N765" s="11">
        <f>IF(A765="","",IF(H765="","Unmatched GL",IF(AND(K765&lt;=Tol_Amount,L765&lt;=Tol_Days),"Matched",IF(M765&gt;Tol_NearPct,"Near Match","Unmatched GL"))))</f>
        <v/>
      </c>
    </row>
    <row r="766">
      <c r="A766" s="13">
        <f>IF(GL_CLEAN!A766="","",GL_CLEAN!A766)</f>
        <v/>
      </c>
      <c r="B766" s="10">
        <f>IF(A766="","",GL_CLEAN!B766)</f>
        <v/>
      </c>
      <c r="C766" s="11">
        <f>IF(A766="","",GL_CLEAN!C766)</f>
        <v/>
      </c>
      <c r="D766" s="14">
        <f>IF(A766="","",GL_CLEAN!H766)</f>
        <v/>
      </c>
      <c r="E766" s="14">
        <f>IF(A766="","",GL_CLEAN!I766)</f>
        <v/>
      </c>
      <c r="F766" s="11">
        <f>IF(A766="","",GL_CLEAN!J766)</f>
        <v/>
      </c>
      <c r="G766" s="11">
        <f>IF(A766="","",IF(F766="OUT","DR","CR"))</f>
        <v/>
      </c>
      <c r="H766" s="11">
        <f>IF(A766="","",IFERROR(INDEX(BANK_CLEAN!$A$2:$A$1001,MATCH(MINIFS(BANK_CLEAN!$J$2:$J$1001,BANK_CLEAN!$H$2:$H$1001,G766,BANK_CLEAN!$L$2:$L$1001,""),BANK_CLEAN!$J$2:$J$1001,0)),""))</f>
        <v/>
      </c>
      <c r="I766" s="10">
        <f>IF(H766="","",INDEX(BANK_CLEAN!$B$2:$B$1001,H766))</f>
        <v/>
      </c>
      <c r="J766" s="14">
        <f>IF(H766="","",IF(F766="OUT",INDEX(BANK_CLEAN!$F$2:$F$1001,H766),INDEX(BANK_CLEAN!$E$2:$E$1001,H766)))</f>
        <v/>
      </c>
      <c r="K766" s="14">
        <f>IF(H766="","",ABS(E766-J766))</f>
        <v/>
      </c>
      <c r="L766" s="11">
        <f>IF(OR(H766="",B766="",I766=""),"",ABS(B766-I766))</f>
        <v/>
      </c>
      <c r="M766" s="15">
        <f>IF(H766="",0,LET(pct,IF(E766&gt;0,K766/E766,1),days,IFERROR(L766,999),100-pct*200-days*3))</f>
        <v/>
      </c>
      <c r="N766" s="11">
        <f>IF(A766="","",IF(H766="","Unmatched GL",IF(AND(K766&lt;=Tol_Amount,L766&lt;=Tol_Days),"Matched",IF(M766&gt;Tol_NearPct,"Near Match","Unmatched GL"))))</f>
        <v/>
      </c>
    </row>
    <row r="767">
      <c r="A767" s="13">
        <f>IF(GL_CLEAN!A767="","",GL_CLEAN!A767)</f>
        <v/>
      </c>
      <c r="B767" s="10">
        <f>IF(A767="","",GL_CLEAN!B767)</f>
        <v/>
      </c>
      <c r="C767" s="11">
        <f>IF(A767="","",GL_CLEAN!C767)</f>
        <v/>
      </c>
      <c r="D767" s="14">
        <f>IF(A767="","",GL_CLEAN!H767)</f>
        <v/>
      </c>
      <c r="E767" s="14">
        <f>IF(A767="","",GL_CLEAN!I767)</f>
        <v/>
      </c>
      <c r="F767" s="11">
        <f>IF(A767="","",GL_CLEAN!J767)</f>
        <v/>
      </c>
      <c r="G767" s="11">
        <f>IF(A767="","",IF(F767="OUT","DR","CR"))</f>
        <v/>
      </c>
      <c r="H767" s="11">
        <f>IF(A767="","",IFERROR(INDEX(BANK_CLEAN!$A$2:$A$1001,MATCH(MINIFS(BANK_CLEAN!$J$2:$J$1001,BANK_CLEAN!$H$2:$H$1001,G767,BANK_CLEAN!$L$2:$L$1001,""),BANK_CLEAN!$J$2:$J$1001,0)),""))</f>
        <v/>
      </c>
      <c r="I767" s="10">
        <f>IF(H767="","",INDEX(BANK_CLEAN!$B$2:$B$1001,H767))</f>
        <v/>
      </c>
      <c r="J767" s="14">
        <f>IF(H767="","",IF(F767="OUT",INDEX(BANK_CLEAN!$F$2:$F$1001,H767),INDEX(BANK_CLEAN!$E$2:$E$1001,H767)))</f>
        <v/>
      </c>
      <c r="K767" s="14">
        <f>IF(H767="","",ABS(E767-J767))</f>
        <v/>
      </c>
      <c r="L767" s="11">
        <f>IF(OR(H767="",B767="",I767=""),"",ABS(B767-I767))</f>
        <v/>
      </c>
      <c r="M767" s="15">
        <f>IF(H767="",0,LET(pct,IF(E767&gt;0,K767/E767,1),days,IFERROR(L767,999),100-pct*200-days*3))</f>
        <v/>
      </c>
      <c r="N767" s="11">
        <f>IF(A767="","",IF(H767="","Unmatched GL",IF(AND(K767&lt;=Tol_Amount,L767&lt;=Tol_Days),"Matched",IF(M767&gt;Tol_NearPct,"Near Match","Unmatched GL"))))</f>
        <v/>
      </c>
    </row>
    <row r="768">
      <c r="A768" s="13">
        <f>IF(GL_CLEAN!A768="","",GL_CLEAN!A768)</f>
        <v/>
      </c>
      <c r="B768" s="10">
        <f>IF(A768="","",GL_CLEAN!B768)</f>
        <v/>
      </c>
      <c r="C768" s="11">
        <f>IF(A768="","",GL_CLEAN!C768)</f>
        <v/>
      </c>
      <c r="D768" s="14">
        <f>IF(A768="","",GL_CLEAN!H768)</f>
        <v/>
      </c>
      <c r="E768" s="14">
        <f>IF(A768="","",GL_CLEAN!I768)</f>
        <v/>
      </c>
      <c r="F768" s="11">
        <f>IF(A768="","",GL_CLEAN!J768)</f>
        <v/>
      </c>
      <c r="G768" s="11">
        <f>IF(A768="","",IF(F768="OUT","DR","CR"))</f>
        <v/>
      </c>
      <c r="H768" s="11">
        <f>IF(A768="","",IFERROR(INDEX(BANK_CLEAN!$A$2:$A$1001,MATCH(MINIFS(BANK_CLEAN!$J$2:$J$1001,BANK_CLEAN!$H$2:$H$1001,G768,BANK_CLEAN!$L$2:$L$1001,""),BANK_CLEAN!$J$2:$J$1001,0)),""))</f>
        <v/>
      </c>
      <c r="I768" s="10">
        <f>IF(H768="","",INDEX(BANK_CLEAN!$B$2:$B$1001,H768))</f>
        <v/>
      </c>
      <c r="J768" s="14">
        <f>IF(H768="","",IF(F768="OUT",INDEX(BANK_CLEAN!$F$2:$F$1001,H768),INDEX(BANK_CLEAN!$E$2:$E$1001,H768)))</f>
        <v/>
      </c>
      <c r="K768" s="14">
        <f>IF(H768="","",ABS(E768-J768))</f>
        <v/>
      </c>
      <c r="L768" s="11">
        <f>IF(OR(H768="",B768="",I768=""),"",ABS(B768-I768))</f>
        <v/>
      </c>
      <c r="M768" s="15">
        <f>IF(H768="",0,LET(pct,IF(E768&gt;0,K768/E768,1),days,IFERROR(L768,999),100-pct*200-days*3))</f>
        <v/>
      </c>
      <c r="N768" s="11">
        <f>IF(A768="","",IF(H768="","Unmatched GL",IF(AND(K768&lt;=Tol_Amount,L768&lt;=Tol_Days),"Matched",IF(M768&gt;Tol_NearPct,"Near Match","Unmatched GL"))))</f>
        <v/>
      </c>
    </row>
    <row r="769">
      <c r="A769" s="13">
        <f>IF(GL_CLEAN!A769="","",GL_CLEAN!A769)</f>
        <v/>
      </c>
      <c r="B769" s="10">
        <f>IF(A769="","",GL_CLEAN!B769)</f>
        <v/>
      </c>
      <c r="C769" s="11">
        <f>IF(A769="","",GL_CLEAN!C769)</f>
        <v/>
      </c>
      <c r="D769" s="14">
        <f>IF(A769="","",GL_CLEAN!H769)</f>
        <v/>
      </c>
      <c r="E769" s="14">
        <f>IF(A769="","",GL_CLEAN!I769)</f>
        <v/>
      </c>
      <c r="F769" s="11">
        <f>IF(A769="","",GL_CLEAN!J769)</f>
        <v/>
      </c>
      <c r="G769" s="11">
        <f>IF(A769="","",IF(F769="OUT","DR","CR"))</f>
        <v/>
      </c>
      <c r="H769" s="11">
        <f>IF(A769="","",IFERROR(INDEX(BANK_CLEAN!$A$2:$A$1001,MATCH(MINIFS(BANK_CLEAN!$J$2:$J$1001,BANK_CLEAN!$H$2:$H$1001,G769,BANK_CLEAN!$L$2:$L$1001,""),BANK_CLEAN!$J$2:$J$1001,0)),""))</f>
        <v/>
      </c>
      <c r="I769" s="10">
        <f>IF(H769="","",INDEX(BANK_CLEAN!$B$2:$B$1001,H769))</f>
        <v/>
      </c>
      <c r="J769" s="14">
        <f>IF(H769="","",IF(F769="OUT",INDEX(BANK_CLEAN!$F$2:$F$1001,H769),INDEX(BANK_CLEAN!$E$2:$E$1001,H769)))</f>
        <v/>
      </c>
      <c r="K769" s="14">
        <f>IF(H769="","",ABS(E769-J769))</f>
        <v/>
      </c>
      <c r="L769" s="11">
        <f>IF(OR(H769="",B769="",I769=""),"",ABS(B769-I769))</f>
        <v/>
      </c>
      <c r="M769" s="15">
        <f>IF(H769="",0,LET(pct,IF(E769&gt;0,K769/E769,1),days,IFERROR(L769,999),100-pct*200-days*3))</f>
        <v/>
      </c>
      <c r="N769" s="11">
        <f>IF(A769="","",IF(H769="","Unmatched GL",IF(AND(K769&lt;=Tol_Amount,L769&lt;=Tol_Days),"Matched",IF(M769&gt;Tol_NearPct,"Near Match","Unmatched GL"))))</f>
        <v/>
      </c>
    </row>
    <row r="770">
      <c r="A770" s="13">
        <f>IF(GL_CLEAN!A770="","",GL_CLEAN!A770)</f>
        <v/>
      </c>
      <c r="B770" s="10">
        <f>IF(A770="","",GL_CLEAN!B770)</f>
        <v/>
      </c>
      <c r="C770" s="11">
        <f>IF(A770="","",GL_CLEAN!C770)</f>
        <v/>
      </c>
      <c r="D770" s="14">
        <f>IF(A770="","",GL_CLEAN!H770)</f>
        <v/>
      </c>
      <c r="E770" s="14">
        <f>IF(A770="","",GL_CLEAN!I770)</f>
        <v/>
      </c>
      <c r="F770" s="11">
        <f>IF(A770="","",GL_CLEAN!J770)</f>
        <v/>
      </c>
      <c r="G770" s="11">
        <f>IF(A770="","",IF(F770="OUT","DR","CR"))</f>
        <v/>
      </c>
      <c r="H770" s="11">
        <f>IF(A770="","",IFERROR(INDEX(BANK_CLEAN!$A$2:$A$1001,MATCH(MINIFS(BANK_CLEAN!$J$2:$J$1001,BANK_CLEAN!$H$2:$H$1001,G770,BANK_CLEAN!$L$2:$L$1001,""),BANK_CLEAN!$J$2:$J$1001,0)),""))</f>
        <v/>
      </c>
      <c r="I770" s="10">
        <f>IF(H770="","",INDEX(BANK_CLEAN!$B$2:$B$1001,H770))</f>
        <v/>
      </c>
      <c r="J770" s="14">
        <f>IF(H770="","",IF(F770="OUT",INDEX(BANK_CLEAN!$F$2:$F$1001,H770),INDEX(BANK_CLEAN!$E$2:$E$1001,H770)))</f>
        <v/>
      </c>
      <c r="K770" s="14">
        <f>IF(H770="","",ABS(E770-J770))</f>
        <v/>
      </c>
      <c r="L770" s="11">
        <f>IF(OR(H770="",B770="",I770=""),"",ABS(B770-I770))</f>
        <v/>
      </c>
      <c r="M770" s="15">
        <f>IF(H770="",0,LET(pct,IF(E770&gt;0,K770/E770,1),days,IFERROR(L770,999),100-pct*200-days*3))</f>
        <v/>
      </c>
      <c r="N770" s="11">
        <f>IF(A770="","",IF(H770="","Unmatched GL",IF(AND(K770&lt;=Tol_Amount,L770&lt;=Tol_Days),"Matched",IF(M770&gt;Tol_NearPct,"Near Match","Unmatched GL"))))</f>
        <v/>
      </c>
    </row>
    <row r="771">
      <c r="A771" s="13">
        <f>IF(GL_CLEAN!A771="","",GL_CLEAN!A771)</f>
        <v/>
      </c>
      <c r="B771" s="10">
        <f>IF(A771="","",GL_CLEAN!B771)</f>
        <v/>
      </c>
      <c r="C771" s="11">
        <f>IF(A771="","",GL_CLEAN!C771)</f>
        <v/>
      </c>
      <c r="D771" s="14">
        <f>IF(A771="","",GL_CLEAN!H771)</f>
        <v/>
      </c>
      <c r="E771" s="14">
        <f>IF(A771="","",GL_CLEAN!I771)</f>
        <v/>
      </c>
      <c r="F771" s="11">
        <f>IF(A771="","",GL_CLEAN!J771)</f>
        <v/>
      </c>
      <c r="G771" s="11">
        <f>IF(A771="","",IF(F771="OUT","DR","CR"))</f>
        <v/>
      </c>
      <c r="H771" s="11">
        <f>IF(A771="","",IFERROR(INDEX(BANK_CLEAN!$A$2:$A$1001,MATCH(MINIFS(BANK_CLEAN!$J$2:$J$1001,BANK_CLEAN!$H$2:$H$1001,G771,BANK_CLEAN!$L$2:$L$1001,""),BANK_CLEAN!$J$2:$J$1001,0)),""))</f>
        <v/>
      </c>
      <c r="I771" s="10">
        <f>IF(H771="","",INDEX(BANK_CLEAN!$B$2:$B$1001,H771))</f>
        <v/>
      </c>
      <c r="J771" s="14">
        <f>IF(H771="","",IF(F771="OUT",INDEX(BANK_CLEAN!$F$2:$F$1001,H771),INDEX(BANK_CLEAN!$E$2:$E$1001,H771)))</f>
        <v/>
      </c>
      <c r="K771" s="14">
        <f>IF(H771="","",ABS(E771-J771))</f>
        <v/>
      </c>
      <c r="L771" s="11">
        <f>IF(OR(H771="",B771="",I771=""),"",ABS(B771-I771))</f>
        <v/>
      </c>
      <c r="M771" s="15">
        <f>IF(H771="",0,LET(pct,IF(E771&gt;0,K771/E771,1),days,IFERROR(L771,999),100-pct*200-days*3))</f>
        <v/>
      </c>
      <c r="N771" s="11">
        <f>IF(A771="","",IF(H771="","Unmatched GL",IF(AND(K771&lt;=Tol_Amount,L771&lt;=Tol_Days),"Matched",IF(M771&gt;Tol_NearPct,"Near Match","Unmatched GL"))))</f>
        <v/>
      </c>
    </row>
    <row r="772">
      <c r="A772" s="13">
        <f>IF(GL_CLEAN!A772="","",GL_CLEAN!A772)</f>
        <v/>
      </c>
      <c r="B772" s="10">
        <f>IF(A772="","",GL_CLEAN!B772)</f>
        <v/>
      </c>
      <c r="C772" s="11">
        <f>IF(A772="","",GL_CLEAN!C772)</f>
        <v/>
      </c>
      <c r="D772" s="14">
        <f>IF(A772="","",GL_CLEAN!H772)</f>
        <v/>
      </c>
      <c r="E772" s="14">
        <f>IF(A772="","",GL_CLEAN!I772)</f>
        <v/>
      </c>
      <c r="F772" s="11">
        <f>IF(A772="","",GL_CLEAN!J772)</f>
        <v/>
      </c>
      <c r="G772" s="11">
        <f>IF(A772="","",IF(F772="OUT","DR","CR"))</f>
        <v/>
      </c>
      <c r="H772" s="11">
        <f>IF(A772="","",IFERROR(INDEX(BANK_CLEAN!$A$2:$A$1001,MATCH(MINIFS(BANK_CLEAN!$J$2:$J$1001,BANK_CLEAN!$H$2:$H$1001,G772,BANK_CLEAN!$L$2:$L$1001,""),BANK_CLEAN!$J$2:$J$1001,0)),""))</f>
        <v/>
      </c>
      <c r="I772" s="10">
        <f>IF(H772="","",INDEX(BANK_CLEAN!$B$2:$B$1001,H772))</f>
        <v/>
      </c>
      <c r="J772" s="14">
        <f>IF(H772="","",IF(F772="OUT",INDEX(BANK_CLEAN!$F$2:$F$1001,H772),INDEX(BANK_CLEAN!$E$2:$E$1001,H772)))</f>
        <v/>
      </c>
      <c r="K772" s="14">
        <f>IF(H772="","",ABS(E772-J772))</f>
        <v/>
      </c>
      <c r="L772" s="11">
        <f>IF(OR(H772="",B772="",I772=""),"",ABS(B772-I772))</f>
        <v/>
      </c>
      <c r="M772" s="15">
        <f>IF(H772="",0,LET(pct,IF(E772&gt;0,K772/E772,1),days,IFERROR(L772,999),100-pct*200-days*3))</f>
        <v/>
      </c>
      <c r="N772" s="11">
        <f>IF(A772="","",IF(H772="","Unmatched GL",IF(AND(K772&lt;=Tol_Amount,L772&lt;=Tol_Days),"Matched",IF(M772&gt;Tol_NearPct,"Near Match","Unmatched GL"))))</f>
        <v/>
      </c>
    </row>
    <row r="773">
      <c r="A773" s="13">
        <f>IF(GL_CLEAN!A773="","",GL_CLEAN!A773)</f>
        <v/>
      </c>
      <c r="B773" s="10">
        <f>IF(A773="","",GL_CLEAN!B773)</f>
        <v/>
      </c>
      <c r="C773" s="11">
        <f>IF(A773="","",GL_CLEAN!C773)</f>
        <v/>
      </c>
      <c r="D773" s="14">
        <f>IF(A773="","",GL_CLEAN!H773)</f>
        <v/>
      </c>
      <c r="E773" s="14">
        <f>IF(A773="","",GL_CLEAN!I773)</f>
        <v/>
      </c>
      <c r="F773" s="11">
        <f>IF(A773="","",GL_CLEAN!J773)</f>
        <v/>
      </c>
      <c r="G773" s="11">
        <f>IF(A773="","",IF(F773="OUT","DR","CR"))</f>
        <v/>
      </c>
      <c r="H773" s="11">
        <f>IF(A773="","",IFERROR(INDEX(BANK_CLEAN!$A$2:$A$1001,MATCH(MINIFS(BANK_CLEAN!$J$2:$J$1001,BANK_CLEAN!$H$2:$H$1001,G773,BANK_CLEAN!$L$2:$L$1001,""),BANK_CLEAN!$J$2:$J$1001,0)),""))</f>
        <v/>
      </c>
      <c r="I773" s="10">
        <f>IF(H773="","",INDEX(BANK_CLEAN!$B$2:$B$1001,H773))</f>
        <v/>
      </c>
      <c r="J773" s="14">
        <f>IF(H773="","",IF(F773="OUT",INDEX(BANK_CLEAN!$F$2:$F$1001,H773),INDEX(BANK_CLEAN!$E$2:$E$1001,H773)))</f>
        <v/>
      </c>
      <c r="K773" s="14">
        <f>IF(H773="","",ABS(E773-J773))</f>
        <v/>
      </c>
      <c r="L773" s="11">
        <f>IF(OR(H773="",B773="",I773=""),"",ABS(B773-I773))</f>
        <v/>
      </c>
      <c r="M773" s="15">
        <f>IF(H773="",0,LET(pct,IF(E773&gt;0,K773/E773,1),days,IFERROR(L773,999),100-pct*200-days*3))</f>
        <v/>
      </c>
      <c r="N773" s="11">
        <f>IF(A773="","",IF(H773="","Unmatched GL",IF(AND(K773&lt;=Tol_Amount,L773&lt;=Tol_Days),"Matched",IF(M773&gt;Tol_NearPct,"Near Match","Unmatched GL"))))</f>
        <v/>
      </c>
    </row>
    <row r="774">
      <c r="A774" s="13">
        <f>IF(GL_CLEAN!A774="","",GL_CLEAN!A774)</f>
        <v/>
      </c>
      <c r="B774" s="10">
        <f>IF(A774="","",GL_CLEAN!B774)</f>
        <v/>
      </c>
      <c r="C774" s="11">
        <f>IF(A774="","",GL_CLEAN!C774)</f>
        <v/>
      </c>
      <c r="D774" s="14">
        <f>IF(A774="","",GL_CLEAN!H774)</f>
        <v/>
      </c>
      <c r="E774" s="14">
        <f>IF(A774="","",GL_CLEAN!I774)</f>
        <v/>
      </c>
      <c r="F774" s="11">
        <f>IF(A774="","",GL_CLEAN!J774)</f>
        <v/>
      </c>
      <c r="G774" s="11">
        <f>IF(A774="","",IF(F774="OUT","DR","CR"))</f>
        <v/>
      </c>
      <c r="H774" s="11">
        <f>IF(A774="","",IFERROR(INDEX(BANK_CLEAN!$A$2:$A$1001,MATCH(MINIFS(BANK_CLEAN!$J$2:$J$1001,BANK_CLEAN!$H$2:$H$1001,G774,BANK_CLEAN!$L$2:$L$1001,""),BANK_CLEAN!$J$2:$J$1001,0)),""))</f>
        <v/>
      </c>
      <c r="I774" s="10">
        <f>IF(H774="","",INDEX(BANK_CLEAN!$B$2:$B$1001,H774))</f>
        <v/>
      </c>
      <c r="J774" s="14">
        <f>IF(H774="","",IF(F774="OUT",INDEX(BANK_CLEAN!$F$2:$F$1001,H774),INDEX(BANK_CLEAN!$E$2:$E$1001,H774)))</f>
        <v/>
      </c>
      <c r="K774" s="14">
        <f>IF(H774="","",ABS(E774-J774))</f>
        <v/>
      </c>
      <c r="L774" s="11">
        <f>IF(OR(H774="",B774="",I774=""),"",ABS(B774-I774))</f>
        <v/>
      </c>
      <c r="M774" s="15">
        <f>IF(H774="",0,LET(pct,IF(E774&gt;0,K774/E774,1),days,IFERROR(L774,999),100-pct*200-days*3))</f>
        <v/>
      </c>
      <c r="N774" s="11">
        <f>IF(A774="","",IF(H774="","Unmatched GL",IF(AND(K774&lt;=Tol_Amount,L774&lt;=Tol_Days),"Matched",IF(M774&gt;Tol_NearPct,"Near Match","Unmatched GL"))))</f>
        <v/>
      </c>
    </row>
    <row r="775">
      <c r="A775" s="13">
        <f>IF(GL_CLEAN!A775="","",GL_CLEAN!A775)</f>
        <v/>
      </c>
      <c r="B775" s="10">
        <f>IF(A775="","",GL_CLEAN!B775)</f>
        <v/>
      </c>
      <c r="C775" s="11">
        <f>IF(A775="","",GL_CLEAN!C775)</f>
        <v/>
      </c>
      <c r="D775" s="14">
        <f>IF(A775="","",GL_CLEAN!H775)</f>
        <v/>
      </c>
      <c r="E775" s="14">
        <f>IF(A775="","",GL_CLEAN!I775)</f>
        <v/>
      </c>
      <c r="F775" s="11">
        <f>IF(A775="","",GL_CLEAN!J775)</f>
        <v/>
      </c>
      <c r="G775" s="11">
        <f>IF(A775="","",IF(F775="OUT","DR","CR"))</f>
        <v/>
      </c>
      <c r="H775" s="11">
        <f>IF(A775="","",IFERROR(INDEX(BANK_CLEAN!$A$2:$A$1001,MATCH(MINIFS(BANK_CLEAN!$J$2:$J$1001,BANK_CLEAN!$H$2:$H$1001,G775,BANK_CLEAN!$L$2:$L$1001,""),BANK_CLEAN!$J$2:$J$1001,0)),""))</f>
        <v/>
      </c>
      <c r="I775" s="10">
        <f>IF(H775="","",INDEX(BANK_CLEAN!$B$2:$B$1001,H775))</f>
        <v/>
      </c>
      <c r="J775" s="14">
        <f>IF(H775="","",IF(F775="OUT",INDEX(BANK_CLEAN!$F$2:$F$1001,H775),INDEX(BANK_CLEAN!$E$2:$E$1001,H775)))</f>
        <v/>
      </c>
      <c r="K775" s="14">
        <f>IF(H775="","",ABS(E775-J775))</f>
        <v/>
      </c>
      <c r="L775" s="11">
        <f>IF(OR(H775="",B775="",I775=""),"",ABS(B775-I775))</f>
        <v/>
      </c>
      <c r="M775" s="15">
        <f>IF(H775="",0,LET(pct,IF(E775&gt;0,K775/E775,1),days,IFERROR(L775,999),100-pct*200-days*3))</f>
        <v/>
      </c>
      <c r="N775" s="11">
        <f>IF(A775="","",IF(H775="","Unmatched GL",IF(AND(K775&lt;=Tol_Amount,L775&lt;=Tol_Days),"Matched",IF(M775&gt;Tol_NearPct,"Near Match","Unmatched GL"))))</f>
        <v/>
      </c>
    </row>
    <row r="776">
      <c r="A776" s="13">
        <f>IF(GL_CLEAN!A776="","",GL_CLEAN!A776)</f>
        <v/>
      </c>
      <c r="B776" s="10">
        <f>IF(A776="","",GL_CLEAN!B776)</f>
        <v/>
      </c>
      <c r="C776" s="11">
        <f>IF(A776="","",GL_CLEAN!C776)</f>
        <v/>
      </c>
      <c r="D776" s="14">
        <f>IF(A776="","",GL_CLEAN!H776)</f>
        <v/>
      </c>
      <c r="E776" s="14">
        <f>IF(A776="","",GL_CLEAN!I776)</f>
        <v/>
      </c>
      <c r="F776" s="11">
        <f>IF(A776="","",GL_CLEAN!J776)</f>
        <v/>
      </c>
      <c r="G776" s="11">
        <f>IF(A776="","",IF(F776="OUT","DR","CR"))</f>
        <v/>
      </c>
      <c r="H776" s="11">
        <f>IF(A776="","",IFERROR(INDEX(BANK_CLEAN!$A$2:$A$1001,MATCH(MINIFS(BANK_CLEAN!$J$2:$J$1001,BANK_CLEAN!$H$2:$H$1001,G776,BANK_CLEAN!$L$2:$L$1001,""),BANK_CLEAN!$J$2:$J$1001,0)),""))</f>
        <v/>
      </c>
      <c r="I776" s="10">
        <f>IF(H776="","",INDEX(BANK_CLEAN!$B$2:$B$1001,H776))</f>
        <v/>
      </c>
      <c r="J776" s="14">
        <f>IF(H776="","",IF(F776="OUT",INDEX(BANK_CLEAN!$F$2:$F$1001,H776),INDEX(BANK_CLEAN!$E$2:$E$1001,H776)))</f>
        <v/>
      </c>
      <c r="K776" s="14">
        <f>IF(H776="","",ABS(E776-J776))</f>
        <v/>
      </c>
      <c r="L776" s="11">
        <f>IF(OR(H776="",B776="",I776=""),"",ABS(B776-I776))</f>
        <v/>
      </c>
      <c r="M776" s="15">
        <f>IF(H776="",0,LET(pct,IF(E776&gt;0,K776/E776,1),days,IFERROR(L776,999),100-pct*200-days*3))</f>
        <v/>
      </c>
      <c r="N776" s="11">
        <f>IF(A776="","",IF(H776="","Unmatched GL",IF(AND(K776&lt;=Tol_Amount,L776&lt;=Tol_Days),"Matched",IF(M776&gt;Tol_NearPct,"Near Match","Unmatched GL"))))</f>
        <v/>
      </c>
    </row>
    <row r="777">
      <c r="A777" s="13">
        <f>IF(GL_CLEAN!A777="","",GL_CLEAN!A777)</f>
        <v/>
      </c>
      <c r="B777" s="10">
        <f>IF(A777="","",GL_CLEAN!B777)</f>
        <v/>
      </c>
      <c r="C777" s="11">
        <f>IF(A777="","",GL_CLEAN!C777)</f>
        <v/>
      </c>
      <c r="D777" s="14">
        <f>IF(A777="","",GL_CLEAN!H777)</f>
        <v/>
      </c>
      <c r="E777" s="14">
        <f>IF(A777="","",GL_CLEAN!I777)</f>
        <v/>
      </c>
      <c r="F777" s="11">
        <f>IF(A777="","",GL_CLEAN!J777)</f>
        <v/>
      </c>
      <c r="G777" s="11">
        <f>IF(A777="","",IF(F777="OUT","DR","CR"))</f>
        <v/>
      </c>
      <c r="H777" s="11">
        <f>IF(A777="","",IFERROR(INDEX(BANK_CLEAN!$A$2:$A$1001,MATCH(MINIFS(BANK_CLEAN!$J$2:$J$1001,BANK_CLEAN!$H$2:$H$1001,G777,BANK_CLEAN!$L$2:$L$1001,""),BANK_CLEAN!$J$2:$J$1001,0)),""))</f>
        <v/>
      </c>
      <c r="I777" s="10">
        <f>IF(H777="","",INDEX(BANK_CLEAN!$B$2:$B$1001,H777))</f>
        <v/>
      </c>
      <c r="J777" s="14">
        <f>IF(H777="","",IF(F777="OUT",INDEX(BANK_CLEAN!$F$2:$F$1001,H777),INDEX(BANK_CLEAN!$E$2:$E$1001,H777)))</f>
        <v/>
      </c>
      <c r="K777" s="14">
        <f>IF(H777="","",ABS(E777-J777))</f>
        <v/>
      </c>
      <c r="L777" s="11">
        <f>IF(OR(H777="",B777="",I777=""),"",ABS(B777-I777))</f>
        <v/>
      </c>
      <c r="M777" s="15">
        <f>IF(H777="",0,LET(pct,IF(E777&gt;0,K777/E777,1),days,IFERROR(L777,999),100-pct*200-days*3))</f>
        <v/>
      </c>
      <c r="N777" s="11">
        <f>IF(A777="","",IF(H777="","Unmatched GL",IF(AND(K777&lt;=Tol_Amount,L777&lt;=Tol_Days),"Matched",IF(M777&gt;Tol_NearPct,"Near Match","Unmatched GL"))))</f>
        <v/>
      </c>
    </row>
    <row r="778">
      <c r="A778" s="13">
        <f>IF(GL_CLEAN!A778="","",GL_CLEAN!A778)</f>
        <v/>
      </c>
      <c r="B778" s="10">
        <f>IF(A778="","",GL_CLEAN!B778)</f>
        <v/>
      </c>
      <c r="C778" s="11">
        <f>IF(A778="","",GL_CLEAN!C778)</f>
        <v/>
      </c>
      <c r="D778" s="14">
        <f>IF(A778="","",GL_CLEAN!H778)</f>
        <v/>
      </c>
      <c r="E778" s="14">
        <f>IF(A778="","",GL_CLEAN!I778)</f>
        <v/>
      </c>
      <c r="F778" s="11">
        <f>IF(A778="","",GL_CLEAN!J778)</f>
        <v/>
      </c>
      <c r="G778" s="11">
        <f>IF(A778="","",IF(F778="OUT","DR","CR"))</f>
        <v/>
      </c>
      <c r="H778" s="11">
        <f>IF(A778="","",IFERROR(INDEX(BANK_CLEAN!$A$2:$A$1001,MATCH(MINIFS(BANK_CLEAN!$J$2:$J$1001,BANK_CLEAN!$H$2:$H$1001,G778,BANK_CLEAN!$L$2:$L$1001,""),BANK_CLEAN!$J$2:$J$1001,0)),""))</f>
        <v/>
      </c>
      <c r="I778" s="10">
        <f>IF(H778="","",INDEX(BANK_CLEAN!$B$2:$B$1001,H778))</f>
        <v/>
      </c>
      <c r="J778" s="14">
        <f>IF(H778="","",IF(F778="OUT",INDEX(BANK_CLEAN!$F$2:$F$1001,H778),INDEX(BANK_CLEAN!$E$2:$E$1001,H778)))</f>
        <v/>
      </c>
      <c r="K778" s="14">
        <f>IF(H778="","",ABS(E778-J778))</f>
        <v/>
      </c>
      <c r="L778" s="11">
        <f>IF(OR(H778="",B778="",I778=""),"",ABS(B778-I778))</f>
        <v/>
      </c>
      <c r="M778" s="15">
        <f>IF(H778="",0,LET(pct,IF(E778&gt;0,K778/E778,1),days,IFERROR(L778,999),100-pct*200-days*3))</f>
        <v/>
      </c>
      <c r="N778" s="11">
        <f>IF(A778="","",IF(H778="","Unmatched GL",IF(AND(K778&lt;=Tol_Amount,L778&lt;=Tol_Days),"Matched",IF(M778&gt;Tol_NearPct,"Near Match","Unmatched GL"))))</f>
        <v/>
      </c>
    </row>
    <row r="779">
      <c r="A779" s="13">
        <f>IF(GL_CLEAN!A779="","",GL_CLEAN!A779)</f>
        <v/>
      </c>
      <c r="B779" s="10">
        <f>IF(A779="","",GL_CLEAN!B779)</f>
        <v/>
      </c>
      <c r="C779" s="11">
        <f>IF(A779="","",GL_CLEAN!C779)</f>
        <v/>
      </c>
      <c r="D779" s="14">
        <f>IF(A779="","",GL_CLEAN!H779)</f>
        <v/>
      </c>
      <c r="E779" s="14">
        <f>IF(A779="","",GL_CLEAN!I779)</f>
        <v/>
      </c>
      <c r="F779" s="11">
        <f>IF(A779="","",GL_CLEAN!J779)</f>
        <v/>
      </c>
      <c r="G779" s="11">
        <f>IF(A779="","",IF(F779="OUT","DR","CR"))</f>
        <v/>
      </c>
      <c r="H779" s="11">
        <f>IF(A779="","",IFERROR(INDEX(BANK_CLEAN!$A$2:$A$1001,MATCH(MINIFS(BANK_CLEAN!$J$2:$J$1001,BANK_CLEAN!$H$2:$H$1001,G779,BANK_CLEAN!$L$2:$L$1001,""),BANK_CLEAN!$J$2:$J$1001,0)),""))</f>
        <v/>
      </c>
      <c r="I779" s="10">
        <f>IF(H779="","",INDEX(BANK_CLEAN!$B$2:$B$1001,H779))</f>
        <v/>
      </c>
      <c r="J779" s="14">
        <f>IF(H779="","",IF(F779="OUT",INDEX(BANK_CLEAN!$F$2:$F$1001,H779),INDEX(BANK_CLEAN!$E$2:$E$1001,H779)))</f>
        <v/>
      </c>
      <c r="K779" s="14">
        <f>IF(H779="","",ABS(E779-J779))</f>
        <v/>
      </c>
      <c r="L779" s="11">
        <f>IF(OR(H779="",B779="",I779=""),"",ABS(B779-I779))</f>
        <v/>
      </c>
      <c r="M779" s="15">
        <f>IF(H779="",0,LET(pct,IF(E779&gt;0,K779/E779,1),days,IFERROR(L779,999),100-pct*200-days*3))</f>
        <v/>
      </c>
      <c r="N779" s="11">
        <f>IF(A779="","",IF(H779="","Unmatched GL",IF(AND(K779&lt;=Tol_Amount,L779&lt;=Tol_Days),"Matched",IF(M779&gt;Tol_NearPct,"Near Match","Unmatched GL"))))</f>
        <v/>
      </c>
    </row>
    <row r="780">
      <c r="A780" s="13">
        <f>IF(GL_CLEAN!A780="","",GL_CLEAN!A780)</f>
        <v/>
      </c>
      <c r="B780" s="10">
        <f>IF(A780="","",GL_CLEAN!B780)</f>
        <v/>
      </c>
      <c r="C780" s="11">
        <f>IF(A780="","",GL_CLEAN!C780)</f>
        <v/>
      </c>
      <c r="D780" s="14">
        <f>IF(A780="","",GL_CLEAN!H780)</f>
        <v/>
      </c>
      <c r="E780" s="14">
        <f>IF(A780="","",GL_CLEAN!I780)</f>
        <v/>
      </c>
      <c r="F780" s="11">
        <f>IF(A780="","",GL_CLEAN!J780)</f>
        <v/>
      </c>
      <c r="G780" s="11">
        <f>IF(A780="","",IF(F780="OUT","DR","CR"))</f>
        <v/>
      </c>
      <c r="H780" s="11">
        <f>IF(A780="","",IFERROR(INDEX(BANK_CLEAN!$A$2:$A$1001,MATCH(MINIFS(BANK_CLEAN!$J$2:$J$1001,BANK_CLEAN!$H$2:$H$1001,G780,BANK_CLEAN!$L$2:$L$1001,""),BANK_CLEAN!$J$2:$J$1001,0)),""))</f>
        <v/>
      </c>
      <c r="I780" s="10">
        <f>IF(H780="","",INDEX(BANK_CLEAN!$B$2:$B$1001,H780))</f>
        <v/>
      </c>
      <c r="J780" s="14">
        <f>IF(H780="","",IF(F780="OUT",INDEX(BANK_CLEAN!$F$2:$F$1001,H780),INDEX(BANK_CLEAN!$E$2:$E$1001,H780)))</f>
        <v/>
      </c>
      <c r="K780" s="14">
        <f>IF(H780="","",ABS(E780-J780))</f>
        <v/>
      </c>
      <c r="L780" s="11">
        <f>IF(OR(H780="",B780="",I780=""),"",ABS(B780-I780))</f>
        <v/>
      </c>
      <c r="M780" s="15">
        <f>IF(H780="",0,LET(pct,IF(E780&gt;0,K780/E780,1),days,IFERROR(L780,999),100-pct*200-days*3))</f>
        <v/>
      </c>
      <c r="N780" s="11">
        <f>IF(A780="","",IF(H780="","Unmatched GL",IF(AND(K780&lt;=Tol_Amount,L780&lt;=Tol_Days),"Matched",IF(M780&gt;Tol_NearPct,"Near Match","Unmatched GL"))))</f>
        <v/>
      </c>
    </row>
    <row r="781">
      <c r="A781" s="13">
        <f>IF(GL_CLEAN!A781="","",GL_CLEAN!A781)</f>
        <v/>
      </c>
      <c r="B781" s="10">
        <f>IF(A781="","",GL_CLEAN!B781)</f>
        <v/>
      </c>
      <c r="C781" s="11">
        <f>IF(A781="","",GL_CLEAN!C781)</f>
        <v/>
      </c>
      <c r="D781" s="14">
        <f>IF(A781="","",GL_CLEAN!H781)</f>
        <v/>
      </c>
      <c r="E781" s="14">
        <f>IF(A781="","",GL_CLEAN!I781)</f>
        <v/>
      </c>
      <c r="F781" s="11">
        <f>IF(A781="","",GL_CLEAN!J781)</f>
        <v/>
      </c>
      <c r="G781" s="11">
        <f>IF(A781="","",IF(F781="OUT","DR","CR"))</f>
        <v/>
      </c>
      <c r="H781" s="11">
        <f>IF(A781="","",IFERROR(INDEX(BANK_CLEAN!$A$2:$A$1001,MATCH(MINIFS(BANK_CLEAN!$J$2:$J$1001,BANK_CLEAN!$H$2:$H$1001,G781,BANK_CLEAN!$L$2:$L$1001,""),BANK_CLEAN!$J$2:$J$1001,0)),""))</f>
        <v/>
      </c>
      <c r="I781" s="10">
        <f>IF(H781="","",INDEX(BANK_CLEAN!$B$2:$B$1001,H781))</f>
        <v/>
      </c>
      <c r="J781" s="14">
        <f>IF(H781="","",IF(F781="OUT",INDEX(BANK_CLEAN!$F$2:$F$1001,H781),INDEX(BANK_CLEAN!$E$2:$E$1001,H781)))</f>
        <v/>
      </c>
      <c r="K781" s="14">
        <f>IF(H781="","",ABS(E781-J781))</f>
        <v/>
      </c>
      <c r="L781" s="11">
        <f>IF(OR(H781="",B781="",I781=""),"",ABS(B781-I781))</f>
        <v/>
      </c>
      <c r="M781" s="15">
        <f>IF(H781="",0,LET(pct,IF(E781&gt;0,K781/E781,1),days,IFERROR(L781,999),100-pct*200-days*3))</f>
        <v/>
      </c>
      <c r="N781" s="11">
        <f>IF(A781="","",IF(H781="","Unmatched GL",IF(AND(K781&lt;=Tol_Amount,L781&lt;=Tol_Days),"Matched",IF(M781&gt;Tol_NearPct,"Near Match","Unmatched GL"))))</f>
        <v/>
      </c>
    </row>
    <row r="782">
      <c r="A782" s="13">
        <f>IF(GL_CLEAN!A782="","",GL_CLEAN!A782)</f>
        <v/>
      </c>
      <c r="B782" s="10">
        <f>IF(A782="","",GL_CLEAN!B782)</f>
        <v/>
      </c>
      <c r="C782" s="11">
        <f>IF(A782="","",GL_CLEAN!C782)</f>
        <v/>
      </c>
      <c r="D782" s="14">
        <f>IF(A782="","",GL_CLEAN!H782)</f>
        <v/>
      </c>
      <c r="E782" s="14">
        <f>IF(A782="","",GL_CLEAN!I782)</f>
        <v/>
      </c>
      <c r="F782" s="11">
        <f>IF(A782="","",GL_CLEAN!J782)</f>
        <v/>
      </c>
      <c r="G782" s="11">
        <f>IF(A782="","",IF(F782="OUT","DR","CR"))</f>
        <v/>
      </c>
      <c r="H782" s="11">
        <f>IF(A782="","",IFERROR(INDEX(BANK_CLEAN!$A$2:$A$1001,MATCH(MINIFS(BANK_CLEAN!$J$2:$J$1001,BANK_CLEAN!$H$2:$H$1001,G782,BANK_CLEAN!$L$2:$L$1001,""),BANK_CLEAN!$J$2:$J$1001,0)),""))</f>
        <v/>
      </c>
      <c r="I782" s="10">
        <f>IF(H782="","",INDEX(BANK_CLEAN!$B$2:$B$1001,H782))</f>
        <v/>
      </c>
      <c r="J782" s="14">
        <f>IF(H782="","",IF(F782="OUT",INDEX(BANK_CLEAN!$F$2:$F$1001,H782),INDEX(BANK_CLEAN!$E$2:$E$1001,H782)))</f>
        <v/>
      </c>
      <c r="K782" s="14">
        <f>IF(H782="","",ABS(E782-J782))</f>
        <v/>
      </c>
      <c r="L782" s="11">
        <f>IF(OR(H782="",B782="",I782=""),"",ABS(B782-I782))</f>
        <v/>
      </c>
      <c r="M782" s="15">
        <f>IF(H782="",0,LET(pct,IF(E782&gt;0,K782/E782,1),days,IFERROR(L782,999),100-pct*200-days*3))</f>
        <v/>
      </c>
      <c r="N782" s="11">
        <f>IF(A782="","",IF(H782="","Unmatched GL",IF(AND(K782&lt;=Tol_Amount,L782&lt;=Tol_Days),"Matched",IF(M782&gt;Tol_NearPct,"Near Match","Unmatched GL"))))</f>
        <v/>
      </c>
    </row>
    <row r="783">
      <c r="A783" s="13">
        <f>IF(GL_CLEAN!A783="","",GL_CLEAN!A783)</f>
        <v/>
      </c>
      <c r="B783" s="10">
        <f>IF(A783="","",GL_CLEAN!B783)</f>
        <v/>
      </c>
      <c r="C783" s="11">
        <f>IF(A783="","",GL_CLEAN!C783)</f>
        <v/>
      </c>
      <c r="D783" s="14">
        <f>IF(A783="","",GL_CLEAN!H783)</f>
        <v/>
      </c>
      <c r="E783" s="14">
        <f>IF(A783="","",GL_CLEAN!I783)</f>
        <v/>
      </c>
      <c r="F783" s="11">
        <f>IF(A783="","",GL_CLEAN!J783)</f>
        <v/>
      </c>
      <c r="G783" s="11">
        <f>IF(A783="","",IF(F783="OUT","DR","CR"))</f>
        <v/>
      </c>
      <c r="H783" s="11">
        <f>IF(A783="","",IFERROR(INDEX(BANK_CLEAN!$A$2:$A$1001,MATCH(MINIFS(BANK_CLEAN!$J$2:$J$1001,BANK_CLEAN!$H$2:$H$1001,G783,BANK_CLEAN!$L$2:$L$1001,""),BANK_CLEAN!$J$2:$J$1001,0)),""))</f>
        <v/>
      </c>
      <c r="I783" s="10">
        <f>IF(H783="","",INDEX(BANK_CLEAN!$B$2:$B$1001,H783))</f>
        <v/>
      </c>
      <c r="J783" s="14">
        <f>IF(H783="","",IF(F783="OUT",INDEX(BANK_CLEAN!$F$2:$F$1001,H783),INDEX(BANK_CLEAN!$E$2:$E$1001,H783)))</f>
        <v/>
      </c>
      <c r="K783" s="14">
        <f>IF(H783="","",ABS(E783-J783))</f>
        <v/>
      </c>
      <c r="L783" s="11">
        <f>IF(OR(H783="",B783="",I783=""),"",ABS(B783-I783))</f>
        <v/>
      </c>
      <c r="M783" s="15">
        <f>IF(H783="",0,LET(pct,IF(E783&gt;0,K783/E783,1),days,IFERROR(L783,999),100-pct*200-days*3))</f>
        <v/>
      </c>
      <c r="N783" s="11">
        <f>IF(A783="","",IF(H783="","Unmatched GL",IF(AND(K783&lt;=Tol_Amount,L783&lt;=Tol_Days),"Matched",IF(M783&gt;Tol_NearPct,"Near Match","Unmatched GL"))))</f>
        <v/>
      </c>
    </row>
    <row r="784">
      <c r="A784" s="13">
        <f>IF(GL_CLEAN!A784="","",GL_CLEAN!A784)</f>
        <v/>
      </c>
      <c r="B784" s="10">
        <f>IF(A784="","",GL_CLEAN!B784)</f>
        <v/>
      </c>
      <c r="C784" s="11">
        <f>IF(A784="","",GL_CLEAN!C784)</f>
        <v/>
      </c>
      <c r="D784" s="14">
        <f>IF(A784="","",GL_CLEAN!H784)</f>
        <v/>
      </c>
      <c r="E784" s="14">
        <f>IF(A784="","",GL_CLEAN!I784)</f>
        <v/>
      </c>
      <c r="F784" s="11">
        <f>IF(A784="","",GL_CLEAN!J784)</f>
        <v/>
      </c>
      <c r="G784" s="11">
        <f>IF(A784="","",IF(F784="OUT","DR","CR"))</f>
        <v/>
      </c>
      <c r="H784" s="11">
        <f>IF(A784="","",IFERROR(INDEX(BANK_CLEAN!$A$2:$A$1001,MATCH(MINIFS(BANK_CLEAN!$J$2:$J$1001,BANK_CLEAN!$H$2:$H$1001,G784,BANK_CLEAN!$L$2:$L$1001,""),BANK_CLEAN!$J$2:$J$1001,0)),""))</f>
        <v/>
      </c>
      <c r="I784" s="10">
        <f>IF(H784="","",INDEX(BANK_CLEAN!$B$2:$B$1001,H784))</f>
        <v/>
      </c>
      <c r="J784" s="14">
        <f>IF(H784="","",IF(F784="OUT",INDEX(BANK_CLEAN!$F$2:$F$1001,H784),INDEX(BANK_CLEAN!$E$2:$E$1001,H784)))</f>
        <v/>
      </c>
      <c r="K784" s="14">
        <f>IF(H784="","",ABS(E784-J784))</f>
        <v/>
      </c>
      <c r="L784" s="11">
        <f>IF(OR(H784="",B784="",I784=""),"",ABS(B784-I784))</f>
        <v/>
      </c>
      <c r="M784" s="15">
        <f>IF(H784="",0,LET(pct,IF(E784&gt;0,K784/E784,1),days,IFERROR(L784,999),100-pct*200-days*3))</f>
        <v/>
      </c>
      <c r="N784" s="11">
        <f>IF(A784="","",IF(H784="","Unmatched GL",IF(AND(K784&lt;=Tol_Amount,L784&lt;=Tol_Days),"Matched",IF(M784&gt;Tol_NearPct,"Near Match","Unmatched GL"))))</f>
        <v/>
      </c>
    </row>
    <row r="785">
      <c r="A785" s="13">
        <f>IF(GL_CLEAN!A785="","",GL_CLEAN!A785)</f>
        <v/>
      </c>
      <c r="B785" s="10">
        <f>IF(A785="","",GL_CLEAN!B785)</f>
        <v/>
      </c>
      <c r="C785" s="11">
        <f>IF(A785="","",GL_CLEAN!C785)</f>
        <v/>
      </c>
      <c r="D785" s="14">
        <f>IF(A785="","",GL_CLEAN!H785)</f>
        <v/>
      </c>
      <c r="E785" s="14">
        <f>IF(A785="","",GL_CLEAN!I785)</f>
        <v/>
      </c>
      <c r="F785" s="11">
        <f>IF(A785="","",GL_CLEAN!J785)</f>
        <v/>
      </c>
      <c r="G785" s="11">
        <f>IF(A785="","",IF(F785="OUT","DR","CR"))</f>
        <v/>
      </c>
      <c r="H785" s="11">
        <f>IF(A785="","",IFERROR(INDEX(BANK_CLEAN!$A$2:$A$1001,MATCH(MINIFS(BANK_CLEAN!$J$2:$J$1001,BANK_CLEAN!$H$2:$H$1001,G785,BANK_CLEAN!$L$2:$L$1001,""),BANK_CLEAN!$J$2:$J$1001,0)),""))</f>
        <v/>
      </c>
      <c r="I785" s="10">
        <f>IF(H785="","",INDEX(BANK_CLEAN!$B$2:$B$1001,H785))</f>
        <v/>
      </c>
      <c r="J785" s="14">
        <f>IF(H785="","",IF(F785="OUT",INDEX(BANK_CLEAN!$F$2:$F$1001,H785),INDEX(BANK_CLEAN!$E$2:$E$1001,H785)))</f>
        <v/>
      </c>
      <c r="K785" s="14">
        <f>IF(H785="","",ABS(E785-J785))</f>
        <v/>
      </c>
      <c r="L785" s="11">
        <f>IF(OR(H785="",B785="",I785=""),"",ABS(B785-I785))</f>
        <v/>
      </c>
      <c r="M785" s="15">
        <f>IF(H785="",0,LET(pct,IF(E785&gt;0,K785/E785,1),days,IFERROR(L785,999),100-pct*200-days*3))</f>
        <v/>
      </c>
      <c r="N785" s="11">
        <f>IF(A785="","",IF(H785="","Unmatched GL",IF(AND(K785&lt;=Tol_Amount,L785&lt;=Tol_Days),"Matched",IF(M785&gt;Tol_NearPct,"Near Match","Unmatched GL"))))</f>
        <v/>
      </c>
    </row>
    <row r="786">
      <c r="A786" s="13">
        <f>IF(GL_CLEAN!A786="","",GL_CLEAN!A786)</f>
        <v/>
      </c>
      <c r="B786" s="10">
        <f>IF(A786="","",GL_CLEAN!B786)</f>
        <v/>
      </c>
      <c r="C786" s="11">
        <f>IF(A786="","",GL_CLEAN!C786)</f>
        <v/>
      </c>
      <c r="D786" s="14">
        <f>IF(A786="","",GL_CLEAN!H786)</f>
        <v/>
      </c>
      <c r="E786" s="14">
        <f>IF(A786="","",GL_CLEAN!I786)</f>
        <v/>
      </c>
      <c r="F786" s="11">
        <f>IF(A786="","",GL_CLEAN!J786)</f>
        <v/>
      </c>
      <c r="G786" s="11">
        <f>IF(A786="","",IF(F786="OUT","DR","CR"))</f>
        <v/>
      </c>
      <c r="H786" s="11">
        <f>IF(A786="","",IFERROR(INDEX(BANK_CLEAN!$A$2:$A$1001,MATCH(MINIFS(BANK_CLEAN!$J$2:$J$1001,BANK_CLEAN!$H$2:$H$1001,G786,BANK_CLEAN!$L$2:$L$1001,""),BANK_CLEAN!$J$2:$J$1001,0)),""))</f>
        <v/>
      </c>
      <c r="I786" s="10">
        <f>IF(H786="","",INDEX(BANK_CLEAN!$B$2:$B$1001,H786))</f>
        <v/>
      </c>
      <c r="J786" s="14">
        <f>IF(H786="","",IF(F786="OUT",INDEX(BANK_CLEAN!$F$2:$F$1001,H786),INDEX(BANK_CLEAN!$E$2:$E$1001,H786)))</f>
        <v/>
      </c>
      <c r="K786" s="14">
        <f>IF(H786="","",ABS(E786-J786))</f>
        <v/>
      </c>
      <c r="L786" s="11">
        <f>IF(OR(H786="",B786="",I786=""),"",ABS(B786-I786))</f>
        <v/>
      </c>
      <c r="M786" s="15">
        <f>IF(H786="",0,LET(pct,IF(E786&gt;0,K786/E786,1),days,IFERROR(L786,999),100-pct*200-days*3))</f>
        <v/>
      </c>
      <c r="N786" s="11">
        <f>IF(A786="","",IF(H786="","Unmatched GL",IF(AND(K786&lt;=Tol_Amount,L786&lt;=Tol_Days),"Matched",IF(M786&gt;Tol_NearPct,"Near Match","Unmatched GL"))))</f>
        <v/>
      </c>
    </row>
    <row r="787">
      <c r="A787" s="13">
        <f>IF(GL_CLEAN!A787="","",GL_CLEAN!A787)</f>
        <v/>
      </c>
      <c r="B787" s="10">
        <f>IF(A787="","",GL_CLEAN!B787)</f>
        <v/>
      </c>
      <c r="C787" s="11">
        <f>IF(A787="","",GL_CLEAN!C787)</f>
        <v/>
      </c>
      <c r="D787" s="14">
        <f>IF(A787="","",GL_CLEAN!H787)</f>
        <v/>
      </c>
      <c r="E787" s="14">
        <f>IF(A787="","",GL_CLEAN!I787)</f>
        <v/>
      </c>
      <c r="F787" s="11">
        <f>IF(A787="","",GL_CLEAN!J787)</f>
        <v/>
      </c>
      <c r="G787" s="11">
        <f>IF(A787="","",IF(F787="OUT","DR","CR"))</f>
        <v/>
      </c>
      <c r="H787" s="11">
        <f>IF(A787="","",IFERROR(INDEX(BANK_CLEAN!$A$2:$A$1001,MATCH(MINIFS(BANK_CLEAN!$J$2:$J$1001,BANK_CLEAN!$H$2:$H$1001,G787,BANK_CLEAN!$L$2:$L$1001,""),BANK_CLEAN!$J$2:$J$1001,0)),""))</f>
        <v/>
      </c>
      <c r="I787" s="10">
        <f>IF(H787="","",INDEX(BANK_CLEAN!$B$2:$B$1001,H787))</f>
        <v/>
      </c>
      <c r="J787" s="14">
        <f>IF(H787="","",IF(F787="OUT",INDEX(BANK_CLEAN!$F$2:$F$1001,H787),INDEX(BANK_CLEAN!$E$2:$E$1001,H787)))</f>
        <v/>
      </c>
      <c r="K787" s="14">
        <f>IF(H787="","",ABS(E787-J787))</f>
        <v/>
      </c>
      <c r="L787" s="11">
        <f>IF(OR(H787="",B787="",I787=""),"",ABS(B787-I787))</f>
        <v/>
      </c>
      <c r="M787" s="15">
        <f>IF(H787="",0,LET(pct,IF(E787&gt;0,K787/E787,1),days,IFERROR(L787,999),100-pct*200-days*3))</f>
        <v/>
      </c>
      <c r="N787" s="11">
        <f>IF(A787="","",IF(H787="","Unmatched GL",IF(AND(K787&lt;=Tol_Amount,L787&lt;=Tol_Days),"Matched",IF(M787&gt;Tol_NearPct,"Near Match","Unmatched GL"))))</f>
        <v/>
      </c>
    </row>
    <row r="788">
      <c r="A788" s="13">
        <f>IF(GL_CLEAN!A788="","",GL_CLEAN!A788)</f>
        <v/>
      </c>
      <c r="B788" s="10">
        <f>IF(A788="","",GL_CLEAN!B788)</f>
        <v/>
      </c>
      <c r="C788" s="11">
        <f>IF(A788="","",GL_CLEAN!C788)</f>
        <v/>
      </c>
      <c r="D788" s="14">
        <f>IF(A788="","",GL_CLEAN!H788)</f>
        <v/>
      </c>
      <c r="E788" s="14">
        <f>IF(A788="","",GL_CLEAN!I788)</f>
        <v/>
      </c>
      <c r="F788" s="11">
        <f>IF(A788="","",GL_CLEAN!J788)</f>
        <v/>
      </c>
      <c r="G788" s="11">
        <f>IF(A788="","",IF(F788="OUT","DR","CR"))</f>
        <v/>
      </c>
      <c r="H788" s="11">
        <f>IF(A788="","",IFERROR(INDEX(BANK_CLEAN!$A$2:$A$1001,MATCH(MINIFS(BANK_CLEAN!$J$2:$J$1001,BANK_CLEAN!$H$2:$H$1001,G788,BANK_CLEAN!$L$2:$L$1001,""),BANK_CLEAN!$J$2:$J$1001,0)),""))</f>
        <v/>
      </c>
      <c r="I788" s="10">
        <f>IF(H788="","",INDEX(BANK_CLEAN!$B$2:$B$1001,H788))</f>
        <v/>
      </c>
      <c r="J788" s="14">
        <f>IF(H788="","",IF(F788="OUT",INDEX(BANK_CLEAN!$F$2:$F$1001,H788),INDEX(BANK_CLEAN!$E$2:$E$1001,H788)))</f>
        <v/>
      </c>
      <c r="K788" s="14">
        <f>IF(H788="","",ABS(E788-J788))</f>
        <v/>
      </c>
      <c r="L788" s="11">
        <f>IF(OR(H788="",B788="",I788=""),"",ABS(B788-I788))</f>
        <v/>
      </c>
      <c r="M788" s="15">
        <f>IF(H788="",0,LET(pct,IF(E788&gt;0,K788/E788,1),days,IFERROR(L788,999),100-pct*200-days*3))</f>
        <v/>
      </c>
      <c r="N788" s="11">
        <f>IF(A788="","",IF(H788="","Unmatched GL",IF(AND(K788&lt;=Tol_Amount,L788&lt;=Tol_Days),"Matched",IF(M788&gt;Tol_NearPct,"Near Match","Unmatched GL"))))</f>
        <v/>
      </c>
    </row>
    <row r="789">
      <c r="A789" s="13">
        <f>IF(GL_CLEAN!A789="","",GL_CLEAN!A789)</f>
        <v/>
      </c>
      <c r="B789" s="10">
        <f>IF(A789="","",GL_CLEAN!B789)</f>
        <v/>
      </c>
      <c r="C789" s="11">
        <f>IF(A789="","",GL_CLEAN!C789)</f>
        <v/>
      </c>
      <c r="D789" s="14">
        <f>IF(A789="","",GL_CLEAN!H789)</f>
        <v/>
      </c>
      <c r="E789" s="14">
        <f>IF(A789="","",GL_CLEAN!I789)</f>
        <v/>
      </c>
      <c r="F789" s="11">
        <f>IF(A789="","",GL_CLEAN!J789)</f>
        <v/>
      </c>
      <c r="G789" s="11">
        <f>IF(A789="","",IF(F789="OUT","DR","CR"))</f>
        <v/>
      </c>
      <c r="H789" s="11">
        <f>IF(A789="","",IFERROR(INDEX(BANK_CLEAN!$A$2:$A$1001,MATCH(MINIFS(BANK_CLEAN!$J$2:$J$1001,BANK_CLEAN!$H$2:$H$1001,G789,BANK_CLEAN!$L$2:$L$1001,""),BANK_CLEAN!$J$2:$J$1001,0)),""))</f>
        <v/>
      </c>
      <c r="I789" s="10">
        <f>IF(H789="","",INDEX(BANK_CLEAN!$B$2:$B$1001,H789))</f>
        <v/>
      </c>
      <c r="J789" s="14">
        <f>IF(H789="","",IF(F789="OUT",INDEX(BANK_CLEAN!$F$2:$F$1001,H789),INDEX(BANK_CLEAN!$E$2:$E$1001,H789)))</f>
        <v/>
      </c>
      <c r="K789" s="14">
        <f>IF(H789="","",ABS(E789-J789))</f>
        <v/>
      </c>
      <c r="L789" s="11">
        <f>IF(OR(H789="",B789="",I789=""),"",ABS(B789-I789))</f>
        <v/>
      </c>
      <c r="M789" s="15">
        <f>IF(H789="",0,LET(pct,IF(E789&gt;0,K789/E789,1),days,IFERROR(L789,999),100-pct*200-days*3))</f>
        <v/>
      </c>
      <c r="N789" s="11">
        <f>IF(A789="","",IF(H789="","Unmatched GL",IF(AND(K789&lt;=Tol_Amount,L789&lt;=Tol_Days),"Matched",IF(M789&gt;Tol_NearPct,"Near Match","Unmatched GL"))))</f>
        <v/>
      </c>
    </row>
    <row r="790">
      <c r="A790" s="13">
        <f>IF(GL_CLEAN!A790="","",GL_CLEAN!A790)</f>
        <v/>
      </c>
      <c r="B790" s="10">
        <f>IF(A790="","",GL_CLEAN!B790)</f>
        <v/>
      </c>
      <c r="C790" s="11">
        <f>IF(A790="","",GL_CLEAN!C790)</f>
        <v/>
      </c>
      <c r="D790" s="14">
        <f>IF(A790="","",GL_CLEAN!H790)</f>
        <v/>
      </c>
      <c r="E790" s="14">
        <f>IF(A790="","",GL_CLEAN!I790)</f>
        <v/>
      </c>
      <c r="F790" s="11">
        <f>IF(A790="","",GL_CLEAN!J790)</f>
        <v/>
      </c>
      <c r="G790" s="11">
        <f>IF(A790="","",IF(F790="OUT","DR","CR"))</f>
        <v/>
      </c>
      <c r="H790" s="11">
        <f>IF(A790="","",IFERROR(INDEX(BANK_CLEAN!$A$2:$A$1001,MATCH(MINIFS(BANK_CLEAN!$J$2:$J$1001,BANK_CLEAN!$H$2:$H$1001,G790,BANK_CLEAN!$L$2:$L$1001,""),BANK_CLEAN!$J$2:$J$1001,0)),""))</f>
        <v/>
      </c>
      <c r="I790" s="10">
        <f>IF(H790="","",INDEX(BANK_CLEAN!$B$2:$B$1001,H790))</f>
        <v/>
      </c>
      <c r="J790" s="14">
        <f>IF(H790="","",IF(F790="OUT",INDEX(BANK_CLEAN!$F$2:$F$1001,H790),INDEX(BANK_CLEAN!$E$2:$E$1001,H790)))</f>
        <v/>
      </c>
      <c r="K790" s="14">
        <f>IF(H790="","",ABS(E790-J790))</f>
        <v/>
      </c>
      <c r="L790" s="11">
        <f>IF(OR(H790="",B790="",I790=""),"",ABS(B790-I790))</f>
        <v/>
      </c>
      <c r="M790" s="15">
        <f>IF(H790="",0,LET(pct,IF(E790&gt;0,K790/E790,1),days,IFERROR(L790,999),100-pct*200-days*3))</f>
        <v/>
      </c>
      <c r="N790" s="11">
        <f>IF(A790="","",IF(H790="","Unmatched GL",IF(AND(K790&lt;=Tol_Amount,L790&lt;=Tol_Days),"Matched",IF(M790&gt;Tol_NearPct,"Near Match","Unmatched GL"))))</f>
        <v/>
      </c>
    </row>
    <row r="791">
      <c r="A791" s="13">
        <f>IF(GL_CLEAN!A791="","",GL_CLEAN!A791)</f>
        <v/>
      </c>
      <c r="B791" s="10">
        <f>IF(A791="","",GL_CLEAN!B791)</f>
        <v/>
      </c>
      <c r="C791" s="11">
        <f>IF(A791="","",GL_CLEAN!C791)</f>
        <v/>
      </c>
      <c r="D791" s="14">
        <f>IF(A791="","",GL_CLEAN!H791)</f>
        <v/>
      </c>
      <c r="E791" s="14">
        <f>IF(A791="","",GL_CLEAN!I791)</f>
        <v/>
      </c>
      <c r="F791" s="11">
        <f>IF(A791="","",GL_CLEAN!J791)</f>
        <v/>
      </c>
      <c r="G791" s="11">
        <f>IF(A791="","",IF(F791="OUT","DR","CR"))</f>
        <v/>
      </c>
      <c r="H791" s="11">
        <f>IF(A791="","",IFERROR(INDEX(BANK_CLEAN!$A$2:$A$1001,MATCH(MINIFS(BANK_CLEAN!$J$2:$J$1001,BANK_CLEAN!$H$2:$H$1001,G791,BANK_CLEAN!$L$2:$L$1001,""),BANK_CLEAN!$J$2:$J$1001,0)),""))</f>
        <v/>
      </c>
      <c r="I791" s="10">
        <f>IF(H791="","",INDEX(BANK_CLEAN!$B$2:$B$1001,H791))</f>
        <v/>
      </c>
      <c r="J791" s="14">
        <f>IF(H791="","",IF(F791="OUT",INDEX(BANK_CLEAN!$F$2:$F$1001,H791),INDEX(BANK_CLEAN!$E$2:$E$1001,H791)))</f>
        <v/>
      </c>
      <c r="K791" s="14">
        <f>IF(H791="","",ABS(E791-J791))</f>
        <v/>
      </c>
      <c r="L791" s="11">
        <f>IF(OR(H791="",B791="",I791=""),"",ABS(B791-I791))</f>
        <v/>
      </c>
      <c r="M791" s="15">
        <f>IF(H791="",0,LET(pct,IF(E791&gt;0,K791/E791,1),days,IFERROR(L791,999),100-pct*200-days*3))</f>
        <v/>
      </c>
      <c r="N791" s="11">
        <f>IF(A791="","",IF(H791="","Unmatched GL",IF(AND(K791&lt;=Tol_Amount,L791&lt;=Tol_Days),"Matched",IF(M791&gt;Tol_NearPct,"Near Match","Unmatched GL"))))</f>
        <v/>
      </c>
    </row>
    <row r="792">
      <c r="A792" s="13">
        <f>IF(GL_CLEAN!A792="","",GL_CLEAN!A792)</f>
        <v/>
      </c>
      <c r="B792" s="10">
        <f>IF(A792="","",GL_CLEAN!B792)</f>
        <v/>
      </c>
      <c r="C792" s="11">
        <f>IF(A792="","",GL_CLEAN!C792)</f>
        <v/>
      </c>
      <c r="D792" s="14">
        <f>IF(A792="","",GL_CLEAN!H792)</f>
        <v/>
      </c>
      <c r="E792" s="14">
        <f>IF(A792="","",GL_CLEAN!I792)</f>
        <v/>
      </c>
      <c r="F792" s="11">
        <f>IF(A792="","",GL_CLEAN!J792)</f>
        <v/>
      </c>
      <c r="G792" s="11">
        <f>IF(A792="","",IF(F792="OUT","DR","CR"))</f>
        <v/>
      </c>
      <c r="H792" s="11">
        <f>IF(A792="","",IFERROR(INDEX(BANK_CLEAN!$A$2:$A$1001,MATCH(MINIFS(BANK_CLEAN!$J$2:$J$1001,BANK_CLEAN!$H$2:$H$1001,G792,BANK_CLEAN!$L$2:$L$1001,""),BANK_CLEAN!$J$2:$J$1001,0)),""))</f>
        <v/>
      </c>
      <c r="I792" s="10">
        <f>IF(H792="","",INDEX(BANK_CLEAN!$B$2:$B$1001,H792))</f>
        <v/>
      </c>
      <c r="J792" s="14">
        <f>IF(H792="","",IF(F792="OUT",INDEX(BANK_CLEAN!$F$2:$F$1001,H792),INDEX(BANK_CLEAN!$E$2:$E$1001,H792)))</f>
        <v/>
      </c>
      <c r="K792" s="14">
        <f>IF(H792="","",ABS(E792-J792))</f>
        <v/>
      </c>
      <c r="L792" s="11">
        <f>IF(OR(H792="",B792="",I792=""),"",ABS(B792-I792))</f>
        <v/>
      </c>
      <c r="M792" s="15">
        <f>IF(H792="",0,LET(pct,IF(E792&gt;0,K792/E792,1),days,IFERROR(L792,999),100-pct*200-days*3))</f>
        <v/>
      </c>
      <c r="N792" s="11">
        <f>IF(A792="","",IF(H792="","Unmatched GL",IF(AND(K792&lt;=Tol_Amount,L792&lt;=Tol_Days),"Matched",IF(M792&gt;Tol_NearPct,"Near Match","Unmatched GL"))))</f>
        <v/>
      </c>
    </row>
    <row r="793">
      <c r="A793" s="13">
        <f>IF(GL_CLEAN!A793="","",GL_CLEAN!A793)</f>
        <v/>
      </c>
      <c r="B793" s="10">
        <f>IF(A793="","",GL_CLEAN!B793)</f>
        <v/>
      </c>
      <c r="C793" s="11">
        <f>IF(A793="","",GL_CLEAN!C793)</f>
        <v/>
      </c>
      <c r="D793" s="14">
        <f>IF(A793="","",GL_CLEAN!H793)</f>
        <v/>
      </c>
      <c r="E793" s="14">
        <f>IF(A793="","",GL_CLEAN!I793)</f>
        <v/>
      </c>
      <c r="F793" s="11">
        <f>IF(A793="","",GL_CLEAN!J793)</f>
        <v/>
      </c>
      <c r="G793" s="11">
        <f>IF(A793="","",IF(F793="OUT","DR","CR"))</f>
        <v/>
      </c>
      <c r="H793" s="11">
        <f>IF(A793="","",IFERROR(INDEX(BANK_CLEAN!$A$2:$A$1001,MATCH(MINIFS(BANK_CLEAN!$J$2:$J$1001,BANK_CLEAN!$H$2:$H$1001,G793,BANK_CLEAN!$L$2:$L$1001,""),BANK_CLEAN!$J$2:$J$1001,0)),""))</f>
        <v/>
      </c>
      <c r="I793" s="10">
        <f>IF(H793="","",INDEX(BANK_CLEAN!$B$2:$B$1001,H793))</f>
        <v/>
      </c>
      <c r="J793" s="14">
        <f>IF(H793="","",IF(F793="OUT",INDEX(BANK_CLEAN!$F$2:$F$1001,H793),INDEX(BANK_CLEAN!$E$2:$E$1001,H793)))</f>
        <v/>
      </c>
      <c r="K793" s="14">
        <f>IF(H793="","",ABS(E793-J793))</f>
        <v/>
      </c>
      <c r="L793" s="11">
        <f>IF(OR(H793="",B793="",I793=""),"",ABS(B793-I793))</f>
        <v/>
      </c>
      <c r="M793" s="15">
        <f>IF(H793="",0,LET(pct,IF(E793&gt;0,K793/E793,1),days,IFERROR(L793,999),100-pct*200-days*3))</f>
        <v/>
      </c>
      <c r="N793" s="11">
        <f>IF(A793="","",IF(H793="","Unmatched GL",IF(AND(K793&lt;=Tol_Amount,L793&lt;=Tol_Days),"Matched",IF(M793&gt;Tol_NearPct,"Near Match","Unmatched GL"))))</f>
        <v/>
      </c>
    </row>
    <row r="794">
      <c r="A794" s="13">
        <f>IF(GL_CLEAN!A794="","",GL_CLEAN!A794)</f>
        <v/>
      </c>
      <c r="B794" s="10">
        <f>IF(A794="","",GL_CLEAN!B794)</f>
        <v/>
      </c>
      <c r="C794" s="11">
        <f>IF(A794="","",GL_CLEAN!C794)</f>
        <v/>
      </c>
      <c r="D794" s="14">
        <f>IF(A794="","",GL_CLEAN!H794)</f>
        <v/>
      </c>
      <c r="E794" s="14">
        <f>IF(A794="","",GL_CLEAN!I794)</f>
        <v/>
      </c>
      <c r="F794" s="11">
        <f>IF(A794="","",GL_CLEAN!J794)</f>
        <v/>
      </c>
      <c r="G794" s="11">
        <f>IF(A794="","",IF(F794="OUT","DR","CR"))</f>
        <v/>
      </c>
      <c r="H794" s="11">
        <f>IF(A794="","",IFERROR(INDEX(BANK_CLEAN!$A$2:$A$1001,MATCH(MINIFS(BANK_CLEAN!$J$2:$J$1001,BANK_CLEAN!$H$2:$H$1001,G794,BANK_CLEAN!$L$2:$L$1001,""),BANK_CLEAN!$J$2:$J$1001,0)),""))</f>
        <v/>
      </c>
      <c r="I794" s="10">
        <f>IF(H794="","",INDEX(BANK_CLEAN!$B$2:$B$1001,H794))</f>
        <v/>
      </c>
      <c r="J794" s="14">
        <f>IF(H794="","",IF(F794="OUT",INDEX(BANK_CLEAN!$F$2:$F$1001,H794),INDEX(BANK_CLEAN!$E$2:$E$1001,H794)))</f>
        <v/>
      </c>
      <c r="K794" s="14">
        <f>IF(H794="","",ABS(E794-J794))</f>
        <v/>
      </c>
      <c r="L794" s="11">
        <f>IF(OR(H794="",B794="",I794=""),"",ABS(B794-I794))</f>
        <v/>
      </c>
      <c r="M794" s="15">
        <f>IF(H794="",0,LET(pct,IF(E794&gt;0,K794/E794,1),days,IFERROR(L794,999),100-pct*200-days*3))</f>
        <v/>
      </c>
      <c r="N794" s="11">
        <f>IF(A794="","",IF(H794="","Unmatched GL",IF(AND(K794&lt;=Tol_Amount,L794&lt;=Tol_Days),"Matched",IF(M794&gt;Tol_NearPct,"Near Match","Unmatched GL"))))</f>
        <v/>
      </c>
    </row>
    <row r="795">
      <c r="A795" s="13">
        <f>IF(GL_CLEAN!A795="","",GL_CLEAN!A795)</f>
        <v/>
      </c>
      <c r="B795" s="10">
        <f>IF(A795="","",GL_CLEAN!B795)</f>
        <v/>
      </c>
      <c r="C795" s="11">
        <f>IF(A795="","",GL_CLEAN!C795)</f>
        <v/>
      </c>
      <c r="D795" s="14">
        <f>IF(A795="","",GL_CLEAN!H795)</f>
        <v/>
      </c>
      <c r="E795" s="14">
        <f>IF(A795="","",GL_CLEAN!I795)</f>
        <v/>
      </c>
      <c r="F795" s="11">
        <f>IF(A795="","",GL_CLEAN!J795)</f>
        <v/>
      </c>
      <c r="G795" s="11">
        <f>IF(A795="","",IF(F795="OUT","DR","CR"))</f>
        <v/>
      </c>
      <c r="H795" s="11">
        <f>IF(A795="","",IFERROR(INDEX(BANK_CLEAN!$A$2:$A$1001,MATCH(MINIFS(BANK_CLEAN!$J$2:$J$1001,BANK_CLEAN!$H$2:$H$1001,G795,BANK_CLEAN!$L$2:$L$1001,""),BANK_CLEAN!$J$2:$J$1001,0)),""))</f>
        <v/>
      </c>
      <c r="I795" s="10">
        <f>IF(H795="","",INDEX(BANK_CLEAN!$B$2:$B$1001,H795))</f>
        <v/>
      </c>
      <c r="J795" s="14">
        <f>IF(H795="","",IF(F795="OUT",INDEX(BANK_CLEAN!$F$2:$F$1001,H795),INDEX(BANK_CLEAN!$E$2:$E$1001,H795)))</f>
        <v/>
      </c>
      <c r="K795" s="14">
        <f>IF(H795="","",ABS(E795-J795))</f>
        <v/>
      </c>
      <c r="L795" s="11">
        <f>IF(OR(H795="",B795="",I795=""),"",ABS(B795-I795))</f>
        <v/>
      </c>
      <c r="M795" s="15">
        <f>IF(H795="",0,LET(pct,IF(E795&gt;0,K795/E795,1),days,IFERROR(L795,999),100-pct*200-days*3))</f>
        <v/>
      </c>
      <c r="N795" s="11">
        <f>IF(A795="","",IF(H795="","Unmatched GL",IF(AND(K795&lt;=Tol_Amount,L795&lt;=Tol_Days),"Matched",IF(M795&gt;Tol_NearPct,"Near Match","Unmatched GL"))))</f>
        <v/>
      </c>
    </row>
    <row r="796">
      <c r="A796" s="13">
        <f>IF(GL_CLEAN!A796="","",GL_CLEAN!A796)</f>
        <v/>
      </c>
      <c r="B796" s="10">
        <f>IF(A796="","",GL_CLEAN!B796)</f>
        <v/>
      </c>
      <c r="C796" s="11">
        <f>IF(A796="","",GL_CLEAN!C796)</f>
        <v/>
      </c>
      <c r="D796" s="14">
        <f>IF(A796="","",GL_CLEAN!H796)</f>
        <v/>
      </c>
      <c r="E796" s="14">
        <f>IF(A796="","",GL_CLEAN!I796)</f>
        <v/>
      </c>
      <c r="F796" s="11">
        <f>IF(A796="","",GL_CLEAN!J796)</f>
        <v/>
      </c>
      <c r="G796" s="11">
        <f>IF(A796="","",IF(F796="OUT","DR","CR"))</f>
        <v/>
      </c>
      <c r="H796" s="11">
        <f>IF(A796="","",IFERROR(INDEX(BANK_CLEAN!$A$2:$A$1001,MATCH(MINIFS(BANK_CLEAN!$J$2:$J$1001,BANK_CLEAN!$H$2:$H$1001,G796,BANK_CLEAN!$L$2:$L$1001,""),BANK_CLEAN!$J$2:$J$1001,0)),""))</f>
        <v/>
      </c>
      <c r="I796" s="10">
        <f>IF(H796="","",INDEX(BANK_CLEAN!$B$2:$B$1001,H796))</f>
        <v/>
      </c>
      <c r="J796" s="14">
        <f>IF(H796="","",IF(F796="OUT",INDEX(BANK_CLEAN!$F$2:$F$1001,H796),INDEX(BANK_CLEAN!$E$2:$E$1001,H796)))</f>
        <v/>
      </c>
      <c r="K796" s="14">
        <f>IF(H796="","",ABS(E796-J796))</f>
        <v/>
      </c>
      <c r="L796" s="11">
        <f>IF(OR(H796="",B796="",I796=""),"",ABS(B796-I796))</f>
        <v/>
      </c>
      <c r="M796" s="15">
        <f>IF(H796="",0,LET(pct,IF(E796&gt;0,K796/E796,1),days,IFERROR(L796,999),100-pct*200-days*3))</f>
        <v/>
      </c>
      <c r="N796" s="11">
        <f>IF(A796="","",IF(H796="","Unmatched GL",IF(AND(K796&lt;=Tol_Amount,L796&lt;=Tol_Days),"Matched",IF(M796&gt;Tol_NearPct,"Near Match","Unmatched GL"))))</f>
        <v/>
      </c>
    </row>
    <row r="797">
      <c r="A797" s="13">
        <f>IF(GL_CLEAN!A797="","",GL_CLEAN!A797)</f>
        <v/>
      </c>
      <c r="B797" s="10">
        <f>IF(A797="","",GL_CLEAN!B797)</f>
        <v/>
      </c>
      <c r="C797" s="11">
        <f>IF(A797="","",GL_CLEAN!C797)</f>
        <v/>
      </c>
      <c r="D797" s="14">
        <f>IF(A797="","",GL_CLEAN!H797)</f>
        <v/>
      </c>
      <c r="E797" s="14">
        <f>IF(A797="","",GL_CLEAN!I797)</f>
        <v/>
      </c>
      <c r="F797" s="11">
        <f>IF(A797="","",GL_CLEAN!J797)</f>
        <v/>
      </c>
      <c r="G797" s="11">
        <f>IF(A797="","",IF(F797="OUT","DR","CR"))</f>
        <v/>
      </c>
      <c r="H797" s="11">
        <f>IF(A797="","",IFERROR(INDEX(BANK_CLEAN!$A$2:$A$1001,MATCH(MINIFS(BANK_CLEAN!$J$2:$J$1001,BANK_CLEAN!$H$2:$H$1001,G797,BANK_CLEAN!$L$2:$L$1001,""),BANK_CLEAN!$J$2:$J$1001,0)),""))</f>
        <v/>
      </c>
      <c r="I797" s="10">
        <f>IF(H797="","",INDEX(BANK_CLEAN!$B$2:$B$1001,H797))</f>
        <v/>
      </c>
      <c r="J797" s="14">
        <f>IF(H797="","",IF(F797="OUT",INDEX(BANK_CLEAN!$F$2:$F$1001,H797),INDEX(BANK_CLEAN!$E$2:$E$1001,H797)))</f>
        <v/>
      </c>
      <c r="K797" s="14">
        <f>IF(H797="","",ABS(E797-J797))</f>
        <v/>
      </c>
      <c r="L797" s="11">
        <f>IF(OR(H797="",B797="",I797=""),"",ABS(B797-I797))</f>
        <v/>
      </c>
      <c r="M797" s="15">
        <f>IF(H797="",0,LET(pct,IF(E797&gt;0,K797/E797,1),days,IFERROR(L797,999),100-pct*200-days*3))</f>
        <v/>
      </c>
      <c r="N797" s="11">
        <f>IF(A797="","",IF(H797="","Unmatched GL",IF(AND(K797&lt;=Tol_Amount,L797&lt;=Tol_Days),"Matched",IF(M797&gt;Tol_NearPct,"Near Match","Unmatched GL"))))</f>
        <v/>
      </c>
    </row>
    <row r="798">
      <c r="A798" s="13">
        <f>IF(GL_CLEAN!A798="","",GL_CLEAN!A798)</f>
        <v/>
      </c>
      <c r="B798" s="10">
        <f>IF(A798="","",GL_CLEAN!B798)</f>
        <v/>
      </c>
      <c r="C798" s="11">
        <f>IF(A798="","",GL_CLEAN!C798)</f>
        <v/>
      </c>
      <c r="D798" s="14">
        <f>IF(A798="","",GL_CLEAN!H798)</f>
        <v/>
      </c>
      <c r="E798" s="14">
        <f>IF(A798="","",GL_CLEAN!I798)</f>
        <v/>
      </c>
      <c r="F798" s="11">
        <f>IF(A798="","",GL_CLEAN!J798)</f>
        <v/>
      </c>
      <c r="G798" s="11">
        <f>IF(A798="","",IF(F798="OUT","DR","CR"))</f>
        <v/>
      </c>
      <c r="H798" s="11">
        <f>IF(A798="","",IFERROR(INDEX(BANK_CLEAN!$A$2:$A$1001,MATCH(MINIFS(BANK_CLEAN!$J$2:$J$1001,BANK_CLEAN!$H$2:$H$1001,G798,BANK_CLEAN!$L$2:$L$1001,""),BANK_CLEAN!$J$2:$J$1001,0)),""))</f>
        <v/>
      </c>
      <c r="I798" s="10">
        <f>IF(H798="","",INDEX(BANK_CLEAN!$B$2:$B$1001,H798))</f>
        <v/>
      </c>
      <c r="J798" s="14">
        <f>IF(H798="","",IF(F798="OUT",INDEX(BANK_CLEAN!$F$2:$F$1001,H798),INDEX(BANK_CLEAN!$E$2:$E$1001,H798)))</f>
        <v/>
      </c>
      <c r="K798" s="14">
        <f>IF(H798="","",ABS(E798-J798))</f>
        <v/>
      </c>
      <c r="L798" s="11">
        <f>IF(OR(H798="",B798="",I798=""),"",ABS(B798-I798))</f>
        <v/>
      </c>
      <c r="M798" s="15">
        <f>IF(H798="",0,LET(pct,IF(E798&gt;0,K798/E798,1),days,IFERROR(L798,999),100-pct*200-days*3))</f>
        <v/>
      </c>
      <c r="N798" s="11">
        <f>IF(A798="","",IF(H798="","Unmatched GL",IF(AND(K798&lt;=Tol_Amount,L798&lt;=Tol_Days),"Matched",IF(M798&gt;Tol_NearPct,"Near Match","Unmatched GL"))))</f>
        <v/>
      </c>
    </row>
    <row r="799">
      <c r="A799" s="13">
        <f>IF(GL_CLEAN!A799="","",GL_CLEAN!A799)</f>
        <v/>
      </c>
      <c r="B799" s="10">
        <f>IF(A799="","",GL_CLEAN!B799)</f>
        <v/>
      </c>
      <c r="C799" s="11">
        <f>IF(A799="","",GL_CLEAN!C799)</f>
        <v/>
      </c>
      <c r="D799" s="14">
        <f>IF(A799="","",GL_CLEAN!H799)</f>
        <v/>
      </c>
      <c r="E799" s="14">
        <f>IF(A799="","",GL_CLEAN!I799)</f>
        <v/>
      </c>
      <c r="F799" s="11">
        <f>IF(A799="","",GL_CLEAN!J799)</f>
        <v/>
      </c>
      <c r="G799" s="11">
        <f>IF(A799="","",IF(F799="OUT","DR","CR"))</f>
        <v/>
      </c>
      <c r="H799" s="11">
        <f>IF(A799="","",IFERROR(INDEX(BANK_CLEAN!$A$2:$A$1001,MATCH(MINIFS(BANK_CLEAN!$J$2:$J$1001,BANK_CLEAN!$H$2:$H$1001,G799,BANK_CLEAN!$L$2:$L$1001,""),BANK_CLEAN!$J$2:$J$1001,0)),""))</f>
        <v/>
      </c>
      <c r="I799" s="10">
        <f>IF(H799="","",INDEX(BANK_CLEAN!$B$2:$B$1001,H799))</f>
        <v/>
      </c>
      <c r="J799" s="14">
        <f>IF(H799="","",IF(F799="OUT",INDEX(BANK_CLEAN!$F$2:$F$1001,H799),INDEX(BANK_CLEAN!$E$2:$E$1001,H799)))</f>
        <v/>
      </c>
      <c r="K799" s="14">
        <f>IF(H799="","",ABS(E799-J799))</f>
        <v/>
      </c>
      <c r="L799" s="11">
        <f>IF(OR(H799="",B799="",I799=""),"",ABS(B799-I799))</f>
        <v/>
      </c>
      <c r="M799" s="15">
        <f>IF(H799="",0,LET(pct,IF(E799&gt;0,K799/E799,1),days,IFERROR(L799,999),100-pct*200-days*3))</f>
        <v/>
      </c>
      <c r="N799" s="11">
        <f>IF(A799="","",IF(H799="","Unmatched GL",IF(AND(K799&lt;=Tol_Amount,L799&lt;=Tol_Days),"Matched",IF(M799&gt;Tol_NearPct,"Near Match","Unmatched GL"))))</f>
        <v/>
      </c>
    </row>
    <row r="800">
      <c r="A800" s="13">
        <f>IF(GL_CLEAN!A800="","",GL_CLEAN!A800)</f>
        <v/>
      </c>
      <c r="B800" s="10">
        <f>IF(A800="","",GL_CLEAN!B800)</f>
        <v/>
      </c>
      <c r="C800" s="11">
        <f>IF(A800="","",GL_CLEAN!C800)</f>
        <v/>
      </c>
      <c r="D800" s="14">
        <f>IF(A800="","",GL_CLEAN!H800)</f>
        <v/>
      </c>
      <c r="E800" s="14">
        <f>IF(A800="","",GL_CLEAN!I800)</f>
        <v/>
      </c>
      <c r="F800" s="11">
        <f>IF(A800="","",GL_CLEAN!J800)</f>
        <v/>
      </c>
      <c r="G800" s="11">
        <f>IF(A800="","",IF(F800="OUT","DR","CR"))</f>
        <v/>
      </c>
      <c r="H800" s="11">
        <f>IF(A800="","",IFERROR(INDEX(BANK_CLEAN!$A$2:$A$1001,MATCH(MINIFS(BANK_CLEAN!$J$2:$J$1001,BANK_CLEAN!$H$2:$H$1001,G800,BANK_CLEAN!$L$2:$L$1001,""),BANK_CLEAN!$J$2:$J$1001,0)),""))</f>
        <v/>
      </c>
      <c r="I800" s="10">
        <f>IF(H800="","",INDEX(BANK_CLEAN!$B$2:$B$1001,H800))</f>
        <v/>
      </c>
      <c r="J800" s="14">
        <f>IF(H800="","",IF(F800="OUT",INDEX(BANK_CLEAN!$F$2:$F$1001,H800),INDEX(BANK_CLEAN!$E$2:$E$1001,H800)))</f>
        <v/>
      </c>
      <c r="K800" s="14">
        <f>IF(H800="","",ABS(E800-J800))</f>
        <v/>
      </c>
      <c r="L800" s="11">
        <f>IF(OR(H800="",B800="",I800=""),"",ABS(B800-I800))</f>
        <v/>
      </c>
      <c r="M800" s="15">
        <f>IF(H800="",0,LET(pct,IF(E800&gt;0,K800/E800,1),days,IFERROR(L800,999),100-pct*200-days*3))</f>
        <v/>
      </c>
      <c r="N800" s="11">
        <f>IF(A800="","",IF(H800="","Unmatched GL",IF(AND(K800&lt;=Tol_Amount,L800&lt;=Tol_Days),"Matched",IF(M800&gt;Tol_NearPct,"Near Match","Unmatched GL"))))</f>
        <v/>
      </c>
    </row>
    <row r="801">
      <c r="A801" s="13">
        <f>IF(GL_CLEAN!A801="","",GL_CLEAN!A801)</f>
        <v/>
      </c>
      <c r="B801" s="10">
        <f>IF(A801="","",GL_CLEAN!B801)</f>
        <v/>
      </c>
      <c r="C801" s="11">
        <f>IF(A801="","",GL_CLEAN!C801)</f>
        <v/>
      </c>
      <c r="D801" s="14">
        <f>IF(A801="","",GL_CLEAN!H801)</f>
        <v/>
      </c>
      <c r="E801" s="14">
        <f>IF(A801="","",GL_CLEAN!I801)</f>
        <v/>
      </c>
      <c r="F801" s="11">
        <f>IF(A801="","",GL_CLEAN!J801)</f>
        <v/>
      </c>
      <c r="G801" s="11">
        <f>IF(A801="","",IF(F801="OUT","DR","CR"))</f>
        <v/>
      </c>
      <c r="H801" s="11">
        <f>IF(A801="","",IFERROR(INDEX(BANK_CLEAN!$A$2:$A$1001,MATCH(MINIFS(BANK_CLEAN!$J$2:$J$1001,BANK_CLEAN!$H$2:$H$1001,G801,BANK_CLEAN!$L$2:$L$1001,""),BANK_CLEAN!$J$2:$J$1001,0)),""))</f>
        <v/>
      </c>
      <c r="I801" s="10">
        <f>IF(H801="","",INDEX(BANK_CLEAN!$B$2:$B$1001,H801))</f>
        <v/>
      </c>
      <c r="J801" s="14">
        <f>IF(H801="","",IF(F801="OUT",INDEX(BANK_CLEAN!$F$2:$F$1001,H801),INDEX(BANK_CLEAN!$E$2:$E$1001,H801)))</f>
        <v/>
      </c>
      <c r="K801" s="14">
        <f>IF(H801="","",ABS(E801-J801))</f>
        <v/>
      </c>
      <c r="L801" s="11">
        <f>IF(OR(H801="",B801="",I801=""),"",ABS(B801-I801))</f>
        <v/>
      </c>
      <c r="M801" s="15">
        <f>IF(H801="",0,LET(pct,IF(E801&gt;0,K801/E801,1),days,IFERROR(L801,999),100-pct*200-days*3))</f>
        <v/>
      </c>
      <c r="N801" s="11">
        <f>IF(A801="","",IF(H801="","Unmatched GL",IF(AND(K801&lt;=Tol_Amount,L801&lt;=Tol_Days),"Matched",IF(M801&gt;Tol_NearPct,"Near Match","Unmatched GL"))))</f>
        <v/>
      </c>
    </row>
    <row r="802">
      <c r="A802" s="13">
        <f>IF(GL_CLEAN!A802="","",GL_CLEAN!A802)</f>
        <v/>
      </c>
      <c r="B802" s="10">
        <f>IF(A802="","",GL_CLEAN!B802)</f>
        <v/>
      </c>
      <c r="C802" s="11">
        <f>IF(A802="","",GL_CLEAN!C802)</f>
        <v/>
      </c>
      <c r="D802" s="14">
        <f>IF(A802="","",GL_CLEAN!H802)</f>
        <v/>
      </c>
      <c r="E802" s="14">
        <f>IF(A802="","",GL_CLEAN!I802)</f>
        <v/>
      </c>
      <c r="F802" s="11">
        <f>IF(A802="","",GL_CLEAN!J802)</f>
        <v/>
      </c>
      <c r="G802" s="11">
        <f>IF(A802="","",IF(F802="OUT","DR","CR"))</f>
        <v/>
      </c>
      <c r="H802" s="11">
        <f>IF(A802="","",IFERROR(INDEX(BANK_CLEAN!$A$2:$A$1001,MATCH(MINIFS(BANK_CLEAN!$J$2:$J$1001,BANK_CLEAN!$H$2:$H$1001,G802,BANK_CLEAN!$L$2:$L$1001,""),BANK_CLEAN!$J$2:$J$1001,0)),""))</f>
        <v/>
      </c>
      <c r="I802" s="10">
        <f>IF(H802="","",INDEX(BANK_CLEAN!$B$2:$B$1001,H802))</f>
        <v/>
      </c>
      <c r="J802" s="14">
        <f>IF(H802="","",IF(F802="OUT",INDEX(BANK_CLEAN!$F$2:$F$1001,H802),INDEX(BANK_CLEAN!$E$2:$E$1001,H802)))</f>
        <v/>
      </c>
      <c r="K802" s="14">
        <f>IF(H802="","",ABS(E802-J802))</f>
        <v/>
      </c>
      <c r="L802" s="11">
        <f>IF(OR(H802="",B802="",I802=""),"",ABS(B802-I802))</f>
        <v/>
      </c>
      <c r="M802" s="15">
        <f>IF(H802="",0,LET(pct,IF(E802&gt;0,K802/E802,1),days,IFERROR(L802,999),100-pct*200-days*3))</f>
        <v/>
      </c>
      <c r="N802" s="11">
        <f>IF(A802="","",IF(H802="","Unmatched GL",IF(AND(K802&lt;=Tol_Amount,L802&lt;=Tol_Days),"Matched",IF(M802&gt;Tol_NearPct,"Near Match","Unmatched GL"))))</f>
        <v/>
      </c>
    </row>
    <row r="803">
      <c r="A803" s="13">
        <f>IF(GL_CLEAN!A803="","",GL_CLEAN!A803)</f>
        <v/>
      </c>
      <c r="B803" s="10">
        <f>IF(A803="","",GL_CLEAN!B803)</f>
        <v/>
      </c>
      <c r="C803" s="11">
        <f>IF(A803="","",GL_CLEAN!C803)</f>
        <v/>
      </c>
      <c r="D803" s="14">
        <f>IF(A803="","",GL_CLEAN!H803)</f>
        <v/>
      </c>
      <c r="E803" s="14">
        <f>IF(A803="","",GL_CLEAN!I803)</f>
        <v/>
      </c>
      <c r="F803" s="11">
        <f>IF(A803="","",GL_CLEAN!J803)</f>
        <v/>
      </c>
      <c r="G803" s="11">
        <f>IF(A803="","",IF(F803="OUT","DR","CR"))</f>
        <v/>
      </c>
      <c r="H803" s="11">
        <f>IF(A803="","",IFERROR(INDEX(BANK_CLEAN!$A$2:$A$1001,MATCH(MINIFS(BANK_CLEAN!$J$2:$J$1001,BANK_CLEAN!$H$2:$H$1001,G803,BANK_CLEAN!$L$2:$L$1001,""),BANK_CLEAN!$J$2:$J$1001,0)),""))</f>
        <v/>
      </c>
      <c r="I803" s="10">
        <f>IF(H803="","",INDEX(BANK_CLEAN!$B$2:$B$1001,H803))</f>
        <v/>
      </c>
      <c r="J803" s="14">
        <f>IF(H803="","",IF(F803="OUT",INDEX(BANK_CLEAN!$F$2:$F$1001,H803),INDEX(BANK_CLEAN!$E$2:$E$1001,H803)))</f>
        <v/>
      </c>
      <c r="K803" s="14">
        <f>IF(H803="","",ABS(E803-J803))</f>
        <v/>
      </c>
      <c r="L803" s="11">
        <f>IF(OR(H803="",B803="",I803=""),"",ABS(B803-I803))</f>
        <v/>
      </c>
      <c r="M803" s="15">
        <f>IF(H803="",0,LET(pct,IF(E803&gt;0,K803/E803,1),days,IFERROR(L803,999),100-pct*200-days*3))</f>
        <v/>
      </c>
      <c r="N803" s="11">
        <f>IF(A803="","",IF(H803="","Unmatched GL",IF(AND(K803&lt;=Tol_Amount,L803&lt;=Tol_Days),"Matched",IF(M803&gt;Tol_NearPct,"Near Match","Unmatched GL"))))</f>
        <v/>
      </c>
    </row>
    <row r="804">
      <c r="A804" s="13">
        <f>IF(GL_CLEAN!A804="","",GL_CLEAN!A804)</f>
        <v/>
      </c>
      <c r="B804" s="10">
        <f>IF(A804="","",GL_CLEAN!B804)</f>
        <v/>
      </c>
      <c r="C804" s="11">
        <f>IF(A804="","",GL_CLEAN!C804)</f>
        <v/>
      </c>
      <c r="D804" s="14">
        <f>IF(A804="","",GL_CLEAN!H804)</f>
        <v/>
      </c>
      <c r="E804" s="14">
        <f>IF(A804="","",GL_CLEAN!I804)</f>
        <v/>
      </c>
      <c r="F804" s="11">
        <f>IF(A804="","",GL_CLEAN!J804)</f>
        <v/>
      </c>
      <c r="G804" s="11">
        <f>IF(A804="","",IF(F804="OUT","DR","CR"))</f>
        <v/>
      </c>
      <c r="H804" s="11">
        <f>IF(A804="","",IFERROR(INDEX(BANK_CLEAN!$A$2:$A$1001,MATCH(MINIFS(BANK_CLEAN!$J$2:$J$1001,BANK_CLEAN!$H$2:$H$1001,G804,BANK_CLEAN!$L$2:$L$1001,""),BANK_CLEAN!$J$2:$J$1001,0)),""))</f>
        <v/>
      </c>
      <c r="I804" s="10">
        <f>IF(H804="","",INDEX(BANK_CLEAN!$B$2:$B$1001,H804))</f>
        <v/>
      </c>
      <c r="J804" s="14">
        <f>IF(H804="","",IF(F804="OUT",INDEX(BANK_CLEAN!$F$2:$F$1001,H804),INDEX(BANK_CLEAN!$E$2:$E$1001,H804)))</f>
        <v/>
      </c>
      <c r="K804" s="14">
        <f>IF(H804="","",ABS(E804-J804))</f>
        <v/>
      </c>
      <c r="L804" s="11">
        <f>IF(OR(H804="",B804="",I804=""),"",ABS(B804-I804))</f>
        <v/>
      </c>
      <c r="M804" s="15">
        <f>IF(H804="",0,LET(pct,IF(E804&gt;0,K804/E804,1),days,IFERROR(L804,999),100-pct*200-days*3))</f>
        <v/>
      </c>
      <c r="N804" s="11">
        <f>IF(A804="","",IF(H804="","Unmatched GL",IF(AND(K804&lt;=Tol_Amount,L804&lt;=Tol_Days),"Matched",IF(M804&gt;Tol_NearPct,"Near Match","Unmatched GL"))))</f>
        <v/>
      </c>
    </row>
    <row r="805">
      <c r="A805" s="13">
        <f>IF(GL_CLEAN!A805="","",GL_CLEAN!A805)</f>
        <v/>
      </c>
      <c r="B805" s="10">
        <f>IF(A805="","",GL_CLEAN!B805)</f>
        <v/>
      </c>
      <c r="C805" s="11">
        <f>IF(A805="","",GL_CLEAN!C805)</f>
        <v/>
      </c>
      <c r="D805" s="14">
        <f>IF(A805="","",GL_CLEAN!H805)</f>
        <v/>
      </c>
      <c r="E805" s="14">
        <f>IF(A805="","",GL_CLEAN!I805)</f>
        <v/>
      </c>
      <c r="F805" s="11">
        <f>IF(A805="","",GL_CLEAN!J805)</f>
        <v/>
      </c>
      <c r="G805" s="11">
        <f>IF(A805="","",IF(F805="OUT","DR","CR"))</f>
        <v/>
      </c>
      <c r="H805" s="11">
        <f>IF(A805="","",IFERROR(INDEX(BANK_CLEAN!$A$2:$A$1001,MATCH(MINIFS(BANK_CLEAN!$J$2:$J$1001,BANK_CLEAN!$H$2:$H$1001,G805,BANK_CLEAN!$L$2:$L$1001,""),BANK_CLEAN!$J$2:$J$1001,0)),""))</f>
        <v/>
      </c>
      <c r="I805" s="10">
        <f>IF(H805="","",INDEX(BANK_CLEAN!$B$2:$B$1001,H805))</f>
        <v/>
      </c>
      <c r="J805" s="14">
        <f>IF(H805="","",IF(F805="OUT",INDEX(BANK_CLEAN!$F$2:$F$1001,H805),INDEX(BANK_CLEAN!$E$2:$E$1001,H805)))</f>
        <v/>
      </c>
      <c r="K805" s="14">
        <f>IF(H805="","",ABS(E805-J805))</f>
        <v/>
      </c>
      <c r="L805" s="11">
        <f>IF(OR(H805="",B805="",I805=""),"",ABS(B805-I805))</f>
        <v/>
      </c>
      <c r="M805" s="15">
        <f>IF(H805="",0,LET(pct,IF(E805&gt;0,K805/E805,1),days,IFERROR(L805,999),100-pct*200-days*3))</f>
        <v/>
      </c>
      <c r="N805" s="11">
        <f>IF(A805="","",IF(H805="","Unmatched GL",IF(AND(K805&lt;=Tol_Amount,L805&lt;=Tol_Days),"Matched",IF(M805&gt;Tol_NearPct,"Near Match","Unmatched GL"))))</f>
        <v/>
      </c>
    </row>
    <row r="806">
      <c r="A806" s="13">
        <f>IF(GL_CLEAN!A806="","",GL_CLEAN!A806)</f>
        <v/>
      </c>
      <c r="B806" s="10">
        <f>IF(A806="","",GL_CLEAN!B806)</f>
        <v/>
      </c>
      <c r="C806" s="11">
        <f>IF(A806="","",GL_CLEAN!C806)</f>
        <v/>
      </c>
      <c r="D806" s="14">
        <f>IF(A806="","",GL_CLEAN!H806)</f>
        <v/>
      </c>
      <c r="E806" s="14">
        <f>IF(A806="","",GL_CLEAN!I806)</f>
        <v/>
      </c>
      <c r="F806" s="11">
        <f>IF(A806="","",GL_CLEAN!J806)</f>
        <v/>
      </c>
      <c r="G806" s="11">
        <f>IF(A806="","",IF(F806="OUT","DR","CR"))</f>
        <v/>
      </c>
      <c r="H806" s="11">
        <f>IF(A806="","",IFERROR(INDEX(BANK_CLEAN!$A$2:$A$1001,MATCH(MINIFS(BANK_CLEAN!$J$2:$J$1001,BANK_CLEAN!$H$2:$H$1001,G806,BANK_CLEAN!$L$2:$L$1001,""),BANK_CLEAN!$J$2:$J$1001,0)),""))</f>
        <v/>
      </c>
      <c r="I806" s="10">
        <f>IF(H806="","",INDEX(BANK_CLEAN!$B$2:$B$1001,H806))</f>
        <v/>
      </c>
      <c r="J806" s="14">
        <f>IF(H806="","",IF(F806="OUT",INDEX(BANK_CLEAN!$F$2:$F$1001,H806),INDEX(BANK_CLEAN!$E$2:$E$1001,H806)))</f>
        <v/>
      </c>
      <c r="K806" s="14">
        <f>IF(H806="","",ABS(E806-J806))</f>
        <v/>
      </c>
      <c r="L806" s="11">
        <f>IF(OR(H806="",B806="",I806=""),"",ABS(B806-I806))</f>
        <v/>
      </c>
      <c r="M806" s="15">
        <f>IF(H806="",0,LET(pct,IF(E806&gt;0,K806/E806,1),days,IFERROR(L806,999),100-pct*200-days*3))</f>
        <v/>
      </c>
      <c r="N806" s="11">
        <f>IF(A806="","",IF(H806="","Unmatched GL",IF(AND(K806&lt;=Tol_Amount,L806&lt;=Tol_Days),"Matched",IF(M806&gt;Tol_NearPct,"Near Match","Unmatched GL"))))</f>
        <v/>
      </c>
    </row>
    <row r="807">
      <c r="A807" s="13">
        <f>IF(GL_CLEAN!A807="","",GL_CLEAN!A807)</f>
        <v/>
      </c>
      <c r="B807" s="10">
        <f>IF(A807="","",GL_CLEAN!B807)</f>
        <v/>
      </c>
      <c r="C807" s="11">
        <f>IF(A807="","",GL_CLEAN!C807)</f>
        <v/>
      </c>
      <c r="D807" s="14">
        <f>IF(A807="","",GL_CLEAN!H807)</f>
        <v/>
      </c>
      <c r="E807" s="14">
        <f>IF(A807="","",GL_CLEAN!I807)</f>
        <v/>
      </c>
      <c r="F807" s="11">
        <f>IF(A807="","",GL_CLEAN!J807)</f>
        <v/>
      </c>
      <c r="G807" s="11">
        <f>IF(A807="","",IF(F807="OUT","DR","CR"))</f>
        <v/>
      </c>
      <c r="H807" s="11">
        <f>IF(A807="","",IFERROR(INDEX(BANK_CLEAN!$A$2:$A$1001,MATCH(MINIFS(BANK_CLEAN!$J$2:$J$1001,BANK_CLEAN!$H$2:$H$1001,G807,BANK_CLEAN!$L$2:$L$1001,""),BANK_CLEAN!$J$2:$J$1001,0)),""))</f>
        <v/>
      </c>
      <c r="I807" s="10">
        <f>IF(H807="","",INDEX(BANK_CLEAN!$B$2:$B$1001,H807))</f>
        <v/>
      </c>
      <c r="J807" s="14">
        <f>IF(H807="","",IF(F807="OUT",INDEX(BANK_CLEAN!$F$2:$F$1001,H807),INDEX(BANK_CLEAN!$E$2:$E$1001,H807)))</f>
        <v/>
      </c>
      <c r="K807" s="14">
        <f>IF(H807="","",ABS(E807-J807))</f>
        <v/>
      </c>
      <c r="L807" s="11">
        <f>IF(OR(H807="",B807="",I807=""),"",ABS(B807-I807))</f>
        <v/>
      </c>
      <c r="M807" s="15">
        <f>IF(H807="",0,LET(pct,IF(E807&gt;0,K807/E807,1),days,IFERROR(L807,999),100-pct*200-days*3))</f>
        <v/>
      </c>
      <c r="N807" s="11">
        <f>IF(A807="","",IF(H807="","Unmatched GL",IF(AND(K807&lt;=Tol_Amount,L807&lt;=Tol_Days),"Matched",IF(M807&gt;Tol_NearPct,"Near Match","Unmatched GL"))))</f>
        <v/>
      </c>
    </row>
    <row r="808">
      <c r="A808" s="13">
        <f>IF(GL_CLEAN!A808="","",GL_CLEAN!A808)</f>
        <v/>
      </c>
      <c r="B808" s="10">
        <f>IF(A808="","",GL_CLEAN!B808)</f>
        <v/>
      </c>
      <c r="C808" s="11">
        <f>IF(A808="","",GL_CLEAN!C808)</f>
        <v/>
      </c>
      <c r="D808" s="14">
        <f>IF(A808="","",GL_CLEAN!H808)</f>
        <v/>
      </c>
      <c r="E808" s="14">
        <f>IF(A808="","",GL_CLEAN!I808)</f>
        <v/>
      </c>
      <c r="F808" s="11">
        <f>IF(A808="","",GL_CLEAN!J808)</f>
        <v/>
      </c>
      <c r="G808" s="11">
        <f>IF(A808="","",IF(F808="OUT","DR","CR"))</f>
        <v/>
      </c>
      <c r="H808" s="11">
        <f>IF(A808="","",IFERROR(INDEX(BANK_CLEAN!$A$2:$A$1001,MATCH(MINIFS(BANK_CLEAN!$J$2:$J$1001,BANK_CLEAN!$H$2:$H$1001,G808,BANK_CLEAN!$L$2:$L$1001,""),BANK_CLEAN!$J$2:$J$1001,0)),""))</f>
        <v/>
      </c>
      <c r="I808" s="10">
        <f>IF(H808="","",INDEX(BANK_CLEAN!$B$2:$B$1001,H808))</f>
        <v/>
      </c>
      <c r="J808" s="14">
        <f>IF(H808="","",IF(F808="OUT",INDEX(BANK_CLEAN!$F$2:$F$1001,H808),INDEX(BANK_CLEAN!$E$2:$E$1001,H808)))</f>
        <v/>
      </c>
      <c r="K808" s="14">
        <f>IF(H808="","",ABS(E808-J808))</f>
        <v/>
      </c>
      <c r="L808" s="11">
        <f>IF(OR(H808="",B808="",I808=""),"",ABS(B808-I808))</f>
        <v/>
      </c>
      <c r="M808" s="15">
        <f>IF(H808="",0,LET(pct,IF(E808&gt;0,K808/E808,1),days,IFERROR(L808,999),100-pct*200-days*3))</f>
        <v/>
      </c>
      <c r="N808" s="11">
        <f>IF(A808="","",IF(H808="","Unmatched GL",IF(AND(K808&lt;=Tol_Amount,L808&lt;=Tol_Days),"Matched",IF(M808&gt;Tol_NearPct,"Near Match","Unmatched GL"))))</f>
        <v/>
      </c>
    </row>
    <row r="809">
      <c r="A809" s="13">
        <f>IF(GL_CLEAN!A809="","",GL_CLEAN!A809)</f>
        <v/>
      </c>
      <c r="B809" s="10">
        <f>IF(A809="","",GL_CLEAN!B809)</f>
        <v/>
      </c>
      <c r="C809" s="11">
        <f>IF(A809="","",GL_CLEAN!C809)</f>
        <v/>
      </c>
      <c r="D809" s="14">
        <f>IF(A809="","",GL_CLEAN!H809)</f>
        <v/>
      </c>
      <c r="E809" s="14">
        <f>IF(A809="","",GL_CLEAN!I809)</f>
        <v/>
      </c>
      <c r="F809" s="11">
        <f>IF(A809="","",GL_CLEAN!J809)</f>
        <v/>
      </c>
      <c r="G809" s="11">
        <f>IF(A809="","",IF(F809="OUT","DR","CR"))</f>
        <v/>
      </c>
      <c r="H809" s="11">
        <f>IF(A809="","",IFERROR(INDEX(BANK_CLEAN!$A$2:$A$1001,MATCH(MINIFS(BANK_CLEAN!$J$2:$J$1001,BANK_CLEAN!$H$2:$H$1001,G809,BANK_CLEAN!$L$2:$L$1001,""),BANK_CLEAN!$J$2:$J$1001,0)),""))</f>
        <v/>
      </c>
      <c r="I809" s="10">
        <f>IF(H809="","",INDEX(BANK_CLEAN!$B$2:$B$1001,H809))</f>
        <v/>
      </c>
      <c r="J809" s="14">
        <f>IF(H809="","",IF(F809="OUT",INDEX(BANK_CLEAN!$F$2:$F$1001,H809),INDEX(BANK_CLEAN!$E$2:$E$1001,H809)))</f>
        <v/>
      </c>
      <c r="K809" s="14">
        <f>IF(H809="","",ABS(E809-J809))</f>
        <v/>
      </c>
      <c r="L809" s="11">
        <f>IF(OR(H809="",B809="",I809=""),"",ABS(B809-I809))</f>
        <v/>
      </c>
      <c r="M809" s="15">
        <f>IF(H809="",0,LET(pct,IF(E809&gt;0,K809/E809,1),days,IFERROR(L809,999),100-pct*200-days*3))</f>
        <v/>
      </c>
      <c r="N809" s="11">
        <f>IF(A809="","",IF(H809="","Unmatched GL",IF(AND(K809&lt;=Tol_Amount,L809&lt;=Tol_Days),"Matched",IF(M809&gt;Tol_NearPct,"Near Match","Unmatched GL"))))</f>
        <v/>
      </c>
    </row>
    <row r="810">
      <c r="A810" s="13">
        <f>IF(GL_CLEAN!A810="","",GL_CLEAN!A810)</f>
        <v/>
      </c>
      <c r="B810" s="10">
        <f>IF(A810="","",GL_CLEAN!B810)</f>
        <v/>
      </c>
      <c r="C810" s="11">
        <f>IF(A810="","",GL_CLEAN!C810)</f>
        <v/>
      </c>
      <c r="D810" s="14">
        <f>IF(A810="","",GL_CLEAN!H810)</f>
        <v/>
      </c>
      <c r="E810" s="14">
        <f>IF(A810="","",GL_CLEAN!I810)</f>
        <v/>
      </c>
      <c r="F810" s="11">
        <f>IF(A810="","",GL_CLEAN!J810)</f>
        <v/>
      </c>
      <c r="G810" s="11">
        <f>IF(A810="","",IF(F810="OUT","DR","CR"))</f>
        <v/>
      </c>
      <c r="H810" s="11">
        <f>IF(A810="","",IFERROR(INDEX(BANK_CLEAN!$A$2:$A$1001,MATCH(MINIFS(BANK_CLEAN!$J$2:$J$1001,BANK_CLEAN!$H$2:$H$1001,G810,BANK_CLEAN!$L$2:$L$1001,""),BANK_CLEAN!$J$2:$J$1001,0)),""))</f>
        <v/>
      </c>
      <c r="I810" s="10">
        <f>IF(H810="","",INDEX(BANK_CLEAN!$B$2:$B$1001,H810))</f>
        <v/>
      </c>
      <c r="J810" s="14">
        <f>IF(H810="","",IF(F810="OUT",INDEX(BANK_CLEAN!$F$2:$F$1001,H810),INDEX(BANK_CLEAN!$E$2:$E$1001,H810)))</f>
        <v/>
      </c>
      <c r="K810" s="14">
        <f>IF(H810="","",ABS(E810-J810))</f>
        <v/>
      </c>
      <c r="L810" s="11">
        <f>IF(OR(H810="",B810="",I810=""),"",ABS(B810-I810))</f>
        <v/>
      </c>
      <c r="M810" s="15">
        <f>IF(H810="",0,LET(pct,IF(E810&gt;0,K810/E810,1),days,IFERROR(L810,999),100-pct*200-days*3))</f>
        <v/>
      </c>
      <c r="N810" s="11">
        <f>IF(A810="","",IF(H810="","Unmatched GL",IF(AND(K810&lt;=Tol_Amount,L810&lt;=Tol_Days),"Matched",IF(M810&gt;Tol_NearPct,"Near Match","Unmatched GL"))))</f>
        <v/>
      </c>
    </row>
    <row r="811">
      <c r="A811" s="13">
        <f>IF(GL_CLEAN!A811="","",GL_CLEAN!A811)</f>
        <v/>
      </c>
      <c r="B811" s="10">
        <f>IF(A811="","",GL_CLEAN!B811)</f>
        <v/>
      </c>
      <c r="C811" s="11">
        <f>IF(A811="","",GL_CLEAN!C811)</f>
        <v/>
      </c>
      <c r="D811" s="14">
        <f>IF(A811="","",GL_CLEAN!H811)</f>
        <v/>
      </c>
      <c r="E811" s="14">
        <f>IF(A811="","",GL_CLEAN!I811)</f>
        <v/>
      </c>
      <c r="F811" s="11">
        <f>IF(A811="","",GL_CLEAN!J811)</f>
        <v/>
      </c>
      <c r="G811" s="11">
        <f>IF(A811="","",IF(F811="OUT","DR","CR"))</f>
        <v/>
      </c>
      <c r="H811" s="11">
        <f>IF(A811="","",IFERROR(INDEX(BANK_CLEAN!$A$2:$A$1001,MATCH(MINIFS(BANK_CLEAN!$J$2:$J$1001,BANK_CLEAN!$H$2:$H$1001,G811,BANK_CLEAN!$L$2:$L$1001,""),BANK_CLEAN!$J$2:$J$1001,0)),""))</f>
        <v/>
      </c>
      <c r="I811" s="10">
        <f>IF(H811="","",INDEX(BANK_CLEAN!$B$2:$B$1001,H811))</f>
        <v/>
      </c>
      <c r="J811" s="14">
        <f>IF(H811="","",IF(F811="OUT",INDEX(BANK_CLEAN!$F$2:$F$1001,H811),INDEX(BANK_CLEAN!$E$2:$E$1001,H811)))</f>
        <v/>
      </c>
      <c r="K811" s="14">
        <f>IF(H811="","",ABS(E811-J811))</f>
        <v/>
      </c>
      <c r="L811" s="11">
        <f>IF(OR(H811="",B811="",I811=""),"",ABS(B811-I811))</f>
        <v/>
      </c>
      <c r="M811" s="15">
        <f>IF(H811="",0,LET(pct,IF(E811&gt;0,K811/E811,1),days,IFERROR(L811,999),100-pct*200-days*3))</f>
        <v/>
      </c>
      <c r="N811" s="11">
        <f>IF(A811="","",IF(H811="","Unmatched GL",IF(AND(K811&lt;=Tol_Amount,L811&lt;=Tol_Days),"Matched",IF(M811&gt;Tol_NearPct,"Near Match","Unmatched GL"))))</f>
        <v/>
      </c>
    </row>
    <row r="812">
      <c r="A812" s="13">
        <f>IF(GL_CLEAN!A812="","",GL_CLEAN!A812)</f>
        <v/>
      </c>
      <c r="B812" s="10">
        <f>IF(A812="","",GL_CLEAN!B812)</f>
        <v/>
      </c>
      <c r="C812" s="11">
        <f>IF(A812="","",GL_CLEAN!C812)</f>
        <v/>
      </c>
      <c r="D812" s="14">
        <f>IF(A812="","",GL_CLEAN!H812)</f>
        <v/>
      </c>
      <c r="E812" s="14">
        <f>IF(A812="","",GL_CLEAN!I812)</f>
        <v/>
      </c>
      <c r="F812" s="11">
        <f>IF(A812="","",GL_CLEAN!J812)</f>
        <v/>
      </c>
      <c r="G812" s="11">
        <f>IF(A812="","",IF(F812="OUT","DR","CR"))</f>
        <v/>
      </c>
      <c r="H812" s="11">
        <f>IF(A812="","",IFERROR(INDEX(BANK_CLEAN!$A$2:$A$1001,MATCH(MINIFS(BANK_CLEAN!$J$2:$J$1001,BANK_CLEAN!$H$2:$H$1001,G812,BANK_CLEAN!$L$2:$L$1001,""),BANK_CLEAN!$J$2:$J$1001,0)),""))</f>
        <v/>
      </c>
      <c r="I812" s="10">
        <f>IF(H812="","",INDEX(BANK_CLEAN!$B$2:$B$1001,H812))</f>
        <v/>
      </c>
      <c r="J812" s="14">
        <f>IF(H812="","",IF(F812="OUT",INDEX(BANK_CLEAN!$F$2:$F$1001,H812),INDEX(BANK_CLEAN!$E$2:$E$1001,H812)))</f>
        <v/>
      </c>
      <c r="K812" s="14">
        <f>IF(H812="","",ABS(E812-J812))</f>
        <v/>
      </c>
      <c r="L812" s="11">
        <f>IF(OR(H812="",B812="",I812=""),"",ABS(B812-I812))</f>
        <v/>
      </c>
      <c r="M812" s="15">
        <f>IF(H812="",0,LET(pct,IF(E812&gt;0,K812/E812,1),days,IFERROR(L812,999),100-pct*200-days*3))</f>
        <v/>
      </c>
      <c r="N812" s="11">
        <f>IF(A812="","",IF(H812="","Unmatched GL",IF(AND(K812&lt;=Tol_Amount,L812&lt;=Tol_Days),"Matched",IF(M812&gt;Tol_NearPct,"Near Match","Unmatched GL"))))</f>
        <v/>
      </c>
    </row>
    <row r="813">
      <c r="A813" s="13">
        <f>IF(GL_CLEAN!A813="","",GL_CLEAN!A813)</f>
        <v/>
      </c>
      <c r="B813" s="10">
        <f>IF(A813="","",GL_CLEAN!B813)</f>
        <v/>
      </c>
      <c r="C813" s="11">
        <f>IF(A813="","",GL_CLEAN!C813)</f>
        <v/>
      </c>
      <c r="D813" s="14">
        <f>IF(A813="","",GL_CLEAN!H813)</f>
        <v/>
      </c>
      <c r="E813" s="14">
        <f>IF(A813="","",GL_CLEAN!I813)</f>
        <v/>
      </c>
      <c r="F813" s="11">
        <f>IF(A813="","",GL_CLEAN!J813)</f>
        <v/>
      </c>
      <c r="G813" s="11">
        <f>IF(A813="","",IF(F813="OUT","DR","CR"))</f>
        <v/>
      </c>
      <c r="H813" s="11">
        <f>IF(A813="","",IFERROR(INDEX(BANK_CLEAN!$A$2:$A$1001,MATCH(MINIFS(BANK_CLEAN!$J$2:$J$1001,BANK_CLEAN!$H$2:$H$1001,G813,BANK_CLEAN!$L$2:$L$1001,""),BANK_CLEAN!$J$2:$J$1001,0)),""))</f>
        <v/>
      </c>
      <c r="I813" s="10">
        <f>IF(H813="","",INDEX(BANK_CLEAN!$B$2:$B$1001,H813))</f>
        <v/>
      </c>
      <c r="J813" s="14">
        <f>IF(H813="","",IF(F813="OUT",INDEX(BANK_CLEAN!$F$2:$F$1001,H813),INDEX(BANK_CLEAN!$E$2:$E$1001,H813)))</f>
        <v/>
      </c>
      <c r="K813" s="14">
        <f>IF(H813="","",ABS(E813-J813))</f>
        <v/>
      </c>
      <c r="L813" s="11">
        <f>IF(OR(H813="",B813="",I813=""),"",ABS(B813-I813))</f>
        <v/>
      </c>
      <c r="M813" s="15">
        <f>IF(H813="",0,LET(pct,IF(E813&gt;0,K813/E813,1),days,IFERROR(L813,999),100-pct*200-days*3))</f>
        <v/>
      </c>
      <c r="N813" s="11">
        <f>IF(A813="","",IF(H813="","Unmatched GL",IF(AND(K813&lt;=Tol_Amount,L813&lt;=Tol_Days),"Matched",IF(M813&gt;Tol_NearPct,"Near Match","Unmatched GL"))))</f>
        <v/>
      </c>
    </row>
    <row r="814">
      <c r="A814" s="13">
        <f>IF(GL_CLEAN!A814="","",GL_CLEAN!A814)</f>
        <v/>
      </c>
      <c r="B814" s="10">
        <f>IF(A814="","",GL_CLEAN!B814)</f>
        <v/>
      </c>
      <c r="C814" s="11">
        <f>IF(A814="","",GL_CLEAN!C814)</f>
        <v/>
      </c>
      <c r="D814" s="14">
        <f>IF(A814="","",GL_CLEAN!H814)</f>
        <v/>
      </c>
      <c r="E814" s="14">
        <f>IF(A814="","",GL_CLEAN!I814)</f>
        <v/>
      </c>
      <c r="F814" s="11">
        <f>IF(A814="","",GL_CLEAN!J814)</f>
        <v/>
      </c>
      <c r="G814" s="11">
        <f>IF(A814="","",IF(F814="OUT","DR","CR"))</f>
        <v/>
      </c>
      <c r="H814" s="11">
        <f>IF(A814="","",IFERROR(INDEX(BANK_CLEAN!$A$2:$A$1001,MATCH(MINIFS(BANK_CLEAN!$J$2:$J$1001,BANK_CLEAN!$H$2:$H$1001,G814,BANK_CLEAN!$L$2:$L$1001,""),BANK_CLEAN!$J$2:$J$1001,0)),""))</f>
        <v/>
      </c>
      <c r="I814" s="10">
        <f>IF(H814="","",INDEX(BANK_CLEAN!$B$2:$B$1001,H814))</f>
        <v/>
      </c>
      <c r="J814" s="14">
        <f>IF(H814="","",IF(F814="OUT",INDEX(BANK_CLEAN!$F$2:$F$1001,H814),INDEX(BANK_CLEAN!$E$2:$E$1001,H814)))</f>
        <v/>
      </c>
      <c r="K814" s="14">
        <f>IF(H814="","",ABS(E814-J814))</f>
        <v/>
      </c>
      <c r="L814" s="11">
        <f>IF(OR(H814="",B814="",I814=""),"",ABS(B814-I814))</f>
        <v/>
      </c>
      <c r="M814" s="15">
        <f>IF(H814="",0,LET(pct,IF(E814&gt;0,K814/E814,1),days,IFERROR(L814,999),100-pct*200-days*3))</f>
        <v/>
      </c>
      <c r="N814" s="11">
        <f>IF(A814="","",IF(H814="","Unmatched GL",IF(AND(K814&lt;=Tol_Amount,L814&lt;=Tol_Days),"Matched",IF(M814&gt;Tol_NearPct,"Near Match","Unmatched GL"))))</f>
        <v/>
      </c>
    </row>
    <row r="815">
      <c r="A815" s="13">
        <f>IF(GL_CLEAN!A815="","",GL_CLEAN!A815)</f>
        <v/>
      </c>
      <c r="B815" s="10">
        <f>IF(A815="","",GL_CLEAN!B815)</f>
        <v/>
      </c>
      <c r="C815" s="11">
        <f>IF(A815="","",GL_CLEAN!C815)</f>
        <v/>
      </c>
      <c r="D815" s="14">
        <f>IF(A815="","",GL_CLEAN!H815)</f>
        <v/>
      </c>
      <c r="E815" s="14">
        <f>IF(A815="","",GL_CLEAN!I815)</f>
        <v/>
      </c>
      <c r="F815" s="11">
        <f>IF(A815="","",GL_CLEAN!J815)</f>
        <v/>
      </c>
      <c r="G815" s="11">
        <f>IF(A815="","",IF(F815="OUT","DR","CR"))</f>
        <v/>
      </c>
      <c r="H815" s="11">
        <f>IF(A815="","",IFERROR(INDEX(BANK_CLEAN!$A$2:$A$1001,MATCH(MINIFS(BANK_CLEAN!$J$2:$J$1001,BANK_CLEAN!$H$2:$H$1001,G815,BANK_CLEAN!$L$2:$L$1001,""),BANK_CLEAN!$J$2:$J$1001,0)),""))</f>
        <v/>
      </c>
      <c r="I815" s="10">
        <f>IF(H815="","",INDEX(BANK_CLEAN!$B$2:$B$1001,H815))</f>
        <v/>
      </c>
      <c r="J815" s="14">
        <f>IF(H815="","",IF(F815="OUT",INDEX(BANK_CLEAN!$F$2:$F$1001,H815),INDEX(BANK_CLEAN!$E$2:$E$1001,H815)))</f>
        <v/>
      </c>
      <c r="K815" s="14">
        <f>IF(H815="","",ABS(E815-J815))</f>
        <v/>
      </c>
      <c r="L815" s="11">
        <f>IF(OR(H815="",B815="",I815=""),"",ABS(B815-I815))</f>
        <v/>
      </c>
      <c r="M815" s="15">
        <f>IF(H815="",0,LET(pct,IF(E815&gt;0,K815/E815,1),days,IFERROR(L815,999),100-pct*200-days*3))</f>
        <v/>
      </c>
      <c r="N815" s="11">
        <f>IF(A815="","",IF(H815="","Unmatched GL",IF(AND(K815&lt;=Tol_Amount,L815&lt;=Tol_Days),"Matched",IF(M815&gt;Tol_NearPct,"Near Match","Unmatched GL"))))</f>
        <v/>
      </c>
    </row>
    <row r="816">
      <c r="A816" s="13">
        <f>IF(GL_CLEAN!A816="","",GL_CLEAN!A816)</f>
        <v/>
      </c>
      <c r="B816" s="10">
        <f>IF(A816="","",GL_CLEAN!B816)</f>
        <v/>
      </c>
      <c r="C816" s="11">
        <f>IF(A816="","",GL_CLEAN!C816)</f>
        <v/>
      </c>
      <c r="D816" s="14">
        <f>IF(A816="","",GL_CLEAN!H816)</f>
        <v/>
      </c>
      <c r="E816" s="14">
        <f>IF(A816="","",GL_CLEAN!I816)</f>
        <v/>
      </c>
      <c r="F816" s="11">
        <f>IF(A816="","",GL_CLEAN!J816)</f>
        <v/>
      </c>
      <c r="G816" s="11">
        <f>IF(A816="","",IF(F816="OUT","DR","CR"))</f>
        <v/>
      </c>
      <c r="H816" s="11">
        <f>IF(A816="","",IFERROR(INDEX(BANK_CLEAN!$A$2:$A$1001,MATCH(MINIFS(BANK_CLEAN!$J$2:$J$1001,BANK_CLEAN!$H$2:$H$1001,G816,BANK_CLEAN!$L$2:$L$1001,""),BANK_CLEAN!$J$2:$J$1001,0)),""))</f>
        <v/>
      </c>
      <c r="I816" s="10">
        <f>IF(H816="","",INDEX(BANK_CLEAN!$B$2:$B$1001,H816))</f>
        <v/>
      </c>
      <c r="J816" s="14">
        <f>IF(H816="","",IF(F816="OUT",INDEX(BANK_CLEAN!$F$2:$F$1001,H816),INDEX(BANK_CLEAN!$E$2:$E$1001,H816)))</f>
        <v/>
      </c>
      <c r="K816" s="14">
        <f>IF(H816="","",ABS(E816-J816))</f>
        <v/>
      </c>
      <c r="L816" s="11">
        <f>IF(OR(H816="",B816="",I816=""),"",ABS(B816-I816))</f>
        <v/>
      </c>
      <c r="M816" s="15">
        <f>IF(H816="",0,LET(pct,IF(E816&gt;0,K816/E816,1),days,IFERROR(L816,999),100-pct*200-days*3))</f>
        <v/>
      </c>
      <c r="N816" s="11">
        <f>IF(A816="","",IF(H816="","Unmatched GL",IF(AND(K816&lt;=Tol_Amount,L816&lt;=Tol_Days),"Matched",IF(M816&gt;Tol_NearPct,"Near Match","Unmatched GL"))))</f>
        <v/>
      </c>
    </row>
    <row r="817">
      <c r="A817" s="13">
        <f>IF(GL_CLEAN!A817="","",GL_CLEAN!A817)</f>
        <v/>
      </c>
      <c r="B817" s="10">
        <f>IF(A817="","",GL_CLEAN!B817)</f>
        <v/>
      </c>
      <c r="C817" s="11">
        <f>IF(A817="","",GL_CLEAN!C817)</f>
        <v/>
      </c>
      <c r="D817" s="14">
        <f>IF(A817="","",GL_CLEAN!H817)</f>
        <v/>
      </c>
      <c r="E817" s="14">
        <f>IF(A817="","",GL_CLEAN!I817)</f>
        <v/>
      </c>
      <c r="F817" s="11">
        <f>IF(A817="","",GL_CLEAN!J817)</f>
        <v/>
      </c>
      <c r="G817" s="11">
        <f>IF(A817="","",IF(F817="OUT","DR","CR"))</f>
        <v/>
      </c>
      <c r="H817" s="11">
        <f>IF(A817="","",IFERROR(INDEX(BANK_CLEAN!$A$2:$A$1001,MATCH(MINIFS(BANK_CLEAN!$J$2:$J$1001,BANK_CLEAN!$H$2:$H$1001,G817,BANK_CLEAN!$L$2:$L$1001,""),BANK_CLEAN!$J$2:$J$1001,0)),""))</f>
        <v/>
      </c>
      <c r="I817" s="10">
        <f>IF(H817="","",INDEX(BANK_CLEAN!$B$2:$B$1001,H817))</f>
        <v/>
      </c>
      <c r="J817" s="14">
        <f>IF(H817="","",IF(F817="OUT",INDEX(BANK_CLEAN!$F$2:$F$1001,H817),INDEX(BANK_CLEAN!$E$2:$E$1001,H817)))</f>
        <v/>
      </c>
      <c r="K817" s="14">
        <f>IF(H817="","",ABS(E817-J817))</f>
        <v/>
      </c>
      <c r="L817" s="11">
        <f>IF(OR(H817="",B817="",I817=""),"",ABS(B817-I817))</f>
        <v/>
      </c>
      <c r="M817" s="15">
        <f>IF(H817="",0,LET(pct,IF(E817&gt;0,K817/E817,1),days,IFERROR(L817,999),100-pct*200-days*3))</f>
        <v/>
      </c>
      <c r="N817" s="11">
        <f>IF(A817="","",IF(H817="","Unmatched GL",IF(AND(K817&lt;=Tol_Amount,L817&lt;=Tol_Days),"Matched",IF(M817&gt;Tol_NearPct,"Near Match","Unmatched GL"))))</f>
        <v/>
      </c>
    </row>
    <row r="818">
      <c r="A818" s="13">
        <f>IF(GL_CLEAN!A818="","",GL_CLEAN!A818)</f>
        <v/>
      </c>
      <c r="B818" s="10">
        <f>IF(A818="","",GL_CLEAN!B818)</f>
        <v/>
      </c>
      <c r="C818" s="11">
        <f>IF(A818="","",GL_CLEAN!C818)</f>
        <v/>
      </c>
      <c r="D818" s="14">
        <f>IF(A818="","",GL_CLEAN!H818)</f>
        <v/>
      </c>
      <c r="E818" s="14">
        <f>IF(A818="","",GL_CLEAN!I818)</f>
        <v/>
      </c>
      <c r="F818" s="11">
        <f>IF(A818="","",GL_CLEAN!J818)</f>
        <v/>
      </c>
      <c r="G818" s="11">
        <f>IF(A818="","",IF(F818="OUT","DR","CR"))</f>
        <v/>
      </c>
      <c r="H818" s="11">
        <f>IF(A818="","",IFERROR(INDEX(BANK_CLEAN!$A$2:$A$1001,MATCH(MINIFS(BANK_CLEAN!$J$2:$J$1001,BANK_CLEAN!$H$2:$H$1001,G818,BANK_CLEAN!$L$2:$L$1001,""),BANK_CLEAN!$J$2:$J$1001,0)),""))</f>
        <v/>
      </c>
      <c r="I818" s="10">
        <f>IF(H818="","",INDEX(BANK_CLEAN!$B$2:$B$1001,H818))</f>
        <v/>
      </c>
      <c r="J818" s="14">
        <f>IF(H818="","",IF(F818="OUT",INDEX(BANK_CLEAN!$F$2:$F$1001,H818),INDEX(BANK_CLEAN!$E$2:$E$1001,H818)))</f>
        <v/>
      </c>
      <c r="K818" s="14">
        <f>IF(H818="","",ABS(E818-J818))</f>
        <v/>
      </c>
      <c r="L818" s="11">
        <f>IF(OR(H818="",B818="",I818=""),"",ABS(B818-I818))</f>
        <v/>
      </c>
      <c r="M818" s="15">
        <f>IF(H818="",0,LET(pct,IF(E818&gt;0,K818/E818,1),days,IFERROR(L818,999),100-pct*200-days*3))</f>
        <v/>
      </c>
      <c r="N818" s="11">
        <f>IF(A818="","",IF(H818="","Unmatched GL",IF(AND(K818&lt;=Tol_Amount,L818&lt;=Tol_Days),"Matched",IF(M818&gt;Tol_NearPct,"Near Match","Unmatched GL"))))</f>
        <v/>
      </c>
    </row>
    <row r="819">
      <c r="A819" s="13">
        <f>IF(GL_CLEAN!A819="","",GL_CLEAN!A819)</f>
        <v/>
      </c>
      <c r="B819" s="10">
        <f>IF(A819="","",GL_CLEAN!B819)</f>
        <v/>
      </c>
      <c r="C819" s="11">
        <f>IF(A819="","",GL_CLEAN!C819)</f>
        <v/>
      </c>
      <c r="D819" s="14">
        <f>IF(A819="","",GL_CLEAN!H819)</f>
        <v/>
      </c>
      <c r="E819" s="14">
        <f>IF(A819="","",GL_CLEAN!I819)</f>
        <v/>
      </c>
      <c r="F819" s="11">
        <f>IF(A819="","",GL_CLEAN!J819)</f>
        <v/>
      </c>
      <c r="G819" s="11">
        <f>IF(A819="","",IF(F819="OUT","DR","CR"))</f>
        <v/>
      </c>
      <c r="H819" s="11">
        <f>IF(A819="","",IFERROR(INDEX(BANK_CLEAN!$A$2:$A$1001,MATCH(MINIFS(BANK_CLEAN!$J$2:$J$1001,BANK_CLEAN!$H$2:$H$1001,G819,BANK_CLEAN!$L$2:$L$1001,""),BANK_CLEAN!$J$2:$J$1001,0)),""))</f>
        <v/>
      </c>
      <c r="I819" s="10">
        <f>IF(H819="","",INDEX(BANK_CLEAN!$B$2:$B$1001,H819))</f>
        <v/>
      </c>
      <c r="J819" s="14">
        <f>IF(H819="","",IF(F819="OUT",INDEX(BANK_CLEAN!$F$2:$F$1001,H819),INDEX(BANK_CLEAN!$E$2:$E$1001,H819)))</f>
        <v/>
      </c>
      <c r="K819" s="14">
        <f>IF(H819="","",ABS(E819-J819))</f>
        <v/>
      </c>
      <c r="L819" s="11">
        <f>IF(OR(H819="",B819="",I819=""),"",ABS(B819-I819))</f>
        <v/>
      </c>
      <c r="M819" s="15">
        <f>IF(H819="",0,LET(pct,IF(E819&gt;0,K819/E819,1),days,IFERROR(L819,999),100-pct*200-days*3))</f>
        <v/>
      </c>
      <c r="N819" s="11">
        <f>IF(A819="","",IF(H819="","Unmatched GL",IF(AND(K819&lt;=Tol_Amount,L819&lt;=Tol_Days),"Matched",IF(M819&gt;Tol_NearPct,"Near Match","Unmatched GL"))))</f>
        <v/>
      </c>
    </row>
    <row r="820">
      <c r="A820" s="13">
        <f>IF(GL_CLEAN!A820="","",GL_CLEAN!A820)</f>
        <v/>
      </c>
      <c r="B820" s="10">
        <f>IF(A820="","",GL_CLEAN!B820)</f>
        <v/>
      </c>
      <c r="C820" s="11">
        <f>IF(A820="","",GL_CLEAN!C820)</f>
        <v/>
      </c>
      <c r="D820" s="14">
        <f>IF(A820="","",GL_CLEAN!H820)</f>
        <v/>
      </c>
      <c r="E820" s="14">
        <f>IF(A820="","",GL_CLEAN!I820)</f>
        <v/>
      </c>
      <c r="F820" s="11">
        <f>IF(A820="","",GL_CLEAN!J820)</f>
        <v/>
      </c>
      <c r="G820" s="11">
        <f>IF(A820="","",IF(F820="OUT","DR","CR"))</f>
        <v/>
      </c>
      <c r="H820" s="11">
        <f>IF(A820="","",IFERROR(INDEX(BANK_CLEAN!$A$2:$A$1001,MATCH(MINIFS(BANK_CLEAN!$J$2:$J$1001,BANK_CLEAN!$H$2:$H$1001,G820,BANK_CLEAN!$L$2:$L$1001,""),BANK_CLEAN!$J$2:$J$1001,0)),""))</f>
        <v/>
      </c>
      <c r="I820" s="10">
        <f>IF(H820="","",INDEX(BANK_CLEAN!$B$2:$B$1001,H820))</f>
        <v/>
      </c>
      <c r="J820" s="14">
        <f>IF(H820="","",IF(F820="OUT",INDEX(BANK_CLEAN!$F$2:$F$1001,H820),INDEX(BANK_CLEAN!$E$2:$E$1001,H820)))</f>
        <v/>
      </c>
      <c r="K820" s="14">
        <f>IF(H820="","",ABS(E820-J820))</f>
        <v/>
      </c>
      <c r="L820" s="11">
        <f>IF(OR(H820="",B820="",I820=""),"",ABS(B820-I820))</f>
        <v/>
      </c>
      <c r="M820" s="15">
        <f>IF(H820="",0,LET(pct,IF(E820&gt;0,K820/E820,1),days,IFERROR(L820,999),100-pct*200-days*3))</f>
        <v/>
      </c>
      <c r="N820" s="11">
        <f>IF(A820="","",IF(H820="","Unmatched GL",IF(AND(K820&lt;=Tol_Amount,L820&lt;=Tol_Days),"Matched",IF(M820&gt;Tol_NearPct,"Near Match","Unmatched GL"))))</f>
        <v/>
      </c>
    </row>
    <row r="821">
      <c r="A821" s="13">
        <f>IF(GL_CLEAN!A821="","",GL_CLEAN!A821)</f>
        <v/>
      </c>
      <c r="B821" s="10">
        <f>IF(A821="","",GL_CLEAN!B821)</f>
        <v/>
      </c>
      <c r="C821" s="11">
        <f>IF(A821="","",GL_CLEAN!C821)</f>
        <v/>
      </c>
      <c r="D821" s="14">
        <f>IF(A821="","",GL_CLEAN!H821)</f>
        <v/>
      </c>
      <c r="E821" s="14">
        <f>IF(A821="","",GL_CLEAN!I821)</f>
        <v/>
      </c>
      <c r="F821" s="11">
        <f>IF(A821="","",GL_CLEAN!J821)</f>
        <v/>
      </c>
      <c r="G821" s="11">
        <f>IF(A821="","",IF(F821="OUT","DR","CR"))</f>
        <v/>
      </c>
      <c r="H821" s="11">
        <f>IF(A821="","",IFERROR(INDEX(BANK_CLEAN!$A$2:$A$1001,MATCH(MINIFS(BANK_CLEAN!$J$2:$J$1001,BANK_CLEAN!$H$2:$H$1001,G821,BANK_CLEAN!$L$2:$L$1001,""),BANK_CLEAN!$J$2:$J$1001,0)),""))</f>
        <v/>
      </c>
      <c r="I821" s="10">
        <f>IF(H821="","",INDEX(BANK_CLEAN!$B$2:$B$1001,H821))</f>
        <v/>
      </c>
      <c r="J821" s="14">
        <f>IF(H821="","",IF(F821="OUT",INDEX(BANK_CLEAN!$F$2:$F$1001,H821),INDEX(BANK_CLEAN!$E$2:$E$1001,H821)))</f>
        <v/>
      </c>
      <c r="K821" s="14">
        <f>IF(H821="","",ABS(E821-J821))</f>
        <v/>
      </c>
      <c r="L821" s="11">
        <f>IF(OR(H821="",B821="",I821=""),"",ABS(B821-I821))</f>
        <v/>
      </c>
      <c r="M821" s="15">
        <f>IF(H821="",0,LET(pct,IF(E821&gt;0,K821/E821,1),days,IFERROR(L821,999),100-pct*200-days*3))</f>
        <v/>
      </c>
      <c r="N821" s="11">
        <f>IF(A821="","",IF(H821="","Unmatched GL",IF(AND(K821&lt;=Tol_Amount,L821&lt;=Tol_Days),"Matched",IF(M821&gt;Tol_NearPct,"Near Match","Unmatched GL"))))</f>
        <v/>
      </c>
    </row>
    <row r="822">
      <c r="A822" s="13">
        <f>IF(GL_CLEAN!A822="","",GL_CLEAN!A822)</f>
        <v/>
      </c>
      <c r="B822" s="10">
        <f>IF(A822="","",GL_CLEAN!B822)</f>
        <v/>
      </c>
      <c r="C822" s="11">
        <f>IF(A822="","",GL_CLEAN!C822)</f>
        <v/>
      </c>
      <c r="D822" s="14">
        <f>IF(A822="","",GL_CLEAN!H822)</f>
        <v/>
      </c>
      <c r="E822" s="14">
        <f>IF(A822="","",GL_CLEAN!I822)</f>
        <v/>
      </c>
      <c r="F822" s="11">
        <f>IF(A822="","",GL_CLEAN!J822)</f>
        <v/>
      </c>
      <c r="G822" s="11">
        <f>IF(A822="","",IF(F822="OUT","DR","CR"))</f>
        <v/>
      </c>
      <c r="H822" s="11">
        <f>IF(A822="","",IFERROR(INDEX(BANK_CLEAN!$A$2:$A$1001,MATCH(MINIFS(BANK_CLEAN!$J$2:$J$1001,BANK_CLEAN!$H$2:$H$1001,G822,BANK_CLEAN!$L$2:$L$1001,""),BANK_CLEAN!$J$2:$J$1001,0)),""))</f>
        <v/>
      </c>
      <c r="I822" s="10">
        <f>IF(H822="","",INDEX(BANK_CLEAN!$B$2:$B$1001,H822))</f>
        <v/>
      </c>
      <c r="J822" s="14">
        <f>IF(H822="","",IF(F822="OUT",INDEX(BANK_CLEAN!$F$2:$F$1001,H822),INDEX(BANK_CLEAN!$E$2:$E$1001,H822)))</f>
        <v/>
      </c>
      <c r="K822" s="14">
        <f>IF(H822="","",ABS(E822-J822))</f>
        <v/>
      </c>
      <c r="L822" s="11">
        <f>IF(OR(H822="",B822="",I822=""),"",ABS(B822-I822))</f>
        <v/>
      </c>
      <c r="M822" s="15">
        <f>IF(H822="",0,LET(pct,IF(E822&gt;0,K822/E822,1),days,IFERROR(L822,999),100-pct*200-days*3))</f>
        <v/>
      </c>
      <c r="N822" s="11">
        <f>IF(A822="","",IF(H822="","Unmatched GL",IF(AND(K822&lt;=Tol_Amount,L822&lt;=Tol_Days),"Matched",IF(M822&gt;Tol_NearPct,"Near Match","Unmatched GL"))))</f>
        <v/>
      </c>
    </row>
    <row r="823">
      <c r="A823" s="13">
        <f>IF(GL_CLEAN!A823="","",GL_CLEAN!A823)</f>
        <v/>
      </c>
      <c r="B823" s="10">
        <f>IF(A823="","",GL_CLEAN!B823)</f>
        <v/>
      </c>
      <c r="C823" s="11">
        <f>IF(A823="","",GL_CLEAN!C823)</f>
        <v/>
      </c>
      <c r="D823" s="14">
        <f>IF(A823="","",GL_CLEAN!H823)</f>
        <v/>
      </c>
      <c r="E823" s="14">
        <f>IF(A823="","",GL_CLEAN!I823)</f>
        <v/>
      </c>
      <c r="F823" s="11">
        <f>IF(A823="","",GL_CLEAN!J823)</f>
        <v/>
      </c>
      <c r="G823" s="11">
        <f>IF(A823="","",IF(F823="OUT","DR","CR"))</f>
        <v/>
      </c>
      <c r="H823" s="11">
        <f>IF(A823="","",IFERROR(INDEX(BANK_CLEAN!$A$2:$A$1001,MATCH(MINIFS(BANK_CLEAN!$J$2:$J$1001,BANK_CLEAN!$H$2:$H$1001,G823,BANK_CLEAN!$L$2:$L$1001,""),BANK_CLEAN!$J$2:$J$1001,0)),""))</f>
        <v/>
      </c>
      <c r="I823" s="10">
        <f>IF(H823="","",INDEX(BANK_CLEAN!$B$2:$B$1001,H823))</f>
        <v/>
      </c>
      <c r="J823" s="14">
        <f>IF(H823="","",IF(F823="OUT",INDEX(BANK_CLEAN!$F$2:$F$1001,H823),INDEX(BANK_CLEAN!$E$2:$E$1001,H823)))</f>
        <v/>
      </c>
      <c r="K823" s="14">
        <f>IF(H823="","",ABS(E823-J823))</f>
        <v/>
      </c>
      <c r="L823" s="11">
        <f>IF(OR(H823="",B823="",I823=""),"",ABS(B823-I823))</f>
        <v/>
      </c>
      <c r="M823" s="15">
        <f>IF(H823="",0,LET(pct,IF(E823&gt;0,K823/E823,1),days,IFERROR(L823,999),100-pct*200-days*3))</f>
        <v/>
      </c>
      <c r="N823" s="11">
        <f>IF(A823="","",IF(H823="","Unmatched GL",IF(AND(K823&lt;=Tol_Amount,L823&lt;=Tol_Days),"Matched",IF(M823&gt;Tol_NearPct,"Near Match","Unmatched GL"))))</f>
        <v/>
      </c>
    </row>
    <row r="824">
      <c r="A824" s="13">
        <f>IF(GL_CLEAN!A824="","",GL_CLEAN!A824)</f>
        <v/>
      </c>
      <c r="B824" s="10">
        <f>IF(A824="","",GL_CLEAN!B824)</f>
        <v/>
      </c>
      <c r="C824" s="11">
        <f>IF(A824="","",GL_CLEAN!C824)</f>
        <v/>
      </c>
      <c r="D824" s="14">
        <f>IF(A824="","",GL_CLEAN!H824)</f>
        <v/>
      </c>
      <c r="E824" s="14">
        <f>IF(A824="","",GL_CLEAN!I824)</f>
        <v/>
      </c>
      <c r="F824" s="11">
        <f>IF(A824="","",GL_CLEAN!J824)</f>
        <v/>
      </c>
      <c r="G824" s="11">
        <f>IF(A824="","",IF(F824="OUT","DR","CR"))</f>
        <v/>
      </c>
      <c r="H824" s="11">
        <f>IF(A824="","",IFERROR(INDEX(BANK_CLEAN!$A$2:$A$1001,MATCH(MINIFS(BANK_CLEAN!$J$2:$J$1001,BANK_CLEAN!$H$2:$H$1001,G824,BANK_CLEAN!$L$2:$L$1001,""),BANK_CLEAN!$J$2:$J$1001,0)),""))</f>
        <v/>
      </c>
      <c r="I824" s="10">
        <f>IF(H824="","",INDEX(BANK_CLEAN!$B$2:$B$1001,H824))</f>
        <v/>
      </c>
      <c r="J824" s="14">
        <f>IF(H824="","",IF(F824="OUT",INDEX(BANK_CLEAN!$F$2:$F$1001,H824),INDEX(BANK_CLEAN!$E$2:$E$1001,H824)))</f>
        <v/>
      </c>
      <c r="K824" s="14">
        <f>IF(H824="","",ABS(E824-J824))</f>
        <v/>
      </c>
      <c r="L824" s="11">
        <f>IF(OR(H824="",B824="",I824=""),"",ABS(B824-I824))</f>
        <v/>
      </c>
      <c r="M824" s="15">
        <f>IF(H824="",0,LET(pct,IF(E824&gt;0,K824/E824,1),days,IFERROR(L824,999),100-pct*200-days*3))</f>
        <v/>
      </c>
      <c r="N824" s="11">
        <f>IF(A824="","",IF(H824="","Unmatched GL",IF(AND(K824&lt;=Tol_Amount,L824&lt;=Tol_Days),"Matched",IF(M824&gt;Tol_NearPct,"Near Match","Unmatched GL"))))</f>
        <v/>
      </c>
    </row>
    <row r="825">
      <c r="A825" s="13">
        <f>IF(GL_CLEAN!A825="","",GL_CLEAN!A825)</f>
        <v/>
      </c>
      <c r="B825" s="10">
        <f>IF(A825="","",GL_CLEAN!B825)</f>
        <v/>
      </c>
      <c r="C825" s="11">
        <f>IF(A825="","",GL_CLEAN!C825)</f>
        <v/>
      </c>
      <c r="D825" s="14">
        <f>IF(A825="","",GL_CLEAN!H825)</f>
        <v/>
      </c>
      <c r="E825" s="14">
        <f>IF(A825="","",GL_CLEAN!I825)</f>
        <v/>
      </c>
      <c r="F825" s="11">
        <f>IF(A825="","",GL_CLEAN!J825)</f>
        <v/>
      </c>
      <c r="G825" s="11">
        <f>IF(A825="","",IF(F825="OUT","DR","CR"))</f>
        <v/>
      </c>
      <c r="H825" s="11">
        <f>IF(A825="","",IFERROR(INDEX(BANK_CLEAN!$A$2:$A$1001,MATCH(MINIFS(BANK_CLEAN!$J$2:$J$1001,BANK_CLEAN!$H$2:$H$1001,G825,BANK_CLEAN!$L$2:$L$1001,""),BANK_CLEAN!$J$2:$J$1001,0)),""))</f>
        <v/>
      </c>
      <c r="I825" s="10">
        <f>IF(H825="","",INDEX(BANK_CLEAN!$B$2:$B$1001,H825))</f>
        <v/>
      </c>
      <c r="J825" s="14">
        <f>IF(H825="","",IF(F825="OUT",INDEX(BANK_CLEAN!$F$2:$F$1001,H825),INDEX(BANK_CLEAN!$E$2:$E$1001,H825)))</f>
        <v/>
      </c>
      <c r="K825" s="14">
        <f>IF(H825="","",ABS(E825-J825))</f>
        <v/>
      </c>
      <c r="L825" s="11">
        <f>IF(OR(H825="",B825="",I825=""),"",ABS(B825-I825))</f>
        <v/>
      </c>
      <c r="M825" s="15">
        <f>IF(H825="",0,LET(pct,IF(E825&gt;0,K825/E825,1),days,IFERROR(L825,999),100-pct*200-days*3))</f>
        <v/>
      </c>
      <c r="N825" s="11">
        <f>IF(A825="","",IF(H825="","Unmatched GL",IF(AND(K825&lt;=Tol_Amount,L825&lt;=Tol_Days),"Matched",IF(M825&gt;Tol_NearPct,"Near Match","Unmatched GL"))))</f>
        <v/>
      </c>
    </row>
    <row r="826">
      <c r="A826" s="13">
        <f>IF(GL_CLEAN!A826="","",GL_CLEAN!A826)</f>
        <v/>
      </c>
      <c r="B826" s="10">
        <f>IF(A826="","",GL_CLEAN!B826)</f>
        <v/>
      </c>
      <c r="C826" s="11">
        <f>IF(A826="","",GL_CLEAN!C826)</f>
        <v/>
      </c>
      <c r="D826" s="14">
        <f>IF(A826="","",GL_CLEAN!H826)</f>
        <v/>
      </c>
      <c r="E826" s="14">
        <f>IF(A826="","",GL_CLEAN!I826)</f>
        <v/>
      </c>
      <c r="F826" s="11">
        <f>IF(A826="","",GL_CLEAN!J826)</f>
        <v/>
      </c>
      <c r="G826" s="11">
        <f>IF(A826="","",IF(F826="OUT","DR","CR"))</f>
        <v/>
      </c>
      <c r="H826" s="11">
        <f>IF(A826="","",IFERROR(INDEX(BANK_CLEAN!$A$2:$A$1001,MATCH(MINIFS(BANK_CLEAN!$J$2:$J$1001,BANK_CLEAN!$H$2:$H$1001,G826,BANK_CLEAN!$L$2:$L$1001,""),BANK_CLEAN!$J$2:$J$1001,0)),""))</f>
        <v/>
      </c>
      <c r="I826" s="10">
        <f>IF(H826="","",INDEX(BANK_CLEAN!$B$2:$B$1001,H826))</f>
        <v/>
      </c>
      <c r="J826" s="14">
        <f>IF(H826="","",IF(F826="OUT",INDEX(BANK_CLEAN!$F$2:$F$1001,H826),INDEX(BANK_CLEAN!$E$2:$E$1001,H826)))</f>
        <v/>
      </c>
      <c r="K826" s="14">
        <f>IF(H826="","",ABS(E826-J826))</f>
        <v/>
      </c>
      <c r="L826" s="11">
        <f>IF(OR(H826="",B826="",I826=""),"",ABS(B826-I826))</f>
        <v/>
      </c>
      <c r="M826" s="15">
        <f>IF(H826="",0,LET(pct,IF(E826&gt;0,K826/E826,1),days,IFERROR(L826,999),100-pct*200-days*3))</f>
        <v/>
      </c>
      <c r="N826" s="11">
        <f>IF(A826="","",IF(H826="","Unmatched GL",IF(AND(K826&lt;=Tol_Amount,L826&lt;=Tol_Days),"Matched",IF(M826&gt;Tol_NearPct,"Near Match","Unmatched GL"))))</f>
        <v/>
      </c>
    </row>
    <row r="827">
      <c r="A827" s="13">
        <f>IF(GL_CLEAN!A827="","",GL_CLEAN!A827)</f>
        <v/>
      </c>
      <c r="B827" s="10">
        <f>IF(A827="","",GL_CLEAN!B827)</f>
        <v/>
      </c>
      <c r="C827" s="11">
        <f>IF(A827="","",GL_CLEAN!C827)</f>
        <v/>
      </c>
      <c r="D827" s="14">
        <f>IF(A827="","",GL_CLEAN!H827)</f>
        <v/>
      </c>
      <c r="E827" s="14">
        <f>IF(A827="","",GL_CLEAN!I827)</f>
        <v/>
      </c>
      <c r="F827" s="11">
        <f>IF(A827="","",GL_CLEAN!J827)</f>
        <v/>
      </c>
      <c r="G827" s="11">
        <f>IF(A827="","",IF(F827="OUT","DR","CR"))</f>
        <v/>
      </c>
      <c r="H827" s="11">
        <f>IF(A827="","",IFERROR(INDEX(BANK_CLEAN!$A$2:$A$1001,MATCH(MINIFS(BANK_CLEAN!$J$2:$J$1001,BANK_CLEAN!$H$2:$H$1001,G827,BANK_CLEAN!$L$2:$L$1001,""),BANK_CLEAN!$J$2:$J$1001,0)),""))</f>
        <v/>
      </c>
      <c r="I827" s="10">
        <f>IF(H827="","",INDEX(BANK_CLEAN!$B$2:$B$1001,H827))</f>
        <v/>
      </c>
      <c r="J827" s="14">
        <f>IF(H827="","",IF(F827="OUT",INDEX(BANK_CLEAN!$F$2:$F$1001,H827),INDEX(BANK_CLEAN!$E$2:$E$1001,H827)))</f>
        <v/>
      </c>
      <c r="K827" s="14">
        <f>IF(H827="","",ABS(E827-J827))</f>
        <v/>
      </c>
      <c r="L827" s="11">
        <f>IF(OR(H827="",B827="",I827=""),"",ABS(B827-I827))</f>
        <v/>
      </c>
      <c r="M827" s="15">
        <f>IF(H827="",0,LET(pct,IF(E827&gt;0,K827/E827,1),days,IFERROR(L827,999),100-pct*200-days*3))</f>
        <v/>
      </c>
      <c r="N827" s="11">
        <f>IF(A827="","",IF(H827="","Unmatched GL",IF(AND(K827&lt;=Tol_Amount,L827&lt;=Tol_Days),"Matched",IF(M827&gt;Tol_NearPct,"Near Match","Unmatched GL"))))</f>
        <v/>
      </c>
    </row>
    <row r="828">
      <c r="A828" s="13">
        <f>IF(GL_CLEAN!A828="","",GL_CLEAN!A828)</f>
        <v/>
      </c>
      <c r="B828" s="10">
        <f>IF(A828="","",GL_CLEAN!B828)</f>
        <v/>
      </c>
      <c r="C828" s="11">
        <f>IF(A828="","",GL_CLEAN!C828)</f>
        <v/>
      </c>
      <c r="D828" s="14">
        <f>IF(A828="","",GL_CLEAN!H828)</f>
        <v/>
      </c>
      <c r="E828" s="14">
        <f>IF(A828="","",GL_CLEAN!I828)</f>
        <v/>
      </c>
      <c r="F828" s="11">
        <f>IF(A828="","",GL_CLEAN!J828)</f>
        <v/>
      </c>
      <c r="G828" s="11">
        <f>IF(A828="","",IF(F828="OUT","DR","CR"))</f>
        <v/>
      </c>
      <c r="H828" s="11">
        <f>IF(A828="","",IFERROR(INDEX(BANK_CLEAN!$A$2:$A$1001,MATCH(MINIFS(BANK_CLEAN!$J$2:$J$1001,BANK_CLEAN!$H$2:$H$1001,G828,BANK_CLEAN!$L$2:$L$1001,""),BANK_CLEAN!$J$2:$J$1001,0)),""))</f>
        <v/>
      </c>
      <c r="I828" s="10">
        <f>IF(H828="","",INDEX(BANK_CLEAN!$B$2:$B$1001,H828))</f>
        <v/>
      </c>
      <c r="J828" s="14">
        <f>IF(H828="","",IF(F828="OUT",INDEX(BANK_CLEAN!$F$2:$F$1001,H828),INDEX(BANK_CLEAN!$E$2:$E$1001,H828)))</f>
        <v/>
      </c>
      <c r="K828" s="14">
        <f>IF(H828="","",ABS(E828-J828))</f>
        <v/>
      </c>
      <c r="L828" s="11">
        <f>IF(OR(H828="",B828="",I828=""),"",ABS(B828-I828))</f>
        <v/>
      </c>
      <c r="M828" s="15">
        <f>IF(H828="",0,LET(pct,IF(E828&gt;0,K828/E828,1),days,IFERROR(L828,999),100-pct*200-days*3))</f>
        <v/>
      </c>
      <c r="N828" s="11">
        <f>IF(A828="","",IF(H828="","Unmatched GL",IF(AND(K828&lt;=Tol_Amount,L828&lt;=Tol_Days),"Matched",IF(M828&gt;Tol_NearPct,"Near Match","Unmatched GL"))))</f>
        <v/>
      </c>
    </row>
    <row r="829">
      <c r="A829" s="13">
        <f>IF(GL_CLEAN!A829="","",GL_CLEAN!A829)</f>
        <v/>
      </c>
      <c r="B829" s="10">
        <f>IF(A829="","",GL_CLEAN!B829)</f>
        <v/>
      </c>
      <c r="C829" s="11">
        <f>IF(A829="","",GL_CLEAN!C829)</f>
        <v/>
      </c>
      <c r="D829" s="14">
        <f>IF(A829="","",GL_CLEAN!H829)</f>
        <v/>
      </c>
      <c r="E829" s="14">
        <f>IF(A829="","",GL_CLEAN!I829)</f>
        <v/>
      </c>
      <c r="F829" s="11">
        <f>IF(A829="","",GL_CLEAN!J829)</f>
        <v/>
      </c>
      <c r="G829" s="11">
        <f>IF(A829="","",IF(F829="OUT","DR","CR"))</f>
        <v/>
      </c>
      <c r="H829" s="11">
        <f>IF(A829="","",IFERROR(INDEX(BANK_CLEAN!$A$2:$A$1001,MATCH(MINIFS(BANK_CLEAN!$J$2:$J$1001,BANK_CLEAN!$H$2:$H$1001,G829,BANK_CLEAN!$L$2:$L$1001,""),BANK_CLEAN!$J$2:$J$1001,0)),""))</f>
        <v/>
      </c>
      <c r="I829" s="10">
        <f>IF(H829="","",INDEX(BANK_CLEAN!$B$2:$B$1001,H829))</f>
        <v/>
      </c>
      <c r="J829" s="14">
        <f>IF(H829="","",IF(F829="OUT",INDEX(BANK_CLEAN!$F$2:$F$1001,H829),INDEX(BANK_CLEAN!$E$2:$E$1001,H829)))</f>
        <v/>
      </c>
      <c r="K829" s="14">
        <f>IF(H829="","",ABS(E829-J829))</f>
        <v/>
      </c>
      <c r="L829" s="11">
        <f>IF(OR(H829="",B829="",I829=""),"",ABS(B829-I829))</f>
        <v/>
      </c>
      <c r="M829" s="15">
        <f>IF(H829="",0,LET(pct,IF(E829&gt;0,K829/E829,1),days,IFERROR(L829,999),100-pct*200-days*3))</f>
        <v/>
      </c>
      <c r="N829" s="11">
        <f>IF(A829="","",IF(H829="","Unmatched GL",IF(AND(K829&lt;=Tol_Amount,L829&lt;=Tol_Days),"Matched",IF(M829&gt;Tol_NearPct,"Near Match","Unmatched GL"))))</f>
        <v/>
      </c>
    </row>
    <row r="830">
      <c r="A830" s="13">
        <f>IF(GL_CLEAN!A830="","",GL_CLEAN!A830)</f>
        <v/>
      </c>
      <c r="B830" s="10">
        <f>IF(A830="","",GL_CLEAN!B830)</f>
        <v/>
      </c>
      <c r="C830" s="11">
        <f>IF(A830="","",GL_CLEAN!C830)</f>
        <v/>
      </c>
      <c r="D830" s="14">
        <f>IF(A830="","",GL_CLEAN!H830)</f>
        <v/>
      </c>
      <c r="E830" s="14">
        <f>IF(A830="","",GL_CLEAN!I830)</f>
        <v/>
      </c>
      <c r="F830" s="11">
        <f>IF(A830="","",GL_CLEAN!J830)</f>
        <v/>
      </c>
      <c r="G830" s="11">
        <f>IF(A830="","",IF(F830="OUT","DR","CR"))</f>
        <v/>
      </c>
      <c r="H830" s="11">
        <f>IF(A830="","",IFERROR(INDEX(BANK_CLEAN!$A$2:$A$1001,MATCH(MINIFS(BANK_CLEAN!$J$2:$J$1001,BANK_CLEAN!$H$2:$H$1001,G830,BANK_CLEAN!$L$2:$L$1001,""),BANK_CLEAN!$J$2:$J$1001,0)),""))</f>
        <v/>
      </c>
      <c r="I830" s="10">
        <f>IF(H830="","",INDEX(BANK_CLEAN!$B$2:$B$1001,H830))</f>
        <v/>
      </c>
      <c r="J830" s="14">
        <f>IF(H830="","",IF(F830="OUT",INDEX(BANK_CLEAN!$F$2:$F$1001,H830),INDEX(BANK_CLEAN!$E$2:$E$1001,H830)))</f>
        <v/>
      </c>
      <c r="K830" s="14">
        <f>IF(H830="","",ABS(E830-J830))</f>
        <v/>
      </c>
      <c r="L830" s="11">
        <f>IF(OR(H830="",B830="",I830=""),"",ABS(B830-I830))</f>
        <v/>
      </c>
      <c r="M830" s="15">
        <f>IF(H830="",0,LET(pct,IF(E830&gt;0,K830/E830,1),days,IFERROR(L830,999),100-pct*200-days*3))</f>
        <v/>
      </c>
      <c r="N830" s="11">
        <f>IF(A830="","",IF(H830="","Unmatched GL",IF(AND(K830&lt;=Tol_Amount,L830&lt;=Tol_Days),"Matched",IF(M830&gt;Tol_NearPct,"Near Match","Unmatched GL"))))</f>
        <v/>
      </c>
    </row>
    <row r="831">
      <c r="A831" s="13">
        <f>IF(GL_CLEAN!A831="","",GL_CLEAN!A831)</f>
        <v/>
      </c>
      <c r="B831" s="10">
        <f>IF(A831="","",GL_CLEAN!B831)</f>
        <v/>
      </c>
      <c r="C831" s="11">
        <f>IF(A831="","",GL_CLEAN!C831)</f>
        <v/>
      </c>
      <c r="D831" s="14">
        <f>IF(A831="","",GL_CLEAN!H831)</f>
        <v/>
      </c>
      <c r="E831" s="14">
        <f>IF(A831="","",GL_CLEAN!I831)</f>
        <v/>
      </c>
      <c r="F831" s="11">
        <f>IF(A831="","",GL_CLEAN!J831)</f>
        <v/>
      </c>
      <c r="G831" s="11">
        <f>IF(A831="","",IF(F831="OUT","DR","CR"))</f>
        <v/>
      </c>
      <c r="H831" s="11">
        <f>IF(A831="","",IFERROR(INDEX(BANK_CLEAN!$A$2:$A$1001,MATCH(MINIFS(BANK_CLEAN!$J$2:$J$1001,BANK_CLEAN!$H$2:$H$1001,G831,BANK_CLEAN!$L$2:$L$1001,""),BANK_CLEAN!$J$2:$J$1001,0)),""))</f>
        <v/>
      </c>
      <c r="I831" s="10">
        <f>IF(H831="","",INDEX(BANK_CLEAN!$B$2:$B$1001,H831))</f>
        <v/>
      </c>
      <c r="J831" s="14">
        <f>IF(H831="","",IF(F831="OUT",INDEX(BANK_CLEAN!$F$2:$F$1001,H831),INDEX(BANK_CLEAN!$E$2:$E$1001,H831)))</f>
        <v/>
      </c>
      <c r="K831" s="14">
        <f>IF(H831="","",ABS(E831-J831))</f>
        <v/>
      </c>
      <c r="L831" s="11">
        <f>IF(OR(H831="",B831="",I831=""),"",ABS(B831-I831))</f>
        <v/>
      </c>
      <c r="M831" s="15">
        <f>IF(H831="",0,LET(pct,IF(E831&gt;0,K831/E831,1),days,IFERROR(L831,999),100-pct*200-days*3))</f>
        <v/>
      </c>
      <c r="N831" s="11">
        <f>IF(A831="","",IF(H831="","Unmatched GL",IF(AND(K831&lt;=Tol_Amount,L831&lt;=Tol_Days),"Matched",IF(M831&gt;Tol_NearPct,"Near Match","Unmatched GL"))))</f>
        <v/>
      </c>
    </row>
    <row r="832">
      <c r="A832" s="13">
        <f>IF(GL_CLEAN!A832="","",GL_CLEAN!A832)</f>
        <v/>
      </c>
      <c r="B832" s="10">
        <f>IF(A832="","",GL_CLEAN!B832)</f>
        <v/>
      </c>
      <c r="C832" s="11">
        <f>IF(A832="","",GL_CLEAN!C832)</f>
        <v/>
      </c>
      <c r="D832" s="14">
        <f>IF(A832="","",GL_CLEAN!H832)</f>
        <v/>
      </c>
      <c r="E832" s="14">
        <f>IF(A832="","",GL_CLEAN!I832)</f>
        <v/>
      </c>
      <c r="F832" s="11">
        <f>IF(A832="","",GL_CLEAN!J832)</f>
        <v/>
      </c>
      <c r="G832" s="11">
        <f>IF(A832="","",IF(F832="OUT","DR","CR"))</f>
        <v/>
      </c>
      <c r="H832" s="11">
        <f>IF(A832="","",IFERROR(INDEX(BANK_CLEAN!$A$2:$A$1001,MATCH(MINIFS(BANK_CLEAN!$J$2:$J$1001,BANK_CLEAN!$H$2:$H$1001,G832,BANK_CLEAN!$L$2:$L$1001,""),BANK_CLEAN!$J$2:$J$1001,0)),""))</f>
        <v/>
      </c>
      <c r="I832" s="10">
        <f>IF(H832="","",INDEX(BANK_CLEAN!$B$2:$B$1001,H832))</f>
        <v/>
      </c>
      <c r="J832" s="14">
        <f>IF(H832="","",IF(F832="OUT",INDEX(BANK_CLEAN!$F$2:$F$1001,H832),INDEX(BANK_CLEAN!$E$2:$E$1001,H832)))</f>
        <v/>
      </c>
      <c r="K832" s="14">
        <f>IF(H832="","",ABS(E832-J832))</f>
        <v/>
      </c>
      <c r="L832" s="11">
        <f>IF(OR(H832="",B832="",I832=""),"",ABS(B832-I832))</f>
        <v/>
      </c>
      <c r="M832" s="15">
        <f>IF(H832="",0,LET(pct,IF(E832&gt;0,K832/E832,1),days,IFERROR(L832,999),100-pct*200-days*3))</f>
        <v/>
      </c>
      <c r="N832" s="11">
        <f>IF(A832="","",IF(H832="","Unmatched GL",IF(AND(K832&lt;=Tol_Amount,L832&lt;=Tol_Days),"Matched",IF(M832&gt;Tol_NearPct,"Near Match","Unmatched GL"))))</f>
        <v/>
      </c>
    </row>
    <row r="833">
      <c r="A833" s="13">
        <f>IF(GL_CLEAN!A833="","",GL_CLEAN!A833)</f>
        <v/>
      </c>
      <c r="B833" s="10">
        <f>IF(A833="","",GL_CLEAN!B833)</f>
        <v/>
      </c>
      <c r="C833" s="11">
        <f>IF(A833="","",GL_CLEAN!C833)</f>
        <v/>
      </c>
      <c r="D833" s="14">
        <f>IF(A833="","",GL_CLEAN!H833)</f>
        <v/>
      </c>
      <c r="E833" s="14">
        <f>IF(A833="","",GL_CLEAN!I833)</f>
        <v/>
      </c>
      <c r="F833" s="11">
        <f>IF(A833="","",GL_CLEAN!J833)</f>
        <v/>
      </c>
      <c r="G833" s="11">
        <f>IF(A833="","",IF(F833="OUT","DR","CR"))</f>
        <v/>
      </c>
      <c r="H833" s="11">
        <f>IF(A833="","",IFERROR(INDEX(BANK_CLEAN!$A$2:$A$1001,MATCH(MINIFS(BANK_CLEAN!$J$2:$J$1001,BANK_CLEAN!$H$2:$H$1001,G833,BANK_CLEAN!$L$2:$L$1001,""),BANK_CLEAN!$J$2:$J$1001,0)),""))</f>
        <v/>
      </c>
      <c r="I833" s="10">
        <f>IF(H833="","",INDEX(BANK_CLEAN!$B$2:$B$1001,H833))</f>
        <v/>
      </c>
      <c r="J833" s="14">
        <f>IF(H833="","",IF(F833="OUT",INDEX(BANK_CLEAN!$F$2:$F$1001,H833),INDEX(BANK_CLEAN!$E$2:$E$1001,H833)))</f>
        <v/>
      </c>
      <c r="K833" s="14">
        <f>IF(H833="","",ABS(E833-J833))</f>
        <v/>
      </c>
      <c r="L833" s="11">
        <f>IF(OR(H833="",B833="",I833=""),"",ABS(B833-I833))</f>
        <v/>
      </c>
      <c r="M833" s="15">
        <f>IF(H833="",0,LET(pct,IF(E833&gt;0,K833/E833,1),days,IFERROR(L833,999),100-pct*200-days*3))</f>
        <v/>
      </c>
      <c r="N833" s="11">
        <f>IF(A833="","",IF(H833="","Unmatched GL",IF(AND(K833&lt;=Tol_Amount,L833&lt;=Tol_Days),"Matched",IF(M833&gt;Tol_NearPct,"Near Match","Unmatched GL"))))</f>
        <v/>
      </c>
    </row>
    <row r="834">
      <c r="A834" s="13">
        <f>IF(GL_CLEAN!A834="","",GL_CLEAN!A834)</f>
        <v/>
      </c>
      <c r="B834" s="10">
        <f>IF(A834="","",GL_CLEAN!B834)</f>
        <v/>
      </c>
      <c r="C834" s="11">
        <f>IF(A834="","",GL_CLEAN!C834)</f>
        <v/>
      </c>
      <c r="D834" s="14">
        <f>IF(A834="","",GL_CLEAN!H834)</f>
        <v/>
      </c>
      <c r="E834" s="14">
        <f>IF(A834="","",GL_CLEAN!I834)</f>
        <v/>
      </c>
      <c r="F834" s="11">
        <f>IF(A834="","",GL_CLEAN!J834)</f>
        <v/>
      </c>
      <c r="G834" s="11">
        <f>IF(A834="","",IF(F834="OUT","DR","CR"))</f>
        <v/>
      </c>
      <c r="H834" s="11">
        <f>IF(A834="","",IFERROR(INDEX(BANK_CLEAN!$A$2:$A$1001,MATCH(MINIFS(BANK_CLEAN!$J$2:$J$1001,BANK_CLEAN!$H$2:$H$1001,G834,BANK_CLEAN!$L$2:$L$1001,""),BANK_CLEAN!$J$2:$J$1001,0)),""))</f>
        <v/>
      </c>
      <c r="I834" s="10">
        <f>IF(H834="","",INDEX(BANK_CLEAN!$B$2:$B$1001,H834))</f>
        <v/>
      </c>
      <c r="J834" s="14">
        <f>IF(H834="","",IF(F834="OUT",INDEX(BANK_CLEAN!$F$2:$F$1001,H834),INDEX(BANK_CLEAN!$E$2:$E$1001,H834)))</f>
        <v/>
      </c>
      <c r="K834" s="14">
        <f>IF(H834="","",ABS(E834-J834))</f>
        <v/>
      </c>
      <c r="L834" s="11">
        <f>IF(OR(H834="",B834="",I834=""),"",ABS(B834-I834))</f>
        <v/>
      </c>
      <c r="M834" s="15">
        <f>IF(H834="",0,LET(pct,IF(E834&gt;0,K834/E834,1),days,IFERROR(L834,999),100-pct*200-days*3))</f>
        <v/>
      </c>
      <c r="N834" s="11">
        <f>IF(A834="","",IF(H834="","Unmatched GL",IF(AND(K834&lt;=Tol_Amount,L834&lt;=Tol_Days),"Matched",IF(M834&gt;Tol_NearPct,"Near Match","Unmatched GL"))))</f>
        <v/>
      </c>
    </row>
    <row r="835">
      <c r="A835" s="13">
        <f>IF(GL_CLEAN!A835="","",GL_CLEAN!A835)</f>
        <v/>
      </c>
      <c r="B835" s="10">
        <f>IF(A835="","",GL_CLEAN!B835)</f>
        <v/>
      </c>
      <c r="C835" s="11">
        <f>IF(A835="","",GL_CLEAN!C835)</f>
        <v/>
      </c>
      <c r="D835" s="14">
        <f>IF(A835="","",GL_CLEAN!H835)</f>
        <v/>
      </c>
      <c r="E835" s="14">
        <f>IF(A835="","",GL_CLEAN!I835)</f>
        <v/>
      </c>
      <c r="F835" s="11">
        <f>IF(A835="","",GL_CLEAN!J835)</f>
        <v/>
      </c>
      <c r="G835" s="11">
        <f>IF(A835="","",IF(F835="OUT","DR","CR"))</f>
        <v/>
      </c>
      <c r="H835" s="11">
        <f>IF(A835="","",IFERROR(INDEX(BANK_CLEAN!$A$2:$A$1001,MATCH(MINIFS(BANK_CLEAN!$J$2:$J$1001,BANK_CLEAN!$H$2:$H$1001,G835,BANK_CLEAN!$L$2:$L$1001,""),BANK_CLEAN!$J$2:$J$1001,0)),""))</f>
        <v/>
      </c>
      <c r="I835" s="10">
        <f>IF(H835="","",INDEX(BANK_CLEAN!$B$2:$B$1001,H835))</f>
        <v/>
      </c>
      <c r="J835" s="14">
        <f>IF(H835="","",IF(F835="OUT",INDEX(BANK_CLEAN!$F$2:$F$1001,H835),INDEX(BANK_CLEAN!$E$2:$E$1001,H835)))</f>
        <v/>
      </c>
      <c r="K835" s="14">
        <f>IF(H835="","",ABS(E835-J835))</f>
        <v/>
      </c>
      <c r="L835" s="11">
        <f>IF(OR(H835="",B835="",I835=""),"",ABS(B835-I835))</f>
        <v/>
      </c>
      <c r="M835" s="15">
        <f>IF(H835="",0,LET(pct,IF(E835&gt;0,K835/E835,1),days,IFERROR(L835,999),100-pct*200-days*3))</f>
        <v/>
      </c>
      <c r="N835" s="11">
        <f>IF(A835="","",IF(H835="","Unmatched GL",IF(AND(K835&lt;=Tol_Amount,L835&lt;=Tol_Days),"Matched",IF(M835&gt;Tol_NearPct,"Near Match","Unmatched GL"))))</f>
        <v/>
      </c>
    </row>
    <row r="836">
      <c r="A836" s="13">
        <f>IF(GL_CLEAN!A836="","",GL_CLEAN!A836)</f>
        <v/>
      </c>
      <c r="B836" s="10">
        <f>IF(A836="","",GL_CLEAN!B836)</f>
        <v/>
      </c>
      <c r="C836" s="11">
        <f>IF(A836="","",GL_CLEAN!C836)</f>
        <v/>
      </c>
      <c r="D836" s="14">
        <f>IF(A836="","",GL_CLEAN!H836)</f>
        <v/>
      </c>
      <c r="E836" s="14">
        <f>IF(A836="","",GL_CLEAN!I836)</f>
        <v/>
      </c>
      <c r="F836" s="11">
        <f>IF(A836="","",GL_CLEAN!J836)</f>
        <v/>
      </c>
      <c r="G836" s="11">
        <f>IF(A836="","",IF(F836="OUT","DR","CR"))</f>
        <v/>
      </c>
      <c r="H836" s="11">
        <f>IF(A836="","",IFERROR(INDEX(BANK_CLEAN!$A$2:$A$1001,MATCH(MINIFS(BANK_CLEAN!$J$2:$J$1001,BANK_CLEAN!$H$2:$H$1001,G836,BANK_CLEAN!$L$2:$L$1001,""),BANK_CLEAN!$J$2:$J$1001,0)),""))</f>
        <v/>
      </c>
      <c r="I836" s="10">
        <f>IF(H836="","",INDEX(BANK_CLEAN!$B$2:$B$1001,H836))</f>
        <v/>
      </c>
      <c r="J836" s="14">
        <f>IF(H836="","",IF(F836="OUT",INDEX(BANK_CLEAN!$F$2:$F$1001,H836),INDEX(BANK_CLEAN!$E$2:$E$1001,H836)))</f>
        <v/>
      </c>
      <c r="K836" s="14">
        <f>IF(H836="","",ABS(E836-J836))</f>
        <v/>
      </c>
      <c r="L836" s="11">
        <f>IF(OR(H836="",B836="",I836=""),"",ABS(B836-I836))</f>
        <v/>
      </c>
      <c r="M836" s="15">
        <f>IF(H836="",0,LET(pct,IF(E836&gt;0,K836/E836,1),days,IFERROR(L836,999),100-pct*200-days*3))</f>
        <v/>
      </c>
      <c r="N836" s="11">
        <f>IF(A836="","",IF(H836="","Unmatched GL",IF(AND(K836&lt;=Tol_Amount,L836&lt;=Tol_Days),"Matched",IF(M836&gt;Tol_NearPct,"Near Match","Unmatched GL"))))</f>
        <v/>
      </c>
    </row>
    <row r="837">
      <c r="A837" s="13">
        <f>IF(GL_CLEAN!A837="","",GL_CLEAN!A837)</f>
        <v/>
      </c>
      <c r="B837" s="10">
        <f>IF(A837="","",GL_CLEAN!B837)</f>
        <v/>
      </c>
      <c r="C837" s="11">
        <f>IF(A837="","",GL_CLEAN!C837)</f>
        <v/>
      </c>
      <c r="D837" s="14">
        <f>IF(A837="","",GL_CLEAN!H837)</f>
        <v/>
      </c>
      <c r="E837" s="14">
        <f>IF(A837="","",GL_CLEAN!I837)</f>
        <v/>
      </c>
      <c r="F837" s="11">
        <f>IF(A837="","",GL_CLEAN!J837)</f>
        <v/>
      </c>
      <c r="G837" s="11">
        <f>IF(A837="","",IF(F837="OUT","DR","CR"))</f>
        <v/>
      </c>
      <c r="H837" s="11">
        <f>IF(A837="","",IFERROR(INDEX(BANK_CLEAN!$A$2:$A$1001,MATCH(MINIFS(BANK_CLEAN!$J$2:$J$1001,BANK_CLEAN!$H$2:$H$1001,G837,BANK_CLEAN!$L$2:$L$1001,""),BANK_CLEAN!$J$2:$J$1001,0)),""))</f>
        <v/>
      </c>
      <c r="I837" s="10">
        <f>IF(H837="","",INDEX(BANK_CLEAN!$B$2:$B$1001,H837))</f>
        <v/>
      </c>
      <c r="J837" s="14">
        <f>IF(H837="","",IF(F837="OUT",INDEX(BANK_CLEAN!$F$2:$F$1001,H837),INDEX(BANK_CLEAN!$E$2:$E$1001,H837)))</f>
        <v/>
      </c>
      <c r="K837" s="14">
        <f>IF(H837="","",ABS(E837-J837))</f>
        <v/>
      </c>
      <c r="L837" s="11">
        <f>IF(OR(H837="",B837="",I837=""),"",ABS(B837-I837))</f>
        <v/>
      </c>
      <c r="M837" s="15">
        <f>IF(H837="",0,LET(pct,IF(E837&gt;0,K837/E837,1),days,IFERROR(L837,999),100-pct*200-days*3))</f>
        <v/>
      </c>
      <c r="N837" s="11">
        <f>IF(A837="","",IF(H837="","Unmatched GL",IF(AND(K837&lt;=Tol_Amount,L837&lt;=Tol_Days),"Matched",IF(M837&gt;Tol_NearPct,"Near Match","Unmatched GL"))))</f>
        <v/>
      </c>
    </row>
    <row r="838">
      <c r="A838" s="13">
        <f>IF(GL_CLEAN!A838="","",GL_CLEAN!A838)</f>
        <v/>
      </c>
      <c r="B838" s="10">
        <f>IF(A838="","",GL_CLEAN!B838)</f>
        <v/>
      </c>
      <c r="C838" s="11">
        <f>IF(A838="","",GL_CLEAN!C838)</f>
        <v/>
      </c>
      <c r="D838" s="14">
        <f>IF(A838="","",GL_CLEAN!H838)</f>
        <v/>
      </c>
      <c r="E838" s="14">
        <f>IF(A838="","",GL_CLEAN!I838)</f>
        <v/>
      </c>
      <c r="F838" s="11">
        <f>IF(A838="","",GL_CLEAN!J838)</f>
        <v/>
      </c>
      <c r="G838" s="11">
        <f>IF(A838="","",IF(F838="OUT","DR","CR"))</f>
        <v/>
      </c>
      <c r="H838" s="11">
        <f>IF(A838="","",IFERROR(INDEX(BANK_CLEAN!$A$2:$A$1001,MATCH(MINIFS(BANK_CLEAN!$J$2:$J$1001,BANK_CLEAN!$H$2:$H$1001,G838,BANK_CLEAN!$L$2:$L$1001,""),BANK_CLEAN!$J$2:$J$1001,0)),""))</f>
        <v/>
      </c>
      <c r="I838" s="10">
        <f>IF(H838="","",INDEX(BANK_CLEAN!$B$2:$B$1001,H838))</f>
        <v/>
      </c>
      <c r="J838" s="14">
        <f>IF(H838="","",IF(F838="OUT",INDEX(BANK_CLEAN!$F$2:$F$1001,H838),INDEX(BANK_CLEAN!$E$2:$E$1001,H838)))</f>
        <v/>
      </c>
      <c r="K838" s="14">
        <f>IF(H838="","",ABS(E838-J838))</f>
        <v/>
      </c>
      <c r="L838" s="11">
        <f>IF(OR(H838="",B838="",I838=""),"",ABS(B838-I838))</f>
        <v/>
      </c>
      <c r="M838" s="15">
        <f>IF(H838="",0,LET(pct,IF(E838&gt;0,K838/E838,1),days,IFERROR(L838,999),100-pct*200-days*3))</f>
        <v/>
      </c>
      <c r="N838" s="11">
        <f>IF(A838="","",IF(H838="","Unmatched GL",IF(AND(K838&lt;=Tol_Amount,L838&lt;=Tol_Days),"Matched",IF(M838&gt;Tol_NearPct,"Near Match","Unmatched GL"))))</f>
        <v/>
      </c>
    </row>
    <row r="839">
      <c r="A839" s="13">
        <f>IF(GL_CLEAN!A839="","",GL_CLEAN!A839)</f>
        <v/>
      </c>
      <c r="B839" s="10">
        <f>IF(A839="","",GL_CLEAN!B839)</f>
        <v/>
      </c>
      <c r="C839" s="11">
        <f>IF(A839="","",GL_CLEAN!C839)</f>
        <v/>
      </c>
      <c r="D839" s="14">
        <f>IF(A839="","",GL_CLEAN!H839)</f>
        <v/>
      </c>
      <c r="E839" s="14">
        <f>IF(A839="","",GL_CLEAN!I839)</f>
        <v/>
      </c>
      <c r="F839" s="11">
        <f>IF(A839="","",GL_CLEAN!J839)</f>
        <v/>
      </c>
      <c r="G839" s="11">
        <f>IF(A839="","",IF(F839="OUT","DR","CR"))</f>
        <v/>
      </c>
      <c r="H839" s="11">
        <f>IF(A839="","",IFERROR(INDEX(BANK_CLEAN!$A$2:$A$1001,MATCH(MINIFS(BANK_CLEAN!$J$2:$J$1001,BANK_CLEAN!$H$2:$H$1001,G839,BANK_CLEAN!$L$2:$L$1001,""),BANK_CLEAN!$J$2:$J$1001,0)),""))</f>
        <v/>
      </c>
      <c r="I839" s="10">
        <f>IF(H839="","",INDEX(BANK_CLEAN!$B$2:$B$1001,H839))</f>
        <v/>
      </c>
      <c r="J839" s="14">
        <f>IF(H839="","",IF(F839="OUT",INDEX(BANK_CLEAN!$F$2:$F$1001,H839),INDEX(BANK_CLEAN!$E$2:$E$1001,H839)))</f>
        <v/>
      </c>
      <c r="K839" s="14">
        <f>IF(H839="","",ABS(E839-J839))</f>
        <v/>
      </c>
      <c r="L839" s="11">
        <f>IF(OR(H839="",B839="",I839=""),"",ABS(B839-I839))</f>
        <v/>
      </c>
      <c r="M839" s="15">
        <f>IF(H839="",0,LET(pct,IF(E839&gt;0,K839/E839,1),days,IFERROR(L839,999),100-pct*200-days*3))</f>
        <v/>
      </c>
      <c r="N839" s="11">
        <f>IF(A839="","",IF(H839="","Unmatched GL",IF(AND(K839&lt;=Tol_Amount,L839&lt;=Tol_Days),"Matched",IF(M839&gt;Tol_NearPct,"Near Match","Unmatched GL"))))</f>
        <v/>
      </c>
    </row>
    <row r="840">
      <c r="A840" s="13">
        <f>IF(GL_CLEAN!A840="","",GL_CLEAN!A840)</f>
        <v/>
      </c>
      <c r="B840" s="10">
        <f>IF(A840="","",GL_CLEAN!B840)</f>
        <v/>
      </c>
      <c r="C840" s="11">
        <f>IF(A840="","",GL_CLEAN!C840)</f>
        <v/>
      </c>
      <c r="D840" s="14">
        <f>IF(A840="","",GL_CLEAN!H840)</f>
        <v/>
      </c>
      <c r="E840" s="14">
        <f>IF(A840="","",GL_CLEAN!I840)</f>
        <v/>
      </c>
      <c r="F840" s="11">
        <f>IF(A840="","",GL_CLEAN!J840)</f>
        <v/>
      </c>
      <c r="G840" s="11">
        <f>IF(A840="","",IF(F840="OUT","DR","CR"))</f>
        <v/>
      </c>
      <c r="H840" s="11">
        <f>IF(A840="","",IFERROR(INDEX(BANK_CLEAN!$A$2:$A$1001,MATCH(MINIFS(BANK_CLEAN!$J$2:$J$1001,BANK_CLEAN!$H$2:$H$1001,G840,BANK_CLEAN!$L$2:$L$1001,""),BANK_CLEAN!$J$2:$J$1001,0)),""))</f>
        <v/>
      </c>
      <c r="I840" s="10">
        <f>IF(H840="","",INDEX(BANK_CLEAN!$B$2:$B$1001,H840))</f>
        <v/>
      </c>
      <c r="J840" s="14">
        <f>IF(H840="","",IF(F840="OUT",INDEX(BANK_CLEAN!$F$2:$F$1001,H840),INDEX(BANK_CLEAN!$E$2:$E$1001,H840)))</f>
        <v/>
      </c>
      <c r="K840" s="14">
        <f>IF(H840="","",ABS(E840-J840))</f>
        <v/>
      </c>
      <c r="L840" s="11">
        <f>IF(OR(H840="",B840="",I840=""),"",ABS(B840-I840))</f>
        <v/>
      </c>
      <c r="M840" s="15">
        <f>IF(H840="",0,LET(pct,IF(E840&gt;0,K840/E840,1),days,IFERROR(L840,999),100-pct*200-days*3))</f>
        <v/>
      </c>
      <c r="N840" s="11">
        <f>IF(A840="","",IF(H840="","Unmatched GL",IF(AND(K840&lt;=Tol_Amount,L840&lt;=Tol_Days),"Matched",IF(M840&gt;Tol_NearPct,"Near Match","Unmatched GL"))))</f>
        <v/>
      </c>
    </row>
    <row r="841">
      <c r="A841" s="13">
        <f>IF(GL_CLEAN!A841="","",GL_CLEAN!A841)</f>
        <v/>
      </c>
      <c r="B841" s="10">
        <f>IF(A841="","",GL_CLEAN!B841)</f>
        <v/>
      </c>
      <c r="C841" s="11">
        <f>IF(A841="","",GL_CLEAN!C841)</f>
        <v/>
      </c>
      <c r="D841" s="14">
        <f>IF(A841="","",GL_CLEAN!H841)</f>
        <v/>
      </c>
      <c r="E841" s="14">
        <f>IF(A841="","",GL_CLEAN!I841)</f>
        <v/>
      </c>
      <c r="F841" s="11">
        <f>IF(A841="","",GL_CLEAN!J841)</f>
        <v/>
      </c>
      <c r="G841" s="11">
        <f>IF(A841="","",IF(F841="OUT","DR","CR"))</f>
        <v/>
      </c>
      <c r="H841" s="11">
        <f>IF(A841="","",IFERROR(INDEX(BANK_CLEAN!$A$2:$A$1001,MATCH(MINIFS(BANK_CLEAN!$J$2:$J$1001,BANK_CLEAN!$H$2:$H$1001,G841,BANK_CLEAN!$L$2:$L$1001,""),BANK_CLEAN!$J$2:$J$1001,0)),""))</f>
        <v/>
      </c>
      <c r="I841" s="10">
        <f>IF(H841="","",INDEX(BANK_CLEAN!$B$2:$B$1001,H841))</f>
        <v/>
      </c>
      <c r="J841" s="14">
        <f>IF(H841="","",IF(F841="OUT",INDEX(BANK_CLEAN!$F$2:$F$1001,H841),INDEX(BANK_CLEAN!$E$2:$E$1001,H841)))</f>
        <v/>
      </c>
      <c r="K841" s="14">
        <f>IF(H841="","",ABS(E841-J841))</f>
        <v/>
      </c>
      <c r="L841" s="11">
        <f>IF(OR(H841="",B841="",I841=""),"",ABS(B841-I841))</f>
        <v/>
      </c>
      <c r="M841" s="15">
        <f>IF(H841="",0,LET(pct,IF(E841&gt;0,K841/E841,1),days,IFERROR(L841,999),100-pct*200-days*3))</f>
        <v/>
      </c>
      <c r="N841" s="11">
        <f>IF(A841="","",IF(H841="","Unmatched GL",IF(AND(K841&lt;=Tol_Amount,L841&lt;=Tol_Days),"Matched",IF(M841&gt;Tol_NearPct,"Near Match","Unmatched GL"))))</f>
        <v/>
      </c>
    </row>
    <row r="842">
      <c r="A842" s="13">
        <f>IF(GL_CLEAN!A842="","",GL_CLEAN!A842)</f>
        <v/>
      </c>
      <c r="B842" s="10">
        <f>IF(A842="","",GL_CLEAN!B842)</f>
        <v/>
      </c>
      <c r="C842" s="11">
        <f>IF(A842="","",GL_CLEAN!C842)</f>
        <v/>
      </c>
      <c r="D842" s="14">
        <f>IF(A842="","",GL_CLEAN!H842)</f>
        <v/>
      </c>
      <c r="E842" s="14">
        <f>IF(A842="","",GL_CLEAN!I842)</f>
        <v/>
      </c>
      <c r="F842" s="11">
        <f>IF(A842="","",GL_CLEAN!J842)</f>
        <v/>
      </c>
      <c r="G842" s="11">
        <f>IF(A842="","",IF(F842="OUT","DR","CR"))</f>
        <v/>
      </c>
      <c r="H842" s="11">
        <f>IF(A842="","",IFERROR(INDEX(BANK_CLEAN!$A$2:$A$1001,MATCH(MINIFS(BANK_CLEAN!$J$2:$J$1001,BANK_CLEAN!$H$2:$H$1001,G842,BANK_CLEAN!$L$2:$L$1001,""),BANK_CLEAN!$J$2:$J$1001,0)),""))</f>
        <v/>
      </c>
      <c r="I842" s="10">
        <f>IF(H842="","",INDEX(BANK_CLEAN!$B$2:$B$1001,H842))</f>
        <v/>
      </c>
      <c r="J842" s="14">
        <f>IF(H842="","",IF(F842="OUT",INDEX(BANK_CLEAN!$F$2:$F$1001,H842),INDEX(BANK_CLEAN!$E$2:$E$1001,H842)))</f>
        <v/>
      </c>
      <c r="K842" s="14">
        <f>IF(H842="","",ABS(E842-J842))</f>
        <v/>
      </c>
      <c r="L842" s="11">
        <f>IF(OR(H842="",B842="",I842=""),"",ABS(B842-I842))</f>
        <v/>
      </c>
      <c r="M842" s="15">
        <f>IF(H842="",0,LET(pct,IF(E842&gt;0,K842/E842,1),days,IFERROR(L842,999),100-pct*200-days*3))</f>
        <v/>
      </c>
      <c r="N842" s="11">
        <f>IF(A842="","",IF(H842="","Unmatched GL",IF(AND(K842&lt;=Tol_Amount,L842&lt;=Tol_Days),"Matched",IF(M842&gt;Tol_NearPct,"Near Match","Unmatched GL"))))</f>
        <v/>
      </c>
    </row>
    <row r="843">
      <c r="A843" s="13">
        <f>IF(GL_CLEAN!A843="","",GL_CLEAN!A843)</f>
        <v/>
      </c>
      <c r="B843" s="10">
        <f>IF(A843="","",GL_CLEAN!B843)</f>
        <v/>
      </c>
      <c r="C843" s="11">
        <f>IF(A843="","",GL_CLEAN!C843)</f>
        <v/>
      </c>
      <c r="D843" s="14">
        <f>IF(A843="","",GL_CLEAN!H843)</f>
        <v/>
      </c>
      <c r="E843" s="14">
        <f>IF(A843="","",GL_CLEAN!I843)</f>
        <v/>
      </c>
      <c r="F843" s="11">
        <f>IF(A843="","",GL_CLEAN!J843)</f>
        <v/>
      </c>
      <c r="G843" s="11">
        <f>IF(A843="","",IF(F843="OUT","DR","CR"))</f>
        <v/>
      </c>
      <c r="H843" s="11">
        <f>IF(A843="","",IFERROR(INDEX(BANK_CLEAN!$A$2:$A$1001,MATCH(MINIFS(BANK_CLEAN!$J$2:$J$1001,BANK_CLEAN!$H$2:$H$1001,G843,BANK_CLEAN!$L$2:$L$1001,""),BANK_CLEAN!$J$2:$J$1001,0)),""))</f>
        <v/>
      </c>
      <c r="I843" s="10">
        <f>IF(H843="","",INDEX(BANK_CLEAN!$B$2:$B$1001,H843))</f>
        <v/>
      </c>
      <c r="J843" s="14">
        <f>IF(H843="","",IF(F843="OUT",INDEX(BANK_CLEAN!$F$2:$F$1001,H843),INDEX(BANK_CLEAN!$E$2:$E$1001,H843)))</f>
        <v/>
      </c>
      <c r="K843" s="14">
        <f>IF(H843="","",ABS(E843-J843))</f>
        <v/>
      </c>
      <c r="L843" s="11">
        <f>IF(OR(H843="",B843="",I843=""),"",ABS(B843-I843))</f>
        <v/>
      </c>
      <c r="M843" s="15">
        <f>IF(H843="",0,LET(pct,IF(E843&gt;0,K843/E843,1),days,IFERROR(L843,999),100-pct*200-days*3))</f>
        <v/>
      </c>
      <c r="N843" s="11">
        <f>IF(A843="","",IF(H843="","Unmatched GL",IF(AND(K843&lt;=Tol_Amount,L843&lt;=Tol_Days),"Matched",IF(M843&gt;Tol_NearPct,"Near Match","Unmatched GL"))))</f>
        <v/>
      </c>
    </row>
    <row r="844">
      <c r="A844" s="13">
        <f>IF(GL_CLEAN!A844="","",GL_CLEAN!A844)</f>
        <v/>
      </c>
      <c r="B844" s="10">
        <f>IF(A844="","",GL_CLEAN!B844)</f>
        <v/>
      </c>
      <c r="C844" s="11">
        <f>IF(A844="","",GL_CLEAN!C844)</f>
        <v/>
      </c>
      <c r="D844" s="14">
        <f>IF(A844="","",GL_CLEAN!H844)</f>
        <v/>
      </c>
      <c r="E844" s="14">
        <f>IF(A844="","",GL_CLEAN!I844)</f>
        <v/>
      </c>
      <c r="F844" s="11">
        <f>IF(A844="","",GL_CLEAN!J844)</f>
        <v/>
      </c>
      <c r="G844" s="11">
        <f>IF(A844="","",IF(F844="OUT","DR","CR"))</f>
        <v/>
      </c>
      <c r="H844" s="11">
        <f>IF(A844="","",IFERROR(INDEX(BANK_CLEAN!$A$2:$A$1001,MATCH(MINIFS(BANK_CLEAN!$J$2:$J$1001,BANK_CLEAN!$H$2:$H$1001,G844,BANK_CLEAN!$L$2:$L$1001,""),BANK_CLEAN!$J$2:$J$1001,0)),""))</f>
        <v/>
      </c>
      <c r="I844" s="10">
        <f>IF(H844="","",INDEX(BANK_CLEAN!$B$2:$B$1001,H844))</f>
        <v/>
      </c>
      <c r="J844" s="14">
        <f>IF(H844="","",IF(F844="OUT",INDEX(BANK_CLEAN!$F$2:$F$1001,H844),INDEX(BANK_CLEAN!$E$2:$E$1001,H844)))</f>
        <v/>
      </c>
      <c r="K844" s="14">
        <f>IF(H844="","",ABS(E844-J844))</f>
        <v/>
      </c>
      <c r="L844" s="11">
        <f>IF(OR(H844="",B844="",I844=""),"",ABS(B844-I844))</f>
        <v/>
      </c>
      <c r="M844" s="15">
        <f>IF(H844="",0,LET(pct,IF(E844&gt;0,K844/E844,1),days,IFERROR(L844,999),100-pct*200-days*3))</f>
        <v/>
      </c>
      <c r="N844" s="11">
        <f>IF(A844="","",IF(H844="","Unmatched GL",IF(AND(K844&lt;=Tol_Amount,L844&lt;=Tol_Days),"Matched",IF(M844&gt;Tol_NearPct,"Near Match","Unmatched GL"))))</f>
        <v/>
      </c>
    </row>
    <row r="845">
      <c r="A845" s="13">
        <f>IF(GL_CLEAN!A845="","",GL_CLEAN!A845)</f>
        <v/>
      </c>
      <c r="B845" s="10">
        <f>IF(A845="","",GL_CLEAN!B845)</f>
        <v/>
      </c>
      <c r="C845" s="11">
        <f>IF(A845="","",GL_CLEAN!C845)</f>
        <v/>
      </c>
      <c r="D845" s="14">
        <f>IF(A845="","",GL_CLEAN!H845)</f>
        <v/>
      </c>
      <c r="E845" s="14">
        <f>IF(A845="","",GL_CLEAN!I845)</f>
        <v/>
      </c>
      <c r="F845" s="11">
        <f>IF(A845="","",GL_CLEAN!J845)</f>
        <v/>
      </c>
      <c r="G845" s="11">
        <f>IF(A845="","",IF(F845="OUT","DR","CR"))</f>
        <v/>
      </c>
      <c r="H845" s="11">
        <f>IF(A845="","",IFERROR(INDEX(BANK_CLEAN!$A$2:$A$1001,MATCH(MINIFS(BANK_CLEAN!$J$2:$J$1001,BANK_CLEAN!$H$2:$H$1001,G845,BANK_CLEAN!$L$2:$L$1001,""),BANK_CLEAN!$J$2:$J$1001,0)),""))</f>
        <v/>
      </c>
      <c r="I845" s="10">
        <f>IF(H845="","",INDEX(BANK_CLEAN!$B$2:$B$1001,H845))</f>
        <v/>
      </c>
      <c r="J845" s="14">
        <f>IF(H845="","",IF(F845="OUT",INDEX(BANK_CLEAN!$F$2:$F$1001,H845),INDEX(BANK_CLEAN!$E$2:$E$1001,H845)))</f>
        <v/>
      </c>
      <c r="K845" s="14">
        <f>IF(H845="","",ABS(E845-J845))</f>
        <v/>
      </c>
      <c r="L845" s="11">
        <f>IF(OR(H845="",B845="",I845=""),"",ABS(B845-I845))</f>
        <v/>
      </c>
      <c r="M845" s="15">
        <f>IF(H845="",0,LET(pct,IF(E845&gt;0,K845/E845,1),days,IFERROR(L845,999),100-pct*200-days*3))</f>
        <v/>
      </c>
      <c r="N845" s="11">
        <f>IF(A845="","",IF(H845="","Unmatched GL",IF(AND(K845&lt;=Tol_Amount,L845&lt;=Tol_Days),"Matched",IF(M845&gt;Tol_NearPct,"Near Match","Unmatched GL"))))</f>
        <v/>
      </c>
    </row>
    <row r="846">
      <c r="A846" s="13">
        <f>IF(GL_CLEAN!A846="","",GL_CLEAN!A846)</f>
        <v/>
      </c>
      <c r="B846" s="10">
        <f>IF(A846="","",GL_CLEAN!B846)</f>
        <v/>
      </c>
      <c r="C846" s="11">
        <f>IF(A846="","",GL_CLEAN!C846)</f>
        <v/>
      </c>
      <c r="D846" s="14">
        <f>IF(A846="","",GL_CLEAN!H846)</f>
        <v/>
      </c>
      <c r="E846" s="14">
        <f>IF(A846="","",GL_CLEAN!I846)</f>
        <v/>
      </c>
      <c r="F846" s="11">
        <f>IF(A846="","",GL_CLEAN!J846)</f>
        <v/>
      </c>
      <c r="G846" s="11">
        <f>IF(A846="","",IF(F846="OUT","DR","CR"))</f>
        <v/>
      </c>
      <c r="H846" s="11">
        <f>IF(A846="","",IFERROR(INDEX(BANK_CLEAN!$A$2:$A$1001,MATCH(MINIFS(BANK_CLEAN!$J$2:$J$1001,BANK_CLEAN!$H$2:$H$1001,G846,BANK_CLEAN!$L$2:$L$1001,""),BANK_CLEAN!$J$2:$J$1001,0)),""))</f>
        <v/>
      </c>
      <c r="I846" s="10">
        <f>IF(H846="","",INDEX(BANK_CLEAN!$B$2:$B$1001,H846))</f>
        <v/>
      </c>
      <c r="J846" s="14">
        <f>IF(H846="","",IF(F846="OUT",INDEX(BANK_CLEAN!$F$2:$F$1001,H846),INDEX(BANK_CLEAN!$E$2:$E$1001,H846)))</f>
        <v/>
      </c>
      <c r="K846" s="14">
        <f>IF(H846="","",ABS(E846-J846))</f>
        <v/>
      </c>
      <c r="L846" s="11">
        <f>IF(OR(H846="",B846="",I846=""),"",ABS(B846-I846))</f>
        <v/>
      </c>
      <c r="M846" s="15">
        <f>IF(H846="",0,LET(pct,IF(E846&gt;0,K846/E846,1),days,IFERROR(L846,999),100-pct*200-days*3))</f>
        <v/>
      </c>
      <c r="N846" s="11">
        <f>IF(A846="","",IF(H846="","Unmatched GL",IF(AND(K846&lt;=Tol_Amount,L846&lt;=Tol_Days),"Matched",IF(M846&gt;Tol_NearPct,"Near Match","Unmatched GL"))))</f>
        <v/>
      </c>
    </row>
    <row r="847">
      <c r="A847" s="13">
        <f>IF(GL_CLEAN!A847="","",GL_CLEAN!A847)</f>
        <v/>
      </c>
      <c r="B847" s="10">
        <f>IF(A847="","",GL_CLEAN!B847)</f>
        <v/>
      </c>
      <c r="C847" s="11">
        <f>IF(A847="","",GL_CLEAN!C847)</f>
        <v/>
      </c>
      <c r="D847" s="14">
        <f>IF(A847="","",GL_CLEAN!H847)</f>
        <v/>
      </c>
      <c r="E847" s="14">
        <f>IF(A847="","",GL_CLEAN!I847)</f>
        <v/>
      </c>
      <c r="F847" s="11">
        <f>IF(A847="","",GL_CLEAN!J847)</f>
        <v/>
      </c>
      <c r="G847" s="11">
        <f>IF(A847="","",IF(F847="OUT","DR","CR"))</f>
        <v/>
      </c>
      <c r="H847" s="11">
        <f>IF(A847="","",IFERROR(INDEX(BANK_CLEAN!$A$2:$A$1001,MATCH(MINIFS(BANK_CLEAN!$J$2:$J$1001,BANK_CLEAN!$H$2:$H$1001,G847,BANK_CLEAN!$L$2:$L$1001,""),BANK_CLEAN!$J$2:$J$1001,0)),""))</f>
        <v/>
      </c>
      <c r="I847" s="10">
        <f>IF(H847="","",INDEX(BANK_CLEAN!$B$2:$B$1001,H847))</f>
        <v/>
      </c>
      <c r="J847" s="14">
        <f>IF(H847="","",IF(F847="OUT",INDEX(BANK_CLEAN!$F$2:$F$1001,H847),INDEX(BANK_CLEAN!$E$2:$E$1001,H847)))</f>
        <v/>
      </c>
      <c r="K847" s="14">
        <f>IF(H847="","",ABS(E847-J847))</f>
        <v/>
      </c>
      <c r="L847" s="11">
        <f>IF(OR(H847="",B847="",I847=""),"",ABS(B847-I847))</f>
        <v/>
      </c>
      <c r="M847" s="15">
        <f>IF(H847="",0,LET(pct,IF(E847&gt;0,K847/E847,1),days,IFERROR(L847,999),100-pct*200-days*3))</f>
        <v/>
      </c>
      <c r="N847" s="11">
        <f>IF(A847="","",IF(H847="","Unmatched GL",IF(AND(K847&lt;=Tol_Amount,L847&lt;=Tol_Days),"Matched",IF(M847&gt;Tol_NearPct,"Near Match","Unmatched GL"))))</f>
        <v/>
      </c>
    </row>
    <row r="848">
      <c r="A848" s="13">
        <f>IF(GL_CLEAN!A848="","",GL_CLEAN!A848)</f>
        <v/>
      </c>
      <c r="B848" s="10">
        <f>IF(A848="","",GL_CLEAN!B848)</f>
        <v/>
      </c>
      <c r="C848" s="11">
        <f>IF(A848="","",GL_CLEAN!C848)</f>
        <v/>
      </c>
      <c r="D848" s="14">
        <f>IF(A848="","",GL_CLEAN!H848)</f>
        <v/>
      </c>
      <c r="E848" s="14">
        <f>IF(A848="","",GL_CLEAN!I848)</f>
        <v/>
      </c>
      <c r="F848" s="11">
        <f>IF(A848="","",GL_CLEAN!J848)</f>
        <v/>
      </c>
      <c r="G848" s="11">
        <f>IF(A848="","",IF(F848="OUT","DR","CR"))</f>
        <v/>
      </c>
      <c r="H848" s="11">
        <f>IF(A848="","",IFERROR(INDEX(BANK_CLEAN!$A$2:$A$1001,MATCH(MINIFS(BANK_CLEAN!$J$2:$J$1001,BANK_CLEAN!$H$2:$H$1001,G848,BANK_CLEAN!$L$2:$L$1001,""),BANK_CLEAN!$J$2:$J$1001,0)),""))</f>
        <v/>
      </c>
      <c r="I848" s="10">
        <f>IF(H848="","",INDEX(BANK_CLEAN!$B$2:$B$1001,H848))</f>
        <v/>
      </c>
      <c r="J848" s="14">
        <f>IF(H848="","",IF(F848="OUT",INDEX(BANK_CLEAN!$F$2:$F$1001,H848),INDEX(BANK_CLEAN!$E$2:$E$1001,H848)))</f>
        <v/>
      </c>
      <c r="K848" s="14">
        <f>IF(H848="","",ABS(E848-J848))</f>
        <v/>
      </c>
      <c r="L848" s="11">
        <f>IF(OR(H848="",B848="",I848=""),"",ABS(B848-I848))</f>
        <v/>
      </c>
      <c r="M848" s="15">
        <f>IF(H848="",0,LET(pct,IF(E848&gt;0,K848/E848,1),days,IFERROR(L848,999),100-pct*200-days*3))</f>
        <v/>
      </c>
      <c r="N848" s="11">
        <f>IF(A848="","",IF(H848="","Unmatched GL",IF(AND(K848&lt;=Tol_Amount,L848&lt;=Tol_Days),"Matched",IF(M848&gt;Tol_NearPct,"Near Match","Unmatched GL"))))</f>
        <v/>
      </c>
    </row>
    <row r="849">
      <c r="A849" s="13">
        <f>IF(GL_CLEAN!A849="","",GL_CLEAN!A849)</f>
        <v/>
      </c>
      <c r="B849" s="10">
        <f>IF(A849="","",GL_CLEAN!B849)</f>
        <v/>
      </c>
      <c r="C849" s="11">
        <f>IF(A849="","",GL_CLEAN!C849)</f>
        <v/>
      </c>
      <c r="D849" s="14">
        <f>IF(A849="","",GL_CLEAN!H849)</f>
        <v/>
      </c>
      <c r="E849" s="14">
        <f>IF(A849="","",GL_CLEAN!I849)</f>
        <v/>
      </c>
      <c r="F849" s="11">
        <f>IF(A849="","",GL_CLEAN!J849)</f>
        <v/>
      </c>
      <c r="G849" s="11">
        <f>IF(A849="","",IF(F849="OUT","DR","CR"))</f>
        <v/>
      </c>
      <c r="H849" s="11">
        <f>IF(A849="","",IFERROR(INDEX(BANK_CLEAN!$A$2:$A$1001,MATCH(MINIFS(BANK_CLEAN!$J$2:$J$1001,BANK_CLEAN!$H$2:$H$1001,G849,BANK_CLEAN!$L$2:$L$1001,""),BANK_CLEAN!$J$2:$J$1001,0)),""))</f>
        <v/>
      </c>
      <c r="I849" s="10">
        <f>IF(H849="","",INDEX(BANK_CLEAN!$B$2:$B$1001,H849))</f>
        <v/>
      </c>
      <c r="J849" s="14">
        <f>IF(H849="","",IF(F849="OUT",INDEX(BANK_CLEAN!$F$2:$F$1001,H849),INDEX(BANK_CLEAN!$E$2:$E$1001,H849)))</f>
        <v/>
      </c>
      <c r="K849" s="14">
        <f>IF(H849="","",ABS(E849-J849))</f>
        <v/>
      </c>
      <c r="L849" s="11">
        <f>IF(OR(H849="",B849="",I849=""),"",ABS(B849-I849))</f>
        <v/>
      </c>
      <c r="M849" s="15">
        <f>IF(H849="",0,LET(pct,IF(E849&gt;0,K849/E849,1),days,IFERROR(L849,999),100-pct*200-days*3))</f>
        <v/>
      </c>
      <c r="N849" s="11">
        <f>IF(A849="","",IF(H849="","Unmatched GL",IF(AND(K849&lt;=Tol_Amount,L849&lt;=Tol_Days),"Matched",IF(M849&gt;Tol_NearPct,"Near Match","Unmatched GL"))))</f>
        <v/>
      </c>
    </row>
    <row r="850">
      <c r="A850" s="13">
        <f>IF(GL_CLEAN!A850="","",GL_CLEAN!A850)</f>
        <v/>
      </c>
      <c r="B850" s="10">
        <f>IF(A850="","",GL_CLEAN!B850)</f>
        <v/>
      </c>
      <c r="C850" s="11">
        <f>IF(A850="","",GL_CLEAN!C850)</f>
        <v/>
      </c>
      <c r="D850" s="14">
        <f>IF(A850="","",GL_CLEAN!H850)</f>
        <v/>
      </c>
      <c r="E850" s="14">
        <f>IF(A850="","",GL_CLEAN!I850)</f>
        <v/>
      </c>
      <c r="F850" s="11">
        <f>IF(A850="","",GL_CLEAN!J850)</f>
        <v/>
      </c>
      <c r="G850" s="11">
        <f>IF(A850="","",IF(F850="OUT","DR","CR"))</f>
        <v/>
      </c>
      <c r="H850" s="11">
        <f>IF(A850="","",IFERROR(INDEX(BANK_CLEAN!$A$2:$A$1001,MATCH(MINIFS(BANK_CLEAN!$J$2:$J$1001,BANK_CLEAN!$H$2:$H$1001,G850,BANK_CLEAN!$L$2:$L$1001,""),BANK_CLEAN!$J$2:$J$1001,0)),""))</f>
        <v/>
      </c>
      <c r="I850" s="10">
        <f>IF(H850="","",INDEX(BANK_CLEAN!$B$2:$B$1001,H850))</f>
        <v/>
      </c>
      <c r="J850" s="14">
        <f>IF(H850="","",IF(F850="OUT",INDEX(BANK_CLEAN!$F$2:$F$1001,H850),INDEX(BANK_CLEAN!$E$2:$E$1001,H850)))</f>
        <v/>
      </c>
      <c r="K850" s="14">
        <f>IF(H850="","",ABS(E850-J850))</f>
        <v/>
      </c>
      <c r="L850" s="11">
        <f>IF(OR(H850="",B850="",I850=""),"",ABS(B850-I850))</f>
        <v/>
      </c>
      <c r="M850" s="15">
        <f>IF(H850="",0,LET(pct,IF(E850&gt;0,K850/E850,1),days,IFERROR(L850,999),100-pct*200-days*3))</f>
        <v/>
      </c>
      <c r="N850" s="11">
        <f>IF(A850="","",IF(H850="","Unmatched GL",IF(AND(K850&lt;=Tol_Amount,L850&lt;=Tol_Days),"Matched",IF(M850&gt;Tol_NearPct,"Near Match","Unmatched GL"))))</f>
        <v/>
      </c>
    </row>
    <row r="851">
      <c r="A851" s="13">
        <f>IF(GL_CLEAN!A851="","",GL_CLEAN!A851)</f>
        <v/>
      </c>
      <c r="B851" s="10">
        <f>IF(A851="","",GL_CLEAN!B851)</f>
        <v/>
      </c>
      <c r="C851" s="11">
        <f>IF(A851="","",GL_CLEAN!C851)</f>
        <v/>
      </c>
      <c r="D851" s="14">
        <f>IF(A851="","",GL_CLEAN!H851)</f>
        <v/>
      </c>
      <c r="E851" s="14">
        <f>IF(A851="","",GL_CLEAN!I851)</f>
        <v/>
      </c>
      <c r="F851" s="11">
        <f>IF(A851="","",GL_CLEAN!J851)</f>
        <v/>
      </c>
      <c r="G851" s="11">
        <f>IF(A851="","",IF(F851="OUT","DR","CR"))</f>
        <v/>
      </c>
      <c r="H851" s="11">
        <f>IF(A851="","",IFERROR(INDEX(BANK_CLEAN!$A$2:$A$1001,MATCH(MINIFS(BANK_CLEAN!$J$2:$J$1001,BANK_CLEAN!$H$2:$H$1001,G851,BANK_CLEAN!$L$2:$L$1001,""),BANK_CLEAN!$J$2:$J$1001,0)),""))</f>
        <v/>
      </c>
      <c r="I851" s="10">
        <f>IF(H851="","",INDEX(BANK_CLEAN!$B$2:$B$1001,H851))</f>
        <v/>
      </c>
      <c r="J851" s="14">
        <f>IF(H851="","",IF(F851="OUT",INDEX(BANK_CLEAN!$F$2:$F$1001,H851),INDEX(BANK_CLEAN!$E$2:$E$1001,H851)))</f>
        <v/>
      </c>
      <c r="K851" s="14">
        <f>IF(H851="","",ABS(E851-J851))</f>
        <v/>
      </c>
      <c r="L851" s="11">
        <f>IF(OR(H851="",B851="",I851=""),"",ABS(B851-I851))</f>
        <v/>
      </c>
      <c r="M851" s="15">
        <f>IF(H851="",0,LET(pct,IF(E851&gt;0,K851/E851,1),days,IFERROR(L851,999),100-pct*200-days*3))</f>
        <v/>
      </c>
      <c r="N851" s="11">
        <f>IF(A851="","",IF(H851="","Unmatched GL",IF(AND(K851&lt;=Tol_Amount,L851&lt;=Tol_Days),"Matched",IF(M851&gt;Tol_NearPct,"Near Match","Unmatched GL"))))</f>
        <v/>
      </c>
    </row>
    <row r="852">
      <c r="A852" s="13">
        <f>IF(GL_CLEAN!A852="","",GL_CLEAN!A852)</f>
        <v/>
      </c>
      <c r="B852" s="10">
        <f>IF(A852="","",GL_CLEAN!B852)</f>
        <v/>
      </c>
      <c r="C852" s="11">
        <f>IF(A852="","",GL_CLEAN!C852)</f>
        <v/>
      </c>
      <c r="D852" s="14">
        <f>IF(A852="","",GL_CLEAN!H852)</f>
        <v/>
      </c>
      <c r="E852" s="14">
        <f>IF(A852="","",GL_CLEAN!I852)</f>
        <v/>
      </c>
      <c r="F852" s="11">
        <f>IF(A852="","",GL_CLEAN!J852)</f>
        <v/>
      </c>
      <c r="G852" s="11">
        <f>IF(A852="","",IF(F852="OUT","DR","CR"))</f>
        <v/>
      </c>
      <c r="H852" s="11">
        <f>IF(A852="","",IFERROR(INDEX(BANK_CLEAN!$A$2:$A$1001,MATCH(MINIFS(BANK_CLEAN!$J$2:$J$1001,BANK_CLEAN!$H$2:$H$1001,G852,BANK_CLEAN!$L$2:$L$1001,""),BANK_CLEAN!$J$2:$J$1001,0)),""))</f>
        <v/>
      </c>
      <c r="I852" s="10">
        <f>IF(H852="","",INDEX(BANK_CLEAN!$B$2:$B$1001,H852))</f>
        <v/>
      </c>
      <c r="J852" s="14">
        <f>IF(H852="","",IF(F852="OUT",INDEX(BANK_CLEAN!$F$2:$F$1001,H852),INDEX(BANK_CLEAN!$E$2:$E$1001,H852)))</f>
        <v/>
      </c>
      <c r="K852" s="14">
        <f>IF(H852="","",ABS(E852-J852))</f>
        <v/>
      </c>
      <c r="L852" s="11">
        <f>IF(OR(H852="",B852="",I852=""),"",ABS(B852-I852))</f>
        <v/>
      </c>
      <c r="M852" s="15">
        <f>IF(H852="",0,LET(pct,IF(E852&gt;0,K852/E852,1),days,IFERROR(L852,999),100-pct*200-days*3))</f>
        <v/>
      </c>
      <c r="N852" s="11">
        <f>IF(A852="","",IF(H852="","Unmatched GL",IF(AND(K852&lt;=Tol_Amount,L852&lt;=Tol_Days),"Matched",IF(M852&gt;Tol_NearPct,"Near Match","Unmatched GL"))))</f>
        <v/>
      </c>
    </row>
    <row r="853">
      <c r="A853" s="13">
        <f>IF(GL_CLEAN!A853="","",GL_CLEAN!A853)</f>
        <v/>
      </c>
      <c r="B853" s="10">
        <f>IF(A853="","",GL_CLEAN!B853)</f>
        <v/>
      </c>
      <c r="C853" s="11">
        <f>IF(A853="","",GL_CLEAN!C853)</f>
        <v/>
      </c>
      <c r="D853" s="14">
        <f>IF(A853="","",GL_CLEAN!H853)</f>
        <v/>
      </c>
      <c r="E853" s="14">
        <f>IF(A853="","",GL_CLEAN!I853)</f>
        <v/>
      </c>
      <c r="F853" s="11">
        <f>IF(A853="","",GL_CLEAN!J853)</f>
        <v/>
      </c>
      <c r="G853" s="11">
        <f>IF(A853="","",IF(F853="OUT","DR","CR"))</f>
        <v/>
      </c>
      <c r="H853" s="11">
        <f>IF(A853="","",IFERROR(INDEX(BANK_CLEAN!$A$2:$A$1001,MATCH(MINIFS(BANK_CLEAN!$J$2:$J$1001,BANK_CLEAN!$H$2:$H$1001,G853,BANK_CLEAN!$L$2:$L$1001,""),BANK_CLEAN!$J$2:$J$1001,0)),""))</f>
        <v/>
      </c>
      <c r="I853" s="10">
        <f>IF(H853="","",INDEX(BANK_CLEAN!$B$2:$B$1001,H853))</f>
        <v/>
      </c>
      <c r="J853" s="14">
        <f>IF(H853="","",IF(F853="OUT",INDEX(BANK_CLEAN!$F$2:$F$1001,H853),INDEX(BANK_CLEAN!$E$2:$E$1001,H853)))</f>
        <v/>
      </c>
      <c r="K853" s="14">
        <f>IF(H853="","",ABS(E853-J853))</f>
        <v/>
      </c>
      <c r="L853" s="11">
        <f>IF(OR(H853="",B853="",I853=""),"",ABS(B853-I853))</f>
        <v/>
      </c>
      <c r="M853" s="15">
        <f>IF(H853="",0,LET(pct,IF(E853&gt;0,K853/E853,1),days,IFERROR(L853,999),100-pct*200-days*3))</f>
        <v/>
      </c>
      <c r="N853" s="11">
        <f>IF(A853="","",IF(H853="","Unmatched GL",IF(AND(K853&lt;=Tol_Amount,L853&lt;=Tol_Days),"Matched",IF(M853&gt;Tol_NearPct,"Near Match","Unmatched GL"))))</f>
        <v/>
      </c>
    </row>
    <row r="854">
      <c r="A854" s="13">
        <f>IF(GL_CLEAN!A854="","",GL_CLEAN!A854)</f>
        <v/>
      </c>
      <c r="B854" s="10">
        <f>IF(A854="","",GL_CLEAN!B854)</f>
        <v/>
      </c>
      <c r="C854" s="11">
        <f>IF(A854="","",GL_CLEAN!C854)</f>
        <v/>
      </c>
      <c r="D854" s="14">
        <f>IF(A854="","",GL_CLEAN!H854)</f>
        <v/>
      </c>
      <c r="E854" s="14">
        <f>IF(A854="","",GL_CLEAN!I854)</f>
        <v/>
      </c>
      <c r="F854" s="11">
        <f>IF(A854="","",GL_CLEAN!J854)</f>
        <v/>
      </c>
      <c r="G854" s="11">
        <f>IF(A854="","",IF(F854="OUT","DR","CR"))</f>
        <v/>
      </c>
      <c r="H854" s="11">
        <f>IF(A854="","",IFERROR(INDEX(BANK_CLEAN!$A$2:$A$1001,MATCH(MINIFS(BANK_CLEAN!$J$2:$J$1001,BANK_CLEAN!$H$2:$H$1001,G854,BANK_CLEAN!$L$2:$L$1001,""),BANK_CLEAN!$J$2:$J$1001,0)),""))</f>
        <v/>
      </c>
      <c r="I854" s="10">
        <f>IF(H854="","",INDEX(BANK_CLEAN!$B$2:$B$1001,H854))</f>
        <v/>
      </c>
      <c r="J854" s="14">
        <f>IF(H854="","",IF(F854="OUT",INDEX(BANK_CLEAN!$F$2:$F$1001,H854),INDEX(BANK_CLEAN!$E$2:$E$1001,H854)))</f>
        <v/>
      </c>
      <c r="K854" s="14">
        <f>IF(H854="","",ABS(E854-J854))</f>
        <v/>
      </c>
      <c r="L854" s="11">
        <f>IF(OR(H854="",B854="",I854=""),"",ABS(B854-I854))</f>
        <v/>
      </c>
      <c r="M854" s="15">
        <f>IF(H854="",0,LET(pct,IF(E854&gt;0,K854/E854,1),days,IFERROR(L854,999),100-pct*200-days*3))</f>
        <v/>
      </c>
      <c r="N854" s="11">
        <f>IF(A854="","",IF(H854="","Unmatched GL",IF(AND(K854&lt;=Tol_Amount,L854&lt;=Tol_Days),"Matched",IF(M854&gt;Tol_NearPct,"Near Match","Unmatched GL"))))</f>
        <v/>
      </c>
    </row>
    <row r="855">
      <c r="A855" s="13">
        <f>IF(GL_CLEAN!A855="","",GL_CLEAN!A855)</f>
        <v/>
      </c>
      <c r="B855" s="10">
        <f>IF(A855="","",GL_CLEAN!B855)</f>
        <v/>
      </c>
      <c r="C855" s="11">
        <f>IF(A855="","",GL_CLEAN!C855)</f>
        <v/>
      </c>
      <c r="D855" s="14">
        <f>IF(A855="","",GL_CLEAN!H855)</f>
        <v/>
      </c>
      <c r="E855" s="14">
        <f>IF(A855="","",GL_CLEAN!I855)</f>
        <v/>
      </c>
      <c r="F855" s="11">
        <f>IF(A855="","",GL_CLEAN!J855)</f>
        <v/>
      </c>
      <c r="G855" s="11">
        <f>IF(A855="","",IF(F855="OUT","DR","CR"))</f>
        <v/>
      </c>
      <c r="H855" s="11">
        <f>IF(A855="","",IFERROR(INDEX(BANK_CLEAN!$A$2:$A$1001,MATCH(MINIFS(BANK_CLEAN!$J$2:$J$1001,BANK_CLEAN!$H$2:$H$1001,G855,BANK_CLEAN!$L$2:$L$1001,""),BANK_CLEAN!$J$2:$J$1001,0)),""))</f>
        <v/>
      </c>
      <c r="I855" s="10">
        <f>IF(H855="","",INDEX(BANK_CLEAN!$B$2:$B$1001,H855))</f>
        <v/>
      </c>
      <c r="J855" s="14">
        <f>IF(H855="","",IF(F855="OUT",INDEX(BANK_CLEAN!$F$2:$F$1001,H855),INDEX(BANK_CLEAN!$E$2:$E$1001,H855)))</f>
        <v/>
      </c>
      <c r="K855" s="14">
        <f>IF(H855="","",ABS(E855-J855))</f>
        <v/>
      </c>
      <c r="L855" s="11">
        <f>IF(OR(H855="",B855="",I855=""),"",ABS(B855-I855))</f>
        <v/>
      </c>
      <c r="M855" s="15">
        <f>IF(H855="",0,LET(pct,IF(E855&gt;0,K855/E855,1),days,IFERROR(L855,999),100-pct*200-days*3))</f>
        <v/>
      </c>
      <c r="N855" s="11">
        <f>IF(A855="","",IF(H855="","Unmatched GL",IF(AND(K855&lt;=Tol_Amount,L855&lt;=Tol_Days),"Matched",IF(M855&gt;Tol_NearPct,"Near Match","Unmatched GL"))))</f>
        <v/>
      </c>
    </row>
    <row r="856">
      <c r="A856" s="13">
        <f>IF(GL_CLEAN!A856="","",GL_CLEAN!A856)</f>
        <v/>
      </c>
      <c r="B856" s="10">
        <f>IF(A856="","",GL_CLEAN!B856)</f>
        <v/>
      </c>
      <c r="C856" s="11">
        <f>IF(A856="","",GL_CLEAN!C856)</f>
        <v/>
      </c>
      <c r="D856" s="14">
        <f>IF(A856="","",GL_CLEAN!H856)</f>
        <v/>
      </c>
      <c r="E856" s="14">
        <f>IF(A856="","",GL_CLEAN!I856)</f>
        <v/>
      </c>
      <c r="F856" s="11">
        <f>IF(A856="","",GL_CLEAN!J856)</f>
        <v/>
      </c>
      <c r="G856" s="11">
        <f>IF(A856="","",IF(F856="OUT","DR","CR"))</f>
        <v/>
      </c>
      <c r="H856" s="11">
        <f>IF(A856="","",IFERROR(INDEX(BANK_CLEAN!$A$2:$A$1001,MATCH(MINIFS(BANK_CLEAN!$J$2:$J$1001,BANK_CLEAN!$H$2:$H$1001,G856,BANK_CLEAN!$L$2:$L$1001,""),BANK_CLEAN!$J$2:$J$1001,0)),""))</f>
        <v/>
      </c>
      <c r="I856" s="10">
        <f>IF(H856="","",INDEX(BANK_CLEAN!$B$2:$B$1001,H856))</f>
        <v/>
      </c>
      <c r="J856" s="14">
        <f>IF(H856="","",IF(F856="OUT",INDEX(BANK_CLEAN!$F$2:$F$1001,H856),INDEX(BANK_CLEAN!$E$2:$E$1001,H856)))</f>
        <v/>
      </c>
      <c r="K856" s="14">
        <f>IF(H856="","",ABS(E856-J856))</f>
        <v/>
      </c>
      <c r="L856" s="11">
        <f>IF(OR(H856="",B856="",I856=""),"",ABS(B856-I856))</f>
        <v/>
      </c>
      <c r="M856" s="15">
        <f>IF(H856="",0,LET(pct,IF(E856&gt;0,K856/E856,1),days,IFERROR(L856,999),100-pct*200-days*3))</f>
        <v/>
      </c>
      <c r="N856" s="11">
        <f>IF(A856="","",IF(H856="","Unmatched GL",IF(AND(K856&lt;=Tol_Amount,L856&lt;=Tol_Days),"Matched",IF(M856&gt;Tol_NearPct,"Near Match","Unmatched GL"))))</f>
        <v/>
      </c>
    </row>
    <row r="857">
      <c r="A857" s="13">
        <f>IF(GL_CLEAN!A857="","",GL_CLEAN!A857)</f>
        <v/>
      </c>
      <c r="B857" s="10">
        <f>IF(A857="","",GL_CLEAN!B857)</f>
        <v/>
      </c>
      <c r="C857" s="11">
        <f>IF(A857="","",GL_CLEAN!C857)</f>
        <v/>
      </c>
      <c r="D857" s="14">
        <f>IF(A857="","",GL_CLEAN!H857)</f>
        <v/>
      </c>
      <c r="E857" s="14">
        <f>IF(A857="","",GL_CLEAN!I857)</f>
        <v/>
      </c>
      <c r="F857" s="11">
        <f>IF(A857="","",GL_CLEAN!J857)</f>
        <v/>
      </c>
      <c r="G857" s="11">
        <f>IF(A857="","",IF(F857="OUT","DR","CR"))</f>
        <v/>
      </c>
      <c r="H857" s="11">
        <f>IF(A857="","",IFERROR(INDEX(BANK_CLEAN!$A$2:$A$1001,MATCH(MINIFS(BANK_CLEAN!$J$2:$J$1001,BANK_CLEAN!$H$2:$H$1001,G857,BANK_CLEAN!$L$2:$L$1001,""),BANK_CLEAN!$J$2:$J$1001,0)),""))</f>
        <v/>
      </c>
      <c r="I857" s="10">
        <f>IF(H857="","",INDEX(BANK_CLEAN!$B$2:$B$1001,H857))</f>
        <v/>
      </c>
      <c r="J857" s="14">
        <f>IF(H857="","",IF(F857="OUT",INDEX(BANK_CLEAN!$F$2:$F$1001,H857),INDEX(BANK_CLEAN!$E$2:$E$1001,H857)))</f>
        <v/>
      </c>
      <c r="K857" s="14">
        <f>IF(H857="","",ABS(E857-J857))</f>
        <v/>
      </c>
      <c r="L857" s="11">
        <f>IF(OR(H857="",B857="",I857=""),"",ABS(B857-I857))</f>
        <v/>
      </c>
      <c r="M857" s="15">
        <f>IF(H857="",0,LET(pct,IF(E857&gt;0,K857/E857,1),days,IFERROR(L857,999),100-pct*200-days*3))</f>
        <v/>
      </c>
      <c r="N857" s="11">
        <f>IF(A857="","",IF(H857="","Unmatched GL",IF(AND(K857&lt;=Tol_Amount,L857&lt;=Tol_Days),"Matched",IF(M857&gt;Tol_NearPct,"Near Match","Unmatched GL"))))</f>
        <v/>
      </c>
    </row>
    <row r="858">
      <c r="A858" s="13">
        <f>IF(GL_CLEAN!A858="","",GL_CLEAN!A858)</f>
        <v/>
      </c>
      <c r="B858" s="10">
        <f>IF(A858="","",GL_CLEAN!B858)</f>
        <v/>
      </c>
      <c r="C858" s="11">
        <f>IF(A858="","",GL_CLEAN!C858)</f>
        <v/>
      </c>
      <c r="D858" s="14">
        <f>IF(A858="","",GL_CLEAN!H858)</f>
        <v/>
      </c>
      <c r="E858" s="14">
        <f>IF(A858="","",GL_CLEAN!I858)</f>
        <v/>
      </c>
      <c r="F858" s="11">
        <f>IF(A858="","",GL_CLEAN!J858)</f>
        <v/>
      </c>
      <c r="G858" s="11">
        <f>IF(A858="","",IF(F858="OUT","DR","CR"))</f>
        <v/>
      </c>
      <c r="H858" s="11">
        <f>IF(A858="","",IFERROR(INDEX(BANK_CLEAN!$A$2:$A$1001,MATCH(MINIFS(BANK_CLEAN!$J$2:$J$1001,BANK_CLEAN!$H$2:$H$1001,G858,BANK_CLEAN!$L$2:$L$1001,""),BANK_CLEAN!$J$2:$J$1001,0)),""))</f>
        <v/>
      </c>
      <c r="I858" s="10">
        <f>IF(H858="","",INDEX(BANK_CLEAN!$B$2:$B$1001,H858))</f>
        <v/>
      </c>
      <c r="J858" s="14">
        <f>IF(H858="","",IF(F858="OUT",INDEX(BANK_CLEAN!$F$2:$F$1001,H858),INDEX(BANK_CLEAN!$E$2:$E$1001,H858)))</f>
        <v/>
      </c>
      <c r="K858" s="14">
        <f>IF(H858="","",ABS(E858-J858))</f>
        <v/>
      </c>
      <c r="L858" s="11">
        <f>IF(OR(H858="",B858="",I858=""),"",ABS(B858-I858))</f>
        <v/>
      </c>
      <c r="M858" s="15">
        <f>IF(H858="",0,LET(pct,IF(E858&gt;0,K858/E858,1),days,IFERROR(L858,999),100-pct*200-days*3))</f>
        <v/>
      </c>
      <c r="N858" s="11">
        <f>IF(A858="","",IF(H858="","Unmatched GL",IF(AND(K858&lt;=Tol_Amount,L858&lt;=Tol_Days),"Matched",IF(M858&gt;Tol_NearPct,"Near Match","Unmatched GL"))))</f>
        <v/>
      </c>
    </row>
    <row r="859">
      <c r="A859" s="13">
        <f>IF(GL_CLEAN!A859="","",GL_CLEAN!A859)</f>
        <v/>
      </c>
      <c r="B859" s="10">
        <f>IF(A859="","",GL_CLEAN!B859)</f>
        <v/>
      </c>
      <c r="C859" s="11">
        <f>IF(A859="","",GL_CLEAN!C859)</f>
        <v/>
      </c>
      <c r="D859" s="14">
        <f>IF(A859="","",GL_CLEAN!H859)</f>
        <v/>
      </c>
      <c r="E859" s="14">
        <f>IF(A859="","",GL_CLEAN!I859)</f>
        <v/>
      </c>
      <c r="F859" s="11">
        <f>IF(A859="","",GL_CLEAN!J859)</f>
        <v/>
      </c>
      <c r="G859" s="11">
        <f>IF(A859="","",IF(F859="OUT","DR","CR"))</f>
        <v/>
      </c>
      <c r="H859" s="11">
        <f>IF(A859="","",IFERROR(INDEX(BANK_CLEAN!$A$2:$A$1001,MATCH(MINIFS(BANK_CLEAN!$J$2:$J$1001,BANK_CLEAN!$H$2:$H$1001,G859,BANK_CLEAN!$L$2:$L$1001,""),BANK_CLEAN!$J$2:$J$1001,0)),""))</f>
        <v/>
      </c>
      <c r="I859" s="10">
        <f>IF(H859="","",INDEX(BANK_CLEAN!$B$2:$B$1001,H859))</f>
        <v/>
      </c>
      <c r="J859" s="14">
        <f>IF(H859="","",IF(F859="OUT",INDEX(BANK_CLEAN!$F$2:$F$1001,H859),INDEX(BANK_CLEAN!$E$2:$E$1001,H859)))</f>
        <v/>
      </c>
      <c r="K859" s="14">
        <f>IF(H859="","",ABS(E859-J859))</f>
        <v/>
      </c>
      <c r="L859" s="11">
        <f>IF(OR(H859="",B859="",I859=""),"",ABS(B859-I859))</f>
        <v/>
      </c>
      <c r="M859" s="15">
        <f>IF(H859="",0,LET(pct,IF(E859&gt;0,K859/E859,1),days,IFERROR(L859,999),100-pct*200-days*3))</f>
        <v/>
      </c>
      <c r="N859" s="11">
        <f>IF(A859="","",IF(H859="","Unmatched GL",IF(AND(K859&lt;=Tol_Amount,L859&lt;=Tol_Days),"Matched",IF(M859&gt;Tol_NearPct,"Near Match","Unmatched GL"))))</f>
        <v/>
      </c>
    </row>
    <row r="860">
      <c r="A860" s="13">
        <f>IF(GL_CLEAN!A860="","",GL_CLEAN!A860)</f>
        <v/>
      </c>
      <c r="B860" s="10">
        <f>IF(A860="","",GL_CLEAN!B860)</f>
        <v/>
      </c>
      <c r="C860" s="11">
        <f>IF(A860="","",GL_CLEAN!C860)</f>
        <v/>
      </c>
      <c r="D860" s="14">
        <f>IF(A860="","",GL_CLEAN!H860)</f>
        <v/>
      </c>
      <c r="E860" s="14">
        <f>IF(A860="","",GL_CLEAN!I860)</f>
        <v/>
      </c>
      <c r="F860" s="11">
        <f>IF(A860="","",GL_CLEAN!J860)</f>
        <v/>
      </c>
      <c r="G860" s="11">
        <f>IF(A860="","",IF(F860="OUT","DR","CR"))</f>
        <v/>
      </c>
      <c r="H860" s="11">
        <f>IF(A860="","",IFERROR(INDEX(BANK_CLEAN!$A$2:$A$1001,MATCH(MINIFS(BANK_CLEAN!$J$2:$J$1001,BANK_CLEAN!$H$2:$H$1001,G860,BANK_CLEAN!$L$2:$L$1001,""),BANK_CLEAN!$J$2:$J$1001,0)),""))</f>
        <v/>
      </c>
      <c r="I860" s="10">
        <f>IF(H860="","",INDEX(BANK_CLEAN!$B$2:$B$1001,H860))</f>
        <v/>
      </c>
      <c r="J860" s="14">
        <f>IF(H860="","",IF(F860="OUT",INDEX(BANK_CLEAN!$F$2:$F$1001,H860),INDEX(BANK_CLEAN!$E$2:$E$1001,H860)))</f>
        <v/>
      </c>
      <c r="K860" s="14">
        <f>IF(H860="","",ABS(E860-J860))</f>
        <v/>
      </c>
      <c r="L860" s="11">
        <f>IF(OR(H860="",B860="",I860=""),"",ABS(B860-I860))</f>
        <v/>
      </c>
      <c r="M860" s="15">
        <f>IF(H860="",0,LET(pct,IF(E860&gt;0,K860/E860,1),days,IFERROR(L860,999),100-pct*200-days*3))</f>
        <v/>
      </c>
      <c r="N860" s="11">
        <f>IF(A860="","",IF(H860="","Unmatched GL",IF(AND(K860&lt;=Tol_Amount,L860&lt;=Tol_Days),"Matched",IF(M860&gt;Tol_NearPct,"Near Match","Unmatched GL"))))</f>
        <v/>
      </c>
    </row>
    <row r="861">
      <c r="A861" s="13">
        <f>IF(GL_CLEAN!A861="","",GL_CLEAN!A861)</f>
        <v/>
      </c>
      <c r="B861" s="10">
        <f>IF(A861="","",GL_CLEAN!B861)</f>
        <v/>
      </c>
      <c r="C861" s="11">
        <f>IF(A861="","",GL_CLEAN!C861)</f>
        <v/>
      </c>
      <c r="D861" s="14">
        <f>IF(A861="","",GL_CLEAN!H861)</f>
        <v/>
      </c>
      <c r="E861" s="14">
        <f>IF(A861="","",GL_CLEAN!I861)</f>
        <v/>
      </c>
      <c r="F861" s="11">
        <f>IF(A861="","",GL_CLEAN!J861)</f>
        <v/>
      </c>
      <c r="G861" s="11">
        <f>IF(A861="","",IF(F861="OUT","DR","CR"))</f>
        <v/>
      </c>
      <c r="H861" s="11">
        <f>IF(A861="","",IFERROR(INDEX(BANK_CLEAN!$A$2:$A$1001,MATCH(MINIFS(BANK_CLEAN!$J$2:$J$1001,BANK_CLEAN!$H$2:$H$1001,G861,BANK_CLEAN!$L$2:$L$1001,""),BANK_CLEAN!$J$2:$J$1001,0)),""))</f>
        <v/>
      </c>
      <c r="I861" s="10">
        <f>IF(H861="","",INDEX(BANK_CLEAN!$B$2:$B$1001,H861))</f>
        <v/>
      </c>
      <c r="J861" s="14">
        <f>IF(H861="","",IF(F861="OUT",INDEX(BANK_CLEAN!$F$2:$F$1001,H861),INDEX(BANK_CLEAN!$E$2:$E$1001,H861)))</f>
        <v/>
      </c>
      <c r="K861" s="14">
        <f>IF(H861="","",ABS(E861-J861))</f>
        <v/>
      </c>
      <c r="L861" s="11">
        <f>IF(OR(H861="",B861="",I861=""),"",ABS(B861-I861))</f>
        <v/>
      </c>
      <c r="M861" s="15">
        <f>IF(H861="",0,LET(pct,IF(E861&gt;0,K861/E861,1),days,IFERROR(L861,999),100-pct*200-days*3))</f>
        <v/>
      </c>
      <c r="N861" s="11">
        <f>IF(A861="","",IF(H861="","Unmatched GL",IF(AND(K861&lt;=Tol_Amount,L861&lt;=Tol_Days),"Matched",IF(M861&gt;Tol_NearPct,"Near Match","Unmatched GL"))))</f>
        <v/>
      </c>
    </row>
    <row r="862">
      <c r="A862" s="13">
        <f>IF(GL_CLEAN!A862="","",GL_CLEAN!A862)</f>
        <v/>
      </c>
      <c r="B862" s="10">
        <f>IF(A862="","",GL_CLEAN!B862)</f>
        <v/>
      </c>
      <c r="C862" s="11">
        <f>IF(A862="","",GL_CLEAN!C862)</f>
        <v/>
      </c>
      <c r="D862" s="14">
        <f>IF(A862="","",GL_CLEAN!H862)</f>
        <v/>
      </c>
      <c r="E862" s="14">
        <f>IF(A862="","",GL_CLEAN!I862)</f>
        <v/>
      </c>
      <c r="F862" s="11">
        <f>IF(A862="","",GL_CLEAN!J862)</f>
        <v/>
      </c>
      <c r="G862" s="11">
        <f>IF(A862="","",IF(F862="OUT","DR","CR"))</f>
        <v/>
      </c>
      <c r="H862" s="11">
        <f>IF(A862="","",IFERROR(INDEX(BANK_CLEAN!$A$2:$A$1001,MATCH(MINIFS(BANK_CLEAN!$J$2:$J$1001,BANK_CLEAN!$H$2:$H$1001,G862,BANK_CLEAN!$L$2:$L$1001,""),BANK_CLEAN!$J$2:$J$1001,0)),""))</f>
        <v/>
      </c>
      <c r="I862" s="10">
        <f>IF(H862="","",INDEX(BANK_CLEAN!$B$2:$B$1001,H862))</f>
        <v/>
      </c>
      <c r="J862" s="14">
        <f>IF(H862="","",IF(F862="OUT",INDEX(BANK_CLEAN!$F$2:$F$1001,H862),INDEX(BANK_CLEAN!$E$2:$E$1001,H862)))</f>
        <v/>
      </c>
      <c r="K862" s="14">
        <f>IF(H862="","",ABS(E862-J862))</f>
        <v/>
      </c>
      <c r="L862" s="11">
        <f>IF(OR(H862="",B862="",I862=""),"",ABS(B862-I862))</f>
        <v/>
      </c>
      <c r="M862" s="15">
        <f>IF(H862="",0,LET(pct,IF(E862&gt;0,K862/E862,1),days,IFERROR(L862,999),100-pct*200-days*3))</f>
        <v/>
      </c>
      <c r="N862" s="11">
        <f>IF(A862="","",IF(H862="","Unmatched GL",IF(AND(K862&lt;=Tol_Amount,L862&lt;=Tol_Days),"Matched",IF(M862&gt;Tol_NearPct,"Near Match","Unmatched GL"))))</f>
        <v/>
      </c>
    </row>
    <row r="863">
      <c r="A863" s="13">
        <f>IF(GL_CLEAN!A863="","",GL_CLEAN!A863)</f>
        <v/>
      </c>
      <c r="B863" s="10">
        <f>IF(A863="","",GL_CLEAN!B863)</f>
        <v/>
      </c>
      <c r="C863" s="11">
        <f>IF(A863="","",GL_CLEAN!C863)</f>
        <v/>
      </c>
      <c r="D863" s="14">
        <f>IF(A863="","",GL_CLEAN!H863)</f>
        <v/>
      </c>
      <c r="E863" s="14">
        <f>IF(A863="","",GL_CLEAN!I863)</f>
        <v/>
      </c>
      <c r="F863" s="11">
        <f>IF(A863="","",GL_CLEAN!J863)</f>
        <v/>
      </c>
      <c r="G863" s="11">
        <f>IF(A863="","",IF(F863="OUT","DR","CR"))</f>
        <v/>
      </c>
      <c r="H863" s="11">
        <f>IF(A863="","",IFERROR(INDEX(BANK_CLEAN!$A$2:$A$1001,MATCH(MINIFS(BANK_CLEAN!$J$2:$J$1001,BANK_CLEAN!$H$2:$H$1001,G863,BANK_CLEAN!$L$2:$L$1001,""),BANK_CLEAN!$J$2:$J$1001,0)),""))</f>
        <v/>
      </c>
      <c r="I863" s="10">
        <f>IF(H863="","",INDEX(BANK_CLEAN!$B$2:$B$1001,H863))</f>
        <v/>
      </c>
      <c r="J863" s="14">
        <f>IF(H863="","",IF(F863="OUT",INDEX(BANK_CLEAN!$F$2:$F$1001,H863),INDEX(BANK_CLEAN!$E$2:$E$1001,H863)))</f>
        <v/>
      </c>
      <c r="K863" s="14">
        <f>IF(H863="","",ABS(E863-J863))</f>
        <v/>
      </c>
      <c r="L863" s="11">
        <f>IF(OR(H863="",B863="",I863=""),"",ABS(B863-I863))</f>
        <v/>
      </c>
      <c r="M863" s="15">
        <f>IF(H863="",0,LET(pct,IF(E863&gt;0,K863/E863,1),days,IFERROR(L863,999),100-pct*200-days*3))</f>
        <v/>
      </c>
      <c r="N863" s="11">
        <f>IF(A863="","",IF(H863="","Unmatched GL",IF(AND(K863&lt;=Tol_Amount,L863&lt;=Tol_Days),"Matched",IF(M863&gt;Tol_NearPct,"Near Match","Unmatched GL"))))</f>
        <v/>
      </c>
    </row>
    <row r="864">
      <c r="A864" s="13">
        <f>IF(GL_CLEAN!A864="","",GL_CLEAN!A864)</f>
        <v/>
      </c>
      <c r="B864" s="10">
        <f>IF(A864="","",GL_CLEAN!B864)</f>
        <v/>
      </c>
      <c r="C864" s="11">
        <f>IF(A864="","",GL_CLEAN!C864)</f>
        <v/>
      </c>
      <c r="D864" s="14">
        <f>IF(A864="","",GL_CLEAN!H864)</f>
        <v/>
      </c>
      <c r="E864" s="14">
        <f>IF(A864="","",GL_CLEAN!I864)</f>
        <v/>
      </c>
      <c r="F864" s="11">
        <f>IF(A864="","",GL_CLEAN!J864)</f>
        <v/>
      </c>
      <c r="G864" s="11">
        <f>IF(A864="","",IF(F864="OUT","DR","CR"))</f>
        <v/>
      </c>
      <c r="H864" s="11">
        <f>IF(A864="","",IFERROR(INDEX(BANK_CLEAN!$A$2:$A$1001,MATCH(MINIFS(BANK_CLEAN!$J$2:$J$1001,BANK_CLEAN!$H$2:$H$1001,G864,BANK_CLEAN!$L$2:$L$1001,""),BANK_CLEAN!$J$2:$J$1001,0)),""))</f>
        <v/>
      </c>
      <c r="I864" s="10">
        <f>IF(H864="","",INDEX(BANK_CLEAN!$B$2:$B$1001,H864))</f>
        <v/>
      </c>
      <c r="J864" s="14">
        <f>IF(H864="","",IF(F864="OUT",INDEX(BANK_CLEAN!$F$2:$F$1001,H864),INDEX(BANK_CLEAN!$E$2:$E$1001,H864)))</f>
        <v/>
      </c>
      <c r="K864" s="14">
        <f>IF(H864="","",ABS(E864-J864))</f>
        <v/>
      </c>
      <c r="L864" s="11">
        <f>IF(OR(H864="",B864="",I864=""),"",ABS(B864-I864))</f>
        <v/>
      </c>
      <c r="M864" s="15">
        <f>IF(H864="",0,LET(pct,IF(E864&gt;0,K864/E864,1),days,IFERROR(L864,999),100-pct*200-days*3))</f>
        <v/>
      </c>
      <c r="N864" s="11">
        <f>IF(A864="","",IF(H864="","Unmatched GL",IF(AND(K864&lt;=Tol_Amount,L864&lt;=Tol_Days),"Matched",IF(M864&gt;Tol_NearPct,"Near Match","Unmatched GL"))))</f>
        <v/>
      </c>
    </row>
    <row r="865">
      <c r="A865" s="13">
        <f>IF(GL_CLEAN!A865="","",GL_CLEAN!A865)</f>
        <v/>
      </c>
      <c r="B865" s="10">
        <f>IF(A865="","",GL_CLEAN!B865)</f>
        <v/>
      </c>
      <c r="C865" s="11">
        <f>IF(A865="","",GL_CLEAN!C865)</f>
        <v/>
      </c>
      <c r="D865" s="14">
        <f>IF(A865="","",GL_CLEAN!H865)</f>
        <v/>
      </c>
      <c r="E865" s="14">
        <f>IF(A865="","",GL_CLEAN!I865)</f>
        <v/>
      </c>
      <c r="F865" s="11">
        <f>IF(A865="","",GL_CLEAN!J865)</f>
        <v/>
      </c>
      <c r="G865" s="11">
        <f>IF(A865="","",IF(F865="OUT","DR","CR"))</f>
        <v/>
      </c>
      <c r="H865" s="11">
        <f>IF(A865="","",IFERROR(INDEX(BANK_CLEAN!$A$2:$A$1001,MATCH(MINIFS(BANK_CLEAN!$J$2:$J$1001,BANK_CLEAN!$H$2:$H$1001,G865,BANK_CLEAN!$L$2:$L$1001,""),BANK_CLEAN!$J$2:$J$1001,0)),""))</f>
        <v/>
      </c>
      <c r="I865" s="10">
        <f>IF(H865="","",INDEX(BANK_CLEAN!$B$2:$B$1001,H865))</f>
        <v/>
      </c>
      <c r="J865" s="14">
        <f>IF(H865="","",IF(F865="OUT",INDEX(BANK_CLEAN!$F$2:$F$1001,H865),INDEX(BANK_CLEAN!$E$2:$E$1001,H865)))</f>
        <v/>
      </c>
      <c r="K865" s="14">
        <f>IF(H865="","",ABS(E865-J865))</f>
        <v/>
      </c>
      <c r="L865" s="11">
        <f>IF(OR(H865="",B865="",I865=""),"",ABS(B865-I865))</f>
        <v/>
      </c>
      <c r="M865" s="15">
        <f>IF(H865="",0,LET(pct,IF(E865&gt;0,K865/E865,1),days,IFERROR(L865,999),100-pct*200-days*3))</f>
        <v/>
      </c>
      <c r="N865" s="11">
        <f>IF(A865="","",IF(H865="","Unmatched GL",IF(AND(K865&lt;=Tol_Amount,L865&lt;=Tol_Days),"Matched",IF(M865&gt;Tol_NearPct,"Near Match","Unmatched GL"))))</f>
        <v/>
      </c>
    </row>
    <row r="866">
      <c r="A866" s="13">
        <f>IF(GL_CLEAN!A866="","",GL_CLEAN!A866)</f>
        <v/>
      </c>
      <c r="B866" s="10">
        <f>IF(A866="","",GL_CLEAN!B866)</f>
        <v/>
      </c>
      <c r="C866" s="11">
        <f>IF(A866="","",GL_CLEAN!C866)</f>
        <v/>
      </c>
      <c r="D866" s="14">
        <f>IF(A866="","",GL_CLEAN!H866)</f>
        <v/>
      </c>
      <c r="E866" s="14">
        <f>IF(A866="","",GL_CLEAN!I866)</f>
        <v/>
      </c>
      <c r="F866" s="11">
        <f>IF(A866="","",GL_CLEAN!J866)</f>
        <v/>
      </c>
      <c r="G866" s="11">
        <f>IF(A866="","",IF(F866="OUT","DR","CR"))</f>
        <v/>
      </c>
      <c r="H866" s="11">
        <f>IF(A866="","",IFERROR(INDEX(BANK_CLEAN!$A$2:$A$1001,MATCH(MINIFS(BANK_CLEAN!$J$2:$J$1001,BANK_CLEAN!$H$2:$H$1001,G866,BANK_CLEAN!$L$2:$L$1001,""),BANK_CLEAN!$J$2:$J$1001,0)),""))</f>
        <v/>
      </c>
      <c r="I866" s="10">
        <f>IF(H866="","",INDEX(BANK_CLEAN!$B$2:$B$1001,H866))</f>
        <v/>
      </c>
      <c r="J866" s="14">
        <f>IF(H866="","",IF(F866="OUT",INDEX(BANK_CLEAN!$F$2:$F$1001,H866),INDEX(BANK_CLEAN!$E$2:$E$1001,H866)))</f>
        <v/>
      </c>
      <c r="K866" s="14">
        <f>IF(H866="","",ABS(E866-J866))</f>
        <v/>
      </c>
      <c r="L866" s="11">
        <f>IF(OR(H866="",B866="",I866=""),"",ABS(B866-I866))</f>
        <v/>
      </c>
      <c r="M866" s="15">
        <f>IF(H866="",0,LET(pct,IF(E866&gt;0,K866/E866,1),days,IFERROR(L866,999),100-pct*200-days*3))</f>
        <v/>
      </c>
      <c r="N866" s="11">
        <f>IF(A866="","",IF(H866="","Unmatched GL",IF(AND(K866&lt;=Tol_Amount,L866&lt;=Tol_Days),"Matched",IF(M866&gt;Tol_NearPct,"Near Match","Unmatched GL"))))</f>
        <v/>
      </c>
    </row>
    <row r="867">
      <c r="A867" s="13">
        <f>IF(GL_CLEAN!A867="","",GL_CLEAN!A867)</f>
        <v/>
      </c>
      <c r="B867" s="10">
        <f>IF(A867="","",GL_CLEAN!B867)</f>
        <v/>
      </c>
      <c r="C867" s="11">
        <f>IF(A867="","",GL_CLEAN!C867)</f>
        <v/>
      </c>
      <c r="D867" s="14">
        <f>IF(A867="","",GL_CLEAN!H867)</f>
        <v/>
      </c>
      <c r="E867" s="14">
        <f>IF(A867="","",GL_CLEAN!I867)</f>
        <v/>
      </c>
      <c r="F867" s="11">
        <f>IF(A867="","",GL_CLEAN!J867)</f>
        <v/>
      </c>
      <c r="G867" s="11">
        <f>IF(A867="","",IF(F867="OUT","DR","CR"))</f>
        <v/>
      </c>
      <c r="H867" s="11">
        <f>IF(A867="","",IFERROR(INDEX(BANK_CLEAN!$A$2:$A$1001,MATCH(MINIFS(BANK_CLEAN!$J$2:$J$1001,BANK_CLEAN!$H$2:$H$1001,G867,BANK_CLEAN!$L$2:$L$1001,""),BANK_CLEAN!$J$2:$J$1001,0)),""))</f>
        <v/>
      </c>
      <c r="I867" s="10">
        <f>IF(H867="","",INDEX(BANK_CLEAN!$B$2:$B$1001,H867))</f>
        <v/>
      </c>
      <c r="J867" s="14">
        <f>IF(H867="","",IF(F867="OUT",INDEX(BANK_CLEAN!$F$2:$F$1001,H867),INDEX(BANK_CLEAN!$E$2:$E$1001,H867)))</f>
        <v/>
      </c>
      <c r="K867" s="14">
        <f>IF(H867="","",ABS(E867-J867))</f>
        <v/>
      </c>
      <c r="L867" s="11">
        <f>IF(OR(H867="",B867="",I867=""),"",ABS(B867-I867))</f>
        <v/>
      </c>
      <c r="M867" s="15">
        <f>IF(H867="",0,LET(pct,IF(E867&gt;0,K867/E867,1),days,IFERROR(L867,999),100-pct*200-days*3))</f>
        <v/>
      </c>
      <c r="N867" s="11">
        <f>IF(A867="","",IF(H867="","Unmatched GL",IF(AND(K867&lt;=Tol_Amount,L867&lt;=Tol_Days),"Matched",IF(M867&gt;Tol_NearPct,"Near Match","Unmatched GL"))))</f>
        <v/>
      </c>
    </row>
    <row r="868">
      <c r="A868" s="13">
        <f>IF(GL_CLEAN!A868="","",GL_CLEAN!A868)</f>
        <v/>
      </c>
      <c r="B868" s="10">
        <f>IF(A868="","",GL_CLEAN!B868)</f>
        <v/>
      </c>
      <c r="C868" s="11">
        <f>IF(A868="","",GL_CLEAN!C868)</f>
        <v/>
      </c>
      <c r="D868" s="14">
        <f>IF(A868="","",GL_CLEAN!H868)</f>
        <v/>
      </c>
      <c r="E868" s="14">
        <f>IF(A868="","",GL_CLEAN!I868)</f>
        <v/>
      </c>
      <c r="F868" s="11">
        <f>IF(A868="","",GL_CLEAN!J868)</f>
        <v/>
      </c>
      <c r="G868" s="11">
        <f>IF(A868="","",IF(F868="OUT","DR","CR"))</f>
        <v/>
      </c>
      <c r="H868" s="11">
        <f>IF(A868="","",IFERROR(INDEX(BANK_CLEAN!$A$2:$A$1001,MATCH(MINIFS(BANK_CLEAN!$J$2:$J$1001,BANK_CLEAN!$H$2:$H$1001,G868,BANK_CLEAN!$L$2:$L$1001,""),BANK_CLEAN!$J$2:$J$1001,0)),""))</f>
        <v/>
      </c>
      <c r="I868" s="10">
        <f>IF(H868="","",INDEX(BANK_CLEAN!$B$2:$B$1001,H868))</f>
        <v/>
      </c>
      <c r="J868" s="14">
        <f>IF(H868="","",IF(F868="OUT",INDEX(BANK_CLEAN!$F$2:$F$1001,H868),INDEX(BANK_CLEAN!$E$2:$E$1001,H868)))</f>
        <v/>
      </c>
      <c r="K868" s="14">
        <f>IF(H868="","",ABS(E868-J868))</f>
        <v/>
      </c>
      <c r="L868" s="11">
        <f>IF(OR(H868="",B868="",I868=""),"",ABS(B868-I868))</f>
        <v/>
      </c>
      <c r="M868" s="15">
        <f>IF(H868="",0,LET(pct,IF(E868&gt;0,K868/E868,1),days,IFERROR(L868,999),100-pct*200-days*3))</f>
        <v/>
      </c>
      <c r="N868" s="11">
        <f>IF(A868="","",IF(H868="","Unmatched GL",IF(AND(K868&lt;=Tol_Amount,L868&lt;=Tol_Days),"Matched",IF(M868&gt;Tol_NearPct,"Near Match","Unmatched GL"))))</f>
        <v/>
      </c>
    </row>
    <row r="869">
      <c r="A869" s="13">
        <f>IF(GL_CLEAN!A869="","",GL_CLEAN!A869)</f>
        <v/>
      </c>
      <c r="B869" s="10">
        <f>IF(A869="","",GL_CLEAN!B869)</f>
        <v/>
      </c>
      <c r="C869" s="11">
        <f>IF(A869="","",GL_CLEAN!C869)</f>
        <v/>
      </c>
      <c r="D869" s="14">
        <f>IF(A869="","",GL_CLEAN!H869)</f>
        <v/>
      </c>
      <c r="E869" s="14">
        <f>IF(A869="","",GL_CLEAN!I869)</f>
        <v/>
      </c>
      <c r="F869" s="11">
        <f>IF(A869="","",GL_CLEAN!J869)</f>
        <v/>
      </c>
      <c r="G869" s="11">
        <f>IF(A869="","",IF(F869="OUT","DR","CR"))</f>
        <v/>
      </c>
      <c r="H869" s="11">
        <f>IF(A869="","",IFERROR(INDEX(BANK_CLEAN!$A$2:$A$1001,MATCH(MINIFS(BANK_CLEAN!$J$2:$J$1001,BANK_CLEAN!$H$2:$H$1001,G869,BANK_CLEAN!$L$2:$L$1001,""),BANK_CLEAN!$J$2:$J$1001,0)),""))</f>
        <v/>
      </c>
      <c r="I869" s="10">
        <f>IF(H869="","",INDEX(BANK_CLEAN!$B$2:$B$1001,H869))</f>
        <v/>
      </c>
      <c r="J869" s="14">
        <f>IF(H869="","",IF(F869="OUT",INDEX(BANK_CLEAN!$F$2:$F$1001,H869),INDEX(BANK_CLEAN!$E$2:$E$1001,H869)))</f>
        <v/>
      </c>
      <c r="K869" s="14">
        <f>IF(H869="","",ABS(E869-J869))</f>
        <v/>
      </c>
      <c r="L869" s="11">
        <f>IF(OR(H869="",B869="",I869=""),"",ABS(B869-I869))</f>
        <v/>
      </c>
      <c r="M869" s="15">
        <f>IF(H869="",0,LET(pct,IF(E869&gt;0,K869/E869,1),days,IFERROR(L869,999),100-pct*200-days*3))</f>
        <v/>
      </c>
      <c r="N869" s="11">
        <f>IF(A869="","",IF(H869="","Unmatched GL",IF(AND(K869&lt;=Tol_Amount,L869&lt;=Tol_Days),"Matched",IF(M869&gt;Tol_NearPct,"Near Match","Unmatched GL"))))</f>
        <v/>
      </c>
    </row>
    <row r="870">
      <c r="A870" s="13">
        <f>IF(GL_CLEAN!A870="","",GL_CLEAN!A870)</f>
        <v/>
      </c>
      <c r="B870" s="10">
        <f>IF(A870="","",GL_CLEAN!B870)</f>
        <v/>
      </c>
      <c r="C870" s="11">
        <f>IF(A870="","",GL_CLEAN!C870)</f>
        <v/>
      </c>
      <c r="D870" s="14">
        <f>IF(A870="","",GL_CLEAN!H870)</f>
        <v/>
      </c>
      <c r="E870" s="14">
        <f>IF(A870="","",GL_CLEAN!I870)</f>
        <v/>
      </c>
      <c r="F870" s="11">
        <f>IF(A870="","",GL_CLEAN!J870)</f>
        <v/>
      </c>
      <c r="G870" s="11">
        <f>IF(A870="","",IF(F870="OUT","DR","CR"))</f>
        <v/>
      </c>
      <c r="H870" s="11">
        <f>IF(A870="","",IFERROR(INDEX(BANK_CLEAN!$A$2:$A$1001,MATCH(MINIFS(BANK_CLEAN!$J$2:$J$1001,BANK_CLEAN!$H$2:$H$1001,G870,BANK_CLEAN!$L$2:$L$1001,""),BANK_CLEAN!$J$2:$J$1001,0)),""))</f>
        <v/>
      </c>
      <c r="I870" s="10">
        <f>IF(H870="","",INDEX(BANK_CLEAN!$B$2:$B$1001,H870))</f>
        <v/>
      </c>
      <c r="J870" s="14">
        <f>IF(H870="","",IF(F870="OUT",INDEX(BANK_CLEAN!$F$2:$F$1001,H870),INDEX(BANK_CLEAN!$E$2:$E$1001,H870)))</f>
        <v/>
      </c>
      <c r="K870" s="14">
        <f>IF(H870="","",ABS(E870-J870))</f>
        <v/>
      </c>
      <c r="L870" s="11">
        <f>IF(OR(H870="",B870="",I870=""),"",ABS(B870-I870))</f>
        <v/>
      </c>
      <c r="M870" s="15">
        <f>IF(H870="",0,LET(pct,IF(E870&gt;0,K870/E870,1),days,IFERROR(L870,999),100-pct*200-days*3))</f>
        <v/>
      </c>
      <c r="N870" s="11">
        <f>IF(A870="","",IF(H870="","Unmatched GL",IF(AND(K870&lt;=Tol_Amount,L870&lt;=Tol_Days),"Matched",IF(M870&gt;Tol_NearPct,"Near Match","Unmatched GL"))))</f>
        <v/>
      </c>
    </row>
    <row r="871">
      <c r="A871" s="13">
        <f>IF(GL_CLEAN!A871="","",GL_CLEAN!A871)</f>
        <v/>
      </c>
      <c r="B871" s="10">
        <f>IF(A871="","",GL_CLEAN!B871)</f>
        <v/>
      </c>
      <c r="C871" s="11">
        <f>IF(A871="","",GL_CLEAN!C871)</f>
        <v/>
      </c>
      <c r="D871" s="14">
        <f>IF(A871="","",GL_CLEAN!H871)</f>
        <v/>
      </c>
      <c r="E871" s="14">
        <f>IF(A871="","",GL_CLEAN!I871)</f>
        <v/>
      </c>
      <c r="F871" s="11">
        <f>IF(A871="","",GL_CLEAN!J871)</f>
        <v/>
      </c>
      <c r="G871" s="11">
        <f>IF(A871="","",IF(F871="OUT","DR","CR"))</f>
        <v/>
      </c>
      <c r="H871" s="11">
        <f>IF(A871="","",IFERROR(INDEX(BANK_CLEAN!$A$2:$A$1001,MATCH(MINIFS(BANK_CLEAN!$J$2:$J$1001,BANK_CLEAN!$H$2:$H$1001,G871,BANK_CLEAN!$L$2:$L$1001,""),BANK_CLEAN!$J$2:$J$1001,0)),""))</f>
        <v/>
      </c>
      <c r="I871" s="10">
        <f>IF(H871="","",INDEX(BANK_CLEAN!$B$2:$B$1001,H871))</f>
        <v/>
      </c>
      <c r="J871" s="14">
        <f>IF(H871="","",IF(F871="OUT",INDEX(BANK_CLEAN!$F$2:$F$1001,H871),INDEX(BANK_CLEAN!$E$2:$E$1001,H871)))</f>
        <v/>
      </c>
      <c r="K871" s="14">
        <f>IF(H871="","",ABS(E871-J871))</f>
        <v/>
      </c>
      <c r="L871" s="11">
        <f>IF(OR(H871="",B871="",I871=""),"",ABS(B871-I871))</f>
        <v/>
      </c>
      <c r="M871" s="15">
        <f>IF(H871="",0,LET(pct,IF(E871&gt;0,K871/E871,1),days,IFERROR(L871,999),100-pct*200-days*3))</f>
        <v/>
      </c>
      <c r="N871" s="11">
        <f>IF(A871="","",IF(H871="","Unmatched GL",IF(AND(K871&lt;=Tol_Amount,L871&lt;=Tol_Days),"Matched",IF(M871&gt;Tol_NearPct,"Near Match","Unmatched GL"))))</f>
        <v/>
      </c>
    </row>
    <row r="872">
      <c r="A872" s="13">
        <f>IF(GL_CLEAN!A872="","",GL_CLEAN!A872)</f>
        <v/>
      </c>
      <c r="B872" s="10">
        <f>IF(A872="","",GL_CLEAN!B872)</f>
        <v/>
      </c>
      <c r="C872" s="11">
        <f>IF(A872="","",GL_CLEAN!C872)</f>
        <v/>
      </c>
      <c r="D872" s="14">
        <f>IF(A872="","",GL_CLEAN!H872)</f>
        <v/>
      </c>
      <c r="E872" s="14">
        <f>IF(A872="","",GL_CLEAN!I872)</f>
        <v/>
      </c>
      <c r="F872" s="11">
        <f>IF(A872="","",GL_CLEAN!J872)</f>
        <v/>
      </c>
      <c r="G872" s="11">
        <f>IF(A872="","",IF(F872="OUT","DR","CR"))</f>
        <v/>
      </c>
      <c r="H872" s="11">
        <f>IF(A872="","",IFERROR(INDEX(BANK_CLEAN!$A$2:$A$1001,MATCH(MINIFS(BANK_CLEAN!$J$2:$J$1001,BANK_CLEAN!$H$2:$H$1001,G872,BANK_CLEAN!$L$2:$L$1001,""),BANK_CLEAN!$J$2:$J$1001,0)),""))</f>
        <v/>
      </c>
      <c r="I872" s="10">
        <f>IF(H872="","",INDEX(BANK_CLEAN!$B$2:$B$1001,H872))</f>
        <v/>
      </c>
      <c r="J872" s="14">
        <f>IF(H872="","",IF(F872="OUT",INDEX(BANK_CLEAN!$F$2:$F$1001,H872),INDEX(BANK_CLEAN!$E$2:$E$1001,H872)))</f>
        <v/>
      </c>
      <c r="K872" s="14">
        <f>IF(H872="","",ABS(E872-J872))</f>
        <v/>
      </c>
      <c r="L872" s="11">
        <f>IF(OR(H872="",B872="",I872=""),"",ABS(B872-I872))</f>
        <v/>
      </c>
      <c r="M872" s="15">
        <f>IF(H872="",0,LET(pct,IF(E872&gt;0,K872/E872,1),days,IFERROR(L872,999),100-pct*200-days*3))</f>
        <v/>
      </c>
      <c r="N872" s="11">
        <f>IF(A872="","",IF(H872="","Unmatched GL",IF(AND(K872&lt;=Tol_Amount,L872&lt;=Tol_Days),"Matched",IF(M872&gt;Tol_NearPct,"Near Match","Unmatched GL"))))</f>
        <v/>
      </c>
    </row>
    <row r="873">
      <c r="A873" s="13">
        <f>IF(GL_CLEAN!A873="","",GL_CLEAN!A873)</f>
        <v/>
      </c>
      <c r="B873" s="10">
        <f>IF(A873="","",GL_CLEAN!B873)</f>
        <v/>
      </c>
      <c r="C873" s="11">
        <f>IF(A873="","",GL_CLEAN!C873)</f>
        <v/>
      </c>
      <c r="D873" s="14">
        <f>IF(A873="","",GL_CLEAN!H873)</f>
        <v/>
      </c>
      <c r="E873" s="14">
        <f>IF(A873="","",GL_CLEAN!I873)</f>
        <v/>
      </c>
      <c r="F873" s="11">
        <f>IF(A873="","",GL_CLEAN!J873)</f>
        <v/>
      </c>
      <c r="G873" s="11">
        <f>IF(A873="","",IF(F873="OUT","DR","CR"))</f>
        <v/>
      </c>
      <c r="H873" s="11">
        <f>IF(A873="","",IFERROR(INDEX(BANK_CLEAN!$A$2:$A$1001,MATCH(MINIFS(BANK_CLEAN!$J$2:$J$1001,BANK_CLEAN!$H$2:$H$1001,G873,BANK_CLEAN!$L$2:$L$1001,""),BANK_CLEAN!$J$2:$J$1001,0)),""))</f>
        <v/>
      </c>
      <c r="I873" s="10">
        <f>IF(H873="","",INDEX(BANK_CLEAN!$B$2:$B$1001,H873))</f>
        <v/>
      </c>
      <c r="J873" s="14">
        <f>IF(H873="","",IF(F873="OUT",INDEX(BANK_CLEAN!$F$2:$F$1001,H873),INDEX(BANK_CLEAN!$E$2:$E$1001,H873)))</f>
        <v/>
      </c>
      <c r="K873" s="14">
        <f>IF(H873="","",ABS(E873-J873))</f>
        <v/>
      </c>
      <c r="L873" s="11">
        <f>IF(OR(H873="",B873="",I873=""),"",ABS(B873-I873))</f>
        <v/>
      </c>
      <c r="M873" s="15">
        <f>IF(H873="",0,LET(pct,IF(E873&gt;0,K873/E873,1),days,IFERROR(L873,999),100-pct*200-days*3))</f>
        <v/>
      </c>
      <c r="N873" s="11">
        <f>IF(A873="","",IF(H873="","Unmatched GL",IF(AND(K873&lt;=Tol_Amount,L873&lt;=Tol_Days),"Matched",IF(M873&gt;Tol_NearPct,"Near Match","Unmatched GL"))))</f>
        <v/>
      </c>
    </row>
    <row r="874">
      <c r="A874" s="13">
        <f>IF(GL_CLEAN!A874="","",GL_CLEAN!A874)</f>
        <v/>
      </c>
      <c r="B874" s="10">
        <f>IF(A874="","",GL_CLEAN!B874)</f>
        <v/>
      </c>
      <c r="C874" s="11">
        <f>IF(A874="","",GL_CLEAN!C874)</f>
        <v/>
      </c>
      <c r="D874" s="14">
        <f>IF(A874="","",GL_CLEAN!H874)</f>
        <v/>
      </c>
      <c r="E874" s="14">
        <f>IF(A874="","",GL_CLEAN!I874)</f>
        <v/>
      </c>
      <c r="F874" s="11">
        <f>IF(A874="","",GL_CLEAN!J874)</f>
        <v/>
      </c>
      <c r="G874" s="11">
        <f>IF(A874="","",IF(F874="OUT","DR","CR"))</f>
        <v/>
      </c>
      <c r="H874" s="11">
        <f>IF(A874="","",IFERROR(INDEX(BANK_CLEAN!$A$2:$A$1001,MATCH(MINIFS(BANK_CLEAN!$J$2:$J$1001,BANK_CLEAN!$H$2:$H$1001,G874,BANK_CLEAN!$L$2:$L$1001,""),BANK_CLEAN!$J$2:$J$1001,0)),""))</f>
        <v/>
      </c>
      <c r="I874" s="10">
        <f>IF(H874="","",INDEX(BANK_CLEAN!$B$2:$B$1001,H874))</f>
        <v/>
      </c>
      <c r="J874" s="14">
        <f>IF(H874="","",IF(F874="OUT",INDEX(BANK_CLEAN!$F$2:$F$1001,H874),INDEX(BANK_CLEAN!$E$2:$E$1001,H874)))</f>
        <v/>
      </c>
      <c r="K874" s="14">
        <f>IF(H874="","",ABS(E874-J874))</f>
        <v/>
      </c>
      <c r="L874" s="11">
        <f>IF(OR(H874="",B874="",I874=""),"",ABS(B874-I874))</f>
        <v/>
      </c>
      <c r="M874" s="15">
        <f>IF(H874="",0,LET(pct,IF(E874&gt;0,K874/E874,1),days,IFERROR(L874,999),100-pct*200-days*3))</f>
        <v/>
      </c>
      <c r="N874" s="11">
        <f>IF(A874="","",IF(H874="","Unmatched GL",IF(AND(K874&lt;=Tol_Amount,L874&lt;=Tol_Days),"Matched",IF(M874&gt;Tol_NearPct,"Near Match","Unmatched GL"))))</f>
        <v/>
      </c>
    </row>
    <row r="875">
      <c r="A875" s="13">
        <f>IF(GL_CLEAN!A875="","",GL_CLEAN!A875)</f>
        <v/>
      </c>
      <c r="B875" s="10">
        <f>IF(A875="","",GL_CLEAN!B875)</f>
        <v/>
      </c>
      <c r="C875" s="11">
        <f>IF(A875="","",GL_CLEAN!C875)</f>
        <v/>
      </c>
      <c r="D875" s="14">
        <f>IF(A875="","",GL_CLEAN!H875)</f>
        <v/>
      </c>
      <c r="E875" s="14">
        <f>IF(A875="","",GL_CLEAN!I875)</f>
        <v/>
      </c>
      <c r="F875" s="11">
        <f>IF(A875="","",GL_CLEAN!J875)</f>
        <v/>
      </c>
      <c r="G875" s="11">
        <f>IF(A875="","",IF(F875="OUT","DR","CR"))</f>
        <v/>
      </c>
      <c r="H875" s="11">
        <f>IF(A875="","",IFERROR(INDEX(BANK_CLEAN!$A$2:$A$1001,MATCH(MINIFS(BANK_CLEAN!$J$2:$J$1001,BANK_CLEAN!$H$2:$H$1001,G875,BANK_CLEAN!$L$2:$L$1001,""),BANK_CLEAN!$J$2:$J$1001,0)),""))</f>
        <v/>
      </c>
      <c r="I875" s="10">
        <f>IF(H875="","",INDEX(BANK_CLEAN!$B$2:$B$1001,H875))</f>
        <v/>
      </c>
      <c r="J875" s="14">
        <f>IF(H875="","",IF(F875="OUT",INDEX(BANK_CLEAN!$F$2:$F$1001,H875),INDEX(BANK_CLEAN!$E$2:$E$1001,H875)))</f>
        <v/>
      </c>
      <c r="K875" s="14">
        <f>IF(H875="","",ABS(E875-J875))</f>
        <v/>
      </c>
      <c r="L875" s="11">
        <f>IF(OR(H875="",B875="",I875=""),"",ABS(B875-I875))</f>
        <v/>
      </c>
      <c r="M875" s="15">
        <f>IF(H875="",0,LET(pct,IF(E875&gt;0,K875/E875,1),days,IFERROR(L875,999),100-pct*200-days*3))</f>
        <v/>
      </c>
      <c r="N875" s="11">
        <f>IF(A875="","",IF(H875="","Unmatched GL",IF(AND(K875&lt;=Tol_Amount,L875&lt;=Tol_Days),"Matched",IF(M875&gt;Tol_NearPct,"Near Match","Unmatched GL"))))</f>
        <v/>
      </c>
    </row>
    <row r="876">
      <c r="A876" s="13">
        <f>IF(GL_CLEAN!A876="","",GL_CLEAN!A876)</f>
        <v/>
      </c>
      <c r="B876" s="10">
        <f>IF(A876="","",GL_CLEAN!B876)</f>
        <v/>
      </c>
      <c r="C876" s="11">
        <f>IF(A876="","",GL_CLEAN!C876)</f>
        <v/>
      </c>
      <c r="D876" s="14">
        <f>IF(A876="","",GL_CLEAN!H876)</f>
        <v/>
      </c>
      <c r="E876" s="14">
        <f>IF(A876="","",GL_CLEAN!I876)</f>
        <v/>
      </c>
      <c r="F876" s="11">
        <f>IF(A876="","",GL_CLEAN!J876)</f>
        <v/>
      </c>
      <c r="G876" s="11">
        <f>IF(A876="","",IF(F876="OUT","DR","CR"))</f>
        <v/>
      </c>
      <c r="H876" s="11">
        <f>IF(A876="","",IFERROR(INDEX(BANK_CLEAN!$A$2:$A$1001,MATCH(MINIFS(BANK_CLEAN!$J$2:$J$1001,BANK_CLEAN!$H$2:$H$1001,G876,BANK_CLEAN!$L$2:$L$1001,""),BANK_CLEAN!$J$2:$J$1001,0)),""))</f>
        <v/>
      </c>
      <c r="I876" s="10">
        <f>IF(H876="","",INDEX(BANK_CLEAN!$B$2:$B$1001,H876))</f>
        <v/>
      </c>
      <c r="J876" s="14">
        <f>IF(H876="","",IF(F876="OUT",INDEX(BANK_CLEAN!$F$2:$F$1001,H876),INDEX(BANK_CLEAN!$E$2:$E$1001,H876)))</f>
        <v/>
      </c>
      <c r="K876" s="14">
        <f>IF(H876="","",ABS(E876-J876))</f>
        <v/>
      </c>
      <c r="L876" s="11">
        <f>IF(OR(H876="",B876="",I876=""),"",ABS(B876-I876))</f>
        <v/>
      </c>
      <c r="M876" s="15">
        <f>IF(H876="",0,LET(pct,IF(E876&gt;0,K876/E876,1),days,IFERROR(L876,999),100-pct*200-days*3))</f>
        <v/>
      </c>
      <c r="N876" s="11">
        <f>IF(A876="","",IF(H876="","Unmatched GL",IF(AND(K876&lt;=Tol_Amount,L876&lt;=Tol_Days),"Matched",IF(M876&gt;Tol_NearPct,"Near Match","Unmatched GL"))))</f>
        <v/>
      </c>
    </row>
    <row r="877">
      <c r="A877" s="13">
        <f>IF(GL_CLEAN!A877="","",GL_CLEAN!A877)</f>
        <v/>
      </c>
      <c r="B877" s="10">
        <f>IF(A877="","",GL_CLEAN!B877)</f>
        <v/>
      </c>
      <c r="C877" s="11">
        <f>IF(A877="","",GL_CLEAN!C877)</f>
        <v/>
      </c>
      <c r="D877" s="14">
        <f>IF(A877="","",GL_CLEAN!H877)</f>
        <v/>
      </c>
      <c r="E877" s="14">
        <f>IF(A877="","",GL_CLEAN!I877)</f>
        <v/>
      </c>
      <c r="F877" s="11">
        <f>IF(A877="","",GL_CLEAN!J877)</f>
        <v/>
      </c>
      <c r="G877" s="11">
        <f>IF(A877="","",IF(F877="OUT","DR","CR"))</f>
        <v/>
      </c>
      <c r="H877" s="11">
        <f>IF(A877="","",IFERROR(INDEX(BANK_CLEAN!$A$2:$A$1001,MATCH(MINIFS(BANK_CLEAN!$J$2:$J$1001,BANK_CLEAN!$H$2:$H$1001,G877,BANK_CLEAN!$L$2:$L$1001,""),BANK_CLEAN!$J$2:$J$1001,0)),""))</f>
        <v/>
      </c>
      <c r="I877" s="10">
        <f>IF(H877="","",INDEX(BANK_CLEAN!$B$2:$B$1001,H877))</f>
        <v/>
      </c>
      <c r="J877" s="14">
        <f>IF(H877="","",IF(F877="OUT",INDEX(BANK_CLEAN!$F$2:$F$1001,H877),INDEX(BANK_CLEAN!$E$2:$E$1001,H877)))</f>
        <v/>
      </c>
      <c r="K877" s="14">
        <f>IF(H877="","",ABS(E877-J877))</f>
        <v/>
      </c>
      <c r="L877" s="11">
        <f>IF(OR(H877="",B877="",I877=""),"",ABS(B877-I877))</f>
        <v/>
      </c>
      <c r="M877" s="15">
        <f>IF(H877="",0,LET(pct,IF(E877&gt;0,K877/E877,1),days,IFERROR(L877,999),100-pct*200-days*3))</f>
        <v/>
      </c>
      <c r="N877" s="11">
        <f>IF(A877="","",IF(H877="","Unmatched GL",IF(AND(K877&lt;=Tol_Amount,L877&lt;=Tol_Days),"Matched",IF(M877&gt;Tol_NearPct,"Near Match","Unmatched GL"))))</f>
        <v/>
      </c>
    </row>
    <row r="878">
      <c r="A878" s="13">
        <f>IF(GL_CLEAN!A878="","",GL_CLEAN!A878)</f>
        <v/>
      </c>
      <c r="B878" s="10">
        <f>IF(A878="","",GL_CLEAN!B878)</f>
        <v/>
      </c>
      <c r="C878" s="11">
        <f>IF(A878="","",GL_CLEAN!C878)</f>
        <v/>
      </c>
      <c r="D878" s="14">
        <f>IF(A878="","",GL_CLEAN!H878)</f>
        <v/>
      </c>
      <c r="E878" s="14">
        <f>IF(A878="","",GL_CLEAN!I878)</f>
        <v/>
      </c>
      <c r="F878" s="11">
        <f>IF(A878="","",GL_CLEAN!J878)</f>
        <v/>
      </c>
      <c r="G878" s="11">
        <f>IF(A878="","",IF(F878="OUT","DR","CR"))</f>
        <v/>
      </c>
      <c r="H878" s="11">
        <f>IF(A878="","",IFERROR(INDEX(BANK_CLEAN!$A$2:$A$1001,MATCH(MINIFS(BANK_CLEAN!$J$2:$J$1001,BANK_CLEAN!$H$2:$H$1001,G878,BANK_CLEAN!$L$2:$L$1001,""),BANK_CLEAN!$J$2:$J$1001,0)),""))</f>
        <v/>
      </c>
      <c r="I878" s="10">
        <f>IF(H878="","",INDEX(BANK_CLEAN!$B$2:$B$1001,H878))</f>
        <v/>
      </c>
      <c r="J878" s="14">
        <f>IF(H878="","",IF(F878="OUT",INDEX(BANK_CLEAN!$F$2:$F$1001,H878),INDEX(BANK_CLEAN!$E$2:$E$1001,H878)))</f>
        <v/>
      </c>
      <c r="K878" s="14">
        <f>IF(H878="","",ABS(E878-J878))</f>
        <v/>
      </c>
      <c r="L878" s="11">
        <f>IF(OR(H878="",B878="",I878=""),"",ABS(B878-I878))</f>
        <v/>
      </c>
      <c r="M878" s="15">
        <f>IF(H878="",0,LET(pct,IF(E878&gt;0,K878/E878,1),days,IFERROR(L878,999),100-pct*200-days*3))</f>
        <v/>
      </c>
      <c r="N878" s="11">
        <f>IF(A878="","",IF(H878="","Unmatched GL",IF(AND(K878&lt;=Tol_Amount,L878&lt;=Tol_Days),"Matched",IF(M878&gt;Tol_NearPct,"Near Match","Unmatched GL"))))</f>
        <v/>
      </c>
    </row>
    <row r="879">
      <c r="A879" s="13">
        <f>IF(GL_CLEAN!A879="","",GL_CLEAN!A879)</f>
        <v/>
      </c>
      <c r="B879" s="10">
        <f>IF(A879="","",GL_CLEAN!B879)</f>
        <v/>
      </c>
      <c r="C879" s="11">
        <f>IF(A879="","",GL_CLEAN!C879)</f>
        <v/>
      </c>
      <c r="D879" s="14">
        <f>IF(A879="","",GL_CLEAN!H879)</f>
        <v/>
      </c>
      <c r="E879" s="14">
        <f>IF(A879="","",GL_CLEAN!I879)</f>
        <v/>
      </c>
      <c r="F879" s="11">
        <f>IF(A879="","",GL_CLEAN!J879)</f>
        <v/>
      </c>
      <c r="G879" s="11">
        <f>IF(A879="","",IF(F879="OUT","DR","CR"))</f>
        <v/>
      </c>
      <c r="H879" s="11">
        <f>IF(A879="","",IFERROR(INDEX(BANK_CLEAN!$A$2:$A$1001,MATCH(MINIFS(BANK_CLEAN!$J$2:$J$1001,BANK_CLEAN!$H$2:$H$1001,G879,BANK_CLEAN!$L$2:$L$1001,""),BANK_CLEAN!$J$2:$J$1001,0)),""))</f>
        <v/>
      </c>
      <c r="I879" s="10">
        <f>IF(H879="","",INDEX(BANK_CLEAN!$B$2:$B$1001,H879))</f>
        <v/>
      </c>
      <c r="J879" s="14">
        <f>IF(H879="","",IF(F879="OUT",INDEX(BANK_CLEAN!$F$2:$F$1001,H879),INDEX(BANK_CLEAN!$E$2:$E$1001,H879)))</f>
        <v/>
      </c>
      <c r="K879" s="14">
        <f>IF(H879="","",ABS(E879-J879))</f>
        <v/>
      </c>
      <c r="L879" s="11">
        <f>IF(OR(H879="",B879="",I879=""),"",ABS(B879-I879))</f>
        <v/>
      </c>
      <c r="M879" s="15">
        <f>IF(H879="",0,LET(pct,IF(E879&gt;0,K879/E879,1),days,IFERROR(L879,999),100-pct*200-days*3))</f>
        <v/>
      </c>
      <c r="N879" s="11">
        <f>IF(A879="","",IF(H879="","Unmatched GL",IF(AND(K879&lt;=Tol_Amount,L879&lt;=Tol_Days),"Matched",IF(M879&gt;Tol_NearPct,"Near Match","Unmatched GL"))))</f>
        <v/>
      </c>
    </row>
    <row r="880">
      <c r="A880" s="13">
        <f>IF(GL_CLEAN!A880="","",GL_CLEAN!A880)</f>
        <v/>
      </c>
      <c r="B880" s="10">
        <f>IF(A880="","",GL_CLEAN!B880)</f>
        <v/>
      </c>
      <c r="C880" s="11">
        <f>IF(A880="","",GL_CLEAN!C880)</f>
        <v/>
      </c>
      <c r="D880" s="14">
        <f>IF(A880="","",GL_CLEAN!H880)</f>
        <v/>
      </c>
      <c r="E880" s="14">
        <f>IF(A880="","",GL_CLEAN!I880)</f>
        <v/>
      </c>
      <c r="F880" s="11">
        <f>IF(A880="","",GL_CLEAN!J880)</f>
        <v/>
      </c>
      <c r="G880" s="11">
        <f>IF(A880="","",IF(F880="OUT","DR","CR"))</f>
        <v/>
      </c>
      <c r="H880" s="11">
        <f>IF(A880="","",IFERROR(INDEX(BANK_CLEAN!$A$2:$A$1001,MATCH(MINIFS(BANK_CLEAN!$J$2:$J$1001,BANK_CLEAN!$H$2:$H$1001,G880,BANK_CLEAN!$L$2:$L$1001,""),BANK_CLEAN!$J$2:$J$1001,0)),""))</f>
        <v/>
      </c>
      <c r="I880" s="10">
        <f>IF(H880="","",INDEX(BANK_CLEAN!$B$2:$B$1001,H880))</f>
        <v/>
      </c>
      <c r="J880" s="14">
        <f>IF(H880="","",IF(F880="OUT",INDEX(BANK_CLEAN!$F$2:$F$1001,H880),INDEX(BANK_CLEAN!$E$2:$E$1001,H880)))</f>
        <v/>
      </c>
      <c r="K880" s="14">
        <f>IF(H880="","",ABS(E880-J880))</f>
        <v/>
      </c>
      <c r="L880" s="11">
        <f>IF(OR(H880="",B880="",I880=""),"",ABS(B880-I880))</f>
        <v/>
      </c>
      <c r="M880" s="15">
        <f>IF(H880="",0,LET(pct,IF(E880&gt;0,K880/E880,1),days,IFERROR(L880,999),100-pct*200-days*3))</f>
        <v/>
      </c>
      <c r="N880" s="11">
        <f>IF(A880="","",IF(H880="","Unmatched GL",IF(AND(K880&lt;=Tol_Amount,L880&lt;=Tol_Days),"Matched",IF(M880&gt;Tol_NearPct,"Near Match","Unmatched GL"))))</f>
        <v/>
      </c>
    </row>
    <row r="881">
      <c r="A881" s="13">
        <f>IF(GL_CLEAN!A881="","",GL_CLEAN!A881)</f>
        <v/>
      </c>
      <c r="B881" s="10">
        <f>IF(A881="","",GL_CLEAN!B881)</f>
        <v/>
      </c>
      <c r="C881" s="11">
        <f>IF(A881="","",GL_CLEAN!C881)</f>
        <v/>
      </c>
      <c r="D881" s="14">
        <f>IF(A881="","",GL_CLEAN!H881)</f>
        <v/>
      </c>
      <c r="E881" s="14">
        <f>IF(A881="","",GL_CLEAN!I881)</f>
        <v/>
      </c>
      <c r="F881" s="11">
        <f>IF(A881="","",GL_CLEAN!J881)</f>
        <v/>
      </c>
      <c r="G881" s="11">
        <f>IF(A881="","",IF(F881="OUT","DR","CR"))</f>
        <v/>
      </c>
      <c r="H881" s="11">
        <f>IF(A881="","",IFERROR(INDEX(BANK_CLEAN!$A$2:$A$1001,MATCH(MINIFS(BANK_CLEAN!$J$2:$J$1001,BANK_CLEAN!$H$2:$H$1001,G881,BANK_CLEAN!$L$2:$L$1001,""),BANK_CLEAN!$J$2:$J$1001,0)),""))</f>
        <v/>
      </c>
      <c r="I881" s="10">
        <f>IF(H881="","",INDEX(BANK_CLEAN!$B$2:$B$1001,H881))</f>
        <v/>
      </c>
      <c r="J881" s="14">
        <f>IF(H881="","",IF(F881="OUT",INDEX(BANK_CLEAN!$F$2:$F$1001,H881),INDEX(BANK_CLEAN!$E$2:$E$1001,H881)))</f>
        <v/>
      </c>
      <c r="K881" s="14">
        <f>IF(H881="","",ABS(E881-J881))</f>
        <v/>
      </c>
      <c r="L881" s="11">
        <f>IF(OR(H881="",B881="",I881=""),"",ABS(B881-I881))</f>
        <v/>
      </c>
      <c r="M881" s="15">
        <f>IF(H881="",0,LET(pct,IF(E881&gt;0,K881/E881,1),days,IFERROR(L881,999),100-pct*200-days*3))</f>
        <v/>
      </c>
      <c r="N881" s="11">
        <f>IF(A881="","",IF(H881="","Unmatched GL",IF(AND(K881&lt;=Tol_Amount,L881&lt;=Tol_Days),"Matched",IF(M881&gt;Tol_NearPct,"Near Match","Unmatched GL"))))</f>
        <v/>
      </c>
    </row>
    <row r="882">
      <c r="A882" s="13">
        <f>IF(GL_CLEAN!A882="","",GL_CLEAN!A882)</f>
        <v/>
      </c>
      <c r="B882" s="10">
        <f>IF(A882="","",GL_CLEAN!B882)</f>
        <v/>
      </c>
      <c r="C882" s="11">
        <f>IF(A882="","",GL_CLEAN!C882)</f>
        <v/>
      </c>
      <c r="D882" s="14">
        <f>IF(A882="","",GL_CLEAN!H882)</f>
        <v/>
      </c>
      <c r="E882" s="14">
        <f>IF(A882="","",GL_CLEAN!I882)</f>
        <v/>
      </c>
      <c r="F882" s="11">
        <f>IF(A882="","",GL_CLEAN!J882)</f>
        <v/>
      </c>
      <c r="G882" s="11">
        <f>IF(A882="","",IF(F882="OUT","DR","CR"))</f>
        <v/>
      </c>
      <c r="H882" s="11">
        <f>IF(A882="","",IFERROR(INDEX(BANK_CLEAN!$A$2:$A$1001,MATCH(MINIFS(BANK_CLEAN!$J$2:$J$1001,BANK_CLEAN!$H$2:$H$1001,G882,BANK_CLEAN!$L$2:$L$1001,""),BANK_CLEAN!$J$2:$J$1001,0)),""))</f>
        <v/>
      </c>
      <c r="I882" s="10">
        <f>IF(H882="","",INDEX(BANK_CLEAN!$B$2:$B$1001,H882))</f>
        <v/>
      </c>
      <c r="J882" s="14">
        <f>IF(H882="","",IF(F882="OUT",INDEX(BANK_CLEAN!$F$2:$F$1001,H882),INDEX(BANK_CLEAN!$E$2:$E$1001,H882)))</f>
        <v/>
      </c>
      <c r="K882" s="14">
        <f>IF(H882="","",ABS(E882-J882))</f>
        <v/>
      </c>
      <c r="L882" s="11">
        <f>IF(OR(H882="",B882="",I882=""),"",ABS(B882-I882))</f>
        <v/>
      </c>
      <c r="M882" s="15">
        <f>IF(H882="",0,LET(pct,IF(E882&gt;0,K882/E882,1),days,IFERROR(L882,999),100-pct*200-days*3))</f>
        <v/>
      </c>
      <c r="N882" s="11">
        <f>IF(A882="","",IF(H882="","Unmatched GL",IF(AND(K882&lt;=Tol_Amount,L882&lt;=Tol_Days),"Matched",IF(M882&gt;Tol_NearPct,"Near Match","Unmatched GL"))))</f>
        <v/>
      </c>
    </row>
    <row r="883">
      <c r="A883" s="13">
        <f>IF(GL_CLEAN!A883="","",GL_CLEAN!A883)</f>
        <v/>
      </c>
      <c r="B883" s="10">
        <f>IF(A883="","",GL_CLEAN!B883)</f>
        <v/>
      </c>
      <c r="C883" s="11">
        <f>IF(A883="","",GL_CLEAN!C883)</f>
        <v/>
      </c>
      <c r="D883" s="14">
        <f>IF(A883="","",GL_CLEAN!H883)</f>
        <v/>
      </c>
      <c r="E883" s="14">
        <f>IF(A883="","",GL_CLEAN!I883)</f>
        <v/>
      </c>
      <c r="F883" s="11">
        <f>IF(A883="","",GL_CLEAN!J883)</f>
        <v/>
      </c>
      <c r="G883" s="11">
        <f>IF(A883="","",IF(F883="OUT","DR","CR"))</f>
        <v/>
      </c>
      <c r="H883" s="11">
        <f>IF(A883="","",IFERROR(INDEX(BANK_CLEAN!$A$2:$A$1001,MATCH(MINIFS(BANK_CLEAN!$J$2:$J$1001,BANK_CLEAN!$H$2:$H$1001,G883,BANK_CLEAN!$L$2:$L$1001,""),BANK_CLEAN!$J$2:$J$1001,0)),""))</f>
        <v/>
      </c>
      <c r="I883" s="10">
        <f>IF(H883="","",INDEX(BANK_CLEAN!$B$2:$B$1001,H883))</f>
        <v/>
      </c>
      <c r="J883" s="14">
        <f>IF(H883="","",IF(F883="OUT",INDEX(BANK_CLEAN!$F$2:$F$1001,H883),INDEX(BANK_CLEAN!$E$2:$E$1001,H883)))</f>
        <v/>
      </c>
      <c r="K883" s="14">
        <f>IF(H883="","",ABS(E883-J883))</f>
        <v/>
      </c>
      <c r="L883" s="11">
        <f>IF(OR(H883="",B883="",I883=""),"",ABS(B883-I883))</f>
        <v/>
      </c>
      <c r="M883" s="15">
        <f>IF(H883="",0,LET(pct,IF(E883&gt;0,K883/E883,1),days,IFERROR(L883,999),100-pct*200-days*3))</f>
        <v/>
      </c>
      <c r="N883" s="11">
        <f>IF(A883="","",IF(H883="","Unmatched GL",IF(AND(K883&lt;=Tol_Amount,L883&lt;=Tol_Days),"Matched",IF(M883&gt;Tol_NearPct,"Near Match","Unmatched GL"))))</f>
        <v/>
      </c>
    </row>
    <row r="884">
      <c r="A884" s="13">
        <f>IF(GL_CLEAN!A884="","",GL_CLEAN!A884)</f>
        <v/>
      </c>
      <c r="B884" s="10">
        <f>IF(A884="","",GL_CLEAN!B884)</f>
        <v/>
      </c>
      <c r="C884" s="11">
        <f>IF(A884="","",GL_CLEAN!C884)</f>
        <v/>
      </c>
      <c r="D884" s="14">
        <f>IF(A884="","",GL_CLEAN!H884)</f>
        <v/>
      </c>
      <c r="E884" s="14">
        <f>IF(A884="","",GL_CLEAN!I884)</f>
        <v/>
      </c>
      <c r="F884" s="11">
        <f>IF(A884="","",GL_CLEAN!J884)</f>
        <v/>
      </c>
      <c r="G884" s="11">
        <f>IF(A884="","",IF(F884="OUT","DR","CR"))</f>
        <v/>
      </c>
      <c r="H884" s="11">
        <f>IF(A884="","",IFERROR(INDEX(BANK_CLEAN!$A$2:$A$1001,MATCH(MINIFS(BANK_CLEAN!$J$2:$J$1001,BANK_CLEAN!$H$2:$H$1001,G884,BANK_CLEAN!$L$2:$L$1001,""),BANK_CLEAN!$J$2:$J$1001,0)),""))</f>
        <v/>
      </c>
      <c r="I884" s="10">
        <f>IF(H884="","",INDEX(BANK_CLEAN!$B$2:$B$1001,H884))</f>
        <v/>
      </c>
      <c r="J884" s="14">
        <f>IF(H884="","",IF(F884="OUT",INDEX(BANK_CLEAN!$F$2:$F$1001,H884),INDEX(BANK_CLEAN!$E$2:$E$1001,H884)))</f>
        <v/>
      </c>
      <c r="K884" s="14">
        <f>IF(H884="","",ABS(E884-J884))</f>
        <v/>
      </c>
      <c r="L884" s="11">
        <f>IF(OR(H884="",B884="",I884=""),"",ABS(B884-I884))</f>
        <v/>
      </c>
      <c r="M884" s="15">
        <f>IF(H884="",0,LET(pct,IF(E884&gt;0,K884/E884,1),days,IFERROR(L884,999),100-pct*200-days*3))</f>
        <v/>
      </c>
      <c r="N884" s="11">
        <f>IF(A884="","",IF(H884="","Unmatched GL",IF(AND(K884&lt;=Tol_Amount,L884&lt;=Tol_Days),"Matched",IF(M884&gt;Tol_NearPct,"Near Match","Unmatched GL"))))</f>
        <v/>
      </c>
    </row>
    <row r="885">
      <c r="A885" s="13">
        <f>IF(GL_CLEAN!A885="","",GL_CLEAN!A885)</f>
        <v/>
      </c>
      <c r="B885" s="10">
        <f>IF(A885="","",GL_CLEAN!B885)</f>
        <v/>
      </c>
      <c r="C885" s="11">
        <f>IF(A885="","",GL_CLEAN!C885)</f>
        <v/>
      </c>
      <c r="D885" s="14">
        <f>IF(A885="","",GL_CLEAN!H885)</f>
        <v/>
      </c>
      <c r="E885" s="14">
        <f>IF(A885="","",GL_CLEAN!I885)</f>
        <v/>
      </c>
      <c r="F885" s="11">
        <f>IF(A885="","",GL_CLEAN!J885)</f>
        <v/>
      </c>
      <c r="G885" s="11">
        <f>IF(A885="","",IF(F885="OUT","DR","CR"))</f>
        <v/>
      </c>
      <c r="H885" s="11">
        <f>IF(A885="","",IFERROR(INDEX(BANK_CLEAN!$A$2:$A$1001,MATCH(MINIFS(BANK_CLEAN!$J$2:$J$1001,BANK_CLEAN!$H$2:$H$1001,G885,BANK_CLEAN!$L$2:$L$1001,""),BANK_CLEAN!$J$2:$J$1001,0)),""))</f>
        <v/>
      </c>
      <c r="I885" s="10">
        <f>IF(H885="","",INDEX(BANK_CLEAN!$B$2:$B$1001,H885))</f>
        <v/>
      </c>
      <c r="J885" s="14">
        <f>IF(H885="","",IF(F885="OUT",INDEX(BANK_CLEAN!$F$2:$F$1001,H885),INDEX(BANK_CLEAN!$E$2:$E$1001,H885)))</f>
        <v/>
      </c>
      <c r="K885" s="14">
        <f>IF(H885="","",ABS(E885-J885))</f>
        <v/>
      </c>
      <c r="L885" s="11">
        <f>IF(OR(H885="",B885="",I885=""),"",ABS(B885-I885))</f>
        <v/>
      </c>
      <c r="M885" s="15">
        <f>IF(H885="",0,LET(pct,IF(E885&gt;0,K885/E885,1),days,IFERROR(L885,999),100-pct*200-days*3))</f>
        <v/>
      </c>
      <c r="N885" s="11">
        <f>IF(A885="","",IF(H885="","Unmatched GL",IF(AND(K885&lt;=Tol_Amount,L885&lt;=Tol_Days),"Matched",IF(M885&gt;Tol_NearPct,"Near Match","Unmatched GL"))))</f>
        <v/>
      </c>
    </row>
    <row r="886">
      <c r="A886" s="13">
        <f>IF(GL_CLEAN!A886="","",GL_CLEAN!A886)</f>
        <v/>
      </c>
      <c r="B886" s="10">
        <f>IF(A886="","",GL_CLEAN!B886)</f>
        <v/>
      </c>
      <c r="C886" s="11">
        <f>IF(A886="","",GL_CLEAN!C886)</f>
        <v/>
      </c>
      <c r="D886" s="14">
        <f>IF(A886="","",GL_CLEAN!H886)</f>
        <v/>
      </c>
      <c r="E886" s="14">
        <f>IF(A886="","",GL_CLEAN!I886)</f>
        <v/>
      </c>
      <c r="F886" s="11">
        <f>IF(A886="","",GL_CLEAN!J886)</f>
        <v/>
      </c>
      <c r="G886" s="11">
        <f>IF(A886="","",IF(F886="OUT","DR","CR"))</f>
        <v/>
      </c>
      <c r="H886" s="11">
        <f>IF(A886="","",IFERROR(INDEX(BANK_CLEAN!$A$2:$A$1001,MATCH(MINIFS(BANK_CLEAN!$J$2:$J$1001,BANK_CLEAN!$H$2:$H$1001,G886,BANK_CLEAN!$L$2:$L$1001,""),BANK_CLEAN!$J$2:$J$1001,0)),""))</f>
        <v/>
      </c>
      <c r="I886" s="10">
        <f>IF(H886="","",INDEX(BANK_CLEAN!$B$2:$B$1001,H886))</f>
        <v/>
      </c>
      <c r="J886" s="14">
        <f>IF(H886="","",IF(F886="OUT",INDEX(BANK_CLEAN!$F$2:$F$1001,H886),INDEX(BANK_CLEAN!$E$2:$E$1001,H886)))</f>
        <v/>
      </c>
      <c r="K886" s="14">
        <f>IF(H886="","",ABS(E886-J886))</f>
        <v/>
      </c>
      <c r="L886" s="11">
        <f>IF(OR(H886="",B886="",I886=""),"",ABS(B886-I886))</f>
        <v/>
      </c>
      <c r="M886" s="15">
        <f>IF(H886="",0,LET(pct,IF(E886&gt;0,K886/E886,1),days,IFERROR(L886,999),100-pct*200-days*3))</f>
        <v/>
      </c>
      <c r="N886" s="11">
        <f>IF(A886="","",IF(H886="","Unmatched GL",IF(AND(K886&lt;=Tol_Amount,L886&lt;=Tol_Days),"Matched",IF(M886&gt;Tol_NearPct,"Near Match","Unmatched GL"))))</f>
        <v/>
      </c>
    </row>
    <row r="887">
      <c r="A887" s="13">
        <f>IF(GL_CLEAN!A887="","",GL_CLEAN!A887)</f>
        <v/>
      </c>
      <c r="B887" s="10">
        <f>IF(A887="","",GL_CLEAN!B887)</f>
        <v/>
      </c>
      <c r="C887" s="11">
        <f>IF(A887="","",GL_CLEAN!C887)</f>
        <v/>
      </c>
      <c r="D887" s="14">
        <f>IF(A887="","",GL_CLEAN!H887)</f>
        <v/>
      </c>
      <c r="E887" s="14">
        <f>IF(A887="","",GL_CLEAN!I887)</f>
        <v/>
      </c>
      <c r="F887" s="11">
        <f>IF(A887="","",GL_CLEAN!J887)</f>
        <v/>
      </c>
      <c r="G887" s="11">
        <f>IF(A887="","",IF(F887="OUT","DR","CR"))</f>
        <v/>
      </c>
      <c r="H887" s="11">
        <f>IF(A887="","",IFERROR(INDEX(BANK_CLEAN!$A$2:$A$1001,MATCH(MINIFS(BANK_CLEAN!$J$2:$J$1001,BANK_CLEAN!$H$2:$H$1001,G887,BANK_CLEAN!$L$2:$L$1001,""),BANK_CLEAN!$J$2:$J$1001,0)),""))</f>
        <v/>
      </c>
      <c r="I887" s="10">
        <f>IF(H887="","",INDEX(BANK_CLEAN!$B$2:$B$1001,H887))</f>
        <v/>
      </c>
      <c r="J887" s="14">
        <f>IF(H887="","",IF(F887="OUT",INDEX(BANK_CLEAN!$F$2:$F$1001,H887),INDEX(BANK_CLEAN!$E$2:$E$1001,H887)))</f>
        <v/>
      </c>
      <c r="K887" s="14">
        <f>IF(H887="","",ABS(E887-J887))</f>
        <v/>
      </c>
      <c r="L887" s="11">
        <f>IF(OR(H887="",B887="",I887=""),"",ABS(B887-I887))</f>
        <v/>
      </c>
      <c r="M887" s="15">
        <f>IF(H887="",0,LET(pct,IF(E887&gt;0,K887/E887,1),days,IFERROR(L887,999),100-pct*200-days*3))</f>
        <v/>
      </c>
      <c r="N887" s="11">
        <f>IF(A887="","",IF(H887="","Unmatched GL",IF(AND(K887&lt;=Tol_Amount,L887&lt;=Tol_Days),"Matched",IF(M887&gt;Tol_NearPct,"Near Match","Unmatched GL"))))</f>
        <v/>
      </c>
    </row>
    <row r="888">
      <c r="A888" s="13">
        <f>IF(GL_CLEAN!A888="","",GL_CLEAN!A888)</f>
        <v/>
      </c>
      <c r="B888" s="10">
        <f>IF(A888="","",GL_CLEAN!B888)</f>
        <v/>
      </c>
      <c r="C888" s="11">
        <f>IF(A888="","",GL_CLEAN!C888)</f>
        <v/>
      </c>
      <c r="D888" s="14">
        <f>IF(A888="","",GL_CLEAN!H888)</f>
        <v/>
      </c>
      <c r="E888" s="14">
        <f>IF(A888="","",GL_CLEAN!I888)</f>
        <v/>
      </c>
      <c r="F888" s="11">
        <f>IF(A888="","",GL_CLEAN!J888)</f>
        <v/>
      </c>
      <c r="G888" s="11">
        <f>IF(A888="","",IF(F888="OUT","DR","CR"))</f>
        <v/>
      </c>
      <c r="H888" s="11">
        <f>IF(A888="","",IFERROR(INDEX(BANK_CLEAN!$A$2:$A$1001,MATCH(MINIFS(BANK_CLEAN!$J$2:$J$1001,BANK_CLEAN!$H$2:$H$1001,G888,BANK_CLEAN!$L$2:$L$1001,""),BANK_CLEAN!$J$2:$J$1001,0)),""))</f>
        <v/>
      </c>
      <c r="I888" s="10">
        <f>IF(H888="","",INDEX(BANK_CLEAN!$B$2:$B$1001,H888))</f>
        <v/>
      </c>
      <c r="J888" s="14">
        <f>IF(H888="","",IF(F888="OUT",INDEX(BANK_CLEAN!$F$2:$F$1001,H888),INDEX(BANK_CLEAN!$E$2:$E$1001,H888)))</f>
        <v/>
      </c>
      <c r="K888" s="14">
        <f>IF(H888="","",ABS(E888-J888))</f>
        <v/>
      </c>
      <c r="L888" s="11">
        <f>IF(OR(H888="",B888="",I888=""),"",ABS(B888-I888))</f>
        <v/>
      </c>
      <c r="M888" s="15">
        <f>IF(H888="",0,LET(pct,IF(E888&gt;0,K888/E888,1),days,IFERROR(L888,999),100-pct*200-days*3))</f>
        <v/>
      </c>
      <c r="N888" s="11">
        <f>IF(A888="","",IF(H888="","Unmatched GL",IF(AND(K888&lt;=Tol_Amount,L888&lt;=Tol_Days),"Matched",IF(M888&gt;Tol_NearPct,"Near Match","Unmatched GL"))))</f>
        <v/>
      </c>
    </row>
    <row r="889">
      <c r="A889" s="13">
        <f>IF(GL_CLEAN!A889="","",GL_CLEAN!A889)</f>
        <v/>
      </c>
      <c r="B889" s="10">
        <f>IF(A889="","",GL_CLEAN!B889)</f>
        <v/>
      </c>
      <c r="C889" s="11">
        <f>IF(A889="","",GL_CLEAN!C889)</f>
        <v/>
      </c>
      <c r="D889" s="14">
        <f>IF(A889="","",GL_CLEAN!H889)</f>
        <v/>
      </c>
      <c r="E889" s="14">
        <f>IF(A889="","",GL_CLEAN!I889)</f>
        <v/>
      </c>
      <c r="F889" s="11">
        <f>IF(A889="","",GL_CLEAN!J889)</f>
        <v/>
      </c>
      <c r="G889" s="11">
        <f>IF(A889="","",IF(F889="OUT","DR","CR"))</f>
        <v/>
      </c>
      <c r="H889" s="11">
        <f>IF(A889="","",IFERROR(INDEX(BANK_CLEAN!$A$2:$A$1001,MATCH(MINIFS(BANK_CLEAN!$J$2:$J$1001,BANK_CLEAN!$H$2:$H$1001,G889,BANK_CLEAN!$L$2:$L$1001,""),BANK_CLEAN!$J$2:$J$1001,0)),""))</f>
        <v/>
      </c>
      <c r="I889" s="10">
        <f>IF(H889="","",INDEX(BANK_CLEAN!$B$2:$B$1001,H889))</f>
        <v/>
      </c>
      <c r="J889" s="14">
        <f>IF(H889="","",IF(F889="OUT",INDEX(BANK_CLEAN!$F$2:$F$1001,H889),INDEX(BANK_CLEAN!$E$2:$E$1001,H889)))</f>
        <v/>
      </c>
      <c r="K889" s="14">
        <f>IF(H889="","",ABS(E889-J889))</f>
        <v/>
      </c>
      <c r="L889" s="11">
        <f>IF(OR(H889="",B889="",I889=""),"",ABS(B889-I889))</f>
        <v/>
      </c>
      <c r="M889" s="15">
        <f>IF(H889="",0,LET(pct,IF(E889&gt;0,K889/E889,1),days,IFERROR(L889,999),100-pct*200-days*3))</f>
        <v/>
      </c>
      <c r="N889" s="11">
        <f>IF(A889="","",IF(H889="","Unmatched GL",IF(AND(K889&lt;=Tol_Amount,L889&lt;=Tol_Days),"Matched",IF(M889&gt;Tol_NearPct,"Near Match","Unmatched GL"))))</f>
        <v/>
      </c>
    </row>
    <row r="890">
      <c r="A890" s="13">
        <f>IF(GL_CLEAN!A890="","",GL_CLEAN!A890)</f>
        <v/>
      </c>
      <c r="B890" s="10">
        <f>IF(A890="","",GL_CLEAN!B890)</f>
        <v/>
      </c>
      <c r="C890" s="11">
        <f>IF(A890="","",GL_CLEAN!C890)</f>
        <v/>
      </c>
      <c r="D890" s="14">
        <f>IF(A890="","",GL_CLEAN!H890)</f>
        <v/>
      </c>
      <c r="E890" s="14">
        <f>IF(A890="","",GL_CLEAN!I890)</f>
        <v/>
      </c>
      <c r="F890" s="11">
        <f>IF(A890="","",GL_CLEAN!J890)</f>
        <v/>
      </c>
      <c r="G890" s="11">
        <f>IF(A890="","",IF(F890="OUT","DR","CR"))</f>
        <v/>
      </c>
      <c r="H890" s="11">
        <f>IF(A890="","",IFERROR(INDEX(BANK_CLEAN!$A$2:$A$1001,MATCH(MINIFS(BANK_CLEAN!$J$2:$J$1001,BANK_CLEAN!$H$2:$H$1001,G890,BANK_CLEAN!$L$2:$L$1001,""),BANK_CLEAN!$J$2:$J$1001,0)),""))</f>
        <v/>
      </c>
      <c r="I890" s="10">
        <f>IF(H890="","",INDEX(BANK_CLEAN!$B$2:$B$1001,H890))</f>
        <v/>
      </c>
      <c r="J890" s="14">
        <f>IF(H890="","",IF(F890="OUT",INDEX(BANK_CLEAN!$F$2:$F$1001,H890),INDEX(BANK_CLEAN!$E$2:$E$1001,H890)))</f>
        <v/>
      </c>
      <c r="K890" s="14">
        <f>IF(H890="","",ABS(E890-J890))</f>
        <v/>
      </c>
      <c r="L890" s="11">
        <f>IF(OR(H890="",B890="",I890=""),"",ABS(B890-I890))</f>
        <v/>
      </c>
      <c r="M890" s="15">
        <f>IF(H890="",0,LET(pct,IF(E890&gt;0,K890/E890,1),days,IFERROR(L890,999),100-pct*200-days*3))</f>
        <v/>
      </c>
      <c r="N890" s="11">
        <f>IF(A890="","",IF(H890="","Unmatched GL",IF(AND(K890&lt;=Tol_Amount,L890&lt;=Tol_Days),"Matched",IF(M890&gt;Tol_NearPct,"Near Match","Unmatched GL"))))</f>
        <v/>
      </c>
    </row>
    <row r="891">
      <c r="A891" s="13">
        <f>IF(GL_CLEAN!A891="","",GL_CLEAN!A891)</f>
        <v/>
      </c>
      <c r="B891" s="10">
        <f>IF(A891="","",GL_CLEAN!B891)</f>
        <v/>
      </c>
      <c r="C891" s="11">
        <f>IF(A891="","",GL_CLEAN!C891)</f>
        <v/>
      </c>
      <c r="D891" s="14">
        <f>IF(A891="","",GL_CLEAN!H891)</f>
        <v/>
      </c>
      <c r="E891" s="14">
        <f>IF(A891="","",GL_CLEAN!I891)</f>
        <v/>
      </c>
      <c r="F891" s="11">
        <f>IF(A891="","",GL_CLEAN!J891)</f>
        <v/>
      </c>
      <c r="G891" s="11">
        <f>IF(A891="","",IF(F891="OUT","DR","CR"))</f>
        <v/>
      </c>
      <c r="H891" s="11">
        <f>IF(A891="","",IFERROR(INDEX(BANK_CLEAN!$A$2:$A$1001,MATCH(MINIFS(BANK_CLEAN!$J$2:$J$1001,BANK_CLEAN!$H$2:$H$1001,G891,BANK_CLEAN!$L$2:$L$1001,""),BANK_CLEAN!$J$2:$J$1001,0)),""))</f>
        <v/>
      </c>
      <c r="I891" s="10">
        <f>IF(H891="","",INDEX(BANK_CLEAN!$B$2:$B$1001,H891))</f>
        <v/>
      </c>
      <c r="J891" s="14">
        <f>IF(H891="","",IF(F891="OUT",INDEX(BANK_CLEAN!$F$2:$F$1001,H891),INDEX(BANK_CLEAN!$E$2:$E$1001,H891)))</f>
        <v/>
      </c>
      <c r="K891" s="14">
        <f>IF(H891="","",ABS(E891-J891))</f>
        <v/>
      </c>
      <c r="L891" s="11">
        <f>IF(OR(H891="",B891="",I891=""),"",ABS(B891-I891))</f>
        <v/>
      </c>
      <c r="M891" s="15">
        <f>IF(H891="",0,LET(pct,IF(E891&gt;0,K891/E891,1),days,IFERROR(L891,999),100-pct*200-days*3))</f>
        <v/>
      </c>
      <c r="N891" s="11">
        <f>IF(A891="","",IF(H891="","Unmatched GL",IF(AND(K891&lt;=Tol_Amount,L891&lt;=Tol_Days),"Matched",IF(M891&gt;Tol_NearPct,"Near Match","Unmatched GL"))))</f>
        <v/>
      </c>
    </row>
    <row r="892">
      <c r="A892" s="13">
        <f>IF(GL_CLEAN!A892="","",GL_CLEAN!A892)</f>
        <v/>
      </c>
      <c r="B892" s="10">
        <f>IF(A892="","",GL_CLEAN!B892)</f>
        <v/>
      </c>
      <c r="C892" s="11">
        <f>IF(A892="","",GL_CLEAN!C892)</f>
        <v/>
      </c>
      <c r="D892" s="14">
        <f>IF(A892="","",GL_CLEAN!H892)</f>
        <v/>
      </c>
      <c r="E892" s="14">
        <f>IF(A892="","",GL_CLEAN!I892)</f>
        <v/>
      </c>
      <c r="F892" s="11">
        <f>IF(A892="","",GL_CLEAN!J892)</f>
        <v/>
      </c>
      <c r="G892" s="11">
        <f>IF(A892="","",IF(F892="OUT","DR","CR"))</f>
        <v/>
      </c>
      <c r="H892" s="11">
        <f>IF(A892="","",IFERROR(INDEX(BANK_CLEAN!$A$2:$A$1001,MATCH(MINIFS(BANK_CLEAN!$J$2:$J$1001,BANK_CLEAN!$H$2:$H$1001,G892,BANK_CLEAN!$L$2:$L$1001,""),BANK_CLEAN!$J$2:$J$1001,0)),""))</f>
        <v/>
      </c>
      <c r="I892" s="10">
        <f>IF(H892="","",INDEX(BANK_CLEAN!$B$2:$B$1001,H892))</f>
        <v/>
      </c>
      <c r="J892" s="14">
        <f>IF(H892="","",IF(F892="OUT",INDEX(BANK_CLEAN!$F$2:$F$1001,H892),INDEX(BANK_CLEAN!$E$2:$E$1001,H892)))</f>
        <v/>
      </c>
      <c r="K892" s="14">
        <f>IF(H892="","",ABS(E892-J892))</f>
        <v/>
      </c>
      <c r="L892" s="11">
        <f>IF(OR(H892="",B892="",I892=""),"",ABS(B892-I892))</f>
        <v/>
      </c>
      <c r="M892" s="15">
        <f>IF(H892="",0,LET(pct,IF(E892&gt;0,K892/E892,1),days,IFERROR(L892,999),100-pct*200-days*3))</f>
        <v/>
      </c>
      <c r="N892" s="11">
        <f>IF(A892="","",IF(H892="","Unmatched GL",IF(AND(K892&lt;=Tol_Amount,L892&lt;=Tol_Days),"Matched",IF(M892&gt;Tol_NearPct,"Near Match","Unmatched GL"))))</f>
        <v/>
      </c>
    </row>
    <row r="893">
      <c r="A893" s="13">
        <f>IF(GL_CLEAN!A893="","",GL_CLEAN!A893)</f>
        <v/>
      </c>
      <c r="B893" s="10">
        <f>IF(A893="","",GL_CLEAN!B893)</f>
        <v/>
      </c>
      <c r="C893" s="11">
        <f>IF(A893="","",GL_CLEAN!C893)</f>
        <v/>
      </c>
      <c r="D893" s="14">
        <f>IF(A893="","",GL_CLEAN!H893)</f>
        <v/>
      </c>
      <c r="E893" s="14">
        <f>IF(A893="","",GL_CLEAN!I893)</f>
        <v/>
      </c>
      <c r="F893" s="11">
        <f>IF(A893="","",GL_CLEAN!J893)</f>
        <v/>
      </c>
      <c r="G893" s="11">
        <f>IF(A893="","",IF(F893="OUT","DR","CR"))</f>
        <v/>
      </c>
      <c r="H893" s="11">
        <f>IF(A893="","",IFERROR(INDEX(BANK_CLEAN!$A$2:$A$1001,MATCH(MINIFS(BANK_CLEAN!$J$2:$J$1001,BANK_CLEAN!$H$2:$H$1001,G893,BANK_CLEAN!$L$2:$L$1001,""),BANK_CLEAN!$J$2:$J$1001,0)),""))</f>
        <v/>
      </c>
      <c r="I893" s="10">
        <f>IF(H893="","",INDEX(BANK_CLEAN!$B$2:$B$1001,H893))</f>
        <v/>
      </c>
      <c r="J893" s="14">
        <f>IF(H893="","",IF(F893="OUT",INDEX(BANK_CLEAN!$F$2:$F$1001,H893),INDEX(BANK_CLEAN!$E$2:$E$1001,H893)))</f>
        <v/>
      </c>
      <c r="K893" s="14">
        <f>IF(H893="","",ABS(E893-J893))</f>
        <v/>
      </c>
      <c r="L893" s="11">
        <f>IF(OR(H893="",B893="",I893=""),"",ABS(B893-I893))</f>
        <v/>
      </c>
      <c r="M893" s="15">
        <f>IF(H893="",0,LET(pct,IF(E893&gt;0,K893/E893,1),days,IFERROR(L893,999),100-pct*200-days*3))</f>
        <v/>
      </c>
      <c r="N893" s="11">
        <f>IF(A893="","",IF(H893="","Unmatched GL",IF(AND(K893&lt;=Tol_Amount,L893&lt;=Tol_Days),"Matched",IF(M893&gt;Tol_NearPct,"Near Match","Unmatched GL"))))</f>
        <v/>
      </c>
    </row>
    <row r="894">
      <c r="A894" s="13">
        <f>IF(GL_CLEAN!A894="","",GL_CLEAN!A894)</f>
        <v/>
      </c>
      <c r="B894" s="10">
        <f>IF(A894="","",GL_CLEAN!B894)</f>
        <v/>
      </c>
      <c r="C894" s="11">
        <f>IF(A894="","",GL_CLEAN!C894)</f>
        <v/>
      </c>
      <c r="D894" s="14">
        <f>IF(A894="","",GL_CLEAN!H894)</f>
        <v/>
      </c>
      <c r="E894" s="14">
        <f>IF(A894="","",GL_CLEAN!I894)</f>
        <v/>
      </c>
      <c r="F894" s="11">
        <f>IF(A894="","",GL_CLEAN!J894)</f>
        <v/>
      </c>
      <c r="G894" s="11">
        <f>IF(A894="","",IF(F894="OUT","DR","CR"))</f>
        <v/>
      </c>
      <c r="H894" s="11">
        <f>IF(A894="","",IFERROR(INDEX(BANK_CLEAN!$A$2:$A$1001,MATCH(MINIFS(BANK_CLEAN!$J$2:$J$1001,BANK_CLEAN!$H$2:$H$1001,G894,BANK_CLEAN!$L$2:$L$1001,""),BANK_CLEAN!$J$2:$J$1001,0)),""))</f>
        <v/>
      </c>
      <c r="I894" s="10">
        <f>IF(H894="","",INDEX(BANK_CLEAN!$B$2:$B$1001,H894))</f>
        <v/>
      </c>
      <c r="J894" s="14">
        <f>IF(H894="","",IF(F894="OUT",INDEX(BANK_CLEAN!$F$2:$F$1001,H894),INDEX(BANK_CLEAN!$E$2:$E$1001,H894)))</f>
        <v/>
      </c>
      <c r="K894" s="14">
        <f>IF(H894="","",ABS(E894-J894))</f>
        <v/>
      </c>
      <c r="L894" s="11">
        <f>IF(OR(H894="",B894="",I894=""),"",ABS(B894-I894))</f>
        <v/>
      </c>
      <c r="M894" s="15">
        <f>IF(H894="",0,LET(pct,IF(E894&gt;0,K894/E894,1),days,IFERROR(L894,999),100-pct*200-days*3))</f>
        <v/>
      </c>
      <c r="N894" s="11">
        <f>IF(A894="","",IF(H894="","Unmatched GL",IF(AND(K894&lt;=Tol_Amount,L894&lt;=Tol_Days),"Matched",IF(M894&gt;Tol_NearPct,"Near Match","Unmatched GL"))))</f>
        <v/>
      </c>
    </row>
    <row r="895">
      <c r="A895" s="13">
        <f>IF(GL_CLEAN!A895="","",GL_CLEAN!A895)</f>
        <v/>
      </c>
      <c r="B895" s="10">
        <f>IF(A895="","",GL_CLEAN!B895)</f>
        <v/>
      </c>
      <c r="C895" s="11">
        <f>IF(A895="","",GL_CLEAN!C895)</f>
        <v/>
      </c>
      <c r="D895" s="14">
        <f>IF(A895="","",GL_CLEAN!H895)</f>
        <v/>
      </c>
      <c r="E895" s="14">
        <f>IF(A895="","",GL_CLEAN!I895)</f>
        <v/>
      </c>
      <c r="F895" s="11">
        <f>IF(A895="","",GL_CLEAN!J895)</f>
        <v/>
      </c>
      <c r="G895" s="11">
        <f>IF(A895="","",IF(F895="OUT","DR","CR"))</f>
        <v/>
      </c>
      <c r="H895" s="11">
        <f>IF(A895="","",IFERROR(INDEX(BANK_CLEAN!$A$2:$A$1001,MATCH(MINIFS(BANK_CLEAN!$J$2:$J$1001,BANK_CLEAN!$H$2:$H$1001,G895,BANK_CLEAN!$L$2:$L$1001,""),BANK_CLEAN!$J$2:$J$1001,0)),""))</f>
        <v/>
      </c>
      <c r="I895" s="10">
        <f>IF(H895="","",INDEX(BANK_CLEAN!$B$2:$B$1001,H895))</f>
        <v/>
      </c>
      <c r="J895" s="14">
        <f>IF(H895="","",IF(F895="OUT",INDEX(BANK_CLEAN!$F$2:$F$1001,H895),INDEX(BANK_CLEAN!$E$2:$E$1001,H895)))</f>
        <v/>
      </c>
      <c r="K895" s="14">
        <f>IF(H895="","",ABS(E895-J895))</f>
        <v/>
      </c>
      <c r="L895" s="11">
        <f>IF(OR(H895="",B895="",I895=""),"",ABS(B895-I895))</f>
        <v/>
      </c>
      <c r="M895" s="15">
        <f>IF(H895="",0,LET(pct,IF(E895&gt;0,K895/E895,1),days,IFERROR(L895,999),100-pct*200-days*3))</f>
        <v/>
      </c>
      <c r="N895" s="11">
        <f>IF(A895="","",IF(H895="","Unmatched GL",IF(AND(K895&lt;=Tol_Amount,L895&lt;=Tol_Days),"Matched",IF(M895&gt;Tol_NearPct,"Near Match","Unmatched GL"))))</f>
        <v/>
      </c>
    </row>
    <row r="896">
      <c r="A896" s="13">
        <f>IF(GL_CLEAN!A896="","",GL_CLEAN!A896)</f>
        <v/>
      </c>
      <c r="B896" s="10">
        <f>IF(A896="","",GL_CLEAN!B896)</f>
        <v/>
      </c>
      <c r="C896" s="11">
        <f>IF(A896="","",GL_CLEAN!C896)</f>
        <v/>
      </c>
      <c r="D896" s="14">
        <f>IF(A896="","",GL_CLEAN!H896)</f>
        <v/>
      </c>
      <c r="E896" s="14">
        <f>IF(A896="","",GL_CLEAN!I896)</f>
        <v/>
      </c>
      <c r="F896" s="11">
        <f>IF(A896="","",GL_CLEAN!J896)</f>
        <v/>
      </c>
      <c r="G896" s="11">
        <f>IF(A896="","",IF(F896="OUT","DR","CR"))</f>
        <v/>
      </c>
      <c r="H896" s="11">
        <f>IF(A896="","",IFERROR(INDEX(BANK_CLEAN!$A$2:$A$1001,MATCH(MINIFS(BANK_CLEAN!$J$2:$J$1001,BANK_CLEAN!$H$2:$H$1001,G896,BANK_CLEAN!$L$2:$L$1001,""),BANK_CLEAN!$J$2:$J$1001,0)),""))</f>
        <v/>
      </c>
      <c r="I896" s="10">
        <f>IF(H896="","",INDEX(BANK_CLEAN!$B$2:$B$1001,H896))</f>
        <v/>
      </c>
      <c r="J896" s="14">
        <f>IF(H896="","",IF(F896="OUT",INDEX(BANK_CLEAN!$F$2:$F$1001,H896),INDEX(BANK_CLEAN!$E$2:$E$1001,H896)))</f>
        <v/>
      </c>
      <c r="K896" s="14">
        <f>IF(H896="","",ABS(E896-J896))</f>
        <v/>
      </c>
      <c r="L896" s="11">
        <f>IF(OR(H896="",B896="",I896=""),"",ABS(B896-I896))</f>
        <v/>
      </c>
      <c r="M896" s="15">
        <f>IF(H896="",0,LET(pct,IF(E896&gt;0,K896/E896,1),days,IFERROR(L896,999),100-pct*200-days*3))</f>
        <v/>
      </c>
      <c r="N896" s="11">
        <f>IF(A896="","",IF(H896="","Unmatched GL",IF(AND(K896&lt;=Tol_Amount,L896&lt;=Tol_Days),"Matched",IF(M896&gt;Tol_NearPct,"Near Match","Unmatched GL"))))</f>
        <v/>
      </c>
    </row>
    <row r="897">
      <c r="A897" s="13">
        <f>IF(GL_CLEAN!A897="","",GL_CLEAN!A897)</f>
        <v/>
      </c>
      <c r="B897" s="10">
        <f>IF(A897="","",GL_CLEAN!B897)</f>
        <v/>
      </c>
      <c r="C897" s="11">
        <f>IF(A897="","",GL_CLEAN!C897)</f>
        <v/>
      </c>
      <c r="D897" s="14">
        <f>IF(A897="","",GL_CLEAN!H897)</f>
        <v/>
      </c>
      <c r="E897" s="14">
        <f>IF(A897="","",GL_CLEAN!I897)</f>
        <v/>
      </c>
      <c r="F897" s="11">
        <f>IF(A897="","",GL_CLEAN!J897)</f>
        <v/>
      </c>
      <c r="G897" s="11">
        <f>IF(A897="","",IF(F897="OUT","DR","CR"))</f>
        <v/>
      </c>
      <c r="H897" s="11">
        <f>IF(A897="","",IFERROR(INDEX(BANK_CLEAN!$A$2:$A$1001,MATCH(MINIFS(BANK_CLEAN!$J$2:$J$1001,BANK_CLEAN!$H$2:$H$1001,G897,BANK_CLEAN!$L$2:$L$1001,""),BANK_CLEAN!$J$2:$J$1001,0)),""))</f>
        <v/>
      </c>
      <c r="I897" s="10">
        <f>IF(H897="","",INDEX(BANK_CLEAN!$B$2:$B$1001,H897))</f>
        <v/>
      </c>
      <c r="J897" s="14">
        <f>IF(H897="","",IF(F897="OUT",INDEX(BANK_CLEAN!$F$2:$F$1001,H897),INDEX(BANK_CLEAN!$E$2:$E$1001,H897)))</f>
        <v/>
      </c>
      <c r="K897" s="14">
        <f>IF(H897="","",ABS(E897-J897))</f>
        <v/>
      </c>
      <c r="L897" s="11">
        <f>IF(OR(H897="",B897="",I897=""),"",ABS(B897-I897))</f>
        <v/>
      </c>
      <c r="M897" s="15">
        <f>IF(H897="",0,LET(pct,IF(E897&gt;0,K897/E897,1),days,IFERROR(L897,999),100-pct*200-days*3))</f>
        <v/>
      </c>
      <c r="N897" s="11">
        <f>IF(A897="","",IF(H897="","Unmatched GL",IF(AND(K897&lt;=Tol_Amount,L897&lt;=Tol_Days),"Matched",IF(M897&gt;Tol_NearPct,"Near Match","Unmatched GL"))))</f>
        <v/>
      </c>
    </row>
    <row r="898">
      <c r="A898" s="13">
        <f>IF(GL_CLEAN!A898="","",GL_CLEAN!A898)</f>
        <v/>
      </c>
      <c r="B898" s="10">
        <f>IF(A898="","",GL_CLEAN!B898)</f>
        <v/>
      </c>
      <c r="C898" s="11">
        <f>IF(A898="","",GL_CLEAN!C898)</f>
        <v/>
      </c>
      <c r="D898" s="14">
        <f>IF(A898="","",GL_CLEAN!H898)</f>
        <v/>
      </c>
      <c r="E898" s="14">
        <f>IF(A898="","",GL_CLEAN!I898)</f>
        <v/>
      </c>
      <c r="F898" s="11">
        <f>IF(A898="","",GL_CLEAN!J898)</f>
        <v/>
      </c>
      <c r="G898" s="11">
        <f>IF(A898="","",IF(F898="OUT","DR","CR"))</f>
        <v/>
      </c>
      <c r="H898" s="11">
        <f>IF(A898="","",IFERROR(INDEX(BANK_CLEAN!$A$2:$A$1001,MATCH(MINIFS(BANK_CLEAN!$J$2:$J$1001,BANK_CLEAN!$H$2:$H$1001,G898,BANK_CLEAN!$L$2:$L$1001,""),BANK_CLEAN!$J$2:$J$1001,0)),""))</f>
        <v/>
      </c>
      <c r="I898" s="10">
        <f>IF(H898="","",INDEX(BANK_CLEAN!$B$2:$B$1001,H898))</f>
        <v/>
      </c>
      <c r="J898" s="14">
        <f>IF(H898="","",IF(F898="OUT",INDEX(BANK_CLEAN!$F$2:$F$1001,H898),INDEX(BANK_CLEAN!$E$2:$E$1001,H898)))</f>
        <v/>
      </c>
      <c r="K898" s="14">
        <f>IF(H898="","",ABS(E898-J898))</f>
        <v/>
      </c>
      <c r="L898" s="11">
        <f>IF(OR(H898="",B898="",I898=""),"",ABS(B898-I898))</f>
        <v/>
      </c>
      <c r="M898" s="15">
        <f>IF(H898="",0,LET(pct,IF(E898&gt;0,K898/E898,1),days,IFERROR(L898,999),100-pct*200-days*3))</f>
        <v/>
      </c>
      <c r="N898" s="11">
        <f>IF(A898="","",IF(H898="","Unmatched GL",IF(AND(K898&lt;=Tol_Amount,L898&lt;=Tol_Days),"Matched",IF(M898&gt;Tol_NearPct,"Near Match","Unmatched GL"))))</f>
        <v/>
      </c>
    </row>
    <row r="899">
      <c r="A899" s="13">
        <f>IF(GL_CLEAN!A899="","",GL_CLEAN!A899)</f>
        <v/>
      </c>
      <c r="B899" s="10">
        <f>IF(A899="","",GL_CLEAN!B899)</f>
        <v/>
      </c>
      <c r="C899" s="11">
        <f>IF(A899="","",GL_CLEAN!C899)</f>
        <v/>
      </c>
      <c r="D899" s="14">
        <f>IF(A899="","",GL_CLEAN!H899)</f>
        <v/>
      </c>
      <c r="E899" s="14">
        <f>IF(A899="","",GL_CLEAN!I899)</f>
        <v/>
      </c>
      <c r="F899" s="11">
        <f>IF(A899="","",GL_CLEAN!J899)</f>
        <v/>
      </c>
      <c r="G899" s="11">
        <f>IF(A899="","",IF(F899="OUT","DR","CR"))</f>
        <v/>
      </c>
      <c r="H899" s="11">
        <f>IF(A899="","",IFERROR(INDEX(BANK_CLEAN!$A$2:$A$1001,MATCH(MINIFS(BANK_CLEAN!$J$2:$J$1001,BANK_CLEAN!$H$2:$H$1001,G899,BANK_CLEAN!$L$2:$L$1001,""),BANK_CLEAN!$J$2:$J$1001,0)),""))</f>
        <v/>
      </c>
      <c r="I899" s="10">
        <f>IF(H899="","",INDEX(BANK_CLEAN!$B$2:$B$1001,H899))</f>
        <v/>
      </c>
      <c r="J899" s="14">
        <f>IF(H899="","",IF(F899="OUT",INDEX(BANK_CLEAN!$F$2:$F$1001,H899),INDEX(BANK_CLEAN!$E$2:$E$1001,H899)))</f>
        <v/>
      </c>
      <c r="K899" s="14">
        <f>IF(H899="","",ABS(E899-J899))</f>
        <v/>
      </c>
      <c r="L899" s="11">
        <f>IF(OR(H899="",B899="",I899=""),"",ABS(B899-I899))</f>
        <v/>
      </c>
      <c r="M899" s="15">
        <f>IF(H899="",0,LET(pct,IF(E899&gt;0,K899/E899,1),days,IFERROR(L899,999),100-pct*200-days*3))</f>
        <v/>
      </c>
      <c r="N899" s="11">
        <f>IF(A899="","",IF(H899="","Unmatched GL",IF(AND(K899&lt;=Tol_Amount,L899&lt;=Tol_Days),"Matched",IF(M899&gt;Tol_NearPct,"Near Match","Unmatched GL"))))</f>
        <v/>
      </c>
    </row>
    <row r="900">
      <c r="A900" s="13">
        <f>IF(GL_CLEAN!A900="","",GL_CLEAN!A900)</f>
        <v/>
      </c>
      <c r="B900" s="10">
        <f>IF(A900="","",GL_CLEAN!B900)</f>
        <v/>
      </c>
      <c r="C900" s="11">
        <f>IF(A900="","",GL_CLEAN!C900)</f>
        <v/>
      </c>
      <c r="D900" s="14">
        <f>IF(A900="","",GL_CLEAN!H900)</f>
        <v/>
      </c>
      <c r="E900" s="14">
        <f>IF(A900="","",GL_CLEAN!I900)</f>
        <v/>
      </c>
      <c r="F900" s="11">
        <f>IF(A900="","",GL_CLEAN!J900)</f>
        <v/>
      </c>
      <c r="G900" s="11">
        <f>IF(A900="","",IF(F900="OUT","DR","CR"))</f>
        <v/>
      </c>
      <c r="H900" s="11">
        <f>IF(A900="","",IFERROR(INDEX(BANK_CLEAN!$A$2:$A$1001,MATCH(MINIFS(BANK_CLEAN!$J$2:$J$1001,BANK_CLEAN!$H$2:$H$1001,G900,BANK_CLEAN!$L$2:$L$1001,""),BANK_CLEAN!$J$2:$J$1001,0)),""))</f>
        <v/>
      </c>
      <c r="I900" s="10">
        <f>IF(H900="","",INDEX(BANK_CLEAN!$B$2:$B$1001,H900))</f>
        <v/>
      </c>
      <c r="J900" s="14">
        <f>IF(H900="","",IF(F900="OUT",INDEX(BANK_CLEAN!$F$2:$F$1001,H900),INDEX(BANK_CLEAN!$E$2:$E$1001,H900)))</f>
        <v/>
      </c>
      <c r="K900" s="14">
        <f>IF(H900="","",ABS(E900-J900))</f>
        <v/>
      </c>
      <c r="L900" s="11">
        <f>IF(OR(H900="",B900="",I900=""),"",ABS(B900-I900))</f>
        <v/>
      </c>
      <c r="M900" s="15">
        <f>IF(H900="",0,LET(pct,IF(E900&gt;0,K900/E900,1),days,IFERROR(L900,999),100-pct*200-days*3))</f>
        <v/>
      </c>
      <c r="N900" s="11">
        <f>IF(A900="","",IF(H900="","Unmatched GL",IF(AND(K900&lt;=Tol_Amount,L900&lt;=Tol_Days),"Matched",IF(M900&gt;Tol_NearPct,"Near Match","Unmatched GL"))))</f>
        <v/>
      </c>
    </row>
    <row r="901">
      <c r="A901" s="13">
        <f>IF(GL_CLEAN!A901="","",GL_CLEAN!A901)</f>
        <v/>
      </c>
      <c r="B901" s="10">
        <f>IF(A901="","",GL_CLEAN!B901)</f>
        <v/>
      </c>
      <c r="C901" s="11">
        <f>IF(A901="","",GL_CLEAN!C901)</f>
        <v/>
      </c>
      <c r="D901" s="14">
        <f>IF(A901="","",GL_CLEAN!H901)</f>
        <v/>
      </c>
      <c r="E901" s="14">
        <f>IF(A901="","",GL_CLEAN!I901)</f>
        <v/>
      </c>
      <c r="F901" s="11">
        <f>IF(A901="","",GL_CLEAN!J901)</f>
        <v/>
      </c>
      <c r="G901" s="11">
        <f>IF(A901="","",IF(F901="OUT","DR","CR"))</f>
        <v/>
      </c>
      <c r="H901" s="11">
        <f>IF(A901="","",IFERROR(INDEX(BANK_CLEAN!$A$2:$A$1001,MATCH(MINIFS(BANK_CLEAN!$J$2:$J$1001,BANK_CLEAN!$H$2:$H$1001,G901,BANK_CLEAN!$L$2:$L$1001,""),BANK_CLEAN!$J$2:$J$1001,0)),""))</f>
        <v/>
      </c>
      <c r="I901" s="10">
        <f>IF(H901="","",INDEX(BANK_CLEAN!$B$2:$B$1001,H901))</f>
        <v/>
      </c>
      <c r="J901" s="14">
        <f>IF(H901="","",IF(F901="OUT",INDEX(BANK_CLEAN!$F$2:$F$1001,H901),INDEX(BANK_CLEAN!$E$2:$E$1001,H901)))</f>
        <v/>
      </c>
      <c r="K901" s="14">
        <f>IF(H901="","",ABS(E901-J901))</f>
        <v/>
      </c>
      <c r="L901" s="11">
        <f>IF(OR(H901="",B901="",I901=""),"",ABS(B901-I901))</f>
        <v/>
      </c>
      <c r="M901" s="15">
        <f>IF(H901="",0,LET(pct,IF(E901&gt;0,K901/E901,1),days,IFERROR(L901,999),100-pct*200-days*3))</f>
        <v/>
      </c>
      <c r="N901" s="11">
        <f>IF(A901="","",IF(H901="","Unmatched GL",IF(AND(K901&lt;=Tol_Amount,L901&lt;=Tol_Days),"Matched",IF(M901&gt;Tol_NearPct,"Near Match","Unmatched GL"))))</f>
        <v/>
      </c>
    </row>
    <row r="902">
      <c r="A902" s="13">
        <f>IF(GL_CLEAN!A902="","",GL_CLEAN!A902)</f>
        <v/>
      </c>
      <c r="B902" s="10">
        <f>IF(A902="","",GL_CLEAN!B902)</f>
        <v/>
      </c>
      <c r="C902" s="11">
        <f>IF(A902="","",GL_CLEAN!C902)</f>
        <v/>
      </c>
      <c r="D902" s="14">
        <f>IF(A902="","",GL_CLEAN!H902)</f>
        <v/>
      </c>
      <c r="E902" s="14">
        <f>IF(A902="","",GL_CLEAN!I902)</f>
        <v/>
      </c>
      <c r="F902" s="11">
        <f>IF(A902="","",GL_CLEAN!J902)</f>
        <v/>
      </c>
      <c r="G902" s="11">
        <f>IF(A902="","",IF(F902="OUT","DR","CR"))</f>
        <v/>
      </c>
      <c r="H902" s="11">
        <f>IF(A902="","",IFERROR(INDEX(BANK_CLEAN!$A$2:$A$1001,MATCH(MINIFS(BANK_CLEAN!$J$2:$J$1001,BANK_CLEAN!$H$2:$H$1001,G902,BANK_CLEAN!$L$2:$L$1001,""),BANK_CLEAN!$J$2:$J$1001,0)),""))</f>
        <v/>
      </c>
      <c r="I902" s="10">
        <f>IF(H902="","",INDEX(BANK_CLEAN!$B$2:$B$1001,H902))</f>
        <v/>
      </c>
      <c r="J902" s="14">
        <f>IF(H902="","",IF(F902="OUT",INDEX(BANK_CLEAN!$F$2:$F$1001,H902),INDEX(BANK_CLEAN!$E$2:$E$1001,H902)))</f>
        <v/>
      </c>
      <c r="K902" s="14">
        <f>IF(H902="","",ABS(E902-J902))</f>
        <v/>
      </c>
      <c r="L902" s="11">
        <f>IF(OR(H902="",B902="",I902=""),"",ABS(B902-I902))</f>
        <v/>
      </c>
      <c r="M902" s="15">
        <f>IF(H902="",0,LET(pct,IF(E902&gt;0,K902/E902,1),days,IFERROR(L902,999),100-pct*200-days*3))</f>
        <v/>
      </c>
      <c r="N902" s="11">
        <f>IF(A902="","",IF(H902="","Unmatched GL",IF(AND(K902&lt;=Tol_Amount,L902&lt;=Tol_Days),"Matched",IF(M902&gt;Tol_NearPct,"Near Match","Unmatched GL"))))</f>
        <v/>
      </c>
    </row>
    <row r="903">
      <c r="A903" s="13">
        <f>IF(GL_CLEAN!A903="","",GL_CLEAN!A903)</f>
        <v/>
      </c>
      <c r="B903" s="10">
        <f>IF(A903="","",GL_CLEAN!B903)</f>
        <v/>
      </c>
      <c r="C903" s="11">
        <f>IF(A903="","",GL_CLEAN!C903)</f>
        <v/>
      </c>
      <c r="D903" s="14">
        <f>IF(A903="","",GL_CLEAN!H903)</f>
        <v/>
      </c>
      <c r="E903" s="14">
        <f>IF(A903="","",GL_CLEAN!I903)</f>
        <v/>
      </c>
      <c r="F903" s="11">
        <f>IF(A903="","",GL_CLEAN!J903)</f>
        <v/>
      </c>
      <c r="G903" s="11">
        <f>IF(A903="","",IF(F903="OUT","DR","CR"))</f>
        <v/>
      </c>
      <c r="H903" s="11">
        <f>IF(A903="","",IFERROR(INDEX(BANK_CLEAN!$A$2:$A$1001,MATCH(MINIFS(BANK_CLEAN!$J$2:$J$1001,BANK_CLEAN!$H$2:$H$1001,G903,BANK_CLEAN!$L$2:$L$1001,""),BANK_CLEAN!$J$2:$J$1001,0)),""))</f>
        <v/>
      </c>
      <c r="I903" s="10">
        <f>IF(H903="","",INDEX(BANK_CLEAN!$B$2:$B$1001,H903))</f>
        <v/>
      </c>
      <c r="J903" s="14">
        <f>IF(H903="","",IF(F903="OUT",INDEX(BANK_CLEAN!$F$2:$F$1001,H903),INDEX(BANK_CLEAN!$E$2:$E$1001,H903)))</f>
        <v/>
      </c>
      <c r="K903" s="14">
        <f>IF(H903="","",ABS(E903-J903))</f>
        <v/>
      </c>
      <c r="L903" s="11">
        <f>IF(OR(H903="",B903="",I903=""),"",ABS(B903-I903))</f>
        <v/>
      </c>
      <c r="M903" s="15">
        <f>IF(H903="",0,LET(pct,IF(E903&gt;0,K903/E903,1),days,IFERROR(L903,999),100-pct*200-days*3))</f>
        <v/>
      </c>
      <c r="N903" s="11">
        <f>IF(A903="","",IF(H903="","Unmatched GL",IF(AND(K903&lt;=Tol_Amount,L903&lt;=Tol_Days),"Matched",IF(M903&gt;Tol_NearPct,"Near Match","Unmatched GL"))))</f>
        <v/>
      </c>
    </row>
    <row r="904">
      <c r="A904" s="13">
        <f>IF(GL_CLEAN!A904="","",GL_CLEAN!A904)</f>
        <v/>
      </c>
      <c r="B904" s="10">
        <f>IF(A904="","",GL_CLEAN!B904)</f>
        <v/>
      </c>
      <c r="C904" s="11">
        <f>IF(A904="","",GL_CLEAN!C904)</f>
        <v/>
      </c>
      <c r="D904" s="14">
        <f>IF(A904="","",GL_CLEAN!H904)</f>
        <v/>
      </c>
      <c r="E904" s="14">
        <f>IF(A904="","",GL_CLEAN!I904)</f>
        <v/>
      </c>
      <c r="F904" s="11">
        <f>IF(A904="","",GL_CLEAN!J904)</f>
        <v/>
      </c>
      <c r="G904" s="11">
        <f>IF(A904="","",IF(F904="OUT","DR","CR"))</f>
        <v/>
      </c>
      <c r="H904" s="11">
        <f>IF(A904="","",IFERROR(INDEX(BANK_CLEAN!$A$2:$A$1001,MATCH(MINIFS(BANK_CLEAN!$J$2:$J$1001,BANK_CLEAN!$H$2:$H$1001,G904,BANK_CLEAN!$L$2:$L$1001,""),BANK_CLEAN!$J$2:$J$1001,0)),""))</f>
        <v/>
      </c>
      <c r="I904" s="10">
        <f>IF(H904="","",INDEX(BANK_CLEAN!$B$2:$B$1001,H904))</f>
        <v/>
      </c>
      <c r="J904" s="14">
        <f>IF(H904="","",IF(F904="OUT",INDEX(BANK_CLEAN!$F$2:$F$1001,H904),INDEX(BANK_CLEAN!$E$2:$E$1001,H904)))</f>
        <v/>
      </c>
      <c r="K904" s="14">
        <f>IF(H904="","",ABS(E904-J904))</f>
        <v/>
      </c>
      <c r="L904" s="11">
        <f>IF(OR(H904="",B904="",I904=""),"",ABS(B904-I904))</f>
        <v/>
      </c>
      <c r="M904" s="15">
        <f>IF(H904="",0,LET(pct,IF(E904&gt;0,K904/E904,1),days,IFERROR(L904,999),100-pct*200-days*3))</f>
        <v/>
      </c>
      <c r="N904" s="11">
        <f>IF(A904="","",IF(H904="","Unmatched GL",IF(AND(K904&lt;=Tol_Amount,L904&lt;=Tol_Days),"Matched",IF(M904&gt;Tol_NearPct,"Near Match","Unmatched GL"))))</f>
        <v/>
      </c>
    </row>
    <row r="905">
      <c r="A905" s="13">
        <f>IF(GL_CLEAN!A905="","",GL_CLEAN!A905)</f>
        <v/>
      </c>
      <c r="B905" s="10">
        <f>IF(A905="","",GL_CLEAN!B905)</f>
        <v/>
      </c>
      <c r="C905" s="11">
        <f>IF(A905="","",GL_CLEAN!C905)</f>
        <v/>
      </c>
      <c r="D905" s="14">
        <f>IF(A905="","",GL_CLEAN!H905)</f>
        <v/>
      </c>
      <c r="E905" s="14">
        <f>IF(A905="","",GL_CLEAN!I905)</f>
        <v/>
      </c>
      <c r="F905" s="11">
        <f>IF(A905="","",GL_CLEAN!J905)</f>
        <v/>
      </c>
      <c r="G905" s="11">
        <f>IF(A905="","",IF(F905="OUT","DR","CR"))</f>
        <v/>
      </c>
      <c r="H905" s="11">
        <f>IF(A905="","",IFERROR(INDEX(BANK_CLEAN!$A$2:$A$1001,MATCH(MINIFS(BANK_CLEAN!$J$2:$J$1001,BANK_CLEAN!$H$2:$H$1001,G905,BANK_CLEAN!$L$2:$L$1001,""),BANK_CLEAN!$J$2:$J$1001,0)),""))</f>
        <v/>
      </c>
      <c r="I905" s="10">
        <f>IF(H905="","",INDEX(BANK_CLEAN!$B$2:$B$1001,H905))</f>
        <v/>
      </c>
      <c r="J905" s="14">
        <f>IF(H905="","",IF(F905="OUT",INDEX(BANK_CLEAN!$F$2:$F$1001,H905),INDEX(BANK_CLEAN!$E$2:$E$1001,H905)))</f>
        <v/>
      </c>
      <c r="K905" s="14">
        <f>IF(H905="","",ABS(E905-J905))</f>
        <v/>
      </c>
      <c r="L905" s="11">
        <f>IF(OR(H905="",B905="",I905=""),"",ABS(B905-I905))</f>
        <v/>
      </c>
      <c r="M905" s="15">
        <f>IF(H905="",0,LET(pct,IF(E905&gt;0,K905/E905,1),days,IFERROR(L905,999),100-pct*200-days*3))</f>
        <v/>
      </c>
      <c r="N905" s="11">
        <f>IF(A905="","",IF(H905="","Unmatched GL",IF(AND(K905&lt;=Tol_Amount,L905&lt;=Tol_Days),"Matched",IF(M905&gt;Tol_NearPct,"Near Match","Unmatched GL"))))</f>
        <v/>
      </c>
    </row>
    <row r="906">
      <c r="A906" s="13">
        <f>IF(GL_CLEAN!A906="","",GL_CLEAN!A906)</f>
        <v/>
      </c>
      <c r="B906" s="10">
        <f>IF(A906="","",GL_CLEAN!B906)</f>
        <v/>
      </c>
      <c r="C906" s="11">
        <f>IF(A906="","",GL_CLEAN!C906)</f>
        <v/>
      </c>
      <c r="D906" s="14">
        <f>IF(A906="","",GL_CLEAN!H906)</f>
        <v/>
      </c>
      <c r="E906" s="14">
        <f>IF(A906="","",GL_CLEAN!I906)</f>
        <v/>
      </c>
      <c r="F906" s="11">
        <f>IF(A906="","",GL_CLEAN!J906)</f>
        <v/>
      </c>
      <c r="G906" s="11">
        <f>IF(A906="","",IF(F906="OUT","DR","CR"))</f>
        <v/>
      </c>
      <c r="H906" s="11">
        <f>IF(A906="","",IFERROR(INDEX(BANK_CLEAN!$A$2:$A$1001,MATCH(MINIFS(BANK_CLEAN!$J$2:$J$1001,BANK_CLEAN!$H$2:$H$1001,G906,BANK_CLEAN!$L$2:$L$1001,""),BANK_CLEAN!$J$2:$J$1001,0)),""))</f>
        <v/>
      </c>
      <c r="I906" s="10">
        <f>IF(H906="","",INDEX(BANK_CLEAN!$B$2:$B$1001,H906))</f>
        <v/>
      </c>
      <c r="J906" s="14">
        <f>IF(H906="","",IF(F906="OUT",INDEX(BANK_CLEAN!$F$2:$F$1001,H906),INDEX(BANK_CLEAN!$E$2:$E$1001,H906)))</f>
        <v/>
      </c>
      <c r="K906" s="14">
        <f>IF(H906="","",ABS(E906-J906))</f>
        <v/>
      </c>
      <c r="L906" s="11">
        <f>IF(OR(H906="",B906="",I906=""),"",ABS(B906-I906))</f>
        <v/>
      </c>
      <c r="M906" s="15">
        <f>IF(H906="",0,LET(pct,IF(E906&gt;0,K906/E906,1),days,IFERROR(L906,999),100-pct*200-days*3))</f>
        <v/>
      </c>
      <c r="N906" s="11">
        <f>IF(A906="","",IF(H906="","Unmatched GL",IF(AND(K906&lt;=Tol_Amount,L906&lt;=Tol_Days),"Matched",IF(M906&gt;Tol_NearPct,"Near Match","Unmatched GL"))))</f>
        <v/>
      </c>
    </row>
    <row r="907">
      <c r="A907" s="13">
        <f>IF(GL_CLEAN!A907="","",GL_CLEAN!A907)</f>
        <v/>
      </c>
      <c r="B907" s="10">
        <f>IF(A907="","",GL_CLEAN!B907)</f>
        <v/>
      </c>
      <c r="C907" s="11">
        <f>IF(A907="","",GL_CLEAN!C907)</f>
        <v/>
      </c>
      <c r="D907" s="14">
        <f>IF(A907="","",GL_CLEAN!H907)</f>
        <v/>
      </c>
      <c r="E907" s="14">
        <f>IF(A907="","",GL_CLEAN!I907)</f>
        <v/>
      </c>
      <c r="F907" s="11">
        <f>IF(A907="","",GL_CLEAN!J907)</f>
        <v/>
      </c>
      <c r="G907" s="11">
        <f>IF(A907="","",IF(F907="OUT","DR","CR"))</f>
        <v/>
      </c>
      <c r="H907" s="11">
        <f>IF(A907="","",IFERROR(INDEX(BANK_CLEAN!$A$2:$A$1001,MATCH(MINIFS(BANK_CLEAN!$J$2:$J$1001,BANK_CLEAN!$H$2:$H$1001,G907,BANK_CLEAN!$L$2:$L$1001,""),BANK_CLEAN!$J$2:$J$1001,0)),""))</f>
        <v/>
      </c>
      <c r="I907" s="10">
        <f>IF(H907="","",INDEX(BANK_CLEAN!$B$2:$B$1001,H907))</f>
        <v/>
      </c>
      <c r="J907" s="14">
        <f>IF(H907="","",IF(F907="OUT",INDEX(BANK_CLEAN!$F$2:$F$1001,H907),INDEX(BANK_CLEAN!$E$2:$E$1001,H907)))</f>
        <v/>
      </c>
      <c r="K907" s="14">
        <f>IF(H907="","",ABS(E907-J907))</f>
        <v/>
      </c>
      <c r="L907" s="11">
        <f>IF(OR(H907="",B907="",I907=""),"",ABS(B907-I907))</f>
        <v/>
      </c>
      <c r="M907" s="15">
        <f>IF(H907="",0,LET(pct,IF(E907&gt;0,K907/E907,1),days,IFERROR(L907,999),100-pct*200-days*3))</f>
        <v/>
      </c>
      <c r="N907" s="11">
        <f>IF(A907="","",IF(H907="","Unmatched GL",IF(AND(K907&lt;=Tol_Amount,L907&lt;=Tol_Days),"Matched",IF(M907&gt;Tol_NearPct,"Near Match","Unmatched GL"))))</f>
        <v/>
      </c>
    </row>
    <row r="908">
      <c r="A908" s="13">
        <f>IF(GL_CLEAN!A908="","",GL_CLEAN!A908)</f>
        <v/>
      </c>
      <c r="B908" s="10">
        <f>IF(A908="","",GL_CLEAN!B908)</f>
        <v/>
      </c>
      <c r="C908" s="11">
        <f>IF(A908="","",GL_CLEAN!C908)</f>
        <v/>
      </c>
      <c r="D908" s="14">
        <f>IF(A908="","",GL_CLEAN!H908)</f>
        <v/>
      </c>
      <c r="E908" s="14">
        <f>IF(A908="","",GL_CLEAN!I908)</f>
        <v/>
      </c>
      <c r="F908" s="11">
        <f>IF(A908="","",GL_CLEAN!J908)</f>
        <v/>
      </c>
      <c r="G908" s="11">
        <f>IF(A908="","",IF(F908="OUT","DR","CR"))</f>
        <v/>
      </c>
      <c r="H908" s="11">
        <f>IF(A908="","",IFERROR(INDEX(BANK_CLEAN!$A$2:$A$1001,MATCH(MINIFS(BANK_CLEAN!$J$2:$J$1001,BANK_CLEAN!$H$2:$H$1001,G908,BANK_CLEAN!$L$2:$L$1001,""),BANK_CLEAN!$J$2:$J$1001,0)),""))</f>
        <v/>
      </c>
      <c r="I908" s="10">
        <f>IF(H908="","",INDEX(BANK_CLEAN!$B$2:$B$1001,H908))</f>
        <v/>
      </c>
      <c r="J908" s="14">
        <f>IF(H908="","",IF(F908="OUT",INDEX(BANK_CLEAN!$F$2:$F$1001,H908),INDEX(BANK_CLEAN!$E$2:$E$1001,H908)))</f>
        <v/>
      </c>
      <c r="K908" s="14">
        <f>IF(H908="","",ABS(E908-J908))</f>
        <v/>
      </c>
      <c r="L908" s="11">
        <f>IF(OR(H908="",B908="",I908=""),"",ABS(B908-I908))</f>
        <v/>
      </c>
      <c r="M908" s="15">
        <f>IF(H908="",0,LET(pct,IF(E908&gt;0,K908/E908,1),days,IFERROR(L908,999),100-pct*200-days*3))</f>
        <v/>
      </c>
      <c r="N908" s="11">
        <f>IF(A908="","",IF(H908="","Unmatched GL",IF(AND(K908&lt;=Tol_Amount,L908&lt;=Tol_Days),"Matched",IF(M908&gt;Tol_NearPct,"Near Match","Unmatched GL"))))</f>
        <v/>
      </c>
    </row>
    <row r="909">
      <c r="A909" s="13">
        <f>IF(GL_CLEAN!A909="","",GL_CLEAN!A909)</f>
        <v/>
      </c>
      <c r="B909" s="10">
        <f>IF(A909="","",GL_CLEAN!B909)</f>
        <v/>
      </c>
      <c r="C909" s="11">
        <f>IF(A909="","",GL_CLEAN!C909)</f>
        <v/>
      </c>
      <c r="D909" s="14">
        <f>IF(A909="","",GL_CLEAN!H909)</f>
        <v/>
      </c>
      <c r="E909" s="14">
        <f>IF(A909="","",GL_CLEAN!I909)</f>
        <v/>
      </c>
      <c r="F909" s="11">
        <f>IF(A909="","",GL_CLEAN!J909)</f>
        <v/>
      </c>
      <c r="G909" s="11">
        <f>IF(A909="","",IF(F909="OUT","DR","CR"))</f>
        <v/>
      </c>
      <c r="H909" s="11">
        <f>IF(A909="","",IFERROR(INDEX(BANK_CLEAN!$A$2:$A$1001,MATCH(MINIFS(BANK_CLEAN!$J$2:$J$1001,BANK_CLEAN!$H$2:$H$1001,G909,BANK_CLEAN!$L$2:$L$1001,""),BANK_CLEAN!$J$2:$J$1001,0)),""))</f>
        <v/>
      </c>
      <c r="I909" s="10">
        <f>IF(H909="","",INDEX(BANK_CLEAN!$B$2:$B$1001,H909))</f>
        <v/>
      </c>
      <c r="J909" s="14">
        <f>IF(H909="","",IF(F909="OUT",INDEX(BANK_CLEAN!$F$2:$F$1001,H909),INDEX(BANK_CLEAN!$E$2:$E$1001,H909)))</f>
        <v/>
      </c>
      <c r="K909" s="14">
        <f>IF(H909="","",ABS(E909-J909))</f>
        <v/>
      </c>
      <c r="L909" s="11">
        <f>IF(OR(H909="",B909="",I909=""),"",ABS(B909-I909))</f>
        <v/>
      </c>
      <c r="M909" s="15">
        <f>IF(H909="",0,LET(pct,IF(E909&gt;0,K909/E909,1),days,IFERROR(L909,999),100-pct*200-days*3))</f>
        <v/>
      </c>
      <c r="N909" s="11">
        <f>IF(A909="","",IF(H909="","Unmatched GL",IF(AND(K909&lt;=Tol_Amount,L909&lt;=Tol_Days),"Matched",IF(M909&gt;Tol_NearPct,"Near Match","Unmatched GL"))))</f>
        <v/>
      </c>
    </row>
    <row r="910">
      <c r="A910" s="13">
        <f>IF(GL_CLEAN!A910="","",GL_CLEAN!A910)</f>
        <v/>
      </c>
      <c r="B910" s="10">
        <f>IF(A910="","",GL_CLEAN!B910)</f>
        <v/>
      </c>
      <c r="C910" s="11">
        <f>IF(A910="","",GL_CLEAN!C910)</f>
        <v/>
      </c>
      <c r="D910" s="14">
        <f>IF(A910="","",GL_CLEAN!H910)</f>
        <v/>
      </c>
      <c r="E910" s="14">
        <f>IF(A910="","",GL_CLEAN!I910)</f>
        <v/>
      </c>
      <c r="F910" s="11">
        <f>IF(A910="","",GL_CLEAN!J910)</f>
        <v/>
      </c>
      <c r="G910" s="11">
        <f>IF(A910="","",IF(F910="OUT","DR","CR"))</f>
        <v/>
      </c>
      <c r="H910" s="11">
        <f>IF(A910="","",IFERROR(INDEX(BANK_CLEAN!$A$2:$A$1001,MATCH(MINIFS(BANK_CLEAN!$J$2:$J$1001,BANK_CLEAN!$H$2:$H$1001,G910,BANK_CLEAN!$L$2:$L$1001,""),BANK_CLEAN!$J$2:$J$1001,0)),""))</f>
        <v/>
      </c>
      <c r="I910" s="10">
        <f>IF(H910="","",INDEX(BANK_CLEAN!$B$2:$B$1001,H910))</f>
        <v/>
      </c>
      <c r="J910" s="14">
        <f>IF(H910="","",IF(F910="OUT",INDEX(BANK_CLEAN!$F$2:$F$1001,H910),INDEX(BANK_CLEAN!$E$2:$E$1001,H910)))</f>
        <v/>
      </c>
      <c r="K910" s="14">
        <f>IF(H910="","",ABS(E910-J910))</f>
        <v/>
      </c>
      <c r="L910" s="11">
        <f>IF(OR(H910="",B910="",I910=""),"",ABS(B910-I910))</f>
        <v/>
      </c>
      <c r="M910" s="15">
        <f>IF(H910="",0,LET(pct,IF(E910&gt;0,K910/E910,1),days,IFERROR(L910,999),100-pct*200-days*3))</f>
        <v/>
      </c>
      <c r="N910" s="11">
        <f>IF(A910="","",IF(H910="","Unmatched GL",IF(AND(K910&lt;=Tol_Amount,L910&lt;=Tol_Days),"Matched",IF(M910&gt;Tol_NearPct,"Near Match","Unmatched GL"))))</f>
        <v/>
      </c>
    </row>
    <row r="911">
      <c r="A911" s="13">
        <f>IF(GL_CLEAN!A911="","",GL_CLEAN!A911)</f>
        <v/>
      </c>
      <c r="B911" s="10">
        <f>IF(A911="","",GL_CLEAN!B911)</f>
        <v/>
      </c>
      <c r="C911" s="11">
        <f>IF(A911="","",GL_CLEAN!C911)</f>
        <v/>
      </c>
      <c r="D911" s="14">
        <f>IF(A911="","",GL_CLEAN!H911)</f>
        <v/>
      </c>
      <c r="E911" s="14">
        <f>IF(A911="","",GL_CLEAN!I911)</f>
        <v/>
      </c>
      <c r="F911" s="11">
        <f>IF(A911="","",GL_CLEAN!J911)</f>
        <v/>
      </c>
      <c r="G911" s="11">
        <f>IF(A911="","",IF(F911="OUT","DR","CR"))</f>
        <v/>
      </c>
      <c r="H911" s="11">
        <f>IF(A911="","",IFERROR(INDEX(BANK_CLEAN!$A$2:$A$1001,MATCH(MINIFS(BANK_CLEAN!$J$2:$J$1001,BANK_CLEAN!$H$2:$H$1001,G911,BANK_CLEAN!$L$2:$L$1001,""),BANK_CLEAN!$J$2:$J$1001,0)),""))</f>
        <v/>
      </c>
      <c r="I911" s="10">
        <f>IF(H911="","",INDEX(BANK_CLEAN!$B$2:$B$1001,H911))</f>
        <v/>
      </c>
      <c r="J911" s="14">
        <f>IF(H911="","",IF(F911="OUT",INDEX(BANK_CLEAN!$F$2:$F$1001,H911),INDEX(BANK_CLEAN!$E$2:$E$1001,H911)))</f>
        <v/>
      </c>
      <c r="K911" s="14">
        <f>IF(H911="","",ABS(E911-J911))</f>
        <v/>
      </c>
      <c r="L911" s="11">
        <f>IF(OR(H911="",B911="",I911=""),"",ABS(B911-I911))</f>
        <v/>
      </c>
      <c r="M911" s="15">
        <f>IF(H911="",0,LET(pct,IF(E911&gt;0,K911/E911,1),days,IFERROR(L911,999),100-pct*200-days*3))</f>
        <v/>
      </c>
      <c r="N911" s="11">
        <f>IF(A911="","",IF(H911="","Unmatched GL",IF(AND(K911&lt;=Tol_Amount,L911&lt;=Tol_Days),"Matched",IF(M911&gt;Tol_NearPct,"Near Match","Unmatched GL"))))</f>
        <v/>
      </c>
    </row>
    <row r="912">
      <c r="A912" s="13">
        <f>IF(GL_CLEAN!A912="","",GL_CLEAN!A912)</f>
        <v/>
      </c>
      <c r="B912" s="10">
        <f>IF(A912="","",GL_CLEAN!B912)</f>
        <v/>
      </c>
      <c r="C912" s="11">
        <f>IF(A912="","",GL_CLEAN!C912)</f>
        <v/>
      </c>
      <c r="D912" s="14">
        <f>IF(A912="","",GL_CLEAN!H912)</f>
        <v/>
      </c>
      <c r="E912" s="14">
        <f>IF(A912="","",GL_CLEAN!I912)</f>
        <v/>
      </c>
      <c r="F912" s="11">
        <f>IF(A912="","",GL_CLEAN!J912)</f>
        <v/>
      </c>
      <c r="G912" s="11">
        <f>IF(A912="","",IF(F912="OUT","DR","CR"))</f>
        <v/>
      </c>
      <c r="H912" s="11">
        <f>IF(A912="","",IFERROR(INDEX(BANK_CLEAN!$A$2:$A$1001,MATCH(MINIFS(BANK_CLEAN!$J$2:$J$1001,BANK_CLEAN!$H$2:$H$1001,G912,BANK_CLEAN!$L$2:$L$1001,""),BANK_CLEAN!$J$2:$J$1001,0)),""))</f>
        <v/>
      </c>
      <c r="I912" s="10">
        <f>IF(H912="","",INDEX(BANK_CLEAN!$B$2:$B$1001,H912))</f>
        <v/>
      </c>
      <c r="J912" s="14">
        <f>IF(H912="","",IF(F912="OUT",INDEX(BANK_CLEAN!$F$2:$F$1001,H912),INDEX(BANK_CLEAN!$E$2:$E$1001,H912)))</f>
        <v/>
      </c>
      <c r="K912" s="14">
        <f>IF(H912="","",ABS(E912-J912))</f>
        <v/>
      </c>
      <c r="L912" s="11">
        <f>IF(OR(H912="",B912="",I912=""),"",ABS(B912-I912))</f>
        <v/>
      </c>
      <c r="M912" s="15">
        <f>IF(H912="",0,LET(pct,IF(E912&gt;0,K912/E912,1),days,IFERROR(L912,999),100-pct*200-days*3))</f>
        <v/>
      </c>
      <c r="N912" s="11">
        <f>IF(A912="","",IF(H912="","Unmatched GL",IF(AND(K912&lt;=Tol_Amount,L912&lt;=Tol_Days),"Matched",IF(M912&gt;Tol_NearPct,"Near Match","Unmatched GL"))))</f>
        <v/>
      </c>
    </row>
    <row r="913">
      <c r="A913" s="13">
        <f>IF(GL_CLEAN!A913="","",GL_CLEAN!A913)</f>
        <v/>
      </c>
      <c r="B913" s="10">
        <f>IF(A913="","",GL_CLEAN!B913)</f>
        <v/>
      </c>
      <c r="C913" s="11">
        <f>IF(A913="","",GL_CLEAN!C913)</f>
        <v/>
      </c>
      <c r="D913" s="14">
        <f>IF(A913="","",GL_CLEAN!H913)</f>
        <v/>
      </c>
      <c r="E913" s="14">
        <f>IF(A913="","",GL_CLEAN!I913)</f>
        <v/>
      </c>
      <c r="F913" s="11">
        <f>IF(A913="","",GL_CLEAN!J913)</f>
        <v/>
      </c>
      <c r="G913" s="11">
        <f>IF(A913="","",IF(F913="OUT","DR","CR"))</f>
        <v/>
      </c>
      <c r="H913" s="11">
        <f>IF(A913="","",IFERROR(INDEX(BANK_CLEAN!$A$2:$A$1001,MATCH(MINIFS(BANK_CLEAN!$J$2:$J$1001,BANK_CLEAN!$H$2:$H$1001,G913,BANK_CLEAN!$L$2:$L$1001,""),BANK_CLEAN!$J$2:$J$1001,0)),""))</f>
        <v/>
      </c>
      <c r="I913" s="10">
        <f>IF(H913="","",INDEX(BANK_CLEAN!$B$2:$B$1001,H913))</f>
        <v/>
      </c>
      <c r="J913" s="14">
        <f>IF(H913="","",IF(F913="OUT",INDEX(BANK_CLEAN!$F$2:$F$1001,H913),INDEX(BANK_CLEAN!$E$2:$E$1001,H913)))</f>
        <v/>
      </c>
      <c r="K913" s="14">
        <f>IF(H913="","",ABS(E913-J913))</f>
        <v/>
      </c>
      <c r="L913" s="11">
        <f>IF(OR(H913="",B913="",I913=""),"",ABS(B913-I913))</f>
        <v/>
      </c>
      <c r="M913" s="15">
        <f>IF(H913="",0,LET(pct,IF(E913&gt;0,K913/E913,1),days,IFERROR(L913,999),100-pct*200-days*3))</f>
        <v/>
      </c>
      <c r="N913" s="11">
        <f>IF(A913="","",IF(H913="","Unmatched GL",IF(AND(K913&lt;=Tol_Amount,L913&lt;=Tol_Days),"Matched",IF(M913&gt;Tol_NearPct,"Near Match","Unmatched GL"))))</f>
        <v/>
      </c>
    </row>
    <row r="914">
      <c r="A914" s="13">
        <f>IF(GL_CLEAN!A914="","",GL_CLEAN!A914)</f>
        <v/>
      </c>
      <c r="B914" s="10">
        <f>IF(A914="","",GL_CLEAN!B914)</f>
        <v/>
      </c>
      <c r="C914" s="11">
        <f>IF(A914="","",GL_CLEAN!C914)</f>
        <v/>
      </c>
      <c r="D914" s="14">
        <f>IF(A914="","",GL_CLEAN!H914)</f>
        <v/>
      </c>
      <c r="E914" s="14">
        <f>IF(A914="","",GL_CLEAN!I914)</f>
        <v/>
      </c>
      <c r="F914" s="11">
        <f>IF(A914="","",GL_CLEAN!J914)</f>
        <v/>
      </c>
      <c r="G914" s="11">
        <f>IF(A914="","",IF(F914="OUT","DR","CR"))</f>
        <v/>
      </c>
      <c r="H914" s="11">
        <f>IF(A914="","",IFERROR(INDEX(BANK_CLEAN!$A$2:$A$1001,MATCH(MINIFS(BANK_CLEAN!$J$2:$J$1001,BANK_CLEAN!$H$2:$H$1001,G914,BANK_CLEAN!$L$2:$L$1001,""),BANK_CLEAN!$J$2:$J$1001,0)),""))</f>
        <v/>
      </c>
      <c r="I914" s="10">
        <f>IF(H914="","",INDEX(BANK_CLEAN!$B$2:$B$1001,H914))</f>
        <v/>
      </c>
      <c r="J914" s="14">
        <f>IF(H914="","",IF(F914="OUT",INDEX(BANK_CLEAN!$F$2:$F$1001,H914),INDEX(BANK_CLEAN!$E$2:$E$1001,H914)))</f>
        <v/>
      </c>
      <c r="K914" s="14">
        <f>IF(H914="","",ABS(E914-J914))</f>
        <v/>
      </c>
      <c r="L914" s="11">
        <f>IF(OR(H914="",B914="",I914=""),"",ABS(B914-I914))</f>
        <v/>
      </c>
      <c r="M914" s="15">
        <f>IF(H914="",0,LET(pct,IF(E914&gt;0,K914/E914,1),days,IFERROR(L914,999),100-pct*200-days*3))</f>
        <v/>
      </c>
      <c r="N914" s="11">
        <f>IF(A914="","",IF(H914="","Unmatched GL",IF(AND(K914&lt;=Tol_Amount,L914&lt;=Tol_Days),"Matched",IF(M914&gt;Tol_NearPct,"Near Match","Unmatched GL"))))</f>
        <v/>
      </c>
    </row>
    <row r="915">
      <c r="A915" s="13">
        <f>IF(GL_CLEAN!A915="","",GL_CLEAN!A915)</f>
        <v/>
      </c>
      <c r="B915" s="10">
        <f>IF(A915="","",GL_CLEAN!B915)</f>
        <v/>
      </c>
      <c r="C915" s="11">
        <f>IF(A915="","",GL_CLEAN!C915)</f>
        <v/>
      </c>
      <c r="D915" s="14">
        <f>IF(A915="","",GL_CLEAN!H915)</f>
        <v/>
      </c>
      <c r="E915" s="14">
        <f>IF(A915="","",GL_CLEAN!I915)</f>
        <v/>
      </c>
      <c r="F915" s="11">
        <f>IF(A915="","",GL_CLEAN!J915)</f>
        <v/>
      </c>
      <c r="G915" s="11">
        <f>IF(A915="","",IF(F915="OUT","DR","CR"))</f>
        <v/>
      </c>
      <c r="H915" s="11">
        <f>IF(A915="","",IFERROR(INDEX(BANK_CLEAN!$A$2:$A$1001,MATCH(MINIFS(BANK_CLEAN!$J$2:$J$1001,BANK_CLEAN!$H$2:$H$1001,G915,BANK_CLEAN!$L$2:$L$1001,""),BANK_CLEAN!$J$2:$J$1001,0)),""))</f>
        <v/>
      </c>
      <c r="I915" s="10">
        <f>IF(H915="","",INDEX(BANK_CLEAN!$B$2:$B$1001,H915))</f>
        <v/>
      </c>
      <c r="J915" s="14">
        <f>IF(H915="","",IF(F915="OUT",INDEX(BANK_CLEAN!$F$2:$F$1001,H915),INDEX(BANK_CLEAN!$E$2:$E$1001,H915)))</f>
        <v/>
      </c>
      <c r="K915" s="14">
        <f>IF(H915="","",ABS(E915-J915))</f>
        <v/>
      </c>
      <c r="L915" s="11">
        <f>IF(OR(H915="",B915="",I915=""),"",ABS(B915-I915))</f>
        <v/>
      </c>
      <c r="M915" s="15">
        <f>IF(H915="",0,LET(pct,IF(E915&gt;0,K915/E915,1),days,IFERROR(L915,999),100-pct*200-days*3))</f>
        <v/>
      </c>
      <c r="N915" s="11">
        <f>IF(A915="","",IF(H915="","Unmatched GL",IF(AND(K915&lt;=Tol_Amount,L915&lt;=Tol_Days),"Matched",IF(M915&gt;Tol_NearPct,"Near Match","Unmatched GL"))))</f>
        <v/>
      </c>
    </row>
    <row r="916">
      <c r="A916" s="13">
        <f>IF(GL_CLEAN!A916="","",GL_CLEAN!A916)</f>
        <v/>
      </c>
      <c r="B916" s="10">
        <f>IF(A916="","",GL_CLEAN!B916)</f>
        <v/>
      </c>
      <c r="C916" s="11">
        <f>IF(A916="","",GL_CLEAN!C916)</f>
        <v/>
      </c>
      <c r="D916" s="14">
        <f>IF(A916="","",GL_CLEAN!H916)</f>
        <v/>
      </c>
      <c r="E916" s="14">
        <f>IF(A916="","",GL_CLEAN!I916)</f>
        <v/>
      </c>
      <c r="F916" s="11">
        <f>IF(A916="","",GL_CLEAN!J916)</f>
        <v/>
      </c>
      <c r="G916" s="11">
        <f>IF(A916="","",IF(F916="OUT","DR","CR"))</f>
        <v/>
      </c>
      <c r="H916" s="11">
        <f>IF(A916="","",IFERROR(INDEX(BANK_CLEAN!$A$2:$A$1001,MATCH(MINIFS(BANK_CLEAN!$J$2:$J$1001,BANK_CLEAN!$H$2:$H$1001,G916,BANK_CLEAN!$L$2:$L$1001,""),BANK_CLEAN!$J$2:$J$1001,0)),""))</f>
        <v/>
      </c>
      <c r="I916" s="10">
        <f>IF(H916="","",INDEX(BANK_CLEAN!$B$2:$B$1001,H916))</f>
        <v/>
      </c>
      <c r="J916" s="14">
        <f>IF(H916="","",IF(F916="OUT",INDEX(BANK_CLEAN!$F$2:$F$1001,H916),INDEX(BANK_CLEAN!$E$2:$E$1001,H916)))</f>
        <v/>
      </c>
      <c r="K916" s="14">
        <f>IF(H916="","",ABS(E916-J916))</f>
        <v/>
      </c>
      <c r="L916" s="11">
        <f>IF(OR(H916="",B916="",I916=""),"",ABS(B916-I916))</f>
        <v/>
      </c>
      <c r="M916" s="15">
        <f>IF(H916="",0,LET(pct,IF(E916&gt;0,K916/E916,1),days,IFERROR(L916,999),100-pct*200-days*3))</f>
        <v/>
      </c>
      <c r="N916" s="11">
        <f>IF(A916="","",IF(H916="","Unmatched GL",IF(AND(K916&lt;=Tol_Amount,L916&lt;=Tol_Days),"Matched",IF(M916&gt;Tol_NearPct,"Near Match","Unmatched GL"))))</f>
        <v/>
      </c>
    </row>
    <row r="917">
      <c r="A917" s="13">
        <f>IF(GL_CLEAN!A917="","",GL_CLEAN!A917)</f>
        <v/>
      </c>
      <c r="B917" s="10">
        <f>IF(A917="","",GL_CLEAN!B917)</f>
        <v/>
      </c>
      <c r="C917" s="11">
        <f>IF(A917="","",GL_CLEAN!C917)</f>
        <v/>
      </c>
      <c r="D917" s="14">
        <f>IF(A917="","",GL_CLEAN!H917)</f>
        <v/>
      </c>
      <c r="E917" s="14">
        <f>IF(A917="","",GL_CLEAN!I917)</f>
        <v/>
      </c>
      <c r="F917" s="11">
        <f>IF(A917="","",GL_CLEAN!J917)</f>
        <v/>
      </c>
      <c r="G917" s="11">
        <f>IF(A917="","",IF(F917="OUT","DR","CR"))</f>
        <v/>
      </c>
      <c r="H917" s="11">
        <f>IF(A917="","",IFERROR(INDEX(BANK_CLEAN!$A$2:$A$1001,MATCH(MINIFS(BANK_CLEAN!$J$2:$J$1001,BANK_CLEAN!$H$2:$H$1001,G917,BANK_CLEAN!$L$2:$L$1001,""),BANK_CLEAN!$J$2:$J$1001,0)),""))</f>
        <v/>
      </c>
      <c r="I917" s="10">
        <f>IF(H917="","",INDEX(BANK_CLEAN!$B$2:$B$1001,H917))</f>
        <v/>
      </c>
      <c r="J917" s="14">
        <f>IF(H917="","",IF(F917="OUT",INDEX(BANK_CLEAN!$F$2:$F$1001,H917),INDEX(BANK_CLEAN!$E$2:$E$1001,H917)))</f>
        <v/>
      </c>
      <c r="K917" s="14">
        <f>IF(H917="","",ABS(E917-J917))</f>
        <v/>
      </c>
      <c r="L917" s="11">
        <f>IF(OR(H917="",B917="",I917=""),"",ABS(B917-I917))</f>
        <v/>
      </c>
      <c r="M917" s="15">
        <f>IF(H917="",0,LET(pct,IF(E917&gt;0,K917/E917,1),days,IFERROR(L917,999),100-pct*200-days*3))</f>
        <v/>
      </c>
      <c r="N917" s="11">
        <f>IF(A917="","",IF(H917="","Unmatched GL",IF(AND(K917&lt;=Tol_Amount,L917&lt;=Tol_Days),"Matched",IF(M917&gt;Tol_NearPct,"Near Match","Unmatched GL"))))</f>
        <v/>
      </c>
    </row>
    <row r="918">
      <c r="A918" s="13">
        <f>IF(GL_CLEAN!A918="","",GL_CLEAN!A918)</f>
        <v/>
      </c>
      <c r="B918" s="10">
        <f>IF(A918="","",GL_CLEAN!B918)</f>
        <v/>
      </c>
      <c r="C918" s="11">
        <f>IF(A918="","",GL_CLEAN!C918)</f>
        <v/>
      </c>
      <c r="D918" s="14">
        <f>IF(A918="","",GL_CLEAN!H918)</f>
        <v/>
      </c>
      <c r="E918" s="14">
        <f>IF(A918="","",GL_CLEAN!I918)</f>
        <v/>
      </c>
      <c r="F918" s="11">
        <f>IF(A918="","",GL_CLEAN!J918)</f>
        <v/>
      </c>
      <c r="G918" s="11">
        <f>IF(A918="","",IF(F918="OUT","DR","CR"))</f>
        <v/>
      </c>
      <c r="H918" s="11">
        <f>IF(A918="","",IFERROR(INDEX(BANK_CLEAN!$A$2:$A$1001,MATCH(MINIFS(BANK_CLEAN!$J$2:$J$1001,BANK_CLEAN!$H$2:$H$1001,G918,BANK_CLEAN!$L$2:$L$1001,""),BANK_CLEAN!$J$2:$J$1001,0)),""))</f>
        <v/>
      </c>
      <c r="I918" s="10">
        <f>IF(H918="","",INDEX(BANK_CLEAN!$B$2:$B$1001,H918))</f>
        <v/>
      </c>
      <c r="J918" s="14">
        <f>IF(H918="","",IF(F918="OUT",INDEX(BANK_CLEAN!$F$2:$F$1001,H918),INDEX(BANK_CLEAN!$E$2:$E$1001,H918)))</f>
        <v/>
      </c>
      <c r="K918" s="14">
        <f>IF(H918="","",ABS(E918-J918))</f>
        <v/>
      </c>
      <c r="L918" s="11">
        <f>IF(OR(H918="",B918="",I918=""),"",ABS(B918-I918))</f>
        <v/>
      </c>
      <c r="M918" s="15">
        <f>IF(H918="",0,LET(pct,IF(E918&gt;0,K918/E918,1),days,IFERROR(L918,999),100-pct*200-days*3))</f>
        <v/>
      </c>
      <c r="N918" s="11">
        <f>IF(A918="","",IF(H918="","Unmatched GL",IF(AND(K918&lt;=Tol_Amount,L918&lt;=Tol_Days),"Matched",IF(M918&gt;Tol_NearPct,"Near Match","Unmatched GL"))))</f>
        <v/>
      </c>
    </row>
    <row r="919">
      <c r="A919" s="13">
        <f>IF(GL_CLEAN!A919="","",GL_CLEAN!A919)</f>
        <v/>
      </c>
      <c r="B919" s="10">
        <f>IF(A919="","",GL_CLEAN!B919)</f>
        <v/>
      </c>
      <c r="C919" s="11">
        <f>IF(A919="","",GL_CLEAN!C919)</f>
        <v/>
      </c>
      <c r="D919" s="14">
        <f>IF(A919="","",GL_CLEAN!H919)</f>
        <v/>
      </c>
      <c r="E919" s="14">
        <f>IF(A919="","",GL_CLEAN!I919)</f>
        <v/>
      </c>
      <c r="F919" s="11">
        <f>IF(A919="","",GL_CLEAN!J919)</f>
        <v/>
      </c>
      <c r="G919" s="11">
        <f>IF(A919="","",IF(F919="OUT","DR","CR"))</f>
        <v/>
      </c>
      <c r="H919" s="11">
        <f>IF(A919="","",IFERROR(INDEX(BANK_CLEAN!$A$2:$A$1001,MATCH(MINIFS(BANK_CLEAN!$J$2:$J$1001,BANK_CLEAN!$H$2:$H$1001,G919,BANK_CLEAN!$L$2:$L$1001,""),BANK_CLEAN!$J$2:$J$1001,0)),""))</f>
        <v/>
      </c>
      <c r="I919" s="10">
        <f>IF(H919="","",INDEX(BANK_CLEAN!$B$2:$B$1001,H919))</f>
        <v/>
      </c>
      <c r="J919" s="14">
        <f>IF(H919="","",IF(F919="OUT",INDEX(BANK_CLEAN!$F$2:$F$1001,H919),INDEX(BANK_CLEAN!$E$2:$E$1001,H919)))</f>
        <v/>
      </c>
      <c r="K919" s="14">
        <f>IF(H919="","",ABS(E919-J919))</f>
        <v/>
      </c>
      <c r="L919" s="11">
        <f>IF(OR(H919="",B919="",I919=""),"",ABS(B919-I919))</f>
        <v/>
      </c>
      <c r="M919" s="15">
        <f>IF(H919="",0,LET(pct,IF(E919&gt;0,K919/E919,1),days,IFERROR(L919,999),100-pct*200-days*3))</f>
        <v/>
      </c>
      <c r="N919" s="11">
        <f>IF(A919="","",IF(H919="","Unmatched GL",IF(AND(K919&lt;=Tol_Amount,L919&lt;=Tol_Days),"Matched",IF(M919&gt;Tol_NearPct,"Near Match","Unmatched GL"))))</f>
        <v/>
      </c>
    </row>
    <row r="920">
      <c r="A920" s="13">
        <f>IF(GL_CLEAN!A920="","",GL_CLEAN!A920)</f>
        <v/>
      </c>
      <c r="B920" s="10">
        <f>IF(A920="","",GL_CLEAN!B920)</f>
        <v/>
      </c>
      <c r="C920" s="11">
        <f>IF(A920="","",GL_CLEAN!C920)</f>
        <v/>
      </c>
      <c r="D920" s="14">
        <f>IF(A920="","",GL_CLEAN!H920)</f>
        <v/>
      </c>
      <c r="E920" s="14">
        <f>IF(A920="","",GL_CLEAN!I920)</f>
        <v/>
      </c>
      <c r="F920" s="11">
        <f>IF(A920="","",GL_CLEAN!J920)</f>
        <v/>
      </c>
      <c r="G920" s="11">
        <f>IF(A920="","",IF(F920="OUT","DR","CR"))</f>
        <v/>
      </c>
      <c r="H920" s="11">
        <f>IF(A920="","",IFERROR(INDEX(BANK_CLEAN!$A$2:$A$1001,MATCH(MINIFS(BANK_CLEAN!$J$2:$J$1001,BANK_CLEAN!$H$2:$H$1001,G920,BANK_CLEAN!$L$2:$L$1001,""),BANK_CLEAN!$J$2:$J$1001,0)),""))</f>
        <v/>
      </c>
      <c r="I920" s="10">
        <f>IF(H920="","",INDEX(BANK_CLEAN!$B$2:$B$1001,H920))</f>
        <v/>
      </c>
      <c r="J920" s="14">
        <f>IF(H920="","",IF(F920="OUT",INDEX(BANK_CLEAN!$F$2:$F$1001,H920),INDEX(BANK_CLEAN!$E$2:$E$1001,H920)))</f>
        <v/>
      </c>
      <c r="K920" s="14">
        <f>IF(H920="","",ABS(E920-J920))</f>
        <v/>
      </c>
      <c r="L920" s="11">
        <f>IF(OR(H920="",B920="",I920=""),"",ABS(B920-I920))</f>
        <v/>
      </c>
      <c r="M920" s="15">
        <f>IF(H920="",0,LET(pct,IF(E920&gt;0,K920/E920,1),days,IFERROR(L920,999),100-pct*200-days*3))</f>
        <v/>
      </c>
      <c r="N920" s="11">
        <f>IF(A920="","",IF(H920="","Unmatched GL",IF(AND(K920&lt;=Tol_Amount,L920&lt;=Tol_Days),"Matched",IF(M920&gt;Tol_NearPct,"Near Match","Unmatched GL"))))</f>
        <v/>
      </c>
    </row>
    <row r="921">
      <c r="A921" s="13">
        <f>IF(GL_CLEAN!A921="","",GL_CLEAN!A921)</f>
        <v/>
      </c>
      <c r="B921" s="10">
        <f>IF(A921="","",GL_CLEAN!B921)</f>
        <v/>
      </c>
      <c r="C921" s="11">
        <f>IF(A921="","",GL_CLEAN!C921)</f>
        <v/>
      </c>
      <c r="D921" s="14">
        <f>IF(A921="","",GL_CLEAN!H921)</f>
        <v/>
      </c>
      <c r="E921" s="14">
        <f>IF(A921="","",GL_CLEAN!I921)</f>
        <v/>
      </c>
      <c r="F921" s="11">
        <f>IF(A921="","",GL_CLEAN!J921)</f>
        <v/>
      </c>
      <c r="G921" s="11">
        <f>IF(A921="","",IF(F921="OUT","DR","CR"))</f>
        <v/>
      </c>
      <c r="H921" s="11">
        <f>IF(A921="","",IFERROR(INDEX(BANK_CLEAN!$A$2:$A$1001,MATCH(MINIFS(BANK_CLEAN!$J$2:$J$1001,BANK_CLEAN!$H$2:$H$1001,G921,BANK_CLEAN!$L$2:$L$1001,""),BANK_CLEAN!$J$2:$J$1001,0)),""))</f>
        <v/>
      </c>
      <c r="I921" s="10">
        <f>IF(H921="","",INDEX(BANK_CLEAN!$B$2:$B$1001,H921))</f>
        <v/>
      </c>
      <c r="J921" s="14">
        <f>IF(H921="","",IF(F921="OUT",INDEX(BANK_CLEAN!$F$2:$F$1001,H921),INDEX(BANK_CLEAN!$E$2:$E$1001,H921)))</f>
        <v/>
      </c>
      <c r="K921" s="14">
        <f>IF(H921="","",ABS(E921-J921))</f>
        <v/>
      </c>
      <c r="L921" s="11">
        <f>IF(OR(H921="",B921="",I921=""),"",ABS(B921-I921))</f>
        <v/>
      </c>
      <c r="M921" s="15">
        <f>IF(H921="",0,LET(pct,IF(E921&gt;0,K921/E921,1),days,IFERROR(L921,999),100-pct*200-days*3))</f>
        <v/>
      </c>
      <c r="N921" s="11">
        <f>IF(A921="","",IF(H921="","Unmatched GL",IF(AND(K921&lt;=Tol_Amount,L921&lt;=Tol_Days),"Matched",IF(M921&gt;Tol_NearPct,"Near Match","Unmatched GL"))))</f>
        <v/>
      </c>
    </row>
    <row r="922">
      <c r="A922" s="13">
        <f>IF(GL_CLEAN!A922="","",GL_CLEAN!A922)</f>
        <v/>
      </c>
      <c r="B922" s="10">
        <f>IF(A922="","",GL_CLEAN!B922)</f>
        <v/>
      </c>
      <c r="C922" s="11">
        <f>IF(A922="","",GL_CLEAN!C922)</f>
        <v/>
      </c>
      <c r="D922" s="14">
        <f>IF(A922="","",GL_CLEAN!H922)</f>
        <v/>
      </c>
      <c r="E922" s="14">
        <f>IF(A922="","",GL_CLEAN!I922)</f>
        <v/>
      </c>
      <c r="F922" s="11">
        <f>IF(A922="","",GL_CLEAN!J922)</f>
        <v/>
      </c>
      <c r="G922" s="11">
        <f>IF(A922="","",IF(F922="OUT","DR","CR"))</f>
        <v/>
      </c>
      <c r="H922" s="11">
        <f>IF(A922="","",IFERROR(INDEX(BANK_CLEAN!$A$2:$A$1001,MATCH(MINIFS(BANK_CLEAN!$J$2:$J$1001,BANK_CLEAN!$H$2:$H$1001,G922,BANK_CLEAN!$L$2:$L$1001,""),BANK_CLEAN!$J$2:$J$1001,0)),""))</f>
        <v/>
      </c>
      <c r="I922" s="10">
        <f>IF(H922="","",INDEX(BANK_CLEAN!$B$2:$B$1001,H922))</f>
        <v/>
      </c>
      <c r="J922" s="14">
        <f>IF(H922="","",IF(F922="OUT",INDEX(BANK_CLEAN!$F$2:$F$1001,H922),INDEX(BANK_CLEAN!$E$2:$E$1001,H922)))</f>
        <v/>
      </c>
      <c r="K922" s="14">
        <f>IF(H922="","",ABS(E922-J922))</f>
        <v/>
      </c>
      <c r="L922" s="11">
        <f>IF(OR(H922="",B922="",I922=""),"",ABS(B922-I922))</f>
        <v/>
      </c>
      <c r="M922" s="15">
        <f>IF(H922="",0,LET(pct,IF(E922&gt;0,K922/E922,1),days,IFERROR(L922,999),100-pct*200-days*3))</f>
        <v/>
      </c>
      <c r="N922" s="11">
        <f>IF(A922="","",IF(H922="","Unmatched GL",IF(AND(K922&lt;=Tol_Amount,L922&lt;=Tol_Days),"Matched",IF(M922&gt;Tol_NearPct,"Near Match","Unmatched GL"))))</f>
        <v/>
      </c>
    </row>
    <row r="923">
      <c r="A923" s="13">
        <f>IF(GL_CLEAN!A923="","",GL_CLEAN!A923)</f>
        <v/>
      </c>
      <c r="B923" s="10">
        <f>IF(A923="","",GL_CLEAN!B923)</f>
        <v/>
      </c>
      <c r="C923" s="11">
        <f>IF(A923="","",GL_CLEAN!C923)</f>
        <v/>
      </c>
      <c r="D923" s="14">
        <f>IF(A923="","",GL_CLEAN!H923)</f>
        <v/>
      </c>
      <c r="E923" s="14">
        <f>IF(A923="","",GL_CLEAN!I923)</f>
        <v/>
      </c>
      <c r="F923" s="11">
        <f>IF(A923="","",GL_CLEAN!J923)</f>
        <v/>
      </c>
      <c r="G923" s="11">
        <f>IF(A923="","",IF(F923="OUT","DR","CR"))</f>
        <v/>
      </c>
      <c r="H923" s="11">
        <f>IF(A923="","",IFERROR(INDEX(BANK_CLEAN!$A$2:$A$1001,MATCH(MINIFS(BANK_CLEAN!$J$2:$J$1001,BANK_CLEAN!$H$2:$H$1001,G923,BANK_CLEAN!$L$2:$L$1001,""),BANK_CLEAN!$J$2:$J$1001,0)),""))</f>
        <v/>
      </c>
      <c r="I923" s="10">
        <f>IF(H923="","",INDEX(BANK_CLEAN!$B$2:$B$1001,H923))</f>
        <v/>
      </c>
      <c r="J923" s="14">
        <f>IF(H923="","",IF(F923="OUT",INDEX(BANK_CLEAN!$F$2:$F$1001,H923),INDEX(BANK_CLEAN!$E$2:$E$1001,H923)))</f>
        <v/>
      </c>
      <c r="K923" s="14">
        <f>IF(H923="","",ABS(E923-J923))</f>
        <v/>
      </c>
      <c r="L923" s="11">
        <f>IF(OR(H923="",B923="",I923=""),"",ABS(B923-I923))</f>
        <v/>
      </c>
      <c r="M923" s="15">
        <f>IF(H923="",0,LET(pct,IF(E923&gt;0,K923/E923,1),days,IFERROR(L923,999),100-pct*200-days*3))</f>
        <v/>
      </c>
      <c r="N923" s="11">
        <f>IF(A923="","",IF(H923="","Unmatched GL",IF(AND(K923&lt;=Tol_Amount,L923&lt;=Tol_Days),"Matched",IF(M923&gt;Tol_NearPct,"Near Match","Unmatched GL"))))</f>
        <v/>
      </c>
    </row>
    <row r="924">
      <c r="A924" s="13">
        <f>IF(GL_CLEAN!A924="","",GL_CLEAN!A924)</f>
        <v/>
      </c>
      <c r="B924" s="10">
        <f>IF(A924="","",GL_CLEAN!B924)</f>
        <v/>
      </c>
      <c r="C924" s="11">
        <f>IF(A924="","",GL_CLEAN!C924)</f>
        <v/>
      </c>
      <c r="D924" s="14">
        <f>IF(A924="","",GL_CLEAN!H924)</f>
        <v/>
      </c>
      <c r="E924" s="14">
        <f>IF(A924="","",GL_CLEAN!I924)</f>
        <v/>
      </c>
      <c r="F924" s="11">
        <f>IF(A924="","",GL_CLEAN!J924)</f>
        <v/>
      </c>
      <c r="G924" s="11">
        <f>IF(A924="","",IF(F924="OUT","DR","CR"))</f>
        <v/>
      </c>
      <c r="H924" s="11">
        <f>IF(A924="","",IFERROR(INDEX(BANK_CLEAN!$A$2:$A$1001,MATCH(MINIFS(BANK_CLEAN!$J$2:$J$1001,BANK_CLEAN!$H$2:$H$1001,G924,BANK_CLEAN!$L$2:$L$1001,""),BANK_CLEAN!$J$2:$J$1001,0)),""))</f>
        <v/>
      </c>
      <c r="I924" s="10">
        <f>IF(H924="","",INDEX(BANK_CLEAN!$B$2:$B$1001,H924))</f>
        <v/>
      </c>
      <c r="J924" s="14">
        <f>IF(H924="","",IF(F924="OUT",INDEX(BANK_CLEAN!$F$2:$F$1001,H924),INDEX(BANK_CLEAN!$E$2:$E$1001,H924)))</f>
        <v/>
      </c>
      <c r="K924" s="14">
        <f>IF(H924="","",ABS(E924-J924))</f>
        <v/>
      </c>
      <c r="L924" s="11">
        <f>IF(OR(H924="",B924="",I924=""),"",ABS(B924-I924))</f>
        <v/>
      </c>
      <c r="M924" s="15">
        <f>IF(H924="",0,LET(pct,IF(E924&gt;0,K924/E924,1),days,IFERROR(L924,999),100-pct*200-days*3))</f>
        <v/>
      </c>
      <c r="N924" s="11">
        <f>IF(A924="","",IF(H924="","Unmatched GL",IF(AND(K924&lt;=Tol_Amount,L924&lt;=Tol_Days),"Matched",IF(M924&gt;Tol_NearPct,"Near Match","Unmatched GL"))))</f>
        <v/>
      </c>
    </row>
    <row r="925">
      <c r="A925" s="13">
        <f>IF(GL_CLEAN!A925="","",GL_CLEAN!A925)</f>
        <v/>
      </c>
      <c r="B925" s="10">
        <f>IF(A925="","",GL_CLEAN!B925)</f>
        <v/>
      </c>
      <c r="C925" s="11">
        <f>IF(A925="","",GL_CLEAN!C925)</f>
        <v/>
      </c>
      <c r="D925" s="14">
        <f>IF(A925="","",GL_CLEAN!H925)</f>
        <v/>
      </c>
      <c r="E925" s="14">
        <f>IF(A925="","",GL_CLEAN!I925)</f>
        <v/>
      </c>
      <c r="F925" s="11">
        <f>IF(A925="","",GL_CLEAN!J925)</f>
        <v/>
      </c>
      <c r="G925" s="11">
        <f>IF(A925="","",IF(F925="OUT","DR","CR"))</f>
        <v/>
      </c>
      <c r="H925" s="11">
        <f>IF(A925="","",IFERROR(INDEX(BANK_CLEAN!$A$2:$A$1001,MATCH(MINIFS(BANK_CLEAN!$J$2:$J$1001,BANK_CLEAN!$H$2:$H$1001,G925,BANK_CLEAN!$L$2:$L$1001,""),BANK_CLEAN!$J$2:$J$1001,0)),""))</f>
        <v/>
      </c>
      <c r="I925" s="10">
        <f>IF(H925="","",INDEX(BANK_CLEAN!$B$2:$B$1001,H925))</f>
        <v/>
      </c>
      <c r="J925" s="14">
        <f>IF(H925="","",IF(F925="OUT",INDEX(BANK_CLEAN!$F$2:$F$1001,H925),INDEX(BANK_CLEAN!$E$2:$E$1001,H925)))</f>
        <v/>
      </c>
      <c r="K925" s="14">
        <f>IF(H925="","",ABS(E925-J925))</f>
        <v/>
      </c>
      <c r="L925" s="11">
        <f>IF(OR(H925="",B925="",I925=""),"",ABS(B925-I925))</f>
        <v/>
      </c>
      <c r="M925" s="15">
        <f>IF(H925="",0,LET(pct,IF(E925&gt;0,K925/E925,1),days,IFERROR(L925,999),100-pct*200-days*3))</f>
        <v/>
      </c>
      <c r="N925" s="11">
        <f>IF(A925="","",IF(H925="","Unmatched GL",IF(AND(K925&lt;=Tol_Amount,L925&lt;=Tol_Days),"Matched",IF(M925&gt;Tol_NearPct,"Near Match","Unmatched GL"))))</f>
        <v/>
      </c>
    </row>
    <row r="926">
      <c r="A926" s="13">
        <f>IF(GL_CLEAN!A926="","",GL_CLEAN!A926)</f>
        <v/>
      </c>
      <c r="B926" s="10">
        <f>IF(A926="","",GL_CLEAN!B926)</f>
        <v/>
      </c>
      <c r="C926" s="11">
        <f>IF(A926="","",GL_CLEAN!C926)</f>
        <v/>
      </c>
      <c r="D926" s="14">
        <f>IF(A926="","",GL_CLEAN!H926)</f>
        <v/>
      </c>
      <c r="E926" s="14">
        <f>IF(A926="","",GL_CLEAN!I926)</f>
        <v/>
      </c>
      <c r="F926" s="11">
        <f>IF(A926="","",GL_CLEAN!J926)</f>
        <v/>
      </c>
      <c r="G926" s="11">
        <f>IF(A926="","",IF(F926="OUT","DR","CR"))</f>
        <v/>
      </c>
      <c r="H926" s="11">
        <f>IF(A926="","",IFERROR(INDEX(BANK_CLEAN!$A$2:$A$1001,MATCH(MINIFS(BANK_CLEAN!$J$2:$J$1001,BANK_CLEAN!$H$2:$H$1001,G926,BANK_CLEAN!$L$2:$L$1001,""),BANK_CLEAN!$J$2:$J$1001,0)),""))</f>
        <v/>
      </c>
      <c r="I926" s="10">
        <f>IF(H926="","",INDEX(BANK_CLEAN!$B$2:$B$1001,H926))</f>
        <v/>
      </c>
      <c r="J926" s="14">
        <f>IF(H926="","",IF(F926="OUT",INDEX(BANK_CLEAN!$F$2:$F$1001,H926),INDEX(BANK_CLEAN!$E$2:$E$1001,H926)))</f>
        <v/>
      </c>
      <c r="K926" s="14">
        <f>IF(H926="","",ABS(E926-J926))</f>
        <v/>
      </c>
      <c r="L926" s="11">
        <f>IF(OR(H926="",B926="",I926=""),"",ABS(B926-I926))</f>
        <v/>
      </c>
      <c r="M926" s="15">
        <f>IF(H926="",0,LET(pct,IF(E926&gt;0,K926/E926,1),days,IFERROR(L926,999),100-pct*200-days*3))</f>
        <v/>
      </c>
      <c r="N926" s="11">
        <f>IF(A926="","",IF(H926="","Unmatched GL",IF(AND(K926&lt;=Tol_Amount,L926&lt;=Tol_Days),"Matched",IF(M926&gt;Tol_NearPct,"Near Match","Unmatched GL"))))</f>
        <v/>
      </c>
    </row>
    <row r="927">
      <c r="A927" s="13">
        <f>IF(GL_CLEAN!A927="","",GL_CLEAN!A927)</f>
        <v/>
      </c>
      <c r="B927" s="10">
        <f>IF(A927="","",GL_CLEAN!B927)</f>
        <v/>
      </c>
      <c r="C927" s="11">
        <f>IF(A927="","",GL_CLEAN!C927)</f>
        <v/>
      </c>
      <c r="D927" s="14">
        <f>IF(A927="","",GL_CLEAN!H927)</f>
        <v/>
      </c>
      <c r="E927" s="14">
        <f>IF(A927="","",GL_CLEAN!I927)</f>
        <v/>
      </c>
      <c r="F927" s="11">
        <f>IF(A927="","",GL_CLEAN!J927)</f>
        <v/>
      </c>
      <c r="G927" s="11">
        <f>IF(A927="","",IF(F927="OUT","DR","CR"))</f>
        <v/>
      </c>
      <c r="H927" s="11">
        <f>IF(A927="","",IFERROR(INDEX(BANK_CLEAN!$A$2:$A$1001,MATCH(MINIFS(BANK_CLEAN!$J$2:$J$1001,BANK_CLEAN!$H$2:$H$1001,G927,BANK_CLEAN!$L$2:$L$1001,""),BANK_CLEAN!$J$2:$J$1001,0)),""))</f>
        <v/>
      </c>
      <c r="I927" s="10">
        <f>IF(H927="","",INDEX(BANK_CLEAN!$B$2:$B$1001,H927))</f>
        <v/>
      </c>
      <c r="J927" s="14">
        <f>IF(H927="","",IF(F927="OUT",INDEX(BANK_CLEAN!$F$2:$F$1001,H927),INDEX(BANK_CLEAN!$E$2:$E$1001,H927)))</f>
        <v/>
      </c>
      <c r="K927" s="14">
        <f>IF(H927="","",ABS(E927-J927))</f>
        <v/>
      </c>
      <c r="L927" s="11">
        <f>IF(OR(H927="",B927="",I927=""),"",ABS(B927-I927))</f>
        <v/>
      </c>
      <c r="M927" s="15">
        <f>IF(H927="",0,LET(pct,IF(E927&gt;0,K927/E927,1),days,IFERROR(L927,999),100-pct*200-days*3))</f>
        <v/>
      </c>
      <c r="N927" s="11">
        <f>IF(A927="","",IF(H927="","Unmatched GL",IF(AND(K927&lt;=Tol_Amount,L927&lt;=Tol_Days),"Matched",IF(M927&gt;Tol_NearPct,"Near Match","Unmatched GL"))))</f>
        <v/>
      </c>
    </row>
    <row r="928">
      <c r="A928" s="13">
        <f>IF(GL_CLEAN!A928="","",GL_CLEAN!A928)</f>
        <v/>
      </c>
      <c r="B928" s="10">
        <f>IF(A928="","",GL_CLEAN!B928)</f>
        <v/>
      </c>
      <c r="C928" s="11">
        <f>IF(A928="","",GL_CLEAN!C928)</f>
        <v/>
      </c>
      <c r="D928" s="14">
        <f>IF(A928="","",GL_CLEAN!H928)</f>
        <v/>
      </c>
      <c r="E928" s="14">
        <f>IF(A928="","",GL_CLEAN!I928)</f>
        <v/>
      </c>
      <c r="F928" s="11">
        <f>IF(A928="","",GL_CLEAN!J928)</f>
        <v/>
      </c>
      <c r="G928" s="11">
        <f>IF(A928="","",IF(F928="OUT","DR","CR"))</f>
        <v/>
      </c>
      <c r="H928" s="11">
        <f>IF(A928="","",IFERROR(INDEX(BANK_CLEAN!$A$2:$A$1001,MATCH(MINIFS(BANK_CLEAN!$J$2:$J$1001,BANK_CLEAN!$H$2:$H$1001,G928,BANK_CLEAN!$L$2:$L$1001,""),BANK_CLEAN!$J$2:$J$1001,0)),""))</f>
        <v/>
      </c>
      <c r="I928" s="10">
        <f>IF(H928="","",INDEX(BANK_CLEAN!$B$2:$B$1001,H928))</f>
        <v/>
      </c>
      <c r="J928" s="14">
        <f>IF(H928="","",IF(F928="OUT",INDEX(BANK_CLEAN!$F$2:$F$1001,H928),INDEX(BANK_CLEAN!$E$2:$E$1001,H928)))</f>
        <v/>
      </c>
      <c r="K928" s="14">
        <f>IF(H928="","",ABS(E928-J928))</f>
        <v/>
      </c>
      <c r="L928" s="11">
        <f>IF(OR(H928="",B928="",I928=""),"",ABS(B928-I928))</f>
        <v/>
      </c>
      <c r="M928" s="15">
        <f>IF(H928="",0,LET(pct,IF(E928&gt;0,K928/E928,1),days,IFERROR(L928,999),100-pct*200-days*3))</f>
        <v/>
      </c>
      <c r="N928" s="11">
        <f>IF(A928="","",IF(H928="","Unmatched GL",IF(AND(K928&lt;=Tol_Amount,L928&lt;=Tol_Days),"Matched",IF(M928&gt;Tol_NearPct,"Near Match","Unmatched GL"))))</f>
        <v/>
      </c>
    </row>
    <row r="929">
      <c r="A929" s="13">
        <f>IF(GL_CLEAN!A929="","",GL_CLEAN!A929)</f>
        <v/>
      </c>
      <c r="B929" s="10">
        <f>IF(A929="","",GL_CLEAN!B929)</f>
        <v/>
      </c>
      <c r="C929" s="11">
        <f>IF(A929="","",GL_CLEAN!C929)</f>
        <v/>
      </c>
      <c r="D929" s="14">
        <f>IF(A929="","",GL_CLEAN!H929)</f>
        <v/>
      </c>
      <c r="E929" s="14">
        <f>IF(A929="","",GL_CLEAN!I929)</f>
        <v/>
      </c>
      <c r="F929" s="11">
        <f>IF(A929="","",GL_CLEAN!J929)</f>
        <v/>
      </c>
      <c r="G929" s="11">
        <f>IF(A929="","",IF(F929="OUT","DR","CR"))</f>
        <v/>
      </c>
      <c r="H929" s="11">
        <f>IF(A929="","",IFERROR(INDEX(BANK_CLEAN!$A$2:$A$1001,MATCH(MINIFS(BANK_CLEAN!$J$2:$J$1001,BANK_CLEAN!$H$2:$H$1001,G929,BANK_CLEAN!$L$2:$L$1001,""),BANK_CLEAN!$J$2:$J$1001,0)),""))</f>
        <v/>
      </c>
      <c r="I929" s="10">
        <f>IF(H929="","",INDEX(BANK_CLEAN!$B$2:$B$1001,H929))</f>
        <v/>
      </c>
      <c r="J929" s="14">
        <f>IF(H929="","",IF(F929="OUT",INDEX(BANK_CLEAN!$F$2:$F$1001,H929),INDEX(BANK_CLEAN!$E$2:$E$1001,H929)))</f>
        <v/>
      </c>
      <c r="K929" s="14">
        <f>IF(H929="","",ABS(E929-J929))</f>
        <v/>
      </c>
      <c r="L929" s="11">
        <f>IF(OR(H929="",B929="",I929=""),"",ABS(B929-I929))</f>
        <v/>
      </c>
      <c r="M929" s="15">
        <f>IF(H929="",0,LET(pct,IF(E929&gt;0,K929/E929,1),days,IFERROR(L929,999),100-pct*200-days*3))</f>
        <v/>
      </c>
      <c r="N929" s="11">
        <f>IF(A929="","",IF(H929="","Unmatched GL",IF(AND(K929&lt;=Tol_Amount,L929&lt;=Tol_Days),"Matched",IF(M929&gt;Tol_NearPct,"Near Match","Unmatched GL"))))</f>
        <v/>
      </c>
    </row>
    <row r="930">
      <c r="A930" s="13">
        <f>IF(GL_CLEAN!A930="","",GL_CLEAN!A930)</f>
        <v/>
      </c>
      <c r="B930" s="10">
        <f>IF(A930="","",GL_CLEAN!B930)</f>
        <v/>
      </c>
      <c r="C930" s="11">
        <f>IF(A930="","",GL_CLEAN!C930)</f>
        <v/>
      </c>
      <c r="D930" s="14">
        <f>IF(A930="","",GL_CLEAN!H930)</f>
        <v/>
      </c>
      <c r="E930" s="14">
        <f>IF(A930="","",GL_CLEAN!I930)</f>
        <v/>
      </c>
      <c r="F930" s="11">
        <f>IF(A930="","",GL_CLEAN!J930)</f>
        <v/>
      </c>
      <c r="G930" s="11">
        <f>IF(A930="","",IF(F930="OUT","DR","CR"))</f>
        <v/>
      </c>
      <c r="H930" s="11">
        <f>IF(A930="","",IFERROR(INDEX(BANK_CLEAN!$A$2:$A$1001,MATCH(MINIFS(BANK_CLEAN!$J$2:$J$1001,BANK_CLEAN!$H$2:$H$1001,G930,BANK_CLEAN!$L$2:$L$1001,""),BANK_CLEAN!$J$2:$J$1001,0)),""))</f>
        <v/>
      </c>
      <c r="I930" s="10">
        <f>IF(H930="","",INDEX(BANK_CLEAN!$B$2:$B$1001,H930))</f>
        <v/>
      </c>
      <c r="J930" s="14">
        <f>IF(H930="","",IF(F930="OUT",INDEX(BANK_CLEAN!$F$2:$F$1001,H930),INDEX(BANK_CLEAN!$E$2:$E$1001,H930)))</f>
        <v/>
      </c>
      <c r="K930" s="14">
        <f>IF(H930="","",ABS(E930-J930))</f>
        <v/>
      </c>
      <c r="L930" s="11">
        <f>IF(OR(H930="",B930="",I930=""),"",ABS(B930-I930))</f>
        <v/>
      </c>
      <c r="M930" s="15">
        <f>IF(H930="",0,LET(pct,IF(E930&gt;0,K930/E930,1),days,IFERROR(L930,999),100-pct*200-days*3))</f>
        <v/>
      </c>
      <c r="N930" s="11">
        <f>IF(A930="","",IF(H930="","Unmatched GL",IF(AND(K930&lt;=Tol_Amount,L930&lt;=Tol_Days),"Matched",IF(M930&gt;Tol_NearPct,"Near Match","Unmatched GL"))))</f>
        <v/>
      </c>
    </row>
    <row r="931">
      <c r="A931" s="13">
        <f>IF(GL_CLEAN!A931="","",GL_CLEAN!A931)</f>
        <v/>
      </c>
      <c r="B931" s="10">
        <f>IF(A931="","",GL_CLEAN!B931)</f>
        <v/>
      </c>
      <c r="C931" s="11">
        <f>IF(A931="","",GL_CLEAN!C931)</f>
        <v/>
      </c>
      <c r="D931" s="14">
        <f>IF(A931="","",GL_CLEAN!H931)</f>
        <v/>
      </c>
      <c r="E931" s="14">
        <f>IF(A931="","",GL_CLEAN!I931)</f>
        <v/>
      </c>
      <c r="F931" s="11">
        <f>IF(A931="","",GL_CLEAN!J931)</f>
        <v/>
      </c>
      <c r="G931" s="11">
        <f>IF(A931="","",IF(F931="OUT","DR","CR"))</f>
        <v/>
      </c>
      <c r="H931" s="11">
        <f>IF(A931="","",IFERROR(INDEX(BANK_CLEAN!$A$2:$A$1001,MATCH(MINIFS(BANK_CLEAN!$J$2:$J$1001,BANK_CLEAN!$H$2:$H$1001,G931,BANK_CLEAN!$L$2:$L$1001,""),BANK_CLEAN!$J$2:$J$1001,0)),""))</f>
        <v/>
      </c>
      <c r="I931" s="10">
        <f>IF(H931="","",INDEX(BANK_CLEAN!$B$2:$B$1001,H931))</f>
        <v/>
      </c>
      <c r="J931" s="14">
        <f>IF(H931="","",IF(F931="OUT",INDEX(BANK_CLEAN!$F$2:$F$1001,H931),INDEX(BANK_CLEAN!$E$2:$E$1001,H931)))</f>
        <v/>
      </c>
      <c r="K931" s="14">
        <f>IF(H931="","",ABS(E931-J931))</f>
        <v/>
      </c>
      <c r="L931" s="11">
        <f>IF(OR(H931="",B931="",I931=""),"",ABS(B931-I931))</f>
        <v/>
      </c>
      <c r="M931" s="15">
        <f>IF(H931="",0,LET(pct,IF(E931&gt;0,K931/E931,1),days,IFERROR(L931,999),100-pct*200-days*3))</f>
        <v/>
      </c>
      <c r="N931" s="11">
        <f>IF(A931="","",IF(H931="","Unmatched GL",IF(AND(K931&lt;=Tol_Amount,L931&lt;=Tol_Days),"Matched",IF(M931&gt;Tol_NearPct,"Near Match","Unmatched GL"))))</f>
        <v/>
      </c>
    </row>
    <row r="932">
      <c r="A932" s="13">
        <f>IF(GL_CLEAN!A932="","",GL_CLEAN!A932)</f>
        <v/>
      </c>
      <c r="B932" s="10">
        <f>IF(A932="","",GL_CLEAN!B932)</f>
        <v/>
      </c>
      <c r="C932" s="11">
        <f>IF(A932="","",GL_CLEAN!C932)</f>
        <v/>
      </c>
      <c r="D932" s="14">
        <f>IF(A932="","",GL_CLEAN!H932)</f>
        <v/>
      </c>
      <c r="E932" s="14">
        <f>IF(A932="","",GL_CLEAN!I932)</f>
        <v/>
      </c>
      <c r="F932" s="11">
        <f>IF(A932="","",GL_CLEAN!J932)</f>
        <v/>
      </c>
      <c r="G932" s="11">
        <f>IF(A932="","",IF(F932="OUT","DR","CR"))</f>
        <v/>
      </c>
      <c r="H932" s="11">
        <f>IF(A932="","",IFERROR(INDEX(BANK_CLEAN!$A$2:$A$1001,MATCH(MINIFS(BANK_CLEAN!$J$2:$J$1001,BANK_CLEAN!$H$2:$H$1001,G932,BANK_CLEAN!$L$2:$L$1001,""),BANK_CLEAN!$J$2:$J$1001,0)),""))</f>
        <v/>
      </c>
      <c r="I932" s="10">
        <f>IF(H932="","",INDEX(BANK_CLEAN!$B$2:$B$1001,H932))</f>
        <v/>
      </c>
      <c r="J932" s="14">
        <f>IF(H932="","",IF(F932="OUT",INDEX(BANK_CLEAN!$F$2:$F$1001,H932),INDEX(BANK_CLEAN!$E$2:$E$1001,H932)))</f>
        <v/>
      </c>
      <c r="K932" s="14">
        <f>IF(H932="","",ABS(E932-J932))</f>
        <v/>
      </c>
      <c r="L932" s="11">
        <f>IF(OR(H932="",B932="",I932=""),"",ABS(B932-I932))</f>
        <v/>
      </c>
      <c r="M932" s="15">
        <f>IF(H932="",0,LET(pct,IF(E932&gt;0,K932/E932,1),days,IFERROR(L932,999),100-pct*200-days*3))</f>
        <v/>
      </c>
      <c r="N932" s="11">
        <f>IF(A932="","",IF(H932="","Unmatched GL",IF(AND(K932&lt;=Tol_Amount,L932&lt;=Tol_Days),"Matched",IF(M932&gt;Tol_NearPct,"Near Match","Unmatched GL"))))</f>
        <v/>
      </c>
    </row>
    <row r="933">
      <c r="A933" s="13">
        <f>IF(GL_CLEAN!A933="","",GL_CLEAN!A933)</f>
        <v/>
      </c>
      <c r="B933" s="10">
        <f>IF(A933="","",GL_CLEAN!B933)</f>
        <v/>
      </c>
      <c r="C933" s="11">
        <f>IF(A933="","",GL_CLEAN!C933)</f>
        <v/>
      </c>
      <c r="D933" s="14">
        <f>IF(A933="","",GL_CLEAN!H933)</f>
        <v/>
      </c>
      <c r="E933" s="14">
        <f>IF(A933="","",GL_CLEAN!I933)</f>
        <v/>
      </c>
      <c r="F933" s="11">
        <f>IF(A933="","",GL_CLEAN!J933)</f>
        <v/>
      </c>
      <c r="G933" s="11">
        <f>IF(A933="","",IF(F933="OUT","DR","CR"))</f>
        <v/>
      </c>
      <c r="H933" s="11">
        <f>IF(A933="","",IFERROR(INDEX(BANK_CLEAN!$A$2:$A$1001,MATCH(MINIFS(BANK_CLEAN!$J$2:$J$1001,BANK_CLEAN!$H$2:$H$1001,G933,BANK_CLEAN!$L$2:$L$1001,""),BANK_CLEAN!$J$2:$J$1001,0)),""))</f>
        <v/>
      </c>
      <c r="I933" s="10">
        <f>IF(H933="","",INDEX(BANK_CLEAN!$B$2:$B$1001,H933))</f>
        <v/>
      </c>
      <c r="J933" s="14">
        <f>IF(H933="","",IF(F933="OUT",INDEX(BANK_CLEAN!$F$2:$F$1001,H933),INDEX(BANK_CLEAN!$E$2:$E$1001,H933)))</f>
        <v/>
      </c>
      <c r="K933" s="14">
        <f>IF(H933="","",ABS(E933-J933))</f>
        <v/>
      </c>
      <c r="L933" s="11">
        <f>IF(OR(H933="",B933="",I933=""),"",ABS(B933-I933))</f>
        <v/>
      </c>
      <c r="M933" s="15">
        <f>IF(H933="",0,LET(pct,IF(E933&gt;0,K933/E933,1),days,IFERROR(L933,999),100-pct*200-days*3))</f>
        <v/>
      </c>
      <c r="N933" s="11">
        <f>IF(A933="","",IF(H933="","Unmatched GL",IF(AND(K933&lt;=Tol_Amount,L933&lt;=Tol_Days),"Matched",IF(M933&gt;Tol_NearPct,"Near Match","Unmatched GL"))))</f>
        <v/>
      </c>
    </row>
    <row r="934">
      <c r="A934" s="13">
        <f>IF(GL_CLEAN!A934="","",GL_CLEAN!A934)</f>
        <v/>
      </c>
      <c r="B934" s="10">
        <f>IF(A934="","",GL_CLEAN!B934)</f>
        <v/>
      </c>
      <c r="C934" s="11">
        <f>IF(A934="","",GL_CLEAN!C934)</f>
        <v/>
      </c>
      <c r="D934" s="14">
        <f>IF(A934="","",GL_CLEAN!H934)</f>
        <v/>
      </c>
      <c r="E934" s="14">
        <f>IF(A934="","",GL_CLEAN!I934)</f>
        <v/>
      </c>
      <c r="F934" s="11">
        <f>IF(A934="","",GL_CLEAN!J934)</f>
        <v/>
      </c>
      <c r="G934" s="11">
        <f>IF(A934="","",IF(F934="OUT","DR","CR"))</f>
        <v/>
      </c>
      <c r="H934" s="11">
        <f>IF(A934="","",IFERROR(INDEX(BANK_CLEAN!$A$2:$A$1001,MATCH(MINIFS(BANK_CLEAN!$J$2:$J$1001,BANK_CLEAN!$H$2:$H$1001,G934,BANK_CLEAN!$L$2:$L$1001,""),BANK_CLEAN!$J$2:$J$1001,0)),""))</f>
        <v/>
      </c>
      <c r="I934" s="10">
        <f>IF(H934="","",INDEX(BANK_CLEAN!$B$2:$B$1001,H934))</f>
        <v/>
      </c>
      <c r="J934" s="14">
        <f>IF(H934="","",IF(F934="OUT",INDEX(BANK_CLEAN!$F$2:$F$1001,H934),INDEX(BANK_CLEAN!$E$2:$E$1001,H934)))</f>
        <v/>
      </c>
      <c r="K934" s="14">
        <f>IF(H934="","",ABS(E934-J934))</f>
        <v/>
      </c>
      <c r="L934" s="11">
        <f>IF(OR(H934="",B934="",I934=""),"",ABS(B934-I934))</f>
        <v/>
      </c>
      <c r="M934" s="15">
        <f>IF(H934="",0,LET(pct,IF(E934&gt;0,K934/E934,1),days,IFERROR(L934,999),100-pct*200-days*3))</f>
        <v/>
      </c>
      <c r="N934" s="11">
        <f>IF(A934="","",IF(H934="","Unmatched GL",IF(AND(K934&lt;=Tol_Amount,L934&lt;=Tol_Days),"Matched",IF(M934&gt;Tol_NearPct,"Near Match","Unmatched GL"))))</f>
        <v/>
      </c>
    </row>
    <row r="935">
      <c r="A935" s="13">
        <f>IF(GL_CLEAN!A935="","",GL_CLEAN!A935)</f>
        <v/>
      </c>
      <c r="B935" s="10">
        <f>IF(A935="","",GL_CLEAN!B935)</f>
        <v/>
      </c>
      <c r="C935" s="11">
        <f>IF(A935="","",GL_CLEAN!C935)</f>
        <v/>
      </c>
      <c r="D935" s="14">
        <f>IF(A935="","",GL_CLEAN!H935)</f>
        <v/>
      </c>
      <c r="E935" s="14">
        <f>IF(A935="","",GL_CLEAN!I935)</f>
        <v/>
      </c>
      <c r="F935" s="11">
        <f>IF(A935="","",GL_CLEAN!J935)</f>
        <v/>
      </c>
      <c r="G935" s="11">
        <f>IF(A935="","",IF(F935="OUT","DR","CR"))</f>
        <v/>
      </c>
      <c r="H935" s="11">
        <f>IF(A935="","",IFERROR(INDEX(BANK_CLEAN!$A$2:$A$1001,MATCH(MINIFS(BANK_CLEAN!$J$2:$J$1001,BANK_CLEAN!$H$2:$H$1001,G935,BANK_CLEAN!$L$2:$L$1001,""),BANK_CLEAN!$J$2:$J$1001,0)),""))</f>
        <v/>
      </c>
      <c r="I935" s="10">
        <f>IF(H935="","",INDEX(BANK_CLEAN!$B$2:$B$1001,H935))</f>
        <v/>
      </c>
      <c r="J935" s="14">
        <f>IF(H935="","",IF(F935="OUT",INDEX(BANK_CLEAN!$F$2:$F$1001,H935),INDEX(BANK_CLEAN!$E$2:$E$1001,H935)))</f>
        <v/>
      </c>
      <c r="K935" s="14">
        <f>IF(H935="","",ABS(E935-J935))</f>
        <v/>
      </c>
      <c r="L935" s="11">
        <f>IF(OR(H935="",B935="",I935=""),"",ABS(B935-I935))</f>
        <v/>
      </c>
      <c r="M935" s="15">
        <f>IF(H935="",0,LET(pct,IF(E935&gt;0,K935/E935,1),days,IFERROR(L935,999),100-pct*200-days*3))</f>
        <v/>
      </c>
      <c r="N935" s="11">
        <f>IF(A935="","",IF(H935="","Unmatched GL",IF(AND(K935&lt;=Tol_Amount,L935&lt;=Tol_Days),"Matched",IF(M935&gt;Tol_NearPct,"Near Match","Unmatched GL"))))</f>
        <v/>
      </c>
    </row>
    <row r="936">
      <c r="A936" s="13">
        <f>IF(GL_CLEAN!A936="","",GL_CLEAN!A936)</f>
        <v/>
      </c>
      <c r="B936" s="10">
        <f>IF(A936="","",GL_CLEAN!B936)</f>
        <v/>
      </c>
      <c r="C936" s="11">
        <f>IF(A936="","",GL_CLEAN!C936)</f>
        <v/>
      </c>
      <c r="D936" s="14">
        <f>IF(A936="","",GL_CLEAN!H936)</f>
        <v/>
      </c>
      <c r="E936" s="14">
        <f>IF(A936="","",GL_CLEAN!I936)</f>
        <v/>
      </c>
      <c r="F936" s="11">
        <f>IF(A936="","",GL_CLEAN!J936)</f>
        <v/>
      </c>
      <c r="G936" s="11">
        <f>IF(A936="","",IF(F936="OUT","DR","CR"))</f>
        <v/>
      </c>
      <c r="H936" s="11">
        <f>IF(A936="","",IFERROR(INDEX(BANK_CLEAN!$A$2:$A$1001,MATCH(MINIFS(BANK_CLEAN!$J$2:$J$1001,BANK_CLEAN!$H$2:$H$1001,G936,BANK_CLEAN!$L$2:$L$1001,""),BANK_CLEAN!$J$2:$J$1001,0)),""))</f>
        <v/>
      </c>
      <c r="I936" s="10">
        <f>IF(H936="","",INDEX(BANK_CLEAN!$B$2:$B$1001,H936))</f>
        <v/>
      </c>
      <c r="J936" s="14">
        <f>IF(H936="","",IF(F936="OUT",INDEX(BANK_CLEAN!$F$2:$F$1001,H936),INDEX(BANK_CLEAN!$E$2:$E$1001,H936)))</f>
        <v/>
      </c>
      <c r="K936" s="14">
        <f>IF(H936="","",ABS(E936-J936))</f>
        <v/>
      </c>
      <c r="L936" s="11">
        <f>IF(OR(H936="",B936="",I936=""),"",ABS(B936-I936))</f>
        <v/>
      </c>
      <c r="M936" s="15">
        <f>IF(H936="",0,LET(pct,IF(E936&gt;0,K936/E936,1),days,IFERROR(L936,999),100-pct*200-days*3))</f>
        <v/>
      </c>
      <c r="N936" s="11">
        <f>IF(A936="","",IF(H936="","Unmatched GL",IF(AND(K936&lt;=Tol_Amount,L936&lt;=Tol_Days),"Matched",IF(M936&gt;Tol_NearPct,"Near Match","Unmatched GL"))))</f>
        <v/>
      </c>
    </row>
    <row r="937">
      <c r="A937" s="13">
        <f>IF(GL_CLEAN!A937="","",GL_CLEAN!A937)</f>
        <v/>
      </c>
      <c r="B937" s="10">
        <f>IF(A937="","",GL_CLEAN!B937)</f>
        <v/>
      </c>
      <c r="C937" s="11">
        <f>IF(A937="","",GL_CLEAN!C937)</f>
        <v/>
      </c>
      <c r="D937" s="14">
        <f>IF(A937="","",GL_CLEAN!H937)</f>
        <v/>
      </c>
      <c r="E937" s="14">
        <f>IF(A937="","",GL_CLEAN!I937)</f>
        <v/>
      </c>
      <c r="F937" s="11">
        <f>IF(A937="","",GL_CLEAN!J937)</f>
        <v/>
      </c>
      <c r="G937" s="11">
        <f>IF(A937="","",IF(F937="OUT","DR","CR"))</f>
        <v/>
      </c>
      <c r="H937" s="11">
        <f>IF(A937="","",IFERROR(INDEX(BANK_CLEAN!$A$2:$A$1001,MATCH(MINIFS(BANK_CLEAN!$J$2:$J$1001,BANK_CLEAN!$H$2:$H$1001,G937,BANK_CLEAN!$L$2:$L$1001,""),BANK_CLEAN!$J$2:$J$1001,0)),""))</f>
        <v/>
      </c>
      <c r="I937" s="10">
        <f>IF(H937="","",INDEX(BANK_CLEAN!$B$2:$B$1001,H937))</f>
        <v/>
      </c>
      <c r="J937" s="14">
        <f>IF(H937="","",IF(F937="OUT",INDEX(BANK_CLEAN!$F$2:$F$1001,H937),INDEX(BANK_CLEAN!$E$2:$E$1001,H937)))</f>
        <v/>
      </c>
      <c r="K937" s="14">
        <f>IF(H937="","",ABS(E937-J937))</f>
        <v/>
      </c>
      <c r="L937" s="11">
        <f>IF(OR(H937="",B937="",I937=""),"",ABS(B937-I937))</f>
        <v/>
      </c>
      <c r="M937" s="15">
        <f>IF(H937="",0,LET(pct,IF(E937&gt;0,K937/E937,1),days,IFERROR(L937,999),100-pct*200-days*3))</f>
        <v/>
      </c>
      <c r="N937" s="11">
        <f>IF(A937="","",IF(H937="","Unmatched GL",IF(AND(K937&lt;=Tol_Amount,L937&lt;=Tol_Days),"Matched",IF(M937&gt;Tol_NearPct,"Near Match","Unmatched GL"))))</f>
        <v/>
      </c>
    </row>
    <row r="938">
      <c r="A938" s="13">
        <f>IF(GL_CLEAN!A938="","",GL_CLEAN!A938)</f>
        <v/>
      </c>
      <c r="B938" s="10">
        <f>IF(A938="","",GL_CLEAN!B938)</f>
        <v/>
      </c>
      <c r="C938" s="11">
        <f>IF(A938="","",GL_CLEAN!C938)</f>
        <v/>
      </c>
      <c r="D938" s="14">
        <f>IF(A938="","",GL_CLEAN!H938)</f>
        <v/>
      </c>
      <c r="E938" s="14">
        <f>IF(A938="","",GL_CLEAN!I938)</f>
        <v/>
      </c>
      <c r="F938" s="11">
        <f>IF(A938="","",GL_CLEAN!J938)</f>
        <v/>
      </c>
      <c r="G938" s="11">
        <f>IF(A938="","",IF(F938="OUT","DR","CR"))</f>
        <v/>
      </c>
      <c r="H938" s="11">
        <f>IF(A938="","",IFERROR(INDEX(BANK_CLEAN!$A$2:$A$1001,MATCH(MINIFS(BANK_CLEAN!$J$2:$J$1001,BANK_CLEAN!$H$2:$H$1001,G938,BANK_CLEAN!$L$2:$L$1001,""),BANK_CLEAN!$J$2:$J$1001,0)),""))</f>
        <v/>
      </c>
      <c r="I938" s="10">
        <f>IF(H938="","",INDEX(BANK_CLEAN!$B$2:$B$1001,H938))</f>
        <v/>
      </c>
      <c r="J938" s="14">
        <f>IF(H938="","",IF(F938="OUT",INDEX(BANK_CLEAN!$F$2:$F$1001,H938),INDEX(BANK_CLEAN!$E$2:$E$1001,H938)))</f>
        <v/>
      </c>
      <c r="K938" s="14">
        <f>IF(H938="","",ABS(E938-J938))</f>
        <v/>
      </c>
      <c r="L938" s="11">
        <f>IF(OR(H938="",B938="",I938=""),"",ABS(B938-I938))</f>
        <v/>
      </c>
      <c r="M938" s="15">
        <f>IF(H938="",0,LET(pct,IF(E938&gt;0,K938/E938,1),days,IFERROR(L938,999),100-pct*200-days*3))</f>
        <v/>
      </c>
      <c r="N938" s="11">
        <f>IF(A938="","",IF(H938="","Unmatched GL",IF(AND(K938&lt;=Tol_Amount,L938&lt;=Tol_Days),"Matched",IF(M938&gt;Tol_NearPct,"Near Match","Unmatched GL"))))</f>
        <v/>
      </c>
    </row>
    <row r="939">
      <c r="A939" s="13">
        <f>IF(GL_CLEAN!A939="","",GL_CLEAN!A939)</f>
        <v/>
      </c>
      <c r="B939" s="10">
        <f>IF(A939="","",GL_CLEAN!B939)</f>
        <v/>
      </c>
      <c r="C939" s="11">
        <f>IF(A939="","",GL_CLEAN!C939)</f>
        <v/>
      </c>
      <c r="D939" s="14">
        <f>IF(A939="","",GL_CLEAN!H939)</f>
        <v/>
      </c>
      <c r="E939" s="14">
        <f>IF(A939="","",GL_CLEAN!I939)</f>
        <v/>
      </c>
      <c r="F939" s="11">
        <f>IF(A939="","",GL_CLEAN!J939)</f>
        <v/>
      </c>
      <c r="G939" s="11">
        <f>IF(A939="","",IF(F939="OUT","DR","CR"))</f>
        <v/>
      </c>
      <c r="H939" s="11">
        <f>IF(A939="","",IFERROR(INDEX(BANK_CLEAN!$A$2:$A$1001,MATCH(MINIFS(BANK_CLEAN!$J$2:$J$1001,BANK_CLEAN!$H$2:$H$1001,G939,BANK_CLEAN!$L$2:$L$1001,""),BANK_CLEAN!$J$2:$J$1001,0)),""))</f>
        <v/>
      </c>
      <c r="I939" s="10">
        <f>IF(H939="","",INDEX(BANK_CLEAN!$B$2:$B$1001,H939))</f>
        <v/>
      </c>
      <c r="J939" s="14">
        <f>IF(H939="","",IF(F939="OUT",INDEX(BANK_CLEAN!$F$2:$F$1001,H939),INDEX(BANK_CLEAN!$E$2:$E$1001,H939)))</f>
        <v/>
      </c>
      <c r="K939" s="14">
        <f>IF(H939="","",ABS(E939-J939))</f>
        <v/>
      </c>
      <c r="L939" s="11">
        <f>IF(OR(H939="",B939="",I939=""),"",ABS(B939-I939))</f>
        <v/>
      </c>
      <c r="M939" s="15">
        <f>IF(H939="",0,LET(pct,IF(E939&gt;0,K939/E939,1),days,IFERROR(L939,999),100-pct*200-days*3))</f>
        <v/>
      </c>
      <c r="N939" s="11">
        <f>IF(A939="","",IF(H939="","Unmatched GL",IF(AND(K939&lt;=Tol_Amount,L939&lt;=Tol_Days),"Matched",IF(M939&gt;Tol_NearPct,"Near Match","Unmatched GL"))))</f>
        <v/>
      </c>
    </row>
    <row r="940">
      <c r="A940" s="13">
        <f>IF(GL_CLEAN!A940="","",GL_CLEAN!A940)</f>
        <v/>
      </c>
      <c r="B940" s="10">
        <f>IF(A940="","",GL_CLEAN!B940)</f>
        <v/>
      </c>
      <c r="C940" s="11">
        <f>IF(A940="","",GL_CLEAN!C940)</f>
        <v/>
      </c>
      <c r="D940" s="14">
        <f>IF(A940="","",GL_CLEAN!H940)</f>
        <v/>
      </c>
      <c r="E940" s="14">
        <f>IF(A940="","",GL_CLEAN!I940)</f>
        <v/>
      </c>
      <c r="F940" s="11">
        <f>IF(A940="","",GL_CLEAN!J940)</f>
        <v/>
      </c>
      <c r="G940" s="11">
        <f>IF(A940="","",IF(F940="OUT","DR","CR"))</f>
        <v/>
      </c>
      <c r="H940" s="11">
        <f>IF(A940="","",IFERROR(INDEX(BANK_CLEAN!$A$2:$A$1001,MATCH(MINIFS(BANK_CLEAN!$J$2:$J$1001,BANK_CLEAN!$H$2:$H$1001,G940,BANK_CLEAN!$L$2:$L$1001,""),BANK_CLEAN!$J$2:$J$1001,0)),""))</f>
        <v/>
      </c>
      <c r="I940" s="10">
        <f>IF(H940="","",INDEX(BANK_CLEAN!$B$2:$B$1001,H940))</f>
        <v/>
      </c>
      <c r="J940" s="14">
        <f>IF(H940="","",IF(F940="OUT",INDEX(BANK_CLEAN!$F$2:$F$1001,H940),INDEX(BANK_CLEAN!$E$2:$E$1001,H940)))</f>
        <v/>
      </c>
      <c r="K940" s="14">
        <f>IF(H940="","",ABS(E940-J940))</f>
        <v/>
      </c>
      <c r="L940" s="11">
        <f>IF(OR(H940="",B940="",I940=""),"",ABS(B940-I940))</f>
        <v/>
      </c>
      <c r="M940" s="15">
        <f>IF(H940="",0,LET(pct,IF(E940&gt;0,K940/E940,1),days,IFERROR(L940,999),100-pct*200-days*3))</f>
        <v/>
      </c>
      <c r="N940" s="11">
        <f>IF(A940="","",IF(H940="","Unmatched GL",IF(AND(K940&lt;=Tol_Amount,L940&lt;=Tol_Days),"Matched",IF(M940&gt;Tol_NearPct,"Near Match","Unmatched GL"))))</f>
        <v/>
      </c>
    </row>
    <row r="941">
      <c r="A941" s="13">
        <f>IF(GL_CLEAN!A941="","",GL_CLEAN!A941)</f>
        <v/>
      </c>
      <c r="B941" s="10">
        <f>IF(A941="","",GL_CLEAN!B941)</f>
        <v/>
      </c>
      <c r="C941" s="11">
        <f>IF(A941="","",GL_CLEAN!C941)</f>
        <v/>
      </c>
      <c r="D941" s="14">
        <f>IF(A941="","",GL_CLEAN!H941)</f>
        <v/>
      </c>
      <c r="E941" s="14">
        <f>IF(A941="","",GL_CLEAN!I941)</f>
        <v/>
      </c>
      <c r="F941" s="11">
        <f>IF(A941="","",GL_CLEAN!J941)</f>
        <v/>
      </c>
      <c r="G941" s="11">
        <f>IF(A941="","",IF(F941="OUT","DR","CR"))</f>
        <v/>
      </c>
      <c r="H941" s="11">
        <f>IF(A941="","",IFERROR(INDEX(BANK_CLEAN!$A$2:$A$1001,MATCH(MINIFS(BANK_CLEAN!$J$2:$J$1001,BANK_CLEAN!$H$2:$H$1001,G941,BANK_CLEAN!$L$2:$L$1001,""),BANK_CLEAN!$J$2:$J$1001,0)),""))</f>
        <v/>
      </c>
      <c r="I941" s="10">
        <f>IF(H941="","",INDEX(BANK_CLEAN!$B$2:$B$1001,H941))</f>
        <v/>
      </c>
      <c r="J941" s="14">
        <f>IF(H941="","",IF(F941="OUT",INDEX(BANK_CLEAN!$F$2:$F$1001,H941),INDEX(BANK_CLEAN!$E$2:$E$1001,H941)))</f>
        <v/>
      </c>
      <c r="K941" s="14">
        <f>IF(H941="","",ABS(E941-J941))</f>
        <v/>
      </c>
      <c r="L941" s="11">
        <f>IF(OR(H941="",B941="",I941=""),"",ABS(B941-I941))</f>
        <v/>
      </c>
      <c r="M941" s="15">
        <f>IF(H941="",0,LET(pct,IF(E941&gt;0,K941/E941,1),days,IFERROR(L941,999),100-pct*200-days*3))</f>
        <v/>
      </c>
      <c r="N941" s="11">
        <f>IF(A941="","",IF(H941="","Unmatched GL",IF(AND(K941&lt;=Tol_Amount,L941&lt;=Tol_Days),"Matched",IF(M941&gt;Tol_NearPct,"Near Match","Unmatched GL"))))</f>
        <v/>
      </c>
    </row>
    <row r="942">
      <c r="A942" s="13">
        <f>IF(GL_CLEAN!A942="","",GL_CLEAN!A942)</f>
        <v/>
      </c>
      <c r="B942" s="10">
        <f>IF(A942="","",GL_CLEAN!B942)</f>
        <v/>
      </c>
      <c r="C942" s="11">
        <f>IF(A942="","",GL_CLEAN!C942)</f>
        <v/>
      </c>
      <c r="D942" s="14">
        <f>IF(A942="","",GL_CLEAN!H942)</f>
        <v/>
      </c>
      <c r="E942" s="14">
        <f>IF(A942="","",GL_CLEAN!I942)</f>
        <v/>
      </c>
      <c r="F942" s="11">
        <f>IF(A942="","",GL_CLEAN!J942)</f>
        <v/>
      </c>
      <c r="G942" s="11">
        <f>IF(A942="","",IF(F942="OUT","DR","CR"))</f>
        <v/>
      </c>
      <c r="H942" s="11">
        <f>IF(A942="","",IFERROR(INDEX(BANK_CLEAN!$A$2:$A$1001,MATCH(MINIFS(BANK_CLEAN!$J$2:$J$1001,BANK_CLEAN!$H$2:$H$1001,G942,BANK_CLEAN!$L$2:$L$1001,""),BANK_CLEAN!$J$2:$J$1001,0)),""))</f>
        <v/>
      </c>
      <c r="I942" s="10">
        <f>IF(H942="","",INDEX(BANK_CLEAN!$B$2:$B$1001,H942))</f>
        <v/>
      </c>
      <c r="J942" s="14">
        <f>IF(H942="","",IF(F942="OUT",INDEX(BANK_CLEAN!$F$2:$F$1001,H942),INDEX(BANK_CLEAN!$E$2:$E$1001,H942)))</f>
        <v/>
      </c>
      <c r="K942" s="14">
        <f>IF(H942="","",ABS(E942-J942))</f>
        <v/>
      </c>
      <c r="L942" s="11">
        <f>IF(OR(H942="",B942="",I942=""),"",ABS(B942-I942))</f>
        <v/>
      </c>
      <c r="M942" s="15">
        <f>IF(H942="",0,LET(pct,IF(E942&gt;0,K942/E942,1),days,IFERROR(L942,999),100-pct*200-days*3))</f>
        <v/>
      </c>
      <c r="N942" s="11">
        <f>IF(A942="","",IF(H942="","Unmatched GL",IF(AND(K942&lt;=Tol_Amount,L942&lt;=Tol_Days),"Matched",IF(M942&gt;Tol_NearPct,"Near Match","Unmatched GL"))))</f>
        <v/>
      </c>
    </row>
    <row r="943">
      <c r="A943" s="13">
        <f>IF(GL_CLEAN!A943="","",GL_CLEAN!A943)</f>
        <v/>
      </c>
      <c r="B943" s="10">
        <f>IF(A943="","",GL_CLEAN!B943)</f>
        <v/>
      </c>
      <c r="C943" s="11">
        <f>IF(A943="","",GL_CLEAN!C943)</f>
        <v/>
      </c>
      <c r="D943" s="14">
        <f>IF(A943="","",GL_CLEAN!H943)</f>
        <v/>
      </c>
      <c r="E943" s="14">
        <f>IF(A943="","",GL_CLEAN!I943)</f>
        <v/>
      </c>
      <c r="F943" s="11">
        <f>IF(A943="","",GL_CLEAN!J943)</f>
        <v/>
      </c>
      <c r="G943" s="11">
        <f>IF(A943="","",IF(F943="OUT","DR","CR"))</f>
        <v/>
      </c>
      <c r="H943" s="11">
        <f>IF(A943="","",IFERROR(INDEX(BANK_CLEAN!$A$2:$A$1001,MATCH(MINIFS(BANK_CLEAN!$J$2:$J$1001,BANK_CLEAN!$H$2:$H$1001,G943,BANK_CLEAN!$L$2:$L$1001,""),BANK_CLEAN!$J$2:$J$1001,0)),""))</f>
        <v/>
      </c>
      <c r="I943" s="10">
        <f>IF(H943="","",INDEX(BANK_CLEAN!$B$2:$B$1001,H943))</f>
        <v/>
      </c>
      <c r="J943" s="14">
        <f>IF(H943="","",IF(F943="OUT",INDEX(BANK_CLEAN!$F$2:$F$1001,H943),INDEX(BANK_CLEAN!$E$2:$E$1001,H943)))</f>
        <v/>
      </c>
      <c r="K943" s="14">
        <f>IF(H943="","",ABS(E943-J943))</f>
        <v/>
      </c>
      <c r="L943" s="11">
        <f>IF(OR(H943="",B943="",I943=""),"",ABS(B943-I943))</f>
        <v/>
      </c>
      <c r="M943" s="15">
        <f>IF(H943="",0,LET(pct,IF(E943&gt;0,K943/E943,1),days,IFERROR(L943,999),100-pct*200-days*3))</f>
        <v/>
      </c>
      <c r="N943" s="11">
        <f>IF(A943="","",IF(H943="","Unmatched GL",IF(AND(K943&lt;=Tol_Amount,L943&lt;=Tol_Days),"Matched",IF(M943&gt;Tol_NearPct,"Near Match","Unmatched GL"))))</f>
        <v/>
      </c>
    </row>
    <row r="944">
      <c r="A944" s="13">
        <f>IF(GL_CLEAN!A944="","",GL_CLEAN!A944)</f>
        <v/>
      </c>
      <c r="B944" s="10">
        <f>IF(A944="","",GL_CLEAN!B944)</f>
        <v/>
      </c>
      <c r="C944" s="11">
        <f>IF(A944="","",GL_CLEAN!C944)</f>
        <v/>
      </c>
      <c r="D944" s="14">
        <f>IF(A944="","",GL_CLEAN!H944)</f>
        <v/>
      </c>
      <c r="E944" s="14">
        <f>IF(A944="","",GL_CLEAN!I944)</f>
        <v/>
      </c>
      <c r="F944" s="11">
        <f>IF(A944="","",GL_CLEAN!J944)</f>
        <v/>
      </c>
      <c r="G944" s="11">
        <f>IF(A944="","",IF(F944="OUT","DR","CR"))</f>
        <v/>
      </c>
      <c r="H944" s="11">
        <f>IF(A944="","",IFERROR(INDEX(BANK_CLEAN!$A$2:$A$1001,MATCH(MINIFS(BANK_CLEAN!$J$2:$J$1001,BANK_CLEAN!$H$2:$H$1001,G944,BANK_CLEAN!$L$2:$L$1001,""),BANK_CLEAN!$J$2:$J$1001,0)),""))</f>
        <v/>
      </c>
      <c r="I944" s="10">
        <f>IF(H944="","",INDEX(BANK_CLEAN!$B$2:$B$1001,H944))</f>
        <v/>
      </c>
      <c r="J944" s="14">
        <f>IF(H944="","",IF(F944="OUT",INDEX(BANK_CLEAN!$F$2:$F$1001,H944),INDEX(BANK_CLEAN!$E$2:$E$1001,H944)))</f>
        <v/>
      </c>
      <c r="K944" s="14">
        <f>IF(H944="","",ABS(E944-J944))</f>
        <v/>
      </c>
      <c r="L944" s="11">
        <f>IF(OR(H944="",B944="",I944=""),"",ABS(B944-I944))</f>
        <v/>
      </c>
      <c r="M944" s="15">
        <f>IF(H944="",0,LET(pct,IF(E944&gt;0,K944/E944,1),days,IFERROR(L944,999),100-pct*200-days*3))</f>
        <v/>
      </c>
      <c r="N944" s="11">
        <f>IF(A944="","",IF(H944="","Unmatched GL",IF(AND(K944&lt;=Tol_Amount,L944&lt;=Tol_Days),"Matched",IF(M944&gt;Tol_NearPct,"Near Match","Unmatched GL"))))</f>
        <v/>
      </c>
    </row>
    <row r="945">
      <c r="A945" s="13">
        <f>IF(GL_CLEAN!A945="","",GL_CLEAN!A945)</f>
        <v/>
      </c>
      <c r="B945" s="10">
        <f>IF(A945="","",GL_CLEAN!B945)</f>
        <v/>
      </c>
      <c r="C945" s="11">
        <f>IF(A945="","",GL_CLEAN!C945)</f>
        <v/>
      </c>
      <c r="D945" s="14">
        <f>IF(A945="","",GL_CLEAN!H945)</f>
        <v/>
      </c>
      <c r="E945" s="14">
        <f>IF(A945="","",GL_CLEAN!I945)</f>
        <v/>
      </c>
      <c r="F945" s="11">
        <f>IF(A945="","",GL_CLEAN!J945)</f>
        <v/>
      </c>
      <c r="G945" s="11">
        <f>IF(A945="","",IF(F945="OUT","DR","CR"))</f>
        <v/>
      </c>
      <c r="H945" s="11">
        <f>IF(A945="","",IFERROR(INDEX(BANK_CLEAN!$A$2:$A$1001,MATCH(MINIFS(BANK_CLEAN!$J$2:$J$1001,BANK_CLEAN!$H$2:$H$1001,G945,BANK_CLEAN!$L$2:$L$1001,""),BANK_CLEAN!$J$2:$J$1001,0)),""))</f>
        <v/>
      </c>
      <c r="I945" s="10">
        <f>IF(H945="","",INDEX(BANK_CLEAN!$B$2:$B$1001,H945))</f>
        <v/>
      </c>
      <c r="J945" s="14">
        <f>IF(H945="","",IF(F945="OUT",INDEX(BANK_CLEAN!$F$2:$F$1001,H945),INDEX(BANK_CLEAN!$E$2:$E$1001,H945)))</f>
        <v/>
      </c>
      <c r="K945" s="14">
        <f>IF(H945="","",ABS(E945-J945))</f>
        <v/>
      </c>
      <c r="L945" s="11">
        <f>IF(OR(H945="",B945="",I945=""),"",ABS(B945-I945))</f>
        <v/>
      </c>
      <c r="M945" s="15">
        <f>IF(H945="",0,LET(pct,IF(E945&gt;0,K945/E945,1),days,IFERROR(L945,999),100-pct*200-days*3))</f>
        <v/>
      </c>
      <c r="N945" s="11">
        <f>IF(A945="","",IF(H945="","Unmatched GL",IF(AND(K945&lt;=Tol_Amount,L945&lt;=Tol_Days),"Matched",IF(M945&gt;Tol_NearPct,"Near Match","Unmatched GL"))))</f>
        <v/>
      </c>
    </row>
    <row r="946">
      <c r="A946" s="13">
        <f>IF(GL_CLEAN!A946="","",GL_CLEAN!A946)</f>
        <v/>
      </c>
      <c r="B946" s="10">
        <f>IF(A946="","",GL_CLEAN!B946)</f>
        <v/>
      </c>
      <c r="C946" s="11">
        <f>IF(A946="","",GL_CLEAN!C946)</f>
        <v/>
      </c>
      <c r="D946" s="14">
        <f>IF(A946="","",GL_CLEAN!H946)</f>
        <v/>
      </c>
      <c r="E946" s="14">
        <f>IF(A946="","",GL_CLEAN!I946)</f>
        <v/>
      </c>
      <c r="F946" s="11">
        <f>IF(A946="","",GL_CLEAN!J946)</f>
        <v/>
      </c>
      <c r="G946" s="11">
        <f>IF(A946="","",IF(F946="OUT","DR","CR"))</f>
        <v/>
      </c>
      <c r="H946" s="11">
        <f>IF(A946="","",IFERROR(INDEX(BANK_CLEAN!$A$2:$A$1001,MATCH(MINIFS(BANK_CLEAN!$J$2:$J$1001,BANK_CLEAN!$H$2:$H$1001,G946,BANK_CLEAN!$L$2:$L$1001,""),BANK_CLEAN!$J$2:$J$1001,0)),""))</f>
        <v/>
      </c>
      <c r="I946" s="10">
        <f>IF(H946="","",INDEX(BANK_CLEAN!$B$2:$B$1001,H946))</f>
        <v/>
      </c>
      <c r="J946" s="14">
        <f>IF(H946="","",IF(F946="OUT",INDEX(BANK_CLEAN!$F$2:$F$1001,H946),INDEX(BANK_CLEAN!$E$2:$E$1001,H946)))</f>
        <v/>
      </c>
      <c r="K946" s="14">
        <f>IF(H946="","",ABS(E946-J946))</f>
        <v/>
      </c>
      <c r="L946" s="11">
        <f>IF(OR(H946="",B946="",I946=""),"",ABS(B946-I946))</f>
        <v/>
      </c>
      <c r="M946" s="15">
        <f>IF(H946="",0,LET(pct,IF(E946&gt;0,K946/E946,1),days,IFERROR(L946,999),100-pct*200-days*3))</f>
        <v/>
      </c>
      <c r="N946" s="11">
        <f>IF(A946="","",IF(H946="","Unmatched GL",IF(AND(K946&lt;=Tol_Amount,L946&lt;=Tol_Days),"Matched",IF(M946&gt;Tol_NearPct,"Near Match","Unmatched GL"))))</f>
        <v/>
      </c>
    </row>
    <row r="947">
      <c r="A947" s="13">
        <f>IF(GL_CLEAN!A947="","",GL_CLEAN!A947)</f>
        <v/>
      </c>
      <c r="B947" s="10">
        <f>IF(A947="","",GL_CLEAN!B947)</f>
        <v/>
      </c>
      <c r="C947" s="11">
        <f>IF(A947="","",GL_CLEAN!C947)</f>
        <v/>
      </c>
      <c r="D947" s="14">
        <f>IF(A947="","",GL_CLEAN!H947)</f>
        <v/>
      </c>
      <c r="E947" s="14">
        <f>IF(A947="","",GL_CLEAN!I947)</f>
        <v/>
      </c>
      <c r="F947" s="11">
        <f>IF(A947="","",GL_CLEAN!J947)</f>
        <v/>
      </c>
      <c r="G947" s="11">
        <f>IF(A947="","",IF(F947="OUT","DR","CR"))</f>
        <v/>
      </c>
      <c r="H947" s="11">
        <f>IF(A947="","",IFERROR(INDEX(BANK_CLEAN!$A$2:$A$1001,MATCH(MINIFS(BANK_CLEAN!$J$2:$J$1001,BANK_CLEAN!$H$2:$H$1001,G947,BANK_CLEAN!$L$2:$L$1001,""),BANK_CLEAN!$J$2:$J$1001,0)),""))</f>
        <v/>
      </c>
      <c r="I947" s="10">
        <f>IF(H947="","",INDEX(BANK_CLEAN!$B$2:$B$1001,H947))</f>
        <v/>
      </c>
      <c r="J947" s="14">
        <f>IF(H947="","",IF(F947="OUT",INDEX(BANK_CLEAN!$F$2:$F$1001,H947),INDEX(BANK_CLEAN!$E$2:$E$1001,H947)))</f>
        <v/>
      </c>
      <c r="K947" s="14">
        <f>IF(H947="","",ABS(E947-J947))</f>
        <v/>
      </c>
      <c r="L947" s="11">
        <f>IF(OR(H947="",B947="",I947=""),"",ABS(B947-I947))</f>
        <v/>
      </c>
      <c r="M947" s="15">
        <f>IF(H947="",0,LET(pct,IF(E947&gt;0,K947/E947,1),days,IFERROR(L947,999),100-pct*200-days*3))</f>
        <v/>
      </c>
      <c r="N947" s="11">
        <f>IF(A947="","",IF(H947="","Unmatched GL",IF(AND(K947&lt;=Tol_Amount,L947&lt;=Tol_Days),"Matched",IF(M947&gt;Tol_NearPct,"Near Match","Unmatched GL"))))</f>
        <v/>
      </c>
    </row>
    <row r="948">
      <c r="A948" s="13">
        <f>IF(GL_CLEAN!A948="","",GL_CLEAN!A948)</f>
        <v/>
      </c>
      <c r="B948" s="10">
        <f>IF(A948="","",GL_CLEAN!B948)</f>
        <v/>
      </c>
      <c r="C948" s="11">
        <f>IF(A948="","",GL_CLEAN!C948)</f>
        <v/>
      </c>
      <c r="D948" s="14">
        <f>IF(A948="","",GL_CLEAN!H948)</f>
        <v/>
      </c>
      <c r="E948" s="14">
        <f>IF(A948="","",GL_CLEAN!I948)</f>
        <v/>
      </c>
      <c r="F948" s="11">
        <f>IF(A948="","",GL_CLEAN!J948)</f>
        <v/>
      </c>
      <c r="G948" s="11">
        <f>IF(A948="","",IF(F948="OUT","DR","CR"))</f>
        <v/>
      </c>
      <c r="H948" s="11">
        <f>IF(A948="","",IFERROR(INDEX(BANK_CLEAN!$A$2:$A$1001,MATCH(MINIFS(BANK_CLEAN!$J$2:$J$1001,BANK_CLEAN!$H$2:$H$1001,G948,BANK_CLEAN!$L$2:$L$1001,""),BANK_CLEAN!$J$2:$J$1001,0)),""))</f>
        <v/>
      </c>
      <c r="I948" s="10">
        <f>IF(H948="","",INDEX(BANK_CLEAN!$B$2:$B$1001,H948))</f>
        <v/>
      </c>
      <c r="J948" s="14">
        <f>IF(H948="","",IF(F948="OUT",INDEX(BANK_CLEAN!$F$2:$F$1001,H948),INDEX(BANK_CLEAN!$E$2:$E$1001,H948)))</f>
        <v/>
      </c>
      <c r="K948" s="14">
        <f>IF(H948="","",ABS(E948-J948))</f>
        <v/>
      </c>
      <c r="L948" s="11">
        <f>IF(OR(H948="",B948="",I948=""),"",ABS(B948-I948))</f>
        <v/>
      </c>
      <c r="M948" s="15">
        <f>IF(H948="",0,LET(pct,IF(E948&gt;0,K948/E948,1),days,IFERROR(L948,999),100-pct*200-days*3))</f>
        <v/>
      </c>
      <c r="N948" s="11">
        <f>IF(A948="","",IF(H948="","Unmatched GL",IF(AND(K948&lt;=Tol_Amount,L948&lt;=Tol_Days),"Matched",IF(M948&gt;Tol_NearPct,"Near Match","Unmatched GL"))))</f>
        <v/>
      </c>
    </row>
    <row r="949">
      <c r="A949" s="13">
        <f>IF(GL_CLEAN!A949="","",GL_CLEAN!A949)</f>
        <v/>
      </c>
      <c r="B949" s="10">
        <f>IF(A949="","",GL_CLEAN!B949)</f>
        <v/>
      </c>
      <c r="C949" s="11">
        <f>IF(A949="","",GL_CLEAN!C949)</f>
        <v/>
      </c>
      <c r="D949" s="14">
        <f>IF(A949="","",GL_CLEAN!H949)</f>
        <v/>
      </c>
      <c r="E949" s="14">
        <f>IF(A949="","",GL_CLEAN!I949)</f>
        <v/>
      </c>
      <c r="F949" s="11">
        <f>IF(A949="","",GL_CLEAN!J949)</f>
        <v/>
      </c>
      <c r="G949" s="11">
        <f>IF(A949="","",IF(F949="OUT","DR","CR"))</f>
        <v/>
      </c>
      <c r="H949" s="11">
        <f>IF(A949="","",IFERROR(INDEX(BANK_CLEAN!$A$2:$A$1001,MATCH(MINIFS(BANK_CLEAN!$J$2:$J$1001,BANK_CLEAN!$H$2:$H$1001,G949,BANK_CLEAN!$L$2:$L$1001,""),BANK_CLEAN!$J$2:$J$1001,0)),""))</f>
        <v/>
      </c>
      <c r="I949" s="10">
        <f>IF(H949="","",INDEX(BANK_CLEAN!$B$2:$B$1001,H949))</f>
        <v/>
      </c>
      <c r="J949" s="14">
        <f>IF(H949="","",IF(F949="OUT",INDEX(BANK_CLEAN!$F$2:$F$1001,H949),INDEX(BANK_CLEAN!$E$2:$E$1001,H949)))</f>
        <v/>
      </c>
      <c r="K949" s="14">
        <f>IF(H949="","",ABS(E949-J949))</f>
        <v/>
      </c>
      <c r="L949" s="11">
        <f>IF(OR(H949="",B949="",I949=""),"",ABS(B949-I949))</f>
        <v/>
      </c>
      <c r="M949" s="15">
        <f>IF(H949="",0,LET(pct,IF(E949&gt;0,K949/E949,1),days,IFERROR(L949,999),100-pct*200-days*3))</f>
        <v/>
      </c>
      <c r="N949" s="11">
        <f>IF(A949="","",IF(H949="","Unmatched GL",IF(AND(K949&lt;=Tol_Amount,L949&lt;=Tol_Days),"Matched",IF(M949&gt;Tol_NearPct,"Near Match","Unmatched GL"))))</f>
        <v/>
      </c>
    </row>
    <row r="950">
      <c r="A950" s="13">
        <f>IF(GL_CLEAN!A950="","",GL_CLEAN!A950)</f>
        <v/>
      </c>
      <c r="B950" s="10">
        <f>IF(A950="","",GL_CLEAN!B950)</f>
        <v/>
      </c>
      <c r="C950" s="11">
        <f>IF(A950="","",GL_CLEAN!C950)</f>
        <v/>
      </c>
      <c r="D950" s="14">
        <f>IF(A950="","",GL_CLEAN!H950)</f>
        <v/>
      </c>
      <c r="E950" s="14">
        <f>IF(A950="","",GL_CLEAN!I950)</f>
        <v/>
      </c>
      <c r="F950" s="11">
        <f>IF(A950="","",GL_CLEAN!J950)</f>
        <v/>
      </c>
      <c r="G950" s="11">
        <f>IF(A950="","",IF(F950="OUT","DR","CR"))</f>
        <v/>
      </c>
      <c r="H950" s="11">
        <f>IF(A950="","",IFERROR(INDEX(BANK_CLEAN!$A$2:$A$1001,MATCH(MINIFS(BANK_CLEAN!$J$2:$J$1001,BANK_CLEAN!$H$2:$H$1001,G950,BANK_CLEAN!$L$2:$L$1001,""),BANK_CLEAN!$J$2:$J$1001,0)),""))</f>
        <v/>
      </c>
      <c r="I950" s="10">
        <f>IF(H950="","",INDEX(BANK_CLEAN!$B$2:$B$1001,H950))</f>
        <v/>
      </c>
      <c r="J950" s="14">
        <f>IF(H950="","",IF(F950="OUT",INDEX(BANK_CLEAN!$F$2:$F$1001,H950),INDEX(BANK_CLEAN!$E$2:$E$1001,H950)))</f>
        <v/>
      </c>
      <c r="K950" s="14">
        <f>IF(H950="","",ABS(E950-J950))</f>
        <v/>
      </c>
      <c r="L950" s="11">
        <f>IF(OR(H950="",B950="",I950=""),"",ABS(B950-I950))</f>
        <v/>
      </c>
      <c r="M950" s="15">
        <f>IF(H950="",0,LET(pct,IF(E950&gt;0,K950/E950,1),days,IFERROR(L950,999),100-pct*200-days*3))</f>
        <v/>
      </c>
      <c r="N950" s="11">
        <f>IF(A950="","",IF(H950="","Unmatched GL",IF(AND(K950&lt;=Tol_Amount,L950&lt;=Tol_Days),"Matched",IF(M950&gt;Tol_NearPct,"Near Match","Unmatched GL"))))</f>
        <v/>
      </c>
    </row>
    <row r="951">
      <c r="A951" s="13">
        <f>IF(GL_CLEAN!A951="","",GL_CLEAN!A951)</f>
        <v/>
      </c>
      <c r="B951" s="10">
        <f>IF(A951="","",GL_CLEAN!B951)</f>
        <v/>
      </c>
      <c r="C951" s="11">
        <f>IF(A951="","",GL_CLEAN!C951)</f>
        <v/>
      </c>
      <c r="D951" s="14">
        <f>IF(A951="","",GL_CLEAN!H951)</f>
        <v/>
      </c>
      <c r="E951" s="14">
        <f>IF(A951="","",GL_CLEAN!I951)</f>
        <v/>
      </c>
      <c r="F951" s="11">
        <f>IF(A951="","",GL_CLEAN!J951)</f>
        <v/>
      </c>
      <c r="G951" s="11">
        <f>IF(A951="","",IF(F951="OUT","DR","CR"))</f>
        <v/>
      </c>
      <c r="H951" s="11">
        <f>IF(A951="","",IFERROR(INDEX(BANK_CLEAN!$A$2:$A$1001,MATCH(MINIFS(BANK_CLEAN!$J$2:$J$1001,BANK_CLEAN!$H$2:$H$1001,G951,BANK_CLEAN!$L$2:$L$1001,""),BANK_CLEAN!$J$2:$J$1001,0)),""))</f>
        <v/>
      </c>
      <c r="I951" s="10">
        <f>IF(H951="","",INDEX(BANK_CLEAN!$B$2:$B$1001,H951))</f>
        <v/>
      </c>
      <c r="J951" s="14">
        <f>IF(H951="","",IF(F951="OUT",INDEX(BANK_CLEAN!$F$2:$F$1001,H951),INDEX(BANK_CLEAN!$E$2:$E$1001,H951)))</f>
        <v/>
      </c>
      <c r="K951" s="14">
        <f>IF(H951="","",ABS(E951-J951))</f>
        <v/>
      </c>
      <c r="L951" s="11">
        <f>IF(OR(H951="",B951="",I951=""),"",ABS(B951-I951))</f>
        <v/>
      </c>
      <c r="M951" s="15">
        <f>IF(H951="",0,LET(pct,IF(E951&gt;0,K951/E951,1),days,IFERROR(L951,999),100-pct*200-days*3))</f>
        <v/>
      </c>
      <c r="N951" s="11">
        <f>IF(A951="","",IF(H951="","Unmatched GL",IF(AND(K951&lt;=Tol_Amount,L951&lt;=Tol_Days),"Matched",IF(M951&gt;Tol_NearPct,"Near Match","Unmatched GL"))))</f>
        <v/>
      </c>
    </row>
    <row r="952">
      <c r="A952" s="13">
        <f>IF(GL_CLEAN!A952="","",GL_CLEAN!A952)</f>
        <v/>
      </c>
      <c r="B952" s="10">
        <f>IF(A952="","",GL_CLEAN!B952)</f>
        <v/>
      </c>
      <c r="C952" s="11">
        <f>IF(A952="","",GL_CLEAN!C952)</f>
        <v/>
      </c>
      <c r="D952" s="14">
        <f>IF(A952="","",GL_CLEAN!H952)</f>
        <v/>
      </c>
      <c r="E952" s="14">
        <f>IF(A952="","",GL_CLEAN!I952)</f>
        <v/>
      </c>
      <c r="F952" s="11">
        <f>IF(A952="","",GL_CLEAN!J952)</f>
        <v/>
      </c>
      <c r="G952" s="11">
        <f>IF(A952="","",IF(F952="OUT","DR","CR"))</f>
        <v/>
      </c>
      <c r="H952" s="11">
        <f>IF(A952="","",IFERROR(INDEX(BANK_CLEAN!$A$2:$A$1001,MATCH(MINIFS(BANK_CLEAN!$J$2:$J$1001,BANK_CLEAN!$H$2:$H$1001,G952,BANK_CLEAN!$L$2:$L$1001,""),BANK_CLEAN!$J$2:$J$1001,0)),""))</f>
        <v/>
      </c>
      <c r="I952" s="10">
        <f>IF(H952="","",INDEX(BANK_CLEAN!$B$2:$B$1001,H952))</f>
        <v/>
      </c>
      <c r="J952" s="14">
        <f>IF(H952="","",IF(F952="OUT",INDEX(BANK_CLEAN!$F$2:$F$1001,H952),INDEX(BANK_CLEAN!$E$2:$E$1001,H952)))</f>
        <v/>
      </c>
      <c r="K952" s="14">
        <f>IF(H952="","",ABS(E952-J952))</f>
        <v/>
      </c>
      <c r="L952" s="11">
        <f>IF(OR(H952="",B952="",I952=""),"",ABS(B952-I952))</f>
        <v/>
      </c>
      <c r="M952" s="15">
        <f>IF(H952="",0,LET(pct,IF(E952&gt;0,K952/E952,1),days,IFERROR(L952,999),100-pct*200-days*3))</f>
        <v/>
      </c>
      <c r="N952" s="11">
        <f>IF(A952="","",IF(H952="","Unmatched GL",IF(AND(K952&lt;=Tol_Amount,L952&lt;=Tol_Days),"Matched",IF(M952&gt;Tol_NearPct,"Near Match","Unmatched GL"))))</f>
        <v/>
      </c>
    </row>
    <row r="953">
      <c r="A953" s="13">
        <f>IF(GL_CLEAN!A953="","",GL_CLEAN!A953)</f>
        <v/>
      </c>
      <c r="B953" s="10">
        <f>IF(A953="","",GL_CLEAN!B953)</f>
        <v/>
      </c>
      <c r="C953" s="11">
        <f>IF(A953="","",GL_CLEAN!C953)</f>
        <v/>
      </c>
      <c r="D953" s="14">
        <f>IF(A953="","",GL_CLEAN!H953)</f>
        <v/>
      </c>
      <c r="E953" s="14">
        <f>IF(A953="","",GL_CLEAN!I953)</f>
        <v/>
      </c>
      <c r="F953" s="11">
        <f>IF(A953="","",GL_CLEAN!J953)</f>
        <v/>
      </c>
      <c r="G953" s="11">
        <f>IF(A953="","",IF(F953="OUT","DR","CR"))</f>
        <v/>
      </c>
      <c r="H953" s="11">
        <f>IF(A953="","",IFERROR(INDEX(BANK_CLEAN!$A$2:$A$1001,MATCH(MINIFS(BANK_CLEAN!$J$2:$J$1001,BANK_CLEAN!$H$2:$H$1001,G953,BANK_CLEAN!$L$2:$L$1001,""),BANK_CLEAN!$J$2:$J$1001,0)),""))</f>
        <v/>
      </c>
      <c r="I953" s="10">
        <f>IF(H953="","",INDEX(BANK_CLEAN!$B$2:$B$1001,H953))</f>
        <v/>
      </c>
      <c r="J953" s="14">
        <f>IF(H953="","",IF(F953="OUT",INDEX(BANK_CLEAN!$F$2:$F$1001,H953),INDEX(BANK_CLEAN!$E$2:$E$1001,H953)))</f>
        <v/>
      </c>
      <c r="K953" s="14">
        <f>IF(H953="","",ABS(E953-J953))</f>
        <v/>
      </c>
      <c r="L953" s="11">
        <f>IF(OR(H953="",B953="",I953=""),"",ABS(B953-I953))</f>
        <v/>
      </c>
      <c r="M953" s="15">
        <f>IF(H953="",0,LET(pct,IF(E953&gt;0,K953/E953,1),days,IFERROR(L953,999),100-pct*200-days*3))</f>
        <v/>
      </c>
      <c r="N953" s="11">
        <f>IF(A953="","",IF(H953="","Unmatched GL",IF(AND(K953&lt;=Tol_Amount,L953&lt;=Tol_Days),"Matched",IF(M953&gt;Tol_NearPct,"Near Match","Unmatched GL"))))</f>
        <v/>
      </c>
    </row>
    <row r="954">
      <c r="A954" s="13">
        <f>IF(GL_CLEAN!A954="","",GL_CLEAN!A954)</f>
        <v/>
      </c>
      <c r="B954" s="10">
        <f>IF(A954="","",GL_CLEAN!B954)</f>
        <v/>
      </c>
      <c r="C954" s="11">
        <f>IF(A954="","",GL_CLEAN!C954)</f>
        <v/>
      </c>
      <c r="D954" s="14">
        <f>IF(A954="","",GL_CLEAN!H954)</f>
        <v/>
      </c>
      <c r="E954" s="14">
        <f>IF(A954="","",GL_CLEAN!I954)</f>
        <v/>
      </c>
      <c r="F954" s="11">
        <f>IF(A954="","",GL_CLEAN!J954)</f>
        <v/>
      </c>
      <c r="G954" s="11">
        <f>IF(A954="","",IF(F954="OUT","DR","CR"))</f>
        <v/>
      </c>
      <c r="H954" s="11">
        <f>IF(A954="","",IFERROR(INDEX(BANK_CLEAN!$A$2:$A$1001,MATCH(MINIFS(BANK_CLEAN!$J$2:$J$1001,BANK_CLEAN!$H$2:$H$1001,G954,BANK_CLEAN!$L$2:$L$1001,""),BANK_CLEAN!$J$2:$J$1001,0)),""))</f>
        <v/>
      </c>
      <c r="I954" s="10">
        <f>IF(H954="","",INDEX(BANK_CLEAN!$B$2:$B$1001,H954))</f>
        <v/>
      </c>
      <c r="J954" s="14">
        <f>IF(H954="","",IF(F954="OUT",INDEX(BANK_CLEAN!$F$2:$F$1001,H954),INDEX(BANK_CLEAN!$E$2:$E$1001,H954)))</f>
        <v/>
      </c>
      <c r="K954" s="14">
        <f>IF(H954="","",ABS(E954-J954))</f>
        <v/>
      </c>
      <c r="L954" s="11">
        <f>IF(OR(H954="",B954="",I954=""),"",ABS(B954-I954))</f>
        <v/>
      </c>
      <c r="M954" s="15">
        <f>IF(H954="",0,LET(pct,IF(E954&gt;0,K954/E954,1),days,IFERROR(L954,999),100-pct*200-days*3))</f>
        <v/>
      </c>
      <c r="N954" s="11">
        <f>IF(A954="","",IF(H954="","Unmatched GL",IF(AND(K954&lt;=Tol_Amount,L954&lt;=Tol_Days),"Matched",IF(M954&gt;Tol_NearPct,"Near Match","Unmatched GL"))))</f>
        <v/>
      </c>
    </row>
    <row r="955">
      <c r="A955" s="13">
        <f>IF(GL_CLEAN!A955="","",GL_CLEAN!A955)</f>
        <v/>
      </c>
      <c r="B955" s="10">
        <f>IF(A955="","",GL_CLEAN!B955)</f>
        <v/>
      </c>
      <c r="C955" s="11">
        <f>IF(A955="","",GL_CLEAN!C955)</f>
        <v/>
      </c>
      <c r="D955" s="14">
        <f>IF(A955="","",GL_CLEAN!H955)</f>
        <v/>
      </c>
      <c r="E955" s="14">
        <f>IF(A955="","",GL_CLEAN!I955)</f>
        <v/>
      </c>
      <c r="F955" s="11">
        <f>IF(A955="","",GL_CLEAN!J955)</f>
        <v/>
      </c>
      <c r="G955" s="11">
        <f>IF(A955="","",IF(F955="OUT","DR","CR"))</f>
        <v/>
      </c>
      <c r="H955" s="11">
        <f>IF(A955="","",IFERROR(INDEX(BANK_CLEAN!$A$2:$A$1001,MATCH(MINIFS(BANK_CLEAN!$J$2:$J$1001,BANK_CLEAN!$H$2:$H$1001,G955,BANK_CLEAN!$L$2:$L$1001,""),BANK_CLEAN!$J$2:$J$1001,0)),""))</f>
        <v/>
      </c>
      <c r="I955" s="10">
        <f>IF(H955="","",INDEX(BANK_CLEAN!$B$2:$B$1001,H955))</f>
        <v/>
      </c>
      <c r="J955" s="14">
        <f>IF(H955="","",IF(F955="OUT",INDEX(BANK_CLEAN!$F$2:$F$1001,H955),INDEX(BANK_CLEAN!$E$2:$E$1001,H955)))</f>
        <v/>
      </c>
      <c r="K955" s="14">
        <f>IF(H955="","",ABS(E955-J955))</f>
        <v/>
      </c>
      <c r="L955" s="11">
        <f>IF(OR(H955="",B955="",I955=""),"",ABS(B955-I955))</f>
        <v/>
      </c>
      <c r="M955" s="15">
        <f>IF(H955="",0,LET(pct,IF(E955&gt;0,K955/E955,1),days,IFERROR(L955,999),100-pct*200-days*3))</f>
        <v/>
      </c>
      <c r="N955" s="11">
        <f>IF(A955="","",IF(H955="","Unmatched GL",IF(AND(K955&lt;=Tol_Amount,L955&lt;=Tol_Days),"Matched",IF(M955&gt;Tol_NearPct,"Near Match","Unmatched GL"))))</f>
        <v/>
      </c>
    </row>
    <row r="956">
      <c r="A956" s="13">
        <f>IF(GL_CLEAN!A956="","",GL_CLEAN!A956)</f>
        <v/>
      </c>
      <c r="B956" s="10">
        <f>IF(A956="","",GL_CLEAN!B956)</f>
        <v/>
      </c>
      <c r="C956" s="11">
        <f>IF(A956="","",GL_CLEAN!C956)</f>
        <v/>
      </c>
      <c r="D956" s="14">
        <f>IF(A956="","",GL_CLEAN!H956)</f>
        <v/>
      </c>
      <c r="E956" s="14">
        <f>IF(A956="","",GL_CLEAN!I956)</f>
        <v/>
      </c>
      <c r="F956" s="11">
        <f>IF(A956="","",GL_CLEAN!J956)</f>
        <v/>
      </c>
      <c r="G956" s="11">
        <f>IF(A956="","",IF(F956="OUT","DR","CR"))</f>
        <v/>
      </c>
      <c r="H956" s="11">
        <f>IF(A956="","",IFERROR(INDEX(BANK_CLEAN!$A$2:$A$1001,MATCH(MINIFS(BANK_CLEAN!$J$2:$J$1001,BANK_CLEAN!$H$2:$H$1001,G956,BANK_CLEAN!$L$2:$L$1001,""),BANK_CLEAN!$J$2:$J$1001,0)),""))</f>
        <v/>
      </c>
      <c r="I956" s="10">
        <f>IF(H956="","",INDEX(BANK_CLEAN!$B$2:$B$1001,H956))</f>
        <v/>
      </c>
      <c r="J956" s="14">
        <f>IF(H956="","",IF(F956="OUT",INDEX(BANK_CLEAN!$F$2:$F$1001,H956),INDEX(BANK_CLEAN!$E$2:$E$1001,H956)))</f>
        <v/>
      </c>
      <c r="K956" s="14">
        <f>IF(H956="","",ABS(E956-J956))</f>
        <v/>
      </c>
      <c r="L956" s="11">
        <f>IF(OR(H956="",B956="",I956=""),"",ABS(B956-I956))</f>
        <v/>
      </c>
      <c r="M956" s="15">
        <f>IF(H956="",0,LET(pct,IF(E956&gt;0,K956/E956,1),days,IFERROR(L956,999),100-pct*200-days*3))</f>
        <v/>
      </c>
      <c r="N956" s="11">
        <f>IF(A956="","",IF(H956="","Unmatched GL",IF(AND(K956&lt;=Tol_Amount,L956&lt;=Tol_Days),"Matched",IF(M956&gt;Tol_NearPct,"Near Match","Unmatched GL"))))</f>
        <v/>
      </c>
    </row>
    <row r="957">
      <c r="A957" s="13">
        <f>IF(GL_CLEAN!A957="","",GL_CLEAN!A957)</f>
        <v/>
      </c>
      <c r="B957" s="10">
        <f>IF(A957="","",GL_CLEAN!B957)</f>
        <v/>
      </c>
      <c r="C957" s="11">
        <f>IF(A957="","",GL_CLEAN!C957)</f>
        <v/>
      </c>
      <c r="D957" s="14">
        <f>IF(A957="","",GL_CLEAN!H957)</f>
        <v/>
      </c>
      <c r="E957" s="14">
        <f>IF(A957="","",GL_CLEAN!I957)</f>
        <v/>
      </c>
      <c r="F957" s="11">
        <f>IF(A957="","",GL_CLEAN!J957)</f>
        <v/>
      </c>
      <c r="G957" s="11">
        <f>IF(A957="","",IF(F957="OUT","DR","CR"))</f>
        <v/>
      </c>
      <c r="H957" s="11">
        <f>IF(A957="","",IFERROR(INDEX(BANK_CLEAN!$A$2:$A$1001,MATCH(MINIFS(BANK_CLEAN!$J$2:$J$1001,BANK_CLEAN!$H$2:$H$1001,G957,BANK_CLEAN!$L$2:$L$1001,""),BANK_CLEAN!$J$2:$J$1001,0)),""))</f>
        <v/>
      </c>
      <c r="I957" s="10">
        <f>IF(H957="","",INDEX(BANK_CLEAN!$B$2:$B$1001,H957))</f>
        <v/>
      </c>
      <c r="J957" s="14">
        <f>IF(H957="","",IF(F957="OUT",INDEX(BANK_CLEAN!$F$2:$F$1001,H957),INDEX(BANK_CLEAN!$E$2:$E$1001,H957)))</f>
        <v/>
      </c>
      <c r="K957" s="14">
        <f>IF(H957="","",ABS(E957-J957))</f>
        <v/>
      </c>
      <c r="L957" s="11">
        <f>IF(OR(H957="",B957="",I957=""),"",ABS(B957-I957))</f>
        <v/>
      </c>
      <c r="M957" s="15">
        <f>IF(H957="",0,LET(pct,IF(E957&gt;0,K957/E957,1),days,IFERROR(L957,999),100-pct*200-days*3))</f>
        <v/>
      </c>
      <c r="N957" s="11">
        <f>IF(A957="","",IF(H957="","Unmatched GL",IF(AND(K957&lt;=Tol_Amount,L957&lt;=Tol_Days),"Matched",IF(M957&gt;Tol_NearPct,"Near Match","Unmatched GL"))))</f>
        <v/>
      </c>
    </row>
    <row r="958">
      <c r="A958" s="13">
        <f>IF(GL_CLEAN!A958="","",GL_CLEAN!A958)</f>
        <v/>
      </c>
      <c r="B958" s="10">
        <f>IF(A958="","",GL_CLEAN!B958)</f>
        <v/>
      </c>
      <c r="C958" s="11">
        <f>IF(A958="","",GL_CLEAN!C958)</f>
        <v/>
      </c>
      <c r="D958" s="14">
        <f>IF(A958="","",GL_CLEAN!H958)</f>
        <v/>
      </c>
      <c r="E958" s="14">
        <f>IF(A958="","",GL_CLEAN!I958)</f>
        <v/>
      </c>
      <c r="F958" s="11">
        <f>IF(A958="","",GL_CLEAN!J958)</f>
        <v/>
      </c>
      <c r="G958" s="11">
        <f>IF(A958="","",IF(F958="OUT","DR","CR"))</f>
        <v/>
      </c>
      <c r="H958" s="11">
        <f>IF(A958="","",IFERROR(INDEX(BANK_CLEAN!$A$2:$A$1001,MATCH(MINIFS(BANK_CLEAN!$J$2:$J$1001,BANK_CLEAN!$H$2:$H$1001,G958,BANK_CLEAN!$L$2:$L$1001,""),BANK_CLEAN!$J$2:$J$1001,0)),""))</f>
        <v/>
      </c>
      <c r="I958" s="10">
        <f>IF(H958="","",INDEX(BANK_CLEAN!$B$2:$B$1001,H958))</f>
        <v/>
      </c>
      <c r="J958" s="14">
        <f>IF(H958="","",IF(F958="OUT",INDEX(BANK_CLEAN!$F$2:$F$1001,H958),INDEX(BANK_CLEAN!$E$2:$E$1001,H958)))</f>
        <v/>
      </c>
      <c r="K958" s="14">
        <f>IF(H958="","",ABS(E958-J958))</f>
        <v/>
      </c>
      <c r="L958" s="11">
        <f>IF(OR(H958="",B958="",I958=""),"",ABS(B958-I958))</f>
        <v/>
      </c>
      <c r="M958" s="15">
        <f>IF(H958="",0,LET(pct,IF(E958&gt;0,K958/E958,1),days,IFERROR(L958,999),100-pct*200-days*3))</f>
        <v/>
      </c>
      <c r="N958" s="11">
        <f>IF(A958="","",IF(H958="","Unmatched GL",IF(AND(K958&lt;=Tol_Amount,L958&lt;=Tol_Days),"Matched",IF(M958&gt;Tol_NearPct,"Near Match","Unmatched GL"))))</f>
        <v/>
      </c>
    </row>
    <row r="959">
      <c r="A959" s="13">
        <f>IF(GL_CLEAN!A959="","",GL_CLEAN!A959)</f>
        <v/>
      </c>
      <c r="B959" s="10">
        <f>IF(A959="","",GL_CLEAN!B959)</f>
        <v/>
      </c>
      <c r="C959" s="11">
        <f>IF(A959="","",GL_CLEAN!C959)</f>
        <v/>
      </c>
      <c r="D959" s="14">
        <f>IF(A959="","",GL_CLEAN!H959)</f>
        <v/>
      </c>
      <c r="E959" s="14">
        <f>IF(A959="","",GL_CLEAN!I959)</f>
        <v/>
      </c>
      <c r="F959" s="11">
        <f>IF(A959="","",GL_CLEAN!J959)</f>
        <v/>
      </c>
      <c r="G959" s="11">
        <f>IF(A959="","",IF(F959="OUT","DR","CR"))</f>
        <v/>
      </c>
      <c r="H959" s="11">
        <f>IF(A959="","",IFERROR(INDEX(BANK_CLEAN!$A$2:$A$1001,MATCH(MINIFS(BANK_CLEAN!$J$2:$J$1001,BANK_CLEAN!$H$2:$H$1001,G959,BANK_CLEAN!$L$2:$L$1001,""),BANK_CLEAN!$J$2:$J$1001,0)),""))</f>
        <v/>
      </c>
      <c r="I959" s="10">
        <f>IF(H959="","",INDEX(BANK_CLEAN!$B$2:$B$1001,H959))</f>
        <v/>
      </c>
      <c r="J959" s="14">
        <f>IF(H959="","",IF(F959="OUT",INDEX(BANK_CLEAN!$F$2:$F$1001,H959),INDEX(BANK_CLEAN!$E$2:$E$1001,H959)))</f>
        <v/>
      </c>
      <c r="K959" s="14">
        <f>IF(H959="","",ABS(E959-J959))</f>
        <v/>
      </c>
      <c r="L959" s="11">
        <f>IF(OR(H959="",B959="",I959=""),"",ABS(B959-I959))</f>
        <v/>
      </c>
      <c r="M959" s="15">
        <f>IF(H959="",0,LET(pct,IF(E959&gt;0,K959/E959,1),days,IFERROR(L959,999),100-pct*200-days*3))</f>
        <v/>
      </c>
      <c r="N959" s="11">
        <f>IF(A959="","",IF(H959="","Unmatched GL",IF(AND(K959&lt;=Tol_Amount,L959&lt;=Tol_Days),"Matched",IF(M959&gt;Tol_NearPct,"Near Match","Unmatched GL"))))</f>
        <v/>
      </c>
    </row>
    <row r="960">
      <c r="A960" s="13">
        <f>IF(GL_CLEAN!A960="","",GL_CLEAN!A960)</f>
        <v/>
      </c>
      <c r="B960" s="10">
        <f>IF(A960="","",GL_CLEAN!B960)</f>
        <v/>
      </c>
      <c r="C960" s="11">
        <f>IF(A960="","",GL_CLEAN!C960)</f>
        <v/>
      </c>
      <c r="D960" s="14">
        <f>IF(A960="","",GL_CLEAN!H960)</f>
        <v/>
      </c>
      <c r="E960" s="14">
        <f>IF(A960="","",GL_CLEAN!I960)</f>
        <v/>
      </c>
      <c r="F960" s="11">
        <f>IF(A960="","",GL_CLEAN!J960)</f>
        <v/>
      </c>
      <c r="G960" s="11">
        <f>IF(A960="","",IF(F960="OUT","DR","CR"))</f>
        <v/>
      </c>
      <c r="H960" s="11">
        <f>IF(A960="","",IFERROR(INDEX(BANK_CLEAN!$A$2:$A$1001,MATCH(MINIFS(BANK_CLEAN!$J$2:$J$1001,BANK_CLEAN!$H$2:$H$1001,G960,BANK_CLEAN!$L$2:$L$1001,""),BANK_CLEAN!$J$2:$J$1001,0)),""))</f>
        <v/>
      </c>
      <c r="I960" s="10">
        <f>IF(H960="","",INDEX(BANK_CLEAN!$B$2:$B$1001,H960))</f>
        <v/>
      </c>
      <c r="J960" s="14">
        <f>IF(H960="","",IF(F960="OUT",INDEX(BANK_CLEAN!$F$2:$F$1001,H960),INDEX(BANK_CLEAN!$E$2:$E$1001,H960)))</f>
        <v/>
      </c>
      <c r="K960" s="14">
        <f>IF(H960="","",ABS(E960-J960))</f>
        <v/>
      </c>
      <c r="L960" s="11">
        <f>IF(OR(H960="",B960="",I960=""),"",ABS(B960-I960))</f>
        <v/>
      </c>
      <c r="M960" s="15">
        <f>IF(H960="",0,LET(pct,IF(E960&gt;0,K960/E960,1),days,IFERROR(L960,999),100-pct*200-days*3))</f>
        <v/>
      </c>
      <c r="N960" s="11">
        <f>IF(A960="","",IF(H960="","Unmatched GL",IF(AND(K960&lt;=Tol_Amount,L960&lt;=Tol_Days),"Matched",IF(M960&gt;Tol_NearPct,"Near Match","Unmatched GL"))))</f>
        <v/>
      </c>
    </row>
    <row r="961">
      <c r="A961" s="13">
        <f>IF(GL_CLEAN!A961="","",GL_CLEAN!A961)</f>
        <v/>
      </c>
      <c r="B961" s="10">
        <f>IF(A961="","",GL_CLEAN!B961)</f>
        <v/>
      </c>
      <c r="C961" s="11">
        <f>IF(A961="","",GL_CLEAN!C961)</f>
        <v/>
      </c>
      <c r="D961" s="14">
        <f>IF(A961="","",GL_CLEAN!H961)</f>
        <v/>
      </c>
      <c r="E961" s="14">
        <f>IF(A961="","",GL_CLEAN!I961)</f>
        <v/>
      </c>
      <c r="F961" s="11">
        <f>IF(A961="","",GL_CLEAN!J961)</f>
        <v/>
      </c>
      <c r="G961" s="11">
        <f>IF(A961="","",IF(F961="OUT","DR","CR"))</f>
        <v/>
      </c>
      <c r="H961" s="11">
        <f>IF(A961="","",IFERROR(INDEX(BANK_CLEAN!$A$2:$A$1001,MATCH(MINIFS(BANK_CLEAN!$J$2:$J$1001,BANK_CLEAN!$H$2:$H$1001,G961,BANK_CLEAN!$L$2:$L$1001,""),BANK_CLEAN!$J$2:$J$1001,0)),""))</f>
        <v/>
      </c>
      <c r="I961" s="10">
        <f>IF(H961="","",INDEX(BANK_CLEAN!$B$2:$B$1001,H961))</f>
        <v/>
      </c>
      <c r="J961" s="14">
        <f>IF(H961="","",IF(F961="OUT",INDEX(BANK_CLEAN!$F$2:$F$1001,H961),INDEX(BANK_CLEAN!$E$2:$E$1001,H961)))</f>
        <v/>
      </c>
      <c r="K961" s="14">
        <f>IF(H961="","",ABS(E961-J961))</f>
        <v/>
      </c>
      <c r="L961" s="11">
        <f>IF(OR(H961="",B961="",I961=""),"",ABS(B961-I961))</f>
        <v/>
      </c>
      <c r="M961" s="15">
        <f>IF(H961="",0,LET(pct,IF(E961&gt;0,K961/E961,1),days,IFERROR(L961,999),100-pct*200-days*3))</f>
        <v/>
      </c>
      <c r="N961" s="11">
        <f>IF(A961="","",IF(H961="","Unmatched GL",IF(AND(K961&lt;=Tol_Amount,L961&lt;=Tol_Days),"Matched",IF(M961&gt;Tol_NearPct,"Near Match","Unmatched GL"))))</f>
        <v/>
      </c>
    </row>
    <row r="962">
      <c r="A962" s="13">
        <f>IF(GL_CLEAN!A962="","",GL_CLEAN!A962)</f>
        <v/>
      </c>
      <c r="B962" s="10">
        <f>IF(A962="","",GL_CLEAN!B962)</f>
        <v/>
      </c>
      <c r="C962" s="11">
        <f>IF(A962="","",GL_CLEAN!C962)</f>
        <v/>
      </c>
      <c r="D962" s="14">
        <f>IF(A962="","",GL_CLEAN!H962)</f>
        <v/>
      </c>
      <c r="E962" s="14">
        <f>IF(A962="","",GL_CLEAN!I962)</f>
        <v/>
      </c>
      <c r="F962" s="11">
        <f>IF(A962="","",GL_CLEAN!J962)</f>
        <v/>
      </c>
      <c r="G962" s="11">
        <f>IF(A962="","",IF(F962="OUT","DR","CR"))</f>
        <v/>
      </c>
      <c r="H962" s="11">
        <f>IF(A962="","",IFERROR(INDEX(BANK_CLEAN!$A$2:$A$1001,MATCH(MINIFS(BANK_CLEAN!$J$2:$J$1001,BANK_CLEAN!$H$2:$H$1001,G962,BANK_CLEAN!$L$2:$L$1001,""),BANK_CLEAN!$J$2:$J$1001,0)),""))</f>
        <v/>
      </c>
      <c r="I962" s="10">
        <f>IF(H962="","",INDEX(BANK_CLEAN!$B$2:$B$1001,H962))</f>
        <v/>
      </c>
      <c r="J962" s="14">
        <f>IF(H962="","",IF(F962="OUT",INDEX(BANK_CLEAN!$F$2:$F$1001,H962),INDEX(BANK_CLEAN!$E$2:$E$1001,H962)))</f>
        <v/>
      </c>
      <c r="K962" s="14">
        <f>IF(H962="","",ABS(E962-J962))</f>
        <v/>
      </c>
      <c r="L962" s="11">
        <f>IF(OR(H962="",B962="",I962=""),"",ABS(B962-I962))</f>
        <v/>
      </c>
      <c r="M962" s="15">
        <f>IF(H962="",0,LET(pct,IF(E962&gt;0,K962/E962,1),days,IFERROR(L962,999),100-pct*200-days*3))</f>
        <v/>
      </c>
      <c r="N962" s="11">
        <f>IF(A962="","",IF(H962="","Unmatched GL",IF(AND(K962&lt;=Tol_Amount,L962&lt;=Tol_Days),"Matched",IF(M962&gt;Tol_NearPct,"Near Match","Unmatched GL"))))</f>
        <v/>
      </c>
    </row>
    <row r="963">
      <c r="A963" s="13">
        <f>IF(GL_CLEAN!A963="","",GL_CLEAN!A963)</f>
        <v/>
      </c>
      <c r="B963" s="10">
        <f>IF(A963="","",GL_CLEAN!B963)</f>
        <v/>
      </c>
      <c r="C963" s="11">
        <f>IF(A963="","",GL_CLEAN!C963)</f>
        <v/>
      </c>
      <c r="D963" s="14">
        <f>IF(A963="","",GL_CLEAN!H963)</f>
        <v/>
      </c>
      <c r="E963" s="14">
        <f>IF(A963="","",GL_CLEAN!I963)</f>
        <v/>
      </c>
      <c r="F963" s="11">
        <f>IF(A963="","",GL_CLEAN!J963)</f>
        <v/>
      </c>
      <c r="G963" s="11">
        <f>IF(A963="","",IF(F963="OUT","DR","CR"))</f>
        <v/>
      </c>
      <c r="H963" s="11">
        <f>IF(A963="","",IFERROR(INDEX(BANK_CLEAN!$A$2:$A$1001,MATCH(MINIFS(BANK_CLEAN!$J$2:$J$1001,BANK_CLEAN!$H$2:$H$1001,G963,BANK_CLEAN!$L$2:$L$1001,""),BANK_CLEAN!$J$2:$J$1001,0)),""))</f>
        <v/>
      </c>
      <c r="I963" s="10">
        <f>IF(H963="","",INDEX(BANK_CLEAN!$B$2:$B$1001,H963))</f>
        <v/>
      </c>
      <c r="J963" s="14">
        <f>IF(H963="","",IF(F963="OUT",INDEX(BANK_CLEAN!$F$2:$F$1001,H963),INDEX(BANK_CLEAN!$E$2:$E$1001,H963)))</f>
        <v/>
      </c>
      <c r="K963" s="14">
        <f>IF(H963="","",ABS(E963-J963))</f>
        <v/>
      </c>
      <c r="L963" s="11">
        <f>IF(OR(H963="",B963="",I963=""),"",ABS(B963-I963))</f>
        <v/>
      </c>
      <c r="M963" s="15">
        <f>IF(H963="",0,LET(pct,IF(E963&gt;0,K963/E963,1),days,IFERROR(L963,999),100-pct*200-days*3))</f>
        <v/>
      </c>
      <c r="N963" s="11">
        <f>IF(A963="","",IF(H963="","Unmatched GL",IF(AND(K963&lt;=Tol_Amount,L963&lt;=Tol_Days),"Matched",IF(M963&gt;Tol_NearPct,"Near Match","Unmatched GL"))))</f>
        <v/>
      </c>
    </row>
    <row r="964">
      <c r="A964" s="13">
        <f>IF(GL_CLEAN!A964="","",GL_CLEAN!A964)</f>
        <v/>
      </c>
      <c r="B964" s="10">
        <f>IF(A964="","",GL_CLEAN!B964)</f>
        <v/>
      </c>
      <c r="C964" s="11">
        <f>IF(A964="","",GL_CLEAN!C964)</f>
        <v/>
      </c>
      <c r="D964" s="14">
        <f>IF(A964="","",GL_CLEAN!H964)</f>
        <v/>
      </c>
      <c r="E964" s="14">
        <f>IF(A964="","",GL_CLEAN!I964)</f>
        <v/>
      </c>
      <c r="F964" s="11">
        <f>IF(A964="","",GL_CLEAN!J964)</f>
        <v/>
      </c>
      <c r="G964" s="11">
        <f>IF(A964="","",IF(F964="OUT","DR","CR"))</f>
        <v/>
      </c>
      <c r="H964" s="11">
        <f>IF(A964="","",IFERROR(INDEX(BANK_CLEAN!$A$2:$A$1001,MATCH(MINIFS(BANK_CLEAN!$J$2:$J$1001,BANK_CLEAN!$H$2:$H$1001,G964,BANK_CLEAN!$L$2:$L$1001,""),BANK_CLEAN!$J$2:$J$1001,0)),""))</f>
        <v/>
      </c>
      <c r="I964" s="10">
        <f>IF(H964="","",INDEX(BANK_CLEAN!$B$2:$B$1001,H964))</f>
        <v/>
      </c>
      <c r="J964" s="14">
        <f>IF(H964="","",IF(F964="OUT",INDEX(BANK_CLEAN!$F$2:$F$1001,H964),INDEX(BANK_CLEAN!$E$2:$E$1001,H964)))</f>
        <v/>
      </c>
      <c r="K964" s="14">
        <f>IF(H964="","",ABS(E964-J964))</f>
        <v/>
      </c>
      <c r="L964" s="11">
        <f>IF(OR(H964="",B964="",I964=""),"",ABS(B964-I964))</f>
        <v/>
      </c>
      <c r="M964" s="15">
        <f>IF(H964="",0,LET(pct,IF(E964&gt;0,K964/E964,1),days,IFERROR(L964,999),100-pct*200-days*3))</f>
        <v/>
      </c>
      <c r="N964" s="11">
        <f>IF(A964="","",IF(H964="","Unmatched GL",IF(AND(K964&lt;=Tol_Amount,L964&lt;=Tol_Days),"Matched",IF(M964&gt;Tol_NearPct,"Near Match","Unmatched GL"))))</f>
        <v/>
      </c>
    </row>
    <row r="965">
      <c r="A965" s="13">
        <f>IF(GL_CLEAN!A965="","",GL_CLEAN!A965)</f>
        <v/>
      </c>
      <c r="B965" s="10">
        <f>IF(A965="","",GL_CLEAN!B965)</f>
        <v/>
      </c>
      <c r="C965" s="11">
        <f>IF(A965="","",GL_CLEAN!C965)</f>
        <v/>
      </c>
      <c r="D965" s="14">
        <f>IF(A965="","",GL_CLEAN!H965)</f>
        <v/>
      </c>
      <c r="E965" s="14">
        <f>IF(A965="","",GL_CLEAN!I965)</f>
        <v/>
      </c>
      <c r="F965" s="11">
        <f>IF(A965="","",GL_CLEAN!J965)</f>
        <v/>
      </c>
      <c r="G965" s="11">
        <f>IF(A965="","",IF(F965="OUT","DR","CR"))</f>
        <v/>
      </c>
      <c r="H965" s="11">
        <f>IF(A965="","",IFERROR(INDEX(BANK_CLEAN!$A$2:$A$1001,MATCH(MINIFS(BANK_CLEAN!$J$2:$J$1001,BANK_CLEAN!$H$2:$H$1001,G965,BANK_CLEAN!$L$2:$L$1001,""),BANK_CLEAN!$J$2:$J$1001,0)),""))</f>
        <v/>
      </c>
      <c r="I965" s="10">
        <f>IF(H965="","",INDEX(BANK_CLEAN!$B$2:$B$1001,H965))</f>
        <v/>
      </c>
      <c r="J965" s="14">
        <f>IF(H965="","",IF(F965="OUT",INDEX(BANK_CLEAN!$F$2:$F$1001,H965),INDEX(BANK_CLEAN!$E$2:$E$1001,H965)))</f>
        <v/>
      </c>
      <c r="K965" s="14">
        <f>IF(H965="","",ABS(E965-J965))</f>
        <v/>
      </c>
      <c r="L965" s="11">
        <f>IF(OR(H965="",B965="",I965=""),"",ABS(B965-I965))</f>
        <v/>
      </c>
      <c r="M965" s="15">
        <f>IF(H965="",0,LET(pct,IF(E965&gt;0,K965/E965,1),days,IFERROR(L965,999),100-pct*200-days*3))</f>
        <v/>
      </c>
      <c r="N965" s="11">
        <f>IF(A965="","",IF(H965="","Unmatched GL",IF(AND(K965&lt;=Tol_Amount,L965&lt;=Tol_Days),"Matched",IF(M965&gt;Tol_NearPct,"Near Match","Unmatched GL"))))</f>
        <v/>
      </c>
    </row>
    <row r="966">
      <c r="A966" s="13">
        <f>IF(GL_CLEAN!A966="","",GL_CLEAN!A966)</f>
        <v/>
      </c>
      <c r="B966" s="10">
        <f>IF(A966="","",GL_CLEAN!B966)</f>
        <v/>
      </c>
      <c r="C966" s="11">
        <f>IF(A966="","",GL_CLEAN!C966)</f>
        <v/>
      </c>
      <c r="D966" s="14">
        <f>IF(A966="","",GL_CLEAN!H966)</f>
        <v/>
      </c>
      <c r="E966" s="14">
        <f>IF(A966="","",GL_CLEAN!I966)</f>
        <v/>
      </c>
      <c r="F966" s="11">
        <f>IF(A966="","",GL_CLEAN!J966)</f>
        <v/>
      </c>
      <c r="G966" s="11">
        <f>IF(A966="","",IF(F966="OUT","DR","CR"))</f>
        <v/>
      </c>
      <c r="H966" s="11">
        <f>IF(A966="","",IFERROR(INDEX(BANK_CLEAN!$A$2:$A$1001,MATCH(MINIFS(BANK_CLEAN!$J$2:$J$1001,BANK_CLEAN!$H$2:$H$1001,G966,BANK_CLEAN!$L$2:$L$1001,""),BANK_CLEAN!$J$2:$J$1001,0)),""))</f>
        <v/>
      </c>
      <c r="I966" s="10">
        <f>IF(H966="","",INDEX(BANK_CLEAN!$B$2:$B$1001,H966))</f>
        <v/>
      </c>
      <c r="J966" s="14">
        <f>IF(H966="","",IF(F966="OUT",INDEX(BANK_CLEAN!$F$2:$F$1001,H966),INDEX(BANK_CLEAN!$E$2:$E$1001,H966)))</f>
        <v/>
      </c>
      <c r="K966" s="14">
        <f>IF(H966="","",ABS(E966-J966))</f>
        <v/>
      </c>
      <c r="L966" s="11">
        <f>IF(OR(H966="",B966="",I966=""),"",ABS(B966-I966))</f>
        <v/>
      </c>
      <c r="M966" s="15">
        <f>IF(H966="",0,LET(pct,IF(E966&gt;0,K966/E966,1),days,IFERROR(L966,999),100-pct*200-days*3))</f>
        <v/>
      </c>
      <c r="N966" s="11">
        <f>IF(A966="","",IF(H966="","Unmatched GL",IF(AND(K966&lt;=Tol_Amount,L966&lt;=Tol_Days),"Matched",IF(M966&gt;Tol_NearPct,"Near Match","Unmatched GL"))))</f>
        <v/>
      </c>
    </row>
    <row r="967">
      <c r="A967" s="13">
        <f>IF(GL_CLEAN!A967="","",GL_CLEAN!A967)</f>
        <v/>
      </c>
      <c r="B967" s="10">
        <f>IF(A967="","",GL_CLEAN!B967)</f>
        <v/>
      </c>
      <c r="C967" s="11">
        <f>IF(A967="","",GL_CLEAN!C967)</f>
        <v/>
      </c>
      <c r="D967" s="14">
        <f>IF(A967="","",GL_CLEAN!H967)</f>
        <v/>
      </c>
      <c r="E967" s="14">
        <f>IF(A967="","",GL_CLEAN!I967)</f>
        <v/>
      </c>
      <c r="F967" s="11">
        <f>IF(A967="","",GL_CLEAN!J967)</f>
        <v/>
      </c>
      <c r="G967" s="11">
        <f>IF(A967="","",IF(F967="OUT","DR","CR"))</f>
        <v/>
      </c>
      <c r="H967" s="11">
        <f>IF(A967="","",IFERROR(INDEX(BANK_CLEAN!$A$2:$A$1001,MATCH(MINIFS(BANK_CLEAN!$J$2:$J$1001,BANK_CLEAN!$H$2:$H$1001,G967,BANK_CLEAN!$L$2:$L$1001,""),BANK_CLEAN!$J$2:$J$1001,0)),""))</f>
        <v/>
      </c>
      <c r="I967" s="10">
        <f>IF(H967="","",INDEX(BANK_CLEAN!$B$2:$B$1001,H967))</f>
        <v/>
      </c>
      <c r="J967" s="14">
        <f>IF(H967="","",IF(F967="OUT",INDEX(BANK_CLEAN!$F$2:$F$1001,H967),INDEX(BANK_CLEAN!$E$2:$E$1001,H967)))</f>
        <v/>
      </c>
      <c r="K967" s="14">
        <f>IF(H967="","",ABS(E967-J967))</f>
        <v/>
      </c>
      <c r="L967" s="11">
        <f>IF(OR(H967="",B967="",I967=""),"",ABS(B967-I967))</f>
        <v/>
      </c>
      <c r="M967" s="15">
        <f>IF(H967="",0,LET(pct,IF(E967&gt;0,K967/E967,1),days,IFERROR(L967,999),100-pct*200-days*3))</f>
        <v/>
      </c>
      <c r="N967" s="11">
        <f>IF(A967="","",IF(H967="","Unmatched GL",IF(AND(K967&lt;=Tol_Amount,L967&lt;=Tol_Days),"Matched",IF(M967&gt;Tol_NearPct,"Near Match","Unmatched GL"))))</f>
        <v/>
      </c>
    </row>
    <row r="968">
      <c r="A968" s="13">
        <f>IF(GL_CLEAN!A968="","",GL_CLEAN!A968)</f>
        <v/>
      </c>
      <c r="B968" s="10">
        <f>IF(A968="","",GL_CLEAN!B968)</f>
        <v/>
      </c>
      <c r="C968" s="11">
        <f>IF(A968="","",GL_CLEAN!C968)</f>
        <v/>
      </c>
      <c r="D968" s="14">
        <f>IF(A968="","",GL_CLEAN!H968)</f>
        <v/>
      </c>
      <c r="E968" s="14">
        <f>IF(A968="","",GL_CLEAN!I968)</f>
        <v/>
      </c>
      <c r="F968" s="11">
        <f>IF(A968="","",GL_CLEAN!J968)</f>
        <v/>
      </c>
      <c r="G968" s="11">
        <f>IF(A968="","",IF(F968="OUT","DR","CR"))</f>
        <v/>
      </c>
      <c r="H968" s="11">
        <f>IF(A968="","",IFERROR(INDEX(BANK_CLEAN!$A$2:$A$1001,MATCH(MINIFS(BANK_CLEAN!$J$2:$J$1001,BANK_CLEAN!$H$2:$H$1001,G968,BANK_CLEAN!$L$2:$L$1001,""),BANK_CLEAN!$J$2:$J$1001,0)),""))</f>
        <v/>
      </c>
      <c r="I968" s="10">
        <f>IF(H968="","",INDEX(BANK_CLEAN!$B$2:$B$1001,H968))</f>
        <v/>
      </c>
      <c r="J968" s="14">
        <f>IF(H968="","",IF(F968="OUT",INDEX(BANK_CLEAN!$F$2:$F$1001,H968),INDEX(BANK_CLEAN!$E$2:$E$1001,H968)))</f>
        <v/>
      </c>
      <c r="K968" s="14">
        <f>IF(H968="","",ABS(E968-J968))</f>
        <v/>
      </c>
      <c r="L968" s="11">
        <f>IF(OR(H968="",B968="",I968=""),"",ABS(B968-I968))</f>
        <v/>
      </c>
      <c r="M968" s="15">
        <f>IF(H968="",0,LET(pct,IF(E968&gt;0,K968/E968,1),days,IFERROR(L968,999),100-pct*200-days*3))</f>
        <v/>
      </c>
      <c r="N968" s="11">
        <f>IF(A968="","",IF(H968="","Unmatched GL",IF(AND(K968&lt;=Tol_Amount,L968&lt;=Tol_Days),"Matched",IF(M968&gt;Tol_NearPct,"Near Match","Unmatched GL"))))</f>
        <v/>
      </c>
    </row>
    <row r="969">
      <c r="A969" s="13">
        <f>IF(GL_CLEAN!A969="","",GL_CLEAN!A969)</f>
        <v/>
      </c>
      <c r="B969" s="10">
        <f>IF(A969="","",GL_CLEAN!B969)</f>
        <v/>
      </c>
      <c r="C969" s="11">
        <f>IF(A969="","",GL_CLEAN!C969)</f>
        <v/>
      </c>
      <c r="D969" s="14">
        <f>IF(A969="","",GL_CLEAN!H969)</f>
        <v/>
      </c>
      <c r="E969" s="14">
        <f>IF(A969="","",GL_CLEAN!I969)</f>
        <v/>
      </c>
      <c r="F969" s="11">
        <f>IF(A969="","",GL_CLEAN!J969)</f>
        <v/>
      </c>
      <c r="G969" s="11">
        <f>IF(A969="","",IF(F969="OUT","DR","CR"))</f>
        <v/>
      </c>
      <c r="H969" s="11">
        <f>IF(A969="","",IFERROR(INDEX(BANK_CLEAN!$A$2:$A$1001,MATCH(MINIFS(BANK_CLEAN!$J$2:$J$1001,BANK_CLEAN!$H$2:$H$1001,G969,BANK_CLEAN!$L$2:$L$1001,""),BANK_CLEAN!$J$2:$J$1001,0)),""))</f>
        <v/>
      </c>
      <c r="I969" s="10">
        <f>IF(H969="","",INDEX(BANK_CLEAN!$B$2:$B$1001,H969))</f>
        <v/>
      </c>
      <c r="J969" s="14">
        <f>IF(H969="","",IF(F969="OUT",INDEX(BANK_CLEAN!$F$2:$F$1001,H969),INDEX(BANK_CLEAN!$E$2:$E$1001,H969)))</f>
        <v/>
      </c>
      <c r="K969" s="14">
        <f>IF(H969="","",ABS(E969-J969))</f>
        <v/>
      </c>
      <c r="L969" s="11">
        <f>IF(OR(H969="",B969="",I969=""),"",ABS(B969-I969))</f>
        <v/>
      </c>
      <c r="M969" s="15">
        <f>IF(H969="",0,LET(pct,IF(E969&gt;0,K969/E969,1),days,IFERROR(L969,999),100-pct*200-days*3))</f>
        <v/>
      </c>
      <c r="N969" s="11">
        <f>IF(A969="","",IF(H969="","Unmatched GL",IF(AND(K969&lt;=Tol_Amount,L969&lt;=Tol_Days),"Matched",IF(M969&gt;Tol_NearPct,"Near Match","Unmatched GL"))))</f>
        <v/>
      </c>
    </row>
    <row r="970">
      <c r="A970" s="13">
        <f>IF(GL_CLEAN!A970="","",GL_CLEAN!A970)</f>
        <v/>
      </c>
      <c r="B970" s="10">
        <f>IF(A970="","",GL_CLEAN!B970)</f>
        <v/>
      </c>
      <c r="C970" s="11">
        <f>IF(A970="","",GL_CLEAN!C970)</f>
        <v/>
      </c>
      <c r="D970" s="14">
        <f>IF(A970="","",GL_CLEAN!H970)</f>
        <v/>
      </c>
      <c r="E970" s="14">
        <f>IF(A970="","",GL_CLEAN!I970)</f>
        <v/>
      </c>
      <c r="F970" s="11">
        <f>IF(A970="","",GL_CLEAN!J970)</f>
        <v/>
      </c>
      <c r="G970" s="11">
        <f>IF(A970="","",IF(F970="OUT","DR","CR"))</f>
        <v/>
      </c>
      <c r="H970" s="11">
        <f>IF(A970="","",IFERROR(INDEX(BANK_CLEAN!$A$2:$A$1001,MATCH(MINIFS(BANK_CLEAN!$J$2:$J$1001,BANK_CLEAN!$H$2:$H$1001,G970,BANK_CLEAN!$L$2:$L$1001,""),BANK_CLEAN!$J$2:$J$1001,0)),""))</f>
        <v/>
      </c>
      <c r="I970" s="10">
        <f>IF(H970="","",INDEX(BANK_CLEAN!$B$2:$B$1001,H970))</f>
        <v/>
      </c>
      <c r="J970" s="14">
        <f>IF(H970="","",IF(F970="OUT",INDEX(BANK_CLEAN!$F$2:$F$1001,H970),INDEX(BANK_CLEAN!$E$2:$E$1001,H970)))</f>
        <v/>
      </c>
      <c r="K970" s="14">
        <f>IF(H970="","",ABS(E970-J970))</f>
        <v/>
      </c>
      <c r="L970" s="11">
        <f>IF(OR(H970="",B970="",I970=""),"",ABS(B970-I970))</f>
        <v/>
      </c>
      <c r="M970" s="15">
        <f>IF(H970="",0,LET(pct,IF(E970&gt;0,K970/E970,1),days,IFERROR(L970,999),100-pct*200-days*3))</f>
        <v/>
      </c>
      <c r="N970" s="11">
        <f>IF(A970="","",IF(H970="","Unmatched GL",IF(AND(K970&lt;=Tol_Amount,L970&lt;=Tol_Days),"Matched",IF(M970&gt;Tol_NearPct,"Near Match","Unmatched GL"))))</f>
        <v/>
      </c>
    </row>
    <row r="971">
      <c r="A971" s="13">
        <f>IF(GL_CLEAN!A971="","",GL_CLEAN!A971)</f>
        <v/>
      </c>
      <c r="B971" s="10">
        <f>IF(A971="","",GL_CLEAN!B971)</f>
        <v/>
      </c>
      <c r="C971" s="11">
        <f>IF(A971="","",GL_CLEAN!C971)</f>
        <v/>
      </c>
      <c r="D971" s="14">
        <f>IF(A971="","",GL_CLEAN!H971)</f>
        <v/>
      </c>
      <c r="E971" s="14">
        <f>IF(A971="","",GL_CLEAN!I971)</f>
        <v/>
      </c>
      <c r="F971" s="11">
        <f>IF(A971="","",GL_CLEAN!J971)</f>
        <v/>
      </c>
      <c r="G971" s="11">
        <f>IF(A971="","",IF(F971="OUT","DR","CR"))</f>
        <v/>
      </c>
      <c r="H971" s="11">
        <f>IF(A971="","",IFERROR(INDEX(BANK_CLEAN!$A$2:$A$1001,MATCH(MINIFS(BANK_CLEAN!$J$2:$J$1001,BANK_CLEAN!$H$2:$H$1001,G971,BANK_CLEAN!$L$2:$L$1001,""),BANK_CLEAN!$J$2:$J$1001,0)),""))</f>
        <v/>
      </c>
      <c r="I971" s="10">
        <f>IF(H971="","",INDEX(BANK_CLEAN!$B$2:$B$1001,H971))</f>
        <v/>
      </c>
      <c r="J971" s="14">
        <f>IF(H971="","",IF(F971="OUT",INDEX(BANK_CLEAN!$F$2:$F$1001,H971),INDEX(BANK_CLEAN!$E$2:$E$1001,H971)))</f>
        <v/>
      </c>
      <c r="K971" s="14">
        <f>IF(H971="","",ABS(E971-J971))</f>
        <v/>
      </c>
      <c r="L971" s="11">
        <f>IF(OR(H971="",B971="",I971=""),"",ABS(B971-I971))</f>
        <v/>
      </c>
      <c r="M971" s="15">
        <f>IF(H971="",0,LET(pct,IF(E971&gt;0,K971/E971,1),days,IFERROR(L971,999),100-pct*200-days*3))</f>
        <v/>
      </c>
      <c r="N971" s="11">
        <f>IF(A971="","",IF(H971="","Unmatched GL",IF(AND(K971&lt;=Tol_Amount,L971&lt;=Tol_Days),"Matched",IF(M971&gt;Tol_NearPct,"Near Match","Unmatched GL"))))</f>
        <v/>
      </c>
    </row>
    <row r="972">
      <c r="A972" s="13">
        <f>IF(GL_CLEAN!A972="","",GL_CLEAN!A972)</f>
        <v/>
      </c>
      <c r="B972" s="10">
        <f>IF(A972="","",GL_CLEAN!B972)</f>
        <v/>
      </c>
      <c r="C972" s="11">
        <f>IF(A972="","",GL_CLEAN!C972)</f>
        <v/>
      </c>
      <c r="D972" s="14">
        <f>IF(A972="","",GL_CLEAN!H972)</f>
        <v/>
      </c>
      <c r="E972" s="14">
        <f>IF(A972="","",GL_CLEAN!I972)</f>
        <v/>
      </c>
      <c r="F972" s="11">
        <f>IF(A972="","",GL_CLEAN!J972)</f>
        <v/>
      </c>
      <c r="G972" s="11">
        <f>IF(A972="","",IF(F972="OUT","DR","CR"))</f>
        <v/>
      </c>
      <c r="H972" s="11">
        <f>IF(A972="","",IFERROR(INDEX(BANK_CLEAN!$A$2:$A$1001,MATCH(MINIFS(BANK_CLEAN!$J$2:$J$1001,BANK_CLEAN!$H$2:$H$1001,G972,BANK_CLEAN!$L$2:$L$1001,""),BANK_CLEAN!$J$2:$J$1001,0)),""))</f>
        <v/>
      </c>
      <c r="I972" s="10">
        <f>IF(H972="","",INDEX(BANK_CLEAN!$B$2:$B$1001,H972))</f>
        <v/>
      </c>
      <c r="J972" s="14">
        <f>IF(H972="","",IF(F972="OUT",INDEX(BANK_CLEAN!$F$2:$F$1001,H972),INDEX(BANK_CLEAN!$E$2:$E$1001,H972)))</f>
        <v/>
      </c>
      <c r="K972" s="14">
        <f>IF(H972="","",ABS(E972-J972))</f>
        <v/>
      </c>
      <c r="L972" s="11">
        <f>IF(OR(H972="",B972="",I972=""),"",ABS(B972-I972))</f>
        <v/>
      </c>
      <c r="M972" s="15">
        <f>IF(H972="",0,LET(pct,IF(E972&gt;0,K972/E972,1),days,IFERROR(L972,999),100-pct*200-days*3))</f>
        <v/>
      </c>
      <c r="N972" s="11">
        <f>IF(A972="","",IF(H972="","Unmatched GL",IF(AND(K972&lt;=Tol_Amount,L972&lt;=Tol_Days),"Matched",IF(M972&gt;Tol_NearPct,"Near Match","Unmatched GL"))))</f>
        <v/>
      </c>
    </row>
    <row r="973">
      <c r="A973" s="13">
        <f>IF(GL_CLEAN!A973="","",GL_CLEAN!A973)</f>
        <v/>
      </c>
      <c r="B973" s="10">
        <f>IF(A973="","",GL_CLEAN!B973)</f>
        <v/>
      </c>
      <c r="C973" s="11">
        <f>IF(A973="","",GL_CLEAN!C973)</f>
        <v/>
      </c>
      <c r="D973" s="14">
        <f>IF(A973="","",GL_CLEAN!H973)</f>
        <v/>
      </c>
      <c r="E973" s="14">
        <f>IF(A973="","",GL_CLEAN!I973)</f>
        <v/>
      </c>
      <c r="F973" s="11">
        <f>IF(A973="","",GL_CLEAN!J973)</f>
        <v/>
      </c>
      <c r="G973" s="11">
        <f>IF(A973="","",IF(F973="OUT","DR","CR"))</f>
        <v/>
      </c>
      <c r="H973" s="11">
        <f>IF(A973="","",IFERROR(INDEX(BANK_CLEAN!$A$2:$A$1001,MATCH(MINIFS(BANK_CLEAN!$J$2:$J$1001,BANK_CLEAN!$H$2:$H$1001,G973,BANK_CLEAN!$L$2:$L$1001,""),BANK_CLEAN!$J$2:$J$1001,0)),""))</f>
        <v/>
      </c>
      <c r="I973" s="10">
        <f>IF(H973="","",INDEX(BANK_CLEAN!$B$2:$B$1001,H973))</f>
        <v/>
      </c>
      <c r="J973" s="14">
        <f>IF(H973="","",IF(F973="OUT",INDEX(BANK_CLEAN!$F$2:$F$1001,H973),INDEX(BANK_CLEAN!$E$2:$E$1001,H973)))</f>
        <v/>
      </c>
      <c r="K973" s="14">
        <f>IF(H973="","",ABS(E973-J973))</f>
        <v/>
      </c>
      <c r="L973" s="11">
        <f>IF(OR(H973="",B973="",I973=""),"",ABS(B973-I973))</f>
        <v/>
      </c>
      <c r="M973" s="15">
        <f>IF(H973="",0,LET(pct,IF(E973&gt;0,K973/E973,1),days,IFERROR(L973,999),100-pct*200-days*3))</f>
        <v/>
      </c>
      <c r="N973" s="11">
        <f>IF(A973="","",IF(H973="","Unmatched GL",IF(AND(K973&lt;=Tol_Amount,L973&lt;=Tol_Days),"Matched",IF(M973&gt;Tol_NearPct,"Near Match","Unmatched GL"))))</f>
        <v/>
      </c>
    </row>
    <row r="974">
      <c r="A974" s="13">
        <f>IF(GL_CLEAN!A974="","",GL_CLEAN!A974)</f>
        <v/>
      </c>
      <c r="B974" s="10">
        <f>IF(A974="","",GL_CLEAN!B974)</f>
        <v/>
      </c>
      <c r="C974" s="11">
        <f>IF(A974="","",GL_CLEAN!C974)</f>
        <v/>
      </c>
      <c r="D974" s="14">
        <f>IF(A974="","",GL_CLEAN!H974)</f>
        <v/>
      </c>
      <c r="E974" s="14">
        <f>IF(A974="","",GL_CLEAN!I974)</f>
        <v/>
      </c>
      <c r="F974" s="11">
        <f>IF(A974="","",GL_CLEAN!J974)</f>
        <v/>
      </c>
      <c r="G974" s="11">
        <f>IF(A974="","",IF(F974="OUT","DR","CR"))</f>
        <v/>
      </c>
      <c r="H974" s="11">
        <f>IF(A974="","",IFERROR(INDEX(BANK_CLEAN!$A$2:$A$1001,MATCH(MINIFS(BANK_CLEAN!$J$2:$J$1001,BANK_CLEAN!$H$2:$H$1001,G974,BANK_CLEAN!$L$2:$L$1001,""),BANK_CLEAN!$J$2:$J$1001,0)),""))</f>
        <v/>
      </c>
      <c r="I974" s="10">
        <f>IF(H974="","",INDEX(BANK_CLEAN!$B$2:$B$1001,H974))</f>
        <v/>
      </c>
      <c r="J974" s="14">
        <f>IF(H974="","",IF(F974="OUT",INDEX(BANK_CLEAN!$F$2:$F$1001,H974),INDEX(BANK_CLEAN!$E$2:$E$1001,H974)))</f>
        <v/>
      </c>
      <c r="K974" s="14">
        <f>IF(H974="","",ABS(E974-J974))</f>
        <v/>
      </c>
      <c r="L974" s="11">
        <f>IF(OR(H974="",B974="",I974=""),"",ABS(B974-I974))</f>
        <v/>
      </c>
      <c r="M974" s="15">
        <f>IF(H974="",0,LET(pct,IF(E974&gt;0,K974/E974,1),days,IFERROR(L974,999),100-pct*200-days*3))</f>
        <v/>
      </c>
      <c r="N974" s="11">
        <f>IF(A974="","",IF(H974="","Unmatched GL",IF(AND(K974&lt;=Tol_Amount,L974&lt;=Tol_Days),"Matched",IF(M974&gt;Tol_NearPct,"Near Match","Unmatched GL"))))</f>
        <v/>
      </c>
    </row>
    <row r="975">
      <c r="A975" s="13">
        <f>IF(GL_CLEAN!A975="","",GL_CLEAN!A975)</f>
        <v/>
      </c>
      <c r="B975" s="10">
        <f>IF(A975="","",GL_CLEAN!B975)</f>
        <v/>
      </c>
      <c r="C975" s="11">
        <f>IF(A975="","",GL_CLEAN!C975)</f>
        <v/>
      </c>
      <c r="D975" s="14">
        <f>IF(A975="","",GL_CLEAN!H975)</f>
        <v/>
      </c>
      <c r="E975" s="14">
        <f>IF(A975="","",GL_CLEAN!I975)</f>
        <v/>
      </c>
      <c r="F975" s="11">
        <f>IF(A975="","",GL_CLEAN!J975)</f>
        <v/>
      </c>
      <c r="G975" s="11">
        <f>IF(A975="","",IF(F975="OUT","DR","CR"))</f>
        <v/>
      </c>
      <c r="H975" s="11">
        <f>IF(A975="","",IFERROR(INDEX(BANK_CLEAN!$A$2:$A$1001,MATCH(MINIFS(BANK_CLEAN!$J$2:$J$1001,BANK_CLEAN!$H$2:$H$1001,G975,BANK_CLEAN!$L$2:$L$1001,""),BANK_CLEAN!$J$2:$J$1001,0)),""))</f>
        <v/>
      </c>
      <c r="I975" s="10">
        <f>IF(H975="","",INDEX(BANK_CLEAN!$B$2:$B$1001,H975))</f>
        <v/>
      </c>
      <c r="J975" s="14">
        <f>IF(H975="","",IF(F975="OUT",INDEX(BANK_CLEAN!$F$2:$F$1001,H975),INDEX(BANK_CLEAN!$E$2:$E$1001,H975)))</f>
        <v/>
      </c>
      <c r="K975" s="14">
        <f>IF(H975="","",ABS(E975-J975))</f>
        <v/>
      </c>
      <c r="L975" s="11">
        <f>IF(OR(H975="",B975="",I975=""),"",ABS(B975-I975))</f>
        <v/>
      </c>
      <c r="M975" s="15">
        <f>IF(H975="",0,LET(pct,IF(E975&gt;0,K975/E975,1),days,IFERROR(L975,999),100-pct*200-days*3))</f>
        <v/>
      </c>
      <c r="N975" s="11">
        <f>IF(A975="","",IF(H975="","Unmatched GL",IF(AND(K975&lt;=Tol_Amount,L975&lt;=Tol_Days),"Matched",IF(M975&gt;Tol_NearPct,"Near Match","Unmatched GL"))))</f>
        <v/>
      </c>
    </row>
    <row r="976">
      <c r="A976" s="13">
        <f>IF(GL_CLEAN!A976="","",GL_CLEAN!A976)</f>
        <v/>
      </c>
      <c r="B976" s="10">
        <f>IF(A976="","",GL_CLEAN!B976)</f>
        <v/>
      </c>
      <c r="C976" s="11">
        <f>IF(A976="","",GL_CLEAN!C976)</f>
        <v/>
      </c>
      <c r="D976" s="14">
        <f>IF(A976="","",GL_CLEAN!H976)</f>
        <v/>
      </c>
      <c r="E976" s="14">
        <f>IF(A976="","",GL_CLEAN!I976)</f>
        <v/>
      </c>
      <c r="F976" s="11">
        <f>IF(A976="","",GL_CLEAN!J976)</f>
        <v/>
      </c>
      <c r="G976" s="11">
        <f>IF(A976="","",IF(F976="OUT","DR","CR"))</f>
        <v/>
      </c>
      <c r="H976" s="11">
        <f>IF(A976="","",IFERROR(INDEX(BANK_CLEAN!$A$2:$A$1001,MATCH(MINIFS(BANK_CLEAN!$J$2:$J$1001,BANK_CLEAN!$H$2:$H$1001,G976,BANK_CLEAN!$L$2:$L$1001,""),BANK_CLEAN!$J$2:$J$1001,0)),""))</f>
        <v/>
      </c>
      <c r="I976" s="10">
        <f>IF(H976="","",INDEX(BANK_CLEAN!$B$2:$B$1001,H976))</f>
        <v/>
      </c>
      <c r="J976" s="14">
        <f>IF(H976="","",IF(F976="OUT",INDEX(BANK_CLEAN!$F$2:$F$1001,H976),INDEX(BANK_CLEAN!$E$2:$E$1001,H976)))</f>
        <v/>
      </c>
      <c r="K976" s="14">
        <f>IF(H976="","",ABS(E976-J976))</f>
        <v/>
      </c>
      <c r="L976" s="11">
        <f>IF(OR(H976="",B976="",I976=""),"",ABS(B976-I976))</f>
        <v/>
      </c>
      <c r="M976" s="15">
        <f>IF(H976="",0,LET(pct,IF(E976&gt;0,K976/E976,1),days,IFERROR(L976,999),100-pct*200-days*3))</f>
        <v/>
      </c>
      <c r="N976" s="11">
        <f>IF(A976="","",IF(H976="","Unmatched GL",IF(AND(K976&lt;=Tol_Amount,L976&lt;=Tol_Days),"Matched",IF(M976&gt;Tol_NearPct,"Near Match","Unmatched GL"))))</f>
        <v/>
      </c>
    </row>
    <row r="977">
      <c r="A977" s="13">
        <f>IF(GL_CLEAN!A977="","",GL_CLEAN!A977)</f>
        <v/>
      </c>
      <c r="B977" s="10">
        <f>IF(A977="","",GL_CLEAN!B977)</f>
        <v/>
      </c>
      <c r="C977" s="11">
        <f>IF(A977="","",GL_CLEAN!C977)</f>
        <v/>
      </c>
      <c r="D977" s="14">
        <f>IF(A977="","",GL_CLEAN!H977)</f>
        <v/>
      </c>
      <c r="E977" s="14">
        <f>IF(A977="","",GL_CLEAN!I977)</f>
        <v/>
      </c>
      <c r="F977" s="11">
        <f>IF(A977="","",GL_CLEAN!J977)</f>
        <v/>
      </c>
      <c r="G977" s="11">
        <f>IF(A977="","",IF(F977="OUT","DR","CR"))</f>
        <v/>
      </c>
      <c r="H977" s="11">
        <f>IF(A977="","",IFERROR(INDEX(BANK_CLEAN!$A$2:$A$1001,MATCH(MINIFS(BANK_CLEAN!$J$2:$J$1001,BANK_CLEAN!$H$2:$H$1001,G977,BANK_CLEAN!$L$2:$L$1001,""),BANK_CLEAN!$J$2:$J$1001,0)),""))</f>
        <v/>
      </c>
      <c r="I977" s="10">
        <f>IF(H977="","",INDEX(BANK_CLEAN!$B$2:$B$1001,H977))</f>
        <v/>
      </c>
      <c r="J977" s="14">
        <f>IF(H977="","",IF(F977="OUT",INDEX(BANK_CLEAN!$F$2:$F$1001,H977),INDEX(BANK_CLEAN!$E$2:$E$1001,H977)))</f>
        <v/>
      </c>
      <c r="K977" s="14">
        <f>IF(H977="","",ABS(E977-J977))</f>
        <v/>
      </c>
      <c r="L977" s="11">
        <f>IF(OR(H977="",B977="",I977=""),"",ABS(B977-I977))</f>
        <v/>
      </c>
      <c r="M977" s="15">
        <f>IF(H977="",0,LET(pct,IF(E977&gt;0,K977/E977,1),days,IFERROR(L977,999),100-pct*200-days*3))</f>
        <v/>
      </c>
      <c r="N977" s="11">
        <f>IF(A977="","",IF(H977="","Unmatched GL",IF(AND(K977&lt;=Tol_Amount,L977&lt;=Tol_Days),"Matched",IF(M977&gt;Tol_NearPct,"Near Match","Unmatched GL"))))</f>
        <v/>
      </c>
    </row>
    <row r="978">
      <c r="A978" s="13">
        <f>IF(GL_CLEAN!A978="","",GL_CLEAN!A978)</f>
        <v/>
      </c>
      <c r="B978" s="10">
        <f>IF(A978="","",GL_CLEAN!B978)</f>
        <v/>
      </c>
      <c r="C978" s="11">
        <f>IF(A978="","",GL_CLEAN!C978)</f>
        <v/>
      </c>
      <c r="D978" s="14">
        <f>IF(A978="","",GL_CLEAN!H978)</f>
        <v/>
      </c>
      <c r="E978" s="14">
        <f>IF(A978="","",GL_CLEAN!I978)</f>
        <v/>
      </c>
      <c r="F978" s="11">
        <f>IF(A978="","",GL_CLEAN!J978)</f>
        <v/>
      </c>
      <c r="G978" s="11">
        <f>IF(A978="","",IF(F978="OUT","DR","CR"))</f>
        <v/>
      </c>
      <c r="H978" s="11">
        <f>IF(A978="","",IFERROR(INDEX(BANK_CLEAN!$A$2:$A$1001,MATCH(MINIFS(BANK_CLEAN!$J$2:$J$1001,BANK_CLEAN!$H$2:$H$1001,G978,BANK_CLEAN!$L$2:$L$1001,""),BANK_CLEAN!$J$2:$J$1001,0)),""))</f>
        <v/>
      </c>
      <c r="I978" s="10">
        <f>IF(H978="","",INDEX(BANK_CLEAN!$B$2:$B$1001,H978))</f>
        <v/>
      </c>
      <c r="J978" s="14">
        <f>IF(H978="","",IF(F978="OUT",INDEX(BANK_CLEAN!$F$2:$F$1001,H978),INDEX(BANK_CLEAN!$E$2:$E$1001,H978)))</f>
        <v/>
      </c>
      <c r="K978" s="14">
        <f>IF(H978="","",ABS(E978-J978))</f>
        <v/>
      </c>
      <c r="L978" s="11">
        <f>IF(OR(H978="",B978="",I978=""),"",ABS(B978-I978))</f>
        <v/>
      </c>
      <c r="M978" s="15">
        <f>IF(H978="",0,LET(pct,IF(E978&gt;0,K978/E978,1),days,IFERROR(L978,999),100-pct*200-days*3))</f>
        <v/>
      </c>
      <c r="N978" s="11">
        <f>IF(A978="","",IF(H978="","Unmatched GL",IF(AND(K978&lt;=Tol_Amount,L978&lt;=Tol_Days),"Matched",IF(M978&gt;Tol_NearPct,"Near Match","Unmatched GL"))))</f>
        <v/>
      </c>
    </row>
    <row r="979">
      <c r="A979" s="13">
        <f>IF(GL_CLEAN!A979="","",GL_CLEAN!A979)</f>
        <v/>
      </c>
      <c r="B979" s="10">
        <f>IF(A979="","",GL_CLEAN!B979)</f>
        <v/>
      </c>
      <c r="C979" s="11">
        <f>IF(A979="","",GL_CLEAN!C979)</f>
        <v/>
      </c>
      <c r="D979" s="14">
        <f>IF(A979="","",GL_CLEAN!H979)</f>
        <v/>
      </c>
      <c r="E979" s="14">
        <f>IF(A979="","",GL_CLEAN!I979)</f>
        <v/>
      </c>
      <c r="F979" s="11">
        <f>IF(A979="","",GL_CLEAN!J979)</f>
        <v/>
      </c>
      <c r="G979" s="11">
        <f>IF(A979="","",IF(F979="OUT","DR","CR"))</f>
        <v/>
      </c>
      <c r="H979" s="11">
        <f>IF(A979="","",IFERROR(INDEX(BANK_CLEAN!$A$2:$A$1001,MATCH(MINIFS(BANK_CLEAN!$J$2:$J$1001,BANK_CLEAN!$H$2:$H$1001,G979,BANK_CLEAN!$L$2:$L$1001,""),BANK_CLEAN!$J$2:$J$1001,0)),""))</f>
        <v/>
      </c>
      <c r="I979" s="10">
        <f>IF(H979="","",INDEX(BANK_CLEAN!$B$2:$B$1001,H979))</f>
        <v/>
      </c>
      <c r="J979" s="14">
        <f>IF(H979="","",IF(F979="OUT",INDEX(BANK_CLEAN!$F$2:$F$1001,H979),INDEX(BANK_CLEAN!$E$2:$E$1001,H979)))</f>
        <v/>
      </c>
      <c r="K979" s="14">
        <f>IF(H979="","",ABS(E979-J979))</f>
        <v/>
      </c>
      <c r="L979" s="11">
        <f>IF(OR(H979="",B979="",I979=""),"",ABS(B979-I979))</f>
        <v/>
      </c>
      <c r="M979" s="15">
        <f>IF(H979="",0,LET(pct,IF(E979&gt;0,K979/E979,1),days,IFERROR(L979,999),100-pct*200-days*3))</f>
        <v/>
      </c>
      <c r="N979" s="11">
        <f>IF(A979="","",IF(H979="","Unmatched GL",IF(AND(K979&lt;=Tol_Amount,L979&lt;=Tol_Days),"Matched",IF(M979&gt;Tol_NearPct,"Near Match","Unmatched GL"))))</f>
        <v/>
      </c>
    </row>
    <row r="980">
      <c r="A980" s="13">
        <f>IF(GL_CLEAN!A980="","",GL_CLEAN!A980)</f>
        <v/>
      </c>
      <c r="B980" s="10">
        <f>IF(A980="","",GL_CLEAN!B980)</f>
        <v/>
      </c>
      <c r="C980" s="11">
        <f>IF(A980="","",GL_CLEAN!C980)</f>
        <v/>
      </c>
      <c r="D980" s="14">
        <f>IF(A980="","",GL_CLEAN!H980)</f>
        <v/>
      </c>
      <c r="E980" s="14">
        <f>IF(A980="","",GL_CLEAN!I980)</f>
        <v/>
      </c>
      <c r="F980" s="11">
        <f>IF(A980="","",GL_CLEAN!J980)</f>
        <v/>
      </c>
      <c r="G980" s="11">
        <f>IF(A980="","",IF(F980="OUT","DR","CR"))</f>
        <v/>
      </c>
      <c r="H980" s="11">
        <f>IF(A980="","",IFERROR(INDEX(BANK_CLEAN!$A$2:$A$1001,MATCH(MINIFS(BANK_CLEAN!$J$2:$J$1001,BANK_CLEAN!$H$2:$H$1001,G980,BANK_CLEAN!$L$2:$L$1001,""),BANK_CLEAN!$J$2:$J$1001,0)),""))</f>
        <v/>
      </c>
      <c r="I980" s="10">
        <f>IF(H980="","",INDEX(BANK_CLEAN!$B$2:$B$1001,H980))</f>
        <v/>
      </c>
      <c r="J980" s="14">
        <f>IF(H980="","",IF(F980="OUT",INDEX(BANK_CLEAN!$F$2:$F$1001,H980),INDEX(BANK_CLEAN!$E$2:$E$1001,H980)))</f>
        <v/>
      </c>
      <c r="K980" s="14">
        <f>IF(H980="","",ABS(E980-J980))</f>
        <v/>
      </c>
      <c r="L980" s="11">
        <f>IF(OR(H980="",B980="",I980=""),"",ABS(B980-I980))</f>
        <v/>
      </c>
      <c r="M980" s="15">
        <f>IF(H980="",0,LET(pct,IF(E980&gt;0,K980/E980,1),days,IFERROR(L980,999),100-pct*200-days*3))</f>
        <v/>
      </c>
      <c r="N980" s="11">
        <f>IF(A980="","",IF(H980="","Unmatched GL",IF(AND(K980&lt;=Tol_Amount,L980&lt;=Tol_Days),"Matched",IF(M980&gt;Tol_NearPct,"Near Match","Unmatched GL"))))</f>
        <v/>
      </c>
    </row>
    <row r="981">
      <c r="A981" s="13">
        <f>IF(GL_CLEAN!A981="","",GL_CLEAN!A981)</f>
        <v/>
      </c>
      <c r="B981" s="10">
        <f>IF(A981="","",GL_CLEAN!B981)</f>
        <v/>
      </c>
      <c r="C981" s="11">
        <f>IF(A981="","",GL_CLEAN!C981)</f>
        <v/>
      </c>
      <c r="D981" s="14">
        <f>IF(A981="","",GL_CLEAN!H981)</f>
        <v/>
      </c>
      <c r="E981" s="14">
        <f>IF(A981="","",GL_CLEAN!I981)</f>
        <v/>
      </c>
      <c r="F981" s="11">
        <f>IF(A981="","",GL_CLEAN!J981)</f>
        <v/>
      </c>
      <c r="G981" s="11">
        <f>IF(A981="","",IF(F981="OUT","DR","CR"))</f>
        <v/>
      </c>
      <c r="H981" s="11">
        <f>IF(A981="","",IFERROR(INDEX(BANK_CLEAN!$A$2:$A$1001,MATCH(MINIFS(BANK_CLEAN!$J$2:$J$1001,BANK_CLEAN!$H$2:$H$1001,G981,BANK_CLEAN!$L$2:$L$1001,""),BANK_CLEAN!$J$2:$J$1001,0)),""))</f>
        <v/>
      </c>
      <c r="I981" s="10">
        <f>IF(H981="","",INDEX(BANK_CLEAN!$B$2:$B$1001,H981))</f>
        <v/>
      </c>
      <c r="J981" s="14">
        <f>IF(H981="","",IF(F981="OUT",INDEX(BANK_CLEAN!$F$2:$F$1001,H981),INDEX(BANK_CLEAN!$E$2:$E$1001,H981)))</f>
        <v/>
      </c>
      <c r="K981" s="14">
        <f>IF(H981="","",ABS(E981-J981))</f>
        <v/>
      </c>
      <c r="L981" s="11">
        <f>IF(OR(H981="",B981="",I981=""),"",ABS(B981-I981))</f>
        <v/>
      </c>
      <c r="M981" s="15">
        <f>IF(H981="",0,LET(pct,IF(E981&gt;0,K981/E981,1),days,IFERROR(L981,999),100-pct*200-days*3))</f>
        <v/>
      </c>
      <c r="N981" s="11">
        <f>IF(A981="","",IF(H981="","Unmatched GL",IF(AND(K981&lt;=Tol_Amount,L981&lt;=Tol_Days),"Matched",IF(M981&gt;Tol_NearPct,"Near Match","Unmatched GL"))))</f>
        <v/>
      </c>
    </row>
    <row r="982">
      <c r="A982" s="13">
        <f>IF(GL_CLEAN!A982="","",GL_CLEAN!A982)</f>
        <v/>
      </c>
      <c r="B982" s="10">
        <f>IF(A982="","",GL_CLEAN!B982)</f>
        <v/>
      </c>
      <c r="C982" s="11">
        <f>IF(A982="","",GL_CLEAN!C982)</f>
        <v/>
      </c>
      <c r="D982" s="14">
        <f>IF(A982="","",GL_CLEAN!H982)</f>
        <v/>
      </c>
      <c r="E982" s="14">
        <f>IF(A982="","",GL_CLEAN!I982)</f>
        <v/>
      </c>
      <c r="F982" s="11">
        <f>IF(A982="","",GL_CLEAN!J982)</f>
        <v/>
      </c>
      <c r="G982" s="11">
        <f>IF(A982="","",IF(F982="OUT","DR","CR"))</f>
        <v/>
      </c>
      <c r="H982" s="11">
        <f>IF(A982="","",IFERROR(INDEX(BANK_CLEAN!$A$2:$A$1001,MATCH(MINIFS(BANK_CLEAN!$J$2:$J$1001,BANK_CLEAN!$H$2:$H$1001,G982,BANK_CLEAN!$L$2:$L$1001,""),BANK_CLEAN!$J$2:$J$1001,0)),""))</f>
        <v/>
      </c>
      <c r="I982" s="10">
        <f>IF(H982="","",INDEX(BANK_CLEAN!$B$2:$B$1001,H982))</f>
        <v/>
      </c>
      <c r="J982" s="14">
        <f>IF(H982="","",IF(F982="OUT",INDEX(BANK_CLEAN!$F$2:$F$1001,H982),INDEX(BANK_CLEAN!$E$2:$E$1001,H982)))</f>
        <v/>
      </c>
      <c r="K982" s="14">
        <f>IF(H982="","",ABS(E982-J982))</f>
        <v/>
      </c>
      <c r="L982" s="11">
        <f>IF(OR(H982="",B982="",I982=""),"",ABS(B982-I982))</f>
        <v/>
      </c>
      <c r="M982" s="15">
        <f>IF(H982="",0,LET(pct,IF(E982&gt;0,K982/E982,1),days,IFERROR(L982,999),100-pct*200-days*3))</f>
        <v/>
      </c>
      <c r="N982" s="11">
        <f>IF(A982="","",IF(H982="","Unmatched GL",IF(AND(K982&lt;=Tol_Amount,L982&lt;=Tol_Days),"Matched",IF(M982&gt;Tol_NearPct,"Near Match","Unmatched GL"))))</f>
        <v/>
      </c>
    </row>
    <row r="983">
      <c r="A983" s="13">
        <f>IF(GL_CLEAN!A983="","",GL_CLEAN!A983)</f>
        <v/>
      </c>
      <c r="B983" s="10">
        <f>IF(A983="","",GL_CLEAN!B983)</f>
        <v/>
      </c>
      <c r="C983" s="11">
        <f>IF(A983="","",GL_CLEAN!C983)</f>
        <v/>
      </c>
      <c r="D983" s="14">
        <f>IF(A983="","",GL_CLEAN!H983)</f>
        <v/>
      </c>
      <c r="E983" s="14">
        <f>IF(A983="","",GL_CLEAN!I983)</f>
        <v/>
      </c>
      <c r="F983" s="11">
        <f>IF(A983="","",GL_CLEAN!J983)</f>
        <v/>
      </c>
      <c r="G983" s="11">
        <f>IF(A983="","",IF(F983="OUT","DR","CR"))</f>
        <v/>
      </c>
      <c r="H983" s="11">
        <f>IF(A983="","",IFERROR(INDEX(BANK_CLEAN!$A$2:$A$1001,MATCH(MINIFS(BANK_CLEAN!$J$2:$J$1001,BANK_CLEAN!$H$2:$H$1001,G983,BANK_CLEAN!$L$2:$L$1001,""),BANK_CLEAN!$J$2:$J$1001,0)),""))</f>
        <v/>
      </c>
      <c r="I983" s="10">
        <f>IF(H983="","",INDEX(BANK_CLEAN!$B$2:$B$1001,H983))</f>
        <v/>
      </c>
      <c r="J983" s="14">
        <f>IF(H983="","",IF(F983="OUT",INDEX(BANK_CLEAN!$F$2:$F$1001,H983),INDEX(BANK_CLEAN!$E$2:$E$1001,H983)))</f>
        <v/>
      </c>
      <c r="K983" s="14">
        <f>IF(H983="","",ABS(E983-J983))</f>
        <v/>
      </c>
      <c r="L983" s="11">
        <f>IF(OR(H983="",B983="",I983=""),"",ABS(B983-I983))</f>
        <v/>
      </c>
      <c r="M983" s="15">
        <f>IF(H983="",0,LET(pct,IF(E983&gt;0,K983/E983,1),days,IFERROR(L983,999),100-pct*200-days*3))</f>
        <v/>
      </c>
      <c r="N983" s="11">
        <f>IF(A983="","",IF(H983="","Unmatched GL",IF(AND(K983&lt;=Tol_Amount,L983&lt;=Tol_Days),"Matched",IF(M983&gt;Tol_NearPct,"Near Match","Unmatched GL"))))</f>
        <v/>
      </c>
    </row>
    <row r="984">
      <c r="A984" s="13">
        <f>IF(GL_CLEAN!A984="","",GL_CLEAN!A984)</f>
        <v/>
      </c>
      <c r="B984" s="10">
        <f>IF(A984="","",GL_CLEAN!B984)</f>
        <v/>
      </c>
      <c r="C984" s="11">
        <f>IF(A984="","",GL_CLEAN!C984)</f>
        <v/>
      </c>
      <c r="D984" s="14">
        <f>IF(A984="","",GL_CLEAN!H984)</f>
        <v/>
      </c>
      <c r="E984" s="14">
        <f>IF(A984="","",GL_CLEAN!I984)</f>
        <v/>
      </c>
      <c r="F984" s="11">
        <f>IF(A984="","",GL_CLEAN!J984)</f>
        <v/>
      </c>
      <c r="G984" s="11">
        <f>IF(A984="","",IF(F984="OUT","DR","CR"))</f>
        <v/>
      </c>
      <c r="H984" s="11">
        <f>IF(A984="","",IFERROR(INDEX(BANK_CLEAN!$A$2:$A$1001,MATCH(MINIFS(BANK_CLEAN!$J$2:$J$1001,BANK_CLEAN!$H$2:$H$1001,G984,BANK_CLEAN!$L$2:$L$1001,""),BANK_CLEAN!$J$2:$J$1001,0)),""))</f>
        <v/>
      </c>
      <c r="I984" s="10">
        <f>IF(H984="","",INDEX(BANK_CLEAN!$B$2:$B$1001,H984))</f>
        <v/>
      </c>
      <c r="J984" s="14">
        <f>IF(H984="","",IF(F984="OUT",INDEX(BANK_CLEAN!$F$2:$F$1001,H984),INDEX(BANK_CLEAN!$E$2:$E$1001,H984)))</f>
        <v/>
      </c>
      <c r="K984" s="14">
        <f>IF(H984="","",ABS(E984-J984))</f>
        <v/>
      </c>
      <c r="L984" s="11">
        <f>IF(OR(H984="",B984="",I984=""),"",ABS(B984-I984))</f>
        <v/>
      </c>
      <c r="M984" s="15">
        <f>IF(H984="",0,LET(pct,IF(E984&gt;0,K984/E984,1),days,IFERROR(L984,999),100-pct*200-days*3))</f>
        <v/>
      </c>
      <c r="N984" s="11">
        <f>IF(A984="","",IF(H984="","Unmatched GL",IF(AND(K984&lt;=Tol_Amount,L984&lt;=Tol_Days),"Matched",IF(M984&gt;Tol_NearPct,"Near Match","Unmatched GL"))))</f>
        <v/>
      </c>
    </row>
    <row r="985">
      <c r="A985" s="13">
        <f>IF(GL_CLEAN!A985="","",GL_CLEAN!A985)</f>
        <v/>
      </c>
      <c r="B985" s="10">
        <f>IF(A985="","",GL_CLEAN!B985)</f>
        <v/>
      </c>
      <c r="C985" s="11">
        <f>IF(A985="","",GL_CLEAN!C985)</f>
        <v/>
      </c>
      <c r="D985" s="14">
        <f>IF(A985="","",GL_CLEAN!H985)</f>
        <v/>
      </c>
      <c r="E985" s="14">
        <f>IF(A985="","",GL_CLEAN!I985)</f>
        <v/>
      </c>
      <c r="F985" s="11">
        <f>IF(A985="","",GL_CLEAN!J985)</f>
        <v/>
      </c>
      <c r="G985" s="11">
        <f>IF(A985="","",IF(F985="OUT","DR","CR"))</f>
        <v/>
      </c>
      <c r="H985" s="11">
        <f>IF(A985="","",IFERROR(INDEX(BANK_CLEAN!$A$2:$A$1001,MATCH(MINIFS(BANK_CLEAN!$J$2:$J$1001,BANK_CLEAN!$H$2:$H$1001,G985,BANK_CLEAN!$L$2:$L$1001,""),BANK_CLEAN!$J$2:$J$1001,0)),""))</f>
        <v/>
      </c>
      <c r="I985" s="10">
        <f>IF(H985="","",INDEX(BANK_CLEAN!$B$2:$B$1001,H985))</f>
        <v/>
      </c>
      <c r="J985" s="14">
        <f>IF(H985="","",IF(F985="OUT",INDEX(BANK_CLEAN!$F$2:$F$1001,H985),INDEX(BANK_CLEAN!$E$2:$E$1001,H985)))</f>
        <v/>
      </c>
      <c r="K985" s="14">
        <f>IF(H985="","",ABS(E985-J985))</f>
        <v/>
      </c>
      <c r="L985" s="11">
        <f>IF(OR(H985="",B985="",I985=""),"",ABS(B985-I985))</f>
        <v/>
      </c>
      <c r="M985" s="15">
        <f>IF(H985="",0,LET(pct,IF(E985&gt;0,K985/E985,1),days,IFERROR(L985,999),100-pct*200-days*3))</f>
        <v/>
      </c>
      <c r="N985" s="11">
        <f>IF(A985="","",IF(H985="","Unmatched GL",IF(AND(K985&lt;=Tol_Amount,L985&lt;=Tol_Days),"Matched",IF(M985&gt;Tol_NearPct,"Near Match","Unmatched GL"))))</f>
        <v/>
      </c>
    </row>
    <row r="986">
      <c r="A986" s="13">
        <f>IF(GL_CLEAN!A986="","",GL_CLEAN!A986)</f>
        <v/>
      </c>
      <c r="B986" s="10">
        <f>IF(A986="","",GL_CLEAN!B986)</f>
        <v/>
      </c>
      <c r="C986" s="11">
        <f>IF(A986="","",GL_CLEAN!C986)</f>
        <v/>
      </c>
      <c r="D986" s="14">
        <f>IF(A986="","",GL_CLEAN!H986)</f>
        <v/>
      </c>
      <c r="E986" s="14">
        <f>IF(A986="","",GL_CLEAN!I986)</f>
        <v/>
      </c>
      <c r="F986" s="11">
        <f>IF(A986="","",GL_CLEAN!J986)</f>
        <v/>
      </c>
      <c r="G986" s="11">
        <f>IF(A986="","",IF(F986="OUT","DR","CR"))</f>
        <v/>
      </c>
      <c r="H986" s="11">
        <f>IF(A986="","",IFERROR(INDEX(BANK_CLEAN!$A$2:$A$1001,MATCH(MINIFS(BANK_CLEAN!$J$2:$J$1001,BANK_CLEAN!$H$2:$H$1001,G986,BANK_CLEAN!$L$2:$L$1001,""),BANK_CLEAN!$J$2:$J$1001,0)),""))</f>
        <v/>
      </c>
      <c r="I986" s="10">
        <f>IF(H986="","",INDEX(BANK_CLEAN!$B$2:$B$1001,H986))</f>
        <v/>
      </c>
      <c r="J986" s="14">
        <f>IF(H986="","",IF(F986="OUT",INDEX(BANK_CLEAN!$F$2:$F$1001,H986),INDEX(BANK_CLEAN!$E$2:$E$1001,H986)))</f>
        <v/>
      </c>
      <c r="K986" s="14">
        <f>IF(H986="","",ABS(E986-J986))</f>
        <v/>
      </c>
      <c r="L986" s="11">
        <f>IF(OR(H986="",B986="",I986=""),"",ABS(B986-I986))</f>
        <v/>
      </c>
      <c r="M986" s="15">
        <f>IF(H986="",0,LET(pct,IF(E986&gt;0,K986/E986,1),days,IFERROR(L986,999),100-pct*200-days*3))</f>
        <v/>
      </c>
      <c r="N986" s="11">
        <f>IF(A986="","",IF(H986="","Unmatched GL",IF(AND(K986&lt;=Tol_Amount,L986&lt;=Tol_Days),"Matched",IF(M986&gt;Tol_NearPct,"Near Match","Unmatched GL"))))</f>
        <v/>
      </c>
    </row>
    <row r="987">
      <c r="A987" s="13">
        <f>IF(GL_CLEAN!A987="","",GL_CLEAN!A987)</f>
        <v/>
      </c>
      <c r="B987" s="10">
        <f>IF(A987="","",GL_CLEAN!B987)</f>
        <v/>
      </c>
      <c r="C987" s="11">
        <f>IF(A987="","",GL_CLEAN!C987)</f>
        <v/>
      </c>
      <c r="D987" s="14">
        <f>IF(A987="","",GL_CLEAN!H987)</f>
        <v/>
      </c>
      <c r="E987" s="14">
        <f>IF(A987="","",GL_CLEAN!I987)</f>
        <v/>
      </c>
      <c r="F987" s="11">
        <f>IF(A987="","",GL_CLEAN!J987)</f>
        <v/>
      </c>
      <c r="G987" s="11">
        <f>IF(A987="","",IF(F987="OUT","DR","CR"))</f>
        <v/>
      </c>
      <c r="H987" s="11">
        <f>IF(A987="","",IFERROR(INDEX(BANK_CLEAN!$A$2:$A$1001,MATCH(MINIFS(BANK_CLEAN!$J$2:$J$1001,BANK_CLEAN!$H$2:$H$1001,G987,BANK_CLEAN!$L$2:$L$1001,""),BANK_CLEAN!$J$2:$J$1001,0)),""))</f>
        <v/>
      </c>
      <c r="I987" s="10">
        <f>IF(H987="","",INDEX(BANK_CLEAN!$B$2:$B$1001,H987))</f>
        <v/>
      </c>
      <c r="J987" s="14">
        <f>IF(H987="","",IF(F987="OUT",INDEX(BANK_CLEAN!$F$2:$F$1001,H987),INDEX(BANK_CLEAN!$E$2:$E$1001,H987)))</f>
        <v/>
      </c>
      <c r="K987" s="14">
        <f>IF(H987="","",ABS(E987-J987))</f>
        <v/>
      </c>
      <c r="L987" s="11">
        <f>IF(OR(H987="",B987="",I987=""),"",ABS(B987-I987))</f>
        <v/>
      </c>
      <c r="M987" s="15">
        <f>IF(H987="",0,LET(pct,IF(E987&gt;0,K987/E987,1),days,IFERROR(L987,999),100-pct*200-days*3))</f>
        <v/>
      </c>
      <c r="N987" s="11">
        <f>IF(A987="","",IF(H987="","Unmatched GL",IF(AND(K987&lt;=Tol_Amount,L987&lt;=Tol_Days),"Matched",IF(M987&gt;Tol_NearPct,"Near Match","Unmatched GL"))))</f>
        <v/>
      </c>
    </row>
    <row r="988">
      <c r="A988" s="13">
        <f>IF(GL_CLEAN!A988="","",GL_CLEAN!A988)</f>
        <v/>
      </c>
      <c r="B988" s="10">
        <f>IF(A988="","",GL_CLEAN!B988)</f>
        <v/>
      </c>
      <c r="C988" s="11">
        <f>IF(A988="","",GL_CLEAN!C988)</f>
        <v/>
      </c>
      <c r="D988" s="14">
        <f>IF(A988="","",GL_CLEAN!H988)</f>
        <v/>
      </c>
      <c r="E988" s="14">
        <f>IF(A988="","",GL_CLEAN!I988)</f>
        <v/>
      </c>
      <c r="F988" s="11">
        <f>IF(A988="","",GL_CLEAN!J988)</f>
        <v/>
      </c>
      <c r="G988" s="11">
        <f>IF(A988="","",IF(F988="OUT","DR","CR"))</f>
        <v/>
      </c>
      <c r="H988" s="11">
        <f>IF(A988="","",IFERROR(INDEX(BANK_CLEAN!$A$2:$A$1001,MATCH(MINIFS(BANK_CLEAN!$J$2:$J$1001,BANK_CLEAN!$H$2:$H$1001,G988,BANK_CLEAN!$L$2:$L$1001,""),BANK_CLEAN!$J$2:$J$1001,0)),""))</f>
        <v/>
      </c>
      <c r="I988" s="10">
        <f>IF(H988="","",INDEX(BANK_CLEAN!$B$2:$B$1001,H988))</f>
        <v/>
      </c>
      <c r="J988" s="14">
        <f>IF(H988="","",IF(F988="OUT",INDEX(BANK_CLEAN!$F$2:$F$1001,H988),INDEX(BANK_CLEAN!$E$2:$E$1001,H988)))</f>
        <v/>
      </c>
      <c r="K988" s="14">
        <f>IF(H988="","",ABS(E988-J988))</f>
        <v/>
      </c>
      <c r="L988" s="11">
        <f>IF(OR(H988="",B988="",I988=""),"",ABS(B988-I988))</f>
        <v/>
      </c>
      <c r="M988" s="15">
        <f>IF(H988="",0,LET(pct,IF(E988&gt;0,K988/E988,1),days,IFERROR(L988,999),100-pct*200-days*3))</f>
        <v/>
      </c>
      <c r="N988" s="11">
        <f>IF(A988="","",IF(H988="","Unmatched GL",IF(AND(K988&lt;=Tol_Amount,L988&lt;=Tol_Days),"Matched",IF(M988&gt;Tol_NearPct,"Near Match","Unmatched GL"))))</f>
        <v/>
      </c>
    </row>
    <row r="989">
      <c r="A989" s="13">
        <f>IF(GL_CLEAN!A989="","",GL_CLEAN!A989)</f>
        <v/>
      </c>
      <c r="B989" s="10">
        <f>IF(A989="","",GL_CLEAN!B989)</f>
        <v/>
      </c>
      <c r="C989" s="11">
        <f>IF(A989="","",GL_CLEAN!C989)</f>
        <v/>
      </c>
      <c r="D989" s="14">
        <f>IF(A989="","",GL_CLEAN!H989)</f>
        <v/>
      </c>
      <c r="E989" s="14">
        <f>IF(A989="","",GL_CLEAN!I989)</f>
        <v/>
      </c>
      <c r="F989" s="11">
        <f>IF(A989="","",GL_CLEAN!J989)</f>
        <v/>
      </c>
      <c r="G989" s="11">
        <f>IF(A989="","",IF(F989="OUT","DR","CR"))</f>
        <v/>
      </c>
      <c r="H989" s="11">
        <f>IF(A989="","",IFERROR(INDEX(BANK_CLEAN!$A$2:$A$1001,MATCH(MINIFS(BANK_CLEAN!$J$2:$J$1001,BANK_CLEAN!$H$2:$H$1001,G989,BANK_CLEAN!$L$2:$L$1001,""),BANK_CLEAN!$J$2:$J$1001,0)),""))</f>
        <v/>
      </c>
      <c r="I989" s="10">
        <f>IF(H989="","",INDEX(BANK_CLEAN!$B$2:$B$1001,H989))</f>
        <v/>
      </c>
      <c r="J989" s="14">
        <f>IF(H989="","",IF(F989="OUT",INDEX(BANK_CLEAN!$F$2:$F$1001,H989),INDEX(BANK_CLEAN!$E$2:$E$1001,H989)))</f>
        <v/>
      </c>
      <c r="K989" s="14">
        <f>IF(H989="","",ABS(E989-J989))</f>
        <v/>
      </c>
      <c r="L989" s="11">
        <f>IF(OR(H989="",B989="",I989=""),"",ABS(B989-I989))</f>
        <v/>
      </c>
      <c r="M989" s="15">
        <f>IF(H989="",0,LET(pct,IF(E989&gt;0,K989/E989,1),days,IFERROR(L989,999),100-pct*200-days*3))</f>
        <v/>
      </c>
      <c r="N989" s="11">
        <f>IF(A989="","",IF(H989="","Unmatched GL",IF(AND(K989&lt;=Tol_Amount,L989&lt;=Tol_Days),"Matched",IF(M989&gt;Tol_NearPct,"Near Match","Unmatched GL"))))</f>
        <v/>
      </c>
    </row>
    <row r="990">
      <c r="A990" s="13">
        <f>IF(GL_CLEAN!A990="","",GL_CLEAN!A990)</f>
        <v/>
      </c>
      <c r="B990" s="10">
        <f>IF(A990="","",GL_CLEAN!B990)</f>
        <v/>
      </c>
      <c r="C990" s="11">
        <f>IF(A990="","",GL_CLEAN!C990)</f>
        <v/>
      </c>
      <c r="D990" s="14">
        <f>IF(A990="","",GL_CLEAN!H990)</f>
        <v/>
      </c>
      <c r="E990" s="14">
        <f>IF(A990="","",GL_CLEAN!I990)</f>
        <v/>
      </c>
      <c r="F990" s="11">
        <f>IF(A990="","",GL_CLEAN!J990)</f>
        <v/>
      </c>
      <c r="G990" s="11">
        <f>IF(A990="","",IF(F990="OUT","DR","CR"))</f>
        <v/>
      </c>
      <c r="H990" s="11">
        <f>IF(A990="","",IFERROR(INDEX(BANK_CLEAN!$A$2:$A$1001,MATCH(MINIFS(BANK_CLEAN!$J$2:$J$1001,BANK_CLEAN!$H$2:$H$1001,G990,BANK_CLEAN!$L$2:$L$1001,""),BANK_CLEAN!$J$2:$J$1001,0)),""))</f>
        <v/>
      </c>
      <c r="I990" s="10">
        <f>IF(H990="","",INDEX(BANK_CLEAN!$B$2:$B$1001,H990))</f>
        <v/>
      </c>
      <c r="J990" s="14">
        <f>IF(H990="","",IF(F990="OUT",INDEX(BANK_CLEAN!$F$2:$F$1001,H990),INDEX(BANK_CLEAN!$E$2:$E$1001,H990)))</f>
        <v/>
      </c>
      <c r="K990" s="14">
        <f>IF(H990="","",ABS(E990-J990))</f>
        <v/>
      </c>
      <c r="L990" s="11">
        <f>IF(OR(H990="",B990="",I990=""),"",ABS(B990-I990))</f>
        <v/>
      </c>
      <c r="M990" s="15">
        <f>IF(H990="",0,LET(pct,IF(E990&gt;0,K990/E990,1),days,IFERROR(L990,999),100-pct*200-days*3))</f>
        <v/>
      </c>
      <c r="N990" s="11">
        <f>IF(A990="","",IF(H990="","Unmatched GL",IF(AND(K990&lt;=Tol_Amount,L990&lt;=Tol_Days),"Matched",IF(M990&gt;Tol_NearPct,"Near Match","Unmatched GL"))))</f>
        <v/>
      </c>
    </row>
    <row r="991">
      <c r="A991" s="13">
        <f>IF(GL_CLEAN!A991="","",GL_CLEAN!A991)</f>
        <v/>
      </c>
      <c r="B991" s="10">
        <f>IF(A991="","",GL_CLEAN!B991)</f>
        <v/>
      </c>
      <c r="C991" s="11">
        <f>IF(A991="","",GL_CLEAN!C991)</f>
        <v/>
      </c>
      <c r="D991" s="14">
        <f>IF(A991="","",GL_CLEAN!H991)</f>
        <v/>
      </c>
      <c r="E991" s="14">
        <f>IF(A991="","",GL_CLEAN!I991)</f>
        <v/>
      </c>
      <c r="F991" s="11">
        <f>IF(A991="","",GL_CLEAN!J991)</f>
        <v/>
      </c>
      <c r="G991" s="11">
        <f>IF(A991="","",IF(F991="OUT","DR","CR"))</f>
        <v/>
      </c>
      <c r="H991" s="11">
        <f>IF(A991="","",IFERROR(INDEX(BANK_CLEAN!$A$2:$A$1001,MATCH(MINIFS(BANK_CLEAN!$J$2:$J$1001,BANK_CLEAN!$H$2:$H$1001,G991,BANK_CLEAN!$L$2:$L$1001,""),BANK_CLEAN!$J$2:$J$1001,0)),""))</f>
        <v/>
      </c>
      <c r="I991" s="10">
        <f>IF(H991="","",INDEX(BANK_CLEAN!$B$2:$B$1001,H991))</f>
        <v/>
      </c>
      <c r="J991" s="14">
        <f>IF(H991="","",IF(F991="OUT",INDEX(BANK_CLEAN!$F$2:$F$1001,H991),INDEX(BANK_CLEAN!$E$2:$E$1001,H991)))</f>
        <v/>
      </c>
      <c r="K991" s="14">
        <f>IF(H991="","",ABS(E991-J991))</f>
        <v/>
      </c>
      <c r="L991" s="11">
        <f>IF(OR(H991="",B991="",I991=""),"",ABS(B991-I991))</f>
        <v/>
      </c>
      <c r="M991" s="15">
        <f>IF(H991="",0,LET(pct,IF(E991&gt;0,K991/E991,1),days,IFERROR(L991,999),100-pct*200-days*3))</f>
        <v/>
      </c>
      <c r="N991" s="11">
        <f>IF(A991="","",IF(H991="","Unmatched GL",IF(AND(K991&lt;=Tol_Amount,L991&lt;=Tol_Days),"Matched",IF(M991&gt;Tol_NearPct,"Near Match","Unmatched GL"))))</f>
        <v/>
      </c>
    </row>
    <row r="992">
      <c r="A992" s="13">
        <f>IF(GL_CLEAN!A992="","",GL_CLEAN!A992)</f>
        <v/>
      </c>
      <c r="B992" s="10">
        <f>IF(A992="","",GL_CLEAN!B992)</f>
        <v/>
      </c>
      <c r="C992" s="11">
        <f>IF(A992="","",GL_CLEAN!C992)</f>
        <v/>
      </c>
      <c r="D992" s="14">
        <f>IF(A992="","",GL_CLEAN!H992)</f>
        <v/>
      </c>
      <c r="E992" s="14">
        <f>IF(A992="","",GL_CLEAN!I992)</f>
        <v/>
      </c>
      <c r="F992" s="11">
        <f>IF(A992="","",GL_CLEAN!J992)</f>
        <v/>
      </c>
      <c r="G992" s="11">
        <f>IF(A992="","",IF(F992="OUT","DR","CR"))</f>
        <v/>
      </c>
      <c r="H992" s="11">
        <f>IF(A992="","",IFERROR(INDEX(BANK_CLEAN!$A$2:$A$1001,MATCH(MINIFS(BANK_CLEAN!$J$2:$J$1001,BANK_CLEAN!$H$2:$H$1001,G992,BANK_CLEAN!$L$2:$L$1001,""),BANK_CLEAN!$J$2:$J$1001,0)),""))</f>
        <v/>
      </c>
      <c r="I992" s="10">
        <f>IF(H992="","",INDEX(BANK_CLEAN!$B$2:$B$1001,H992))</f>
        <v/>
      </c>
      <c r="J992" s="14">
        <f>IF(H992="","",IF(F992="OUT",INDEX(BANK_CLEAN!$F$2:$F$1001,H992),INDEX(BANK_CLEAN!$E$2:$E$1001,H992)))</f>
        <v/>
      </c>
      <c r="K992" s="14">
        <f>IF(H992="","",ABS(E992-J992))</f>
        <v/>
      </c>
      <c r="L992" s="11">
        <f>IF(OR(H992="",B992="",I992=""),"",ABS(B992-I992))</f>
        <v/>
      </c>
      <c r="M992" s="15">
        <f>IF(H992="",0,LET(pct,IF(E992&gt;0,K992/E992,1),days,IFERROR(L992,999),100-pct*200-days*3))</f>
        <v/>
      </c>
      <c r="N992" s="11">
        <f>IF(A992="","",IF(H992="","Unmatched GL",IF(AND(K992&lt;=Tol_Amount,L992&lt;=Tol_Days),"Matched",IF(M992&gt;Tol_NearPct,"Near Match","Unmatched GL"))))</f>
        <v/>
      </c>
    </row>
    <row r="993">
      <c r="A993" s="13">
        <f>IF(GL_CLEAN!A993="","",GL_CLEAN!A993)</f>
        <v/>
      </c>
      <c r="B993" s="10">
        <f>IF(A993="","",GL_CLEAN!B993)</f>
        <v/>
      </c>
      <c r="C993" s="11">
        <f>IF(A993="","",GL_CLEAN!C993)</f>
        <v/>
      </c>
      <c r="D993" s="14">
        <f>IF(A993="","",GL_CLEAN!H993)</f>
        <v/>
      </c>
      <c r="E993" s="14">
        <f>IF(A993="","",GL_CLEAN!I993)</f>
        <v/>
      </c>
      <c r="F993" s="11">
        <f>IF(A993="","",GL_CLEAN!J993)</f>
        <v/>
      </c>
      <c r="G993" s="11">
        <f>IF(A993="","",IF(F993="OUT","DR","CR"))</f>
        <v/>
      </c>
      <c r="H993" s="11">
        <f>IF(A993="","",IFERROR(INDEX(BANK_CLEAN!$A$2:$A$1001,MATCH(MINIFS(BANK_CLEAN!$J$2:$J$1001,BANK_CLEAN!$H$2:$H$1001,G993,BANK_CLEAN!$L$2:$L$1001,""),BANK_CLEAN!$J$2:$J$1001,0)),""))</f>
        <v/>
      </c>
      <c r="I993" s="10">
        <f>IF(H993="","",INDEX(BANK_CLEAN!$B$2:$B$1001,H993))</f>
        <v/>
      </c>
      <c r="J993" s="14">
        <f>IF(H993="","",IF(F993="OUT",INDEX(BANK_CLEAN!$F$2:$F$1001,H993),INDEX(BANK_CLEAN!$E$2:$E$1001,H993)))</f>
        <v/>
      </c>
      <c r="K993" s="14">
        <f>IF(H993="","",ABS(E993-J993))</f>
        <v/>
      </c>
      <c r="L993" s="11">
        <f>IF(OR(H993="",B993="",I993=""),"",ABS(B993-I993))</f>
        <v/>
      </c>
      <c r="M993" s="15">
        <f>IF(H993="",0,LET(pct,IF(E993&gt;0,K993/E993,1),days,IFERROR(L993,999),100-pct*200-days*3))</f>
        <v/>
      </c>
      <c r="N993" s="11">
        <f>IF(A993="","",IF(H993="","Unmatched GL",IF(AND(K993&lt;=Tol_Amount,L993&lt;=Tol_Days),"Matched",IF(M993&gt;Tol_NearPct,"Near Match","Unmatched GL"))))</f>
        <v/>
      </c>
    </row>
    <row r="994">
      <c r="A994" s="13">
        <f>IF(GL_CLEAN!A994="","",GL_CLEAN!A994)</f>
        <v/>
      </c>
      <c r="B994" s="10">
        <f>IF(A994="","",GL_CLEAN!B994)</f>
        <v/>
      </c>
      <c r="C994" s="11">
        <f>IF(A994="","",GL_CLEAN!C994)</f>
        <v/>
      </c>
      <c r="D994" s="14">
        <f>IF(A994="","",GL_CLEAN!H994)</f>
        <v/>
      </c>
      <c r="E994" s="14">
        <f>IF(A994="","",GL_CLEAN!I994)</f>
        <v/>
      </c>
      <c r="F994" s="11">
        <f>IF(A994="","",GL_CLEAN!J994)</f>
        <v/>
      </c>
      <c r="G994" s="11">
        <f>IF(A994="","",IF(F994="OUT","DR","CR"))</f>
        <v/>
      </c>
      <c r="H994" s="11">
        <f>IF(A994="","",IFERROR(INDEX(BANK_CLEAN!$A$2:$A$1001,MATCH(MINIFS(BANK_CLEAN!$J$2:$J$1001,BANK_CLEAN!$H$2:$H$1001,G994,BANK_CLEAN!$L$2:$L$1001,""),BANK_CLEAN!$J$2:$J$1001,0)),""))</f>
        <v/>
      </c>
      <c r="I994" s="10">
        <f>IF(H994="","",INDEX(BANK_CLEAN!$B$2:$B$1001,H994))</f>
        <v/>
      </c>
      <c r="J994" s="14">
        <f>IF(H994="","",IF(F994="OUT",INDEX(BANK_CLEAN!$F$2:$F$1001,H994),INDEX(BANK_CLEAN!$E$2:$E$1001,H994)))</f>
        <v/>
      </c>
      <c r="K994" s="14">
        <f>IF(H994="","",ABS(E994-J994))</f>
        <v/>
      </c>
      <c r="L994" s="11">
        <f>IF(OR(H994="",B994="",I994=""),"",ABS(B994-I994))</f>
        <v/>
      </c>
      <c r="M994" s="15">
        <f>IF(H994="",0,LET(pct,IF(E994&gt;0,K994/E994,1),days,IFERROR(L994,999),100-pct*200-days*3))</f>
        <v/>
      </c>
      <c r="N994" s="11">
        <f>IF(A994="","",IF(H994="","Unmatched GL",IF(AND(K994&lt;=Tol_Amount,L994&lt;=Tol_Days),"Matched",IF(M994&gt;Tol_NearPct,"Near Match","Unmatched GL"))))</f>
        <v/>
      </c>
    </row>
    <row r="995">
      <c r="A995" s="13">
        <f>IF(GL_CLEAN!A995="","",GL_CLEAN!A995)</f>
        <v/>
      </c>
      <c r="B995" s="10">
        <f>IF(A995="","",GL_CLEAN!B995)</f>
        <v/>
      </c>
      <c r="C995" s="11">
        <f>IF(A995="","",GL_CLEAN!C995)</f>
        <v/>
      </c>
      <c r="D995" s="14">
        <f>IF(A995="","",GL_CLEAN!H995)</f>
        <v/>
      </c>
      <c r="E995" s="14">
        <f>IF(A995="","",GL_CLEAN!I995)</f>
        <v/>
      </c>
      <c r="F995" s="11">
        <f>IF(A995="","",GL_CLEAN!J995)</f>
        <v/>
      </c>
      <c r="G995" s="11">
        <f>IF(A995="","",IF(F995="OUT","DR","CR"))</f>
        <v/>
      </c>
      <c r="H995" s="11">
        <f>IF(A995="","",IFERROR(INDEX(BANK_CLEAN!$A$2:$A$1001,MATCH(MINIFS(BANK_CLEAN!$J$2:$J$1001,BANK_CLEAN!$H$2:$H$1001,G995,BANK_CLEAN!$L$2:$L$1001,""),BANK_CLEAN!$J$2:$J$1001,0)),""))</f>
        <v/>
      </c>
      <c r="I995" s="10">
        <f>IF(H995="","",INDEX(BANK_CLEAN!$B$2:$B$1001,H995))</f>
        <v/>
      </c>
      <c r="J995" s="14">
        <f>IF(H995="","",IF(F995="OUT",INDEX(BANK_CLEAN!$F$2:$F$1001,H995),INDEX(BANK_CLEAN!$E$2:$E$1001,H995)))</f>
        <v/>
      </c>
      <c r="K995" s="14">
        <f>IF(H995="","",ABS(E995-J995))</f>
        <v/>
      </c>
      <c r="L995" s="11">
        <f>IF(OR(H995="",B995="",I995=""),"",ABS(B995-I995))</f>
        <v/>
      </c>
      <c r="M995" s="15">
        <f>IF(H995="",0,LET(pct,IF(E995&gt;0,K995/E995,1),days,IFERROR(L995,999),100-pct*200-days*3))</f>
        <v/>
      </c>
      <c r="N995" s="11">
        <f>IF(A995="","",IF(H995="","Unmatched GL",IF(AND(K995&lt;=Tol_Amount,L995&lt;=Tol_Days),"Matched",IF(M995&gt;Tol_NearPct,"Near Match","Unmatched GL"))))</f>
        <v/>
      </c>
    </row>
    <row r="996">
      <c r="A996" s="13">
        <f>IF(GL_CLEAN!A996="","",GL_CLEAN!A996)</f>
        <v/>
      </c>
      <c r="B996" s="10">
        <f>IF(A996="","",GL_CLEAN!B996)</f>
        <v/>
      </c>
      <c r="C996" s="11">
        <f>IF(A996="","",GL_CLEAN!C996)</f>
        <v/>
      </c>
      <c r="D996" s="14">
        <f>IF(A996="","",GL_CLEAN!H996)</f>
        <v/>
      </c>
      <c r="E996" s="14">
        <f>IF(A996="","",GL_CLEAN!I996)</f>
        <v/>
      </c>
      <c r="F996" s="11">
        <f>IF(A996="","",GL_CLEAN!J996)</f>
        <v/>
      </c>
      <c r="G996" s="11">
        <f>IF(A996="","",IF(F996="OUT","DR","CR"))</f>
        <v/>
      </c>
      <c r="H996" s="11">
        <f>IF(A996="","",IFERROR(INDEX(BANK_CLEAN!$A$2:$A$1001,MATCH(MINIFS(BANK_CLEAN!$J$2:$J$1001,BANK_CLEAN!$H$2:$H$1001,G996,BANK_CLEAN!$L$2:$L$1001,""),BANK_CLEAN!$J$2:$J$1001,0)),""))</f>
        <v/>
      </c>
      <c r="I996" s="10">
        <f>IF(H996="","",INDEX(BANK_CLEAN!$B$2:$B$1001,H996))</f>
        <v/>
      </c>
      <c r="J996" s="14">
        <f>IF(H996="","",IF(F996="OUT",INDEX(BANK_CLEAN!$F$2:$F$1001,H996),INDEX(BANK_CLEAN!$E$2:$E$1001,H996)))</f>
        <v/>
      </c>
      <c r="K996" s="14">
        <f>IF(H996="","",ABS(E996-J996))</f>
        <v/>
      </c>
      <c r="L996" s="11">
        <f>IF(OR(H996="",B996="",I996=""),"",ABS(B996-I996))</f>
        <v/>
      </c>
      <c r="M996" s="15">
        <f>IF(H996="",0,LET(pct,IF(E996&gt;0,K996/E996,1),days,IFERROR(L996,999),100-pct*200-days*3))</f>
        <v/>
      </c>
      <c r="N996" s="11">
        <f>IF(A996="","",IF(H996="","Unmatched GL",IF(AND(K996&lt;=Tol_Amount,L996&lt;=Tol_Days),"Matched",IF(M996&gt;Tol_NearPct,"Near Match","Unmatched GL"))))</f>
        <v/>
      </c>
    </row>
    <row r="997">
      <c r="A997" s="13">
        <f>IF(GL_CLEAN!A997="","",GL_CLEAN!A997)</f>
        <v/>
      </c>
      <c r="B997" s="10">
        <f>IF(A997="","",GL_CLEAN!B997)</f>
        <v/>
      </c>
      <c r="C997" s="11">
        <f>IF(A997="","",GL_CLEAN!C997)</f>
        <v/>
      </c>
      <c r="D997" s="14">
        <f>IF(A997="","",GL_CLEAN!H997)</f>
        <v/>
      </c>
      <c r="E997" s="14">
        <f>IF(A997="","",GL_CLEAN!I997)</f>
        <v/>
      </c>
      <c r="F997" s="11">
        <f>IF(A997="","",GL_CLEAN!J997)</f>
        <v/>
      </c>
      <c r="G997" s="11">
        <f>IF(A997="","",IF(F997="OUT","DR","CR"))</f>
        <v/>
      </c>
      <c r="H997" s="11">
        <f>IF(A997="","",IFERROR(INDEX(BANK_CLEAN!$A$2:$A$1001,MATCH(MINIFS(BANK_CLEAN!$J$2:$J$1001,BANK_CLEAN!$H$2:$H$1001,G997,BANK_CLEAN!$L$2:$L$1001,""),BANK_CLEAN!$J$2:$J$1001,0)),""))</f>
        <v/>
      </c>
      <c r="I997" s="10">
        <f>IF(H997="","",INDEX(BANK_CLEAN!$B$2:$B$1001,H997))</f>
        <v/>
      </c>
      <c r="J997" s="14">
        <f>IF(H997="","",IF(F997="OUT",INDEX(BANK_CLEAN!$F$2:$F$1001,H997),INDEX(BANK_CLEAN!$E$2:$E$1001,H997)))</f>
        <v/>
      </c>
      <c r="K997" s="14">
        <f>IF(H997="","",ABS(E997-J997))</f>
        <v/>
      </c>
      <c r="L997" s="11">
        <f>IF(OR(H997="",B997="",I997=""),"",ABS(B997-I997))</f>
        <v/>
      </c>
      <c r="M997" s="15">
        <f>IF(H997="",0,LET(pct,IF(E997&gt;0,K997/E997,1),days,IFERROR(L997,999),100-pct*200-days*3))</f>
        <v/>
      </c>
      <c r="N997" s="11">
        <f>IF(A997="","",IF(H997="","Unmatched GL",IF(AND(K997&lt;=Tol_Amount,L997&lt;=Tol_Days),"Matched",IF(M997&gt;Tol_NearPct,"Near Match","Unmatched GL"))))</f>
        <v/>
      </c>
    </row>
    <row r="998">
      <c r="A998" s="13">
        <f>IF(GL_CLEAN!A998="","",GL_CLEAN!A998)</f>
        <v/>
      </c>
      <c r="B998" s="10">
        <f>IF(A998="","",GL_CLEAN!B998)</f>
        <v/>
      </c>
      <c r="C998" s="11">
        <f>IF(A998="","",GL_CLEAN!C998)</f>
        <v/>
      </c>
      <c r="D998" s="14">
        <f>IF(A998="","",GL_CLEAN!H998)</f>
        <v/>
      </c>
      <c r="E998" s="14">
        <f>IF(A998="","",GL_CLEAN!I998)</f>
        <v/>
      </c>
      <c r="F998" s="11">
        <f>IF(A998="","",GL_CLEAN!J998)</f>
        <v/>
      </c>
      <c r="G998" s="11">
        <f>IF(A998="","",IF(F998="OUT","DR","CR"))</f>
        <v/>
      </c>
      <c r="H998" s="11">
        <f>IF(A998="","",IFERROR(INDEX(BANK_CLEAN!$A$2:$A$1001,MATCH(MINIFS(BANK_CLEAN!$J$2:$J$1001,BANK_CLEAN!$H$2:$H$1001,G998,BANK_CLEAN!$L$2:$L$1001,""),BANK_CLEAN!$J$2:$J$1001,0)),""))</f>
        <v/>
      </c>
      <c r="I998" s="10">
        <f>IF(H998="","",INDEX(BANK_CLEAN!$B$2:$B$1001,H998))</f>
        <v/>
      </c>
      <c r="J998" s="14">
        <f>IF(H998="","",IF(F998="OUT",INDEX(BANK_CLEAN!$F$2:$F$1001,H998),INDEX(BANK_CLEAN!$E$2:$E$1001,H998)))</f>
        <v/>
      </c>
      <c r="K998" s="14">
        <f>IF(H998="","",ABS(E998-J998))</f>
        <v/>
      </c>
      <c r="L998" s="11">
        <f>IF(OR(H998="",B998="",I998=""),"",ABS(B998-I998))</f>
        <v/>
      </c>
      <c r="M998" s="15">
        <f>IF(H998="",0,LET(pct,IF(E998&gt;0,K998/E998,1),days,IFERROR(L998,999),100-pct*200-days*3))</f>
        <v/>
      </c>
      <c r="N998" s="11">
        <f>IF(A998="","",IF(H998="","Unmatched GL",IF(AND(K998&lt;=Tol_Amount,L998&lt;=Tol_Days),"Matched",IF(M998&gt;Tol_NearPct,"Near Match","Unmatched GL"))))</f>
        <v/>
      </c>
    </row>
    <row r="999">
      <c r="A999" s="13">
        <f>IF(GL_CLEAN!A999="","",GL_CLEAN!A999)</f>
        <v/>
      </c>
      <c r="B999" s="10">
        <f>IF(A999="","",GL_CLEAN!B999)</f>
        <v/>
      </c>
      <c r="C999" s="11">
        <f>IF(A999="","",GL_CLEAN!C999)</f>
        <v/>
      </c>
      <c r="D999" s="14">
        <f>IF(A999="","",GL_CLEAN!H999)</f>
        <v/>
      </c>
      <c r="E999" s="14">
        <f>IF(A999="","",GL_CLEAN!I999)</f>
        <v/>
      </c>
      <c r="F999" s="11">
        <f>IF(A999="","",GL_CLEAN!J999)</f>
        <v/>
      </c>
      <c r="G999" s="11">
        <f>IF(A999="","",IF(F999="OUT","DR","CR"))</f>
        <v/>
      </c>
      <c r="H999" s="11">
        <f>IF(A999="","",IFERROR(INDEX(BANK_CLEAN!$A$2:$A$1001,MATCH(MINIFS(BANK_CLEAN!$J$2:$J$1001,BANK_CLEAN!$H$2:$H$1001,G999,BANK_CLEAN!$L$2:$L$1001,""),BANK_CLEAN!$J$2:$J$1001,0)),""))</f>
        <v/>
      </c>
      <c r="I999" s="10">
        <f>IF(H999="","",INDEX(BANK_CLEAN!$B$2:$B$1001,H999))</f>
        <v/>
      </c>
      <c r="J999" s="14">
        <f>IF(H999="","",IF(F999="OUT",INDEX(BANK_CLEAN!$F$2:$F$1001,H999),INDEX(BANK_CLEAN!$E$2:$E$1001,H999)))</f>
        <v/>
      </c>
      <c r="K999" s="14">
        <f>IF(H999="","",ABS(E999-J999))</f>
        <v/>
      </c>
      <c r="L999" s="11">
        <f>IF(OR(H999="",B999="",I999=""),"",ABS(B999-I999))</f>
        <v/>
      </c>
      <c r="M999" s="15">
        <f>IF(H999="",0,LET(pct,IF(E999&gt;0,K999/E999,1),days,IFERROR(L999,999),100-pct*200-days*3))</f>
        <v/>
      </c>
      <c r="N999" s="11">
        <f>IF(A999="","",IF(H999="","Unmatched GL",IF(AND(K999&lt;=Tol_Amount,L999&lt;=Tol_Days),"Matched",IF(M999&gt;Tol_NearPct,"Near Match","Unmatched GL"))))</f>
        <v/>
      </c>
    </row>
    <row r="1000">
      <c r="A1000" s="13">
        <f>IF(GL_CLEAN!A1000="","",GL_CLEAN!A1000)</f>
        <v/>
      </c>
      <c r="B1000" s="10">
        <f>IF(A1000="","",GL_CLEAN!B1000)</f>
        <v/>
      </c>
      <c r="C1000" s="11">
        <f>IF(A1000="","",GL_CLEAN!C1000)</f>
        <v/>
      </c>
      <c r="D1000" s="14">
        <f>IF(A1000="","",GL_CLEAN!H1000)</f>
        <v/>
      </c>
      <c r="E1000" s="14">
        <f>IF(A1000="","",GL_CLEAN!I1000)</f>
        <v/>
      </c>
      <c r="F1000" s="11">
        <f>IF(A1000="","",GL_CLEAN!J1000)</f>
        <v/>
      </c>
      <c r="G1000" s="11">
        <f>IF(A1000="","",IF(F1000="OUT","DR","CR"))</f>
        <v/>
      </c>
      <c r="H1000" s="11">
        <f>IF(A1000="","",IFERROR(INDEX(BANK_CLEAN!$A$2:$A$1001,MATCH(MINIFS(BANK_CLEAN!$J$2:$J$1001,BANK_CLEAN!$H$2:$H$1001,G1000,BANK_CLEAN!$L$2:$L$1001,""),BANK_CLEAN!$J$2:$J$1001,0)),""))</f>
        <v/>
      </c>
      <c r="I1000" s="10">
        <f>IF(H1000="","",INDEX(BANK_CLEAN!$B$2:$B$1001,H1000))</f>
        <v/>
      </c>
      <c r="J1000" s="14">
        <f>IF(H1000="","",IF(F1000="OUT",INDEX(BANK_CLEAN!$F$2:$F$1001,H1000),INDEX(BANK_CLEAN!$E$2:$E$1001,H1000)))</f>
        <v/>
      </c>
      <c r="K1000" s="14">
        <f>IF(H1000="","",ABS(E1000-J1000))</f>
        <v/>
      </c>
      <c r="L1000" s="11">
        <f>IF(OR(H1000="",B1000="",I1000=""),"",ABS(B1000-I1000))</f>
        <v/>
      </c>
      <c r="M1000" s="15">
        <f>IF(H1000="",0,LET(pct,IF(E1000&gt;0,K1000/E1000,1),days,IFERROR(L1000,999),100-pct*200-days*3))</f>
        <v/>
      </c>
      <c r="N1000" s="11">
        <f>IF(A1000="","",IF(H1000="","Unmatched GL",IF(AND(K1000&lt;=Tol_Amount,L1000&lt;=Tol_Days),"Matched",IF(M1000&gt;Tol_NearPct,"Near Match","Unmatched GL"))))</f>
        <v/>
      </c>
    </row>
    <row r="1001">
      <c r="A1001" s="13">
        <f>IF(GL_CLEAN!A1001="","",GL_CLEAN!A1001)</f>
        <v/>
      </c>
      <c r="B1001" s="10">
        <f>IF(A1001="","",GL_CLEAN!B1001)</f>
        <v/>
      </c>
      <c r="C1001" s="11">
        <f>IF(A1001="","",GL_CLEAN!C1001)</f>
        <v/>
      </c>
      <c r="D1001" s="14">
        <f>IF(A1001="","",GL_CLEAN!H1001)</f>
        <v/>
      </c>
      <c r="E1001" s="14">
        <f>IF(A1001="","",GL_CLEAN!I1001)</f>
        <v/>
      </c>
      <c r="F1001" s="11">
        <f>IF(A1001="","",GL_CLEAN!J1001)</f>
        <v/>
      </c>
      <c r="G1001" s="11">
        <f>IF(A1001="","",IF(F1001="OUT","DR","CR"))</f>
        <v/>
      </c>
      <c r="H1001" s="11">
        <f>IF(A1001="","",IFERROR(INDEX(BANK_CLEAN!$A$2:$A$1001,MATCH(MINIFS(BANK_CLEAN!$J$2:$J$1001,BANK_CLEAN!$H$2:$H$1001,G1001,BANK_CLEAN!$L$2:$L$1001,""),BANK_CLEAN!$J$2:$J$1001,0)),""))</f>
        <v/>
      </c>
      <c r="I1001" s="10">
        <f>IF(H1001="","",INDEX(BANK_CLEAN!$B$2:$B$1001,H1001))</f>
        <v/>
      </c>
      <c r="J1001" s="14">
        <f>IF(H1001="","",IF(F1001="OUT",INDEX(BANK_CLEAN!$F$2:$F$1001,H1001),INDEX(BANK_CLEAN!$E$2:$E$1001,H1001)))</f>
        <v/>
      </c>
      <c r="K1001" s="14">
        <f>IF(H1001="","",ABS(E1001-J1001))</f>
        <v/>
      </c>
      <c r="L1001" s="11">
        <f>IF(OR(H1001="",B1001="",I1001=""),"",ABS(B1001-I1001))</f>
        <v/>
      </c>
      <c r="M1001" s="15">
        <f>IF(H1001="",0,LET(pct,IF(E1001&gt;0,K1001/E1001,1),days,IFERROR(L1001,999),100-pct*200-days*3))</f>
        <v/>
      </c>
      <c r="N1001" s="11">
        <f>IF(A1001="","",IF(H1001="","Unmatched GL",IF(AND(K1001&lt;=Tol_Amount,L1001&lt;=Tol_Days),"Matched",IF(M1001&gt;Tol_NearPct,"Near Match","Unmatched GL"))))</f>
        <v/>
      </c>
    </row>
  </sheetData>
  <conditionalFormatting sqref="N2:N1001">
    <cfRule type="cellIs" priority="1" operator="equal" dxfId="0">
      <formula>"Matched"</formula>
    </cfRule>
    <cfRule type="cellIs" priority="2" operator="equal" dxfId="1">
      <formula>"Near Match"</formula>
    </cfRule>
    <cfRule type="cellIs" priority="3" operator="equal" dxfId="2">
      <formula>"Unmatched GL"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A3A7C"/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3" customWidth="1" min="10" max="10"/>
    <col width="10" customWidth="1" min="11" max="11"/>
    <col width="10" customWidth="1" min="12" max="12"/>
    <col width="20" customWidth="1" min="13" max="13"/>
    <col width="25" customWidth="1" min="14" max="14"/>
    <col width="30" customWidth="1" min="15" max="15"/>
    <col width="20" customWidth="1" min="16" max="16"/>
  </cols>
  <sheetData>
    <row r="1" ht="36" customHeight="1">
      <c r="A1" s="7" t="inlineStr">
        <is>
          <t>الحالة
Status</t>
        </is>
      </c>
      <c r="B1" s="7" t="inlineStr">
        <is>
          <t>رقم القيد
GL JE</t>
        </is>
      </c>
      <c r="C1" s="7" t="inlineStr">
        <is>
          <t>تاريخ GL
GL Date</t>
        </is>
      </c>
      <c r="D1" s="7" t="inlineStr">
        <is>
          <t>مبلغ GL
GL Amount</t>
        </is>
      </c>
      <c r="E1" s="7" t="inlineStr">
        <is>
          <t>الاتجاه
Direction</t>
        </is>
      </c>
      <c r="F1" s="7" t="inlineStr">
        <is>
          <t>تاريخ البنك
Bank Date</t>
        </is>
      </c>
      <c r="G1" s="7" t="inlineStr">
        <is>
          <t>الدائن
Bank Credit</t>
        </is>
      </c>
      <c r="H1" s="7" t="inlineStr">
        <is>
          <t>المدين
Bank Debit</t>
        </is>
      </c>
      <c r="I1" s="7" t="inlineStr">
        <is>
          <t>مبلغ البنك
Bank Amount</t>
        </is>
      </c>
      <c r="J1" s="7" t="inlineStr">
        <is>
          <t>الفرق
Difference</t>
        </is>
      </c>
      <c r="K1" s="7" t="inlineStr">
        <is>
          <t>الأيام
Days Apart</t>
        </is>
      </c>
      <c r="L1" s="7" t="inlineStr">
        <is>
          <t>نسبة التطابق
Score</t>
        </is>
      </c>
      <c r="M1" s="7" t="inlineStr">
        <is>
          <t>الحساب
GL Account</t>
        </is>
      </c>
      <c r="N1" s="7" t="inlineStr">
        <is>
          <t>اسم الحساب
GL Name</t>
        </is>
      </c>
      <c r="O1" s="7" t="inlineStr">
        <is>
          <t>وصف البنك
Bank Desc</t>
        </is>
      </c>
      <c r="P1" s="7" t="inlineStr">
        <is>
          <t>ملاحظات المراجع
Reviewer Notes</t>
        </is>
      </c>
    </row>
    <row r="2">
      <c r="A2" s="11">
        <f>IF(MATCH_ENGINE!A2="","",MATCH_ENGINE!N2)</f>
        <v/>
      </c>
      <c r="B2" s="11">
        <f>IF(MATCH_ENGINE!A2="","",MATCH_ENGINE!C2)</f>
        <v/>
      </c>
      <c r="C2" s="10">
        <f>IF(MATCH_ENGINE!A2="","",MATCH_ENGINE!B2)</f>
        <v/>
      </c>
      <c r="D2" s="16">
        <f>IF(MATCH_ENGINE!A2="","",MATCH_ENGINE!D2)</f>
        <v/>
      </c>
      <c r="E2" s="11">
        <f>IF(MATCH_ENGINE!A2="","",MATCH_ENGINE!F2)</f>
        <v/>
      </c>
      <c r="F2" s="10">
        <f>IF(MATCH_ENGINE!A2="","",MATCH_ENGINE!I2)</f>
        <v/>
      </c>
      <c r="G2" s="16">
        <f>IF(MATCH_ENGINE!H2="","",IF(MATCH_ENGINE!F2="IN",MATCH_ENGINE!J2,""))</f>
        <v/>
      </c>
      <c r="H2" s="16">
        <f>IF(MATCH_ENGINE!H2="","",IF(MATCH_ENGINE!F2="OUT",MATCH_ENGINE!J2,""))</f>
        <v/>
      </c>
      <c r="I2" s="16">
        <f>IF(MATCH_ENGINE!H2="","",MATCH_ENGINE!J2)</f>
        <v/>
      </c>
      <c r="J2" s="12">
        <f>IF(MATCH_ENGINE!A2="","",MATCH_ENGINE!K2)</f>
        <v/>
      </c>
      <c r="K2" s="11">
        <f>IF(MATCH_ENGINE!A2="","",MATCH_ENGINE!L2)</f>
        <v/>
      </c>
      <c r="L2" s="17">
        <f>IF(MATCH_ENGINE!A2="","",MATCH_ENGINE!M2)</f>
        <v/>
      </c>
      <c r="M2" s="11">
        <f>IF(MATCH_ENGINE!A2="","",GL_CLEAN!F2)</f>
        <v/>
      </c>
      <c r="N2" s="11">
        <f>IF(MATCH_ENGINE!A2="","",GL_CLEAN!G2)</f>
        <v/>
      </c>
      <c r="O2" s="11">
        <f>IF(MATCH_ENGINE!H2="","",INDEX(BANK_CLEAN!$C$2:$C$1001,MATCH_ENGINE!H2))</f>
        <v/>
      </c>
      <c r="P2" s="11" t="inlineStr"/>
    </row>
    <row r="3">
      <c r="A3" s="11">
        <f>IF(MATCH_ENGINE!A3="","",MATCH_ENGINE!N3)</f>
        <v/>
      </c>
      <c r="B3" s="11">
        <f>IF(MATCH_ENGINE!A3="","",MATCH_ENGINE!C3)</f>
        <v/>
      </c>
      <c r="C3" s="10">
        <f>IF(MATCH_ENGINE!A3="","",MATCH_ENGINE!B3)</f>
        <v/>
      </c>
      <c r="D3" s="16">
        <f>IF(MATCH_ENGINE!A3="","",MATCH_ENGINE!D3)</f>
        <v/>
      </c>
      <c r="E3" s="11">
        <f>IF(MATCH_ENGINE!A3="","",MATCH_ENGINE!F3)</f>
        <v/>
      </c>
      <c r="F3" s="10">
        <f>IF(MATCH_ENGINE!A3="","",MATCH_ENGINE!I3)</f>
        <v/>
      </c>
      <c r="G3" s="16">
        <f>IF(MATCH_ENGINE!H3="","",IF(MATCH_ENGINE!F3="IN",MATCH_ENGINE!J3,""))</f>
        <v/>
      </c>
      <c r="H3" s="16">
        <f>IF(MATCH_ENGINE!H3="","",IF(MATCH_ENGINE!F3="OUT",MATCH_ENGINE!J3,""))</f>
        <v/>
      </c>
      <c r="I3" s="16">
        <f>IF(MATCH_ENGINE!H3="","",MATCH_ENGINE!J3)</f>
        <v/>
      </c>
      <c r="J3" s="12">
        <f>IF(MATCH_ENGINE!A3="","",MATCH_ENGINE!K3)</f>
        <v/>
      </c>
      <c r="K3" s="11">
        <f>IF(MATCH_ENGINE!A3="","",MATCH_ENGINE!L3)</f>
        <v/>
      </c>
      <c r="L3" s="17">
        <f>IF(MATCH_ENGINE!A3="","",MATCH_ENGINE!M3)</f>
        <v/>
      </c>
      <c r="M3" s="11">
        <f>IF(MATCH_ENGINE!A3="","",GL_CLEAN!F3)</f>
        <v/>
      </c>
      <c r="N3" s="11">
        <f>IF(MATCH_ENGINE!A3="","",GL_CLEAN!G3)</f>
        <v/>
      </c>
      <c r="O3" s="11">
        <f>IF(MATCH_ENGINE!H3="","",INDEX(BANK_CLEAN!$C$2:$C$1001,MATCH_ENGINE!H3))</f>
        <v/>
      </c>
      <c r="P3" s="11" t="inlineStr"/>
    </row>
    <row r="4">
      <c r="A4" s="11">
        <f>IF(MATCH_ENGINE!A4="","",MATCH_ENGINE!N4)</f>
        <v/>
      </c>
      <c r="B4" s="11">
        <f>IF(MATCH_ENGINE!A4="","",MATCH_ENGINE!C4)</f>
        <v/>
      </c>
      <c r="C4" s="10">
        <f>IF(MATCH_ENGINE!A4="","",MATCH_ENGINE!B4)</f>
        <v/>
      </c>
      <c r="D4" s="16">
        <f>IF(MATCH_ENGINE!A4="","",MATCH_ENGINE!D4)</f>
        <v/>
      </c>
      <c r="E4" s="11">
        <f>IF(MATCH_ENGINE!A4="","",MATCH_ENGINE!F4)</f>
        <v/>
      </c>
      <c r="F4" s="10">
        <f>IF(MATCH_ENGINE!A4="","",MATCH_ENGINE!I4)</f>
        <v/>
      </c>
      <c r="G4" s="16">
        <f>IF(MATCH_ENGINE!H4="","",IF(MATCH_ENGINE!F4="IN",MATCH_ENGINE!J4,""))</f>
        <v/>
      </c>
      <c r="H4" s="16">
        <f>IF(MATCH_ENGINE!H4="","",IF(MATCH_ENGINE!F4="OUT",MATCH_ENGINE!J4,""))</f>
        <v/>
      </c>
      <c r="I4" s="16">
        <f>IF(MATCH_ENGINE!H4="","",MATCH_ENGINE!J4)</f>
        <v/>
      </c>
      <c r="J4" s="12">
        <f>IF(MATCH_ENGINE!A4="","",MATCH_ENGINE!K4)</f>
        <v/>
      </c>
      <c r="K4" s="11">
        <f>IF(MATCH_ENGINE!A4="","",MATCH_ENGINE!L4)</f>
        <v/>
      </c>
      <c r="L4" s="17">
        <f>IF(MATCH_ENGINE!A4="","",MATCH_ENGINE!M4)</f>
        <v/>
      </c>
      <c r="M4" s="11">
        <f>IF(MATCH_ENGINE!A4="","",GL_CLEAN!F4)</f>
        <v/>
      </c>
      <c r="N4" s="11">
        <f>IF(MATCH_ENGINE!A4="","",GL_CLEAN!G4)</f>
        <v/>
      </c>
      <c r="O4" s="11">
        <f>IF(MATCH_ENGINE!H4="","",INDEX(BANK_CLEAN!$C$2:$C$1001,MATCH_ENGINE!H4))</f>
        <v/>
      </c>
      <c r="P4" s="11" t="inlineStr"/>
    </row>
    <row r="5">
      <c r="A5" s="11">
        <f>IF(MATCH_ENGINE!A5="","",MATCH_ENGINE!N5)</f>
        <v/>
      </c>
      <c r="B5" s="11">
        <f>IF(MATCH_ENGINE!A5="","",MATCH_ENGINE!C5)</f>
        <v/>
      </c>
      <c r="C5" s="10">
        <f>IF(MATCH_ENGINE!A5="","",MATCH_ENGINE!B5)</f>
        <v/>
      </c>
      <c r="D5" s="16">
        <f>IF(MATCH_ENGINE!A5="","",MATCH_ENGINE!D5)</f>
        <v/>
      </c>
      <c r="E5" s="11">
        <f>IF(MATCH_ENGINE!A5="","",MATCH_ENGINE!F5)</f>
        <v/>
      </c>
      <c r="F5" s="10">
        <f>IF(MATCH_ENGINE!A5="","",MATCH_ENGINE!I5)</f>
        <v/>
      </c>
      <c r="G5" s="16">
        <f>IF(MATCH_ENGINE!H5="","",IF(MATCH_ENGINE!F5="IN",MATCH_ENGINE!J5,""))</f>
        <v/>
      </c>
      <c r="H5" s="16">
        <f>IF(MATCH_ENGINE!H5="","",IF(MATCH_ENGINE!F5="OUT",MATCH_ENGINE!J5,""))</f>
        <v/>
      </c>
      <c r="I5" s="16">
        <f>IF(MATCH_ENGINE!H5="","",MATCH_ENGINE!J5)</f>
        <v/>
      </c>
      <c r="J5" s="12">
        <f>IF(MATCH_ENGINE!A5="","",MATCH_ENGINE!K5)</f>
        <v/>
      </c>
      <c r="K5" s="11">
        <f>IF(MATCH_ENGINE!A5="","",MATCH_ENGINE!L5)</f>
        <v/>
      </c>
      <c r="L5" s="17">
        <f>IF(MATCH_ENGINE!A5="","",MATCH_ENGINE!M5)</f>
        <v/>
      </c>
      <c r="M5" s="11">
        <f>IF(MATCH_ENGINE!A5="","",GL_CLEAN!F5)</f>
        <v/>
      </c>
      <c r="N5" s="11">
        <f>IF(MATCH_ENGINE!A5="","",GL_CLEAN!G5)</f>
        <v/>
      </c>
      <c r="O5" s="11">
        <f>IF(MATCH_ENGINE!H5="","",INDEX(BANK_CLEAN!$C$2:$C$1001,MATCH_ENGINE!H5))</f>
        <v/>
      </c>
      <c r="P5" s="11" t="inlineStr"/>
    </row>
    <row r="6">
      <c r="A6" s="11">
        <f>IF(MATCH_ENGINE!A6="","",MATCH_ENGINE!N6)</f>
        <v/>
      </c>
      <c r="B6" s="11">
        <f>IF(MATCH_ENGINE!A6="","",MATCH_ENGINE!C6)</f>
        <v/>
      </c>
      <c r="C6" s="10">
        <f>IF(MATCH_ENGINE!A6="","",MATCH_ENGINE!B6)</f>
        <v/>
      </c>
      <c r="D6" s="16">
        <f>IF(MATCH_ENGINE!A6="","",MATCH_ENGINE!D6)</f>
        <v/>
      </c>
      <c r="E6" s="11">
        <f>IF(MATCH_ENGINE!A6="","",MATCH_ENGINE!F6)</f>
        <v/>
      </c>
      <c r="F6" s="10">
        <f>IF(MATCH_ENGINE!A6="","",MATCH_ENGINE!I6)</f>
        <v/>
      </c>
      <c r="G6" s="16">
        <f>IF(MATCH_ENGINE!H6="","",IF(MATCH_ENGINE!F6="IN",MATCH_ENGINE!J6,""))</f>
        <v/>
      </c>
      <c r="H6" s="16">
        <f>IF(MATCH_ENGINE!H6="","",IF(MATCH_ENGINE!F6="OUT",MATCH_ENGINE!J6,""))</f>
        <v/>
      </c>
      <c r="I6" s="16">
        <f>IF(MATCH_ENGINE!H6="","",MATCH_ENGINE!J6)</f>
        <v/>
      </c>
      <c r="J6" s="12">
        <f>IF(MATCH_ENGINE!A6="","",MATCH_ENGINE!K6)</f>
        <v/>
      </c>
      <c r="K6" s="11">
        <f>IF(MATCH_ENGINE!A6="","",MATCH_ENGINE!L6)</f>
        <v/>
      </c>
      <c r="L6" s="17">
        <f>IF(MATCH_ENGINE!A6="","",MATCH_ENGINE!M6)</f>
        <v/>
      </c>
      <c r="M6" s="11">
        <f>IF(MATCH_ENGINE!A6="","",GL_CLEAN!F6)</f>
        <v/>
      </c>
      <c r="N6" s="11">
        <f>IF(MATCH_ENGINE!A6="","",GL_CLEAN!G6)</f>
        <v/>
      </c>
      <c r="O6" s="11">
        <f>IF(MATCH_ENGINE!H6="","",INDEX(BANK_CLEAN!$C$2:$C$1001,MATCH_ENGINE!H6))</f>
        <v/>
      </c>
      <c r="P6" s="11" t="inlineStr"/>
    </row>
    <row r="7">
      <c r="A7" s="11">
        <f>IF(MATCH_ENGINE!A7="","",MATCH_ENGINE!N7)</f>
        <v/>
      </c>
      <c r="B7" s="11">
        <f>IF(MATCH_ENGINE!A7="","",MATCH_ENGINE!C7)</f>
        <v/>
      </c>
      <c r="C7" s="10">
        <f>IF(MATCH_ENGINE!A7="","",MATCH_ENGINE!B7)</f>
        <v/>
      </c>
      <c r="D7" s="16">
        <f>IF(MATCH_ENGINE!A7="","",MATCH_ENGINE!D7)</f>
        <v/>
      </c>
      <c r="E7" s="11">
        <f>IF(MATCH_ENGINE!A7="","",MATCH_ENGINE!F7)</f>
        <v/>
      </c>
      <c r="F7" s="10">
        <f>IF(MATCH_ENGINE!A7="","",MATCH_ENGINE!I7)</f>
        <v/>
      </c>
      <c r="G7" s="16">
        <f>IF(MATCH_ENGINE!H7="","",IF(MATCH_ENGINE!F7="IN",MATCH_ENGINE!J7,""))</f>
        <v/>
      </c>
      <c r="H7" s="16">
        <f>IF(MATCH_ENGINE!H7="","",IF(MATCH_ENGINE!F7="OUT",MATCH_ENGINE!J7,""))</f>
        <v/>
      </c>
      <c r="I7" s="16">
        <f>IF(MATCH_ENGINE!H7="","",MATCH_ENGINE!J7)</f>
        <v/>
      </c>
      <c r="J7" s="12">
        <f>IF(MATCH_ENGINE!A7="","",MATCH_ENGINE!K7)</f>
        <v/>
      </c>
      <c r="K7" s="11">
        <f>IF(MATCH_ENGINE!A7="","",MATCH_ENGINE!L7)</f>
        <v/>
      </c>
      <c r="L7" s="17">
        <f>IF(MATCH_ENGINE!A7="","",MATCH_ENGINE!M7)</f>
        <v/>
      </c>
      <c r="M7" s="11">
        <f>IF(MATCH_ENGINE!A7="","",GL_CLEAN!F7)</f>
        <v/>
      </c>
      <c r="N7" s="11">
        <f>IF(MATCH_ENGINE!A7="","",GL_CLEAN!G7)</f>
        <v/>
      </c>
      <c r="O7" s="11">
        <f>IF(MATCH_ENGINE!H7="","",INDEX(BANK_CLEAN!$C$2:$C$1001,MATCH_ENGINE!H7))</f>
        <v/>
      </c>
      <c r="P7" s="11" t="inlineStr"/>
    </row>
    <row r="8">
      <c r="A8" s="11">
        <f>IF(MATCH_ENGINE!A8="","",MATCH_ENGINE!N8)</f>
        <v/>
      </c>
      <c r="B8" s="11">
        <f>IF(MATCH_ENGINE!A8="","",MATCH_ENGINE!C8)</f>
        <v/>
      </c>
      <c r="C8" s="10">
        <f>IF(MATCH_ENGINE!A8="","",MATCH_ENGINE!B8)</f>
        <v/>
      </c>
      <c r="D8" s="16">
        <f>IF(MATCH_ENGINE!A8="","",MATCH_ENGINE!D8)</f>
        <v/>
      </c>
      <c r="E8" s="11">
        <f>IF(MATCH_ENGINE!A8="","",MATCH_ENGINE!F8)</f>
        <v/>
      </c>
      <c r="F8" s="10">
        <f>IF(MATCH_ENGINE!A8="","",MATCH_ENGINE!I8)</f>
        <v/>
      </c>
      <c r="G8" s="16">
        <f>IF(MATCH_ENGINE!H8="","",IF(MATCH_ENGINE!F8="IN",MATCH_ENGINE!J8,""))</f>
        <v/>
      </c>
      <c r="H8" s="16">
        <f>IF(MATCH_ENGINE!H8="","",IF(MATCH_ENGINE!F8="OUT",MATCH_ENGINE!J8,""))</f>
        <v/>
      </c>
      <c r="I8" s="16">
        <f>IF(MATCH_ENGINE!H8="","",MATCH_ENGINE!J8)</f>
        <v/>
      </c>
      <c r="J8" s="12">
        <f>IF(MATCH_ENGINE!A8="","",MATCH_ENGINE!K8)</f>
        <v/>
      </c>
      <c r="K8" s="11">
        <f>IF(MATCH_ENGINE!A8="","",MATCH_ENGINE!L8)</f>
        <v/>
      </c>
      <c r="L8" s="17">
        <f>IF(MATCH_ENGINE!A8="","",MATCH_ENGINE!M8)</f>
        <v/>
      </c>
      <c r="M8" s="11">
        <f>IF(MATCH_ENGINE!A8="","",GL_CLEAN!F8)</f>
        <v/>
      </c>
      <c r="N8" s="11">
        <f>IF(MATCH_ENGINE!A8="","",GL_CLEAN!G8)</f>
        <v/>
      </c>
      <c r="O8" s="11">
        <f>IF(MATCH_ENGINE!H8="","",INDEX(BANK_CLEAN!$C$2:$C$1001,MATCH_ENGINE!H8))</f>
        <v/>
      </c>
      <c r="P8" s="11" t="inlineStr"/>
    </row>
    <row r="9">
      <c r="A9" s="11">
        <f>IF(MATCH_ENGINE!A9="","",MATCH_ENGINE!N9)</f>
        <v/>
      </c>
      <c r="B9" s="11">
        <f>IF(MATCH_ENGINE!A9="","",MATCH_ENGINE!C9)</f>
        <v/>
      </c>
      <c r="C9" s="10">
        <f>IF(MATCH_ENGINE!A9="","",MATCH_ENGINE!B9)</f>
        <v/>
      </c>
      <c r="D9" s="16">
        <f>IF(MATCH_ENGINE!A9="","",MATCH_ENGINE!D9)</f>
        <v/>
      </c>
      <c r="E9" s="11">
        <f>IF(MATCH_ENGINE!A9="","",MATCH_ENGINE!F9)</f>
        <v/>
      </c>
      <c r="F9" s="10">
        <f>IF(MATCH_ENGINE!A9="","",MATCH_ENGINE!I9)</f>
        <v/>
      </c>
      <c r="G9" s="16">
        <f>IF(MATCH_ENGINE!H9="","",IF(MATCH_ENGINE!F9="IN",MATCH_ENGINE!J9,""))</f>
        <v/>
      </c>
      <c r="H9" s="16">
        <f>IF(MATCH_ENGINE!H9="","",IF(MATCH_ENGINE!F9="OUT",MATCH_ENGINE!J9,""))</f>
        <v/>
      </c>
      <c r="I9" s="16">
        <f>IF(MATCH_ENGINE!H9="","",MATCH_ENGINE!J9)</f>
        <v/>
      </c>
      <c r="J9" s="12">
        <f>IF(MATCH_ENGINE!A9="","",MATCH_ENGINE!K9)</f>
        <v/>
      </c>
      <c r="K9" s="11">
        <f>IF(MATCH_ENGINE!A9="","",MATCH_ENGINE!L9)</f>
        <v/>
      </c>
      <c r="L9" s="17">
        <f>IF(MATCH_ENGINE!A9="","",MATCH_ENGINE!M9)</f>
        <v/>
      </c>
      <c r="M9" s="11">
        <f>IF(MATCH_ENGINE!A9="","",GL_CLEAN!F9)</f>
        <v/>
      </c>
      <c r="N9" s="11">
        <f>IF(MATCH_ENGINE!A9="","",GL_CLEAN!G9)</f>
        <v/>
      </c>
      <c r="O9" s="11">
        <f>IF(MATCH_ENGINE!H9="","",INDEX(BANK_CLEAN!$C$2:$C$1001,MATCH_ENGINE!H9))</f>
        <v/>
      </c>
      <c r="P9" s="11" t="inlineStr"/>
    </row>
    <row r="10">
      <c r="A10" s="11">
        <f>IF(MATCH_ENGINE!A10="","",MATCH_ENGINE!N10)</f>
        <v/>
      </c>
      <c r="B10" s="11">
        <f>IF(MATCH_ENGINE!A10="","",MATCH_ENGINE!C10)</f>
        <v/>
      </c>
      <c r="C10" s="10">
        <f>IF(MATCH_ENGINE!A10="","",MATCH_ENGINE!B10)</f>
        <v/>
      </c>
      <c r="D10" s="16">
        <f>IF(MATCH_ENGINE!A10="","",MATCH_ENGINE!D10)</f>
        <v/>
      </c>
      <c r="E10" s="11">
        <f>IF(MATCH_ENGINE!A10="","",MATCH_ENGINE!F10)</f>
        <v/>
      </c>
      <c r="F10" s="10">
        <f>IF(MATCH_ENGINE!A10="","",MATCH_ENGINE!I10)</f>
        <v/>
      </c>
      <c r="G10" s="16">
        <f>IF(MATCH_ENGINE!H10="","",IF(MATCH_ENGINE!F10="IN",MATCH_ENGINE!J10,""))</f>
        <v/>
      </c>
      <c r="H10" s="16">
        <f>IF(MATCH_ENGINE!H10="","",IF(MATCH_ENGINE!F10="OUT",MATCH_ENGINE!J10,""))</f>
        <v/>
      </c>
      <c r="I10" s="16">
        <f>IF(MATCH_ENGINE!H10="","",MATCH_ENGINE!J10)</f>
        <v/>
      </c>
      <c r="J10" s="12">
        <f>IF(MATCH_ENGINE!A10="","",MATCH_ENGINE!K10)</f>
        <v/>
      </c>
      <c r="K10" s="11">
        <f>IF(MATCH_ENGINE!A10="","",MATCH_ENGINE!L10)</f>
        <v/>
      </c>
      <c r="L10" s="17">
        <f>IF(MATCH_ENGINE!A10="","",MATCH_ENGINE!M10)</f>
        <v/>
      </c>
      <c r="M10" s="11">
        <f>IF(MATCH_ENGINE!A10="","",GL_CLEAN!F10)</f>
        <v/>
      </c>
      <c r="N10" s="11">
        <f>IF(MATCH_ENGINE!A10="","",GL_CLEAN!G10)</f>
        <v/>
      </c>
      <c r="O10" s="11">
        <f>IF(MATCH_ENGINE!H10="","",INDEX(BANK_CLEAN!$C$2:$C$1001,MATCH_ENGINE!H10))</f>
        <v/>
      </c>
      <c r="P10" s="11" t="inlineStr"/>
    </row>
    <row r="11">
      <c r="A11" s="11">
        <f>IF(MATCH_ENGINE!A11="","",MATCH_ENGINE!N11)</f>
        <v/>
      </c>
      <c r="B11" s="11">
        <f>IF(MATCH_ENGINE!A11="","",MATCH_ENGINE!C11)</f>
        <v/>
      </c>
      <c r="C11" s="10">
        <f>IF(MATCH_ENGINE!A11="","",MATCH_ENGINE!B11)</f>
        <v/>
      </c>
      <c r="D11" s="16">
        <f>IF(MATCH_ENGINE!A11="","",MATCH_ENGINE!D11)</f>
        <v/>
      </c>
      <c r="E11" s="11">
        <f>IF(MATCH_ENGINE!A11="","",MATCH_ENGINE!F11)</f>
        <v/>
      </c>
      <c r="F11" s="10">
        <f>IF(MATCH_ENGINE!A11="","",MATCH_ENGINE!I11)</f>
        <v/>
      </c>
      <c r="G11" s="16">
        <f>IF(MATCH_ENGINE!H11="","",IF(MATCH_ENGINE!F11="IN",MATCH_ENGINE!J11,""))</f>
        <v/>
      </c>
      <c r="H11" s="16">
        <f>IF(MATCH_ENGINE!H11="","",IF(MATCH_ENGINE!F11="OUT",MATCH_ENGINE!J11,""))</f>
        <v/>
      </c>
      <c r="I11" s="16">
        <f>IF(MATCH_ENGINE!H11="","",MATCH_ENGINE!J11)</f>
        <v/>
      </c>
      <c r="J11" s="12">
        <f>IF(MATCH_ENGINE!A11="","",MATCH_ENGINE!K11)</f>
        <v/>
      </c>
      <c r="K11" s="11">
        <f>IF(MATCH_ENGINE!A11="","",MATCH_ENGINE!L11)</f>
        <v/>
      </c>
      <c r="L11" s="17">
        <f>IF(MATCH_ENGINE!A11="","",MATCH_ENGINE!M11)</f>
        <v/>
      </c>
      <c r="M11" s="11">
        <f>IF(MATCH_ENGINE!A11="","",GL_CLEAN!F11)</f>
        <v/>
      </c>
      <c r="N11" s="11">
        <f>IF(MATCH_ENGINE!A11="","",GL_CLEAN!G11)</f>
        <v/>
      </c>
      <c r="O11" s="11">
        <f>IF(MATCH_ENGINE!H11="","",INDEX(BANK_CLEAN!$C$2:$C$1001,MATCH_ENGINE!H11))</f>
        <v/>
      </c>
      <c r="P11" s="11" t="inlineStr"/>
    </row>
    <row r="12">
      <c r="A12" s="11">
        <f>IF(MATCH_ENGINE!A12="","",MATCH_ENGINE!N12)</f>
        <v/>
      </c>
      <c r="B12" s="11">
        <f>IF(MATCH_ENGINE!A12="","",MATCH_ENGINE!C12)</f>
        <v/>
      </c>
      <c r="C12" s="10">
        <f>IF(MATCH_ENGINE!A12="","",MATCH_ENGINE!B12)</f>
        <v/>
      </c>
      <c r="D12" s="16">
        <f>IF(MATCH_ENGINE!A12="","",MATCH_ENGINE!D12)</f>
        <v/>
      </c>
      <c r="E12" s="11">
        <f>IF(MATCH_ENGINE!A12="","",MATCH_ENGINE!F12)</f>
        <v/>
      </c>
      <c r="F12" s="10">
        <f>IF(MATCH_ENGINE!A12="","",MATCH_ENGINE!I12)</f>
        <v/>
      </c>
      <c r="G12" s="16">
        <f>IF(MATCH_ENGINE!H12="","",IF(MATCH_ENGINE!F12="IN",MATCH_ENGINE!J12,""))</f>
        <v/>
      </c>
      <c r="H12" s="16">
        <f>IF(MATCH_ENGINE!H12="","",IF(MATCH_ENGINE!F12="OUT",MATCH_ENGINE!J12,""))</f>
        <v/>
      </c>
      <c r="I12" s="16">
        <f>IF(MATCH_ENGINE!H12="","",MATCH_ENGINE!J12)</f>
        <v/>
      </c>
      <c r="J12" s="12">
        <f>IF(MATCH_ENGINE!A12="","",MATCH_ENGINE!K12)</f>
        <v/>
      </c>
      <c r="K12" s="11">
        <f>IF(MATCH_ENGINE!A12="","",MATCH_ENGINE!L12)</f>
        <v/>
      </c>
      <c r="L12" s="17">
        <f>IF(MATCH_ENGINE!A12="","",MATCH_ENGINE!M12)</f>
        <v/>
      </c>
      <c r="M12" s="11">
        <f>IF(MATCH_ENGINE!A12="","",GL_CLEAN!F12)</f>
        <v/>
      </c>
      <c r="N12" s="11">
        <f>IF(MATCH_ENGINE!A12="","",GL_CLEAN!G12)</f>
        <v/>
      </c>
      <c r="O12" s="11">
        <f>IF(MATCH_ENGINE!H12="","",INDEX(BANK_CLEAN!$C$2:$C$1001,MATCH_ENGINE!H12))</f>
        <v/>
      </c>
      <c r="P12" s="11" t="inlineStr"/>
    </row>
    <row r="13">
      <c r="A13" s="11">
        <f>IF(MATCH_ENGINE!A13="","",MATCH_ENGINE!N13)</f>
        <v/>
      </c>
      <c r="B13" s="11">
        <f>IF(MATCH_ENGINE!A13="","",MATCH_ENGINE!C13)</f>
        <v/>
      </c>
      <c r="C13" s="10">
        <f>IF(MATCH_ENGINE!A13="","",MATCH_ENGINE!B13)</f>
        <v/>
      </c>
      <c r="D13" s="16">
        <f>IF(MATCH_ENGINE!A13="","",MATCH_ENGINE!D13)</f>
        <v/>
      </c>
      <c r="E13" s="11">
        <f>IF(MATCH_ENGINE!A13="","",MATCH_ENGINE!F13)</f>
        <v/>
      </c>
      <c r="F13" s="10">
        <f>IF(MATCH_ENGINE!A13="","",MATCH_ENGINE!I13)</f>
        <v/>
      </c>
      <c r="G13" s="16">
        <f>IF(MATCH_ENGINE!H13="","",IF(MATCH_ENGINE!F13="IN",MATCH_ENGINE!J13,""))</f>
        <v/>
      </c>
      <c r="H13" s="16">
        <f>IF(MATCH_ENGINE!H13="","",IF(MATCH_ENGINE!F13="OUT",MATCH_ENGINE!J13,""))</f>
        <v/>
      </c>
      <c r="I13" s="16">
        <f>IF(MATCH_ENGINE!H13="","",MATCH_ENGINE!J13)</f>
        <v/>
      </c>
      <c r="J13" s="12">
        <f>IF(MATCH_ENGINE!A13="","",MATCH_ENGINE!K13)</f>
        <v/>
      </c>
      <c r="K13" s="11">
        <f>IF(MATCH_ENGINE!A13="","",MATCH_ENGINE!L13)</f>
        <v/>
      </c>
      <c r="L13" s="17">
        <f>IF(MATCH_ENGINE!A13="","",MATCH_ENGINE!M13)</f>
        <v/>
      </c>
      <c r="M13" s="11">
        <f>IF(MATCH_ENGINE!A13="","",GL_CLEAN!F13)</f>
        <v/>
      </c>
      <c r="N13" s="11">
        <f>IF(MATCH_ENGINE!A13="","",GL_CLEAN!G13)</f>
        <v/>
      </c>
      <c r="O13" s="11">
        <f>IF(MATCH_ENGINE!H13="","",INDEX(BANK_CLEAN!$C$2:$C$1001,MATCH_ENGINE!H13))</f>
        <v/>
      </c>
      <c r="P13" s="11" t="inlineStr"/>
    </row>
    <row r="14">
      <c r="A14" s="11">
        <f>IF(MATCH_ENGINE!A14="","",MATCH_ENGINE!N14)</f>
        <v/>
      </c>
      <c r="B14" s="11">
        <f>IF(MATCH_ENGINE!A14="","",MATCH_ENGINE!C14)</f>
        <v/>
      </c>
      <c r="C14" s="10">
        <f>IF(MATCH_ENGINE!A14="","",MATCH_ENGINE!B14)</f>
        <v/>
      </c>
      <c r="D14" s="16">
        <f>IF(MATCH_ENGINE!A14="","",MATCH_ENGINE!D14)</f>
        <v/>
      </c>
      <c r="E14" s="11">
        <f>IF(MATCH_ENGINE!A14="","",MATCH_ENGINE!F14)</f>
        <v/>
      </c>
      <c r="F14" s="10">
        <f>IF(MATCH_ENGINE!A14="","",MATCH_ENGINE!I14)</f>
        <v/>
      </c>
      <c r="G14" s="16">
        <f>IF(MATCH_ENGINE!H14="","",IF(MATCH_ENGINE!F14="IN",MATCH_ENGINE!J14,""))</f>
        <v/>
      </c>
      <c r="H14" s="16">
        <f>IF(MATCH_ENGINE!H14="","",IF(MATCH_ENGINE!F14="OUT",MATCH_ENGINE!J14,""))</f>
        <v/>
      </c>
      <c r="I14" s="16">
        <f>IF(MATCH_ENGINE!H14="","",MATCH_ENGINE!J14)</f>
        <v/>
      </c>
      <c r="J14" s="12">
        <f>IF(MATCH_ENGINE!A14="","",MATCH_ENGINE!K14)</f>
        <v/>
      </c>
      <c r="K14" s="11">
        <f>IF(MATCH_ENGINE!A14="","",MATCH_ENGINE!L14)</f>
        <v/>
      </c>
      <c r="L14" s="17">
        <f>IF(MATCH_ENGINE!A14="","",MATCH_ENGINE!M14)</f>
        <v/>
      </c>
      <c r="M14" s="11">
        <f>IF(MATCH_ENGINE!A14="","",GL_CLEAN!F14)</f>
        <v/>
      </c>
      <c r="N14" s="11">
        <f>IF(MATCH_ENGINE!A14="","",GL_CLEAN!G14)</f>
        <v/>
      </c>
      <c r="O14" s="11">
        <f>IF(MATCH_ENGINE!H14="","",INDEX(BANK_CLEAN!$C$2:$C$1001,MATCH_ENGINE!H14))</f>
        <v/>
      </c>
      <c r="P14" s="11" t="inlineStr"/>
    </row>
    <row r="15">
      <c r="A15" s="11">
        <f>IF(MATCH_ENGINE!A15="","",MATCH_ENGINE!N15)</f>
        <v/>
      </c>
      <c r="B15" s="11">
        <f>IF(MATCH_ENGINE!A15="","",MATCH_ENGINE!C15)</f>
        <v/>
      </c>
      <c r="C15" s="10">
        <f>IF(MATCH_ENGINE!A15="","",MATCH_ENGINE!B15)</f>
        <v/>
      </c>
      <c r="D15" s="16">
        <f>IF(MATCH_ENGINE!A15="","",MATCH_ENGINE!D15)</f>
        <v/>
      </c>
      <c r="E15" s="11">
        <f>IF(MATCH_ENGINE!A15="","",MATCH_ENGINE!F15)</f>
        <v/>
      </c>
      <c r="F15" s="10">
        <f>IF(MATCH_ENGINE!A15="","",MATCH_ENGINE!I15)</f>
        <v/>
      </c>
      <c r="G15" s="16">
        <f>IF(MATCH_ENGINE!H15="","",IF(MATCH_ENGINE!F15="IN",MATCH_ENGINE!J15,""))</f>
        <v/>
      </c>
      <c r="H15" s="16">
        <f>IF(MATCH_ENGINE!H15="","",IF(MATCH_ENGINE!F15="OUT",MATCH_ENGINE!J15,""))</f>
        <v/>
      </c>
      <c r="I15" s="16">
        <f>IF(MATCH_ENGINE!H15="","",MATCH_ENGINE!J15)</f>
        <v/>
      </c>
      <c r="J15" s="12">
        <f>IF(MATCH_ENGINE!A15="","",MATCH_ENGINE!K15)</f>
        <v/>
      </c>
      <c r="K15" s="11">
        <f>IF(MATCH_ENGINE!A15="","",MATCH_ENGINE!L15)</f>
        <v/>
      </c>
      <c r="L15" s="17">
        <f>IF(MATCH_ENGINE!A15="","",MATCH_ENGINE!M15)</f>
        <v/>
      </c>
      <c r="M15" s="11">
        <f>IF(MATCH_ENGINE!A15="","",GL_CLEAN!F15)</f>
        <v/>
      </c>
      <c r="N15" s="11">
        <f>IF(MATCH_ENGINE!A15="","",GL_CLEAN!G15)</f>
        <v/>
      </c>
      <c r="O15" s="11">
        <f>IF(MATCH_ENGINE!H15="","",INDEX(BANK_CLEAN!$C$2:$C$1001,MATCH_ENGINE!H15))</f>
        <v/>
      </c>
      <c r="P15" s="11" t="inlineStr"/>
    </row>
    <row r="16">
      <c r="A16" s="11">
        <f>IF(MATCH_ENGINE!A16="","",MATCH_ENGINE!N16)</f>
        <v/>
      </c>
      <c r="B16" s="11">
        <f>IF(MATCH_ENGINE!A16="","",MATCH_ENGINE!C16)</f>
        <v/>
      </c>
      <c r="C16" s="10">
        <f>IF(MATCH_ENGINE!A16="","",MATCH_ENGINE!B16)</f>
        <v/>
      </c>
      <c r="D16" s="16">
        <f>IF(MATCH_ENGINE!A16="","",MATCH_ENGINE!D16)</f>
        <v/>
      </c>
      <c r="E16" s="11">
        <f>IF(MATCH_ENGINE!A16="","",MATCH_ENGINE!F16)</f>
        <v/>
      </c>
      <c r="F16" s="10">
        <f>IF(MATCH_ENGINE!A16="","",MATCH_ENGINE!I16)</f>
        <v/>
      </c>
      <c r="G16" s="16">
        <f>IF(MATCH_ENGINE!H16="","",IF(MATCH_ENGINE!F16="IN",MATCH_ENGINE!J16,""))</f>
        <v/>
      </c>
      <c r="H16" s="16">
        <f>IF(MATCH_ENGINE!H16="","",IF(MATCH_ENGINE!F16="OUT",MATCH_ENGINE!J16,""))</f>
        <v/>
      </c>
      <c r="I16" s="16">
        <f>IF(MATCH_ENGINE!H16="","",MATCH_ENGINE!J16)</f>
        <v/>
      </c>
      <c r="J16" s="12">
        <f>IF(MATCH_ENGINE!A16="","",MATCH_ENGINE!K16)</f>
        <v/>
      </c>
      <c r="K16" s="11">
        <f>IF(MATCH_ENGINE!A16="","",MATCH_ENGINE!L16)</f>
        <v/>
      </c>
      <c r="L16" s="17">
        <f>IF(MATCH_ENGINE!A16="","",MATCH_ENGINE!M16)</f>
        <v/>
      </c>
      <c r="M16" s="11">
        <f>IF(MATCH_ENGINE!A16="","",GL_CLEAN!F16)</f>
        <v/>
      </c>
      <c r="N16" s="11">
        <f>IF(MATCH_ENGINE!A16="","",GL_CLEAN!G16)</f>
        <v/>
      </c>
      <c r="O16" s="11">
        <f>IF(MATCH_ENGINE!H16="","",INDEX(BANK_CLEAN!$C$2:$C$1001,MATCH_ENGINE!H16))</f>
        <v/>
      </c>
      <c r="P16" s="11" t="inlineStr"/>
    </row>
    <row r="17">
      <c r="A17" s="11">
        <f>IF(MATCH_ENGINE!A17="","",MATCH_ENGINE!N17)</f>
        <v/>
      </c>
      <c r="B17" s="11">
        <f>IF(MATCH_ENGINE!A17="","",MATCH_ENGINE!C17)</f>
        <v/>
      </c>
      <c r="C17" s="10">
        <f>IF(MATCH_ENGINE!A17="","",MATCH_ENGINE!B17)</f>
        <v/>
      </c>
      <c r="D17" s="16">
        <f>IF(MATCH_ENGINE!A17="","",MATCH_ENGINE!D17)</f>
        <v/>
      </c>
      <c r="E17" s="11">
        <f>IF(MATCH_ENGINE!A17="","",MATCH_ENGINE!F17)</f>
        <v/>
      </c>
      <c r="F17" s="10">
        <f>IF(MATCH_ENGINE!A17="","",MATCH_ENGINE!I17)</f>
        <v/>
      </c>
      <c r="G17" s="16">
        <f>IF(MATCH_ENGINE!H17="","",IF(MATCH_ENGINE!F17="IN",MATCH_ENGINE!J17,""))</f>
        <v/>
      </c>
      <c r="H17" s="16">
        <f>IF(MATCH_ENGINE!H17="","",IF(MATCH_ENGINE!F17="OUT",MATCH_ENGINE!J17,""))</f>
        <v/>
      </c>
      <c r="I17" s="16">
        <f>IF(MATCH_ENGINE!H17="","",MATCH_ENGINE!J17)</f>
        <v/>
      </c>
      <c r="J17" s="12">
        <f>IF(MATCH_ENGINE!A17="","",MATCH_ENGINE!K17)</f>
        <v/>
      </c>
      <c r="K17" s="11">
        <f>IF(MATCH_ENGINE!A17="","",MATCH_ENGINE!L17)</f>
        <v/>
      </c>
      <c r="L17" s="17">
        <f>IF(MATCH_ENGINE!A17="","",MATCH_ENGINE!M17)</f>
        <v/>
      </c>
      <c r="M17" s="11">
        <f>IF(MATCH_ENGINE!A17="","",GL_CLEAN!F17)</f>
        <v/>
      </c>
      <c r="N17" s="11">
        <f>IF(MATCH_ENGINE!A17="","",GL_CLEAN!G17)</f>
        <v/>
      </c>
      <c r="O17" s="11">
        <f>IF(MATCH_ENGINE!H17="","",INDEX(BANK_CLEAN!$C$2:$C$1001,MATCH_ENGINE!H17))</f>
        <v/>
      </c>
      <c r="P17" s="11" t="inlineStr"/>
    </row>
    <row r="18">
      <c r="A18" s="11">
        <f>IF(MATCH_ENGINE!A18="","",MATCH_ENGINE!N18)</f>
        <v/>
      </c>
      <c r="B18" s="11">
        <f>IF(MATCH_ENGINE!A18="","",MATCH_ENGINE!C18)</f>
        <v/>
      </c>
      <c r="C18" s="10">
        <f>IF(MATCH_ENGINE!A18="","",MATCH_ENGINE!B18)</f>
        <v/>
      </c>
      <c r="D18" s="16">
        <f>IF(MATCH_ENGINE!A18="","",MATCH_ENGINE!D18)</f>
        <v/>
      </c>
      <c r="E18" s="11">
        <f>IF(MATCH_ENGINE!A18="","",MATCH_ENGINE!F18)</f>
        <v/>
      </c>
      <c r="F18" s="10">
        <f>IF(MATCH_ENGINE!A18="","",MATCH_ENGINE!I18)</f>
        <v/>
      </c>
      <c r="G18" s="16">
        <f>IF(MATCH_ENGINE!H18="","",IF(MATCH_ENGINE!F18="IN",MATCH_ENGINE!J18,""))</f>
        <v/>
      </c>
      <c r="H18" s="16">
        <f>IF(MATCH_ENGINE!H18="","",IF(MATCH_ENGINE!F18="OUT",MATCH_ENGINE!J18,""))</f>
        <v/>
      </c>
      <c r="I18" s="16">
        <f>IF(MATCH_ENGINE!H18="","",MATCH_ENGINE!J18)</f>
        <v/>
      </c>
      <c r="J18" s="12">
        <f>IF(MATCH_ENGINE!A18="","",MATCH_ENGINE!K18)</f>
        <v/>
      </c>
      <c r="K18" s="11">
        <f>IF(MATCH_ENGINE!A18="","",MATCH_ENGINE!L18)</f>
        <v/>
      </c>
      <c r="L18" s="17">
        <f>IF(MATCH_ENGINE!A18="","",MATCH_ENGINE!M18)</f>
        <v/>
      </c>
      <c r="M18" s="11">
        <f>IF(MATCH_ENGINE!A18="","",GL_CLEAN!F18)</f>
        <v/>
      </c>
      <c r="N18" s="11">
        <f>IF(MATCH_ENGINE!A18="","",GL_CLEAN!G18)</f>
        <v/>
      </c>
      <c r="O18" s="11">
        <f>IF(MATCH_ENGINE!H18="","",INDEX(BANK_CLEAN!$C$2:$C$1001,MATCH_ENGINE!H18))</f>
        <v/>
      </c>
      <c r="P18" s="11" t="inlineStr"/>
    </row>
    <row r="19">
      <c r="A19" s="11">
        <f>IF(MATCH_ENGINE!A19="","",MATCH_ENGINE!N19)</f>
        <v/>
      </c>
      <c r="B19" s="11">
        <f>IF(MATCH_ENGINE!A19="","",MATCH_ENGINE!C19)</f>
        <v/>
      </c>
      <c r="C19" s="10">
        <f>IF(MATCH_ENGINE!A19="","",MATCH_ENGINE!B19)</f>
        <v/>
      </c>
      <c r="D19" s="16">
        <f>IF(MATCH_ENGINE!A19="","",MATCH_ENGINE!D19)</f>
        <v/>
      </c>
      <c r="E19" s="11">
        <f>IF(MATCH_ENGINE!A19="","",MATCH_ENGINE!F19)</f>
        <v/>
      </c>
      <c r="F19" s="10">
        <f>IF(MATCH_ENGINE!A19="","",MATCH_ENGINE!I19)</f>
        <v/>
      </c>
      <c r="G19" s="16">
        <f>IF(MATCH_ENGINE!H19="","",IF(MATCH_ENGINE!F19="IN",MATCH_ENGINE!J19,""))</f>
        <v/>
      </c>
      <c r="H19" s="16">
        <f>IF(MATCH_ENGINE!H19="","",IF(MATCH_ENGINE!F19="OUT",MATCH_ENGINE!J19,""))</f>
        <v/>
      </c>
      <c r="I19" s="16">
        <f>IF(MATCH_ENGINE!H19="","",MATCH_ENGINE!J19)</f>
        <v/>
      </c>
      <c r="J19" s="12">
        <f>IF(MATCH_ENGINE!A19="","",MATCH_ENGINE!K19)</f>
        <v/>
      </c>
      <c r="K19" s="11">
        <f>IF(MATCH_ENGINE!A19="","",MATCH_ENGINE!L19)</f>
        <v/>
      </c>
      <c r="L19" s="17">
        <f>IF(MATCH_ENGINE!A19="","",MATCH_ENGINE!M19)</f>
        <v/>
      </c>
      <c r="M19" s="11">
        <f>IF(MATCH_ENGINE!A19="","",GL_CLEAN!F19)</f>
        <v/>
      </c>
      <c r="N19" s="11">
        <f>IF(MATCH_ENGINE!A19="","",GL_CLEAN!G19)</f>
        <v/>
      </c>
      <c r="O19" s="11">
        <f>IF(MATCH_ENGINE!H19="","",INDEX(BANK_CLEAN!$C$2:$C$1001,MATCH_ENGINE!H19))</f>
        <v/>
      </c>
      <c r="P19" s="11" t="inlineStr"/>
    </row>
    <row r="20">
      <c r="A20" s="11">
        <f>IF(MATCH_ENGINE!A20="","",MATCH_ENGINE!N20)</f>
        <v/>
      </c>
      <c r="B20" s="11">
        <f>IF(MATCH_ENGINE!A20="","",MATCH_ENGINE!C20)</f>
        <v/>
      </c>
      <c r="C20" s="10">
        <f>IF(MATCH_ENGINE!A20="","",MATCH_ENGINE!B20)</f>
        <v/>
      </c>
      <c r="D20" s="16">
        <f>IF(MATCH_ENGINE!A20="","",MATCH_ENGINE!D20)</f>
        <v/>
      </c>
      <c r="E20" s="11">
        <f>IF(MATCH_ENGINE!A20="","",MATCH_ENGINE!F20)</f>
        <v/>
      </c>
      <c r="F20" s="10">
        <f>IF(MATCH_ENGINE!A20="","",MATCH_ENGINE!I20)</f>
        <v/>
      </c>
      <c r="G20" s="16">
        <f>IF(MATCH_ENGINE!H20="","",IF(MATCH_ENGINE!F20="IN",MATCH_ENGINE!J20,""))</f>
        <v/>
      </c>
      <c r="H20" s="16">
        <f>IF(MATCH_ENGINE!H20="","",IF(MATCH_ENGINE!F20="OUT",MATCH_ENGINE!J20,""))</f>
        <v/>
      </c>
      <c r="I20" s="16">
        <f>IF(MATCH_ENGINE!H20="","",MATCH_ENGINE!J20)</f>
        <v/>
      </c>
      <c r="J20" s="12">
        <f>IF(MATCH_ENGINE!A20="","",MATCH_ENGINE!K20)</f>
        <v/>
      </c>
      <c r="K20" s="11">
        <f>IF(MATCH_ENGINE!A20="","",MATCH_ENGINE!L20)</f>
        <v/>
      </c>
      <c r="L20" s="17">
        <f>IF(MATCH_ENGINE!A20="","",MATCH_ENGINE!M20)</f>
        <v/>
      </c>
      <c r="M20" s="11">
        <f>IF(MATCH_ENGINE!A20="","",GL_CLEAN!F20)</f>
        <v/>
      </c>
      <c r="N20" s="11">
        <f>IF(MATCH_ENGINE!A20="","",GL_CLEAN!G20)</f>
        <v/>
      </c>
      <c r="O20" s="11">
        <f>IF(MATCH_ENGINE!H20="","",INDEX(BANK_CLEAN!$C$2:$C$1001,MATCH_ENGINE!H20))</f>
        <v/>
      </c>
      <c r="P20" s="11" t="inlineStr"/>
    </row>
    <row r="21">
      <c r="A21" s="11">
        <f>IF(MATCH_ENGINE!A21="","",MATCH_ENGINE!N21)</f>
        <v/>
      </c>
      <c r="B21" s="11">
        <f>IF(MATCH_ENGINE!A21="","",MATCH_ENGINE!C21)</f>
        <v/>
      </c>
      <c r="C21" s="10">
        <f>IF(MATCH_ENGINE!A21="","",MATCH_ENGINE!B21)</f>
        <v/>
      </c>
      <c r="D21" s="16">
        <f>IF(MATCH_ENGINE!A21="","",MATCH_ENGINE!D21)</f>
        <v/>
      </c>
      <c r="E21" s="11">
        <f>IF(MATCH_ENGINE!A21="","",MATCH_ENGINE!F21)</f>
        <v/>
      </c>
      <c r="F21" s="10">
        <f>IF(MATCH_ENGINE!A21="","",MATCH_ENGINE!I21)</f>
        <v/>
      </c>
      <c r="G21" s="16">
        <f>IF(MATCH_ENGINE!H21="","",IF(MATCH_ENGINE!F21="IN",MATCH_ENGINE!J21,""))</f>
        <v/>
      </c>
      <c r="H21" s="16">
        <f>IF(MATCH_ENGINE!H21="","",IF(MATCH_ENGINE!F21="OUT",MATCH_ENGINE!J21,""))</f>
        <v/>
      </c>
      <c r="I21" s="16">
        <f>IF(MATCH_ENGINE!H21="","",MATCH_ENGINE!J21)</f>
        <v/>
      </c>
      <c r="J21" s="12">
        <f>IF(MATCH_ENGINE!A21="","",MATCH_ENGINE!K21)</f>
        <v/>
      </c>
      <c r="K21" s="11">
        <f>IF(MATCH_ENGINE!A21="","",MATCH_ENGINE!L21)</f>
        <v/>
      </c>
      <c r="L21" s="17">
        <f>IF(MATCH_ENGINE!A21="","",MATCH_ENGINE!M21)</f>
        <v/>
      </c>
      <c r="M21" s="11">
        <f>IF(MATCH_ENGINE!A21="","",GL_CLEAN!F21)</f>
        <v/>
      </c>
      <c r="N21" s="11">
        <f>IF(MATCH_ENGINE!A21="","",GL_CLEAN!G21)</f>
        <v/>
      </c>
      <c r="O21" s="11">
        <f>IF(MATCH_ENGINE!H21="","",INDEX(BANK_CLEAN!$C$2:$C$1001,MATCH_ENGINE!H21))</f>
        <v/>
      </c>
      <c r="P21" s="11" t="inlineStr"/>
    </row>
    <row r="22">
      <c r="A22" s="11">
        <f>IF(MATCH_ENGINE!A22="","",MATCH_ENGINE!N22)</f>
        <v/>
      </c>
      <c r="B22" s="11">
        <f>IF(MATCH_ENGINE!A22="","",MATCH_ENGINE!C22)</f>
        <v/>
      </c>
      <c r="C22" s="10">
        <f>IF(MATCH_ENGINE!A22="","",MATCH_ENGINE!B22)</f>
        <v/>
      </c>
      <c r="D22" s="16">
        <f>IF(MATCH_ENGINE!A22="","",MATCH_ENGINE!D22)</f>
        <v/>
      </c>
      <c r="E22" s="11">
        <f>IF(MATCH_ENGINE!A22="","",MATCH_ENGINE!F22)</f>
        <v/>
      </c>
      <c r="F22" s="10">
        <f>IF(MATCH_ENGINE!A22="","",MATCH_ENGINE!I22)</f>
        <v/>
      </c>
      <c r="G22" s="16">
        <f>IF(MATCH_ENGINE!H22="","",IF(MATCH_ENGINE!F22="IN",MATCH_ENGINE!J22,""))</f>
        <v/>
      </c>
      <c r="H22" s="16">
        <f>IF(MATCH_ENGINE!H22="","",IF(MATCH_ENGINE!F22="OUT",MATCH_ENGINE!J22,""))</f>
        <v/>
      </c>
      <c r="I22" s="16">
        <f>IF(MATCH_ENGINE!H22="","",MATCH_ENGINE!J22)</f>
        <v/>
      </c>
      <c r="J22" s="12">
        <f>IF(MATCH_ENGINE!A22="","",MATCH_ENGINE!K22)</f>
        <v/>
      </c>
      <c r="K22" s="11">
        <f>IF(MATCH_ENGINE!A22="","",MATCH_ENGINE!L22)</f>
        <v/>
      </c>
      <c r="L22" s="17">
        <f>IF(MATCH_ENGINE!A22="","",MATCH_ENGINE!M22)</f>
        <v/>
      </c>
      <c r="M22" s="11">
        <f>IF(MATCH_ENGINE!A22="","",GL_CLEAN!F22)</f>
        <v/>
      </c>
      <c r="N22" s="11">
        <f>IF(MATCH_ENGINE!A22="","",GL_CLEAN!G22)</f>
        <v/>
      </c>
      <c r="O22" s="11">
        <f>IF(MATCH_ENGINE!H22="","",INDEX(BANK_CLEAN!$C$2:$C$1001,MATCH_ENGINE!H22))</f>
        <v/>
      </c>
      <c r="P22" s="11" t="inlineStr"/>
    </row>
    <row r="23">
      <c r="A23" s="11">
        <f>IF(MATCH_ENGINE!A23="","",MATCH_ENGINE!N23)</f>
        <v/>
      </c>
      <c r="B23" s="11">
        <f>IF(MATCH_ENGINE!A23="","",MATCH_ENGINE!C23)</f>
        <v/>
      </c>
      <c r="C23" s="10">
        <f>IF(MATCH_ENGINE!A23="","",MATCH_ENGINE!B23)</f>
        <v/>
      </c>
      <c r="D23" s="16">
        <f>IF(MATCH_ENGINE!A23="","",MATCH_ENGINE!D23)</f>
        <v/>
      </c>
      <c r="E23" s="11">
        <f>IF(MATCH_ENGINE!A23="","",MATCH_ENGINE!F23)</f>
        <v/>
      </c>
      <c r="F23" s="10">
        <f>IF(MATCH_ENGINE!A23="","",MATCH_ENGINE!I23)</f>
        <v/>
      </c>
      <c r="G23" s="16">
        <f>IF(MATCH_ENGINE!H23="","",IF(MATCH_ENGINE!F23="IN",MATCH_ENGINE!J23,""))</f>
        <v/>
      </c>
      <c r="H23" s="16">
        <f>IF(MATCH_ENGINE!H23="","",IF(MATCH_ENGINE!F23="OUT",MATCH_ENGINE!J23,""))</f>
        <v/>
      </c>
      <c r="I23" s="16">
        <f>IF(MATCH_ENGINE!H23="","",MATCH_ENGINE!J23)</f>
        <v/>
      </c>
      <c r="J23" s="12">
        <f>IF(MATCH_ENGINE!A23="","",MATCH_ENGINE!K23)</f>
        <v/>
      </c>
      <c r="K23" s="11">
        <f>IF(MATCH_ENGINE!A23="","",MATCH_ENGINE!L23)</f>
        <v/>
      </c>
      <c r="L23" s="17">
        <f>IF(MATCH_ENGINE!A23="","",MATCH_ENGINE!M23)</f>
        <v/>
      </c>
      <c r="M23" s="11">
        <f>IF(MATCH_ENGINE!A23="","",GL_CLEAN!F23)</f>
        <v/>
      </c>
      <c r="N23" s="11">
        <f>IF(MATCH_ENGINE!A23="","",GL_CLEAN!G23)</f>
        <v/>
      </c>
      <c r="O23" s="11">
        <f>IF(MATCH_ENGINE!H23="","",INDEX(BANK_CLEAN!$C$2:$C$1001,MATCH_ENGINE!H23))</f>
        <v/>
      </c>
      <c r="P23" s="11" t="inlineStr"/>
    </row>
    <row r="24">
      <c r="A24" s="11">
        <f>IF(MATCH_ENGINE!A24="","",MATCH_ENGINE!N24)</f>
        <v/>
      </c>
      <c r="B24" s="11">
        <f>IF(MATCH_ENGINE!A24="","",MATCH_ENGINE!C24)</f>
        <v/>
      </c>
      <c r="C24" s="10">
        <f>IF(MATCH_ENGINE!A24="","",MATCH_ENGINE!B24)</f>
        <v/>
      </c>
      <c r="D24" s="16">
        <f>IF(MATCH_ENGINE!A24="","",MATCH_ENGINE!D24)</f>
        <v/>
      </c>
      <c r="E24" s="11">
        <f>IF(MATCH_ENGINE!A24="","",MATCH_ENGINE!F24)</f>
        <v/>
      </c>
      <c r="F24" s="10">
        <f>IF(MATCH_ENGINE!A24="","",MATCH_ENGINE!I24)</f>
        <v/>
      </c>
      <c r="G24" s="16">
        <f>IF(MATCH_ENGINE!H24="","",IF(MATCH_ENGINE!F24="IN",MATCH_ENGINE!J24,""))</f>
        <v/>
      </c>
      <c r="H24" s="16">
        <f>IF(MATCH_ENGINE!H24="","",IF(MATCH_ENGINE!F24="OUT",MATCH_ENGINE!J24,""))</f>
        <v/>
      </c>
      <c r="I24" s="16">
        <f>IF(MATCH_ENGINE!H24="","",MATCH_ENGINE!J24)</f>
        <v/>
      </c>
      <c r="J24" s="12">
        <f>IF(MATCH_ENGINE!A24="","",MATCH_ENGINE!K24)</f>
        <v/>
      </c>
      <c r="K24" s="11">
        <f>IF(MATCH_ENGINE!A24="","",MATCH_ENGINE!L24)</f>
        <v/>
      </c>
      <c r="L24" s="17">
        <f>IF(MATCH_ENGINE!A24="","",MATCH_ENGINE!M24)</f>
        <v/>
      </c>
      <c r="M24" s="11">
        <f>IF(MATCH_ENGINE!A24="","",GL_CLEAN!F24)</f>
        <v/>
      </c>
      <c r="N24" s="11">
        <f>IF(MATCH_ENGINE!A24="","",GL_CLEAN!G24)</f>
        <v/>
      </c>
      <c r="O24" s="11">
        <f>IF(MATCH_ENGINE!H24="","",INDEX(BANK_CLEAN!$C$2:$C$1001,MATCH_ENGINE!H24))</f>
        <v/>
      </c>
      <c r="P24" s="11" t="inlineStr"/>
    </row>
    <row r="25">
      <c r="A25" s="11">
        <f>IF(MATCH_ENGINE!A25="","",MATCH_ENGINE!N25)</f>
        <v/>
      </c>
      <c r="B25" s="11">
        <f>IF(MATCH_ENGINE!A25="","",MATCH_ENGINE!C25)</f>
        <v/>
      </c>
      <c r="C25" s="10">
        <f>IF(MATCH_ENGINE!A25="","",MATCH_ENGINE!B25)</f>
        <v/>
      </c>
      <c r="D25" s="16">
        <f>IF(MATCH_ENGINE!A25="","",MATCH_ENGINE!D25)</f>
        <v/>
      </c>
      <c r="E25" s="11">
        <f>IF(MATCH_ENGINE!A25="","",MATCH_ENGINE!F25)</f>
        <v/>
      </c>
      <c r="F25" s="10">
        <f>IF(MATCH_ENGINE!A25="","",MATCH_ENGINE!I25)</f>
        <v/>
      </c>
      <c r="G25" s="16">
        <f>IF(MATCH_ENGINE!H25="","",IF(MATCH_ENGINE!F25="IN",MATCH_ENGINE!J25,""))</f>
        <v/>
      </c>
      <c r="H25" s="16">
        <f>IF(MATCH_ENGINE!H25="","",IF(MATCH_ENGINE!F25="OUT",MATCH_ENGINE!J25,""))</f>
        <v/>
      </c>
      <c r="I25" s="16">
        <f>IF(MATCH_ENGINE!H25="","",MATCH_ENGINE!J25)</f>
        <v/>
      </c>
      <c r="J25" s="12">
        <f>IF(MATCH_ENGINE!A25="","",MATCH_ENGINE!K25)</f>
        <v/>
      </c>
      <c r="K25" s="11">
        <f>IF(MATCH_ENGINE!A25="","",MATCH_ENGINE!L25)</f>
        <v/>
      </c>
      <c r="L25" s="17">
        <f>IF(MATCH_ENGINE!A25="","",MATCH_ENGINE!M25)</f>
        <v/>
      </c>
      <c r="M25" s="11">
        <f>IF(MATCH_ENGINE!A25="","",GL_CLEAN!F25)</f>
        <v/>
      </c>
      <c r="N25" s="11">
        <f>IF(MATCH_ENGINE!A25="","",GL_CLEAN!G25)</f>
        <v/>
      </c>
      <c r="O25" s="11">
        <f>IF(MATCH_ENGINE!H25="","",INDEX(BANK_CLEAN!$C$2:$C$1001,MATCH_ENGINE!H25))</f>
        <v/>
      </c>
      <c r="P25" s="11" t="inlineStr"/>
    </row>
    <row r="26">
      <c r="A26" s="11">
        <f>IF(MATCH_ENGINE!A26="","",MATCH_ENGINE!N26)</f>
        <v/>
      </c>
      <c r="B26" s="11">
        <f>IF(MATCH_ENGINE!A26="","",MATCH_ENGINE!C26)</f>
        <v/>
      </c>
      <c r="C26" s="10">
        <f>IF(MATCH_ENGINE!A26="","",MATCH_ENGINE!B26)</f>
        <v/>
      </c>
      <c r="D26" s="16">
        <f>IF(MATCH_ENGINE!A26="","",MATCH_ENGINE!D26)</f>
        <v/>
      </c>
      <c r="E26" s="11">
        <f>IF(MATCH_ENGINE!A26="","",MATCH_ENGINE!F26)</f>
        <v/>
      </c>
      <c r="F26" s="10">
        <f>IF(MATCH_ENGINE!A26="","",MATCH_ENGINE!I26)</f>
        <v/>
      </c>
      <c r="G26" s="16">
        <f>IF(MATCH_ENGINE!H26="","",IF(MATCH_ENGINE!F26="IN",MATCH_ENGINE!J26,""))</f>
        <v/>
      </c>
      <c r="H26" s="16">
        <f>IF(MATCH_ENGINE!H26="","",IF(MATCH_ENGINE!F26="OUT",MATCH_ENGINE!J26,""))</f>
        <v/>
      </c>
      <c r="I26" s="16">
        <f>IF(MATCH_ENGINE!H26="","",MATCH_ENGINE!J26)</f>
        <v/>
      </c>
      <c r="J26" s="12">
        <f>IF(MATCH_ENGINE!A26="","",MATCH_ENGINE!K26)</f>
        <v/>
      </c>
      <c r="K26" s="11">
        <f>IF(MATCH_ENGINE!A26="","",MATCH_ENGINE!L26)</f>
        <v/>
      </c>
      <c r="L26" s="17">
        <f>IF(MATCH_ENGINE!A26="","",MATCH_ENGINE!M26)</f>
        <v/>
      </c>
      <c r="M26" s="11">
        <f>IF(MATCH_ENGINE!A26="","",GL_CLEAN!F26)</f>
        <v/>
      </c>
      <c r="N26" s="11">
        <f>IF(MATCH_ENGINE!A26="","",GL_CLEAN!G26)</f>
        <v/>
      </c>
      <c r="O26" s="11">
        <f>IF(MATCH_ENGINE!H26="","",INDEX(BANK_CLEAN!$C$2:$C$1001,MATCH_ENGINE!H26))</f>
        <v/>
      </c>
      <c r="P26" s="11" t="inlineStr"/>
    </row>
    <row r="27">
      <c r="A27" s="11">
        <f>IF(MATCH_ENGINE!A27="","",MATCH_ENGINE!N27)</f>
        <v/>
      </c>
      <c r="B27" s="11">
        <f>IF(MATCH_ENGINE!A27="","",MATCH_ENGINE!C27)</f>
        <v/>
      </c>
      <c r="C27" s="10">
        <f>IF(MATCH_ENGINE!A27="","",MATCH_ENGINE!B27)</f>
        <v/>
      </c>
      <c r="D27" s="16">
        <f>IF(MATCH_ENGINE!A27="","",MATCH_ENGINE!D27)</f>
        <v/>
      </c>
      <c r="E27" s="11">
        <f>IF(MATCH_ENGINE!A27="","",MATCH_ENGINE!F27)</f>
        <v/>
      </c>
      <c r="F27" s="10">
        <f>IF(MATCH_ENGINE!A27="","",MATCH_ENGINE!I27)</f>
        <v/>
      </c>
      <c r="G27" s="16">
        <f>IF(MATCH_ENGINE!H27="","",IF(MATCH_ENGINE!F27="IN",MATCH_ENGINE!J27,""))</f>
        <v/>
      </c>
      <c r="H27" s="16">
        <f>IF(MATCH_ENGINE!H27="","",IF(MATCH_ENGINE!F27="OUT",MATCH_ENGINE!J27,""))</f>
        <v/>
      </c>
      <c r="I27" s="16">
        <f>IF(MATCH_ENGINE!H27="","",MATCH_ENGINE!J27)</f>
        <v/>
      </c>
      <c r="J27" s="12">
        <f>IF(MATCH_ENGINE!A27="","",MATCH_ENGINE!K27)</f>
        <v/>
      </c>
      <c r="K27" s="11">
        <f>IF(MATCH_ENGINE!A27="","",MATCH_ENGINE!L27)</f>
        <v/>
      </c>
      <c r="L27" s="17">
        <f>IF(MATCH_ENGINE!A27="","",MATCH_ENGINE!M27)</f>
        <v/>
      </c>
      <c r="M27" s="11">
        <f>IF(MATCH_ENGINE!A27="","",GL_CLEAN!F27)</f>
        <v/>
      </c>
      <c r="N27" s="11">
        <f>IF(MATCH_ENGINE!A27="","",GL_CLEAN!G27)</f>
        <v/>
      </c>
      <c r="O27" s="11">
        <f>IF(MATCH_ENGINE!H27="","",INDEX(BANK_CLEAN!$C$2:$C$1001,MATCH_ENGINE!H27))</f>
        <v/>
      </c>
      <c r="P27" s="11" t="inlineStr"/>
    </row>
    <row r="28">
      <c r="A28" s="11">
        <f>IF(MATCH_ENGINE!A28="","",MATCH_ENGINE!N28)</f>
        <v/>
      </c>
      <c r="B28" s="11">
        <f>IF(MATCH_ENGINE!A28="","",MATCH_ENGINE!C28)</f>
        <v/>
      </c>
      <c r="C28" s="10">
        <f>IF(MATCH_ENGINE!A28="","",MATCH_ENGINE!B28)</f>
        <v/>
      </c>
      <c r="D28" s="16">
        <f>IF(MATCH_ENGINE!A28="","",MATCH_ENGINE!D28)</f>
        <v/>
      </c>
      <c r="E28" s="11">
        <f>IF(MATCH_ENGINE!A28="","",MATCH_ENGINE!F28)</f>
        <v/>
      </c>
      <c r="F28" s="10">
        <f>IF(MATCH_ENGINE!A28="","",MATCH_ENGINE!I28)</f>
        <v/>
      </c>
      <c r="G28" s="16">
        <f>IF(MATCH_ENGINE!H28="","",IF(MATCH_ENGINE!F28="IN",MATCH_ENGINE!J28,""))</f>
        <v/>
      </c>
      <c r="H28" s="16">
        <f>IF(MATCH_ENGINE!H28="","",IF(MATCH_ENGINE!F28="OUT",MATCH_ENGINE!J28,""))</f>
        <v/>
      </c>
      <c r="I28" s="16">
        <f>IF(MATCH_ENGINE!H28="","",MATCH_ENGINE!J28)</f>
        <v/>
      </c>
      <c r="J28" s="12">
        <f>IF(MATCH_ENGINE!A28="","",MATCH_ENGINE!K28)</f>
        <v/>
      </c>
      <c r="K28" s="11">
        <f>IF(MATCH_ENGINE!A28="","",MATCH_ENGINE!L28)</f>
        <v/>
      </c>
      <c r="L28" s="17">
        <f>IF(MATCH_ENGINE!A28="","",MATCH_ENGINE!M28)</f>
        <v/>
      </c>
      <c r="M28" s="11">
        <f>IF(MATCH_ENGINE!A28="","",GL_CLEAN!F28)</f>
        <v/>
      </c>
      <c r="N28" s="11">
        <f>IF(MATCH_ENGINE!A28="","",GL_CLEAN!G28)</f>
        <v/>
      </c>
      <c r="O28" s="11">
        <f>IF(MATCH_ENGINE!H28="","",INDEX(BANK_CLEAN!$C$2:$C$1001,MATCH_ENGINE!H28))</f>
        <v/>
      </c>
      <c r="P28" s="11" t="inlineStr"/>
    </row>
    <row r="29">
      <c r="A29" s="11">
        <f>IF(MATCH_ENGINE!A29="","",MATCH_ENGINE!N29)</f>
        <v/>
      </c>
      <c r="B29" s="11">
        <f>IF(MATCH_ENGINE!A29="","",MATCH_ENGINE!C29)</f>
        <v/>
      </c>
      <c r="C29" s="10">
        <f>IF(MATCH_ENGINE!A29="","",MATCH_ENGINE!B29)</f>
        <v/>
      </c>
      <c r="D29" s="16">
        <f>IF(MATCH_ENGINE!A29="","",MATCH_ENGINE!D29)</f>
        <v/>
      </c>
      <c r="E29" s="11">
        <f>IF(MATCH_ENGINE!A29="","",MATCH_ENGINE!F29)</f>
        <v/>
      </c>
      <c r="F29" s="10">
        <f>IF(MATCH_ENGINE!A29="","",MATCH_ENGINE!I29)</f>
        <v/>
      </c>
      <c r="G29" s="16">
        <f>IF(MATCH_ENGINE!H29="","",IF(MATCH_ENGINE!F29="IN",MATCH_ENGINE!J29,""))</f>
        <v/>
      </c>
      <c r="H29" s="16">
        <f>IF(MATCH_ENGINE!H29="","",IF(MATCH_ENGINE!F29="OUT",MATCH_ENGINE!J29,""))</f>
        <v/>
      </c>
      <c r="I29" s="16">
        <f>IF(MATCH_ENGINE!H29="","",MATCH_ENGINE!J29)</f>
        <v/>
      </c>
      <c r="J29" s="12">
        <f>IF(MATCH_ENGINE!A29="","",MATCH_ENGINE!K29)</f>
        <v/>
      </c>
      <c r="K29" s="11">
        <f>IF(MATCH_ENGINE!A29="","",MATCH_ENGINE!L29)</f>
        <v/>
      </c>
      <c r="L29" s="17">
        <f>IF(MATCH_ENGINE!A29="","",MATCH_ENGINE!M29)</f>
        <v/>
      </c>
      <c r="M29" s="11">
        <f>IF(MATCH_ENGINE!A29="","",GL_CLEAN!F29)</f>
        <v/>
      </c>
      <c r="N29" s="11">
        <f>IF(MATCH_ENGINE!A29="","",GL_CLEAN!G29)</f>
        <v/>
      </c>
      <c r="O29" s="11">
        <f>IF(MATCH_ENGINE!H29="","",INDEX(BANK_CLEAN!$C$2:$C$1001,MATCH_ENGINE!H29))</f>
        <v/>
      </c>
      <c r="P29" s="11" t="inlineStr"/>
    </row>
    <row r="30">
      <c r="A30" s="11">
        <f>IF(MATCH_ENGINE!A30="","",MATCH_ENGINE!N30)</f>
        <v/>
      </c>
      <c r="B30" s="11">
        <f>IF(MATCH_ENGINE!A30="","",MATCH_ENGINE!C30)</f>
        <v/>
      </c>
      <c r="C30" s="10">
        <f>IF(MATCH_ENGINE!A30="","",MATCH_ENGINE!B30)</f>
        <v/>
      </c>
      <c r="D30" s="16">
        <f>IF(MATCH_ENGINE!A30="","",MATCH_ENGINE!D30)</f>
        <v/>
      </c>
      <c r="E30" s="11">
        <f>IF(MATCH_ENGINE!A30="","",MATCH_ENGINE!F30)</f>
        <v/>
      </c>
      <c r="F30" s="10">
        <f>IF(MATCH_ENGINE!A30="","",MATCH_ENGINE!I30)</f>
        <v/>
      </c>
      <c r="G30" s="16">
        <f>IF(MATCH_ENGINE!H30="","",IF(MATCH_ENGINE!F30="IN",MATCH_ENGINE!J30,""))</f>
        <v/>
      </c>
      <c r="H30" s="16">
        <f>IF(MATCH_ENGINE!H30="","",IF(MATCH_ENGINE!F30="OUT",MATCH_ENGINE!J30,""))</f>
        <v/>
      </c>
      <c r="I30" s="16">
        <f>IF(MATCH_ENGINE!H30="","",MATCH_ENGINE!J30)</f>
        <v/>
      </c>
      <c r="J30" s="12">
        <f>IF(MATCH_ENGINE!A30="","",MATCH_ENGINE!K30)</f>
        <v/>
      </c>
      <c r="K30" s="11">
        <f>IF(MATCH_ENGINE!A30="","",MATCH_ENGINE!L30)</f>
        <v/>
      </c>
      <c r="L30" s="17">
        <f>IF(MATCH_ENGINE!A30="","",MATCH_ENGINE!M30)</f>
        <v/>
      </c>
      <c r="M30" s="11">
        <f>IF(MATCH_ENGINE!A30="","",GL_CLEAN!F30)</f>
        <v/>
      </c>
      <c r="N30" s="11">
        <f>IF(MATCH_ENGINE!A30="","",GL_CLEAN!G30)</f>
        <v/>
      </c>
      <c r="O30" s="11">
        <f>IF(MATCH_ENGINE!H30="","",INDEX(BANK_CLEAN!$C$2:$C$1001,MATCH_ENGINE!H30))</f>
        <v/>
      </c>
      <c r="P30" s="11" t="inlineStr"/>
    </row>
    <row r="31">
      <c r="A31" s="11">
        <f>IF(MATCH_ENGINE!A31="","",MATCH_ENGINE!N31)</f>
        <v/>
      </c>
      <c r="B31" s="11">
        <f>IF(MATCH_ENGINE!A31="","",MATCH_ENGINE!C31)</f>
        <v/>
      </c>
      <c r="C31" s="10">
        <f>IF(MATCH_ENGINE!A31="","",MATCH_ENGINE!B31)</f>
        <v/>
      </c>
      <c r="D31" s="16">
        <f>IF(MATCH_ENGINE!A31="","",MATCH_ENGINE!D31)</f>
        <v/>
      </c>
      <c r="E31" s="11">
        <f>IF(MATCH_ENGINE!A31="","",MATCH_ENGINE!F31)</f>
        <v/>
      </c>
      <c r="F31" s="10">
        <f>IF(MATCH_ENGINE!A31="","",MATCH_ENGINE!I31)</f>
        <v/>
      </c>
      <c r="G31" s="16">
        <f>IF(MATCH_ENGINE!H31="","",IF(MATCH_ENGINE!F31="IN",MATCH_ENGINE!J31,""))</f>
        <v/>
      </c>
      <c r="H31" s="16">
        <f>IF(MATCH_ENGINE!H31="","",IF(MATCH_ENGINE!F31="OUT",MATCH_ENGINE!J31,""))</f>
        <v/>
      </c>
      <c r="I31" s="16">
        <f>IF(MATCH_ENGINE!H31="","",MATCH_ENGINE!J31)</f>
        <v/>
      </c>
      <c r="J31" s="12">
        <f>IF(MATCH_ENGINE!A31="","",MATCH_ENGINE!K31)</f>
        <v/>
      </c>
      <c r="K31" s="11">
        <f>IF(MATCH_ENGINE!A31="","",MATCH_ENGINE!L31)</f>
        <v/>
      </c>
      <c r="L31" s="17">
        <f>IF(MATCH_ENGINE!A31="","",MATCH_ENGINE!M31)</f>
        <v/>
      </c>
      <c r="M31" s="11">
        <f>IF(MATCH_ENGINE!A31="","",GL_CLEAN!F31)</f>
        <v/>
      </c>
      <c r="N31" s="11">
        <f>IF(MATCH_ENGINE!A31="","",GL_CLEAN!G31)</f>
        <v/>
      </c>
      <c r="O31" s="11">
        <f>IF(MATCH_ENGINE!H31="","",INDEX(BANK_CLEAN!$C$2:$C$1001,MATCH_ENGINE!H31))</f>
        <v/>
      </c>
      <c r="P31" s="11" t="inlineStr"/>
    </row>
    <row r="32">
      <c r="A32" s="11">
        <f>IF(MATCH_ENGINE!A32="","",MATCH_ENGINE!N32)</f>
        <v/>
      </c>
      <c r="B32" s="11">
        <f>IF(MATCH_ENGINE!A32="","",MATCH_ENGINE!C32)</f>
        <v/>
      </c>
      <c r="C32" s="10">
        <f>IF(MATCH_ENGINE!A32="","",MATCH_ENGINE!B32)</f>
        <v/>
      </c>
      <c r="D32" s="16">
        <f>IF(MATCH_ENGINE!A32="","",MATCH_ENGINE!D32)</f>
        <v/>
      </c>
      <c r="E32" s="11">
        <f>IF(MATCH_ENGINE!A32="","",MATCH_ENGINE!F32)</f>
        <v/>
      </c>
      <c r="F32" s="10">
        <f>IF(MATCH_ENGINE!A32="","",MATCH_ENGINE!I32)</f>
        <v/>
      </c>
      <c r="G32" s="16">
        <f>IF(MATCH_ENGINE!H32="","",IF(MATCH_ENGINE!F32="IN",MATCH_ENGINE!J32,""))</f>
        <v/>
      </c>
      <c r="H32" s="16">
        <f>IF(MATCH_ENGINE!H32="","",IF(MATCH_ENGINE!F32="OUT",MATCH_ENGINE!J32,""))</f>
        <v/>
      </c>
      <c r="I32" s="16">
        <f>IF(MATCH_ENGINE!H32="","",MATCH_ENGINE!J32)</f>
        <v/>
      </c>
      <c r="J32" s="12">
        <f>IF(MATCH_ENGINE!A32="","",MATCH_ENGINE!K32)</f>
        <v/>
      </c>
      <c r="K32" s="11">
        <f>IF(MATCH_ENGINE!A32="","",MATCH_ENGINE!L32)</f>
        <v/>
      </c>
      <c r="L32" s="17">
        <f>IF(MATCH_ENGINE!A32="","",MATCH_ENGINE!M32)</f>
        <v/>
      </c>
      <c r="M32" s="11">
        <f>IF(MATCH_ENGINE!A32="","",GL_CLEAN!F32)</f>
        <v/>
      </c>
      <c r="N32" s="11">
        <f>IF(MATCH_ENGINE!A32="","",GL_CLEAN!G32)</f>
        <v/>
      </c>
      <c r="O32" s="11">
        <f>IF(MATCH_ENGINE!H32="","",INDEX(BANK_CLEAN!$C$2:$C$1001,MATCH_ENGINE!H32))</f>
        <v/>
      </c>
      <c r="P32" s="11" t="inlineStr"/>
    </row>
    <row r="33">
      <c r="A33" s="11">
        <f>IF(MATCH_ENGINE!A33="","",MATCH_ENGINE!N33)</f>
        <v/>
      </c>
      <c r="B33" s="11">
        <f>IF(MATCH_ENGINE!A33="","",MATCH_ENGINE!C33)</f>
        <v/>
      </c>
      <c r="C33" s="10">
        <f>IF(MATCH_ENGINE!A33="","",MATCH_ENGINE!B33)</f>
        <v/>
      </c>
      <c r="D33" s="16">
        <f>IF(MATCH_ENGINE!A33="","",MATCH_ENGINE!D33)</f>
        <v/>
      </c>
      <c r="E33" s="11">
        <f>IF(MATCH_ENGINE!A33="","",MATCH_ENGINE!F33)</f>
        <v/>
      </c>
      <c r="F33" s="10">
        <f>IF(MATCH_ENGINE!A33="","",MATCH_ENGINE!I33)</f>
        <v/>
      </c>
      <c r="G33" s="16">
        <f>IF(MATCH_ENGINE!H33="","",IF(MATCH_ENGINE!F33="IN",MATCH_ENGINE!J33,""))</f>
        <v/>
      </c>
      <c r="H33" s="16">
        <f>IF(MATCH_ENGINE!H33="","",IF(MATCH_ENGINE!F33="OUT",MATCH_ENGINE!J33,""))</f>
        <v/>
      </c>
      <c r="I33" s="16">
        <f>IF(MATCH_ENGINE!H33="","",MATCH_ENGINE!J33)</f>
        <v/>
      </c>
      <c r="J33" s="12">
        <f>IF(MATCH_ENGINE!A33="","",MATCH_ENGINE!K33)</f>
        <v/>
      </c>
      <c r="K33" s="11">
        <f>IF(MATCH_ENGINE!A33="","",MATCH_ENGINE!L33)</f>
        <v/>
      </c>
      <c r="L33" s="17">
        <f>IF(MATCH_ENGINE!A33="","",MATCH_ENGINE!M33)</f>
        <v/>
      </c>
      <c r="M33" s="11">
        <f>IF(MATCH_ENGINE!A33="","",GL_CLEAN!F33)</f>
        <v/>
      </c>
      <c r="N33" s="11">
        <f>IF(MATCH_ENGINE!A33="","",GL_CLEAN!G33)</f>
        <v/>
      </c>
      <c r="O33" s="11">
        <f>IF(MATCH_ENGINE!H33="","",INDEX(BANK_CLEAN!$C$2:$C$1001,MATCH_ENGINE!H33))</f>
        <v/>
      </c>
      <c r="P33" s="11" t="inlineStr"/>
    </row>
    <row r="34">
      <c r="A34" s="11">
        <f>IF(MATCH_ENGINE!A34="","",MATCH_ENGINE!N34)</f>
        <v/>
      </c>
      <c r="B34" s="11">
        <f>IF(MATCH_ENGINE!A34="","",MATCH_ENGINE!C34)</f>
        <v/>
      </c>
      <c r="C34" s="10">
        <f>IF(MATCH_ENGINE!A34="","",MATCH_ENGINE!B34)</f>
        <v/>
      </c>
      <c r="D34" s="16">
        <f>IF(MATCH_ENGINE!A34="","",MATCH_ENGINE!D34)</f>
        <v/>
      </c>
      <c r="E34" s="11">
        <f>IF(MATCH_ENGINE!A34="","",MATCH_ENGINE!F34)</f>
        <v/>
      </c>
      <c r="F34" s="10">
        <f>IF(MATCH_ENGINE!A34="","",MATCH_ENGINE!I34)</f>
        <v/>
      </c>
      <c r="G34" s="16">
        <f>IF(MATCH_ENGINE!H34="","",IF(MATCH_ENGINE!F34="IN",MATCH_ENGINE!J34,""))</f>
        <v/>
      </c>
      <c r="H34" s="16">
        <f>IF(MATCH_ENGINE!H34="","",IF(MATCH_ENGINE!F34="OUT",MATCH_ENGINE!J34,""))</f>
        <v/>
      </c>
      <c r="I34" s="16">
        <f>IF(MATCH_ENGINE!H34="","",MATCH_ENGINE!J34)</f>
        <v/>
      </c>
      <c r="J34" s="12">
        <f>IF(MATCH_ENGINE!A34="","",MATCH_ENGINE!K34)</f>
        <v/>
      </c>
      <c r="K34" s="11">
        <f>IF(MATCH_ENGINE!A34="","",MATCH_ENGINE!L34)</f>
        <v/>
      </c>
      <c r="L34" s="17">
        <f>IF(MATCH_ENGINE!A34="","",MATCH_ENGINE!M34)</f>
        <v/>
      </c>
      <c r="M34" s="11">
        <f>IF(MATCH_ENGINE!A34="","",GL_CLEAN!F34)</f>
        <v/>
      </c>
      <c r="N34" s="11">
        <f>IF(MATCH_ENGINE!A34="","",GL_CLEAN!G34)</f>
        <v/>
      </c>
      <c r="O34" s="11">
        <f>IF(MATCH_ENGINE!H34="","",INDEX(BANK_CLEAN!$C$2:$C$1001,MATCH_ENGINE!H34))</f>
        <v/>
      </c>
      <c r="P34" s="11" t="inlineStr"/>
    </row>
    <row r="35">
      <c r="A35" s="11">
        <f>IF(MATCH_ENGINE!A35="","",MATCH_ENGINE!N35)</f>
        <v/>
      </c>
      <c r="B35" s="11">
        <f>IF(MATCH_ENGINE!A35="","",MATCH_ENGINE!C35)</f>
        <v/>
      </c>
      <c r="C35" s="10">
        <f>IF(MATCH_ENGINE!A35="","",MATCH_ENGINE!B35)</f>
        <v/>
      </c>
      <c r="D35" s="16">
        <f>IF(MATCH_ENGINE!A35="","",MATCH_ENGINE!D35)</f>
        <v/>
      </c>
      <c r="E35" s="11">
        <f>IF(MATCH_ENGINE!A35="","",MATCH_ENGINE!F35)</f>
        <v/>
      </c>
      <c r="F35" s="10">
        <f>IF(MATCH_ENGINE!A35="","",MATCH_ENGINE!I35)</f>
        <v/>
      </c>
      <c r="G35" s="16">
        <f>IF(MATCH_ENGINE!H35="","",IF(MATCH_ENGINE!F35="IN",MATCH_ENGINE!J35,""))</f>
        <v/>
      </c>
      <c r="H35" s="16">
        <f>IF(MATCH_ENGINE!H35="","",IF(MATCH_ENGINE!F35="OUT",MATCH_ENGINE!J35,""))</f>
        <v/>
      </c>
      <c r="I35" s="16">
        <f>IF(MATCH_ENGINE!H35="","",MATCH_ENGINE!J35)</f>
        <v/>
      </c>
      <c r="J35" s="12">
        <f>IF(MATCH_ENGINE!A35="","",MATCH_ENGINE!K35)</f>
        <v/>
      </c>
      <c r="K35" s="11">
        <f>IF(MATCH_ENGINE!A35="","",MATCH_ENGINE!L35)</f>
        <v/>
      </c>
      <c r="L35" s="17">
        <f>IF(MATCH_ENGINE!A35="","",MATCH_ENGINE!M35)</f>
        <v/>
      </c>
      <c r="M35" s="11">
        <f>IF(MATCH_ENGINE!A35="","",GL_CLEAN!F35)</f>
        <v/>
      </c>
      <c r="N35" s="11">
        <f>IF(MATCH_ENGINE!A35="","",GL_CLEAN!G35)</f>
        <v/>
      </c>
      <c r="O35" s="11">
        <f>IF(MATCH_ENGINE!H35="","",INDEX(BANK_CLEAN!$C$2:$C$1001,MATCH_ENGINE!H35))</f>
        <v/>
      </c>
      <c r="P35" s="11" t="inlineStr"/>
    </row>
    <row r="36">
      <c r="A36" s="11">
        <f>IF(MATCH_ENGINE!A36="","",MATCH_ENGINE!N36)</f>
        <v/>
      </c>
      <c r="B36" s="11">
        <f>IF(MATCH_ENGINE!A36="","",MATCH_ENGINE!C36)</f>
        <v/>
      </c>
      <c r="C36" s="10">
        <f>IF(MATCH_ENGINE!A36="","",MATCH_ENGINE!B36)</f>
        <v/>
      </c>
      <c r="D36" s="16">
        <f>IF(MATCH_ENGINE!A36="","",MATCH_ENGINE!D36)</f>
        <v/>
      </c>
      <c r="E36" s="11">
        <f>IF(MATCH_ENGINE!A36="","",MATCH_ENGINE!F36)</f>
        <v/>
      </c>
      <c r="F36" s="10">
        <f>IF(MATCH_ENGINE!A36="","",MATCH_ENGINE!I36)</f>
        <v/>
      </c>
      <c r="G36" s="16">
        <f>IF(MATCH_ENGINE!H36="","",IF(MATCH_ENGINE!F36="IN",MATCH_ENGINE!J36,""))</f>
        <v/>
      </c>
      <c r="H36" s="16">
        <f>IF(MATCH_ENGINE!H36="","",IF(MATCH_ENGINE!F36="OUT",MATCH_ENGINE!J36,""))</f>
        <v/>
      </c>
      <c r="I36" s="16">
        <f>IF(MATCH_ENGINE!H36="","",MATCH_ENGINE!J36)</f>
        <v/>
      </c>
      <c r="J36" s="12">
        <f>IF(MATCH_ENGINE!A36="","",MATCH_ENGINE!K36)</f>
        <v/>
      </c>
      <c r="K36" s="11">
        <f>IF(MATCH_ENGINE!A36="","",MATCH_ENGINE!L36)</f>
        <v/>
      </c>
      <c r="L36" s="17">
        <f>IF(MATCH_ENGINE!A36="","",MATCH_ENGINE!M36)</f>
        <v/>
      </c>
      <c r="M36" s="11">
        <f>IF(MATCH_ENGINE!A36="","",GL_CLEAN!F36)</f>
        <v/>
      </c>
      <c r="N36" s="11">
        <f>IF(MATCH_ENGINE!A36="","",GL_CLEAN!G36)</f>
        <v/>
      </c>
      <c r="O36" s="11">
        <f>IF(MATCH_ENGINE!H36="","",INDEX(BANK_CLEAN!$C$2:$C$1001,MATCH_ENGINE!H36))</f>
        <v/>
      </c>
      <c r="P36" s="11" t="inlineStr"/>
    </row>
    <row r="37">
      <c r="A37" s="11">
        <f>IF(MATCH_ENGINE!A37="","",MATCH_ENGINE!N37)</f>
        <v/>
      </c>
      <c r="B37" s="11">
        <f>IF(MATCH_ENGINE!A37="","",MATCH_ENGINE!C37)</f>
        <v/>
      </c>
      <c r="C37" s="10">
        <f>IF(MATCH_ENGINE!A37="","",MATCH_ENGINE!B37)</f>
        <v/>
      </c>
      <c r="D37" s="16">
        <f>IF(MATCH_ENGINE!A37="","",MATCH_ENGINE!D37)</f>
        <v/>
      </c>
      <c r="E37" s="11">
        <f>IF(MATCH_ENGINE!A37="","",MATCH_ENGINE!F37)</f>
        <v/>
      </c>
      <c r="F37" s="10">
        <f>IF(MATCH_ENGINE!A37="","",MATCH_ENGINE!I37)</f>
        <v/>
      </c>
      <c r="G37" s="16">
        <f>IF(MATCH_ENGINE!H37="","",IF(MATCH_ENGINE!F37="IN",MATCH_ENGINE!J37,""))</f>
        <v/>
      </c>
      <c r="H37" s="16">
        <f>IF(MATCH_ENGINE!H37="","",IF(MATCH_ENGINE!F37="OUT",MATCH_ENGINE!J37,""))</f>
        <v/>
      </c>
      <c r="I37" s="16">
        <f>IF(MATCH_ENGINE!H37="","",MATCH_ENGINE!J37)</f>
        <v/>
      </c>
      <c r="J37" s="12">
        <f>IF(MATCH_ENGINE!A37="","",MATCH_ENGINE!K37)</f>
        <v/>
      </c>
      <c r="K37" s="11">
        <f>IF(MATCH_ENGINE!A37="","",MATCH_ENGINE!L37)</f>
        <v/>
      </c>
      <c r="L37" s="17">
        <f>IF(MATCH_ENGINE!A37="","",MATCH_ENGINE!M37)</f>
        <v/>
      </c>
      <c r="M37" s="11">
        <f>IF(MATCH_ENGINE!A37="","",GL_CLEAN!F37)</f>
        <v/>
      </c>
      <c r="N37" s="11">
        <f>IF(MATCH_ENGINE!A37="","",GL_CLEAN!G37)</f>
        <v/>
      </c>
      <c r="O37" s="11">
        <f>IF(MATCH_ENGINE!H37="","",INDEX(BANK_CLEAN!$C$2:$C$1001,MATCH_ENGINE!H37))</f>
        <v/>
      </c>
      <c r="P37" s="11" t="inlineStr"/>
    </row>
    <row r="38">
      <c r="A38" s="11">
        <f>IF(MATCH_ENGINE!A38="","",MATCH_ENGINE!N38)</f>
        <v/>
      </c>
      <c r="B38" s="11">
        <f>IF(MATCH_ENGINE!A38="","",MATCH_ENGINE!C38)</f>
        <v/>
      </c>
      <c r="C38" s="10">
        <f>IF(MATCH_ENGINE!A38="","",MATCH_ENGINE!B38)</f>
        <v/>
      </c>
      <c r="D38" s="16">
        <f>IF(MATCH_ENGINE!A38="","",MATCH_ENGINE!D38)</f>
        <v/>
      </c>
      <c r="E38" s="11">
        <f>IF(MATCH_ENGINE!A38="","",MATCH_ENGINE!F38)</f>
        <v/>
      </c>
      <c r="F38" s="10">
        <f>IF(MATCH_ENGINE!A38="","",MATCH_ENGINE!I38)</f>
        <v/>
      </c>
      <c r="G38" s="16">
        <f>IF(MATCH_ENGINE!H38="","",IF(MATCH_ENGINE!F38="IN",MATCH_ENGINE!J38,""))</f>
        <v/>
      </c>
      <c r="H38" s="16">
        <f>IF(MATCH_ENGINE!H38="","",IF(MATCH_ENGINE!F38="OUT",MATCH_ENGINE!J38,""))</f>
        <v/>
      </c>
      <c r="I38" s="16">
        <f>IF(MATCH_ENGINE!H38="","",MATCH_ENGINE!J38)</f>
        <v/>
      </c>
      <c r="J38" s="12">
        <f>IF(MATCH_ENGINE!A38="","",MATCH_ENGINE!K38)</f>
        <v/>
      </c>
      <c r="K38" s="11">
        <f>IF(MATCH_ENGINE!A38="","",MATCH_ENGINE!L38)</f>
        <v/>
      </c>
      <c r="L38" s="17">
        <f>IF(MATCH_ENGINE!A38="","",MATCH_ENGINE!M38)</f>
        <v/>
      </c>
      <c r="M38" s="11">
        <f>IF(MATCH_ENGINE!A38="","",GL_CLEAN!F38)</f>
        <v/>
      </c>
      <c r="N38" s="11">
        <f>IF(MATCH_ENGINE!A38="","",GL_CLEAN!G38)</f>
        <v/>
      </c>
      <c r="O38" s="11">
        <f>IF(MATCH_ENGINE!H38="","",INDEX(BANK_CLEAN!$C$2:$C$1001,MATCH_ENGINE!H38))</f>
        <v/>
      </c>
      <c r="P38" s="11" t="inlineStr"/>
    </row>
    <row r="39">
      <c r="A39" s="11">
        <f>IF(MATCH_ENGINE!A39="","",MATCH_ENGINE!N39)</f>
        <v/>
      </c>
      <c r="B39" s="11">
        <f>IF(MATCH_ENGINE!A39="","",MATCH_ENGINE!C39)</f>
        <v/>
      </c>
      <c r="C39" s="10">
        <f>IF(MATCH_ENGINE!A39="","",MATCH_ENGINE!B39)</f>
        <v/>
      </c>
      <c r="D39" s="16">
        <f>IF(MATCH_ENGINE!A39="","",MATCH_ENGINE!D39)</f>
        <v/>
      </c>
      <c r="E39" s="11">
        <f>IF(MATCH_ENGINE!A39="","",MATCH_ENGINE!F39)</f>
        <v/>
      </c>
      <c r="F39" s="10">
        <f>IF(MATCH_ENGINE!A39="","",MATCH_ENGINE!I39)</f>
        <v/>
      </c>
      <c r="G39" s="16">
        <f>IF(MATCH_ENGINE!H39="","",IF(MATCH_ENGINE!F39="IN",MATCH_ENGINE!J39,""))</f>
        <v/>
      </c>
      <c r="H39" s="16">
        <f>IF(MATCH_ENGINE!H39="","",IF(MATCH_ENGINE!F39="OUT",MATCH_ENGINE!J39,""))</f>
        <v/>
      </c>
      <c r="I39" s="16">
        <f>IF(MATCH_ENGINE!H39="","",MATCH_ENGINE!J39)</f>
        <v/>
      </c>
      <c r="J39" s="12">
        <f>IF(MATCH_ENGINE!A39="","",MATCH_ENGINE!K39)</f>
        <v/>
      </c>
      <c r="K39" s="11">
        <f>IF(MATCH_ENGINE!A39="","",MATCH_ENGINE!L39)</f>
        <v/>
      </c>
      <c r="L39" s="17">
        <f>IF(MATCH_ENGINE!A39="","",MATCH_ENGINE!M39)</f>
        <v/>
      </c>
      <c r="M39" s="11">
        <f>IF(MATCH_ENGINE!A39="","",GL_CLEAN!F39)</f>
        <v/>
      </c>
      <c r="N39" s="11">
        <f>IF(MATCH_ENGINE!A39="","",GL_CLEAN!G39)</f>
        <v/>
      </c>
      <c r="O39" s="11">
        <f>IF(MATCH_ENGINE!H39="","",INDEX(BANK_CLEAN!$C$2:$C$1001,MATCH_ENGINE!H39))</f>
        <v/>
      </c>
      <c r="P39" s="11" t="inlineStr"/>
    </row>
    <row r="40">
      <c r="A40" s="11">
        <f>IF(MATCH_ENGINE!A40="","",MATCH_ENGINE!N40)</f>
        <v/>
      </c>
      <c r="B40" s="11">
        <f>IF(MATCH_ENGINE!A40="","",MATCH_ENGINE!C40)</f>
        <v/>
      </c>
      <c r="C40" s="10">
        <f>IF(MATCH_ENGINE!A40="","",MATCH_ENGINE!B40)</f>
        <v/>
      </c>
      <c r="D40" s="16">
        <f>IF(MATCH_ENGINE!A40="","",MATCH_ENGINE!D40)</f>
        <v/>
      </c>
      <c r="E40" s="11">
        <f>IF(MATCH_ENGINE!A40="","",MATCH_ENGINE!F40)</f>
        <v/>
      </c>
      <c r="F40" s="10">
        <f>IF(MATCH_ENGINE!A40="","",MATCH_ENGINE!I40)</f>
        <v/>
      </c>
      <c r="G40" s="16">
        <f>IF(MATCH_ENGINE!H40="","",IF(MATCH_ENGINE!F40="IN",MATCH_ENGINE!J40,""))</f>
        <v/>
      </c>
      <c r="H40" s="16">
        <f>IF(MATCH_ENGINE!H40="","",IF(MATCH_ENGINE!F40="OUT",MATCH_ENGINE!J40,""))</f>
        <v/>
      </c>
      <c r="I40" s="16">
        <f>IF(MATCH_ENGINE!H40="","",MATCH_ENGINE!J40)</f>
        <v/>
      </c>
      <c r="J40" s="12">
        <f>IF(MATCH_ENGINE!A40="","",MATCH_ENGINE!K40)</f>
        <v/>
      </c>
      <c r="K40" s="11">
        <f>IF(MATCH_ENGINE!A40="","",MATCH_ENGINE!L40)</f>
        <v/>
      </c>
      <c r="L40" s="17">
        <f>IF(MATCH_ENGINE!A40="","",MATCH_ENGINE!M40)</f>
        <v/>
      </c>
      <c r="M40" s="11">
        <f>IF(MATCH_ENGINE!A40="","",GL_CLEAN!F40)</f>
        <v/>
      </c>
      <c r="N40" s="11">
        <f>IF(MATCH_ENGINE!A40="","",GL_CLEAN!G40)</f>
        <v/>
      </c>
      <c r="O40" s="11">
        <f>IF(MATCH_ENGINE!H40="","",INDEX(BANK_CLEAN!$C$2:$C$1001,MATCH_ENGINE!H40))</f>
        <v/>
      </c>
      <c r="P40" s="11" t="inlineStr"/>
    </row>
    <row r="41">
      <c r="A41" s="11">
        <f>IF(MATCH_ENGINE!A41="","",MATCH_ENGINE!N41)</f>
        <v/>
      </c>
      <c r="B41" s="11">
        <f>IF(MATCH_ENGINE!A41="","",MATCH_ENGINE!C41)</f>
        <v/>
      </c>
      <c r="C41" s="10">
        <f>IF(MATCH_ENGINE!A41="","",MATCH_ENGINE!B41)</f>
        <v/>
      </c>
      <c r="D41" s="16">
        <f>IF(MATCH_ENGINE!A41="","",MATCH_ENGINE!D41)</f>
        <v/>
      </c>
      <c r="E41" s="11">
        <f>IF(MATCH_ENGINE!A41="","",MATCH_ENGINE!F41)</f>
        <v/>
      </c>
      <c r="F41" s="10">
        <f>IF(MATCH_ENGINE!A41="","",MATCH_ENGINE!I41)</f>
        <v/>
      </c>
      <c r="G41" s="16">
        <f>IF(MATCH_ENGINE!H41="","",IF(MATCH_ENGINE!F41="IN",MATCH_ENGINE!J41,""))</f>
        <v/>
      </c>
      <c r="H41" s="16">
        <f>IF(MATCH_ENGINE!H41="","",IF(MATCH_ENGINE!F41="OUT",MATCH_ENGINE!J41,""))</f>
        <v/>
      </c>
      <c r="I41" s="16">
        <f>IF(MATCH_ENGINE!H41="","",MATCH_ENGINE!J41)</f>
        <v/>
      </c>
      <c r="J41" s="12">
        <f>IF(MATCH_ENGINE!A41="","",MATCH_ENGINE!K41)</f>
        <v/>
      </c>
      <c r="K41" s="11">
        <f>IF(MATCH_ENGINE!A41="","",MATCH_ENGINE!L41)</f>
        <v/>
      </c>
      <c r="L41" s="17">
        <f>IF(MATCH_ENGINE!A41="","",MATCH_ENGINE!M41)</f>
        <v/>
      </c>
      <c r="M41" s="11">
        <f>IF(MATCH_ENGINE!A41="","",GL_CLEAN!F41)</f>
        <v/>
      </c>
      <c r="N41" s="11">
        <f>IF(MATCH_ENGINE!A41="","",GL_CLEAN!G41)</f>
        <v/>
      </c>
      <c r="O41" s="11">
        <f>IF(MATCH_ENGINE!H41="","",INDEX(BANK_CLEAN!$C$2:$C$1001,MATCH_ENGINE!H41))</f>
        <v/>
      </c>
      <c r="P41" s="11" t="inlineStr"/>
    </row>
    <row r="42">
      <c r="A42" s="11">
        <f>IF(MATCH_ENGINE!A42="","",MATCH_ENGINE!N42)</f>
        <v/>
      </c>
      <c r="B42" s="11">
        <f>IF(MATCH_ENGINE!A42="","",MATCH_ENGINE!C42)</f>
        <v/>
      </c>
      <c r="C42" s="10">
        <f>IF(MATCH_ENGINE!A42="","",MATCH_ENGINE!B42)</f>
        <v/>
      </c>
      <c r="D42" s="16">
        <f>IF(MATCH_ENGINE!A42="","",MATCH_ENGINE!D42)</f>
        <v/>
      </c>
      <c r="E42" s="11">
        <f>IF(MATCH_ENGINE!A42="","",MATCH_ENGINE!F42)</f>
        <v/>
      </c>
      <c r="F42" s="10">
        <f>IF(MATCH_ENGINE!A42="","",MATCH_ENGINE!I42)</f>
        <v/>
      </c>
      <c r="G42" s="16">
        <f>IF(MATCH_ENGINE!H42="","",IF(MATCH_ENGINE!F42="IN",MATCH_ENGINE!J42,""))</f>
        <v/>
      </c>
      <c r="H42" s="16">
        <f>IF(MATCH_ENGINE!H42="","",IF(MATCH_ENGINE!F42="OUT",MATCH_ENGINE!J42,""))</f>
        <v/>
      </c>
      <c r="I42" s="16">
        <f>IF(MATCH_ENGINE!H42="","",MATCH_ENGINE!J42)</f>
        <v/>
      </c>
      <c r="J42" s="12">
        <f>IF(MATCH_ENGINE!A42="","",MATCH_ENGINE!K42)</f>
        <v/>
      </c>
      <c r="K42" s="11">
        <f>IF(MATCH_ENGINE!A42="","",MATCH_ENGINE!L42)</f>
        <v/>
      </c>
      <c r="L42" s="17">
        <f>IF(MATCH_ENGINE!A42="","",MATCH_ENGINE!M42)</f>
        <v/>
      </c>
      <c r="M42" s="11">
        <f>IF(MATCH_ENGINE!A42="","",GL_CLEAN!F42)</f>
        <v/>
      </c>
      <c r="N42" s="11">
        <f>IF(MATCH_ENGINE!A42="","",GL_CLEAN!G42)</f>
        <v/>
      </c>
      <c r="O42" s="11">
        <f>IF(MATCH_ENGINE!H42="","",INDEX(BANK_CLEAN!$C$2:$C$1001,MATCH_ENGINE!H42))</f>
        <v/>
      </c>
      <c r="P42" s="11" t="inlineStr"/>
    </row>
    <row r="43">
      <c r="A43" s="11">
        <f>IF(MATCH_ENGINE!A43="","",MATCH_ENGINE!N43)</f>
        <v/>
      </c>
      <c r="B43" s="11">
        <f>IF(MATCH_ENGINE!A43="","",MATCH_ENGINE!C43)</f>
        <v/>
      </c>
      <c r="C43" s="10">
        <f>IF(MATCH_ENGINE!A43="","",MATCH_ENGINE!B43)</f>
        <v/>
      </c>
      <c r="D43" s="16">
        <f>IF(MATCH_ENGINE!A43="","",MATCH_ENGINE!D43)</f>
        <v/>
      </c>
      <c r="E43" s="11">
        <f>IF(MATCH_ENGINE!A43="","",MATCH_ENGINE!F43)</f>
        <v/>
      </c>
      <c r="F43" s="10">
        <f>IF(MATCH_ENGINE!A43="","",MATCH_ENGINE!I43)</f>
        <v/>
      </c>
      <c r="G43" s="16">
        <f>IF(MATCH_ENGINE!H43="","",IF(MATCH_ENGINE!F43="IN",MATCH_ENGINE!J43,""))</f>
        <v/>
      </c>
      <c r="H43" s="16">
        <f>IF(MATCH_ENGINE!H43="","",IF(MATCH_ENGINE!F43="OUT",MATCH_ENGINE!J43,""))</f>
        <v/>
      </c>
      <c r="I43" s="16">
        <f>IF(MATCH_ENGINE!H43="","",MATCH_ENGINE!J43)</f>
        <v/>
      </c>
      <c r="J43" s="12">
        <f>IF(MATCH_ENGINE!A43="","",MATCH_ENGINE!K43)</f>
        <v/>
      </c>
      <c r="K43" s="11">
        <f>IF(MATCH_ENGINE!A43="","",MATCH_ENGINE!L43)</f>
        <v/>
      </c>
      <c r="L43" s="17">
        <f>IF(MATCH_ENGINE!A43="","",MATCH_ENGINE!M43)</f>
        <v/>
      </c>
      <c r="M43" s="11">
        <f>IF(MATCH_ENGINE!A43="","",GL_CLEAN!F43)</f>
        <v/>
      </c>
      <c r="N43" s="11">
        <f>IF(MATCH_ENGINE!A43="","",GL_CLEAN!G43)</f>
        <v/>
      </c>
      <c r="O43" s="11">
        <f>IF(MATCH_ENGINE!H43="","",INDEX(BANK_CLEAN!$C$2:$C$1001,MATCH_ENGINE!H43))</f>
        <v/>
      </c>
      <c r="P43" s="11" t="inlineStr"/>
    </row>
    <row r="44">
      <c r="A44" s="11">
        <f>IF(MATCH_ENGINE!A44="","",MATCH_ENGINE!N44)</f>
        <v/>
      </c>
      <c r="B44" s="11">
        <f>IF(MATCH_ENGINE!A44="","",MATCH_ENGINE!C44)</f>
        <v/>
      </c>
      <c r="C44" s="10">
        <f>IF(MATCH_ENGINE!A44="","",MATCH_ENGINE!B44)</f>
        <v/>
      </c>
      <c r="D44" s="16">
        <f>IF(MATCH_ENGINE!A44="","",MATCH_ENGINE!D44)</f>
        <v/>
      </c>
      <c r="E44" s="11">
        <f>IF(MATCH_ENGINE!A44="","",MATCH_ENGINE!F44)</f>
        <v/>
      </c>
      <c r="F44" s="10">
        <f>IF(MATCH_ENGINE!A44="","",MATCH_ENGINE!I44)</f>
        <v/>
      </c>
      <c r="G44" s="16">
        <f>IF(MATCH_ENGINE!H44="","",IF(MATCH_ENGINE!F44="IN",MATCH_ENGINE!J44,""))</f>
        <v/>
      </c>
      <c r="H44" s="16">
        <f>IF(MATCH_ENGINE!H44="","",IF(MATCH_ENGINE!F44="OUT",MATCH_ENGINE!J44,""))</f>
        <v/>
      </c>
      <c r="I44" s="16">
        <f>IF(MATCH_ENGINE!H44="","",MATCH_ENGINE!J44)</f>
        <v/>
      </c>
      <c r="J44" s="12">
        <f>IF(MATCH_ENGINE!A44="","",MATCH_ENGINE!K44)</f>
        <v/>
      </c>
      <c r="K44" s="11">
        <f>IF(MATCH_ENGINE!A44="","",MATCH_ENGINE!L44)</f>
        <v/>
      </c>
      <c r="L44" s="17">
        <f>IF(MATCH_ENGINE!A44="","",MATCH_ENGINE!M44)</f>
        <v/>
      </c>
      <c r="M44" s="11">
        <f>IF(MATCH_ENGINE!A44="","",GL_CLEAN!F44)</f>
        <v/>
      </c>
      <c r="N44" s="11">
        <f>IF(MATCH_ENGINE!A44="","",GL_CLEAN!G44)</f>
        <v/>
      </c>
      <c r="O44" s="11">
        <f>IF(MATCH_ENGINE!H44="","",INDEX(BANK_CLEAN!$C$2:$C$1001,MATCH_ENGINE!H44))</f>
        <v/>
      </c>
      <c r="P44" s="11" t="inlineStr"/>
    </row>
    <row r="45">
      <c r="A45" s="11">
        <f>IF(MATCH_ENGINE!A45="","",MATCH_ENGINE!N45)</f>
        <v/>
      </c>
      <c r="B45" s="11">
        <f>IF(MATCH_ENGINE!A45="","",MATCH_ENGINE!C45)</f>
        <v/>
      </c>
      <c r="C45" s="10">
        <f>IF(MATCH_ENGINE!A45="","",MATCH_ENGINE!B45)</f>
        <v/>
      </c>
      <c r="D45" s="16">
        <f>IF(MATCH_ENGINE!A45="","",MATCH_ENGINE!D45)</f>
        <v/>
      </c>
      <c r="E45" s="11">
        <f>IF(MATCH_ENGINE!A45="","",MATCH_ENGINE!F45)</f>
        <v/>
      </c>
      <c r="F45" s="10">
        <f>IF(MATCH_ENGINE!A45="","",MATCH_ENGINE!I45)</f>
        <v/>
      </c>
      <c r="G45" s="16">
        <f>IF(MATCH_ENGINE!H45="","",IF(MATCH_ENGINE!F45="IN",MATCH_ENGINE!J45,""))</f>
        <v/>
      </c>
      <c r="H45" s="16">
        <f>IF(MATCH_ENGINE!H45="","",IF(MATCH_ENGINE!F45="OUT",MATCH_ENGINE!J45,""))</f>
        <v/>
      </c>
      <c r="I45" s="16">
        <f>IF(MATCH_ENGINE!H45="","",MATCH_ENGINE!J45)</f>
        <v/>
      </c>
      <c r="J45" s="12">
        <f>IF(MATCH_ENGINE!A45="","",MATCH_ENGINE!K45)</f>
        <v/>
      </c>
      <c r="K45" s="11">
        <f>IF(MATCH_ENGINE!A45="","",MATCH_ENGINE!L45)</f>
        <v/>
      </c>
      <c r="L45" s="17">
        <f>IF(MATCH_ENGINE!A45="","",MATCH_ENGINE!M45)</f>
        <v/>
      </c>
      <c r="M45" s="11">
        <f>IF(MATCH_ENGINE!A45="","",GL_CLEAN!F45)</f>
        <v/>
      </c>
      <c r="N45" s="11">
        <f>IF(MATCH_ENGINE!A45="","",GL_CLEAN!G45)</f>
        <v/>
      </c>
      <c r="O45" s="11">
        <f>IF(MATCH_ENGINE!H45="","",INDEX(BANK_CLEAN!$C$2:$C$1001,MATCH_ENGINE!H45))</f>
        <v/>
      </c>
      <c r="P45" s="11" t="inlineStr"/>
    </row>
    <row r="46">
      <c r="A46" s="11">
        <f>IF(MATCH_ENGINE!A46="","",MATCH_ENGINE!N46)</f>
        <v/>
      </c>
      <c r="B46" s="11">
        <f>IF(MATCH_ENGINE!A46="","",MATCH_ENGINE!C46)</f>
        <v/>
      </c>
      <c r="C46" s="10">
        <f>IF(MATCH_ENGINE!A46="","",MATCH_ENGINE!B46)</f>
        <v/>
      </c>
      <c r="D46" s="16">
        <f>IF(MATCH_ENGINE!A46="","",MATCH_ENGINE!D46)</f>
        <v/>
      </c>
      <c r="E46" s="11">
        <f>IF(MATCH_ENGINE!A46="","",MATCH_ENGINE!F46)</f>
        <v/>
      </c>
      <c r="F46" s="10">
        <f>IF(MATCH_ENGINE!A46="","",MATCH_ENGINE!I46)</f>
        <v/>
      </c>
      <c r="G46" s="16">
        <f>IF(MATCH_ENGINE!H46="","",IF(MATCH_ENGINE!F46="IN",MATCH_ENGINE!J46,""))</f>
        <v/>
      </c>
      <c r="H46" s="16">
        <f>IF(MATCH_ENGINE!H46="","",IF(MATCH_ENGINE!F46="OUT",MATCH_ENGINE!J46,""))</f>
        <v/>
      </c>
      <c r="I46" s="16">
        <f>IF(MATCH_ENGINE!H46="","",MATCH_ENGINE!J46)</f>
        <v/>
      </c>
      <c r="J46" s="12">
        <f>IF(MATCH_ENGINE!A46="","",MATCH_ENGINE!K46)</f>
        <v/>
      </c>
      <c r="K46" s="11">
        <f>IF(MATCH_ENGINE!A46="","",MATCH_ENGINE!L46)</f>
        <v/>
      </c>
      <c r="L46" s="17">
        <f>IF(MATCH_ENGINE!A46="","",MATCH_ENGINE!M46)</f>
        <v/>
      </c>
      <c r="M46" s="11">
        <f>IF(MATCH_ENGINE!A46="","",GL_CLEAN!F46)</f>
        <v/>
      </c>
      <c r="N46" s="11">
        <f>IF(MATCH_ENGINE!A46="","",GL_CLEAN!G46)</f>
        <v/>
      </c>
      <c r="O46" s="11">
        <f>IF(MATCH_ENGINE!H46="","",INDEX(BANK_CLEAN!$C$2:$C$1001,MATCH_ENGINE!H46))</f>
        <v/>
      </c>
      <c r="P46" s="11" t="inlineStr"/>
    </row>
    <row r="47">
      <c r="A47" s="11">
        <f>IF(MATCH_ENGINE!A47="","",MATCH_ENGINE!N47)</f>
        <v/>
      </c>
      <c r="B47" s="11">
        <f>IF(MATCH_ENGINE!A47="","",MATCH_ENGINE!C47)</f>
        <v/>
      </c>
      <c r="C47" s="10">
        <f>IF(MATCH_ENGINE!A47="","",MATCH_ENGINE!B47)</f>
        <v/>
      </c>
      <c r="D47" s="16">
        <f>IF(MATCH_ENGINE!A47="","",MATCH_ENGINE!D47)</f>
        <v/>
      </c>
      <c r="E47" s="11">
        <f>IF(MATCH_ENGINE!A47="","",MATCH_ENGINE!F47)</f>
        <v/>
      </c>
      <c r="F47" s="10">
        <f>IF(MATCH_ENGINE!A47="","",MATCH_ENGINE!I47)</f>
        <v/>
      </c>
      <c r="G47" s="16">
        <f>IF(MATCH_ENGINE!H47="","",IF(MATCH_ENGINE!F47="IN",MATCH_ENGINE!J47,""))</f>
        <v/>
      </c>
      <c r="H47" s="16">
        <f>IF(MATCH_ENGINE!H47="","",IF(MATCH_ENGINE!F47="OUT",MATCH_ENGINE!J47,""))</f>
        <v/>
      </c>
      <c r="I47" s="16">
        <f>IF(MATCH_ENGINE!H47="","",MATCH_ENGINE!J47)</f>
        <v/>
      </c>
      <c r="J47" s="12">
        <f>IF(MATCH_ENGINE!A47="","",MATCH_ENGINE!K47)</f>
        <v/>
      </c>
      <c r="K47" s="11">
        <f>IF(MATCH_ENGINE!A47="","",MATCH_ENGINE!L47)</f>
        <v/>
      </c>
      <c r="L47" s="17">
        <f>IF(MATCH_ENGINE!A47="","",MATCH_ENGINE!M47)</f>
        <v/>
      </c>
      <c r="M47" s="11">
        <f>IF(MATCH_ENGINE!A47="","",GL_CLEAN!F47)</f>
        <v/>
      </c>
      <c r="N47" s="11">
        <f>IF(MATCH_ENGINE!A47="","",GL_CLEAN!G47)</f>
        <v/>
      </c>
      <c r="O47" s="11">
        <f>IF(MATCH_ENGINE!H47="","",INDEX(BANK_CLEAN!$C$2:$C$1001,MATCH_ENGINE!H47))</f>
        <v/>
      </c>
      <c r="P47" s="11" t="inlineStr"/>
    </row>
    <row r="48">
      <c r="A48" s="11">
        <f>IF(MATCH_ENGINE!A48="","",MATCH_ENGINE!N48)</f>
        <v/>
      </c>
      <c r="B48" s="11">
        <f>IF(MATCH_ENGINE!A48="","",MATCH_ENGINE!C48)</f>
        <v/>
      </c>
      <c r="C48" s="10">
        <f>IF(MATCH_ENGINE!A48="","",MATCH_ENGINE!B48)</f>
        <v/>
      </c>
      <c r="D48" s="16">
        <f>IF(MATCH_ENGINE!A48="","",MATCH_ENGINE!D48)</f>
        <v/>
      </c>
      <c r="E48" s="11">
        <f>IF(MATCH_ENGINE!A48="","",MATCH_ENGINE!F48)</f>
        <v/>
      </c>
      <c r="F48" s="10">
        <f>IF(MATCH_ENGINE!A48="","",MATCH_ENGINE!I48)</f>
        <v/>
      </c>
      <c r="G48" s="16">
        <f>IF(MATCH_ENGINE!H48="","",IF(MATCH_ENGINE!F48="IN",MATCH_ENGINE!J48,""))</f>
        <v/>
      </c>
      <c r="H48" s="16">
        <f>IF(MATCH_ENGINE!H48="","",IF(MATCH_ENGINE!F48="OUT",MATCH_ENGINE!J48,""))</f>
        <v/>
      </c>
      <c r="I48" s="16">
        <f>IF(MATCH_ENGINE!H48="","",MATCH_ENGINE!J48)</f>
        <v/>
      </c>
      <c r="J48" s="12">
        <f>IF(MATCH_ENGINE!A48="","",MATCH_ENGINE!K48)</f>
        <v/>
      </c>
      <c r="K48" s="11">
        <f>IF(MATCH_ENGINE!A48="","",MATCH_ENGINE!L48)</f>
        <v/>
      </c>
      <c r="L48" s="17">
        <f>IF(MATCH_ENGINE!A48="","",MATCH_ENGINE!M48)</f>
        <v/>
      </c>
      <c r="M48" s="11">
        <f>IF(MATCH_ENGINE!A48="","",GL_CLEAN!F48)</f>
        <v/>
      </c>
      <c r="N48" s="11">
        <f>IF(MATCH_ENGINE!A48="","",GL_CLEAN!G48)</f>
        <v/>
      </c>
      <c r="O48" s="11">
        <f>IF(MATCH_ENGINE!H48="","",INDEX(BANK_CLEAN!$C$2:$C$1001,MATCH_ENGINE!H48))</f>
        <v/>
      </c>
      <c r="P48" s="11" t="inlineStr"/>
    </row>
    <row r="49">
      <c r="A49" s="11">
        <f>IF(MATCH_ENGINE!A49="","",MATCH_ENGINE!N49)</f>
        <v/>
      </c>
      <c r="B49" s="11">
        <f>IF(MATCH_ENGINE!A49="","",MATCH_ENGINE!C49)</f>
        <v/>
      </c>
      <c r="C49" s="10">
        <f>IF(MATCH_ENGINE!A49="","",MATCH_ENGINE!B49)</f>
        <v/>
      </c>
      <c r="D49" s="16">
        <f>IF(MATCH_ENGINE!A49="","",MATCH_ENGINE!D49)</f>
        <v/>
      </c>
      <c r="E49" s="11">
        <f>IF(MATCH_ENGINE!A49="","",MATCH_ENGINE!F49)</f>
        <v/>
      </c>
      <c r="F49" s="10">
        <f>IF(MATCH_ENGINE!A49="","",MATCH_ENGINE!I49)</f>
        <v/>
      </c>
      <c r="G49" s="16">
        <f>IF(MATCH_ENGINE!H49="","",IF(MATCH_ENGINE!F49="IN",MATCH_ENGINE!J49,""))</f>
        <v/>
      </c>
      <c r="H49" s="16">
        <f>IF(MATCH_ENGINE!H49="","",IF(MATCH_ENGINE!F49="OUT",MATCH_ENGINE!J49,""))</f>
        <v/>
      </c>
      <c r="I49" s="16">
        <f>IF(MATCH_ENGINE!H49="","",MATCH_ENGINE!J49)</f>
        <v/>
      </c>
      <c r="J49" s="12">
        <f>IF(MATCH_ENGINE!A49="","",MATCH_ENGINE!K49)</f>
        <v/>
      </c>
      <c r="K49" s="11">
        <f>IF(MATCH_ENGINE!A49="","",MATCH_ENGINE!L49)</f>
        <v/>
      </c>
      <c r="L49" s="17">
        <f>IF(MATCH_ENGINE!A49="","",MATCH_ENGINE!M49)</f>
        <v/>
      </c>
      <c r="M49" s="11">
        <f>IF(MATCH_ENGINE!A49="","",GL_CLEAN!F49)</f>
        <v/>
      </c>
      <c r="N49" s="11">
        <f>IF(MATCH_ENGINE!A49="","",GL_CLEAN!G49)</f>
        <v/>
      </c>
      <c r="O49" s="11">
        <f>IF(MATCH_ENGINE!H49="","",INDEX(BANK_CLEAN!$C$2:$C$1001,MATCH_ENGINE!H49))</f>
        <v/>
      </c>
      <c r="P49" s="11" t="inlineStr"/>
    </row>
    <row r="50">
      <c r="A50" s="11">
        <f>IF(MATCH_ENGINE!A50="","",MATCH_ENGINE!N50)</f>
        <v/>
      </c>
      <c r="B50" s="11">
        <f>IF(MATCH_ENGINE!A50="","",MATCH_ENGINE!C50)</f>
        <v/>
      </c>
      <c r="C50" s="10">
        <f>IF(MATCH_ENGINE!A50="","",MATCH_ENGINE!B50)</f>
        <v/>
      </c>
      <c r="D50" s="16">
        <f>IF(MATCH_ENGINE!A50="","",MATCH_ENGINE!D50)</f>
        <v/>
      </c>
      <c r="E50" s="11">
        <f>IF(MATCH_ENGINE!A50="","",MATCH_ENGINE!F50)</f>
        <v/>
      </c>
      <c r="F50" s="10">
        <f>IF(MATCH_ENGINE!A50="","",MATCH_ENGINE!I50)</f>
        <v/>
      </c>
      <c r="G50" s="16">
        <f>IF(MATCH_ENGINE!H50="","",IF(MATCH_ENGINE!F50="IN",MATCH_ENGINE!J50,""))</f>
        <v/>
      </c>
      <c r="H50" s="16">
        <f>IF(MATCH_ENGINE!H50="","",IF(MATCH_ENGINE!F50="OUT",MATCH_ENGINE!J50,""))</f>
        <v/>
      </c>
      <c r="I50" s="16">
        <f>IF(MATCH_ENGINE!H50="","",MATCH_ENGINE!J50)</f>
        <v/>
      </c>
      <c r="J50" s="12">
        <f>IF(MATCH_ENGINE!A50="","",MATCH_ENGINE!K50)</f>
        <v/>
      </c>
      <c r="K50" s="11">
        <f>IF(MATCH_ENGINE!A50="","",MATCH_ENGINE!L50)</f>
        <v/>
      </c>
      <c r="L50" s="17">
        <f>IF(MATCH_ENGINE!A50="","",MATCH_ENGINE!M50)</f>
        <v/>
      </c>
      <c r="M50" s="11">
        <f>IF(MATCH_ENGINE!A50="","",GL_CLEAN!F50)</f>
        <v/>
      </c>
      <c r="N50" s="11">
        <f>IF(MATCH_ENGINE!A50="","",GL_CLEAN!G50)</f>
        <v/>
      </c>
      <c r="O50" s="11">
        <f>IF(MATCH_ENGINE!H50="","",INDEX(BANK_CLEAN!$C$2:$C$1001,MATCH_ENGINE!H50))</f>
        <v/>
      </c>
      <c r="P50" s="11" t="inlineStr"/>
    </row>
    <row r="51">
      <c r="A51" s="11">
        <f>IF(MATCH_ENGINE!A51="","",MATCH_ENGINE!N51)</f>
        <v/>
      </c>
      <c r="B51" s="11">
        <f>IF(MATCH_ENGINE!A51="","",MATCH_ENGINE!C51)</f>
        <v/>
      </c>
      <c r="C51" s="10">
        <f>IF(MATCH_ENGINE!A51="","",MATCH_ENGINE!B51)</f>
        <v/>
      </c>
      <c r="D51" s="16">
        <f>IF(MATCH_ENGINE!A51="","",MATCH_ENGINE!D51)</f>
        <v/>
      </c>
      <c r="E51" s="11">
        <f>IF(MATCH_ENGINE!A51="","",MATCH_ENGINE!F51)</f>
        <v/>
      </c>
      <c r="F51" s="10">
        <f>IF(MATCH_ENGINE!A51="","",MATCH_ENGINE!I51)</f>
        <v/>
      </c>
      <c r="G51" s="16">
        <f>IF(MATCH_ENGINE!H51="","",IF(MATCH_ENGINE!F51="IN",MATCH_ENGINE!J51,""))</f>
        <v/>
      </c>
      <c r="H51" s="16">
        <f>IF(MATCH_ENGINE!H51="","",IF(MATCH_ENGINE!F51="OUT",MATCH_ENGINE!J51,""))</f>
        <v/>
      </c>
      <c r="I51" s="16">
        <f>IF(MATCH_ENGINE!H51="","",MATCH_ENGINE!J51)</f>
        <v/>
      </c>
      <c r="J51" s="12">
        <f>IF(MATCH_ENGINE!A51="","",MATCH_ENGINE!K51)</f>
        <v/>
      </c>
      <c r="K51" s="11">
        <f>IF(MATCH_ENGINE!A51="","",MATCH_ENGINE!L51)</f>
        <v/>
      </c>
      <c r="L51" s="17">
        <f>IF(MATCH_ENGINE!A51="","",MATCH_ENGINE!M51)</f>
        <v/>
      </c>
      <c r="M51" s="11">
        <f>IF(MATCH_ENGINE!A51="","",GL_CLEAN!F51)</f>
        <v/>
      </c>
      <c r="N51" s="11">
        <f>IF(MATCH_ENGINE!A51="","",GL_CLEAN!G51)</f>
        <v/>
      </c>
      <c r="O51" s="11">
        <f>IF(MATCH_ENGINE!H51="","",INDEX(BANK_CLEAN!$C$2:$C$1001,MATCH_ENGINE!H51))</f>
        <v/>
      </c>
      <c r="P51" s="11" t="inlineStr"/>
    </row>
    <row r="52">
      <c r="A52" s="11">
        <f>IF(MATCH_ENGINE!A52="","",MATCH_ENGINE!N52)</f>
        <v/>
      </c>
      <c r="B52" s="11">
        <f>IF(MATCH_ENGINE!A52="","",MATCH_ENGINE!C52)</f>
        <v/>
      </c>
      <c r="C52" s="10">
        <f>IF(MATCH_ENGINE!A52="","",MATCH_ENGINE!B52)</f>
        <v/>
      </c>
      <c r="D52" s="16">
        <f>IF(MATCH_ENGINE!A52="","",MATCH_ENGINE!D52)</f>
        <v/>
      </c>
      <c r="E52" s="11">
        <f>IF(MATCH_ENGINE!A52="","",MATCH_ENGINE!F52)</f>
        <v/>
      </c>
      <c r="F52" s="10">
        <f>IF(MATCH_ENGINE!A52="","",MATCH_ENGINE!I52)</f>
        <v/>
      </c>
      <c r="G52" s="16">
        <f>IF(MATCH_ENGINE!H52="","",IF(MATCH_ENGINE!F52="IN",MATCH_ENGINE!J52,""))</f>
        <v/>
      </c>
      <c r="H52" s="16">
        <f>IF(MATCH_ENGINE!H52="","",IF(MATCH_ENGINE!F52="OUT",MATCH_ENGINE!J52,""))</f>
        <v/>
      </c>
      <c r="I52" s="16">
        <f>IF(MATCH_ENGINE!H52="","",MATCH_ENGINE!J52)</f>
        <v/>
      </c>
      <c r="J52" s="12">
        <f>IF(MATCH_ENGINE!A52="","",MATCH_ENGINE!K52)</f>
        <v/>
      </c>
      <c r="K52" s="11">
        <f>IF(MATCH_ENGINE!A52="","",MATCH_ENGINE!L52)</f>
        <v/>
      </c>
      <c r="L52" s="17">
        <f>IF(MATCH_ENGINE!A52="","",MATCH_ENGINE!M52)</f>
        <v/>
      </c>
      <c r="M52" s="11">
        <f>IF(MATCH_ENGINE!A52="","",GL_CLEAN!F52)</f>
        <v/>
      </c>
      <c r="N52" s="11">
        <f>IF(MATCH_ENGINE!A52="","",GL_CLEAN!G52)</f>
        <v/>
      </c>
      <c r="O52" s="11">
        <f>IF(MATCH_ENGINE!H52="","",INDEX(BANK_CLEAN!$C$2:$C$1001,MATCH_ENGINE!H52))</f>
        <v/>
      </c>
      <c r="P52" s="11" t="inlineStr"/>
    </row>
    <row r="53">
      <c r="A53" s="11">
        <f>IF(MATCH_ENGINE!A53="","",MATCH_ENGINE!N53)</f>
        <v/>
      </c>
      <c r="B53" s="11">
        <f>IF(MATCH_ENGINE!A53="","",MATCH_ENGINE!C53)</f>
        <v/>
      </c>
      <c r="C53" s="10">
        <f>IF(MATCH_ENGINE!A53="","",MATCH_ENGINE!B53)</f>
        <v/>
      </c>
      <c r="D53" s="16">
        <f>IF(MATCH_ENGINE!A53="","",MATCH_ENGINE!D53)</f>
        <v/>
      </c>
      <c r="E53" s="11">
        <f>IF(MATCH_ENGINE!A53="","",MATCH_ENGINE!F53)</f>
        <v/>
      </c>
      <c r="F53" s="10">
        <f>IF(MATCH_ENGINE!A53="","",MATCH_ENGINE!I53)</f>
        <v/>
      </c>
      <c r="G53" s="16">
        <f>IF(MATCH_ENGINE!H53="","",IF(MATCH_ENGINE!F53="IN",MATCH_ENGINE!J53,""))</f>
        <v/>
      </c>
      <c r="H53" s="16">
        <f>IF(MATCH_ENGINE!H53="","",IF(MATCH_ENGINE!F53="OUT",MATCH_ENGINE!J53,""))</f>
        <v/>
      </c>
      <c r="I53" s="16">
        <f>IF(MATCH_ENGINE!H53="","",MATCH_ENGINE!J53)</f>
        <v/>
      </c>
      <c r="J53" s="12">
        <f>IF(MATCH_ENGINE!A53="","",MATCH_ENGINE!K53)</f>
        <v/>
      </c>
      <c r="K53" s="11">
        <f>IF(MATCH_ENGINE!A53="","",MATCH_ENGINE!L53)</f>
        <v/>
      </c>
      <c r="L53" s="17">
        <f>IF(MATCH_ENGINE!A53="","",MATCH_ENGINE!M53)</f>
        <v/>
      </c>
      <c r="M53" s="11">
        <f>IF(MATCH_ENGINE!A53="","",GL_CLEAN!F53)</f>
        <v/>
      </c>
      <c r="N53" s="11">
        <f>IF(MATCH_ENGINE!A53="","",GL_CLEAN!G53)</f>
        <v/>
      </c>
      <c r="O53" s="11">
        <f>IF(MATCH_ENGINE!H53="","",INDEX(BANK_CLEAN!$C$2:$C$1001,MATCH_ENGINE!H53))</f>
        <v/>
      </c>
      <c r="P53" s="11" t="inlineStr"/>
    </row>
    <row r="54">
      <c r="A54" s="11">
        <f>IF(MATCH_ENGINE!A54="","",MATCH_ENGINE!N54)</f>
        <v/>
      </c>
      <c r="B54" s="11">
        <f>IF(MATCH_ENGINE!A54="","",MATCH_ENGINE!C54)</f>
        <v/>
      </c>
      <c r="C54" s="10">
        <f>IF(MATCH_ENGINE!A54="","",MATCH_ENGINE!B54)</f>
        <v/>
      </c>
      <c r="D54" s="16">
        <f>IF(MATCH_ENGINE!A54="","",MATCH_ENGINE!D54)</f>
        <v/>
      </c>
      <c r="E54" s="11">
        <f>IF(MATCH_ENGINE!A54="","",MATCH_ENGINE!F54)</f>
        <v/>
      </c>
      <c r="F54" s="10">
        <f>IF(MATCH_ENGINE!A54="","",MATCH_ENGINE!I54)</f>
        <v/>
      </c>
      <c r="G54" s="16">
        <f>IF(MATCH_ENGINE!H54="","",IF(MATCH_ENGINE!F54="IN",MATCH_ENGINE!J54,""))</f>
        <v/>
      </c>
      <c r="H54" s="16">
        <f>IF(MATCH_ENGINE!H54="","",IF(MATCH_ENGINE!F54="OUT",MATCH_ENGINE!J54,""))</f>
        <v/>
      </c>
      <c r="I54" s="16">
        <f>IF(MATCH_ENGINE!H54="","",MATCH_ENGINE!J54)</f>
        <v/>
      </c>
      <c r="J54" s="12">
        <f>IF(MATCH_ENGINE!A54="","",MATCH_ENGINE!K54)</f>
        <v/>
      </c>
      <c r="K54" s="11">
        <f>IF(MATCH_ENGINE!A54="","",MATCH_ENGINE!L54)</f>
        <v/>
      </c>
      <c r="L54" s="17">
        <f>IF(MATCH_ENGINE!A54="","",MATCH_ENGINE!M54)</f>
        <v/>
      </c>
      <c r="M54" s="11">
        <f>IF(MATCH_ENGINE!A54="","",GL_CLEAN!F54)</f>
        <v/>
      </c>
      <c r="N54" s="11">
        <f>IF(MATCH_ENGINE!A54="","",GL_CLEAN!G54)</f>
        <v/>
      </c>
      <c r="O54" s="11">
        <f>IF(MATCH_ENGINE!H54="","",INDEX(BANK_CLEAN!$C$2:$C$1001,MATCH_ENGINE!H54))</f>
        <v/>
      </c>
      <c r="P54" s="11" t="inlineStr"/>
    </row>
    <row r="55">
      <c r="A55" s="11">
        <f>IF(MATCH_ENGINE!A55="","",MATCH_ENGINE!N55)</f>
        <v/>
      </c>
      <c r="B55" s="11">
        <f>IF(MATCH_ENGINE!A55="","",MATCH_ENGINE!C55)</f>
        <v/>
      </c>
      <c r="C55" s="10">
        <f>IF(MATCH_ENGINE!A55="","",MATCH_ENGINE!B55)</f>
        <v/>
      </c>
      <c r="D55" s="16">
        <f>IF(MATCH_ENGINE!A55="","",MATCH_ENGINE!D55)</f>
        <v/>
      </c>
      <c r="E55" s="11">
        <f>IF(MATCH_ENGINE!A55="","",MATCH_ENGINE!F55)</f>
        <v/>
      </c>
      <c r="F55" s="10">
        <f>IF(MATCH_ENGINE!A55="","",MATCH_ENGINE!I55)</f>
        <v/>
      </c>
      <c r="G55" s="16">
        <f>IF(MATCH_ENGINE!H55="","",IF(MATCH_ENGINE!F55="IN",MATCH_ENGINE!J55,""))</f>
        <v/>
      </c>
      <c r="H55" s="16">
        <f>IF(MATCH_ENGINE!H55="","",IF(MATCH_ENGINE!F55="OUT",MATCH_ENGINE!J55,""))</f>
        <v/>
      </c>
      <c r="I55" s="16">
        <f>IF(MATCH_ENGINE!H55="","",MATCH_ENGINE!J55)</f>
        <v/>
      </c>
      <c r="J55" s="12">
        <f>IF(MATCH_ENGINE!A55="","",MATCH_ENGINE!K55)</f>
        <v/>
      </c>
      <c r="K55" s="11">
        <f>IF(MATCH_ENGINE!A55="","",MATCH_ENGINE!L55)</f>
        <v/>
      </c>
      <c r="L55" s="17">
        <f>IF(MATCH_ENGINE!A55="","",MATCH_ENGINE!M55)</f>
        <v/>
      </c>
      <c r="M55" s="11">
        <f>IF(MATCH_ENGINE!A55="","",GL_CLEAN!F55)</f>
        <v/>
      </c>
      <c r="N55" s="11">
        <f>IF(MATCH_ENGINE!A55="","",GL_CLEAN!G55)</f>
        <v/>
      </c>
      <c r="O55" s="11">
        <f>IF(MATCH_ENGINE!H55="","",INDEX(BANK_CLEAN!$C$2:$C$1001,MATCH_ENGINE!H55))</f>
        <v/>
      </c>
      <c r="P55" s="11" t="inlineStr"/>
    </row>
    <row r="56">
      <c r="A56" s="11">
        <f>IF(MATCH_ENGINE!A56="","",MATCH_ENGINE!N56)</f>
        <v/>
      </c>
      <c r="B56" s="11">
        <f>IF(MATCH_ENGINE!A56="","",MATCH_ENGINE!C56)</f>
        <v/>
      </c>
      <c r="C56" s="10">
        <f>IF(MATCH_ENGINE!A56="","",MATCH_ENGINE!B56)</f>
        <v/>
      </c>
      <c r="D56" s="16">
        <f>IF(MATCH_ENGINE!A56="","",MATCH_ENGINE!D56)</f>
        <v/>
      </c>
      <c r="E56" s="11">
        <f>IF(MATCH_ENGINE!A56="","",MATCH_ENGINE!F56)</f>
        <v/>
      </c>
      <c r="F56" s="10">
        <f>IF(MATCH_ENGINE!A56="","",MATCH_ENGINE!I56)</f>
        <v/>
      </c>
      <c r="G56" s="16">
        <f>IF(MATCH_ENGINE!H56="","",IF(MATCH_ENGINE!F56="IN",MATCH_ENGINE!J56,""))</f>
        <v/>
      </c>
      <c r="H56" s="16">
        <f>IF(MATCH_ENGINE!H56="","",IF(MATCH_ENGINE!F56="OUT",MATCH_ENGINE!J56,""))</f>
        <v/>
      </c>
      <c r="I56" s="16">
        <f>IF(MATCH_ENGINE!H56="","",MATCH_ENGINE!J56)</f>
        <v/>
      </c>
      <c r="J56" s="12">
        <f>IF(MATCH_ENGINE!A56="","",MATCH_ENGINE!K56)</f>
        <v/>
      </c>
      <c r="K56" s="11">
        <f>IF(MATCH_ENGINE!A56="","",MATCH_ENGINE!L56)</f>
        <v/>
      </c>
      <c r="L56" s="17">
        <f>IF(MATCH_ENGINE!A56="","",MATCH_ENGINE!M56)</f>
        <v/>
      </c>
      <c r="M56" s="11">
        <f>IF(MATCH_ENGINE!A56="","",GL_CLEAN!F56)</f>
        <v/>
      </c>
      <c r="N56" s="11">
        <f>IF(MATCH_ENGINE!A56="","",GL_CLEAN!G56)</f>
        <v/>
      </c>
      <c r="O56" s="11">
        <f>IF(MATCH_ENGINE!H56="","",INDEX(BANK_CLEAN!$C$2:$C$1001,MATCH_ENGINE!H56))</f>
        <v/>
      </c>
      <c r="P56" s="11" t="inlineStr"/>
    </row>
    <row r="57">
      <c r="A57" s="11">
        <f>IF(MATCH_ENGINE!A57="","",MATCH_ENGINE!N57)</f>
        <v/>
      </c>
      <c r="B57" s="11">
        <f>IF(MATCH_ENGINE!A57="","",MATCH_ENGINE!C57)</f>
        <v/>
      </c>
      <c r="C57" s="10">
        <f>IF(MATCH_ENGINE!A57="","",MATCH_ENGINE!B57)</f>
        <v/>
      </c>
      <c r="D57" s="16">
        <f>IF(MATCH_ENGINE!A57="","",MATCH_ENGINE!D57)</f>
        <v/>
      </c>
      <c r="E57" s="11">
        <f>IF(MATCH_ENGINE!A57="","",MATCH_ENGINE!F57)</f>
        <v/>
      </c>
      <c r="F57" s="10">
        <f>IF(MATCH_ENGINE!A57="","",MATCH_ENGINE!I57)</f>
        <v/>
      </c>
      <c r="G57" s="16">
        <f>IF(MATCH_ENGINE!H57="","",IF(MATCH_ENGINE!F57="IN",MATCH_ENGINE!J57,""))</f>
        <v/>
      </c>
      <c r="H57" s="16">
        <f>IF(MATCH_ENGINE!H57="","",IF(MATCH_ENGINE!F57="OUT",MATCH_ENGINE!J57,""))</f>
        <v/>
      </c>
      <c r="I57" s="16">
        <f>IF(MATCH_ENGINE!H57="","",MATCH_ENGINE!J57)</f>
        <v/>
      </c>
      <c r="J57" s="12">
        <f>IF(MATCH_ENGINE!A57="","",MATCH_ENGINE!K57)</f>
        <v/>
      </c>
      <c r="K57" s="11">
        <f>IF(MATCH_ENGINE!A57="","",MATCH_ENGINE!L57)</f>
        <v/>
      </c>
      <c r="L57" s="17">
        <f>IF(MATCH_ENGINE!A57="","",MATCH_ENGINE!M57)</f>
        <v/>
      </c>
      <c r="M57" s="11">
        <f>IF(MATCH_ENGINE!A57="","",GL_CLEAN!F57)</f>
        <v/>
      </c>
      <c r="N57" s="11">
        <f>IF(MATCH_ENGINE!A57="","",GL_CLEAN!G57)</f>
        <v/>
      </c>
      <c r="O57" s="11">
        <f>IF(MATCH_ENGINE!H57="","",INDEX(BANK_CLEAN!$C$2:$C$1001,MATCH_ENGINE!H57))</f>
        <v/>
      </c>
      <c r="P57" s="11" t="inlineStr"/>
    </row>
    <row r="58">
      <c r="A58" s="11">
        <f>IF(MATCH_ENGINE!A58="","",MATCH_ENGINE!N58)</f>
        <v/>
      </c>
      <c r="B58" s="11">
        <f>IF(MATCH_ENGINE!A58="","",MATCH_ENGINE!C58)</f>
        <v/>
      </c>
      <c r="C58" s="10">
        <f>IF(MATCH_ENGINE!A58="","",MATCH_ENGINE!B58)</f>
        <v/>
      </c>
      <c r="D58" s="16">
        <f>IF(MATCH_ENGINE!A58="","",MATCH_ENGINE!D58)</f>
        <v/>
      </c>
      <c r="E58" s="11">
        <f>IF(MATCH_ENGINE!A58="","",MATCH_ENGINE!F58)</f>
        <v/>
      </c>
      <c r="F58" s="10">
        <f>IF(MATCH_ENGINE!A58="","",MATCH_ENGINE!I58)</f>
        <v/>
      </c>
      <c r="G58" s="16">
        <f>IF(MATCH_ENGINE!H58="","",IF(MATCH_ENGINE!F58="IN",MATCH_ENGINE!J58,""))</f>
        <v/>
      </c>
      <c r="H58" s="16">
        <f>IF(MATCH_ENGINE!H58="","",IF(MATCH_ENGINE!F58="OUT",MATCH_ENGINE!J58,""))</f>
        <v/>
      </c>
      <c r="I58" s="16">
        <f>IF(MATCH_ENGINE!H58="","",MATCH_ENGINE!J58)</f>
        <v/>
      </c>
      <c r="J58" s="12">
        <f>IF(MATCH_ENGINE!A58="","",MATCH_ENGINE!K58)</f>
        <v/>
      </c>
      <c r="K58" s="11">
        <f>IF(MATCH_ENGINE!A58="","",MATCH_ENGINE!L58)</f>
        <v/>
      </c>
      <c r="L58" s="17">
        <f>IF(MATCH_ENGINE!A58="","",MATCH_ENGINE!M58)</f>
        <v/>
      </c>
      <c r="M58" s="11">
        <f>IF(MATCH_ENGINE!A58="","",GL_CLEAN!F58)</f>
        <v/>
      </c>
      <c r="N58" s="11">
        <f>IF(MATCH_ENGINE!A58="","",GL_CLEAN!G58)</f>
        <v/>
      </c>
      <c r="O58" s="11">
        <f>IF(MATCH_ENGINE!H58="","",INDEX(BANK_CLEAN!$C$2:$C$1001,MATCH_ENGINE!H58))</f>
        <v/>
      </c>
      <c r="P58" s="11" t="inlineStr"/>
    </row>
    <row r="59">
      <c r="A59" s="11">
        <f>IF(MATCH_ENGINE!A59="","",MATCH_ENGINE!N59)</f>
        <v/>
      </c>
      <c r="B59" s="11">
        <f>IF(MATCH_ENGINE!A59="","",MATCH_ENGINE!C59)</f>
        <v/>
      </c>
      <c r="C59" s="10">
        <f>IF(MATCH_ENGINE!A59="","",MATCH_ENGINE!B59)</f>
        <v/>
      </c>
      <c r="D59" s="16">
        <f>IF(MATCH_ENGINE!A59="","",MATCH_ENGINE!D59)</f>
        <v/>
      </c>
      <c r="E59" s="11">
        <f>IF(MATCH_ENGINE!A59="","",MATCH_ENGINE!F59)</f>
        <v/>
      </c>
      <c r="F59" s="10">
        <f>IF(MATCH_ENGINE!A59="","",MATCH_ENGINE!I59)</f>
        <v/>
      </c>
      <c r="G59" s="16">
        <f>IF(MATCH_ENGINE!H59="","",IF(MATCH_ENGINE!F59="IN",MATCH_ENGINE!J59,""))</f>
        <v/>
      </c>
      <c r="H59" s="16">
        <f>IF(MATCH_ENGINE!H59="","",IF(MATCH_ENGINE!F59="OUT",MATCH_ENGINE!J59,""))</f>
        <v/>
      </c>
      <c r="I59" s="16">
        <f>IF(MATCH_ENGINE!H59="","",MATCH_ENGINE!J59)</f>
        <v/>
      </c>
      <c r="J59" s="12">
        <f>IF(MATCH_ENGINE!A59="","",MATCH_ENGINE!K59)</f>
        <v/>
      </c>
      <c r="K59" s="11">
        <f>IF(MATCH_ENGINE!A59="","",MATCH_ENGINE!L59)</f>
        <v/>
      </c>
      <c r="L59" s="17">
        <f>IF(MATCH_ENGINE!A59="","",MATCH_ENGINE!M59)</f>
        <v/>
      </c>
      <c r="M59" s="11">
        <f>IF(MATCH_ENGINE!A59="","",GL_CLEAN!F59)</f>
        <v/>
      </c>
      <c r="N59" s="11">
        <f>IF(MATCH_ENGINE!A59="","",GL_CLEAN!G59)</f>
        <v/>
      </c>
      <c r="O59" s="11">
        <f>IF(MATCH_ENGINE!H59="","",INDEX(BANK_CLEAN!$C$2:$C$1001,MATCH_ENGINE!H59))</f>
        <v/>
      </c>
      <c r="P59" s="11" t="inlineStr"/>
    </row>
    <row r="60">
      <c r="A60" s="11">
        <f>IF(MATCH_ENGINE!A60="","",MATCH_ENGINE!N60)</f>
        <v/>
      </c>
      <c r="B60" s="11">
        <f>IF(MATCH_ENGINE!A60="","",MATCH_ENGINE!C60)</f>
        <v/>
      </c>
      <c r="C60" s="10">
        <f>IF(MATCH_ENGINE!A60="","",MATCH_ENGINE!B60)</f>
        <v/>
      </c>
      <c r="D60" s="16">
        <f>IF(MATCH_ENGINE!A60="","",MATCH_ENGINE!D60)</f>
        <v/>
      </c>
      <c r="E60" s="11">
        <f>IF(MATCH_ENGINE!A60="","",MATCH_ENGINE!F60)</f>
        <v/>
      </c>
      <c r="F60" s="10">
        <f>IF(MATCH_ENGINE!A60="","",MATCH_ENGINE!I60)</f>
        <v/>
      </c>
      <c r="G60" s="16">
        <f>IF(MATCH_ENGINE!H60="","",IF(MATCH_ENGINE!F60="IN",MATCH_ENGINE!J60,""))</f>
        <v/>
      </c>
      <c r="H60" s="16">
        <f>IF(MATCH_ENGINE!H60="","",IF(MATCH_ENGINE!F60="OUT",MATCH_ENGINE!J60,""))</f>
        <v/>
      </c>
      <c r="I60" s="16">
        <f>IF(MATCH_ENGINE!H60="","",MATCH_ENGINE!J60)</f>
        <v/>
      </c>
      <c r="J60" s="12">
        <f>IF(MATCH_ENGINE!A60="","",MATCH_ENGINE!K60)</f>
        <v/>
      </c>
      <c r="K60" s="11">
        <f>IF(MATCH_ENGINE!A60="","",MATCH_ENGINE!L60)</f>
        <v/>
      </c>
      <c r="L60" s="17">
        <f>IF(MATCH_ENGINE!A60="","",MATCH_ENGINE!M60)</f>
        <v/>
      </c>
      <c r="M60" s="11">
        <f>IF(MATCH_ENGINE!A60="","",GL_CLEAN!F60)</f>
        <v/>
      </c>
      <c r="N60" s="11">
        <f>IF(MATCH_ENGINE!A60="","",GL_CLEAN!G60)</f>
        <v/>
      </c>
      <c r="O60" s="11">
        <f>IF(MATCH_ENGINE!H60="","",INDEX(BANK_CLEAN!$C$2:$C$1001,MATCH_ENGINE!H60))</f>
        <v/>
      </c>
      <c r="P60" s="11" t="inlineStr"/>
    </row>
    <row r="61">
      <c r="A61" s="11">
        <f>IF(MATCH_ENGINE!A61="","",MATCH_ENGINE!N61)</f>
        <v/>
      </c>
      <c r="B61" s="11">
        <f>IF(MATCH_ENGINE!A61="","",MATCH_ENGINE!C61)</f>
        <v/>
      </c>
      <c r="C61" s="10">
        <f>IF(MATCH_ENGINE!A61="","",MATCH_ENGINE!B61)</f>
        <v/>
      </c>
      <c r="D61" s="16">
        <f>IF(MATCH_ENGINE!A61="","",MATCH_ENGINE!D61)</f>
        <v/>
      </c>
      <c r="E61" s="11">
        <f>IF(MATCH_ENGINE!A61="","",MATCH_ENGINE!F61)</f>
        <v/>
      </c>
      <c r="F61" s="10">
        <f>IF(MATCH_ENGINE!A61="","",MATCH_ENGINE!I61)</f>
        <v/>
      </c>
      <c r="G61" s="16">
        <f>IF(MATCH_ENGINE!H61="","",IF(MATCH_ENGINE!F61="IN",MATCH_ENGINE!J61,""))</f>
        <v/>
      </c>
      <c r="H61" s="16">
        <f>IF(MATCH_ENGINE!H61="","",IF(MATCH_ENGINE!F61="OUT",MATCH_ENGINE!J61,""))</f>
        <v/>
      </c>
      <c r="I61" s="16">
        <f>IF(MATCH_ENGINE!H61="","",MATCH_ENGINE!J61)</f>
        <v/>
      </c>
      <c r="J61" s="12">
        <f>IF(MATCH_ENGINE!A61="","",MATCH_ENGINE!K61)</f>
        <v/>
      </c>
      <c r="K61" s="11">
        <f>IF(MATCH_ENGINE!A61="","",MATCH_ENGINE!L61)</f>
        <v/>
      </c>
      <c r="L61" s="17">
        <f>IF(MATCH_ENGINE!A61="","",MATCH_ENGINE!M61)</f>
        <v/>
      </c>
      <c r="M61" s="11">
        <f>IF(MATCH_ENGINE!A61="","",GL_CLEAN!F61)</f>
        <v/>
      </c>
      <c r="N61" s="11">
        <f>IF(MATCH_ENGINE!A61="","",GL_CLEAN!G61)</f>
        <v/>
      </c>
      <c r="O61" s="11">
        <f>IF(MATCH_ENGINE!H61="","",INDEX(BANK_CLEAN!$C$2:$C$1001,MATCH_ENGINE!H61))</f>
        <v/>
      </c>
      <c r="P61" s="11" t="inlineStr"/>
    </row>
    <row r="62">
      <c r="A62" s="11">
        <f>IF(MATCH_ENGINE!A62="","",MATCH_ENGINE!N62)</f>
        <v/>
      </c>
      <c r="B62" s="11">
        <f>IF(MATCH_ENGINE!A62="","",MATCH_ENGINE!C62)</f>
        <v/>
      </c>
      <c r="C62" s="10">
        <f>IF(MATCH_ENGINE!A62="","",MATCH_ENGINE!B62)</f>
        <v/>
      </c>
      <c r="D62" s="16">
        <f>IF(MATCH_ENGINE!A62="","",MATCH_ENGINE!D62)</f>
        <v/>
      </c>
      <c r="E62" s="11">
        <f>IF(MATCH_ENGINE!A62="","",MATCH_ENGINE!F62)</f>
        <v/>
      </c>
      <c r="F62" s="10">
        <f>IF(MATCH_ENGINE!A62="","",MATCH_ENGINE!I62)</f>
        <v/>
      </c>
      <c r="G62" s="16">
        <f>IF(MATCH_ENGINE!H62="","",IF(MATCH_ENGINE!F62="IN",MATCH_ENGINE!J62,""))</f>
        <v/>
      </c>
      <c r="H62" s="16">
        <f>IF(MATCH_ENGINE!H62="","",IF(MATCH_ENGINE!F62="OUT",MATCH_ENGINE!J62,""))</f>
        <v/>
      </c>
      <c r="I62" s="16">
        <f>IF(MATCH_ENGINE!H62="","",MATCH_ENGINE!J62)</f>
        <v/>
      </c>
      <c r="J62" s="12">
        <f>IF(MATCH_ENGINE!A62="","",MATCH_ENGINE!K62)</f>
        <v/>
      </c>
      <c r="K62" s="11">
        <f>IF(MATCH_ENGINE!A62="","",MATCH_ENGINE!L62)</f>
        <v/>
      </c>
      <c r="L62" s="17">
        <f>IF(MATCH_ENGINE!A62="","",MATCH_ENGINE!M62)</f>
        <v/>
      </c>
      <c r="M62" s="11">
        <f>IF(MATCH_ENGINE!A62="","",GL_CLEAN!F62)</f>
        <v/>
      </c>
      <c r="N62" s="11">
        <f>IF(MATCH_ENGINE!A62="","",GL_CLEAN!G62)</f>
        <v/>
      </c>
      <c r="O62" s="11">
        <f>IF(MATCH_ENGINE!H62="","",INDEX(BANK_CLEAN!$C$2:$C$1001,MATCH_ENGINE!H62))</f>
        <v/>
      </c>
      <c r="P62" s="11" t="inlineStr"/>
    </row>
    <row r="63">
      <c r="A63" s="11">
        <f>IF(MATCH_ENGINE!A63="","",MATCH_ENGINE!N63)</f>
        <v/>
      </c>
      <c r="B63" s="11">
        <f>IF(MATCH_ENGINE!A63="","",MATCH_ENGINE!C63)</f>
        <v/>
      </c>
      <c r="C63" s="10">
        <f>IF(MATCH_ENGINE!A63="","",MATCH_ENGINE!B63)</f>
        <v/>
      </c>
      <c r="D63" s="16">
        <f>IF(MATCH_ENGINE!A63="","",MATCH_ENGINE!D63)</f>
        <v/>
      </c>
      <c r="E63" s="11">
        <f>IF(MATCH_ENGINE!A63="","",MATCH_ENGINE!F63)</f>
        <v/>
      </c>
      <c r="F63" s="10">
        <f>IF(MATCH_ENGINE!A63="","",MATCH_ENGINE!I63)</f>
        <v/>
      </c>
      <c r="G63" s="16">
        <f>IF(MATCH_ENGINE!H63="","",IF(MATCH_ENGINE!F63="IN",MATCH_ENGINE!J63,""))</f>
        <v/>
      </c>
      <c r="H63" s="16">
        <f>IF(MATCH_ENGINE!H63="","",IF(MATCH_ENGINE!F63="OUT",MATCH_ENGINE!J63,""))</f>
        <v/>
      </c>
      <c r="I63" s="16">
        <f>IF(MATCH_ENGINE!H63="","",MATCH_ENGINE!J63)</f>
        <v/>
      </c>
      <c r="J63" s="12">
        <f>IF(MATCH_ENGINE!A63="","",MATCH_ENGINE!K63)</f>
        <v/>
      </c>
      <c r="K63" s="11">
        <f>IF(MATCH_ENGINE!A63="","",MATCH_ENGINE!L63)</f>
        <v/>
      </c>
      <c r="L63" s="17">
        <f>IF(MATCH_ENGINE!A63="","",MATCH_ENGINE!M63)</f>
        <v/>
      </c>
      <c r="M63" s="11">
        <f>IF(MATCH_ENGINE!A63="","",GL_CLEAN!F63)</f>
        <v/>
      </c>
      <c r="N63" s="11">
        <f>IF(MATCH_ENGINE!A63="","",GL_CLEAN!G63)</f>
        <v/>
      </c>
      <c r="O63" s="11">
        <f>IF(MATCH_ENGINE!H63="","",INDEX(BANK_CLEAN!$C$2:$C$1001,MATCH_ENGINE!H63))</f>
        <v/>
      </c>
      <c r="P63" s="11" t="inlineStr"/>
    </row>
    <row r="64">
      <c r="A64" s="11">
        <f>IF(MATCH_ENGINE!A64="","",MATCH_ENGINE!N64)</f>
        <v/>
      </c>
      <c r="B64" s="11">
        <f>IF(MATCH_ENGINE!A64="","",MATCH_ENGINE!C64)</f>
        <v/>
      </c>
      <c r="C64" s="10">
        <f>IF(MATCH_ENGINE!A64="","",MATCH_ENGINE!B64)</f>
        <v/>
      </c>
      <c r="D64" s="16">
        <f>IF(MATCH_ENGINE!A64="","",MATCH_ENGINE!D64)</f>
        <v/>
      </c>
      <c r="E64" s="11">
        <f>IF(MATCH_ENGINE!A64="","",MATCH_ENGINE!F64)</f>
        <v/>
      </c>
      <c r="F64" s="10">
        <f>IF(MATCH_ENGINE!A64="","",MATCH_ENGINE!I64)</f>
        <v/>
      </c>
      <c r="G64" s="16">
        <f>IF(MATCH_ENGINE!H64="","",IF(MATCH_ENGINE!F64="IN",MATCH_ENGINE!J64,""))</f>
        <v/>
      </c>
      <c r="H64" s="16">
        <f>IF(MATCH_ENGINE!H64="","",IF(MATCH_ENGINE!F64="OUT",MATCH_ENGINE!J64,""))</f>
        <v/>
      </c>
      <c r="I64" s="16">
        <f>IF(MATCH_ENGINE!H64="","",MATCH_ENGINE!J64)</f>
        <v/>
      </c>
      <c r="J64" s="12">
        <f>IF(MATCH_ENGINE!A64="","",MATCH_ENGINE!K64)</f>
        <v/>
      </c>
      <c r="K64" s="11">
        <f>IF(MATCH_ENGINE!A64="","",MATCH_ENGINE!L64)</f>
        <v/>
      </c>
      <c r="L64" s="17">
        <f>IF(MATCH_ENGINE!A64="","",MATCH_ENGINE!M64)</f>
        <v/>
      </c>
      <c r="M64" s="11">
        <f>IF(MATCH_ENGINE!A64="","",GL_CLEAN!F64)</f>
        <v/>
      </c>
      <c r="N64" s="11">
        <f>IF(MATCH_ENGINE!A64="","",GL_CLEAN!G64)</f>
        <v/>
      </c>
      <c r="O64" s="11">
        <f>IF(MATCH_ENGINE!H64="","",INDEX(BANK_CLEAN!$C$2:$C$1001,MATCH_ENGINE!H64))</f>
        <v/>
      </c>
      <c r="P64" s="11" t="inlineStr"/>
    </row>
    <row r="65">
      <c r="A65" s="11">
        <f>IF(MATCH_ENGINE!A65="","",MATCH_ENGINE!N65)</f>
        <v/>
      </c>
      <c r="B65" s="11">
        <f>IF(MATCH_ENGINE!A65="","",MATCH_ENGINE!C65)</f>
        <v/>
      </c>
      <c r="C65" s="10">
        <f>IF(MATCH_ENGINE!A65="","",MATCH_ENGINE!B65)</f>
        <v/>
      </c>
      <c r="D65" s="16">
        <f>IF(MATCH_ENGINE!A65="","",MATCH_ENGINE!D65)</f>
        <v/>
      </c>
      <c r="E65" s="11">
        <f>IF(MATCH_ENGINE!A65="","",MATCH_ENGINE!F65)</f>
        <v/>
      </c>
      <c r="F65" s="10">
        <f>IF(MATCH_ENGINE!A65="","",MATCH_ENGINE!I65)</f>
        <v/>
      </c>
      <c r="G65" s="16">
        <f>IF(MATCH_ENGINE!H65="","",IF(MATCH_ENGINE!F65="IN",MATCH_ENGINE!J65,""))</f>
        <v/>
      </c>
      <c r="H65" s="16">
        <f>IF(MATCH_ENGINE!H65="","",IF(MATCH_ENGINE!F65="OUT",MATCH_ENGINE!J65,""))</f>
        <v/>
      </c>
      <c r="I65" s="16">
        <f>IF(MATCH_ENGINE!H65="","",MATCH_ENGINE!J65)</f>
        <v/>
      </c>
      <c r="J65" s="12">
        <f>IF(MATCH_ENGINE!A65="","",MATCH_ENGINE!K65)</f>
        <v/>
      </c>
      <c r="K65" s="11">
        <f>IF(MATCH_ENGINE!A65="","",MATCH_ENGINE!L65)</f>
        <v/>
      </c>
      <c r="L65" s="17">
        <f>IF(MATCH_ENGINE!A65="","",MATCH_ENGINE!M65)</f>
        <v/>
      </c>
      <c r="M65" s="11">
        <f>IF(MATCH_ENGINE!A65="","",GL_CLEAN!F65)</f>
        <v/>
      </c>
      <c r="N65" s="11">
        <f>IF(MATCH_ENGINE!A65="","",GL_CLEAN!G65)</f>
        <v/>
      </c>
      <c r="O65" s="11">
        <f>IF(MATCH_ENGINE!H65="","",INDEX(BANK_CLEAN!$C$2:$C$1001,MATCH_ENGINE!H65))</f>
        <v/>
      </c>
      <c r="P65" s="11" t="inlineStr"/>
    </row>
    <row r="66">
      <c r="A66" s="11">
        <f>IF(MATCH_ENGINE!A66="","",MATCH_ENGINE!N66)</f>
        <v/>
      </c>
      <c r="B66" s="11">
        <f>IF(MATCH_ENGINE!A66="","",MATCH_ENGINE!C66)</f>
        <v/>
      </c>
      <c r="C66" s="10">
        <f>IF(MATCH_ENGINE!A66="","",MATCH_ENGINE!B66)</f>
        <v/>
      </c>
      <c r="D66" s="16">
        <f>IF(MATCH_ENGINE!A66="","",MATCH_ENGINE!D66)</f>
        <v/>
      </c>
      <c r="E66" s="11">
        <f>IF(MATCH_ENGINE!A66="","",MATCH_ENGINE!F66)</f>
        <v/>
      </c>
      <c r="F66" s="10">
        <f>IF(MATCH_ENGINE!A66="","",MATCH_ENGINE!I66)</f>
        <v/>
      </c>
      <c r="G66" s="16">
        <f>IF(MATCH_ENGINE!H66="","",IF(MATCH_ENGINE!F66="IN",MATCH_ENGINE!J66,""))</f>
        <v/>
      </c>
      <c r="H66" s="16">
        <f>IF(MATCH_ENGINE!H66="","",IF(MATCH_ENGINE!F66="OUT",MATCH_ENGINE!J66,""))</f>
        <v/>
      </c>
      <c r="I66" s="16">
        <f>IF(MATCH_ENGINE!H66="","",MATCH_ENGINE!J66)</f>
        <v/>
      </c>
      <c r="J66" s="12">
        <f>IF(MATCH_ENGINE!A66="","",MATCH_ENGINE!K66)</f>
        <v/>
      </c>
      <c r="K66" s="11">
        <f>IF(MATCH_ENGINE!A66="","",MATCH_ENGINE!L66)</f>
        <v/>
      </c>
      <c r="L66" s="17">
        <f>IF(MATCH_ENGINE!A66="","",MATCH_ENGINE!M66)</f>
        <v/>
      </c>
      <c r="M66" s="11">
        <f>IF(MATCH_ENGINE!A66="","",GL_CLEAN!F66)</f>
        <v/>
      </c>
      <c r="N66" s="11">
        <f>IF(MATCH_ENGINE!A66="","",GL_CLEAN!G66)</f>
        <v/>
      </c>
      <c r="O66" s="11">
        <f>IF(MATCH_ENGINE!H66="","",INDEX(BANK_CLEAN!$C$2:$C$1001,MATCH_ENGINE!H66))</f>
        <v/>
      </c>
      <c r="P66" s="11" t="inlineStr"/>
    </row>
    <row r="67">
      <c r="A67" s="11">
        <f>IF(MATCH_ENGINE!A67="","",MATCH_ENGINE!N67)</f>
        <v/>
      </c>
      <c r="B67" s="11">
        <f>IF(MATCH_ENGINE!A67="","",MATCH_ENGINE!C67)</f>
        <v/>
      </c>
      <c r="C67" s="10">
        <f>IF(MATCH_ENGINE!A67="","",MATCH_ENGINE!B67)</f>
        <v/>
      </c>
      <c r="D67" s="16">
        <f>IF(MATCH_ENGINE!A67="","",MATCH_ENGINE!D67)</f>
        <v/>
      </c>
      <c r="E67" s="11">
        <f>IF(MATCH_ENGINE!A67="","",MATCH_ENGINE!F67)</f>
        <v/>
      </c>
      <c r="F67" s="10">
        <f>IF(MATCH_ENGINE!A67="","",MATCH_ENGINE!I67)</f>
        <v/>
      </c>
      <c r="G67" s="16">
        <f>IF(MATCH_ENGINE!H67="","",IF(MATCH_ENGINE!F67="IN",MATCH_ENGINE!J67,""))</f>
        <v/>
      </c>
      <c r="H67" s="16">
        <f>IF(MATCH_ENGINE!H67="","",IF(MATCH_ENGINE!F67="OUT",MATCH_ENGINE!J67,""))</f>
        <v/>
      </c>
      <c r="I67" s="16">
        <f>IF(MATCH_ENGINE!H67="","",MATCH_ENGINE!J67)</f>
        <v/>
      </c>
      <c r="J67" s="12">
        <f>IF(MATCH_ENGINE!A67="","",MATCH_ENGINE!K67)</f>
        <v/>
      </c>
      <c r="K67" s="11">
        <f>IF(MATCH_ENGINE!A67="","",MATCH_ENGINE!L67)</f>
        <v/>
      </c>
      <c r="L67" s="17">
        <f>IF(MATCH_ENGINE!A67="","",MATCH_ENGINE!M67)</f>
        <v/>
      </c>
      <c r="M67" s="11">
        <f>IF(MATCH_ENGINE!A67="","",GL_CLEAN!F67)</f>
        <v/>
      </c>
      <c r="N67" s="11">
        <f>IF(MATCH_ENGINE!A67="","",GL_CLEAN!G67)</f>
        <v/>
      </c>
      <c r="O67" s="11">
        <f>IF(MATCH_ENGINE!H67="","",INDEX(BANK_CLEAN!$C$2:$C$1001,MATCH_ENGINE!H67))</f>
        <v/>
      </c>
      <c r="P67" s="11" t="inlineStr"/>
    </row>
    <row r="68">
      <c r="A68" s="11">
        <f>IF(MATCH_ENGINE!A68="","",MATCH_ENGINE!N68)</f>
        <v/>
      </c>
      <c r="B68" s="11">
        <f>IF(MATCH_ENGINE!A68="","",MATCH_ENGINE!C68)</f>
        <v/>
      </c>
      <c r="C68" s="10">
        <f>IF(MATCH_ENGINE!A68="","",MATCH_ENGINE!B68)</f>
        <v/>
      </c>
      <c r="D68" s="16">
        <f>IF(MATCH_ENGINE!A68="","",MATCH_ENGINE!D68)</f>
        <v/>
      </c>
      <c r="E68" s="11">
        <f>IF(MATCH_ENGINE!A68="","",MATCH_ENGINE!F68)</f>
        <v/>
      </c>
      <c r="F68" s="10">
        <f>IF(MATCH_ENGINE!A68="","",MATCH_ENGINE!I68)</f>
        <v/>
      </c>
      <c r="G68" s="16">
        <f>IF(MATCH_ENGINE!H68="","",IF(MATCH_ENGINE!F68="IN",MATCH_ENGINE!J68,""))</f>
        <v/>
      </c>
      <c r="H68" s="16">
        <f>IF(MATCH_ENGINE!H68="","",IF(MATCH_ENGINE!F68="OUT",MATCH_ENGINE!J68,""))</f>
        <v/>
      </c>
      <c r="I68" s="16">
        <f>IF(MATCH_ENGINE!H68="","",MATCH_ENGINE!J68)</f>
        <v/>
      </c>
      <c r="J68" s="12">
        <f>IF(MATCH_ENGINE!A68="","",MATCH_ENGINE!K68)</f>
        <v/>
      </c>
      <c r="K68" s="11">
        <f>IF(MATCH_ENGINE!A68="","",MATCH_ENGINE!L68)</f>
        <v/>
      </c>
      <c r="L68" s="17">
        <f>IF(MATCH_ENGINE!A68="","",MATCH_ENGINE!M68)</f>
        <v/>
      </c>
      <c r="M68" s="11">
        <f>IF(MATCH_ENGINE!A68="","",GL_CLEAN!F68)</f>
        <v/>
      </c>
      <c r="N68" s="11">
        <f>IF(MATCH_ENGINE!A68="","",GL_CLEAN!G68)</f>
        <v/>
      </c>
      <c r="O68" s="11">
        <f>IF(MATCH_ENGINE!H68="","",INDEX(BANK_CLEAN!$C$2:$C$1001,MATCH_ENGINE!H68))</f>
        <v/>
      </c>
      <c r="P68" s="11" t="inlineStr"/>
    </row>
    <row r="69">
      <c r="A69" s="11">
        <f>IF(MATCH_ENGINE!A69="","",MATCH_ENGINE!N69)</f>
        <v/>
      </c>
      <c r="B69" s="11">
        <f>IF(MATCH_ENGINE!A69="","",MATCH_ENGINE!C69)</f>
        <v/>
      </c>
      <c r="C69" s="10">
        <f>IF(MATCH_ENGINE!A69="","",MATCH_ENGINE!B69)</f>
        <v/>
      </c>
      <c r="D69" s="16">
        <f>IF(MATCH_ENGINE!A69="","",MATCH_ENGINE!D69)</f>
        <v/>
      </c>
      <c r="E69" s="11">
        <f>IF(MATCH_ENGINE!A69="","",MATCH_ENGINE!F69)</f>
        <v/>
      </c>
      <c r="F69" s="10">
        <f>IF(MATCH_ENGINE!A69="","",MATCH_ENGINE!I69)</f>
        <v/>
      </c>
      <c r="G69" s="16">
        <f>IF(MATCH_ENGINE!H69="","",IF(MATCH_ENGINE!F69="IN",MATCH_ENGINE!J69,""))</f>
        <v/>
      </c>
      <c r="H69" s="16">
        <f>IF(MATCH_ENGINE!H69="","",IF(MATCH_ENGINE!F69="OUT",MATCH_ENGINE!J69,""))</f>
        <v/>
      </c>
      <c r="I69" s="16">
        <f>IF(MATCH_ENGINE!H69="","",MATCH_ENGINE!J69)</f>
        <v/>
      </c>
      <c r="J69" s="12">
        <f>IF(MATCH_ENGINE!A69="","",MATCH_ENGINE!K69)</f>
        <v/>
      </c>
      <c r="K69" s="11">
        <f>IF(MATCH_ENGINE!A69="","",MATCH_ENGINE!L69)</f>
        <v/>
      </c>
      <c r="L69" s="17">
        <f>IF(MATCH_ENGINE!A69="","",MATCH_ENGINE!M69)</f>
        <v/>
      </c>
      <c r="M69" s="11">
        <f>IF(MATCH_ENGINE!A69="","",GL_CLEAN!F69)</f>
        <v/>
      </c>
      <c r="N69" s="11">
        <f>IF(MATCH_ENGINE!A69="","",GL_CLEAN!G69)</f>
        <v/>
      </c>
      <c r="O69" s="11">
        <f>IF(MATCH_ENGINE!H69="","",INDEX(BANK_CLEAN!$C$2:$C$1001,MATCH_ENGINE!H69))</f>
        <v/>
      </c>
      <c r="P69" s="11" t="inlineStr"/>
    </row>
    <row r="70">
      <c r="A70" s="11">
        <f>IF(MATCH_ENGINE!A70="","",MATCH_ENGINE!N70)</f>
        <v/>
      </c>
      <c r="B70" s="11">
        <f>IF(MATCH_ENGINE!A70="","",MATCH_ENGINE!C70)</f>
        <v/>
      </c>
      <c r="C70" s="10">
        <f>IF(MATCH_ENGINE!A70="","",MATCH_ENGINE!B70)</f>
        <v/>
      </c>
      <c r="D70" s="16">
        <f>IF(MATCH_ENGINE!A70="","",MATCH_ENGINE!D70)</f>
        <v/>
      </c>
      <c r="E70" s="11">
        <f>IF(MATCH_ENGINE!A70="","",MATCH_ENGINE!F70)</f>
        <v/>
      </c>
      <c r="F70" s="10">
        <f>IF(MATCH_ENGINE!A70="","",MATCH_ENGINE!I70)</f>
        <v/>
      </c>
      <c r="G70" s="16">
        <f>IF(MATCH_ENGINE!H70="","",IF(MATCH_ENGINE!F70="IN",MATCH_ENGINE!J70,""))</f>
        <v/>
      </c>
      <c r="H70" s="16">
        <f>IF(MATCH_ENGINE!H70="","",IF(MATCH_ENGINE!F70="OUT",MATCH_ENGINE!J70,""))</f>
        <v/>
      </c>
      <c r="I70" s="16">
        <f>IF(MATCH_ENGINE!H70="","",MATCH_ENGINE!J70)</f>
        <v/>
      </c>
      <c r="J70" s="12">
        <f>IF(MATCH_ENGINE!A70="","",MATCH_ENGINE!K70)</f>
        <v/>
      </c>
      <c r="K70" s="11">
        <f>IF(MATCH_ENGINE!A70="","",MATCH_ENGINE!L70)</f>
        <v/>
      </c>
      <c r="L70" s="17">
        <f>IF(MATCH_ENGINE!A70="","",MATCH_ENGINE!M70)</f>
        <v/>
      </c>
      <c r="M70" s="11">
        <f>IF(MATCH_ENGINE!A70="","",GL_CLEAN!F70)</f>
        <v/>
      </c>
      <c r="N70" s="11">
        <f>IF(MATCH_ENGINE!A70="","",GL_CLEAN!G70)</f>
        <v/>
      </c>
      <c r="O70" s="11">
        <f>IF(MATCH_ENGINE!H70="","",INDEX(BANK_CLEAN!$C$2:$C$1001,MATCH_ENGINE!H70))</f>
        <v/>
      </c>
      <c r="P70" s="11" t="inlineStr"/>
    </row>
    <row r="71">
      <c r="A71" s="11">
        <f>IF(MATCH_ENGINE!A71="","",MATCH_ENGINE!N71)</f>
        <v/>
      </c>
      <c r="B71" s="11">
        <f>IF(MATCH_ENGINE!A71="","",MATCH_ENGINE!C71)</f>
        <v/>
      </c>
      <c r="C71" s="10">
        <f>IF(MATCH_ENGINE!A71="","",MATCH_ENGINE!B71)</f>
        <v/>
      </c>
      <c r="D71" s="16">
        <f>IF(MATCH_ENGINE!A71="","",MATCH_ENGINE!D71)</f>
        <v/>
      </c>
      <c r="E71" s="11">
        <f>IF(MATCH_ENGINE!A71="","",MATCH_ENGINE!F71)</f>
        <v/>
      </c>
      <c r="F71" s="10">
        <f>IF(MATCH_ENGINE!A71="","",MATCH_ENGINE!I71)</f>
        <v/>
      </c>
      <c r="G71" s="16">
        <f>IF(MATCH_ENGINE!H71="","",IF(MATCH_ENGINE!F71="IN",MATCH_ENGINE!J71,""))</f>
        <v/>
      </c>
      <c r="H71" s="16">
        <f>IF(MATCH_ENGINE!H71="","",IF(MATCH_ENGINE!F71="OUT",MATCH_ENGINE!J71,""))</f>
        <v/>
      </c>
      <c r="I71" s="16">
        <f>IF(MATCH_ENGINE!H71="","",MATCH_ENGINE!J71)</f>
        <v/>
      </c>
      <c r="J71" s="12">
        <f>IF(MATCH_ENGINE!A71="","",MATCH_ENGINE!K71)</f>
        <v/>
      </c>
      <c r="K71" s="11">
        <f>IF(MATCH_ENGINE!A71="","",MATCH_ENGINE!L71)</f>
        <v/>
      </c>
      <c r="L71" s="17">
        <f>IF(MATCH_ENGINE!A71="","",MATCH_ENGINE!M71)</f>
        <v/>
      </c>
      <c r="M71" s="11">
        <f>IF(MATCH_ENGINE!A71="","",GL_CLEAN!F71)</f>
        <v/>
      </c>
      <c r="N71" s="11">
        <f>IF(MATCH_ENGINE!A71="","",GL_CLEAN!G71)</f>
        <v/>
      </c>
      <c r="O71" s="11">
        <f>IF(MATCH_ENGINE!H71="","",INDEX(BANK_CLEAN!$C$2:$C$1001,MATCH_ENGINE!H71))</f>
        <v/>
      </c>
      <c r="P71" s="11" t="inlineStr"/>
    </row>
    <row r="72">
      <c r="A72" s="11">
        <f>IF(MATCH_ENGINE!A72="","",MATCH_ENGINE!N72)</f>
        <v/>
      </c>
      <c r="B72" s="11">
        <f>IF(MATCH_ENGINE!A72="","",MATCH_ENGINE!C72)</f>
        <v/>
      </c>
      <c r="C72" s="10">
        <f>IF(MATCH_ENGINE!A72="","",MATCH_ENGINE!B72)</f>
        <v/>
      </c>
      <c r="D72" s="16">
        <f>IF(MATCH_ENGINE!A72="","",MATCH_ENGINE!D72)</f>
        <v/>
      </c>
      <c r="E72" s="11">
        <f>IF(MATCH_ENGINE!A72="","",MATCH_ENGINE!F72)</f>
        <v/>
      </c>
      <c r="F72" s="10">
        <f>IF(MATCH_ENGINE!A72="","",MATCH_ENGINE!I72)</f>
        <v/>
      </c>
      <c r="G72" s="16">
        <f>IF(MATCH_ENGINE!H72="","",IF(MATCH_ENGINE!F72="IN",MATCH_ENGINE!J72,""))</f>
        <v/>
      </c>
      <c r="H72" s="16">
        <f>IF(MATCH_ENGINE!H72="","",IF(MATCH_ENGINE!F72="OUT",MATCH_ENGINE!J72,""))</f>
        <v/>
      </c>
      <c r="I72" s="16">
        <f>IF(MATCH_ENGINE!H72="","",MATCH_ENGINE!J72)</f>
        <v/>
      </c>
      <c r="J72" s="12">
        <f>IF(MATCH_ENGINE!A72="","",MATCH_ENGINE!K72)</f>
        <v/>
      </c>
      <c r="K72" s="11">
        <f>IF(MATCH_ENGINE!A72="","",MATCH_ENGINE!L72)</f>
        <v/>
      </c>
      <c r="L72" s="17">
        <f>IF(MATCH_ENGINE!A72="","",MATCH_ENGINE!M72)</f>
        <v/>
      </c>
      <c r="M72" s="11">
        <f>IF(MATCH_ENGINE!A72="","",GL_CLEAN!F72)</f>
        <v/>
      </c>
      <c r="N72" s="11">
        <f>IF(MATCH_ENGINE!A72="","",GL_CLEAN!G72)</f>
        <v/>
      </c>
      <c r="O72" s="11">
        <f>IF(MATCH_ENGINE!H72="","",INDEX(BANK_CLEAN!$C$2:$C$1001,MATCH_ENGINE!H72))</f>
        <v/>
      </c>
      <c r="P72" s="11" t="inlineStr"/>
    </row>
    <row r="73">
      <c r="A73" s="11">
        <f>IF(MATCH_ENGINE!A73="","",MATCH_ENGINE!N73)</f>
        <v/>
      </c>
      <c r="B73" s="11">
        <f>IF(MATCH_ENGINE!A73="","",MATCH_ENGINE!C73)</f>
        <v/>
      </c>
      <c r="C73" s="10">
        <f>IF(MATCH_ENGINE!A73="","",MATCH_ENGINE!B73)</f>
        <v/>
      </c>
      <c r="D73" s="16">
        <f>IF(MATCH_ENGINE!A73="","",MATCH_ENGINE!D73)</f>
        <v/>
      </c>
      <c r="E73" s="11">
        <f>IF(MATCH_ENGINE!A73="","",MATCH_ENGINE!F73)</f>
        <v/>
      </c>
      <c r="F73" s="10">
        <f>IF(MATCH_ENGINE!A73="","",MATCH_ENGINE!I73)</f>
        <v/>
      </c>
      <c r="G73" s="16">
        <f>IF(MATCH_ENGINE!H73="","",IF(MATCH_ENGINE!F73="IN",MATCH_ENGINE!J73,""))</f>
        <v/>
      </c>
      <c r="H73" s="16">
        <f>IF(MATCH_ENGINE!H73="","",IF(MATCH_ENGINE!F73="OUT",MATCH_ENGINE!J73,""))</f>
        <v/>
      </c>
      <c r="I73" s="16">
        <f>IF(MATCH_ENGINE!H73="","",MATCH_ENGINE!J73)</f>
        <v/>
      </c>
      <c r="J73" s="12">
        <f>IF(MATCH_ENGINE!A73="","",MATCH_ENGINE!K73)</f>
        <v/>
      </c>
      <c r="K73" s="11">
        <f>IF(MATCH_ENGINE!A73="","",MATCH_ENGINE!L73)</f>
        <v/>
      </c>
      <c r="L73" s="17">
        <f>IF(MATCH_ENGINE!A73="","",MATCH_ENGINE!M73)</f>
        <v/>
      </c>
      <c r="M73" s="11">
        <f>IF(MATCH_ENGINE!A73="","",GL_CLEAN!F73)</f>
        <v/>
      </c>
      <c r="N73" s="11">
        <f>IF(MATCH_ENGINE!A73="","",GL_CLEAN!G73)</f>
        <v/>
      </c>
      <c r="O73" s="11">
        <f>IF(MATCH_ENGINE!H73="","",INDEX(BANK_CLEAN!$C$2:$C$1001,MATCH_ENGINE!H73))</f>
        <v/>
      </c>
      <c r="P73" s="11" t="inlineStr"/>
    </row>
    <row r="74">
      <c r="A74" s="11">
        <f>IF(MATCH_ENGINE!A74="","",MATCH_ENGINE!N74)</f>
        <v/>
      </c>
      <c r="B74" s="11">
        <f>IF(MATCH_ENGINE!A74="","",MATCH_ENGINE!C74)</f>
        <v/>
      </c>
      <c r="C74" s="10">
        <f>IF(MATCH_ENGINE!A74="","",MATCH_ENGINE!B74)</f>
        <v/>
      </c>
      <c r="D74" s="16">
        <f>IF(MATCH_ENGINE!A74="","",MATCH_ENGINE!D74)</f>
        <v/>
      </c>
      <c r="E74" s="11">
        <f>IF(MATCH_ENGINE!A74="","",MATCH_ENGINE!F74)</f>
        <v/>
      </c>
      <c r="F74" s="10">
        <f>IF(MATCH_ENGINE!A74="","",MATCH_ENGINE!I74)</f>
        <v/>
      </c>
      <c r="G74" s="16">
        <f>IF(MATCH_ENGINE!H74="","",IF(MATCH_ENGINE!F74="IN",MATCH_ENGINE!J74,""))</f>
        <v/>
      </c>
      <c r="H74" s="16">
        <f>IF(MATCH_ENGINE!H74="","",IF(MATCH_ENGINE!F74="OUT",MATCH_ENGINE!J74,""))</f>
        <v/>
      </c>
      <c r="I74" s="16">
        <f>IF(MATCH_ENGINE!H74="","",MATCH_ENGINE!J74)</f>
        <v/>
      </c>
      <c r="J74" s="12">
        <f>IF(MATCH_ENGINE!A74="","",MATCH_ENGINE!K74)</f>
        <v/>
      </c>
      <c r="K74" s="11">
        <f>IF(MATCH_ENGINE!A74="","",MATCH_ENGINE!L74)</f>
        <v/>
      </c>
      <c r="L74" s="17">
        <f>IF(MATCH_ENGINE!A74="","",MATCH_ENGINE!M74)</f>
        <v/>
      </c>
      <c r="M74" s="11">
        <f>IF(MATCH_ENGINE!A74="","",GL_CLEAN!F74)</f>
        <v/>
      </c>
      <c r="N74" s="11">
        <f>IF(MATCH_ENGINE!A74="","",GL_CLEAN!G74)</f>
        <v/>
      </c>
      <c r="O74" s="11">
        <f>IF(MATCH_ENGINE!H74="","",INDEX(BANK_CLEAN!$C$2:$C$1001,MATCH_ENGINE!H74))</f>
        <v/>
      </c>
      <c r="P74" s="11" t="inlineStr"/>
    </row>
    <row r="75">
      <c r="A75" s="11">
        <f>IF(MATCH_ENGINE!A75="","",MATCH_ENGINE!N75)</f>
        <v/>
      </c>
      <c r="B75" s="11">
        <f>IF(MATCH_ENGINE!A75="","",MATCH_ENGINE!C75)</f>
        <v/>
      </c>
      <c r="C75" s="10">
        <f>IF(MATCH_ENGINE!A75="","",MATCH_ENGINE!B75)</f>
        <v/>
      </c>
      <c r="D75" s="16">
        <f>IF(MATCH_ENGINE!A75="","",MATCH_ENGINE!D75)</f>
        <v/>
      </c>
      <c r="E75" s="11">
        <f>IF(MATCH_ENGINE!A75="","",MATCH_ENGINE!F75)</f>
        <v/>
      </c>
      <c r="F75" s="10">
        <f>IF(MATCH_ENGINE!A75="","",MATCH_ENGINE!I75)</f>
        <v/>
      </c>
      <c r="G75" s="16">
        <f>IF(MATCH_ENGINE!H75="","",IF(MATCH_ENGINE!F75="IN",MATCH_ENGINE!J75,""))</f>
        <v/>
      </c>
      <c r="H75" s="16">
        <f>IF(MATCH_ENGINE!H75="","",IF(MATCH_ENGINE!F75="OUT",MATCH_ENGINE!J75,""))</f>
        <v/>
      </c>
      <c r="I75" s="16">
        <f>IF(MATCH_ENGINE!H75="","",MATCH_ENGINE!J75)</f>
        <v/>
      </c>
      <c r="J75" s="12">
        <f>IF(MATCH_ENGINE!A75="","",MATCH_ENGINE!K75)</f>
        <v/>
      </c>
      <c r="K75" s="11">
        <f>IF(MATCH_ENGINE!A75="","",MATCH_ENGINE!L75)</f>
        <v/>
      </c>
      <c r="L75" s="17">
        <f>IF(MATCH_ENGINE!A75="","",MATCH_ENGINE!M75)</f>
        <v/>
      </c>
      <c r="M75" s="11">
        <f>IF(MATCH_ENGINE!A75="","",GL_CLEAN!F75)</f>
        <v/>
      </c>
      <c r="N75" s="11">
        <f>IF(MATCH_ENGINE!A75="","",GL_CLEAN!G75)</f>
        <v/>
      </c>
      <c r="O75" s="11">
        <f>IF(MATCH_ENGINE!H75="","",INDEX(BANK_CLEAN!$C$2:$C$1001,MATCH_ENGINE!H75))</f>
        <v/>
      </c>
      <c r="P75" s="11" t="inlineStr"/>
    </row>
    <row r="76">
      <c r="A76" s="11">
        <f>IF(MATCH_ENGINE!A76="","",MATCH_ENGINE!N76)</f>
        <v/>
      </c>
      <c r="B76" s="11">
        <f>IF(MATCH_ENGINE!A76="","",MATCH_ENGINE!C76)</f>
        <v/>
      </c>
      <c r="C76" s="10">
        <f>IF(MATCH_ENGINE!A76="","",MATCH_ENGINE!B76)</f>
        <v/>
      </c>
      <c r="D76" s="16">
        <f>IF(MATCH_ENGINE!A76="","",MATCH_ENGINE!D76)</f>
        <v/>
      </c>
      <c r="E76" s="11">
        <f>IF(MATCH_ENGINE!A76="","",MATCH_ENGINE!F76)</f>
        <v/>
      </c>
      <c r="F76" s="10">
        <f>IF(MATCH_ENGINE!A76="","",MATCH_ENGINE!I76)</f>
        <v/>
      </c>
      <c r="G76" s="16">
        <f>IF(MATCH_ENGINE!H76="","",IF(MATCH_ENGINE!F76="IN",MATCH_ENGINE!J76,""))</f>
        <v/>
      </c>
      <c r="H76" s="16">
        <f>IF(MATCH_ENGINE!H76="","",IF(MATCH_ENGINE!F76="OUT",MATCH_ENGINE!J76,""))</f>
        <v/>
      </c>
      <c r="I76" s="16">
        <f>IF(MATCH_ENGINE!H76="","",MATCH_ENGINE!J76)</f>
        <v/>
      </c>
      <c r="J76" s="12">
        <f>IF(MATCH_ENGINE!A76="","",MATCH_ENGINE!K76)</f>
        <v/>
      </c>
      <c r="K76" s="11">
        <f>IF(MATCH_ENGINE!A76="","",MATCH_ENGINE!L76)</f>
        <v/>
      </c>
      <c r="L76" s="17">
        <f>IF(MATCH_ENGINE!A76="","",MATCH_ENGINE!M76)</f>
        <v/>
      </c>
      <c r="M76" s="11">
        <f>IF(MATCH_ENGINE!A76="","",GL_CLEAN!F76)</f>
        <v/>
      </c>
      <c r="N76" s="11">
        <f>IF(MATCH_ENGINE!A76="","",GL_CLEAN!G76)</f>
        <v/>
      </c>
      <c r="O76" s="11">
        <f>IF(MATCH_ENGINE!H76="","",INDEX(BANK_CLEAN!$C$2:$C$1001,MATCH_ENGINE!H76))</f>
        <v/>
      </c>
      <c r="P76" s="11" t="inlineStr"/>
    </row>
    <row r="77">
      <c r="A77" s="11">
        <f>IF(MATCH_ENGINE!A77="","",MATCH_ENGINE!N77)</f>
        <v/>
      </c>
      <c r="B77" s="11">
        <f>IF(MATCH_ENGINE!A77="","",MATCH_ENGINE!C77)</f>
        <v/>
      </c>
      <c r="C77" s="10">
        <f>IF(MATCH_ENGINE!A77="","",MATCH_ENGINE!B77)</f>
        <v/>
      </c>
      <c r="D77" s="16">
        <f>IF(MATCH_ENGINE!A77="","",MATCH_ENGINE!D77)</f>
        <v/>
      </c>
      <c r="E77" s="11">
        <f>IF(MATCH_ENGINE!A77="","",MATCH_ENGINE!F77)</f>
        <v/>
      </c>
      <c r="F77" s="10">
        <f>IF(MATCH_ENGINE!A77="","",MATCH_ENGINE!I77)</f>
        <v/>
      </c>
      <c r="G77" s="16">
        <f>IF(MATCH_ENGINE!H77="","",IF(MATCH_ENGINE!F77="IN",MATCH_ENGINE!J77,""))</f>
        <v/>
      </c>
      <c r="H77" s="16">
        <f>IF(MATCH_ENGINE!H77="","",IF(MATCH_ENGINE!F77="OUT",MATCH_ENGINE!J77,""))</f>
        <v/>
      </c>
      <c r="I77" s="16">
        <f>IF(MATCH_ENGINE!H77="","",MATCH_ENGINE!J77)</f>
        <v/>
      </c>
      <c r="J77" s="12">
        <f>IF(MATCH_ENGINE!A77="","",MATCH_ENGINE!K77)</f>
        <v/>
      </c>
      <c r="K77" s="11">
        <f>IF(MATCH_ENGINE!A77="","",MATCH_ENGINE!L77)</f>
        <v/>
      </c>
      <c r="L77" s="17">
        <f>IF(MATCH_ENGINE!A77="","",MATCH_ENGINE!M77)</f>
        <v/>
      </c>
      <c r="M77" s="11">
        <f>IF(MATCH_ENGINE!A77="","",GL_CLEAN!F77)</f>
        <v/>
      </c>
      <c r="N77" s="11">
        <f>IF(MATCH_ENGINE!A77="","",GL_CLEAN!G77)</f>
        <v/>
      </c>
      <c r="O77" s="11">
        <f>IF(MATCH_ENGINE!H77="","",INDEX(BANK_CLEAN!$C$2:$C$1001,MATCH_ENGINE!H77))</f>
        <v/>
      </c>
      <c r="P77" s="11" t="inlineStr"/>
    </row>
    <row r="78">
      <c r="A78" s="11">
        <f>IF(MATCH_ENGINE!A78="","",MATCH_ENGINE!N78)</f>
        <v/>
      </c>
      <c r="B78" s="11">
        <f>IF(MATCH_ENGINE!A78="","",MATCH_ENGINE!C78)</f>
        <v/>
      </c>
      <c r="C78" s="10">
        <f>IF(MATCH_ENGINE!A78="","",MATCH_ENGINE!B78)</f>
        <v/>
      </c>
      <c r="D78" s="16">
        <f>IF(MATCH_ENGINE!A78="","",MATCH_ENGINE!D78)</f>
        <v/>
      </c>
      <c r="E78" s="11">
        <f>IF(MATCH_ENGINE!A78="","",MATCH_ENGINE!F78)</f>
        <v/>
      </c>
      <c r="F78" s="10">
        <f>IF(MATCH_ENGINE!A78="","",MATCH_ENGINE!I78)</f>
        <v/>
      </c>
      <c r="G78" s="16">
        <f>IF(MATCH_ENGINE!H78="","",IF(MATCH_ENGINE!F78="IN",MATCH_ENGINE!J78,""))</f>
        <v/>
      </c>
      <c r="H78" s="16">
        <f>IF(MATCH_ENGINE!H78="","",IF(MATCH_ENGINE!F78="OUT",MATCH_ENGINE!J78,""))</f>
        <v/>
      </c>
      <c r="I78" s="16">
        <f>IF(MATCH_ENGINE!H78="","",MATCH_ENGINE!J78)</f>
        <v/>
      </c>
      <c r="J78" s="12">
        <f>IF(MATCH_ENGINE!A78="","",MATCH_ENGINE!K78)</f>
        <v/>
      </c>
      <c r="K78" s="11">
        <f>IF(MATCH_ENGINE!A78="","",MATCH_ENGINE!L78)</f>
        <v/>
      </c>
      <c r="L78" s="17">
        <f>IF(MATCH_ENGINE!A78="","",MATCH_ENGINE!M78)</f>
        <v/>
      </c>
      <c r="M78" s="11">
        <f>IF(MATCH_ENGINE!A78="","",GL_CLEAN!F78)</f>
        <v/>
      </c>
      <c r="N78" s="11">
        <f>IF(MATCH_ENGINE!A78="","",GL_CLEAN!G78)</f>
        <v/>
      </c>
      <c r="O78" s="11">
        <f>IF(MATCH_ENGINE!H78="","",INDEX(BANK_CLEAN!$C$2:$C$1001,MATCH_ENGINE!H78))</f>
        <v/>
      </c>
      <c r="P78" s="11" t="inlineStr"/>
    </row>
    <row r="79">
      <c r="A79" s="11">
        <f>IF(MATCH_ENGINE!A79="","",MATCH_ENGINE!N79)</f>
        <v/>
      </c>
      <c r="B79" s="11">
        <f>IF(MATCH_ENGINE!A79="","",MATCH_ENGINE!C79)</f>
        <v/>
      </c>
      <c r="C79" s="10">
        <f>IF(MATCH_ENGINE!A79="","",MATCH_ENGINE!B79)</f>
        <v/>
      </c>
      <c r="D79" s="16">
        <f>IF(MATCH_ENGINE!A79="","",MATCH_ENGINE!D79)</f>
        <v/>
      </c>
      <c r="E79" s="11">
        <f>IF(MATCH_ENGINE!A79="","",MATCH_ENGINE!F79)</f>
        <v/>
      </c>
      <c r="F79" s="10">
        <f>IF(MATCH_ENGINE!A79="","",MATCH_ENGINE!I79)</f>
        <v/>
      </c>
      <c r="G79" s="16">
        <f>IF(MATCH_ENGINE!H79="","",IF(MATCH_ENGINE!F79="IN",MATCH_ENGINE!J79,""))</f>
        <v/>
      </c>
      <c r="H79" s="16">
        <f>IF(MATCH_ENGINE!H79="","",IF(MATCH_ENGINE!F79="OUT",MATCH_ENGINE!J79,""))</f>
        <v/>
      </c>
      <c r="I79" s="16">
        <f>IF(MATCH_ENGINE!H79="","",MATCH_ENGINE!J79)</f>
        <v/>
      </c>
      <c r="J79" s="12">
        <f>IF(MATCH_ENGINE!A79="","",MATCH_ENGINE!K79)</f>
        <v/>
      </c>
      <c r="K79" s="11">
        <f>IF(MATCH_ENGINE!A79="","",MATCH_ENGINE!L79)</f>
        <v/>
      </c>
      <c r="L79" s="17">
        <f>IF(MATCH_ENGINE!A79="","",MATCH_ENGINE!M79)</f>
        <v/>
      </c>
      <c r="M79" s="11">
        <f>IF(MATCH_ENGINE!A79="","",GL_CLEAN!F79)</f>
        <v/>
      </c>
      <c r="N79" s="11">
        <f>IF(MATCH_ENGINE!A79="","",GL_CLEAN!G79)</f>
        <v/>
      </c>
      <c r="O79" s="11">
        <f>IF(MATCH_ENGINE!H79="","",INDEX(BANK_CLEAN!$C$2:$C$1001,MATCH_ENGINE!H79))</f>
        <v/>
      </c>
      <c r="P79" s="11" t="inlineStr"/>
    </row>
    <row r="80">
      <c r="A80" s="11">
        <f>IF(MATCH_ENGINE!A80="","",MATCH_ENGINE!N80)</f>
        <v/>
      </c>
      <c r="B80" s="11">
        <f>IF(MATCH_ENGINE!A80="","",MATCH_ENGINE!C80)</f>
        <v/>
      </c>
      <c r="C80" s="10">
        <f>IF(MATCH_ENGINE!A80="","",MATCH_ENGINE!B80)</f>
        <v/>
      </c>
      <c r="D80" s="16">
        <f>IF(MATCH_ENGINE!A80="","",MATCH_ENGINE!D80)</f>
        <v/>
      </c>
      <c r="E80" s="11">
        <f>IF(MATCH_ENGINE!A80="","",MATCH_ENGINE!F80)</f>
        <v/>
      </c>
      <c r="F80" s="10">
        <f>IF(MATCH_ENGINE!A80="","",MATCH_ENGINE!I80)</f>
        <v/>
      </c>
      <c r="G80" s="16">
        <f>IF(MATCH_ENGINE!H80="","",IF(MATCH_ENGINE!F80="IN",MATCH_ENGINE!J80,""))</f>
        <v/>
      </c>
      <c r="H80" s="16">
        <f>IF(MATCH_ENGINE!H80="","",IF(MATCH_ENGINE!F80="OUT",MATCH_ENGINE!J80,""))</f>
        <v/>
      </c>
      <c r="I80" s="16">
        <f>IF(MATCH_ENGINE!H80="","",MATCH_ENGINE!J80)</f>
        <v/>
      </c>
      <c r="J80" s="12">
        <f>IF(MATCH_ENGINE!A80="","",MATCH_ENGINE!K80)</f>
        <v/>
      </c>
      <c r="K80" s="11">
        <f>IF(MATCH_ENGINE!A80="","",MATCH_ENGINE!L80)</f>
        <v/>
      </c>
      <c r="L80" s="17">
        <f>IF(MATCH_ENGINE!A80="","",MATCH_ENGINE!M80)</f>
        <v/>
      </c>
      <c r="M80" s="11">
        <f>IF(MATCH_ENGINE!A80="","",GL_CLEAN!F80)</f>
        <v/>
      </c>
      <c r="N80" s="11">
        <f>IF(MATCH_ENGINE!A80="","",GL_CLEAN!G80)</f>
        <v/>
      </c>
      <c r="O80" s="11">
        <f>IF(MATCH_ENGINE!H80="","",INDEX(BANK_CLEAN!$C$2:$C$1001,MATCH_ENGINE!H80))</f>
        <v/>
      </c>
      <c r="P80" s="11" t="inlineStr"/>
    </row>
    <row r="81">
      <c r="A81" s="11">
        <f>IF(MATCH_ENGINE!A81="","",MATCH_ENGINE!N81)</f>
        <v/>
      </c>
      <c r="B81" s="11">
        <f>IF(MATCH_ENGINE!A81="","",MATCH_ENGINE!C81)</f>
        <v/>
      </c>
      <c r="C81" s="10">
        <f>IF(MATCH_ENGINE!A81="","",MATCH_ENGINE!B81)</f>
        <v/>
      </c>
      <c r="D81" s="16">
        <f>IF(MATCH_ENGINE!A81="","",MATCH_ENGINE!D81)</f>
        <v/>
      </c>
      <c r="E81" s="11">
        <f>IF(MATCH_ENGINE!A81="","",MATCH_ENGINE!F81)</f>
        <v/>
      </c>
      <c r="F81" s="10">
        <f>IF(MATCH_ENGINE!A81="","",MATCH_ENGINE!I81)</f>
        <v/>
      </c>
      <c r="G81" s="16">
        <f>IF(MATCH_ENGINE!H81="","",IF(MATCH_ENGINE!F81="IN",MATCH_ENGINE!J81,""))</f>
        <v/>
      </c>
      <c r="H81" s="16">
        <f>IF(MATCH_ENGINE!H81="","",IF(MATCH_ENGINE!F81="OUT",MATCH_ENGINE!J81,""))</f>
        <v/>
      </c>
      <c r="I81" s="16">
        <f>IF(MATCH_ENGINE!H81="","",MATCH_ENGINE!J81)</f>
        <v/>
      </c>
      <c r="J81" s="12">
        <f>IF(MATCH_ENGINE!A81="","",MATCH_ENGINE!K81)</f>
        <v/>
      </c>
      <c r="K81" s="11">
        <f>IF(MATCH_ENGINE!A81="","",MATCH_ENGINE!L81)</f>
        <v/>
      </c>
      <c r="L81" s="17">
        <f>IF(MATCH_ENGINE!A81="","",MATCH_ENGINE!M81)</f>
        <v/>
      </c>
      <c r="M81" s="11">
        <f>IF(MATCH_ENGINE!A81="","",GL_CLEAN!F81)</f>
        <v/>
      </c>
      <c r="N81" s="11">
        <f>IF(MATCH_ENGINE!A81="","",GL_CLEAN!G81)</f>
        <v/>
      </c>
      <c r="O81" s="11">
        <f>IF(MATCH_ENGINE!H81="","",INDEX(BANK_CLEAN!$C$2:$C$1001,MATCH_ENGINE!H81))</f>
        <v/>
      </c>
      <c r="P81" s="11" t="inlineStr"/>
    </row>
    <row r="82">
      <c r="A82" s="11">
        <f>IF(MATCH_ENGINE!A82="","",MATCH_ENGINE!N82)</f>
        <v/>
      </c>
      <c r="B82" s="11">
        <f>IF(MATCH_ENGINE!A82="","",MATCH_ENGINE!C82)</f>
        <v/>
      </c>
      <c r="C82" s="10">
        <f>IF(MATCH_ENGINE!A82="","",MATCH_ENGINE!B82)</f>
        <v/>
      </c>
      <c r="D82" s="16">
        <f>IF(MATCH_ENGINE!A82="","",MATCH_ENGINE!D82)</f>
        <v/>
      </c>
      <c r="E82" s="11">
        <f>IF(MATCH_ENGINE!A82="","",MATCH_ENGINE!F82)</f>
        <v/>
      </c>
      <c r="F82" s="10">
        <f>IF(MATCH_ENGINE!A82="","",MATCH_ENGINE!I82)</f>
        <v/>
      </c>
      <c r="G82" s="16">
        <f>IF(MATCH_ENGINE!H82="","",IF(MATCH_ENGINE!F82="IN",MATCH_ENGINE!J82,""))</f>
        <v/>
      </c>
      <c r="H82" s="16">
        <f>IF(MATCH_ENGINE!H82="","",IF(MATCH_ENGINE!F82="OUT",MATCH_ENGINE!J82,""))</f>
        <v/>
      </c>
      <c r="I82" s="16">
        <f>IF(MATCH_ENGINE!H82="","",MATCH_ENGINE!J82)</f>
        <v/>
      </c>
      <c r="J82" s="12">
        <f>IF(MATCH_ENGINE!A82="","",MATCH_ENGINE!K82)</f>
        <v/>
      </c>
      <c r="K82" s="11">
        <f>IF(MATCH_ENGINE!A82="","",MATCH_ENGINE!L82)</f>
        <v/>
      </c>
      <c r="L82" s="17">
        <f>IF(MATCH_ENGINE!A82="","",MATCH_ENGINE!M82)</f>
        <v/>
      </c>
      <c r="M82" s="11">
        <f>IF(MATCH_ENGINE!A82="","",GL_CLEAN!F82)</f>
        <v/>
      </c>
      <c r="N82" s="11">
        <f>IF(MATCH_ENGINE!A82="","",GL_CLEAN!G82)</f>
        <v/>
      </c>
      <c r="O82" s="11">
        <f>IF(MATCH_ENGINE!H82="","",INDEX(BANK_CLEAN!$C$2:$C$1001,MATCH_ENGINE!H82))</f>
        <v/>
      </c>
      <c r="P82" s="11" t="inlineStr"/>
    </row>
    <row r="83">
      <c r="A83" s="11">
        <f>IF(MATCH_ENGINE!A83="","",MATCH_ENGINE!N83)</f>
        <v/>
      </c>
      <c r="B83" s="11">
        <f>IF(MATCH_ENGINE!A83="","",MATCH_ENGINE!C83)</f>
        <v/>
      </c>
      <c r="C83" s="10">
        <f>IF(MATCH_ENGINE!A83="","",MATCH_ENGINE!B83)</f>
        <v/>
      </c>
      <c r="D83" s="16">
        <f>IF(MATCH_ENGINE!A83="","",MATCH_ENGINE!D83)</f>
        <v/>
      </c>
      <c r="E83" s="11">
        <f>IF(MATCH_ENGINE!A83="","",MATCH_ENGINE!F83)</f>
        <v/>
      </c>
      <c r="F83" s="10">
        <f>IF(MATCH_ENGINE!A83="","",MATCH_ENGINE!I83)</f>
        <v/>
      </c>
      <c r="G83" s="16">
        <f>IF(MATCH_ENGINE!H83="","",IF(MATCH_ENGINE!F83="IN",MATCH_ENGINE!J83,""))</f>
        <v/>
      </c>
      <c r="H83" s="16">
        <f>IF(MATCH_ENGINE!H83="","",IF(MATCH_ENGINE!F83="OUT",MATCH_ENGINE!J83,""))</f>
        <v/>
      </c>
      <c r="I83" s="16">
        <f>IF(MATCH_ENGINE!H83="","",MATCH_ENGINE!J83)</f>
        <v/>
      </c>
      <c r="J83" s="12">
        <f>IF(MATCH_ENGINE!A83="","",MATCH_ENGINE!K83)</f>
        <v/>
      </c>
      <c r="K83" s="11">
        <f>IF(MATCH_ENGINE!A83="","",MATCH_ENGINE!L83)</f>
        <v/>
      </c>
      <c r="L83" s="17">
        <f>IF(MATCH_ENGINE!A83="","",MATCH_ENGINE!M83)</f>
        <v/>
      </c>
      <c r="M83" s="11">
        <f>IF(MATCH_ENGINE!A83="","",GL_CLEAN!F83)</f>
        <v/>
      </c>
      <c r="N83" s="11">
        <f>IF(MATCH_ENGINE!A83="","",GL_CLEAN!G83)</f>
        <v/>
      </c>
      <c r="O83" s="11">
        <f>IF(MATCH_ENGINE!H83="","",INDEX(BANK_CLEAN!$C$2:$C$1001,MATCH_ENGINE!H83))</f>
        <v/>
      </c>
      <c r="P83" s="11" t="inlineStr"/>
    </row>
    <row r="84">
      <c r="A84" s="11">
        <f>IF(MATCH_ENGINE!A84="","",MATCH_ENGINE!N84)</f>
        <v/>
      </c>
      <c r="B84" s="11">
        <f>IF(MATCH_ENGINE!A84="","",MATCH_ENGINE!C84)</f>
        <v/>
      </c>
      <c r="C84" s="10">
        <f>IF(MATCH_ENGINE!A84="","",MATCH_ENGINE!B84)</f>
        <v/>
      </c>
      <c r="D84" s="16">
        <f>IF(MATCH_ENGINE!A84="","",MATCH_ENGINE!D84)</f>
        <v/>
      </c>
      <c r="E84" s="11">
        <f>IF(MATCH_ENGINE!A84="","",MATCH_ENGINE!F84)</f>
        <v/>
      </c>
      <c r="F84" s="10">
        <f>IF(MATCH_ENGINE!A84="","",MATCH_ENGINE!I84)</f>
        <v/>
      </c>
      <c r="G84" s="16">
        <f>IF(MATCH_ENGINE!H84="","",IF(MATCH_ENGINE!F84="IN",MATCH_ENGINE!J84,""))</f>
        <v/>
      </c>
      <c r="H84" s="16">
        <f>IF(MATCH_ENGINE!H84="","",IF(MATCH_ENGINE!F84="OUT",MATCH_ENGINE!J84,""))</f>
        <v/>
      </c>
      <c r="I84" s="16">
        <f>IF(MATCH_ENGINE!H84="","",MATCH_ENGINE!J84)</f>
        <v/>
      </c>
      <c r="J84" s="12">
        <f>IF(MATCH_ENGINE!A84="","",MATCH_ENGINE!K84)</f>
        <v/>
      </c>
      <c r="K84" s="11">
        <f>IF(MATCH_ENGINE!A84="","",MATCH_ENGINE!L84)</f>
        <v/>
      </c>
      <c r="L84" s="17">
        <f>IF(MATCH_ENGINE!A84="","",MATCH_ENGINE!M84)</f>
        <v/>
      </c>
      <c r="M84" s="11">
        <f>IF(MATCH_ENGINE!A84="","",GL_CLEAN!F84)</f>
        <v/>
      </c>
      <c r="N84" s="11">
        <f>IF(MATCH_ENGINE!A84="","",GL_CLEAN!G84)</f>
        <v/>
      </c>
      <c r="O84" s="11">
        <f>IF(MATCH_ENGINE!H84="","",INDEX(BANK_CLEAN!$C$2:$C$1001,MATCH_ENGINE!H84))</f>
        <v/>
      </c>
      <c r="P84" s="11" t="inlineStr"/>
    </row>
    <row r="85">
      <c r="A85" s="11">
        <f>IF(MATCH_ENGINE!A85="","",MATCH_ENGINE!N85)</f>
        <v/>
      </c>
      <c r="B85" s="11">
        <f>IF(MATCH_ENGINE!A85="","",MATCH_ENGINE!C85)</f>
        <v/>
      </c>
      <c r="C85" s="10">
        <f>IF(MATCH_ENGINE!A85="","",MATCH_ENGINE!B85)</f>
        <v/>
      </c>
      <c r="D85" s="16">
        <f>IF(MATCH_ENGINE!A85="","",MATCH_ENGINE!D85)</f>
        <v/>
      </c>
      <c r="E85" s="11">
        <f>IF(MATCH_ENGINE!A85="","",MATCH_ENGINE!F85)</f>
        <v/>
      </c>
      <c r="F85" s="10">
        <f>IF(MATCH_ENGINE!A85="","",MATCH_ENGINE!I85)</f>
        <v/>
      </c>
      <c r="G85" s="16">
        <f>IF(MATCH_ENGINE!H85="","",IF(MATCH_ENGINE!F85="IN",MATCH_ENGINE!J85,""))</f>
        <v/>
      </c>
      <c r="H85" s="16">
        <f>IF(MATCH_ENGINE!H85="","",IF(MATCH_ENGINE!F85="OUT",MATCH_ENGINE!J85,""))</f>
        <v/>
      </c>
      <c r="I85" s="16">
        <f>IF(MATCH_ENGINE!H85="","",MATCH_ENGINE!J85)</f>
        <v/>
      </c>
      <c r="J85" s="12">
        <f>IF(MATCH_ENGINE!A85="","",MATCH_ENGINE!K85)</f>
        <v/>
      </c>
      <c r="K85" s="11">
        <f>IF(MATCH_ENGINE!A85="","",MATCH_ENGINE!L85)</f>
        <v/>
      </c>
      <c r="L85" s="17">
        <f>IF(MATCH_ENGINE!A85="","",MATCH_ENGINE!M85)</f>
        <v/>
      </c>
      <c r="M85" s="11">
        <f>IF(MATCH_ENGINE!A85="","",GL_CLEAN!F85)</f>
        <v/>
      </c>
      <c r="N85" s="11">
        <f>IF(MATCH_ENGINE!A85="","",GL_CLEAN!G85)</f>
        <v/>
      </c>
      <c r="O85" s="11">
        <f>IF(MATCH_ENGINE!H85="","",INDEX(BANK_CLEAN!$C$2:$C$1001,MATCH_ENGINE!H85))</f>
        <v/>
      </c>
      <c r="P85" s="11" t="inlineStr"/>
    </row>
    <row r="86">
      <c r="A86" s="11">
        <f>IF(MATCH_ENGINE!A86="","",MATCH_ENGINE!N86)</f>
        <v/>
      </c>
      <c r="B86" s="11">
        <f>IF(MATCH_ENGINE!A86="","",MATCH_ENGINE!C86)</f>
        <v/>
      </c>
      <c r="C86" s="10">
        <f>IF(MATCH_ENGINE!A86="","",MATCH_ENGINE!B86)</f>
        <v/>
      </c>
      <c r="D86" s="16">
        <f>IF(MATCH_ENGINE!A86="","",MATCH_ENGINE!D86)</f>
        <v/>
      </c>
      <c r="E86" s="11">
        <f>IF(MATCH_ENGINE!A86="","",MATCH_ENGINE!F86)</f>
        <v/>
      </c>
      <c r="F86" s="10">
        <f>IF(MATCH_ENGINE!A86="","",MATCH_ENGINE!I86)</f>
        <v/>
      </c>
      <c r="G86" s="16">
        <f>IF(MATCH_ENGINE!H86="","",IF(MATCH_ENGINE!F86="IN",MATCH_ENGINE!J86,""))</f>
        <v/>
      </c>
      <c r="H86" s="16">
        <f>IF(MATCH_ENGINE!H86="","",IF(MATCH_ENGINE!F86="OUT",MATCH_ENGINE!J86,""))</f>
        <v/>
      </c>
      <c r="I86" s="16">
        <f>IF(MATCH_ENGINE!H86="","",MATCH_ENGINE!J86)</f>
        <v/>
      </c>
      <c r="J86" s="12">
        <f>IF(MATCH_ENGINE!A86="","",MATCH_ENGINE!K86)</f>
        <v/>
      </c>
      <c r="K86" s="11">
        <f>IF(MATCH_ENGINE!A86="","",MATCH_ENGINE!L86)</f>
        <v/>
      </c>
      <c r="L86" s="17">
        <f>IF(MATCH_ENGINE!A86="","",MATCH_ENGINE!M86)</f>
        <v/>
      </c>
      <c r="M86" s="11">
        <f>IF(MATCH_ENGINE!A86="","",GL_CLEAN!F86)</f>
        <v/>
      </c>
      <c r="N86" s="11">
        <f>IF(MATCH_ENGINE!A86="","",GL_CLEAN!G86)</f>
        <v/>
      </c>
      <c r="O86" s="11">
        <f>IF(MATCH_ENGINE!H86="","",INDEX(BANK_CLEAN!$C$2:$C$1001,MATCH_ENGINE!H86))</f>
        <v/>
      </c>
      <c r="P86" s="11" t="inlineStr"/>
    </row>
    <row r="87">
      <c r="A87" s="11">
        <f>IF(MATCH_ENGINE!A87="","",MATCH_ENGINE!N87)</f>
        <v/>
      </c>
      <c r="B87" s="11">
        <f>IF(MATCH_ENGINE!A87="","",MATCH_ENGINE!C87)</f>
        <v/>
      </c>
      <c r="C87" s="10">
        <f>IF(MATCH_ENGINE!A87="","",MATCH_ENGINE!B87)</f>
        <v/>
      </c>
      <c r="D87" s="16">
        <f>IF(MATCH_ENGINE!A87="","",MATCH_ENGINE!D87)</f>
        <v/>
      </c>
      <c r="E87" s="11">
        <f>IF(MATCH_ENGINE!A87="","",MATCH_ENGINE!F87)</f>
        <v/>
      </c>
      <c r="F87" s="10">
        <f>IF(MATCH_ENGINE!A87="","",MATCH_ENGINE!I87)</f>
        <v/>
      </c>
      <c r="G87" s="16">
        <f>IF(MATCH_ENGINE!H87="","",IF(MATCH_ENGINE!F87="IN",MATCH_ENGINE!J87,""))</f>
        <v/>
      </c>
      <c r="H87" s="16">
        <f>IF(MATCH_ENGINE!H87="","",IF(MATCH_ENGINE!F87="OUT",MATCH_ENGINE!J87,""))</f>
        <v/>
      </c>
      <c r="I87" s="16">
        <f>IF(MATCH_ENGINE!H87="","",MATCH_ENGINE!J87)</f>
        <v/>
      </c>
      <c r="J87" s="12">
        <f>IF(MATCH_ENGINE!A87="","",MATCH_ENGINE!K87)</f>
        <v/>
      </c>
      <c r="K87" s="11">
        <f>IF(MATCH_ENGINE!A87="","",MATCH_ENGINE!L87)</f>
        <v/>
      </c>
      <c r="L87" s="17">
        <f>IF(MATCH_ENGINE!A87="","",MATCH_ENGINE!M87)</f>
        <v/>
      </c>
      <c r="M87" s="11">
        <f>IF(MATCH_ENGINE!A87="","",GL_CLEAN!F87)</f>
        <v/>
      </c>
      <c r="N87" s="11">
        <f>IF(MATCH_ENGINE!A87="","",GL_CLEAN!G87)</f>
        <v/>
      </c>
      <c r="O87" s="11">
        <f>IF(MATCH_ENGINE!H87="","",INDEX(BANK_CLEAN!$C$2:$C$1001,MATCH_ENGINE!H87))</f>
        <v/>
      </c>
      <c r="P87" s="11" t="inlineStr"/>
    </row>
    <row r="88">
      <c r="A88" s="11">
        <f>IF(MATCH_ENGINE!A88="","",MATCH_ENGINE!N88)</f>
        <v/>
      </c>
      <c r="B88" s="11">
        <f>IF(MATCH_ENGINE!A88="","",MATCH_ENGINE!C88)</f>
        <v/>
      </c>
      <c r="C88" s="10">
        <f>IF(MATCH_ENGINE!A88="","",MATCH_ENGINE!B88)</f>
        <v/>
      </c>
      <c r="D88" s="16">
        <f>IF(MATCH_ENGINE!A88="","",MATCH_ENGINE!D88)</f>
        <v/>
      </c>
      <c r="E88" s="11">
        <f>IF(MATCH_ENGINE!A88="","",MATCH_ENGINE!F88)</f>
        <v/>
      </c>
      <c r="F88" s="10">
        <f>IF(MATCH_ENGINE!A88="","",MATCH_ENGINE!I88)</f>
        <v/>
      </c>
      <c r="G88" s="16">
        <f>IF(MATCH_ENGINE!H88="","",IF(MATCH_ENGINE!F88="IN",MATCH_ENGINE!J88,""))</f>
        <v/>
      </c>
      <c r="H88" s="16">
        <f>IF(MATCH_ENGINE!H88="","",IF(MATCH_ENGINE!F88="OUT",MATCH_ENGINE!J88,""))</f>
        <v/>
      </c>
      <c r="I88" s="16">
        <f>IF(MATCH_ENGINE!H88="","",MATCH_ENGINE!J88)</f>
        <v/>
      </c>
      <c r="J88" s="12">
        <f>IF(MATCH_ENGINE!A88="","",MATCH_ENGINE!K88)</f>
        <v/>
      </c>
      <c r="K88" s="11">
        <f>IF(MATCH_ENGINE!A88="","",MATCH_ENGINE!L88)</f>
        <v/>
      </c>
      <c r="L88" s="17">
        <f>IF(MATCH_ENGINE!A88="","",MATCH_ENGINE!M88)</f>
        <v/>
      </c>
      <c r="M88" s="11">
        <f>IF(MATCH_ENGINE!A88="","",GL_CLEAN!F88)</f>
        <v/>
      </c>
      <c r="N88" s="11">
        <f>IF(MATCH_ENGINE!A88="","",GL_CLEAN!G88)</f>
        <v/>
      </c>
      <c r="O88" s="11">
        <f>IF(MATCH_ENGINE!H88="","",INDEX(BANK_CLEAN!$C$2:$C$1001,MATCH_ENGINE!H88))</f>
        <v/>
      </c>
      <c r="P88" s="11" t="inlineStr"/>
    </row>
    <row r="89">
      <c r="A89" s="11">
        <f>IF(MATCH_ENGINE!A89="","",MATCH_ENGINE!N89)</f>
        <v/>
      </c>
      <c r="B89" s="11">
        <f>IF(MATCH_ENGINE!A89="","",MATCH_ENGINE!C89)</f>
        <v/>
      </c>
      <c r="C89" s="10">
        <f>IF(MATCH_ENGINE!A89="","",MATCH_ENGINE!B89)</f>
        <v/>
      </c>
      <c r="D89" s="16">
        <f>IF(MATCH_ENGINE!A89="","",MATCH_ENGINE!D89)</f>
        <v/>
      </c>
      <c r="E89" s="11">
        <f>IF(MATCH_ENGINE!A89="","",MATCH_ENGINE!F89)</f>
        <v/>
      </c>
      <c r="F89" s="10">
        <f>IF(MATCH_ENGINE!A89="","",MATCH_ENGINE!I89)</f>
        <v/>
      </c>
      <c r="G89" s="16">
        <f>IF(MATCH_ENGINE!H89="","",IF(MATCH_ENGINE!F89="IN",MATCH_ENGINE!J89,""))</f>
        <v/>
      </c>
      <c r="H89" s="16">
        <f>IF(MATCH_ENGINE!H89="","",IF(MATCH_ENGINE!F89="OUT",MATCH_ENGINE!J89,""))</f>
        <v/>
      </c>
      <c r="I89" s="16">
        <f>IF(MATCH_ENGINE!H89="","",MATCH_ENGINE!J89)</f>
        <v/>
      </c>
      <c r="J89" s="12">
        <f>IF(MATCH_ENGINE!A89="","",MATCH_ENGINE!K89)</f>
        <v/>
      </c>
      <c r="K89" s="11">
        <f>IF(MATCH_ENGINE!A89="","",MATCH_ENGINE!L89)</f>
        <v/>
      </c>
      <c r="L89" s="17">
        <f>IF(MATCH_ENGINE!A89="","",MATCH_ENGINE!M89)</f>
        <v/>
      </c>
      <c r="M89" s="11">
        <f>IF(MATCH_ENGINE!A89="","",GL_CLEAN!F89)</f>
        <v/>
      </c>
      <c r="N89" s="11">
        <f>IF(MATCH_ENGINE!A89="","",GL_CLEAN!G89)</f>
        <v/>
      </c>
      <c r="O89" s="11">
        <f>IF(MATCH_ENGINE!H89="","",INDEX(BANK_CLEAN!$C$2:$C$1001,MATCH_ENGINE!H89))</f>
        <v/>
      </c>
      <c r="P89" s="11" t="inlineStr"/>
    </row>
    <row r="90">
      <c r="A90" s="11">
        <f>IF(MATCH_ENGINE!A90="","",MATCH_ENGINE!N90)</f>
        <v/>
      </c>
      <c r="B90" s="11">
        <f>IF(MATCH_ENGINE!A90="","",MATCH_ENGINE!C90)</f>
        <v/>
      </c>
      <c r="C90" s="10">
        <f>IF(MATCH_ENGINE!A90="","",MATCH_ENGINE!B90)</f>
        <v/>
      </c>
      <c r="D90" s="16">
        <f>IF(MATCH_ENGINE!A90="","",MATCH_ENGINE!D90)</f>
        <v/>
      </c>
      <c r="E90" s="11">
        <f>IF(MATCH_ENGINE!A90="","",MATCH_ENGINE!F90)</f>
        <v/>
      </c>
      <c r="F90" s="10">
        <f>IF(MATCH_ENGINE!A90="","",MATCH_ENGINE!I90)</f>
        <v/>
      </c>
      <c r="G90" s="16">
        <f>IF(MATCH_ENGINE!H90="","",IF(MATCH_ENGINE!F90="IN",MATCH_ENGINE!J90,""))</f>
        <v/>
      </c>
      <c r="H90" s="16">
        <f>IF(MATCH_ENGINE!H90="","",IF(MATCH_ENGINE!F90="OUT",MATCH_ENGINE!J90,""))</f>
        <v/>
      </c>
      <c r="I90" s="16">
        <f>IF(MATCH_ENGINE!H90="","",MATCH_ENGINE!J90)</f>
        <v/>
      </c>
      <c r="J90" s="12">
        <f>IF(MATCH_ENGINE!A90="","",MATCH_ENGINE!K90)</f>
        <v/>
      </c>
      <c r="K90" s="11">
        <f>IF(MATCH_ENGINE!A90="","",MATCH_ENGINE!L90)</f>
        <v/>
      </c>
      <c r="L90" s="17">
        <f>IF(MATCH_ENGINE!A90="","",MATCH_ENGINE!M90)</f>
        <v/>
      </c>
      <c r="M90" s="11">
        <f>IF(MATCH_ENGINE!A90="","",GL_CLEAN!F90)</f>
        <v/>
      </c>
      <c r="N90" s="11">
        <f>IF(MATCH_ENGINE!A90="","",GL_CLEAN!G90)</f>
        <v/>
      </c>
      <c r="O90" s="11">
        <f>IF(MATCH_ENGINE!H90="","",INDEX(BANK_CLEAN!$C$2:$C$1001,MATCH_ENGINE!H90))</f>
        <v/>
      </c>
      <c r="P90" s="11" t="inlineStr"/>
    </row>
    <row r="91">
      <c r="A91" s="11">
        <f>IF(MATCH_ENGINE!A91="","",MATCH_ENGINE!N91)</f>
        <v/>
      </c>
      <c r="B91" s="11">
        <f>IF(MATCH_ENGINE!A91="","",MATCH_ENGINE!C91)</f>
        <v/>
      </c>
      <c r="C91" s="10">
        <f>IF(MATCH_ENGINE!A91="","",MATCH_ENGINE!B91)</f>
        <v/>
      </c>
      <c r="D91" s="16">
        <f>IF(MATCH_ENGINE!A91="","",MATCH_ENGINE!D91)</f>
        <v/>
      </c>
      <c r="E91" s="11">
        <f>IF(MATCH_ENGINE!A91="","",MATCH_ENGINE!F91)</f>
        <v/>
      </c>
      <c r="F91" s="10">
        <f>IF(MATCH_ENGINE!A91="","",MATCH_ENGINE!I91)</f>
        <v/>
      </c>
      <c r="G91" s="16">
        <f>IF(MATCH_ENGINE!H91="","",IF(MATCH_ENGINE!F91="IN",MATCH_ENGINE!J91,""))</f>
        <v/>
      </c>
      <c r="H91" s="16">
        <f>IF(MATCH_ENGINE!H91="","",IF(MATCH_ENGINE!F91="OUT",MATCH_ENGINE!J91,""))</f>
        <v/>
      </c>
      <c r="I91" s="16">
        <f>IF(MATCH_ENGINE!H91="","",MATCH_ENGINE!J91)</f>
        <v/>
      </c>
      <c r="J91" s="12">
        <f>IF(MATCH_ENGINE!A91="","",MATCH_ENGINE!K91)</f>
        <v/>
      </c>
      <c r="K91" s="11">
        <f>IF(MATCH_ENGINE!A91="","",MATCH_ENGINE!L91)</f>
        <v/>
      </c>
      <c r="L91" s="17">
        <f>IF(MATCH_ENGINE!A91="","",MATCH_ENGINE!M91)</f>
        <v/>
      </c>
      <c r="M91" s="11">
        <f>IF(MATCH_ENGINE!A91="","",GL_CLEAN!F91)</f>
        <v/>
      </c>
      <c r="N91" s="11">
        <f>IF(MATCH_ENGINE!A91="","",GL_CLEAN!G91)</f>
        <v/>
      </c>
      <c r="O91" s="11">
        <f>IF(MATCH_ENGINE!H91="","",INDEX(BANK_CLEAN!$C$2:$C$1001,MATCH_ENGINE!H91))</f>
        <v/>
      </c>
      <c r="P91" s="11" t="inlineStr"/>
    </row>
    <row r="92">
      <c r="A92" s="11">
        <f>IF(MATCH_ENGINE!A92="","",MATCH_ENGINE!N92)</f>
        <v/>
      </c>
      <c r="B92" s="11">
        <f>IF(MATCH_ENGINE!A92="","",MATCH_ENGINE!C92)</f>
        <v/>
      </c>
      <c r="C92" s="10">
        <f>IF(MATCH_ENGINE!A92="","",MATCH_ENGINE!B92)</f>
        <v/>
      </c>
      <c r="D92" s="16">
        <f>IF(MATCH_ENGINE!A92="","",MATCH_ENGINE!D92)</f>
        <v/>
      </c>
      <c r="E92" s="11">
        <f>IF(MATCH_ENGINE!A92="","",MATCH_ENGINE!F92)</f>
        <v/>
      </c>
      <c r="F92" s="10">
        <f>IF(MATCH_ENGINE!A92="","",MATCH_ENGINE!I92)</f>
        <v/>
      </c>
      <c r="G92" s="16">
        <f>IF(MATCH_ENGINE!H92="","",IF(MATCH_ENGINE!F92="IN",MATCH_ENGINE!J92,""))</f>
        <v/>
      </c>
      <c r="H92" s="16">
        <f>IF(MATCH_ENGINE!H92="","",IF(MATCH_ENGINE!F92="OUT",MATCH_ENGINE!J92,""))</f>
        <v/>
      </c>
      <c r="I92" s="16">
        <f>IF(MATCH_ENGINE!H92="","",MATCH_ENGINE!J92)</f>
        <v/>
      </c>
      <c r="J92" s="12">
        <f>IF(MATCH_ENGINE!A92="","",MATCH_ENGINE!K92)</f>
        <v/>
      </c>
      <c r="K92" s="11">
        <f>IF(MATCH_ENGINE!A92="","",MATCH_ENGINE!L92)</f>
        <v/>
      </c>
      <c r="L92" s="17">
        <f>IF(MATCH_ENGINE!A92="","",MATCH_ENGINE!M92)</f>
        <v/>
      </c>
      <c r="M92" s="11">
        <f>IF(MATCH_ENGINE!A92="","",GL_CLEAN!F92)</f>
        <v/>
      </c>
      <c r="N92" s="11">
        <f>IF(MATCH_ENGINE!A92="","",GL_CLEAN!G92)</f>
        <v/>
      </c>
      <c r="O92" s="11">
        <f>IF(MATCH_ENGINE!H92="","",INDEX(BANK_CLEAN!$C$2:$C$1001,MATCH_ENGINE!H92))</f>
        <v/>
      </c>
      <c r="P92" s="11" t="inlineStr"/>
    </row>
    <row r="93">
      <c r="A93" s="11">
        <f>IF(MATCH_ENGINE!A93="","",MATCH_ENGINE!N93)</f>
        <v/>
      </c>
      <c r="B93" s="11">
        <f>IF(MATCH_ENGINE!A93="","",MATCH_ENGINE!C93)</f>
        <v/>
      </c>
      <c r="C93" s="10">
        <f>IF(MATCH_ENGINE!A93="","",MATCH_ENGINE!B93)</f>
        <v/>
      </c>
      <c r="D93" s="16">
        <f>IF(MATCH_ENGINE!A93="","",MATCH_ENGINE!D93)</f>
        <v/>
      </c>
      <c r="E93" s="11">
        <f>IF(MATCH_ENGINE!A93="","",MATCH_ENGINE!F93)</f>
        <v/>
      </c>
      <c r="F93" s="10">
        <f>IF(MATCH_ENGINE!A93="","",MATCH_ENGINE!I93)</f>
        <v/>
      </c>
      <c r="G93" s="16">
        <f>IF(MATCH_ENGINE!H93="","",IF(MATCH_ENGINE!F93="IN",MATCH_ENGINE!J93,""))</f>
        <v/>
      </c>
      <c r="H93" s="16">
        <f>IF(MATCH_ENGINE!H93="","",IF(MATCH_ENGINE!F93="OUT",MATCH_ENGINE!J93,""))</f>
        <v/>
      </c>
      <c r="I93" s="16">
        <f>IF(MATCH_ENGINE!H93="","",MATCH_ENGINE!J93)</f>
        <v/>
      </c>
      <c r="J93" s="12">
        <f>IF(MATCH_ENGINE!A93="","",MATCH_ENGINE!K93)</f>
        <v/>
      </c>
      <c r="K93" s="11">
        <f>IF(MATCH_ENGINE!A93="","",MATCH_ENGINE!L93)</f>
        <v/>
      </c>
      <c r="L93" s="17">
        <f>IF(MATCH_ENGINE!A93="","",MATCH_ENGINE!M93)</f>
        <v/>
      </c>
      <c r="M93" s="11">
        <f>IF(MATCH_ENGINE!A93="","",GL_CLEAN!F93)</f>
        <v/>
      </c>
      <c r="N93" s="11">
        <f>IF(MATCH_ENGINE!A93="","",GL_CLEAN!G93)</f>
        <v/>
      </c>
      <c r="O93" s="11">
        <f>IF(MATCH_ENGINE!H93="","",INDEX(BANK_CLEAN!$C$2:$C$1001,MATCH_ENGINE!H93))</f>
        <v/>
      </c>
      <c r="P93" s="11" t="inlineStr"/>
    </row>
    <row r="94">
      <c r="A94" s="11">
        <f>IF(MATCH_ENGINE!A94="","",MATCH_ENGINE!N94)</f>
        <v/>
      </c>
      <c r="B94" s="11">
        <f>IF(MATCH_ENGINE!A94="","",MATCH_ENGINE!C94)</f>
        <v/>
      </c>
      <c r="C94" s="10">
        <f>IF(MATCH_ENGINE!A94="","",MATCH_ENGINE!B94)</f>
        <v/>
      </c>
      <c r="D94" s="16">
        <f>IF(MATCH_ENGINE!A94="","",MATCH_ENGINE!D94)</f>
        <v/>
      </c>
      <c r="E94" s="11">
        <f>IF(MATCH_ENGINE!A94="","",MATCH_ENGINE!F94)</f>
        <v/>
      </c>
      <c r="F94" s="10">
        <f>IF(MATCH_ENGINE!A94="","",MATCH_ENGINE!I94)</f>
        <v/>
      </c>
      <c r="G94" s="16">
        <f>IF(MATCH_ENGINE!H94="","",IF(MATCH_ENGINE!F94="IN",MATCH_ENGINE!J94,""))</f>
        <v/>
      </c>
      <c r="H94" s="16">
        <f>IF(MATCH_ENGINE!H94="","",IF(MATCH_ENGINE!F94="OUT",MATCH_ENGINE!J94,""))</f>
        <v/>
      </c>
      <c r="I94" s="16">
        <f>IF(MATCH_ENGINE!H94="","",MATCH_ENGINE!J94)</f>
        <v/>
      </c>
      <c r="J94" s="12">
        <f>IF(MATCH_ENGINE!A94="","",MATCH_ENGINE!K94)</f>
        <v/>
      </c>
      <c r="K94" s="11">
        <f>IF(MATCH_ENGINE!A94="","",MATCH_ENGINE!L94)</f>
        <v/>
      </c>
      <c r="L94" s="17">
        <f>IF(MATCH_ENGINE!A94="","",MATCH_ENGINE!M94)</f>
        <v/>
      </c>
      <c r="M94" s="11">
        <f>IF(MATCH_ENGINE!A94="","",GL_CLEAN!F94)</f>
        <v/>
      </c>
      <c r="N94" s="11">
        <f>IF(MATCH_ENGINE!A94="","",GL_CLEAN!G94)</f>
        <v/>
      </c>
      <c r="O94" s="11">
        <f>IF(MATCH_ENGINE!H94="","",INDEX(BANK_CLEAN!$C$2:$C$1001,MATCH_ENGINE!H94))</f>
        <v/>
      </c>
      <c r="P94" s="11" t="inlineStr"/>
    </row>
    <row r="95">
      <c r="A95" s="11">
        <f>IF(MATCH_ENGINE!A95="","",MATCH_ENGINE!N95)</f>
        <v/>
      </c>
      <c r="B95" s="11">
        <f>IF(MATCH_ENGINE!A95="","",MATCH_ENGINE!C95)</f>
        <v/>
      </c>
      <c r="C95" s="10">
        <f>IF(MATCH_ENGINE!A95="","",MATCH_ENGINE!B95)</f>
        <v/>
      </c>
      <c r="D95" s="16">
        <f>IF(MATCH_ENGINE!A95="","",MATCH_ENGINE!D95)</f>
        <v/>
      </c>
      <c r="E95" s="11">
        <f>IF(MATCH_ENGINE!A95="","",MATCH_ENGINE!F95)</f>
        <v/>
      </c>
      <c r="F95" s="10">
        <f>IF(MATCH_ENGINE!A95="","",MATCH_ENGINE!I95)</f>
        <v/>
      </c>
      <c r="G95" s="16">
        <f>IF(MATCH_ENGINE!H95="","",IF(MATCH_ENGINE!F95="IN",MATCH_ENGINE!J95,""))</f>
        <v/>
      </c>
      <c r="H95" s="16">
        <f>IF(MATCH_ENGINE!H95="","",IF(MATCH_ENGINE!F95="OUT",MATCH_ENGINE!J95,""))</f>
        <v/>
      </c>
      <c r="I95" s="16">
        <f>IF(MATCH_ENGINE!H95="","",MATCH_ENGINE!J95)</f>
        <v/>
      </c>
      <c r="J95" s="12">
        <f>IF(MATCH_ENGINE!A95="","",MATCH_ENGINE!K95)</f>
        <v/>
      </c>
      <c r="K95" s="11">
        <f>IF(MATCH_ENGINE!A95="","",MATCH_ENGINE!L95)</f>
        <v/>
      </c>
      <c r="L95" s="17">
        <f>IF(MATCH_ENGINE!A95="","",MATCH_ENGINE!M95)</f>
        <v/>
      </c>
      <c r="M95" s="11">
        <f>IF(MATCH_ENGINE!A95="","",GL_CLEAN!F95)</f>
        <v/>
      </c>
      <c r="N95" s="11">
        <f>IF(MATCH_ENGINE!A95="","",GL_CLEAN!G95)</f>
        <v/>
      </c>
      <c r="O95" s="11">
        <f>IF(MATCH_ENGINE!H95="","",INDEX(BANK_CLEAN!$C$2:$C$1001,MATCH_ENGINE!H95))</f>
        <v/>
      </c>
      <c r="P95" s="11" t="inlineStr"/>
    </row>
    <row r="96">
      <c r="A96" s="11">
        <f>IF(MATCH_ENGINE!A96="","",MATCH_ENGINE!N96)</f>
        <v/>
      </c>
      <c r="B96" s="11">
        <f>IF(MATCH_ENGINE!A96="","",MATCH_ENGINE!C96)</f>
        <v/>
      </c>
      <c r="C96" s="10">
        <f>IF(MATCH_ENGINE!A96="","",MATCH_ENGINE!B96)</f>
        <v/>
      </c>
      <c r="D96" s="16">
        <f>IF(MATCH_ENGINE!A96="","",MATCH_ENGINE!D96)</f>
        <v/>
      </c>
      <c r="E96" s="11">
        <f>IF(MATCH_ENGINE!A96="","",MATCH_ENGINE!F96)</f>
        <v/>
      </c>
      <c r="F96" s="10">
        <f>IF(MATCH_ENGINE!A96="","",MATCH_ENGINE!I96)</f>
        <v/>
      </c>
      <c r="G96" s="16">
        <f>IF(MATCH_ENGINE!H96="","",IF(MATCH_ENGINE!F96="IN",MATCH_ENGINE!J96,""))</f>
        <v/>
      </c>
      <c r="H96" s="16">
        <f>IF(MATCH_ENGINE!H96="","",IF(MATCH_ENGINE!F96="OUT",MATCH_ENGINE!J96,""))</f>
        <v/>
      </c>
      <c r="I96" s="16">
        <f>IF(MATCH_ENGINE!H96="","",MATCH_ENGINE!J96)</f>
        <v/>
      </c>
      <c r="J96" s="12">
        <f>IF(MATCH_ENGINE!A96="","",MATCH_ENGINE!K96)</f>
        <v/>
      </c>
      <c r="K96" s="11">
        <f>IF(MATCH_ENGINE!A96="","",MATCH_ENGINE!L96)</f>
        <v/>
      </c>
      <c r="L96" s="17">
        <f>IF(MATCH_ENGINE!A96="","",MATCH_ENGINE!M96)</f>
        <v/>
      </c>
      <c r="M96" s="11">
        <f>IF(MATCH_ENGINE!A96="","",GL_CLEAN!F96)</f>
        <v/>
      </c>
      <c r="N96" s="11">
        <f>IF(MATCH_ENGINE!A96="","",GL_CLEAN!G96)</f>
        <v/>
      </c>
      <c r="O96" s="11">
        <f>IF(MATCH_ENGINE!H96="","",INDEX(BANK_CLEAN!$C$2:$C$1001,MATCH_ENGINE!H96))</f>
        <v/>
      </c>
      <c r="P96" s="11" t="inlineStr"/>
    </row>
    <row r="97">
      <c r="A97" s="11">
        <f>IF(MATCH_ENGINE!A97="","",MATCH_ENGINE!N97)</f>
        <v/>
      </c>
      <c r="B97" s="11">
        <f>IF(MATCH_ENGINE!A97="","",MATCH_ENGINE!C97)</f>
        <v/>
      </c>
      <c r="C97" s="10">
        <f>IF(MATCH_ENGINE!A97="","",MATCH_ENGINE!B97)</f>
        <v/>
      </c>
      <c r="D97" s="16">
        <f>IF(MATCH_ENGINE!A97="","",MATCH_ENGINE!D97)</f>
        <v/>
      </c>
      <c r="E97" s="11">
        <f>IF(MATCH_ENGINE!A97="","",MATCH_ENGINE!F97)</f>
        <v/>
      </c>
      <c r="F97" s="10">
        <f>IF(MATCH_ENGINE!A97="","",MATCH_ENGINE!I97)</f>
        <v/>
      </c>
      <c r="G97" s="16">
        <f>IF(MATCH_ENGINE!H97="","",IF(MATCH_ENGINE!F97="IN",MATCH_ENGINE!J97,""))</f>
        <v/>
      </c>
      <c r="H97" s="16">
        <f>IF(MATCH_ENGINE!H97="","",IF(MATCH_ENGINE!F97="OUT",MATCH_ENGINE!J97,""))</f>
        <v/>
      </c>
      <c r="I97" s="16">
        <f>IF(MATCH_ENGINE!H97="","",MATCH_ENGINE!J97)</f>
        <v/>
      </c>
      <c r="J97" s="12">
        <f>IF(MATCH_ENGINE!A97="","",MATCH_ENGINE!K97)</f>
        <v/>
      </c>
      <c r="K97" s="11">
        <f>IF(MATCH_ENGINE!A97="","",MATCH_ENGINE!L97)</f>
        <v/>
      </c>
      <c r="L97" s="17">
        <f>IF(MATCH_ENGINE!A97="","",MATCH_ENGINE!M97)</f>
        <v/>
      </c>
      <c r="M97" s="11">
        <f>IF(MATCH_ENGINE!A97="","",GL_CLEAN!F97)</f>
        <v/>
      </c>
      <c r="N97" s="11">
        <f>IF(MATCH_ENGINE!A97="","",GL_CLEAN!G97)</f>
        <v/>
      </c>
      <c r="O97" s="11">
        <f>IF(MATCH_ENGINE!H97="","",INDEX(BANK_CLEAN!$C$2:$C$1001,MATCH_ENGINE!H97))</f>
        <v/>
      </c>
      <c r="P97" s="11" t="inlineStr"/>
    </row>
    <row r="98">
      <c r="A98" s="11">
        <f>IF(MATCH_ENGINE!A98="","",MATCH_ENGINE!N98)</f>
        <v/>
      </c>
      <c r="B98" s="11">
        <f>IF(MATCH_ENGINE!A98="","",MATCH_ENGINE!C98)</f>
        <v/>
      </c>
      <c r="C98" s="10">
        <f>IF(MATCH_ENGINE!A98="","",MATCH_ENGINE!B98)</f>
        <v/>
      </c>
      <c r="D98" s="16">
        <f>IF(MATCH_ENGINE!A98="","",MATCH_ENGINE!D98)</f>
        <v/>
      </c>
      <c r="E98" s="11">
        <f>IF(MATCH_ENGINE!A98="","",MATCH_ENGINE!F98)</f>
        <v/>
      </c>
      <c r="F98" s="10">
        <f>IF(MATCH_ENGINE!A98="","",MATCH_ENGINE!I98)</f>
        <v/>
      </c>
      <c r="G98" s="16">
        <f>IF(MATCH_ENGINE!H98="","",IF(MATCH_ENGINE!F98="IN",MATCH_ENGINE!J98,""))</f>
        <v/>
      </c>
      <c r="H98" s="16">
        <f>IF(MATCH_ENGINE!H98="","",IF(MATCH_ENGINE!F98="OUT",MATCH_ENGINE!J98,""))</f>
        <v/>
      </c>
      <c r="I98" s="16">
        <f>IF(MATCH_ENGINE!H98="","",MATCH_ENGINE!J98)</f>
        <v/>
      </c>
      <c r="J98" s="12">
        <f>IF(MATCH_ENGINE!A98="","",MATCH_ENGINE!K98)</f>
        <v/>
      </c>
      <c r="K98" s="11">
        <f>IF(MATCH_ENGINE!A98="","",MATCH_ENGINE!L98)</f>
        <v/>
      </c>
      <c r="L98" s="17">
        <f>IF(MATCH_ENGINE!A98="","",MATCH_ENGINE!M98)</f>
        <v/>
      </c>
      <c r="M98" s="11">
        <f>IF(MATCH_ENGINE!A98="","",GL_CLEAN!F98)</f>
        <v/>
      </c>
      <c r="N98" s="11">
        <f>IF(MATCH_ENGINE!A98="","",GL_CLEAN!G98)</f>
        <v/>
      </c>
      <c r="O98" s="11">
        <f>IF(MATCH_ENGINE!H98="","",INDEX(BANK_CLEAN!$C$2:$C$1001,MATCH_ENGINE!H98))</f>
        <v/>
      </c>
      <c r="P98" s="11" t="inlineStr"/>
    </row>
    <row r="99">
      <c r="A99" s="11">
        <f>IF(MATCH_ENGINE!A99="","",MATCH_ENGINE!N99)</f>
        <v/>
      </c>
      <c r="B99" s="11">
        <f>IF(MATCH_ENGINE!A99="","",MATCH_ENGINE!C99)</f>
        <v/>
      </c>
      <c r="C99" s="10">
        <f>IF(MATCH_ENGINE!A99="","",MATCH_ENGINE!B99)</f>
        <v/>
      </c>
      <c r="D99" s="16">
        <f>IF(MATCH_ENGINE!A99="","",MATCH_ENGINE!D99)</f>
        <v/>
      </c>
      <c r="E99" s="11">
        <f>IF(MATCH_ENGINE!A99="","",MATCH_ENGINE!F99)</f>
        <v/>
      </c>
      <c r="F99" s="10">
        <f>IF(MATCH_ENGINE!A99="","",MATCH_ENGINE!I99)</f>
        <v/>
      </c>
      <c r="G99" s="16">
        <f>IF(MATCH_ENGINE!H99="","",IF(MATCH_ENGINE!F99="IN",MATCH_ENGINE!J99,""))</f>
        <v/>
      </c>
      <c r="H99" s="16">
        <f>IF(MATCH_ENGINE!H99="","",IF(MATCH_ENGINE!F99="OUT",MATCH_ENGINE!J99,""))</f>
        <v/>
      </c>
      <c r="I99" s="16">
        <f>IF(MATCH_ENGINE!H99="","",MATCH_ENGINE!J99)</f>
        <v/>
      </c>
      <c r="J99" s="12">
        <f>IF(MATCH_ENGINE!A99="","",MATCH_ENGINE!K99)</f>
        <v/>
      </c>
      <c r="K99" s="11">
        <f>IF(MATCH_ENGINE!A99="","",MATCH_ENGINE!L99)</f>
        <v/>
      </c>
      <c r="L99" s="17">
        <f>IF(MATCH_ENGINE!A99="","",MATCH_ENGINE!M99)</f>
        <v/>
      </c>
      <c r="M99" s="11">
        <f>IF(MATCH_ENGINE!A99="","",GL_CLEAN!F99)</f>
        <v/>
      </c>
      <c r="N99" s="11">
        <f>IF(MATCH_ENGINE!A99="","",GL_CLEAN!G99)</f>
        <v/>
      </c>
      <c r="O99" s="11">
        <f>IF(MATCH_ENGINE!H99="","",INDEX(BANK_CLEAN!$C$2:$C$1001,MATCH_ENGINE!H99))</f>
        <v/>
      </c>
      <c r="P99" s="11" t="inlineStr"/>
    </row>
    <row r="100">
      <c r="A100" s="11">
        <f>IF(MATCH_ENGINE!A100="","",MATCH_ENGINE!N100)</f>
        <v/>
      </c>
      <c r="B100" s="11">
        <f>IF(MATCH_ENGINE!A100="","",MATCH_ENGINE!C100)</f>
        <v/>
      </c>
      <c r="C100" s="10">
        <f>IF(MATCH_ENGINE!A100="","",MATCH_ENGINE!B100)</f>
        <v/>
      </c>
      <c r="D100" s="16">
        <f>IF(MATCH_ENGINE!A100="","",MATCH_ENGINE!D100)</f>
        <v/>
      </c>
      <c r="E100" s="11">
        <f>IF(MATCH_ENGINE!A100="","",MATCH_ENGINE!F100)</f>
        <v/>
      </c>
      <c r="F100" s="10">
        <f>IF(MATCH_ENGINE!A100="","",MATCH_ENGINE!I100)</f>
        <v/>
      </c>
      <c r="G100" s="16">
        <f>IF(MATCH_ENGINE!H100="","",IF(MATCH_ENGINE!F100="IN",MATCH_ENGINE!J100,""))</f>
        <v/>
      </c>
      <c r="H100" s="16">
        <f>IF(MATCH_ENGINE!H100="","",IF(MATCH_ENGINE!F100="OUT",MATCH_ENGINE!J100,""))</f>
        <v/>
      </c>
      <c r="I100" s="16">
        <f>IF(MATCH_ENGINE!H100="","",MATCH_ENGINE!J100)</f>
        <v/>
      </c>
      <c r="J100" s="12">
        <f>IF(MATCH_ENGINE!A100="","",MATCH_ENGINE!K100)</f>
        <v/>
      </c>
      <c r="K100" s="11">
        <f>IF(MATCH_ENGINE!A100="","",MATCH_ENGINE!L100)</f>
        <v/>
      </c>
      <c r="L100" s="17">
        <f>IF(MATCH_ENGINE!A100="","",MATCH_ENGINE!M100)</f>
        <v/>
      </c>
      <c r="M100" s="11">
        <f>IF(MATCH_ENGINE!A100="","",GL_CLEAN!F100)</f>
        <v/>
      </c>
      <c r="N100" s="11">
        <f>IF(MATCH_ENGINE!A100="","",GL_CLEAN!G100)</f>
        <v/>
      </c>
      <c r="O100" s="11">
        <f>IF(MATCH_ENGINE!H100="","",INDEX(BANK_CLEAN!$C$2:$C$1001,MATCH_ENGINE!H100))</f>
        <v/>
      </c>
      <c r="P100" s="11" t="inlineStr"/>
    </row>
    <row r="101">
      <c r="A101" s="11">
        <f>IF(MATCH_ENGINE!A101="","",MATCH_ENGINE!N101)</f>
        <v/>
      </c>
      <c r="B101" s="11">
        <f>IF(MATCH_ENGINE!A101="","",MATCH_ENGINE!C101)</f>
        <v/>
      </c>
      <c r="C101" s="10">
        <f>IF(MATCH_ENGINE!A101="","",MATCH_ENGINE!B101)</f>
        <v/>
      </c>
      <c r="D101" s="16">
        <f>IF(MATCH_ENGINE!A101="","",MATCH_ENGINE!D101)</f>
        <v/>
      </c>
      <c r="E101" s="11">
        <f>IF(MATCH_ENGINE!A101="","",MATCH_ENGINE!F101)</f>
        <v/>
      </c>
      <c r="F101" s="10">
        <f>IF(MATCH_ENGINE!A101="","",MATCH_ENGINE!I101)</f>
        <v/>
      </c>
      <c r="G101" s="16">
        <f>IF(MATCH_ENGINE!H101="","",IF(MATCH_ENGINE!F101="IN",MATCH_ENGINE!J101,""))</f>
        <v/>
      </c>
      <c r="H101" s="16">
        <f>IF(MATCH_ENGINE!H101="","",IF(MATCH_ENGINE!F101="OUT",MATCH_ENGINE!J101,""))</f>
        <v/>
      </c>
      <c r="I101" s="16">
        <f>IF(MATCH_ENGINE!H101="","",MATCH_ENGINE!J101)</f>
        <v/>
      </c>
      <c r="J101" s="12">
        <f>IF(MATCH_ENGINE!A101="","",MATCH_ENGINE!K101)</f>
        <v/>
      </c>
      <c r="K101" s="11">
        <f>IF(MATCH_ENGINE!A101="","",MATCH_ENGINE!L101)</f>
        <v/>
      </c>
      <c r="L101" s="17">
        <f>IF(MATCH_ENGINE!A101="","",MATCH_ENGINE!M101)</f>
        <v/>
      </c>
      <c r="M101" s="11">
        <f>IF(MATCH_ENGINE!A101="","",GL_CLEAN!F101)</f>
        <v/>
      </c>
      <c r="N101" s="11">
        <f>IF(MATCH_ENGINE!A101="","",GL_CLEAN!G101)</f>
        <v/>
      </c>
      <c r="O101" s="11">
        <f>IF(MATCH_ENGINE!H101="","",INDEX(BANK_CLEAN!$C$2:$C$1001,MATCH_ENGINE!H101))</f>
        <v/>
      </c>
      <c r="P101" s="11" t="inlineStr"/>
    </row>
    <row r="102">
      <c r="A102" s="11">
        <f>IF(MATCH_ENGINE!A102="","",MATCH_ENGINE!N102)</f>
        <v/>
      </c>
      <c r="B102" s="11">
        <f>IF(MATCH_ENGINE!A102="","",MATCH_ENGINE!C102)</f>
        <v/>
      </c>
      <c r="C102" s="10">
        <f>IF(MATCH_ENGINE!A102="","",MATCH_ENGINE!B102)</f>
        <v/>
      </c>
      <c r="D102" s="16">
        <f>IF(MATCH_ENGINE!A102="","",MATCH_ENGINE!D102)</f>
        <v/>
      </c>
      <c r="E102" s="11">
        <f>IF(MATCH_ENGINE!A102="","",MATCH_ENGINE!F102)</f>
        <v/>
      </c>
      <c r="F102" s="10">
        <f>IF(MATCH_ENGINE!A102="","",MATCH_ENGINE!I102)</f>
        <v/>
      </c>
      <c r="G102" s="16">
        <f>IF(MATCH_ENGINE!H102="","",IF(MATCH_ENGINE!F102="IN",MATCH_ENGINE!J102,""))</f>
        <v/>
      </c>
      <c r="H102" s="16">
        <f>IF(MATCH_ENGINE!H102="","",IF(MATCH_ENGINE!F102="OUT",MATCH_ENGINE!J102,""))</f>
        <v/>
      </c>
      <c r="I102" s="16">
        <f>IF(MATCH_ENGINE!H102="","",MATCH_ENGINE!J102)</f>
        <v/>
      </c>
      <c r="J102" s="12">
        <f>IF(MATCH_ENGINE!A102="","",MATCH_ENGINE!K102)</f>
        <v/>
      </c>
      <c r="K102" s="11">
        <f>IF(MATCH_ENGINE!A102="","",MATCH_ENGINE!L102)</f>
        <v/>
      </c>
      <c r="L102" s="17">
        <f>IF(MATCH_ENGINE!A102="","",MATCH_ENGINE!M102)</f>
        <v/>
      </c>
      <c r="M102" s="11">
        <f>IF(MATCH_ENGINE!A102="","",GL_CLEAN!F102)</f>
        <v/>
      </c>
      <c r="N102" s="11">
        <f>IF(MATCH_ENGINE!A102="","",GL_CLEAN!G102)</f>
        <v/>
      </c>
      <c r="O102" s="11">
        <f>IF(MATCH_ENGINE!H102="","",INDEX(BANK_CLEAN!$C$2:$C$1001,MATCH_ENGINE!H102))</f>
        <v/>
      </c>
      <c r="P102" s="11" t="inlineStr"/>
    </row>
    <row r="103">
      <c r="A103" s="11">
        <f>IF(MATCH_ENGINE!A103="","",MATCH_ENGINE!N103)</f>
        <v/>
      </c>
      <c r="B103" s="11">
        <f>IF(MATCH_ENGINE!A103="","",MATCH_ENGINE!C103)</f>
        <v/>
      </c>
      <c r="C103" s="10">
        <f>IF(MATCH_ENGINE!A103="","",MATCH_ENGINE!B103)</f>
        <v/>
      </c>
      <c r="D103" s="16">
        <f>IF(MATCH_ENGINE!A103="","",MATCH_ENGINE!D103)</f>
        <v/>
      </c>
      <c r="E103" s="11">
        <f>IF(MATCH_ENGINE!A103="","",MATCH_ENGINE!F103)</f>
        <v/>
      </c>
      <c r="F103" s="10">
        <f>IF(MATCH_ENGINE!A103="","",MATCH_ENGINE!I103)</f>
        <v/>
      </c>
      <c r="G103" s="16">
        <f>IF(MATCH_ENGINE!H103="","",IF(MATCH_ENGINE!F103="IN",MATCH_ENGINE!J103,""))</f>
        <v/>
      </c>
      <c r="H103" s="16">
        <f>IF(MATCH_ENGINE!H103="","",IF(MATCH_ENGINE!F103="OUT",MATCH_ENGINE!J103,""))</f>
        <v/>
      </c>
      <c r="I103" s="16">
        <f>IF(MATCH_ENGINE!H103="","",MATCH_ENGINE!J103)</f>
        <v/>
      </c>
      <c r="J103" s="12">
        <f>IF(MATCH_ENGINE!A103="","",MATCH_ENGINE!K103)</f>
        <v/>
      </c>
      <c r="K103" s="11">
        <f>IF(MATCH_ENGINE!A103="","",MATCH_ENGINE!L103)</f>
        <v/>
      </c>
      <c r="L103" s="17">
        <f>IF(MATCH_ENGINE!A103="","",MATCH_ENGINE!M103)</f>
        <v/>
      </c>
      <c r="M103" s="11">
        <f>IF(MATCH_ENGINE!A103="","",GL_CLEAN!F103)</f>
        <v/>
      </c>
      <c r="N103" s="11">
        <f>IF(MATCH_ENGINE!A103="","",GL_CLEAN!G103)</f>
        <v/>
      </c>
      <c r="O103" s="11">
        <f>IF(MATCH_ENGINE!H103="","",INDEX(BANK_CLEAN!$C$2:$C$1001,MATCH_ENGINE!H103))</f>
        <v/>
      </c>
      <c r="P103" s="11" t="inlineStr"/>
    </row>
    <row r="104">
      <c r="A104" s="11">
        <f>IF(MATCH_ENGINE!A104="","",MATCH_ENGINE!N104)</f>
        <v/>
      </c>
      <c r="B104" s="11">
        <f>IF(MATCH_ENGINE!A104="","",MATCH_ENGINE!C104)</f>
        <v/>
      </c>
      <c r="C104" s="10">
        <f>IF(MATCH_ENGINE!A104="","",MATCH_ENGINE!B104)</f>
        <v/>
      </c>
      <c r="D104" s="16">
        <f>IF(MATCH_ENGINE!A104="","",MATCH_ENGINE!D104)</f>
        <v/>
      </c>
      <c r="E104" s="11">
        <f>IF(MATCH_ENGINE!A104="","",MATCH_ENGINE!F104)</f>
        <v/>
      </c>
      <c r="F104" s="10">
        <f>IF(MATCH_ENGINE!A104="","",MATCH_ENGINE!I104)</f>
        <v/>
      </c>
      <c r="G104" s="16">
        <f>IF(MATCH_ENGINE!H104="","",IF(MATCH_ENGINE!F104="IN",MATCH_ENGINE!J104,""))</f>
        <v/>
      </c>
      <c r="H104" s="16">
        <f>IF(MATCH_ENGINE!H104="","",IF(MATCH_ENGINE!F104="OUT",MATCH_ENGINE!J104,""))</f>
        <v/>
      </c>
      <c r="I104" s="16">
        <f>IF(MATCH_ENGINE!H104="","",MATCH_ENGINE!J104)</f>
        <v/>
      </c>
      <c r="J104" s="12">
        <f>IF(MATCH_ENGINE!A104="","",MATCH_ENGINE!K104)</f>
        <v/>
      </c>
      <c r="K104" s="11">
        <f>IF(MATCH_ENGINE!A104="","",MATCH_ENGINE!L104)</f>
        <v/>
      </c>
      <c r="L104" s="17">
        <f>IF(MATCH_ENGINE!A104="","",MATCH_ENGINE!M104)</f>
        <v/>
      </c>
      <c r="M104" s="11">
        <f>IF(MATCH_ENGINE!A104="","",GL_CLEAN!F104)</f>
        <v/>
      </c>
      <c r="N104" s="11">
        <f>IF(MATCH_ENGINE!A104="","",GL_CLEAN!G104)</f>
        <v/>
      </c>
      <c r="O104" s="11">
        <f>IF(MATCH_ENGINE!H104="","",INDEX(BANK_CLEAN!$C$2:$C$1001,MATCH_ENGINE!H104))</f>
        <v/>
      </c>
      <c r="P104" s="11" t="inlineStr"/>
    </row>
    <row r="105">
      <c r="A105" s="11">
        <f>IF(MATCH_ENGINE!A105="","",MATCH_ENGINE!N105)</f>
        <v/>
      </c>
      <c r="B105" s="11">
        <f>IF(MATCH_ENGINE!A105="","",MATCH_ENGINE!C105)</f>
        <v/>
      </c>
      <c r="C105" s="10">
        <f>IF(MATCH_ENGINE!A105="","",MATCH_ENGINE!B105)</f>
        <v/>
      </c>
      <c r="D105" s="16">
        <f>IF(MATCH_ENGINE!A105="","",MATCH_ENGINE!D105)</f>
        <v/>
      </c>
      <c r="E105" s="11">
        <f>IF(MATCH_ENGINE!A105="","",MATCH_ENGINE!F105)</f>
        <v/>
      </c>
      <c r="F105" s="10">
        <f>IF(MATCH_ENGINE!A105="","",MATCH_ENGINE!I105)</f>
        <v/>
      </c>
      <c r="G105" s="16">
        <f>IF(MATCH_ENGINE!H105="","",IF(MATCH_ENGINE!F105="IN",MATCH_ENGINE!J105,""))</f>
        <v/>
      </c>
      <c r="H105" s="16">
        <f>IF(MATCH_ENGINE!H105="","",IF(MATCH_ENGINE!F105="OUT",MATCH_ENGINE!J105,""))</f>
        <v/>
      </c>
      <c r="I105" s="16">
        <f>IF(MATCH_ENGINE!H105="","",MATCH_ENGINE!J105)</f>
        <v/>
      </c>
      <c r="J105" s="12">
        <f>IF(MATCH_ENGINE!A105="","",MATCH_ENGINE!K105)</f>
        <v/>
      </c>
      <c r="K105" s="11">
        <f>IF(MATCH_ENGINE!A105="","",MATCH_ENGINE!L105)</f>
        <v/>
      </c>
      <c r="L105" s="17">
        <f>IF(MATCH_ENGINE!A105="","",MATCH_ENGINE!M105)</f>
        <v/>
      </c>
      <c r="M105" s="11">
        <f>IF(MATCH_ENGINE!A105="","",GL_CLEAN!F105)</f>
        <v/>
      </c>
      <c r="N105" s="11">
        <f>IF(MATCH_ENGINE!A105="","",GL_CLEAN!G105)</f>
        <v/>
      </c>
      <c r="O105" s="11">
        <f>IF(MATCH_ENGINE!H105="","",INDEX(BANK_CLEAN!$C$2:$C$1001,MATCH_ENGINE!H105))</f>
        <v/>
      </c>
      <c r="P105" s="11" t="inlineStr"/>
    </row>
    <row r="106">
      <c r="A106" s="11">
        <f>IF(MATCH_ENGINE!A106="","",MATCH_ENGINE!N106)</f>
        <v/>
      </c>
      <c r="B106" s="11">
        <f>IF(MATCH_ENGINE!A106="","",MATCH_ENGINE!C106)</f>
        <v/>
      </c>
      <c r="C106" s="10">
        <f>IF(MATCH_ENGINE!A106="","",MATCH_ENGINE!B106)</f>
        <v/>
      </c>
      <c r="D106" s="16">
        <f>IF(MATCH_ENGINE!A106="","",MATCH_ENGINE!D106)</f>
        <v/>
      </c>
      <c r="E106" s="11">
        <f>IF(MATCH_ENGINE!A106="","",MATCH_ENGINE!F106)</f>
        <v/>
      </c>
      <c r="F106" s="10">
        <f>IF(MATCH_ENGINE!A106="","",MATCH_ENGINE!I106)</f>
        <v/>
      </c>
      <c r="G106" s="16">
        <f>IF(MATCH_ENGINE!H106="","",IF(MATCH_ENGINE!F106="IN",MATCH_ENGINE!J106,""))</f>
        <v/>
      </c>
      <c r="H106" s="16">
        <f>IF(MATCH_ENGINE!H106="","",IF(MATCH_ENGINE!F106="OUT",MATCH_ENGINE!J106,""))</f>
        <v/>
      </c>
      <c r="I106" s="16">
        <f>IF(MATCH_ENGINE!H106="","",MATCH_ENGINE!J106)</f>
        <v/>
      </c>
      <c r="J106" s="12">
        <f>IF(MATCH_ENGINE!A106="","",MATCH_ENGINE!K106)</f>
        <v/>
      </c>
      <c r="K106" s="11">
        <f>IF(MATCH_ENGINE!A106="","",MATCH_ENGINE!L106)</f>
        <v/>
      </c>
      <c r="L106" s="17">
        <f>IF(MATCH_ENGINE!A106="","",MATCH_ENGINE!M106)</f>
        <v/>
      </c>
      <c r="M106" s="11">
        <f>IF(MATCH_ENGINE!A106="","",GL_CLEAN!F106)</f>
        <v/>
      </c>
      <c r="N106" s="11">
        <f>IF(MATCH_ENGINE!A106="","",GL_CLEAN!G106)</f>
        <v/>
      </c>
      <c r="O106" s="11">
        <f>IF(MATCH_ENGINE!H106="","",INDEX(BANK_CLEAN!$C$2:$C$1001,MATCH_ENGINE!H106))</f>
        <v/>
      </c>
      <c r="P106" s="11" t="inlineStr"/>
    </row>
    <row r="107">
      <c r="A107" s="11">
        <f>IF(MATCH_ENGINE!A107="","",MATCH_ENGINE!N107)</f>
        <v/>
      </c>
      <c r="B107" s="11">
        <f>IF(MATCH_ENGINE!A107="","",MATCH_ENGINE!C107)</f>
        <v/>
      </c>
      <c r="C107" s="10">
        <f>IF(MATCH_ENGINE!A107="","",MATCH_ENGINE!B107)</f>
        <v/>
      </c>
      <c r="D107" s="16">
        <f>IF(MATCH_ENGINE!A107="","",MATCH_ENGINE!D107)</f>
        <v/>
      </c>
      <c r="E107" s="11">
        <f>IF(MATCH_ENGINE!A107="","",MATCH_ENGINE!F107)</f>
        <v/>
      </c>
      <c r="F107" s="10">
        <f>IF(MATCH_ENGINE!A107="","",MATCH_ENGINE!I107)</f>
        <v/>
      </c>
      <c r="G107" s="16">
        <f>IF(MATCH_ENGINE!H107="","",IF(MATCH_ENGINE!F107="IN",MATCH_ENGINE!J107,""))</f>
        <v/>
      </c>
      <c r="H107" s="16">
        <f>IF(MATCH_ENGINE!H107="","",IF(MATCH_ENGINE!F107="OUT",MATCH_ENGINE!J107,""))</f>
        <v/>
      </c>
      <c r="I107" s="16">
        <f>IF(MATCH_ENGINE!H107="","",MATCH_ENGINE!J107)</f>
        <v/>
      </c>
      <c r="J107" s="12">
        <f>IF(MATCH_ENGINE!A107="","",MATCH_ENGINE!K107)</f>
        <v/>
      </c>
      <c r="K107" s="11">
        <f>IF(MATCH_ENGINE!A107="","",MATCH_ENGINE!L107)</f>
        <v/>
      </c>
      <c r="L107" s="17">
        <f>IF(MATCH_ENGINE!A107="","",MATCH_ENGINE!M107)</f>
        <v/>
      </c>
      <c r="M107" s="11">
        <f>IF(MATCH_ENGINE!A107="","",GL_CLEAN!F107)</f>
        <v/>
      </c>
      <c r="N107" s="11">
        <f>IF(MATCH_ENGINE!A107="","",GL_CLEAN!G107)</f>
        <v/>
      </c>
      <c r="O107" s="11">
        <f>IF(MATCH_ENGINE!H107="","",INDEX(BANK_CLEAN!$C$2:$C$1001,MATCH_ENGINE!H107))</f>
        <v/>
      </c>
      <c r="P107" s="11" t="inlineStr"/>
    </row>
    <row r="108">
      <c r="A108" s="11">
        <f>IF(MATCH_ENGINE!A108="","",MATCH_ENGINE!N108)</f>
        <v/>
      </c>
      <c r="B108" s="11">
        <f>IF(MATCH_ENGINE!A108="","",MATCH_ENGINE!C108)</f>
        <v/>
      </c>
      <c r="C108" s="10">
        <f>IF(MATCH_ENGINE!A108="","",MATCH_ENGINE!B108)</f>
        <v/>
      </c>
      <c r="D108" s="16">
        <f>IF(MATCH_ENGINE!A108="","",MATCH_ENGINE!D108)</f>
        <v/>
      </c>
      <c r="E108" s="11">
        <f>IF(MATCH_ENGINE!A108="","",MATCH_ENGINE!F108)</f>
        <v/>
      </c>
      <c r="F108" s="10">
        <f>IF(MATCH_ENGINE!A108="","",MATCH_ENGINE!I108)</f>
        <v/>
      </c>
      <c r="G108" s="16">
        <f>IF(MATCH_ENGINE!H108="","",IF(MATCH_ENGINE!F108="IN",MATCH_ENGINE!J108,""))</f>
        <v/>
      </c>
      <c r="H108" s="16">
        <f>IF(MATCH_ENGINE!H108="","",IF(MATCH_ENGINE!F108="OUT",MATCH_ENGINE!J108,""))</f>
        <v/>
      </c>
      <c r="I108" s="16">
        <f>IF(MATCH_ENGINE!H108="","",MATCH_ENGINE!J108)</f>
        <v/>
      </c>
      <c r="J108" s="12">
        <f>IF(MATCH_ENGINE!A108="","",MATCH_ENGINE!K108)</f>
        <v/>
      </c>
      <c r="K108" s="11">
        <f>IF(MATCH_ENGINE!A108="","",MATCH_ENGINE!L108)</f>
        <v/>
      </c>
      <c r="L108" s="17">
        <f>IF(MATCH_ENGINE!A108="","",MATCH_ENGINE!M108)</f>
        <v/>
      </c>
      <c r="M108" s="11">
        <f>IF(MATCH_ENGINE!A108="","",GL_CLEAN!F108)</f>
        <v/>
      </c>
      <c r="N108" s="11">
        <f>IF(MATCH_ENGINE!A108="","",GL_CLEAN!G108)</f>
        <v/>
      </c>
      <c r="O108" s="11">
        <f>IF(MATCH_ENGINE!H108="","",INDEX(BANK_CLEAN!$C$2:$C$1001,MATCH_ENGINE!H108))</f>
        <v/>
      </c>
      <c r="P108" s="11" t="inlineStr"/>
    </row>
    <row r="109">
      <c r="A109" s="11">
        <f>IF(MATCH_ENGINE!A109="","",MATCH_ENGINE!N109)</f>
        <v/>
      </c>
      <c r="B109" s="11">
        <f>IF(MATCH_ENGINE!A109="","",MATCH_ENGINE!C109)</f>
        <v/>
      </c>
      <c r="C109" s="10">
        <f>IF(MATCH_ENGINE!A109="","",MATCH_ENGINE!B109)</f>
        <v/>
      </c>
      <c r="D109" s="16">
        <f>IF(MATCH_ENGINE!A109="","",MATCH_ENGINE!D109)</f>
        <v/>
      </c>
      <c r="E109" s="11">
        <f>IF(MATCH_ENGINE!A109="","",MATCH_ENGINE!F109)</f>
        <v/>
      </c>
      <c r="F109" s="10">
        <f>IF(MATCH_ENGINE!A109="","",MATCH_ENGINE!I109)</f>
        <v/>
      </c>
      <c r="G109" s="16">
        <f>IF(MATCH_ENGINE!H109="","",IF(MATCH_ENGINE!F109="IN",MATCH_ENGINE!J109,""))</f>
        <v/>
      </c>
      <c r="H109" s="16">
        <f>IF(MATCH_ENGINE!H109="","",IF(MATCH_ENGINE!F109="OUT",MATCH_ENGINE!J109,""))</f>
        <v/>
      </c>
      <c r="I109" s="16">
        <f>IF(MATCH_ENGINE!H109="","",MATCH_ENGINE!J109)</f>
        <v/>
      </c>
      <c r="J109" s="12">
        <f>IF(MATCH_ENGINE!A109="","",MATCH_ENGINE!K109)</f>
        <v/>
      </c>
      <c r="K109" s="11">
        <f>IF(MATCH_ENGINE!A109="","",MATCH_ENGINE!L109)</f>
        <v/>
      </c>
      <c r="L109" s="17">
        <f>IF(MATCH_ENGINE!A109="","",MATCH_ENGINE!M109)</f>
        <v/>
      </c>
      <c r="M109" s="11">
        <f>IF(MATCH_ENGINE!A109="","",GL_CLEAN!F109)</f>
        <v/>
      </c>
      <c r="N109" s="11">
        <f>IF(MATCH_ENGINE!A109="","",GL_CLEAN!G109)</f>
        <v/>
      </c>
      <c r="O109" s="11">
        <f>IF(MATCH_ENGINE!H109="","",INDEX(BANK_CLEAN!$C$2:$C$1001,MATCH_ENGINE!H109))</f>
        <v/>
      </c>
      <c r="P109" s="11" t="inlineStr"/>
    </row>
    <row r="110">
      <c r="A110" s="11">
        <f>IF(MATCH_ENGINE!A110="","",MATCH_ENGINE!N110)</f>
        <v/>
      </c>
      <c r="B110" s="11">
        <f>IF(MATCH_ENGINE!A110="","",MATCH_ENGINE!C110)</f>
        <v/>
      </c>
      <c r="C110" s="10">
        <f>IF(MATCH_ENGINE!A110="","",MATCH_ENGINE!B110)</f>
        <v/>
      </c>
      <c r="D110" s="16">
        <f>IF(MATCH_ENGINE!A110="","",MATCH_ENGINE!D110)</f>
        <v/>
      </c>
      <c r="E110" s="11">
        <f>IF(MATCH_ENGINE!A110="","",MATCH_ENGINE!F110)</f>
        <v/>
      </c>
      <c r="F110" s="10">
        <f>IF(MATCH_ENGINE!A110="","",MATCH_ENGINE!I110)</f>
        <v/>
      </c>
      <c r="G110" s="16">
        <f>IF(MATCH_ENGINE!H110="","",IF(MATCH_ENGINE!F110="IN",MATCH_ENGINE!J110,""))</f>
        <v/>
      </c>
      <c r="H110" s="16">
        <f>IF(MATCH_ENGINE!H110="","",IF(MATCH_ENGINE!F110="OUT",MATCH_ENGINE!J110,""))</f>
        <v/>
      </c>
      <c r="I110" s="16">
        <f>IF(MATCH_ENGINE!H110="","",MATCH_ENGINE!J110)</f>
        <v/>
      </c>
      <c r="J110" s="12">
        <f>IF(MATCH_ENGINE!A110="","",MATCH_ENGINE!K110)</f>
        <v/>
      </c>
      <c r="K110" s="11">
        <f>IF(MATCH_ENGINE!A110="","",MATCH_ENGINE!L110)</f>
        <v/>
      </c>
      <c r="L110" s="17">
        <f>IF(MATCH_ENGINE!A110="","",MATCH_ENGINE!M110)</f>
        <v/>
      </c>
      <c r="M110" s="11">
        <f>IF(MATCH_ENGINE!A110="","",GL_CLEAN!F110)</f>
        <v/>
      </c>
      <c r="N110" s="11">
        <f>IF(MATCH_ENGINE!A110="","",GL_CLEAN!G110)</f>
        <v/>
      </c>
      <c r="O110" s="11">
        <f>IF(MATCH_ENGINE!H110="","",INDEX(BANK_CLEAN!$C$2:$C$1001,MATCH_ENGINE!H110))</f>
        <v/>
      </c>
      <c r="P110" s="11" t="inlineStr"/>
    </row>
    <row r="111">
      <c r="A111" s="11">
        <f>IF(MATCH_ENGINE!A111="","",MATCH_ENGINE!N111)</f>
        <v/>
      </c>
      <c r="B111" s="11">
        <f>IF(MATCH_ENGINE!A111="","",MATCH_ENGINE!C111)</f>
        <v/>
      </c>
      <c r="C111" s="10">
        <f>IF(MATCH_ENGINE!A111="","",MATCH_ENGINE!B111)</f>
        <v/>
      </c>
      <c r="D111" s="16">
        <f>IF(MATCH_ENGINE!A111="","",MATCH_ENGINE!D111)</f>
        <v/>
      </c>
      <c r="E111" s="11">
        <f>IF(MATCH_ENGINE!A111="","",MATCH_ENGINE!F111)</f>
        <v/>
      </c>
      <c r="F111" s="10">
        <f>IF(MATCH_ENGINE!A111="","",MATCH_ENGINE!I111)</f>
        <v/>
      </c>
      <c r="G111" s="16">
        <f>IF(MATCH_ENGINE!H111="","",IF(MATCH_ENGINE!F111="IN",MATCH_ENGINE!J111,""))</f>
        <v/>
      </c>
      <c r="H111" s="16">
        <f>IF(MATCH_ENGINE!H111="","",IF(MATCH_ENGINE!F111="OUT",MATCH_ENGINE!J111,""))</f>
        <v/>
      </c>
      <c r="I111" s="16">
        <f>IF(MATCH_ENGINE!H111="","",MATCH_ENGINE!J111)</f>
        <v/>
      </c>
      <c r="J111" s="12">
        <f>IF(MATCH_ENGINE!A111="","",MATCH_ENGINE!K111)</f>
        <v/>
      </c>
      <c r="K111" s="11">
        <f>IF(MATCH_ENGINE!A111="","",MATCH_ENGINE!L111)</f>
        <v/>
      </c>
      <c r="L111" s="17">
        <f>IF(MATCH_ENGINE!A111="","",MATCH_ENGINE!M111)</f>
        <v/>
      </c>
      <c r="M111" s="11">
        <f>IF(MATCH_ENGINE!A111="","",GL_CLEAN!F111)</f>
        <v/>
      </c>
      <c r="N111" s="11">
        <f>IF(MATCH_ENGINE!A111="","",GL_CLEAN!G111)</f>
        <v/>
      </c>
      <c r="O111" s="11">
        <f>IF(MATCH_ENGINE!H111="","",INDEX(BANK_CLEAN!$C$2:$C$1001,MATCH_ENGINE!H111))</f>
        <v/>
      </c>
      <c r="P111" s="11" t="inlineStr"/>
    </row>
    <row r="112">
      <c r="A112" s="11">
        <f>IF(MATCH_ENGINE!A112="","",MATCH_ENGINE!N112)</f>
        <v/>
      </c>
      <c r="B112" s="11">
        <f>IF(MATCH_ENGINE!A112="","",MATCH_ENGINE!C112)</f>
        <v/>
      </c>
      <c r="C112" s="10">
        <f>IF(MATCH_ENGINE!A112="","",MATCH_ENGINE!B112)</f>
        <v/>
      </c>
      <c r="D112" s="16">
        <f>IF(MATCH_ENGINE!A112="","",MATCH_ENGINE!D112)</f>
        <v/>
      </c>
      <c r="E112" s="11">
        <f>IF(MATCH_ENGINE!A112="","",MATCH_ENGINE!F112)</f>
        <v/>
      </c>
      <c r="F112" s="10">
        <f>IF(MATCH_ENGINE!A112="","",MATCH_ENGINE!I112)</f>
        <v/>
      </c>
      <c r="G112" s="16">
        <f>IF(MATCH_ENGINE!H112="","",IF(MATCH_ENGINE!F112="IN",MATCH_ENGINE!J112,""))</f>
        <v/>
      </c>
      <c r="H112" s="16">
        <f>IF(MATCH_ENGINE!H112="","",IF(MATCH_ENGINE!F112="OUT",MATCH_ENGINE!J112,""))</f>
        <v/>
      </c>
      <c r="I112" s="16">
        <f>IF(MATCH_ENGINE!H112="","",MATCH_ENGINE!J112)</f>
        <v/>
      </c>
      <c r="J112" s="12">
        <f>IF(MATCH_ENGINE!A112="","",MATCH_ENGINE!K112)</f>
        <v/>
      </c>
      <c r="K112" s="11">
        <f>IF(MATCH_ENGINE!A112="","",MATCH_ENGINE!L112)</f>
        <v/>
      </c>
      <c r="L112" s="17">
        <f>IF(MATCH_ENGINE!A112="","",MATCH_ENGINE!M112)</f>
        <v/>
      </c>
      <c r="M112" s="11">
        <f>IF(MATCH_ENGINE!A112="","",GL_CLEAN!F112)</f>
        <v/>
      </c>
      <c r="N112" s="11">
        <f>IF(MATCH_ENGINE!A112="","",GL_CLEAN!G112)</f>
        <v/>
      </c>
      <c r="O112" s="11">
        <f>IF(MATCH_ENGINE!H112="","",INDEX(BANK_CLEAN!$C$2:$C$1001,MATCH_ENGINE!H112))</f>
        <v/>
      </c>
      <c r="P112" s="11" t="inlineStr"/>
    </row>
    <row r="113">
      <c r="A113" s="11">
        <f>IF(MATCH_ENGINE!A113="","",MATCH_ENGINE!N113)</f>
        <v/>
      </c>
      <c r="B113" s="11">
        <f>IF(MATCH_ENGINE!A113="","",MATCH_ENGINE!C113)</f>
        <v/>
      </c>
      <c r="C113" s="10">
        <f>IF(MATCH_ENGINE!A113="","",MATCH_ENGINE!B113)</f>
        <v/>
      </c>
      <c r="D113" s="16">
        <f>IF(MATCH_ENGINE!A113="","",MATCH_ENGINE!D113)</f>
        <v/>
      </c>
      <c r="E113" s="11">
        <f>IF(MATCH_ENGINE!A113="","",MATCH_ENGINE!F113)</f>
        <v/>
      </c>
      <c r="F113" s="10">
        <f>IF(MATCH_ENGINE!A113="","",MATCH_ENGINE!I113)</f>
        <v/>
      </c>
      <c r="G113" s="16">
        <f>IF(MATCH_ENGINE!H113="","",IF(MATCH_ENGINE!F113="IN",MATCH_ENGINE!J113,""))</f>
        <v/>
      </c>
      <c r="H113" s="16">
        <f>IF(MATCH_ENGINE!H113="","",IF(MATCH_ENGINE!F113="OUT",MATCH_ENGINE!J113,""))</f>
        <v/>
      </c>
      <c r="I113" s="16">
        <f>IF(MATCH_ENGINE!H113="","",MATCH_ENGINE!J113)</f>
        <v/>
      </c>
      <c r="J113" s="12">
        <f>IF(MATCH_ENGINE!A113="","",MATCH_ENGINE!K113)</f>
        <v/>
      </c>
      <c r="K113" s="11">
        <f>IF(MATCH_ENGINE!A113="","",MATCH_ENGINE!L113)</f>
        <v/>
      </c>
      <c r="L113" s="17">
        <f>IF(MATCH_ENGINE!A113="","",MATCH_ENGINE!M113)</f>
        <v/>
      </c>
      <c r="M113" s="11">
        <f>IF(MATCH_ENGINE!A113="","",GL_CLEAN!F113)</f>
        <v/>
      </c>
      <c r="N113" s="11">
        <f>IF(MATCH_ENGINE!A113="","",GL_CLEAN!G113)</f>
        <v/>
      </c>
      <c r="O113" s="11">
        <f>IF(MATCH_ENGINE!H113="","",INDEX(BANK_CLEAN!$C$2:$C$1001,MATCH_ENGINE!H113))</f>
        <v/>
      </c>
      <c r="P113" s="11" t="inlineStr"/>
    </row>
    <row r="114">
      <c r="A114" s="11">
        <f>IF(MATCH_ENGINE!A114="","",MATCH_ENGINE!N114)</f>
        <v/>
      </c>
      <c r="B114" s="11">
        <f>IF(MATCH_ENGINE!A114="","",MATCH_ENGINE!C114)</f>
        <v/>
      </c>
      <c r="C114" s="10">
        <f>IF(MATCH_ENGINE!A114="","",MATCH_ENGINE!B114)</f>
        <v/>
      </c>
      <c r="D114" s="16">
        <f>IF(MATCH_ENGINE!A114="","",MATCH_ENGINE!D114)</f>
        <v/>
      </c>
      <c r="E114" s="11">
        <f>IF(MATCH_ENGINE!A114="","",MATCH_ENGINE!F114)</f>
        <v/>
      </c>
      <c r="F114" s="10">
        <f>IF(MATCH_ENGINE!A114="","",MATCH_ENGINE!I114)</f>
        <v/>
      </c>
      <c r="G114" s="16">
        <f>IF(MATCH_ENGINE!H114="","",IF(MATCH_ENGINE!F114="IN",MATCH_ENGINE!J114,""))</f>
        <v/>
      </c>
      <c r="H114" s="16">
        <f>IF(MATCH_ENGINE!H114="","",IF(MATCH_ENGINE!F114="OUT",MATCH_ENGINE!J114,""))</f>
        <v/>
      </c>
      <c r="I114" s="16">
        <f>IF(MATCH_ENGINE!H114="","",MATCH_ENGINE!J114)</f>
        <v/>
      </c>
      <c r="J114" s="12">
        <f>IF(MATCH_ENGINE!A114="","",MATCH_ENGINE!K114)</f>
        <v/>
      </c>
      <c r="K114" s="11">
        <f>IF(MATCH_ENGINE!A114="","",MATCH_ENGINE!L114)</f>
        <v/>
      </c>
      <c r="L114" s="17">
        <f>IF(MATCH_ENGINE!A114="","",MATCH_ENGINE!M114)</f>
        <v/>
      </c>
      <c r="M114" s="11">
        <f>IF(MATCH_ENGINE!A114="","",GL_CLEAN!F114)</f>
        <v/>
      </c>
      <c r="N114" s="11">
        <f>IF(MATCH_ENGINE!A114="","",GL_CLEAN!G114)</f>
        <v/>
      </c>
      <c r="O114" s="11">
        <f>IF(MATCH_ENGINE!H114="","",INDEX(BANK_CLEAN!$C$2:$C$1001,MATCH_ENGINE!H114))</f>
        <v/>
      </c>
      <c r="P114" s="11" t="inlineStr"/>
    </row>
    <row r="115">
      <c r="A115" s="11">
        <f>IF(MATCH_ENGINE!A115="","",MATCH_ENGINE!N115)</f>
        <v/>
      </c>
      <c r="B115" s="11">
        <f>IF(MATCH_ENGINE!A115="","",MATCH_ENGINE!C115)</f>
        <v/>
      </c>
      <c r="C115" s="10">
        <f>IF(MATCH_ENGINE!A115="","",MATCH_ENGINE!B115)</f>
        <v/>
      </c>
      <c r="D115" s="16">
        <f>IF(MATCH_ENGINE!A115="","",MATCH_ENGINE!D115)</f>
        <v/>
      </c>
      <c r="E115" s="11">
        <f>IF(MATCH_ENGINE!A115="","",MATCH_ENGINE!F115)</f>
        <v/>
      </c>
      <c r="F115" s="10">
        <f>IF(MATCH_ENGINE!A115="","",MATCH_ENGINE!I115)</f>
        <v/>
      </c>
      <c r="G115" s="16">
        <f>IF(MATCH_ENGINE!H115="","",IF(MATCH_ENGINE!F115="IN",MATCH_ENGINE!J115,""))</f>
        <v/>
      </c>
      <c r="H115" s="16">
        <f>IF(MATCH_ENGINE!H115="","",IF(MATCH_ENGINE!F115="OUT",MATCH_ENGINE!J115,""))</f>
        <v/>
      </c>
      <c r="I115" s="16">
        <f>IF(MATCH_ENGINE!H115="","",MATCH_ENGINE!J115)</f>
        <v/>
      </c>
      <c r="J115" s="12">
        <f>IF(MATCH_ENGINE!A115="","",MATCH_ENGINE!K115)</f>
        <v/>
      </c>
      <c r="K115" s="11">
        <f>IF(MATCH_ENGINE!A115="","",MATCH_ENGINE!L115)</f>
        <v/>
      </c>
      <c r="L115" s="17">
        <f>IF(MATCH_ENGINE!A115="","",MATCH_ENGINE!M115)</f>
        <v/>
      </c>
      <c r="M115" s="11">
        <f>IF(MATCH_ENGINE!A115="","",GL_CLEAN!F115)</f>
        <v/>
      </c>
      <c r="N115" s="11">
        <f>IF(MATCH_ENGINE!A115="","",GL_CLEAN!G115)</f>
        <v/>
      </c>
      <c r="O115" s="11">
        <f>IF(MATCH_ENGINE!H115="","",INDEX(BANK_CLEAN!$C$2:$C$1001,MATCH_ENGINE!H115))</f>
        <v/>
      </c>
      <c r="P115" s="11" t="inlineStr"/>
    </row>
    <row r="116">
      <c r="A116" s="11">
        <f>IF(MATCH_ENGINE!A116="","",MATCH_ENGINE!N116)</f>
        <v/>
      </c>
      <c r="B116" s="11">
        <f>IF(MATCH_ENGINE!A116="","",MATCH_ENGINE!C116)</f>
        <v/>
      </c>
      <c r="C116" s="10">
        <f>IF(MATCH_ENGINE!A116="","",MATCH_ENGINE!B116)</f>
        <v/>
      </c>
      <c r="D116" s="16">
        <f>IF(MATCH_ENGINE!A116="","",MATCH_ENGINE!D116)</f>
        <v/>
      </c>
      <c r="E116" s="11">
        <f>IF(MATCH_ENGINE!A116="","",MATCH_ENGINE!F116)</f>
        <v/>
      </c>
      <c r="F116" s="10">
        <f>IF(MATCH_ENGINE!A116="","",MATCH_ENGINE!I116)</f>
        <v/>
      </c>
      <c r="G116" s="16">
        <f>IF(MATCH_ENGINE!H116="","",IF(MATCH_ENGINE!F116="IN",MATCH_ENGINE!J116,""))</f>
        <v/>
      </c>
      <c r="H116" s="16">
        <f>IF(MATCH_ENGINE!H116="","",IF(MATCH_ENGINE!F116="OUT",MATCH_ENGINE!J116,""))</f>
        <v/>
      </c>
      <c r="I116" s="16">
        <f>IF(MATCH_ENGINE!H116="","",MATCH_ENGINE!J116)</f>
        <v/>
      </c>
      <c r="J116" s="12">
        <f>IF(MATCH_ENGINE!A116="","",MATCH_ENGINE!K116)</f>
        <v/>
      </c>
      <c r="K116" s="11">
        <f>IF(MATCH_ENGINE!A116="","",MATCH_ENGINE!L116)</f>
        <v/>
      </c>
      <c r="L116" s="17">
        <f>IF(MATCH_ENGINE!A116="","",MATCH_ENGINE!M116)</f>
        <v/>
      </c>
      <c r="M116" s="11">
        <f>IF(MATCH_ENGINE!A116="","",GL_CLEAN!F116)</f>
        <v/>
      </c>
      <c r="N116" s="11">
        <f>IF(MATCH_ENGINE!A116="","",GL_CLEAN!G116)</f>
        <v/>
      </c>
      <c r="O116" s="11">
        <f>IF(MATCH_ENGINE!H116="","",INDEX(BANK_CLEAN!$C$2:$C$1001,MATCH_ENGINE!H116))</f>
        <v/>
      </c>
      <c r="P116" s="11" t="inlineStr"/>
    </row>
    <row r="117">
      <c r="A117" s="11">
        <f>IF(MATCH_ENGINE!A117="","",MATCH_ENGINE!N117)</f>
        <v/>
      </c>
      <c r="B117" s="11">
        <f>IF(MATCH_ENGINE!A117="","",MATCH_ENGINE!C117)</f>
        <v/>
      </c>
      <c r="C117" s="10">
        <f>IF(MATCH_ENGINE!A117="","",MATCH_ENGINE!B117)</f>
        <v/>
      </c>
      <c r="D117" s="16">
        <f>IF(MATCH_ENGINE!A117="","",MATCH_ENGINE!D117)</f>
        <v/>
      </c>
      <c r="E117" s="11">
        <f>IF(MATCH_ENGINE!A117="","",MATCH_ENGINE!F117)</f>
        <v/>
      </c>
      <c r="F117" s="10">
        <f>IF(MATCH_ENGINE!A117="","",MATCH_ENGINE!I117)</f>
        <v/>
      </c>
      <c r="G117" s="16">
        <f>IF(MATCH_ENGINE!H117="","",IF(MATCH_ENGINE!F117="IN",MATCH_ENGINE!J117,""))</f>
        <v/>
      </c>
      <c r="H117" s="16">
        <f>IF(MATCH_ENGINE!H117="","",IF(MATCH_ENGINE!F117="OUT",MATCH_ENGINE!J117,""))</f>
        <v/>
      </c>
      <c r="I117" s="16">
        <f>IF(MATCH_ENGINE!H117="","",MATCH_ENGINE!J117)</f>
        <v/>
      </c>
      <c r="J117" s="12">
        <f>IF(MATCH_ENGINE!A117="","",MATCH_ENGINE!K117)</f>
        <v/>
      </c>
      <c r="K117" s="11">
        <f>IF(MATCH_ENGINE!A117="","",MATCH_ENGINE!L117)</f>
        <v/>
      </c>
      <c r="L117" s="17">
        <f>IF(MATCH_ENGINE!A117="","",MATCH_ENGINE!M117)</f>
        <v/>
      </c>
      <c r="M117" s="11">
        <f>IF(MATCH_ENGINE!A117="","",GL_CLEAN!F117)</f>
        <v/>
      </c>
      <c r="N117" s="11">
        <f>IF(MATCH_ENGINE!A117="","",GL_CLEAN!G117)</f>
        <v/>
      </c>
      <c r="O117" s="11">
        <f>IF(MATCH_ENGINE!H117="","",INDEX(BANK_CLEAN!$C$2:$C$1001,MATCH_ENGINE!H117))</f>
        <v/>
      </c>
      <c r="P117" s="11" t="inlineStr"/>
    </row>
    <row r="118">
      <c r="A118" s="11">
        <f>IF(MATCH_ENGINE!A118="","",MATCH_ENGINE!N118)</f>
        <v/>
      </c>
      <c r="B118" s="11">
        <f>IF(MATCH_ENGINE!A118="","",MATCH_ENGINE!C118)</f>
        <v/>
      </c>
      <c r="C118" s="10">
        <f>IF(MATCH_ENGINE!A118="","",MATCH_ENGINE!B118)</f>
        <v/>
      </c>
      <c r="D118" s="16">
        <f>IF(MATCH_ENGINE!A118="","",MATCH_ENGINE!D118)</f>
        <v/>
      </c>
      <c r="E118" s="11">
        <f>IF(MATCH_ENGINE!A118="","",MATCH_ENGINE!F118)</f>
        <v/>
      </c>
      <c r="F118" s="10">
        <f>IF(MATCH_ENGINE!A118="","",MATCH_ENGINE!I118)</f>
        <v/>
      </c>
      <c r="G118" s="16">
        <f>IF(MATCH_ENGINE!H118="","",IF(MATCH_ENGINE!F118="IN",MATCH_ENGINE!J118,""))</f>
        <v/>
      </c>
      <c r="H118" s="16">
        <f>IF(MATCH_ENGINE!H118="","",IF(MATCH_ENGINE!F118="OUT",MATCH_ENGINE!J118,""))</f>
        <v/>
      </c>
      <c r="I118" s="16">
        <f>IF(MATCH_ENGINE!H118="","",MATCH_ENGINE!J118)</f>
        <v/>
      </c>
      <c r="J118" s="12">
        <f>IF(MATCH_ENGINE!A118="","",MATCH_ENGINE!K118)</f>
        <v/>
      </c>
      <c r="K118" s="11">
        <f>IF(MATCH_ENGINE!A118="","",MATCH_ENGINE!L118)</f>
        <v/>
      </c>
      <c r="L118" s="17">
        <f>IF(MATCH_ENGINE!A118="","",MATCH_ENGINE!M118)</f>
        <v/>
      </c>
      <c r="M118" s="11">
        <f>IF(MATCH_ENGINE!A118="","",GL_CLEAN!F118)</f>
        <v/>
      </c>
      <c r="N118" s="11">
        <f>IF(MATCH_ENGINE!A118="","",GL_CLEAN!G118)</f>
        <v/>
      </c>
      <c r="O118" s="11">
        <f>IF(MATCH_ENGINE!H118="","",INDEX(BANK_CLEAN!$C$2:$C$1001,MATCH_ENGINE!H118))</f>
        <v/>
      </c>
      <c r="P118" s="11" t="inlineStr"/>
    </row>
    <row r="119">
      <c r="A119" s="11">
        <f>IF(MATCH_ENGINE!A119="","",MATCH_ENGINE!N119)</f>
        <v/>
      </c>
      <c r="B119" s="11">
        <f>IF(MATCH_ENGINE!A119="","",MATCH_ENGINE!C119)</f>
        <v/>
      </c>
      <c r="C119" s="10">
        <f>IF(MATCH_ENGINE!A119="","",MATCH_ENGINE!B119)</f>
        <v/>
      </c>
      <c r="D119" s="16">
        <f>IF(MATCH_ENGINE!A119="","",MATCH_ENGINE!D119)</f>
        <v/>
      </c>
      <c r="E119" s="11">
        <f>IF(MATCH_ENGINE!A119="","",MATCH_ENGINE!F119)</f>
        <v/>
      </c>
      <c r="F119" s="10">
        <f>IF(MATCH_ENGINE!A119="","",MATCH_ENGINE!I119)</f>
        <v/>
      </c>
      <c r="G119" s="16">
        <f>IF(MATCH_ENGINE!H119="","",IF(MATCH_ENGINE!F119="IN",MATCH_ENGINE!J119,""))</f>
        <v/>
      </c>
      <c r="H119" s="16">
        <f>IF(MATCH_ENGINE!H119="","",IF(MATCH_ENGINE!F119="OUT",MATCH_ENGINE!J119,""))</f>
        <v/>
      </c>
      <c r="I119" s="16">
        <f>IF(MATCH_ENGINE!H119="","",MATCH_ENGINE!J119)</f>
        <v/>
      </c>
      <c r="J119" s="12">
        <f>IF(MATCH_ENGINE!A119="","",MATCH_ENGINE!K119)</f>
        <v/>
      </c>
      <c r="K119" s="11">
        <f>IF(MATCH_ENGINE!A119="","",MATCH_ENGINE!L119)</f>
        <v/>
      </c>
      <c r="L119" s="17">
        <f>IF(MATCH_ENGINE!A119="","",MATCH_ENGINE!M119)</f>
        <v/>
      </c>
      <c r="M119" s="11">
        <f>IF(MATCH_ENGINE!A119="","",GL_CLEAN!F119)</f>
        <v/>
      </c>
      <c r="N119" s="11">
        <f>IF(MATCH_ENGINE!A119="","",GL_CLEAN!G119)</f>
        <v/>
      </c>
      <c r="O119" s="11">
        <f>IF(MATCH_ENGINE!H119="","",INDEX(BANK_CLEAN!$C$2:$C$1001,MATCH_ENGINE!H119))</f>
        <v/>
      </c>
      <c r="P119" s="11" t="inlineStr"/>
    </row>
    <row r="120">
      <c r="A120" s="11">
        <f>IF(MATCH_ENGINE!A120="","",MATCH_ENGINE!N120)</f>
        <v/>
      </c>
      <c r="B120" s="11">
        <f>IF(MATCH_ENGINE!A120="","",MATCH_ENGINE!C120)</f>
        <v/>
      </c>
      <c r="C120" s="10">
        <f>IF(MATCH_ENGINE!A120="","",MATCH_ENGINE!B120)</f>
        <v/>
      </c>
      <c r="D120" s="16">
        <f>IF(MATCH_ENGINE!A120="","",MATCH_ENGINE!D120)</f>
        <v/>
      </c>
      <c r="E120" s="11">
        <f>IF(MATCH_ENGINE!A120="","",MATCH_ENGINE!F120)</f>
        <v/>
      </c>
      <c r="F120" s="10">
        <f>IF(MATCH_ENGINE!A120="","",MATCH_ENGINE!I120)</f>
        <v/>
      </c>
      <c r="G120" s="16">
        <f>IF(MATCH_ENGINE!H120="","",IF(MATCH_ENGINE!F120="IN",MATCH_ENGINE!J120,""))</f>
        <v/>
      </c>
      <c r="H120" s="16">
        <f>IF(MATCH_ENGINE!H120="","",IF(MATCH_ENGINE!F120="OUT",MATCH_ENGINE!J120,""))</f>
        <v/>
      </c>
      <c r="I120" s="16">
        <f>IF(MATCH_ENGINE!H120="","",MATCH_ENGINE!J120)</f>
        <v/>
      </c>
      <c r="J120" s="12">
        <f>IF(MATCH_ENGINE!A120="","",MATCH_ENGINE!K120)</f>
        <v/>
      </c>
      <c r="K120" s="11">
        <f>IF(MATCH_ENGINE!A120="","",MATCH_ENGINE!L120)</f>
        <v/>
      </c>
      <c r="L120" s="17">
        <f>IF(MATCH_ENGINE!A120="","",MATCH_ENGINE!M120)</f>
        <v/>
      </c>
      <c r="M120" s="11">
        <f>IF(MATCH_ENGINE!A120="","",GL_CLEAN!F120)</f>
        <v/>
      </c>
      <c r="N120" s="11">
        <f>IF(MATCH_ENGINE!A120="","",GL_CLEAN!G120)</f>
        <v/>
      </c>
      <c r="O120" s="11">
        <f>IF(MATCH_ENGINE!H120="","",INDEX(BANK_CLEAN!$C$2:$C$1001,MATCH_ENGINE!H120))</f>
        <v/>
      </c>
      <c r="P120" s="11" t="inlineStr"/>
    </row>
    <row r="121">
      <c r="A121" s="11">
        <f>IF(MATCH_ENGINE!A121="","",MATCH_ENGINE!N121)</f>
        <v/>
      </c>
      <c r="B121" s="11">
        <f>IF(MATCH_ENGINE!A121="","",MATCH_ENGINE!C121)</f>
        <v/>
      </c>
      <c r="C121" s="10">
        <f>IF(MATCH_ENGINE!A121="","",MATCH_ENGINE!B121)</f>
        <v/>
      </c>
      <c r="D121" s="16">
        <f>IF(MATCH_ENGINE!A121="","",MATCH_ENGINE!D121)</f>
        <v/>
      </c>
      <c r="E121" s="11">
        <f>IF(MATCH_ENGINE!A121="","",MATCH_ENGINE!F121)</f>
        <v/>
      </c>
      <c r="F121" s="10">
        <f>IF(MATCH_ENGINE!A121="","",MATCH_ENGINE!I121)</f>
        <v/>
      </c>
      <c r="G121" s="16">
        <f>IF(MATCH_ENGINE!H121="","",IF(MATCH_ENGINE!F121="IN",MATCH_ENGINE!J121,""))</f>
        <v/>
      </c>
      <c r="H121" s="16">
        <f>IF(MATCH_ENGINE!H121="","",IF(MATCH_ENGINE!F121="OUT",MATCH_ENGINE!J121,""))</f>
        <v/>
      </c>
      <c r="I121" s="16">
        <f>IF(MATCH_ENGINE!H121="","",MATCH_ENGINE!J121)</f>
        <v/>
      </c>
      <c r="J121" s="12">
        <f>IF(MATCH_ENGINE!A121="","",MATCH_ENGINE!K121)</f>
        <v/>
      </c>
      <c r="K121" s="11">
        <f>IF(MATCH_ENGINE!A121="","",MATCH_ENGINE!L121)</f>
        <v/>
      </c>
      <c r="L121" s="17">
        <f>IF(MATCH_ENGINE!A121="","",MATCH_ENGINE!M121)</f>
        <v/>
      </c>
      <c r="M121" s="11">
        <f>IF(MATCH_ENGINE!A121="","",GL_CLEAN!F121)</f>
        <v/>
      </c>
      <c r="N121" s="11">
        <f>IF(MATCH_ENGINE!A121="","",GL_CLEAN!G121)</f>
        <v/>
      </c>
      <c r="O121" s="11">
        <f>IF(MATCH_ENGINE!H121="","",INDEX(BANK_CLEAN!$C$2:$C$1001,MATCH_ENGINE!H121))</f>
        <v/>
      </c>
      <c r="P121" s="11" t="inlineStr"/>
    </row>
    <row r="122">
      <c r="A122" s="11">
        <f>IF(MATCH_ENGINE!A122="","",MATCH_ENGINE!N122)</f>
        <v/>
      </c>
      <c r="B122" s="11">
        <f>IF(MATCH_ENGINE!A122="","",MATCH_ENGINE!C122)</f>
        <v/>
      </c>
      <c r="C122" s="10">
        <f>IF(MATCH_ENGINE!A122="","",MATCH_ENGINE!B122)</f>
        <v/>
      </c>
      <c r="D122" s="16">
        <f>IF(MATCH_ENGINE!A122="","",MATCH_ENGINE!D122)</f>
        <v/>
      </c>
      <c r="E122" s="11">
        <f>IF(MATCH_ENGINE!A122="","",MATCH_ENGINE!F122)</f>
        <v/>
      </c>
      <c r="F122" s="10">
        <f>IF(MATCH_ENGINE!A122="","",MATCH_ENGINE!I122)</f>
        <v/>
      </c>
      <c r="G122" s="16">
        <f>IF(MATCH_ENGINE!H122="","",IF(MATCH_ENGINE!F122="IN",MATCH_ENGINE!J122,""))</f>
        <v/>
      </c>
      <c r="H122" s="16">
        <f>IF(MATCH_ENGINE!H122="","",IF(MATCH_ENGINE!F122="OUT",MATCH_ENGINE!J122,""))</f>
        <v/>
      </c>
      <c r="I122" s="16">
        <f>IF(MATCH_ENGINE!H122="","",MATCH_ENGINE!J122)</f>
        <v/>
      </c>
      <c r="J122" s="12">
        <f>IF(MATCH_ENGINE!A122="","",MATCH_ENGINE!K122)</f>
        <v/>
      </c>
      <c r="K122" s="11">
        <f>IF(MATCH_ENGINE!A122="","",MATCH_ENGINE!L122)</f>
        <v/>
      </c>
      <c r="L122" s="17">
        <f>IF(MATCH_ENGINE!A122="","",MATCH_ENGINE!M122)</f>
        <v/>
      </c>
      <c r="M122" s="11">
        <f>IF(MATCH_ENGINE!A122="","",GL_CLEAN!F122)</f>
        <v/>
      </c>
      <c r="N122" s="11">
        <f>IF(MATCH_ENGINE!A122="","",GL_CLEAN!G122)</f>
        <v/>
      </c>
      <c r="O122" s="11">
        <f>IF(MATCH_ENGINE!H122="","",INDEX(BANK_CLEAN!$C$2:$C$1001,MATCH_ENGINE!H122))</f>
        <v/>
      </c>
      <c r="P122" s="11" t="inlineStr"/>
    </row>
    <row r="123">
      <c r="A123" s="11">
        <f>IF(MATCH_ENGINE!A123="","",MATCH_ENGINE!N123)</f>
        <v/>
      </c>
      <c r="B123" s="11">
        <f>IF(MATCH_ENGINE!A123="","",MATCH_ENGINE!C123)</f>
        <v/>
      </c>
      <c r="C123" s="10">
        <f>IF(MATCH_ENGINE!A123="","",MATCH_ENGINE!B123)</f>
        <v/>
      </c>
      <c r="D123" s="16">
        <f>IF(MATCH_ENGINE!A123="","",MATCH_ENGINE!D123)</f>
        <v/>
      </c>
      <c r="E123" s="11">
        <f>IF(MATCH_ENGINE!A123="","",MATCH_ENGINE!F123)</f>
        <v/>
      </c>
      <c r="F123" s="10">
        <f>IF(MATCH_ENGINE!A123="","",MATCH_ENGINE!I123)</f>
        <v/>
      </c>
      <c r="G123" s="16">
        <f>IF(MATCH_ENGINE!H123="","",IF(MATCH_ENGINE!F123="IN",MATCH_ENGINE!J123,""))</f>
        <v/>
      </c>
      <c r="H123" s="16">
        <f>IF(MATCH_ENGINE!H123="","",IF(MATCH_ENGINE!F123="OUT",MATCH_ENGINE!J123,""))</f>
        <v/>
      </c>
      <c r="I123" s="16">
        <f>IF(MATCH_ENGINE!H123="","",MATCH_ENGINE!J123)</f>
        <v/>
      </c>
      <c r="J123" s="12">
        <f>IF(MATCH_ENGINE!A123="","",MATCH_ENGINE!K123)</f>
        <v/>
      </c>
      <c r="K123" s="11">
        <f>IF(MATCH_ENGINE!A123="","",MATCH_ENGINE!L123)</f>
        <v/>
      </c>
      <c r="L123" s="17">
        <f>IF(MATCH_ENGINE!A123="","",MATCH_ENGINE!M123)</f>
        <v/>
      </c>
      <c r="M123" s="11">
        <f>IF(MATCH_ENGINE!A123="","",GL_CLEAN!F123)</f>
        <v/>
      </c>
      <c r="N123" s="11">
        <f>IF(MATCH_ENGINE!A123="","",GL_CLEAN!G123)</f>
        <v/>
      </c>
      <c r="O123" s="11">
        <f>IF(MATCH_ENGINE!H123="","",INDEX(BANK_CLEAN!$C$2:$C$1001,MATCH_ENGINE!H123))</f>
        <v/>
      </c>
      <c r="P123" s="11" t="inlineStr"/>
    </row>
    <row r="124">
      <c r="A124" s="11">
        <f>IF(MATCH_ENGINE!A124="","",MATCH_ENGINE!N124)</f>
        <v/>
      </c>
      <c r="B124" s="11">
        <f>IF(MATCH_ENGINE!A124="","",MATCH_ENGINE!C124)</f>
        <v/>
      </c>
      <c r="C124" s="10">
        <f>IF(MATCH_ENGINE!A124="","",MATCH_ENGINE!B124)</f>
        <v/>
      </c>
      <c r="D124" s="16">
        <f>IF(MATCH_ENGINE!A124="","",MATCH_ENGINE!D124)</f>
        <v/>
      </c>
      <c r="E124" s="11">
        <f>IF(MATCH_ENGINE!A124="","",MATCH_ENGINE!F124)</f>
        <v/>
      </c>
      <c r="F124" s="10">
        <f>IF(MATCH_ENGINE!A124="","",MATCH_ENGINE!I124)</f>
        <v/>
      </c>
      <c r="G124" s="16">
        <f>IF(MATCH_ENGINE!H124="","",IF(MATCH_ENGINE!F124="IN",MATCH_ENGINE!J124,""))</f>
        <v/>
      </c>
      <c r="H124" s="16">
        <f>IF(MATCH_ENGINE!H124="","",IF(MATCH_ENGINE!F124="OUT",MATCH_ENGINE!J124,""))</f>
        <v/>
      </c>
      <c r="I124" s="16">
        <f>IF(MATCH_ENGINE!H124="","",MATCH_ENGINE!J124)</f>
        <v/>
      </c>
      <c r="J124" s="12">
        <f>IF(MATCH_ENGINE!A124="","",MATCH_ENGINE!K124)</f>
        <v/>
      </c>
      <c r="K124" s="11">
        <f>IF(MATCH_ENGINE!A124="","",MATCH_ENGINE!L124)</f>
        <v/>
      </c>
      <c r="L124" s="17">
        <f>IF(MATCH_ENGINE!A124="","",MATCH_ENGINE!M124)</f>
        <v/>
      </c>
      <c r="M124" s="11">
        <f>IF(MATCH_ENGINE!A124="","",GL_CLEAN!F124)</f>
        <v/>
      </c>
      <c r="N124" s="11">
        <f>IF(MATCH_ENGINE!A124="","",GL_CLEAN!G124)</f>
        <v/>
      </c>
      <c r="O124" s="11">
        <f>IF(MATCH_ENGINE!H124="","",INDEX(BANK_CLEAN!$C$2:$C$1001,MATCH_ENGINE!H124))</f>
        <v/>
      </c>
      <c r="P124" s="11" t="inlineStr"/>
    </row>
    <row r="125">
      <c r="A125" s="11">
        <f>IF(MATCH_ENGINE!A125="","",MATCH_ENGINE!N125)</f>
        <v/>
      </c>
      <c r="B125" s="11">
        <f>IF(MATCH_ENGINE!A125="","",MATCH_ENGINE!C125)</f>
        <v/>
      </c>
      <c r="C125" s="10">
        <f>IF(MATCH_ENGINE!A125="","",MATCH_ENGINE!B125)</f>
        <v/>
      </c>
      <c r="D125" s="16">
        <f>IF(MATCH_ENGINE!A125="","",MATCH_ENGINE!D125)</f>
        <v/>
      </c>
      <c r="E125" s="11">
        <f>IF(MATCH_ENGINE!A125="","",MATCH_ENGINE!F125)</f>
        <v/>
      </c>
      <c r="F125" s="10">
        <f>IF(MATCH_ENGINE!A125="","",MATCH_ENGINE!I125)</f>
        <v/>
      </c>
      <c r="G125" s="16">
        <f>IF(MATCH_ENGINE!H125="","",IF(MATCH_ENGINE!F125="IN",MATCH_ENGINE!J125,""))</f>
        <v/>
      </c>
      <c r="H125" s="16">
        <f>IF(MATCH_ENGINE!H125="","",IF(MATCH_ENGINE!F125="OUT",MATCH_ENGINE!J125,""))</f>
        <v/>
      </c>
      <c r="I125" s="16">
        <f>IF(MATCH_ENGINE!H125="","",MATCH_ENGINE!J125)</f>
        <v/>
      </c>
      <c r="J125" s="12">
        <f>IF(MATCH_ENGINE!A125="","",MATCH_ENGINE!K125)</f>
        <v/>
      </c>
      <c r="K125" s="11">
        <f>IF(MATCH_ENGINE!A125="","",MATCH_ENGINE!L125)</f>
        <v/>
      </c>
      <c r="L125" s="17">
        <f>IF(MATCH_ENGINE!A125="","",MATCH_ENGINE!M125)</f>
        <v/>
      </c>
      <c r="M125" s="11">
        <f>IF(MATCH_ENGINE!A125="","",GL_CLEAN!F125)</f>
        <v/>
      </c>
      <c r="N125" s="11">
        <f>IF(MATCH_ENGINE!A125="","",GL_CLEAN!G125)</f>
        <v/>
      </c>
      <c r="O125" s="11">
        <f>IF(MATCH_ENGINE!H125="","",INDEX(BANK_CLEAN!$C$2:$C$1001,MATCH_ENGINE!H125))</f>
        <v/>
      </c>
      <c r="P125" s="11" t="inlineStr"/>
    </row>
    <row r="126">
      <c r="A126" s="11">
        <f>IF(MATCH_ENGINE!A126="","",MATCH_ENGINE!N126)</f>
        <v/>
      </c>
      <c r="B126" s="11">
        <f>IF(MATCH_ENGINE!A126="","",MATCH_ENGINE!C126)</f>
        <v/>
      </c>
      <c r="C126" s="10">
        <f>IF(MATCH_ENGINE!A126="","",MATCH_ENGINE!B126)</f>
        <v/>
      </c>
      <c r="D126" s="16">
        <f>IF(MATCH_ENGINE!A126="","",MATCH_ENGINE!D126)</f>
        <v/>
      </c>
      <c r="E126" s="11">
        <f>IF(MATCH_ENGINE!A126="","",MATCH_ENGINE!F126)</f>
        <v/>
      </c>
      <c r="F126" s="10">
        <f>IF(MATCH_ENGINE!A126="","",MATCH_ENGINE!I126)</f>
        <v/>
      </c>
      <c r="G126" s="16">
        <f>IF(MATCH_ENGINE!H126="","",IF(MATCH_ENGINE!F126="IN",MATCH_ENGINE!J126,""))</f>
        <v/>
      </c>
      <c r="H126" s="16">
        <f>IF(MATCH_ENGINE!H126="","",IF(MATCH_ENGINE!F126="OUT",MATCH_ENGINE!J126,""))</f>
        <v/>
      </c>
      <c r="I126" s="16">
        <f>IF(MATCH_ENGINE!H126="","",MATCH_ENGINE!J126)</f>
        <v/>
      </c>
      <c r="J126" s="12">
        <f>IF(MATCH_ENGINE!A126="","",MATCH_ENGINE!K126)</f>
        <v/>
      </c>
      <c r="K126" s="11">
        <f>IF(MATCH_ENGINE!A126="","",MATCH_ENGINE!L126)</f>
        <v/>
      </c>
      <c r="L126" s="17">
        <f>IF(MATCH_ENGINE!A126="","",MATCH_ENGINE!M126)</f>
        <v/>
      </c>
      <c r="M126" s="11">
        <f>IF(MATCH_ENGINE!A126="","",GL_CLEAN!F126)</f>
        <v/>
      </c>
      <c r="N126" s="11">
        <f>IF(MATCH_ENGINE!A126="","",GL_CLEAN!G126)</f>
        <v/>
      </c>
      <c r="O126" s="11">
        <f>IF(MATCH_ENGINE!H126="","",INDEX(BANK_CLEAN!$C$2:$C$1001,MATCH_ENGINE!H126))</f>
        <v/>
      </c>
      <c r="P126" s="11" t="inlineStr"/>
    </row>
    <row r="127">
      <c r="A127" s="11">
        <f>IF(MATCH_ENGINE!A127="","",MATCH_ENGINE!N127)</f>
        <v/>
      </c>
      <c r="B127" s="11">
        <f>IF(MATCH_ENGINE!A127="","",MATCH_ENGINE!C127)</f>
        <v/>
      </c>
      <c r="C127" s="10">
        <f>IF(MATCH_ENGINE!A127="","",MATCH_ENGINE!B127)</f>
        <v/>
      </c>
      <c r="D127" s="16">
        <f>IF(MATCH_ENGINE!A127="","",MATCH_ENGINE!D127)</f>
        <v/>
      </c>
      <c r="E127" s="11">
        <f>IF(MATCH_ENGINE!A127="","",MATCH_ENGINE!F127)</f>
        <v/>
      </c>
      <c r="F127" s="10">
        <f>IF(MATCH_ENGINE!A127="","",MATCH_ENGINE!I127)</f>
        <v/>
      </c>
      <c r="G127" s="16">
        <f>IF(MATCH_ENGINE!H127="","",IF(MATCH_ENGINE!F127="IN",MATCH_ENGINE!J127,""))</f>
        <v/>
      </c>
      <c r="H127" s="16">
        <f>IF(MATCH_ENGINE!H127="","",IF(MATCH_ENGINE!F127="OUT",MATCH_ENGINE!J127,""))</f>
        <v/>
      </c>
      <c r="I127" s="16">
        <f>IF(MATCH_ENGINE!H127="","",MATCH_ENGINE!J127)</f>
        <v/>
      </c>
      <c r="J127" s="12">
        <f>IF(MATCH_ENGINE!A127="","",MATCH_ENGINE!K127)</f>
        <v/>
      </c>
      <c r="K127" s="11">
        <f>IF(MATCH_ENGINE!A127="","",MATCH_ENGINE!L127)</f>
        <v/>
      </c>
      <c r="L127" s="17">
        <f>IF(MATCH_ENGINE!A127="","",MATCH_ENGINE!M127)</f>
        <v/>
      </c>
      <c r="M127" s="11">
        <f>IF(MATCH_ENGINE!A127="","",GL_CLEAN!F127)</f>
        <v/>
      </c>
      <c r="N127" s="11">
        <f>IF(MATCH_ENGINE!A127="","",GL_CLEAN!G127)</f>
        <v/>
      </c>
      <c r="O127" s="11">
        <f>IF(MATCH_ENGINE!H127="","",INDEX(BANK_CLEAN!$C$2:$C$1001,MATCH_ENGINE!H127))</f>
        <v/>
      </c>
      <c r="P127" s="11" t="inlineStr"/>
    </row>
    <row r="128">
      <c r="A128" s="11">
        <f>IF(MATCH_ENGINE!A128="","",MATCH_ENGINE!N128)</f>
        <v/>
      </c>
      <c r="B128" s="11">
        <f>IF(MATCH_ENGINE!A128="","",MATCH_ENGINE!C128)</f>
        <v/>
      </c>
      <c r="C128" s="10">
        <f>IF(MATCH_ENGINE!A128="","",MATCH_ENGINE!B128)</f>
        <v/>
      </c>
      <c r="D128" s="16">
        <f>IF(MATCH_ENGINE!A128="","",MATCH_ENGINE!D128)</f>
        <v/>
      </c>
      <c r="E128" s="11">
        <f>IF(MATCH_ENGINE!A128="","",MATCH_ENGINE!F128)</f>
        <v/>
      </c>
      <c r="F128" s="10">
        <f>IF(MATCH_ENGINE!A128="","",MATCH_ENGINE!I128)</f>
        <v/>
      </c>
      <c r="G128" s="16">
        <f>IF(MATCH_ENGINE!H128="","",IF(MATCH_ENGINE!F128="IN",MATCH_ENGINE!J128,""))</f>
        <v/>
      </c>
      <c r="H128" s="16">
        <f>IF(MATCH_ENGINE!H128="","",IF(MATCH_ENGINE!F128="OUT",MATCH_ENGINE!J128,""))</f>
        <v/>
      </c>
      <c r="I128" s="16">
        <f>IF(MATCH_ENGINE!H128="","",MATCH_ENGINE!J128)</f>
        <v/>
      </c>
      <c r="J128" s="12">
        <f>IF(MATCH_ENGINE!A128="","",MATCH_ENGINE!K128)</f>
        <v/>
      </c>
      <c r="K128" s="11">
        <f>IF(MATCH_ENGINE!A128="","",MATCH_ENGINE!L128)</f>
        <v/>
      </c>
      <c r="L128" s="17">
        <f>IF(MATCH_ENGINE!A128="","",MATCH_ENGINE!M128)</f>
        <v/>
      </c>
      <c r="M128" s="11">
        <f>IF(MATCH_ENGINE!A128="","",GL_CLEAN!F128)</f>
        <v/>
      </c>
      <c r="N128" s="11">
        <f>IF(MATCH_ENGINE!A128="","",GL_CLEAN!G128)</f>
        <v/>
      </c>
      <c r="O128" s="11">
        <f>IF(MATCH_ENGINE!H128="","",INDEX(BANK_CLEAN!$C$2:$C$1001,MATCH_ENGINE!H128))</f>
        <v/>
      </c>
      <c r="P128" s="11" t="inlineStr"/>
    </row>
    <row r="129">
      <c r="A129" s="11">
        <f>IF(MATCH_ENGINE!A129="","",MATCH_ENGINE!N129)</f>
        <v/>
      </c>
      <c r="B129" s="11">
        <f>IF(MATCH_ENGINE!A129="","",MATCH_ENGINE!C129)</f>
        <v/>
      </c>
      <c r="C129" s="10">
        <f>IF(MATCH_ENGINE!A129="","",MATCH_ENGINE!B129)</f>
        <v/>
      </c>
      <c r="D129" s="16">
        <f>IF(MATCH_ENGINE!A129="","",MATCH_ENGINE!D129)</f>
        <v/>
      </c>
      <c r="E129" s="11">
        <f>IF(MATCH_ENGINE!A129="","",MATCH_ENGINE!F129)</f>
        <v/>
      </c>
      <c r="F129" s="10">
        <f>IF(MATCH_ENGINE!A129="","",MATCH_ENGINE!I129)</f>
        <v/>
      </c>
      <c r="G129" s="16">
        <f>IF(MATCH_ENGINE!H129="","",IF(MATCH_ENGINE!F129="IN",MATCH_ENGINE!J129,""))</f>
        <v/>
      </c>
      <c r="H129" s="16">
        <f>IF(MATCH_ENGINE!H129="","",IF(MATCH_ENGINE!F129="OUT",MATCH_ENGINE!J129,""))</f>
        <v/>
      </c>
      <c r="I129" s="16">
        <f>IF(MATCH_ENGINE!H129="","",MATCH_ENGINE!J129)</f>
        <v/>
      </c>
      <c r="J129" s="12">
        <f>IF(MATCH_ENGINE!A129="","",MATCH_ENGINE!K129)</f>
        <v/>
      </c>
      <c r="K129" s="11">
        <f>IF(MATCH_ENGINE!A129="","",MATCH_ENGINE!L129)</f>
        <v/>
      </c>
      <c r="L129" s="17">
        <f>IF(MATCH_ENGINE!A129="","",MATCH_ENGINE!M129)</f>
        <v/>
      </c>
      <c r="M129" s="11">
        <f>IF(MATCH_ENGINE!A129="","",GL_CLEAN!F129)</f>
        <v/>
      </c>
      <c r="N129" s="11">
        <f>IF(MATCH_ENGINE!A129="","",GL_CLEAN!G129)</f>
        <v/>
      </c>
      <c r="O129" s="11">
        <f>IF(MATCH_ENGINE!H129="","",INDEX(BANK_CLEAN!$C$2:$C$1001,MATCH_ENGINE!H129))</f>
        <v/>
      </c>
      <c r="P129" s="11" t="inlineStr"/>
    </row>
    <row r="130">
      <c r="A130" s="11">
        <f>IF(MATCH_ENGINE!A130="","",MATCH_ENGINE!N130)</f>
        <v/>
      </c>
      <c r="B130" s="11">
        <f>IF(MATCH_ENGINE!A130="","",MATCH_ENGINE!C130)</f>
        <v/>
      </c>
      <c r="C130" s="10">
        <f>IF(MATCH_ENGINE!A130="","",MATCH_ENGINE!B130)</f>
        <v/>
      </c>
      <c r="D130" s="16">
        <f>IF(MATCH_ENGINE!A130="","",MATCH_ENGINE!D130)</f>
        <v/>
      </c>
      <c r="E130" s="11">
        <f>IF(MATCH_ENGINE!A130="","",MATCH_ENGINE!F130)</f>
        <v/>
      </c>
      <c r="F130" s="10">
        <f>IF(MATCH_ENGINE!A130="","",MATCH_ENGINE!I130)</f>
        <v/>
      </c>
      <c r="G130" s="16">
        <f>IF(MATCH_ENGINE!H130="","",IF(MATCH_ENGINE!F130="IN",MATCH_ENGINE!J130,""))</f>
        <v/>
      </c>
      <c r="H130" s="16">
        <f>IF(MATCH_ENGINE!H130="","",IF(MATCH_ENGINE!F130="OUT",MATCH_ENGINE!J130,""))</f>
        <v/>
      </c>
      <c r="I130" s="16">
        <f>IF(MATCH_ENGINE!H130="","",MATCH_ENGINE!J130)</f>
        <v/>
      </c>
      <c r="J130" s="12">
        <f>IF(MATCH_ENGINE!A130="","",MATCH_ENGINE!K130)</f>
        <v/>
      </c>
      <c r="K130" s="11">
        <f>IF(MATCH_ENGINE!A130="","",MATCH_ENGINE!L130)</f>
        <v/>
      </c>
      <c r="L130" s="17">
        <f>IF(MATCH_ENGINE!A130="","",MATCH_ENGINE!M130)</f>
        <v/>
      </c>
      <c r="M130" s="11">
        <f>IF(MATCH_ENGINE!A130="","",GL_CLEAN!F130)</f>
        <v/>
      </c>
      <c r="N130" s="11">
        <f>IF(MATCH_ENGINE!A130="","",GL_CLEAN!G130)</f>
        <v/>
      </c>
      <c r="O130" s="11">
        <f>IF(MATCH_ENGINE!H130="","",INDEX(BANK_CLEAN!$C$2:$C$1001,MATCH_ENGINE!H130))</f>
        <v/>
      </c>
      <c r="P130" s="11" t="inlineStr"/>
    </row>
    <row r="131">
      <c r="A131" s="11">
        <f>IF(MATCH_ENGINE!A131="","",MATCH_ENGINE!N131)</f>
        <v/>
      </c>
      <c r="B131" s="11">
        <f>IF(MATCH_ENGINE!A131="","",MATCH_ENGINE!C131)</f>
        <v/>
      </c>
      <c r="C131" s="10">
        <f>IF(MATCH_ENGINE!A131="","",MATCH_ENGINE!B131)</f>
        <v/>
      </c>
      <c r="D131" s="16">
        <f>IF(MATCH_ENGINE!A131="","",MATCH_ENGINE!D131)</f>
        <v/>
      </c>
      <c r="E131" s="11">
        <f>IF(MATCH_ENGINE!A131="","",MATCH_ENGINE!F131)</f>
        <v/>
      </c>
      <c r="F131" s="10">
        <f>IF(MATCH_ENGINE!A131="","",MATCH_ENGINE!I131)</f>
        <v/>
      </c>
      <c r="G131" s="16">
        <f>IF(MATCH_ENGINE!H131="","",IF(MATCH_ENGINE!F131="IN",MATCH_ENGINE!J131,""))</f>
        <v/>
      </c>
      <c r="H131" s="16">
        <f>IF(MATCH_ENGINE!H131="","",IF(MATCH_ENGINE!F131="OUT",MATCH_ENGINE!J131,""))</f>
        <v/>
      </c>
      <c r="I131" s="16">
        <f>IF(MATCH_ENGINE!H131="","",MATCH_ENGINE!J131)</f>
        <v/>
      </c>
      <c r="J131" s="12">
        <f>IF(MATCH_ENGINE!A131="","",MATCH_ENGINE!K131)</f>
        <v/>
      </c>
      <c r="K131" s="11">
        <f>IF(MATCH_ENGINE!A131="","",MATCH_ENGINE!L131)</f>
        <v/>
      </c>
      <c r="L131" s="17">
        <f>IF(MATCH_ENGINE!A131="","",MATCH_ENGINE!M131)</f>
        <v/>
      </c>
      <c r="M131" s="11">
        <f>IF(MATCH_ENGINE!A131="","",GL_CLEAN!F131)</f>
        <v/>
      </c>
      <c r="N131" s="11">
        <f>IF(MATCH_ENGINE!A131="","",GL_CLEAN!G131)</f>
        <v/>
      </c>
      <c r="O131" s="11">
        <f>IF(MATCH_ENGINE!H131="","",INDEX(BANK_CLEAN!$C$2:$C$1001,MATCH_ENGINE!H131))</f>
        <v/>
      </c>
      <c r="P131" s="11" t="inlineStr"/>
    </row>
    <row r="132">
      <c r="A132" s="11">
        <f>IF(MATCH_ENGINE!A132="","",MATCH_ENGINE!N132)</f>
        <v/>
      </c>
      <c r="B132" s="11">
        <f>IF(MATCH_ENGINE!A132="","",MATCH_ENGINE!C132)</f>
        <v/>
      </c>
      <c r="C132" s="10">
        <f>IF(MATCH_ENGINE!A132="","",MATCH_ENGINE!B132)</f>
        <v/>
      </c>
      <c r="D132" s="16">
        <f>IF(MATCH_ENGINE!A132="","",MATCH_ENGINE!D132)</f>
        <v/>
      </c>
      <c r="E132" s="11">
        <f>IF(MATCH_ENGINE!A132="","",MATCH_ENGINE!F132)</f>
        <v/>
      </c>
      <c r="F132" s="10">
        <f>IF(MATCH_ENGINE!A132="","",MATCH_ENGINE!I132)</f>
        <v/>
      </c>
      <c r="G132" s="16">
        <f>IF(MATCH_ENGINE!H132="","",IF(MATCH_ENGINE!F132="IN",MATCH_ENGINE!J132,""))</f>
        <v/>
      </c>
      <c r="H132" s="16">
        <f>IF(MATCH_ENGINE!H132="","",IF(MATCH_ENGINE!F132="OUT",MATCH_ENGINE!J132,""))</f>
        <v/>
      </c>
      <c r="I132" s="16">
        <f>IF(MATCH_ENGINE!H132="","",MATCH_ENGINE!J132)</f>
        <v/>
      </c>
      <c r="J132" s="12">
        <f>IF(MATCH_ENGINE!A132="","",MATCH_ENGINE!K132)</f>
        <v/>
      </c>
      <c r="K132" s="11">
        <f>IF(MATCH_ENGINE!A132="","",MATCH_ENGINE!L132)</f>
        <v/>
      </c>
      <c r="L132" s="17">
        <f>IF(MATCH_ENGINE!A132="","",MATCH_ENGINE!M132)</f>
        <v/>
      </c>
      <c r="M132" s="11">
        <f>IF(MATCH_ENGINE!A132="","",GL_CLEAN!F132)</f>
        <v/>
      </c>
      <c r="N132" s="11">
        <f>IF(MATCH_ENGINE!A132="","",GL_CLEAN!G132)</f>
        <v/>
      </c>
      <c r="O132" s="11">
        <f>IF(MATCH_ENGINE!H132="","",INDEX(BANK_CLEAN!$C$2:$C$1001,MATCH_ENGINE!H132))</f>
        <v/>
      </c>
      <c r="P132" s="11" t="inlineStr"/>
    </row>
    <row r="133">
      <c r="A133" s="11">
        <f>IF(MATCH_ENGINE!A133="","",MATCH_ENGINE!N133)</f>
        <v/>
      </c>
      <c r="B133" s="11">
        <f>IF(MATCH_ENGINE!A133="","",MATCH_ENGINE!C133)</f>
        <v/>
      </c>
      <c r="C133" s="10">
        <f>IF(MATCH_ENGINE!A133="","",MATCH_ENGINE!B133)</f>
        <v/>
      </c>
      <c r="D133" s="16">
        <f>IF(MATCH_ENGINE!A133="","",MATCH_ENGINE!D133)</f>
        <v/>
      </c>
      <c r="E133" s="11">
        <f>IF(MATCH_ENGINE!A133="","",MATCH_ENGINE!F133)</f>
        <v/>
      </c>
      <c r="F133" s="10">
        <f>IF(MATCH_ENGINE!A133="","",MATCH_ENGINE!I133)</f>
        <v/>
      </c>
      <c r="G133" s="16">
        <f>IF(MATCH_ENGINE!H133="","",IF(MATCH_ENGINE!F133="IN",MATCH_ENGINE!J133,""))</f>
        <v/>
      </c>
      <c r="H133" s="16">
        <f>IF(MATCH_ENGINE!H133="","",IF(MATCH_ENGINE!F133="OUT",MATCH_ENGINE!J133,""))</f>
        <v/>
      </c>
      <c r="I133" s="16">
        <f>IF(MATCH_ENGINE!H133="","",MATCH_ENGINE!J133)</f>
        <v/>
      </c>
      <c r="J133" s="12">
        <f>IF(MATCH_ENGINE!A133="","",MATCH_ENGINE!K133)</f>
        <v/>
      </c>
      <c r="K133" s="11">
        <f>IF(MATCH_ENGINE!A133="","",MATCH_ENGINE!L133)</f>
        <v/>
      </c>
      <c r="L133" s="17">
        <f>IF(MATCH_ENGINE!A133="","",MATCH_ENGINE!M133)</f>
        <v/>
      </c>
      <c r="M133" s="11">
        <f>IF(MATCH_ENGINE!A133="","",GL_CLEAN!F133)</f>
        <v/>
      </c>
      <c r="N133" s="11">
        <f>IF(MATCH_ENGINE!A133="","",GL_CLEAN!G133)</f>
        <v/>
      </c>
      <c r="O133" s="11">
        <f>IF(MATCH_ENGINE!H133="","",INDEX(BANK_CLEAN!$C$2:$C$1001,MATCH_ENGINE!H133))</f>
        <v/>
      </c>
      <c r="P133" s="11" t="inlineStr"/>
    </row>
    <row r="134">
      <c r="A134" s="11">
        <f>IF(MATCH_ENGINE!A134="","",MATCH_ENGINE!N134)</f>
        <v/>
      </c>
      <c r="B134" s="11">
        <f>IF(MATCH_ENGINE!A134="","",MATCH_ENGINE!C134)</f>
        <v/>
      </c>
      <c r="C134" s="10">
        <f>IF(MATCH_ENGINE!A134="","",MATCH_ENGINE!B134)</f>
        <v/>
      </c>
      <c r="D134" s="16">
        <f>IF(MATCH_ENGINE!A134="","",MATCH_ENGINE!D134)</f>
        <v/>
      </c>
      <c r="E134" s="11">
        <f>IF(MATCH_ENGINE!A134="","",MATCH_ENGINE!F134)</f>
        <v/>
      </c>
      <c r="F134" s="10">
        <f>IF(MATCH_ENGINE!A134="","",MATCH_ENGINE!I134)</f>
        <v/>
      </c>
      <c r="G134" s="16">
        <f>IF(MATCH_ENGINE!H134="","",IF(MATCH_ENGINE!F134="IN",MATCH_ENGINE!J134,""))</f>
        <v/>
      </c>
      <c r="H134" s="16">
        <f>IF(MATCH_ENGINE!H134="","",IF(MATCH_ENGINE!F134="OUT",MATCH_ENGINE!J134,""))</f>
        <v/>
      </c>
      <c r="I134" s="16">
        <f>IF(MATCH_ENGINE!H134="","",MATCH_ENGINE!J134)</f>
        <v/>
      </c>
      <c r="J134" s="12">
        <f>IF(MATCH_ENGINE!A134="","",MATCH_ENGINE!K134)</f>
        <v/>
      </c>
      <c r="K134" s="11">
        <f>IF(MATCH_ENGINE!A134="","",MATCH_ENGINE!L134)</f>
        <v/>
      </c>
      <c r="L134" s="17">
        <f>IF(MATCH_ENGINE!A134="","",MATCH_ENGINE!M134)</f>
        <v/>
      </c>
      <c r="M134" s="11">
        <f>IF(MATCH_ENGINE!A134="","",GL_CLEAN!F134)</f>
        <v/>
      </c>
      <c r="N134" s="11">
        <f>IF(MATCH_ENGINE!A134="","",GL_CLEAN!G134)</f>
        <v/>
      </c>
      <c r="O134" s="11">
        <f>IF(MATCH_ENGINE!H134="","",INDEX(BANK_CLEAN!$C$2:$C$1001,MATCH_ENGINE!H134))</f>
        <v/>
      </c>
      <c r="P134" s="11" t="inlineStr"/>
    </row>
    <row r="135">
      <c r="A135" s="11">
        <f>IF(MATCH_ENGINE!A135="","",MATCH_ENGINE!N135)</f>
        <v/>
      </c>
      <c r="B135" s="11">
        <f>IF(MATCH_ENGINE!A135="","",MATCH_ENGINE!C135)</f>
        <v/>
      </c>
      <c r="C135" s="10">
        <f>IF(MATCH_ENGINE!A135="","",MATCH_ENGINE!B135)</f>
        <v/>
      </c>
      <c r="D135" s="16">
        <f>IF(MATCH_ENGINE!A135="","",MATCH_ENGINE!D135)</f>
        <v/>
      </c>
      <c r="E135" s="11">
        <f>IF(MATCH_ENGINE!A135="","",MATCH_ENGINE!F135)</f>
        <v/>
      </c>
      <c r="F135" s="10">
        <f>IF(MATCH_ENGINE!A135="","",MATCH_ENGINE!I135)</f>
        <v/>
      </c>
      <c r="G135" s="16">
        <f>IF(MATCH_ENGINE!H135="","",IF(MATCH_ENGINE!F135="IN",MATCH_ENGINE!J135,""))</f>
        <v/>
      </c>
      <c r="H135" s="16">
        <f>IF(MATCH_ENGINE!H135="","",IF(MATCH_ENGINE!F135="OUT",MATCH_ENGINE!J135,""))</f>
        <v/>
      </c>
      <c r="I135" s="16">
        <f>IF(MATCH_ENGINE!H135="","",MATCH_ENGINE!J135)</f>
        <v/>
      </c>
      <c r="J135" s="12">
        <f>IF(MATCH_ENGINE!A135="","",MATCH_ENGINE!K135)</f>
        <v/>
      </c>
      <c r="K135" s="11">
        <f>IF(MATCH_ENGINE!A135="","",MATCH_ENGINE!L135)</f>
        <v/>
      </c>
      <c r="L135" s="17">
        <f>IF(MATCH_ENGINE!A135="","",MATCH_ENGINE!M135)</f>
        <v/>
      </c>
      <c r="M135" s="11">
        <f>IF(MATCH_ENGINE!A135="","",GL_CLEAN!F135)</f>
        <v/>
      </c>
      <c r="N135" s="11">
        <f>IF(MATCH_ENGINE!A135="","",GL_CLEAN!G135)</f>
        <v/>
      </c>
      <c r="O135" s="11">
        <f>IF(MATCH_ENGINE!H135="","",INDEX(BANK_CLEAN!$C$2:$C$1001,MATCH_ENGINE!H135))</f>
        <v/>
      </c>
      <c r="P135" s="11" t="inlineStr"/>
    </row>
    <row r="136">
      <c r="A136" s="11">
        <f>IF(MATCH_ENGINE!A136="","",MATCH_ENGINE!N136)</f>
        <v/>
      </c>
      <c r="B136" s="11">
        <f>IF(MATCH_ENGINE!A136="","",MATCH_ENGINE!C136)</f>
        <v/>
      </c>
      <c r="C136" s="10">
        <f>IF(MATCH_ENGINE!A136="","",MATCH_ENGINE!B136)</f>
        <v/>
      </c>
      <c r="D136" s="16">
        <f>IF(MATCH_ENGINE!A136="","",MATCH_ENGINE!D136)</f>
        <v/>
      </c>
      <c r="E136" s="11">
        <f>IF(MATCH_ENGINE!A136="","",MATCH_ENGINE!F136)</f>
        <v/>
      </c>
      <c r="F136" s="10">
        <f>IF(MATCH_ENGINE!A136="","",MATCH_ENGINE!I136)</f>
        <v/>
      </c>
      <c r="G136" s="16">
        <f>IF(MATCH_ENGINE!H136="","",IF(MATCH_ENGINE!F136="IN",MATCH_ENGINE!J136,""))</f>
        <v/>
      </c>
      <c r="H136" s="16">
        <f>IF(MATCH_ENGINE!H136="","",IF(MATCH_ENGINE!F136="OUT",MATCH_ENGINE!J136,""))</f>
        <v/>
      </c>
      <c r="I136" s="16">
        <f>IF(MATCH_ENGINE!H136="","",MATCH_ENGINE!J136)</f>
        <v/>
      </c>
      <c r="J136" s="12">
        <f>IF(MATCH_ENGINE!A136="","",MATCH_ENGINE!K136)</f>
        <v/>
      </c>
      <c r="K136" s="11">
        <f>IF(MATCH_ENGINE!A136="","",MATCH_ENGINE!L136)</f>
        <v/>
      </c>
      <c r="L136" s="17">
        <f>IF(MATCH_ENGINE!A136="","",MATCH_ENGINE!M136)</f>
        <v/>
      </c>
      <c r="M136" s="11">
        <f>IF(MATCH_ENGINE!A136="","",GL_CLEAN!F136)</f>
        <v/>
      </c>
      <c r="N136" s="11">
        <f>IF(MATCH_ENGINE!A136="","",GL_CLEAN!G136)</f>
        <v/>
      </c>
      <c r="O136" s="11">
        <f>IF(MATCH_ENGINE!H136="","",INDEX(BANK_CLEAN!$C$2:$C$1001,MATCH_ENGINE!H136))</f>
        <v/>
      </c>
      <c r="P136" s="11" t="inlineStr"/>
    </row>
    <row r="137">
      <c r="A137" s="11">
        <f>IF(MATCH_ENGINE!A137="","",MATCH_ENGINE!N137)</f>
        <v/>
      </c>
      <c r="B137" s="11">
        <f>IF(MATCH_ENGINE!A137="","",MATCH_ENGINE!C137)</f>
        <v/>
      </c>
      <c r="C137" s="10">
        <f>IF(MATCH_ENGINE!A137="","",MATCH_ENGINE!B137)</f>
        <v/>
      </c>
      <c r="D137" s="16">
        <f>IF(MATCH_ENGINE!A137="","",MATCH_ENGINE!D137)</f>
        <v/>
      </c>
      <c r="E137" s="11">
        <f>IF(MATCH_ENGINE!A137="","",MATCH_ENGINE!F137)</f>
        <v/>
      </c>
      <c r="F137" s="10">
        <f>IF(MATCH_ENGINE!A137="","",MATCH_ENGINE!I137)</f>
        <v/>
      </c>
      <c r="G137" s="16">
        <f>IF(MATCH_ENGINE!H137="","",IF(MATCH_ENGINE!F137="IN",MATCH_ENGINE!J137,""))</f>
        <v/>
      </c>
      <c r="H137" s="16">
        <f>IF(MATCH_ENGINE!H137="","",IF(MATCH_ENGINE!F137="OUT",MATCH_ENGINE!J137,""))</f>
        <v/>
      </c>
      <c r="I137" s="16">
        <f>IF(MATCH_ENGINE!H137="","",MATCH_ENGINE!J137)</f>
        <v/>
      </c>
      <c r="J137" s="12">
        <f>IF(MATCH_ENGINE!A137="","",MATCH_ENGINE!K137)</f>
        <v/>
      </c>
      <c r="K137" s="11">
        <f>IF(MATCH_ENGINE!A137="","",MATCH_ENGINE!L137)</f>
        <v/>
      </c>
      <c r="L137" s="17">
        <f>IF(MATCH_ENGINE!A137="","",MATCH_ENGINE!M137)</f>
        <v/>
      </c>
      <c r="M137" s="11">
        <f>IF(MATCH_ENGINE!A137="","",GL_CLEAN!F137)</f>
        <v/>
      </c>
      <c r="N137" s="11">
        <f>IF(MATCH_ENGINE!A137="","",GL_CLEAN!G137)</f>
        <v/>
      </c>
      <c r="O137" s="11">
        <f>IF(MATCH_ENGINE!H137="","",INDEX(BANK_CLEAN!$C$2:$C$1001,MATCH_ENGINE!H137))</f>
        <v/>
      </c>
      <c r="P137" s="11" t="inlineStr"/>
    </row>
    <row r="138">
      <c r="A138" s="11">
        <f>IF(MATCH_ENGINE!A138="","",MATCH_ENGINE!N138)</f>
        <v/>
      </c>
      <c r="B138" s="11">
        <f>IF(MATCH_ENGINE!A138="","",MATCH_ENGINE!C138)</f>
        <v/>
      </c>
      <c r="C138" s="10">
        <f>IF(MATCH_ENGINE!A138="","",MATCH_ENGINE!B138)</f>
        <v/>
      </c>
      <c r="D138" s="16">
        <f>IF(MATCH_ENGINE!A138="","",MATCH_ENGINE!D138)</f>
        <v/>
      </c>
      <c r="E138" s="11">
        <f>IF(MATCH_ENGINE!A138="","",MATCH_ENGINE!F138)</f>
        <v/>
      </c>
      <c r="F138" s="10">
        <f>IF(MATCH_ENGINE!A138="","",MATCH_ENGINE!I138)</f>
        <v/>
      </c>
      <c r="G138" s="16">
        <f>IF(MATCH_ENGINE!H138="","",IF(MATCH_ENGINE!F138="IN",MATCH_ENGINE!J138,""))</f>
        <v/>
      </c>
      <c r="H138" s="16">
        <f>IF(MATCH_ENGINE!H138="","",IF(MATCH_ENGINE!F138="OUT",MATCH_ENGINE!J138,""))</f>
        <v/>
      </c>
      <c r="I138" s="16">
        <f>IF(MATCH_ENGINE!H138="","",MATCH_ENGINE!J138)</f>
        <v/>
      </c>
      <c r="J138" s="12">
        <f>IF(MATCH_ENGINE!A138="","",MATCH_ENGINE!K138)</f>
        <v/>
      </c>
      <c r="K138" s="11">
        <f>IF(MATCH_ENGINE!A138="","",MATCH_ENGINE!L138)</f>
        <v/>
      </c>
      <c r="L138" s="17">
        <f>IF(MATCH_ENGINE!A138="","",MATCH_ENGINE!M138)</f>
        <v/>
      </c>
      <c r="M138" s="11">
        <f>IF(MATCH_ENGINE!A138="","",GL_CLEAN!F138)</f>
        <v/>
      </c>
      <c r="N138" s="11">
        <f>IF(MATCH_ENGINE!A138="","",GL_CLEAN!G138)</f>
        <v/>
      </c>
      <c r="O138" s="11">
        <f>IF(MATCH_ENGINE!H138="","",INDEX(BANK_CLEAN!$C$2:$C$1001,MATCH_ENGINE!H138))</f>
        <v/>
      </c>
      <c r="P138" s="11" t="inlineStr"/>
    </row>
    <row r="139">
      <c r="A139" s="11">
        <f>IF(MATCH_ENGINE!A139="","",MATCH_ENGINE!N139)</f>
        <v/>
      </c>
      <c r="B139" s="11">
        <f>IF(MATCH_ENGINE!A139="","",MATCH_ENGINE!C139)</f>
        <v/>
      </c>
      <c r="C139" s="10">
        <f>IF(MATCH_ENGINE!A139="","",MATCH_ENGINE!B139)</f>
        <v/>
      </c>
      <c r="D139" s="16">
        <f>IF(MATCH_ENGINE!A139="","",MATCH_ENGINE!D139)</f>
        <v/>
      </c>
      <c r="E139" s="11">
        <f>IF(MATCH_ENGINE!A139="","",MATCH_ENGINE!F139)</f>
        <v/>
      </c>
      <c r="F139" s="10">
        <f>IF(MATCH_ENGINE!A139="","",MATCH_ENGINE!I139)</f>
        <v/>
      </c>
      <c r="G139" s="16">
        <f>IF(MATCH_ENGINE!H139="","",IF(MATCH_ENGINE!F139="IN",MATCH_ENGINE!J139,""))</f>
        <v/>
      </c>
      <c r="H139" s="16">
        <f>IF(MATCH_ENGINE!H139="","",IF(MATCH_ENGINE!F139="OUT",MATCH_ENGINE!J139,""))</f>
        <v/>
      </c>
      <c r="I139" s="16">
        <f>IF(MATCH_ENGINE!H139="","",MATCH_ENGINE!J139)</f>
        <v/>
      </c>
      <c r="J139" s="12">
        <f>IF(MATCH_ENGINE!A139="","",MATCH_ENGINE!K139)</f>
        <v/>
      </c>
      <c r="K139" s="11">
        <f>IF(MATCH_ENGINE!A139="","",MATCH_ENGINE!L139)</f>
        <v/>
      </c>
      <c r="L139" s="17">
        <f>IF(MATCH_ENGINE!A139="","",MATCH_ENGINE!M139)</f>
        <v/>
      </c>
      <c r="M139" s="11">
        <f>IF(MATCH_ENGINE!A139="","",GL_CLEAN!F139)</f>
        <v/>
      </c>
      <c r="N139" s="11">
        <f>IF(MATCH_ENGINE!A139="","",GL_CLEAN!G139)</f>
        <v/>
      </c>
      <c r="O139" s="11">
        <f>IF(MATCH_ENGINE!H139="","",INDEX(BANK_CLEAN!$C$2:$C$1001,MATCH_ENGINE!H139))</f>
        <v/>
      </c>
      <c r="P139" s="11" t="inlineStr"/>
    </row>
    <row r="140">
      <c r="A140" s="11">
        <f>IF(MATCH_ENGINE!A140="","",MATCH_ENGINE!N140)</f>
        <v/>
      </c>
      <c r="B140" s="11">
        <f>IF(MATCH_ENGINE!A140="","",MATCH_ENGINE!C140)</f>
        <v/>
      </c>
      <c r="C140" s="10">
        <f>IF(MATCH_ENGINE!A140="","",MATCH_ENGINE!B140)</f>
        <v/>
      </c>
      <c r="D140" s="16">
        <f>IF(MATCH_ENGINE!A140="","",MATCH_ENGINE!D140)</f>
        <v/>
      </c>
      <c r="E140" s="11">
        <f>IF(MATCH_ENGINE!A140="","",MATCH_ENGINE!F140)</f>
        <v/>
      </c>
      <c r="F140" s="10">
        <f>IF(MATCH_ENGINE!A140="","",MATCH_ENGINE!I140)</f>
        <v/>
      </c>
      <c r="G140" s="16">
        <f>IF(MATCH_ENGINE!H140="","",IF(MATCH_ENGINE!F140="IN",MATCH_ENGINE!J140,""))</f>
        <v/>
      </c>
      <c r="H140" s="16">
        <f>IF(MATCH_ENGINE!H140="","",IF(MATCH_ENGINE!F140="OUT",MATCH_ENGINE!J140,""))</f>
        <v/>
      </c>
      <c r="I140" s="16">
        <f>IF(MATCH_ENGINE!H140="","",MATCH_ENGINE!J140)</f>
        <v/>
      </c>
      <c r="J140" s="12">
        <f>IF(MATCH_ENGINE!A140="","",MATCH_ENGINE!K140)</f>
        <v/>
      </c>
      <c r="K140" s="11">
        <f>IF(MATCH_ENGINE!A140="","",MATCH_ENGINE!L140)</f>
        <v/>
      </c>
      <c r="L140" s="17">
        <f>IF(MATCH_ENGINE!A140="","",MATCH_ENGINE!M140)</f>
        <v/>
      </c>
      <c r="M140" s="11">
        <f>IF(MATCH_ENGINE!A140="","",GL_CLEAN!F140)</f>
        <v/>
      </c>
      <c r="N140" s="11">
        <f>IF(MATCH_ENGINE!A140="","",GL_CLEAN!G140)</f>
        <v/>
      </c>
      <c r="O140" s="11">
        <f>IF(MATCH_ENGINE!H140="","",INDEX(BANK_CLEAN!$C$2:$C$1001,MATCH_ENGINE!H140))</f>
        <v/>
      </c>
      <c r="P140" s="11" t="inlineStr"/>
    </row>
    <row r="141">
      <c r="A141" s="11">
        <f>IF(MATCH_ENGINE!A141="","",MATCH_ENGINE!N141)</f>
        <v/>
      </c>
      <c r="B141" s="11">
        <f>IF(MATCH_ENGINE!A141="","",MATCH_ENGINE!C141)</f>
        <v/>
      </c>
      <c r="C141" s="10">
        <f>IF(MATCH_ENGINE!A141="","",MATCH_ENGINE!B141)</f>
        <v/>
      </c>
      <c r="D141" s="16">
        <f>IF(MATCH_ENGINE!A141="","",MATCH_ENGINE!D141)</f>
        <v/>
      </c>
      <c r="E141" s="11">
        <f>IF(MATCH_ENGINE!A141="","",MATCH_ENGINE!F141)</f>
        <v/>
      </c>
      <c r="F141" s="10">
        <f>IF(MATCH_ENGINE!A141="","",MATCH_ENGINE!I141)</f>
        <v/>
      </c>
      <c r="G141" s="16">
        <f>IF(MATCH_ENGINE!H141="","",IF(MATCH_ENGINE!F141="IN",MATCH_ENGINE!J141,""))</f>
        <v/>
      </c>
      <c r="H141" s="16">
        <f>IF(MATCH_ENGINE!H141="","",IF(MATCH_ENGINE!F141="OUT",MATCH_ENGINE!J141,""))</f>
        <v/>
      </c>
      <c r="I141" s="16">
        <f>IF(MATCH_ENGINE!H141="","",MATCH_ENGINE!J141)</f>
        <v/>
      </c>
      <c r="J141" s="12">
        <f>IF(MATCH_ENGINE!A141="","",MATCH_ENGINE!K141)</f>
        <v/>
      </c>
      <c r="K141" s="11">
        <f>IF(MATCH_ENGINE!A141="","",MATCH_ENGINE!L141)</f>
        <v/>
      </c>
      <c r="L141" s="17">
        <f>IF(MATCH_ENGINE!A141="","",MATCH_ENGINE!M141)</f>
        <v/>
      </c>
      <c r="M141" s="11">
        <f>IF(MATCH_ENGINE!A141="","",GL_CLEAN!F141)</f>
        <v/>
      </c>
      <c r="N141" s="11">
        <f>IF(MATCH_ENGINE!A141="","",GL_CLEAN!G141)</f>
        <v/>
      </c>
      <c r="O141" s="11">
        <f>IF(MATCH_ENGINE!H141="","",INDEX(BANK_CLEAN!$C$2:$C$1001,MATCH_ENGINE!H141))</f>
        <v/>
      </c>
      <c r="P141" s="11" t="inlineStr"/>
    </row>
    <row r="142">
      <c r="A142" s="11">
        <f>IF(MATCH_ENGINE!A142="","",MATCH_ENGINE!N142)</f>
        <v/>
      </c>
      <c r="B142" s="11">
        <f>IF(MATCH_ENGINE!A142="","",MATCH_ENGINE!C142)</f>
        <v/>
      </c>
      <c r="C142" s="10">
        <f>IF(MATCH_ENGINE!A142="","",MATCH_ENGINE!B142)</f>
        <v/>
      </c>
      <c r="D142" s="16">
        <f>IF(MATCH_ENGINE!A142="","",MATCH_ENGINE!D142)</f>
        <v/>
      </c>
      <c r="E142" s="11">
        <f>IF(MATCH_ENGINE!A142="","",MATCH_ENGINE!F142)</f>
        <v/>
      </c>
      <c r="F142" s="10">
        <f>IF(MATCH_ENGINE!A142="","",MATCH_ENGINE!I142)</f>
        <v/>
      </c>
      <c r="G142" s="16">
        <f>IF(MATCH_ENGINE!H142="","",IF(MATCH_ENGINE!F142="IN",MATCH_ENGINE!J142,""))</f>
        <v/>
      </c>
      <c r="H142" s="16">
        <f>IF(MATCH_ENGINE!H142="","",IF(MATCH_ENGINE!F142="OUT",MATCH_ENGINE!J142,""))</f>
        <v/>
      </c>
      <c r="I142" s="16">
        <f>IF(MATCH_ENGINE!H142="","",MATCH_ENGINE!J142)</f>
        <v/>
      </c>
      <c r="J142" s="12">
        <f>IF(MATCH_ENGINE!A142="","",MATCH_ENGINE!K142)</f>
        <v/>
      </c>
      <c r="K142" s="11">
        <f>IF(MATCH_ENGINE!A142="","",MATCH_ENGINE!L142)</f>
        <v/>
      </c>
      <c r="L142" s="17">
        <f>IF(MATCH_ENGINE!A142="","",MATCH_ENGINE!M142)</f>
        <v/>
      </c>
      <c r="M142" s="11">
        <f>IF(MATCH_ENGINE!A142="","",GL_CLEAN!F142)</f>
        <v/>
      </c>
      <c r="N142" s="11">
        <f>IF(MATCH_ENGINE!A142="","",GL_CLEAN!G142)</f>
        <v/>
      </c>
      <c r="O142" s="11">
        <f>IF(MATCH_ENGINE!H142="","",INDEX(BANK_CLEAN!$C$2:$C$1001,MATCH_ENGINE!H142))</f>
        <v/>
      </c>
      <c r="P142" s="11" t="inlineStr"/>
    </row>
    <row r="143">
      <c r="A143" s="11">
        <f>IF(MATCH_ENGINE!A143="","",MATCH_ENGINE!N143)</f>
        <v/>
      </c>
      <c r="B143" s="11">
        <f>IF(MATCH_ENGINE!A143="","",MATCH_ENGINE!C143)</f>
        <v/>
      </c>
      <c r="C143" s="10">
        <f>IF(MATCH_ENGINE!A143="","",MATCH_ENGINE!B143)</f>
        <v/>
      </c>
      <c r="D143" s="16">
        <f>IF(MATCH_ENGINE!A143="","",MATCH_ENGINE!D143)</f>
        <v/>
      </c>
      <c r="E143" s="11">
        <f>IF(MATCH_ENGINE!A143="","",MATCH_ENGINE!F143)</f>
        <v/>
      </c>
      <c r="F143" s="10">
        <f>IF(MATCH_ENGINE!A143="","",MATCH_ENGINE!I143)</f>
        <v/>
      </c>
      <c r="G143" s="16">
        <f>IF(MATCH_ENGINE!H143="","",IF(MATCH_ENGINE!F143="IN",MATCH_ENGINE!J143,""))</f>
        <v/>
      </c>
      <c r="H143" s="16">
        <f>IF(MATCH_ENGINE!H143="","",IF(MATCH_ENGINE!F143="OUT",MATCH_ENGINE!J143,""))</f>
        <v/>
      </c>
      <c r="I143" s="16">
        <f>IF(MATCH_ENGINE!H143="","",MATCH_ENGINE!J143)</f>
        <v/>
      </c>
      <c r="J143" s="12">
        <f>IF(MATCH_ENGINE!A143="","",MATCH_ENGINE!K143)</f>
        <v/>
      </c>
      <c r="K143" s="11">
        <f>IF(MATCH_ENGINE!A143="","",MATCH_ENGINE!L143)</f>
        <v/>
      </c>
      <c r="L143" s="17">
        <f>IF(MATCH_ENGINE!A143="","",MATCH_ENGINE!M143)</f>
        <v/>
      </c>
      <c r="M143" s="11">
        <f>IF(MATCH_ENGINE!A143="","",GL_CLEAN!F143)</f>
        <v/>
      </c>
      <c r="N143" s="11">
        <f>IF(MATCH_ENGINE!A143="","",GL_CLEAN!G143)</f>
        <v/>
      </c>
      <c r="O143" s="11">
        <f>IF(MATCH_ENGINE!H143="","",INDEX(BANK_CLEAN!$C$2:$C$1001,MATCH_ENGINE!H143))</f>
        <v/>
      </c>
      <c r="P143" s="11" t="inlineStr"/>
    </row>
    <row r="144">
      <c r="A144" s="11">
        <f>IF(MATCH_ENGINE!A144="","",MATCH_ENGINE!N144)</f>
        <v/>
      </c>
      <c r="B144" s="11">
        <f>IF(MATCH_ENGINE!A144="","",MATCH_ENGINE!C144)</f>
        <v/>
      </c>
      <c r="C144" s="10">
        <f>IF(MATCH_ENGINE!A144="","",MATCH_ENGINE!B144)</f>
        <v/>
      </c>
      <c r="D144" s="16">
        <f>IF(MATCH_ENGINE!A144="","",MATCH_ENGINE!D144)</f>
        <v/>
      </c>
      <c r="E144" s="11">
        <f>IF(MATCH_ENGINE!A144="","",MATCH_ENGINE!F144)</f>
        <v/>
      </c>
      <c r="F144" s="10">
        <f>IF(MATCH_ENGINE!A144="","",MATCH_ENGINE!I144)</f>
        <v/>
      </c>
      <c r="G144" s="16">
        <f>IF(MATCH_ENGINE!H144="","",IF(MATCH_ENGINE!F144="IN",MATCH_ENGINE!J144,""))</f>
        <v/>
      </c>
      <c r="H144" s="16">
        <f>IF(MATCH_ENGINE!H144="","",IF(MATCH_ENGINE!F144="OUT",MATCH_ENGINE!J144,""))</f>
        <v/>
      </c>
      <c r="I144" s="16">
        <f>IF(MATCH_ENGINE!H144="","",MATCH_ENGINE!J144)</f>
        <v/>
      </c>
      <c r="J144" s="12">
        <f>IF(MATCH_ENGINE!A144="","",MATCH_ENGINE!K144)</f>
        <v/>
      </c>
      <c r="K144" s="11">
        <f>IF(MATCH_ENGINE!A144="","",MATCH_ENGINE!L144)</f>
        <v/>
      </c>
      <c r="L144" s="17">
        <f>IF(MATCH_ENGINE!A144="","",MATCH_ENGINE!M144)</f>
        <v/>
      </c>
      <c r="M144" s="11">
        <f>IF(MATCH_ENGINE!A144="","",GL_CLEAN!F144)</f>
        <v/>
      </c>
      <c r="N144" s="11">
        <f>IF(MATCH_ENGINE!A144="","",GL_CLEAN!G144)</f>
        <v/>
      </c>
      <c r="O144" s="11">
        <f>IF(MATCH_ENGINE!H144="","",INDEX(BANK_CLEAN!$C$2:$C$1001,MATCH_ENGINE!H144))</f>
        <v/>
      </c>
      <c r="P144" s="11" t="inlineStr"/>
    </row>
    <row r="145">
      <c r="A145" s="11">
        <f>IF(MATCH_ENGINE!A145="","",MATCH_ENGINE!N145)</f>
        <v/>
      </c>
      <c r="B145" s="11">
        <f>IF(MATCH_ENGINE!A145="","",MATCH_ENGINE!C145)</f>
        <v/>
      </c>
      <c r="C145" s="10">
        <f>IF(MATCH_ENGINE!A145="","",MATCH_ENGINE!B145)</f>
        <v/>
      </c>
      <c r="D145" s="16">
        <f>IF(MATCH_ENGINE!A145="","",MATCH_ENGINE!D145)</f>
        <v/>
      </c>
      <c r="E145" s="11">
        <f>IF(MATCH_ENGINE!A145="","",MATCH_ENGINE!F145)</f>
        <v/>
      </c>
      <c r="F145" s="10">
        <f>IF(MATCH_ENGINE!A145="","",MATCH_ENGINE!I145)</f>
        <v/>
      </c>
      <c r="G145" s="16">
        <f>IF(MATCH_ENGINE!H145="","",IF(MATCH_ENGINE!F145="IN",MATCH_ENGINE!J145,""))</f>
        <v/>
      </c>
      <c r="H145" s="16">
        <f>IF(MATCH_ENGINE!H145="","",IF(MATCH_ENGINE!F145="OUT",MATCH_ENGINE!J145,""))</f>
        <v/>
      </c>
      <c r="I145" s="16">
        <f>IF(MATCH_ENGINE!H145="","",MATCH_ENGINE!J145)</f>
        <v/>
      </c>
      <c r="J145" s="12">
        <f>IF(MATCH_ENGINE!A145="","",MATCH_ENGINE!K145)</f>
        <v/>
      </c>
      <c r="K145" s="11">
        <f>IF(MATCH_ENGINE!A145="","",MATCH_ENGINE!L145)</f>
        <v/>
      </c>
      <c r="L145" s="17">
        <f>IF(MATCH_ENGINE!A145="","",MATCH_ENGINE!M145)</f>
        <v/>
      </c>
      <c r="M145" s="11">
        <f>IF(MATCH_ENGINE!A145="","",GL_CLEAN!F145)</f>
        <v/>
      </c>
      <c r="N145" s="11">
        <f>IF(MATCH_ENGINE!A145="","",GL_CLEAN!G145)</f>
        <v/>
      </c>
      <c r="O145" s="11">
        <f>IF(MATCH_ENGINE!H145="","",INDEX(BANK_CLEAN!$C$2:$C$1001,MATCH_ENGINE!H145))</f>
        <v/>
      </c>
      <c r="P145" s="11" t="inlineStr"/>
    </row>
    <row r="146">
      <c r="A146" s="11">
        <f>IF(MATCH_ENGINE!A146="","",MATCH_ENGINE!N146)</f>
        <v/>
      </c>
      <c r="B146" s="11">
        <f>IF(MATCH_ENGINE!A146="","",MATCH_ENGINE!C146)</f>
        <v/>
      </c>
      <c r="C146" s="10">
        <f>IF(MATCH_ENGINE!A146="","",MATCH_ENGINE!B146)</f>
        <v/>
      </c>
      <c r="D146" s="16">
        <f>IF(MATCH_ENGINE!A146="","",MATCH_ENGINE!D146)</f>
        <v/>
      </c>
      <c r="E146" s="11">
        <f>IF(MATCH_ENGINE!A146="","",MATCH_ENGINE!F146)</f>
        <v/>
      </c>
      <c r="F146" s="10">
        <f>IF(MATCH_ENGINE!A146="","",MATCH_ENGINE!I146)</f>
        <v/>
      </c>
      <c r="G146" s="16">
        <f>IF(MATCH_ENGINE!H146="","",IF(MATCH_ENGINE!F146="IN",MATCH_ENGINE!J146,""))</f>
        <v/>
      </c>
      <c r="H146" s="16">
        <f>IF(MATCH_ENGINE!H146="","",IF(MATCH_ENGINE!F146="OUT",MATCH_ENGINE!J146,""))</f>
        <v/>
      </c>
      <c r="I146" s="16">
        <f>IF(MATCH_ENGINE!H146="","",MATCH_ENGINE!J146)</f>
        <v/>
      </c>
      <c r="J146" s="12">
        <f>IF(MATCH_ENGINE!A146="","",MATCH_ENGINE!K146)</f>
        <v/>
      </c>
      <c r="K146" s="11">
        <f>IF(MATCH_ENGINE!A146="","",MATCH_ENGINE!L146)</f>
        <v/>
      </c>
      <c r="L146" s="17">
        <f>IF(MATCH_ENGINE!A146="","",MATCH_ENGINE!M146)</f>
        <v/>
      </c>
      <c r="M146" s="11">
        <f>IF(MATCH_ENGINE!A146="","",GL_CLEAN!F146)</f>
        <v/>
      </c>
      <c r="N146" s="11">
        <f>IF(MATCH_ENGINE!A146="","",GL_CLEAN!G146)</f>
        <v/>
      </c>
      <c r="O146" s="11">
        <f>IF(MATCH_ENGINE!H146="","",INDEX(BANK_CLEAN!$C$2:$C$1001,MATCH_ENGINE!H146))</f>
        <v/>
      </c>
      <c r="P146" s="11" t="inlineStr"/>
    </row>
    <row r="147">
      <c r="A147" s="11">
        <f>IF(MATCH_ENGINE!A147="","",MATCH_ENGINE!N147)</f>
        <v/>
      </c>
      <c r="B147" s="11">
        <f>IF(MATCH_ENGINE!A147="","",MATCH_ENGINE!C147)</f>
        <v/>
      </c>
      <c r="C147" s="10">
        <f>IF(MATCH_ENGINE!A147="","",MATCH_ENGINE!B147)</f>
        <v/>
      </c>
      <c r="D147" s="16">
        <f>IF(MATCH_ENGINE!A147="","",MATCH_ENGINE!D147)</f>
        <v/>
      </c>
      <c r="E147" s="11">
        <f>IF(MATCH_ENGINE!A147="","",MATCH_ENGINE!F147)</f>
        <v/>
      </c>
      <c r="F147" s="10">
        <f>IF(MATCH_ENGINE!A147="","",MATCH_ENGINE!I147)</f>
        <v/>
      </c>
      <c r="G147" s="16">
        <f>IF(MATCH_ENGINE!H147="","",IF(MATCH_ENGINE!F147="IN",MATCH_ENGINE!J147,""))</f>
        <v/>
      </c>
      <c r="H147" s="16">
        <f>IF(MATCH_ENGINE!H147="","",IF(MATCH_ENGINE!F147="OUT",MATCH_ENGINE!J147,""))</f>
        <v/>
      </c>
      <c r="I147" s="16">
        <f>IF(MATCH_ENGINE!H147="","",MATCH_ENGINE!J147)</f>
        <v/>
      </c>
      <c r="J147" s="12">
        <f>IF(MATCH_ENGINE!A147="","",MATCH_ENGINE!K147)</f>
        <v/>
      </c>
      <c r="K147" s="11">
        <f>IF(MATCH_ENGINE!A147="","",MATCH_ENGINE!L147)</f>
        <v/>
      </c>
      <c r="L147" s="17">
        <f>IF(MATCH_ENGINE!A147="","",MATCH_ENGINE!M147)</f>
        <v/>
      </c>
      <c r="M147" s="11">
        <f>IF(MATCH_ENGINE!A147="","",GL_CLEAN!F147)</f>
        <v/>
      </c>
      <c r="N147" s="11">
        <f>IF(MATCH_ENGINE!A147="","",GL_CLEAN!G147)</f>
        <v/>
      </c>
      <c r="O147" s="11">
        <f>IF(MATCH_ENGINE!H147="","",INDEX(BANK_CLEAN!$C$2:$C$1001,MATCH_ENGINE!H147))</f>
        <v/>
      </c>
      <c r="P147" s="11" t="inlineStr"/>
    </row>
    <row r="148">
      <c r="A148" s="11">
        <f>IF(MATCH_ENGINE!A148="","",MATCH_ENGINE!N148)</f>
        <v/>
      </c>
      <c r="B148" s="11">
        <f>IF(MATCH_ENGINE!A148="","",MATCH_ENGINE!C148)</f>
        <v/>
      </c>
      <c r="C148" s="10">
        <f>IF(MATCH_ENGINE!A148="","",MATCH_ENGINE!B148)</f>
        <v/>
      </c>
      <c r="D148" s="16">
        <f>IF(MATCH_ENGINE!A148="","",MATCH_ENGINE!D148)</f>
        <v/>
      </c>
      <c r="E148" s="11">
        <f>IF(MATCH_ENGINE!A148="","",MATCH_ENGINE!F148)</f>
        <v/>
      </c>
      <c r="F148" s="10">
        <f>IF(MATCH_ENGINE!A148="","",MATCH_ENGINE!I148)</f>
        <v/>
      </c>
      <c r="G148" s="16">
        <f>IF(MATCH_ENGINE!H148="","",IF(MATCH_ENGINE!F148="IN",MATCH_ENGINE!J148,""))</f>
        <v/>
      </c>
      <c r="H148" s="16">
        <f>IF(MATCH_ENGINE!H148="","",IF(MATCH_ENGINE!F148="OUT",MATCH_ENGINE!J148,""))</f>
        <v/>
      </c>
      <c r="I148" s="16">
        <f>IF(MATCH_ENGINE!H148="","",MATCH_ENGINE!J148)</f>
        <v/>
      </c>
      <c r="J148" s="12">
        <f>IF(MATCH_ENGINE!A148="","",MATCH_ENGINE!K148)</f>
        <v/>
      </c>
      <c r="K148" s="11">
        <f>IF(MATCH_ENGINE!A148="","",MATCH_ENGINE!L148)</f>
        <v/>
      </c>
      <c r="L148" s="17">
        <f>IF(MATCH_ENGINE!A148="","",MATCH_ENGINE!M148)</f>
        <v/>
      </c>
      <c r="M148" s="11">
        <f>IF(MATCH_ENGINE!A148="","",GL_CLEAN!F148)</f>
        <v/>
      </c>
      <c r="N148" s="11">
        <f>IF(MATCH_ENGINE!A148="","",GL_CLEAN!G148)</f>
        <v/>
      </c>
      <c r="O148" s="11">
        <f>IF(MATCH_ENGINE!H148="","",INDEX(BANK_CLEAN!$C$2:$C$1001,MATCH_ENGINE!H148))</f>
        <v/>
      </c>
      <c r="P148" s="11" t="inlineStr"/>
    </row>
    <row r="149">
      <c r="A149" s="11">
        <f>IF(MATCH_ENGINE!A149="","",MATCH_ENGINE!N149)</f>
        <v/>
      </c>
      <c r="B149" s="11">
        <f>IF(MATCH_ENGINE!A149="","",MATCH_ENGINE!C149)</f>
        <v/>
      </c>
      <c r="C149" s="10">
        <f>IF(MATCH_ENGINE!A149="","",MATCH_ENGINE!B149)</f>
        <v/>
      </c>
      <c r="D149" s="16">
        <f>IF(MATCH_ENGINE!A149="","",MATCH_ENGINE!D149)</f>
        <v/>
      </c>
      <c r="E149" s="11">
        <f>IF(MATCH_ENGINE!A149="","",MATCH_ENGINE!F149)</f>
        <v/>
      </c>
      <c r="F149" s="10">
        <f>IF(MATCH_ENGINE!A149="","",MATCH_ENGINE!I149)</f>
        <v/>
      </c>
      <c r="G149" s="16">
        <f>IF(MATCH_ENGINE!H149="","",IF(MATCH_ENGINE!F149="IN",MATCH_ENGINE!J149,""))</f>
        <v/>
      </c>
      <c r="H149" s="16">
        <f>IF(MATCH_ENGINE!H149="","",IF(MATCH_ENGINE!F149="OUT",MATCH_ENGINE!J149,""))</f>
        <v/>
      </c>
      <c r="I149" s="16">
        <f>IF(MATCH_ENGINE!H149="","",MATCH_ENGINE!J149)</f>
        <v/>
      </c>
      <c r="J149" s="12">
        <f>IF(MATCH_ENGINE!A149="","",MATCH_ENGINE!K149)</f>
        <v/>
      </c>
      <c r="K149" s="11">
        <f>IF(MATCH_ENGINE!A149="","",MATCH_ENGINE!L149)</f>
        <v/>
      </c>
      <c r="L149" s="17">
        <f>IF(MATCH_ENGINE!A149="","",MATCH_ENGINE!M149)</f>
        <v/>
      </c>
      <c r="M149" s="11">
        <f>IF(MATCH_ENGINE!A149="","",GL_CLEAN!F149)</f>
        <v/>
      </c>
      <c r="N149" s="11">
        <f>IF(MATCH_ENGINE!A149="","",GL_CLEAN!G149)</f>
        <v/>
      </c>
      <c r="O149" s="11">
        <f>IF(MATCH_ENGINE!H149="","",INDEX(BANK_CLEAN!$C$2:$C$1001,MATCH_ENGINE!H149))</f>
        <v/>
      </c>
      <c r="P149" s="11" t="inlineStr"/>
    </row>
    <row r="150">
      <c r="A150" s="11">
        <f>IF(MATCH_ENGINE!A150="","",MATCH_ENGINE!N150)</f>
        <v/>
      </c>
      <c r="B150" s="11">
        <f>IF(MATCH_ENGINE!A150="","",MATCH_ENGINE!C150)</f>
        <v/>
      </c>
      <c r="C150" s="10">
        <f>IF(MATCH_ENGINE!A150="","",MATCH_ENGINE!B150)</f>
        <v/>
      </c>
      <c r="D150" s="16">
        <f>IF(MATCH_ENGINE!A150="","",MATCH_ENGINE!D150)</f>
        <v/>
      </c>
      <c r="E150" s="11">
        <f>IF(MATCH_ENGINE!A150="","",MATCH_ENGINE!F150)</f>
        <v/>
      </c>
      <c r="F150" s="10">
        <f>IF(MATCH_ENGINE!A150="","",MATCH_ENGINE!I150)</f>
        <v/>
      </c>
      <c r="G150" s="16">
        <f>IF(MATCH_ENGINE!H150="","",IF(MATCH_ENGINE!F150="IN",MATCH_ENGINE!J150,""))</f>
        <v/>
      </c>
      <c r="H150" s="16">
        <f>IF(MATCH_ENGINE!H150="","",IF(MATCH_ENGINE!F150="OUT",MATCH_ENGINE!J150,""))</f>
        <v/>
      </c>
      <c r="I150" s="16">
        <f>IF(MATCH_ENGINE!H150="","",MATCH_ENGINE!J150)</f>
        <v/>
      </c>
      <c r="J150" s="12">
        <f>IF(MATCH_ENGINE!A150="","",MATCH_ENGINE!K150)</f>
        <v/>
      </c>
      <c r="K150" s="11">
        <f>IF(MATCH_ENGINE!A150="","",MATCH_ENGINE!L150)</f>
        <v/>
      </c>
      <c r="L150" s="17">
        <f>IF(MATCH_ENGINE!A150="","",MATCH_ENGINE!M150)</f>
        <v/>
      </c>
      <c r="M150" s="11">
        <f>IF(MATCH_ENGINE!A150="","",GL_CLEAN!F150)</f>
        <v/>
      </c>
      <c r="N150" s="11">
        <f>IF(MATCH_ENGINE!A150="","",GL_CLEAN!G150)</f>
        <v/>
      </c>
      <c r="O150" s="11">
        <f>IF(MATCH_ENGINE!H150="","",INDEX(BANK_CLEAN!$C$2:$C$1001,MATCH_ENGINE!H150))</f>
        <v/>
      </c>
      <c r="P150" s="11" t="inlineStr"/>
    </row>
    <row r="151">
      <c r="A151" s="11">
        <f>IF(MATCH_ENGINE!A151="","",MATCH_ENGINE!N151)</f>
        <v/>
      </c>
      <c r="B151" s="11">
        <f>IF(MATCH_ENGINE!A151="","",MATCH_ENGINE!C151)</f>
        <v/>
      </c>
      <c r="C151" s="10">
        <f>IF(MATCH_ENGINE!A151="","",MATCH_ENGINE!B151)</f>
        <v/>
      </c>
      <c r="D151" s="16">
        <f>IF(MATCH_ENGINE!A151="","",MATCH_ENGINE!D151)</f>
        <v/>
      </c>
      <c r="E151" s="11">
        <f>IF(MATCH_ENGINE!A151="","",MATCH_ENGINE!F151)</f>
        <v/>
      </c>
      <c r="F151" s="10">
        <f>IF(MATCH_ENGINE!A151="","",MATCH_ENGINE!I151)</f>
        <v/>
      </c>
      <c r="G151" s="16">
        <f>IF(MATCH_ENGINE!H151="","",IF(MATCH_ENGINE!F151="IN",MATCH_ENGINE!J151,""))</f>
        <v/>
      </c>
      <c r="H151" s="16">
        <f>IF(MATCH_ENGINE!H151="","",IF(MATCH_ENGINE!F151="OUT",MATCH_ENGINE!J151,""))</f>
        <v/>
      </c>
      <c r="I151" s="16">
        <f>IF(MATCH_ENGINE!H151="","",MATCH_ENGINE!J151)</f>
        <v/>
      </c>
      <c r="J151" s="12">
        <f>IF(MATCH_ENGINE!A151="","",MATCH_ENGINE!K151)</f>
        <v/>
      </c>
      <c r="K151" s="11">
        <f>IF(MATCH_ENGINE!A151="","",MATCH_ENGINE!L151)</f>
        <v/>
      </c>
      <c r="L151" s="17">
        <f>IF(MATCH_ENGINE!A151="","",MATCH_ENGINE!M151)</f>
        <v/>
      </c>
      <c r="M151" s="11">
        <f>IF(MATCH_ENGINE!A151="","",GL_CLEAN!F151)</f>
        <v/>
      </c>
      <c r="N151" s="11">
        <f>IF(MATCH_ENGINE!A151="","",GL_CLEAN!G151)</f>
        <v/>
      </c>
      <c r="O151" s="11">
        <f>IF(MATCH_ENGINE!H151="","",INDEX(BANK_CLEAN!$C$2:$C$1001,MATCH_ENGINE!H151))</f>
        <v/>
      </c>
      <c r="P151" s="11" t="inlineStr"/>
    </row>
    <row r="152">
      <c r="A152" s="11">
        <f>IF(MATCH_ENGINE!A152="","",MATCH_ENGINE!N152)</f>
        <v/>
      </c>
      <c r="B152" s="11">
        <f>IF(MATCH_ENGINE!A152="","",MATCH_ENGINE!C152)</f>
        <v/>
      </c>
      <c r="C152" s="10">
        <f>IF(MATCH_ENGINE!A152="","",MATCH_ENGINE!B152)</f>
        <v/>
      </c>
      <c r="D152" s="16">
        <f>IF(MATCH_ENGINE!A152="","",MATCH_ENGINE!D152)</f>
        <v/>
      </c>
      <c r="E152" s="11">
        <f>IF(MATCH_ENGINE!A152="","",MATCH_ENGINE!F152)</f>
        <v/>
      </c>
      <c r="F152" s="10">
        <f>IF(MATCH_ENGINE!A152="","",MATCH_ENGINE!I152)</f>
        <v/>
      </c>
      <c r="G152" s="16">
        <f>IF(MATCH_ENGINE!H152="","",IF(MATCH_ENGINE!F152="IN",MATCH_ENGINE!J152,""))</f>
        <v/>
      </c>
      <c r="H152" s="16">
        <f>IF(MATCH_ENGINE!H152="","",IF(MATCH_ENGINE!F152="OUT",MATCH_ENGINE!J152,""))</f>
        <v/>
      </c>
      <c r="I152" s="16">
        <f>IF(MATCH_ENGINE!H152="","",MATCH_ENGINE!J152)</f>
        <v/>
      </c>
      <c r="J152" s="12">
        <f>IF(MATCH_ENGINE!A152="","",MATCH_ENGINE!K152)</f>
        <v/>
      </c>
      <c r="K152" s="11">
        <f>IF(MATCH_ENGINE!A152="","",MATCH_ENGINE!L152)</f>
        <v/>
      </c>
      <c r="L152" s="17">
        <f>IF(MATCH_ENGINE!A152="","",MATCH_ENGINE!M152)</f>
        <v/>
      </c>
      <c r="M152" s="11">
        <f>IF(MATCH_ENGINE!A152="","",GL_CLEAN!F152)</f>
        <v/>
      </c>
      <c r="N152" s="11">
        <f>IF(MATCH_ENGINE!A152="","",GL_CLEAN!G152)</f>
        <v/>
      </c>
      <c r="O152" s="11">
        <f>IF(MATCH_ENGINE!H152="","",INDEX(BANK_CLEAN!$C$2:$C$1001,MATCH_ENGINE!H152))</f>
        <v/>
      </c>
      <c r="P152" s="11" t="inlineStr"/>
    </row>
    <row r="153">
      <c r="A153" s="11">
        <f>IF(MATCH_ENGINE!A153="","",MATCH_ENGINE!N153)</f>
        <v/>
      </c>
      <c r="B153" s="11">
        <f>IF(MATCH_ENGINE!A153="","",MATCH_ENGINE!C153)</f>
        <v/>
      </c>
      <c r="C153" s="10">
        <f>IF(MATCH_ENGINE!A153="","",MATCH_ENGINE!B153)</f>
        <v/>
      </c>
      <c r="D153" s="16">
        <f>IF(MATCH_ENGINE!A153="","",MATCH_ENGINE!D153)</f>
        <v/>
      </c>
      <c r="E153" s="11">
        <f>IF(MATCH_ENGINE!A153="","",MATCH_ENGINE!F153)</f>
        <v/>
      </c>
      <c r="F153" s="10">
        <f>IF(MATCH_ENGINE!A153="","",MATCH_ENGINE!I153)</f>
        <v/>
      </c>
      <c r="G153" s="16">
        <f>IF(MATCH_ENGINE!H153="","",IF(MATCH_ENGINE!F153="IN",MATCH_ENGINE!J153,""))</f>
        <v/>
      </c>
      <c r="H153" s="16">
        <f>IF(MATCH_ENGINE!H153="","",IF(MATCH_ENGINE!F153="OUT",MATCH_ENGINE!J153,""))</f>
        <v/>
      </c>
      <c r="I153" s="16">
        <f>IF(MATCH_ENGINE!H153="","",MATCH_ENGINE!J153)</f>
        <v/>
      </c>
      <c r="J153" s="12">
        <f>IF(MATCH_ENGINE!A153="","",MATCH_ENGINE!K153)</f>
        <v/>
      </c>
      <c r="K153" s="11">
        <f>IF(MATCH_ENGINE!A153="","",MATCH_ENGINE!L153)</f>
        <v/>
      </c>
      <c r="L153" s="17">
        <f>IF(MATCH_ENGINE!A153="","",MATCH_ENGINE!M153)</f>
        <v/>
      </c>
      <c r="M153" s="11">
        <f>IF(MATCH_ENGINE!A153="","",GL_CLEAN!F153)</f>
        <v/>
      </c>
      <c r="N153" s="11">
        <f>IF(MATCH_ENGINE!A153="","",GL_CLEAN!G153)</f>
        <v/>
      </c>
      <c r="O153" s="11">
        <f>IF(MATCH_ENGINE!H153="","",INDEX(BANK_CLEAN!$C$2:$C$1001,MATCH_ENGINE!H153))</f>
        <v/>
      </c>
      <c r="P153" s="11" t="inlineStr"/>
    </row>
    <row r="154">
      <c r="A154" s="11">
        <f>IF(MATCH_ENGINE!A154="","",MATCH_ENGINE!N154)</f>
        <v/>
      </c>
      <c r="B154" s="11">
        <f>IF(MATCH_ENGINE!A154="","",MATCH_ENGINE!C154)</f>
        <v/>
      </c>
      <c r="C154" s="10">
        <f>IF(MATCH_ENGINE!A154="","",MATCH_ENGINE!B154)</f>
        <v/>
      </c>
      <c r="D154" s="16">
        <f>IF(MATCH_ENGINE!A154="","",MATCH_ENGINE!D154)</f>
        <v/>
      </c>
      <c r="E154" s="11">
        <f>IF(MATCH_ENGINE!A154="","",MATCH_ENGINE!F154)</f>
        <v/>
      </c>
      <c r="F154" s="10">
        <f>IF(MATCH_ENGINE!A154="","",MATCH_ENGINE!I154)</f>
        <v/>
      </c>
      <c r="G154" s="16">
        <f>IF(MATCH_ENGINE!H154="","",IF(MATCH_ENGINE!F154="IN",MATCH_ENGINE!J154,""))</f>
        <v/>
      </c>
      <c r="H154" s="16">
        <f>IF(MATCH_ENGINE!H154="","",IF(MATCH_ENGINE!F154="OUT",MATCH_ENGINE!J154,""))</f>
        <v/>
      </c>
      <c r="I154" s="16">
        <f>IF(MATCH_ENGINE!H154="","",MATCH_ENGINE!J154)</f>
        <v/>
      </c>
      <c r="J154" s="12">
        <f>IF(MATCH_ENGINE!A154="","",MATCH_ENGINE!K154)</f>
        <v/>
      </c>
      <c r="K154" s="11">
        <f>IF(MATCH_ENGINE!A154="","",MATCH_ENGINE!L154)</f>
        <v/>
      </c>
      <c r="L154" s="17">
        <f>IF(MATCH_ENGINE!A154="","",MATCH_ENGINE!M154)</f>
        <v/>
      </c>
      <c r="M154" s="11">
        <f>IF(MATCH_ENGINE!A154="","",GL_CLEAN!F154)</f>
        <v/>
      </c>
      <c r="N154" s="11">
        <f>IF(MATCH_ENGINE!A154="","",GL_CLEAN!G154)</f>
        <v/>
      </c>
      <c r="O154" s="11">
        <f>IF(MATCH_ENGINE!H154="","",INDEX(BANK_CLEAN!$C$2:$C$1001,MATCH_ENGINE!H154))</f>
        <v/>
      </c>
      <c r="P154" s="11" t="inlineStr"/>
    </row>
    <row r="155">
      <c r="A155" s="11">
        <f>IF(MATCH_ENGINE!A155="","",MATCH_ENGINE!N155)</f>
        <v/>
      </c>
      <c r="B155" s="11">
        <f>IF(MATCH_ENGINE!A155="","",MATCH_ENGINE!C155)</f>
        <v/>
      </c>
      <c r="C155" s="10">
        <f>IF(MATCH_ENGINE!A155="","",MATCH_ENGINE!B155)</f>
        <v/>
      </c>
      <c r="D155" s="16">
        <f>IF(MATCH_ENGINE!A155="","",MATCH_ENGINE!D155)</f>
        <v/>
      </c>
      <c r="E155" s="11">
        <f>IF(MATCH_ENGINE!A155="","",MATCH_ENGINE!F155)</f>
        <v/>
      </c>
      <c r="F155" s="10">
        <f>IF(MATCH_ENGINE!A155="","",MATCH_ENGINE!I155)</f>
        <v/>
      </c>
      <c r="G155" s="16">
        <f>IF(MATCH_ENGINE!H155="","",IF(MATCH_ENGINE!F155="IN",MATCH_ENGINE!J155,""))</f>
        <v/>
      </c>
      <c r="H155" s="16">
        <f>IF(MATCH_ENGINE!H155="","",IF(MATCH_ENGINE!F155="OUT",MATCH_ENGINE!J155,""))</f>
        <v/>
      </c>
      <c r="I155" s="16">
        <f>IF(MATCH_ENGINE!H155="","",MATCH_ENGINE!J155)</f>
        <v/>
      </c>
      <c r="J155" s="12">
        <f>IF(MATCH_ENGINE!A155="","",MATCH_ENGINE!K155)</f>
        <v/>
      </c>
      <c r="K155" s="11">
        <f>IF(MATCH_ENGINE!A155="","",MATCH_ENGINE!L155)</f>
        <v/>
      </c>
      <c r="L155" s="17">
        <f>IF(MATCH_ENGINE!A155="","",MATCH_ENGINE!M155)</f>
        <v/>
      </c>
      <c r="M155" s="11">
        <f>IF(MATCH_ENGINE!A155="","",GL_CLEAN!F155)</f>
        <v/>
      </c>
      <c r="N155" s="11">
        <f>IF(MATCH_ENGINE!A155="","",GL_CLEAN!G155)</f>
        <v/>
      </c>
      <c r="O155" s="11">
        <f>IF(MATCH_ENGINE!H155="","",INDEX(BANK_CLEAN!$C$2:$C$1001,MATCH_ENGINE!H155))</f>
        <v/>
      </c>
      <c r="P155" s="11" t="inlineStr"/>
    </row>
    <row r="156">
      <c r="A156" s="11">
        <f>IF(MATCH_ENGINE!A156="","",MATCH_ENGINE!N156)</f>
        <v/>
      </c>
      <c r="B156" s="11">
        <f>IF(MATCH_ENGINE!A156="","",MATCH_ENGINE!C156)</f>
        <v/>
      </c>
      <c r="C156" s="10">
        <f>IF(MATCH_ENGINE!A156="","",MATCH_ENGINE!B156)</f>
        <v/>
      </c>
      <c r="D156" s="16">
        <f>IF(MATCH_ENGINE!A156="","",MATCH_ENGINE!D156)</f>
        <v/>
      </c>
      <c r="E156" s="11">
        <f>IF(MATCH_ENGINE!A156="","",MATCH_ENGINE!F156)</f>
        <v/>
      </c>
      <c r="F156" s="10">
        <f>IF(MATCH_ENGINE!A156="","",MATCH_ENGINE!I156)</f>
        <v/>
      </c>
      <c r="G156" s="16">
        <f>IF(MATCH_ENGINE!H156="","",IF(MATCH_ENGINE!F156="IN",MATCH_ENGINE!J156,""))</f>
        <v/>
      </c>
      <c r="H156" s="16">
        <f>IF(MATCH_ENGINE!H156="","",IF(MATCH_ENGINE!F156="OUT",MATCH_ENGINE!J156,""))</f>
        <v/>
      </c>
      <c r="I156" s="16">
        <f>IF(MATCH_ENGINE!H156="","",MATCH_ENGINE!J156)</f>
        <v/>
      </c>
      <c r="J156" s="12">
        <f>IF(MATCH_ENGINE!A156="","",MATCH_ENGINE!K156)</f>
        <v/>
      </c>
      <c r="K156" s="11">
        <f>IF(MATCH_ENGINE!A156="","",MATCH_ENGINE!L156)</f>
        <v/>
      </c>
      <c r="L156" s="17">
        <f>IF(MATCH_ENGINE!A156="","",MATCH_ENGINE!M156)</f>
        <v/>
      </c>
      <c r="M156" s="11">
        <f>IF(MATCH_ENGINE!A156="","",GL_CLEAN!F156)</f>
        <v/>
      </c>
      <c r="N156" s="11">
        <f>IF(MATCH_ENGINE!A156="","",GL_CLEAN!G156)</f>
        <v/>
      </c>
      <c r="O156" s="11">
        <f>IF(MATCH_ENGINE!H156="","",INDEX(BANK_CLEAN!$C$2:$C$1001,MATCH_ENGINE!H156))</f>
        <v/>
      </c>
      <c r="P156" s="11" t="inlineStr"/>
    </row>
    <row r="157">
      <c r="A157" s="11">
        <f>IF(MATCH_ENGINE!A157="","",MATCH_ENGINE!N157)</f>
        <v/>
      </c>
      <c r="B157" s="11">
        <f>IF(MATCH_ENGINE!A157="","",MATCH_ENGINE!C157)</f>
        <v/>
      </c>
      <c r="C157" s="10">
        <f>IF(MATCH_ENGINE!A157="","",MATCH_ENGINE!B157)</f>
        <v/>
      </c>
      <c r="D157" s="16">
        <f>IF(MATCH_ENGINE!A157="","",MATCH_ENGINE!D157)</f>
        <v/>
      </c>
      <c r="E157" s="11">
        <f>IF(MATCH_ENGINE!A157="","",MATCH_ENGINE!F157)</f>
        <v/>
      </c>
      <c r="F157" s="10">
        <f>IF(MATCH_ENGINE!A157="","",MATCH_ENGINE!I157)</f>
        <v/>
      </c>
      <c r="G157" s="16">
        <f>IF(MATCH_ENGINE!H157="","",IF(MATCH_ENGINE!F157="IN",MATCH_ENGINE!J157,""))</f>
        <v/>
      </c>
      <c r="H157" s="16">
        <f>IF(MATCH_ENGINE!H157="","",IF(MATCH_ENGINE!F157="OUT",MATCH_ENGINE!J157,""))</f>
        <v/>
      </c>
      <c r="I157" s="16">
        <f>IF(MATCH_ENGINE!H157="","",MATCH_ENGINE!J157)</f>
        <v/>
      </c>
      <c r="J157" s="12">
        <f>IF(MATCH_ENGINE!A157="","",MATCH_ENGINE!K157)</f>
        <v/>
      </c>
      <c r="K157" s="11">
        <f>IF(MATCH_ENGINE!A157="","",MATCH_ENGINE!L157)</f>
        <v/>
      </c>
      <c r="L157" s="17">
        <f>IF(MATCH_ENGINE!A157="","",MATCH_ENGINE!M157)</f>
        <v/>
      </c>
      <c r="M157" s="11">
        <f>IF(MATCH_ENGINE!A157="","",GL_CLEAN!F157)</f>
        <v/>
      </c>
      <c r="N157" s="11">
        <f>IF(MATCH_ENGINE!A157="","",GL_CLEAN!G157)</f>
        <v/>
      </c>
      <c r="O157" s="11">
        <f>IF(MATCH_ENGINE!H157="","",INDEX(BANK_CLEAN!$C$2:$C$1001,MATCH_ENGINE!H157))</f>
        <v/>
      </c>
      <c r="P157" s="11" t="inlineStr"/>
    </row>
    <row r="158">
      <c r="A158" s="11">
        <f>IF(MATCH_ENGINE!A158="","",MATCH_ENGINE!N158)</f>
        <v/>
      </c>
      <c r="B158" s="11">
        <f>IF(MATCH_ENGINE!A158="","",MATCH_ENGINE!C158)</f>
        <v/>
      </c>
      <c r="C158" s="10">
        <f>IF(MATCH_ENGINE!A158="","",MATCH_ENGINE!B158)</f>
        <v/>
      </c>
      <c r="D158" s="16">
        <f>IF(MATCH_ENGINE!A158="","",MATCH_ENGINE!D158)</f>
        <v/>
      </c>
      <c r="E158" s="11">
        <f>IF(MATCH_ENGINE!A158="","",MATCH_ENGINE!F158)</f>
        <v/>
      </c>
      <c r="F158" s="10">
        <f>IF(MATCH_ENGINE!A158="","",MATCH_ENGINE!I158)</f>
        <v/>
      </c>
      <c r="G158" s="16">
        <f>IF(MATCH_ENGINE!H158="","",IF(MATCH_ENGINE!F158="IN",MATCH_ENGINE!J158,""))</f>
        <v/>
      </c>
      <c r="H158" s="16">
        <f>IF(MATCH_ENGINE!H158="","",IF(MATCH_ENGINE!F158="OUT",MATCH_ENGINE!J158,""))</f>
        <v/>
      </c>
      <c r="I158" s="16">
        <f>IF(MATCH_ENGINE!H158="","",MATCH_ENGINE!J158)</f>
        <v/>
      </c>
      <c r="J158" s="12">
        <f>IF(MATCH_ENGINE!A158="","",MATCH_ENGINE!K158)</f>
        <v/>
      </c>
      <c r="K158" s="11">
        <f>IF(MATCH_ENGINE!A158="","",MATCH_ENGINE!L158)</f>
        <v/>
      </c>
      <c r="L158" s="17">
        <f>IF(MATCH_ENGINE!A158="","",MATCH_ENGINE!M158)</f>
        <v/>
      </c>
      <c r="M158" s="11">
        <f>IF(MATCH_ENGINE!A158="","",GL_CLEAN!F158)</f>
        <v/>
      </c>
      <c r="N158" s="11">
        <f>IF(MATCH_ENGINE!A158="","",GL_CLEAN!G158)</f>
        <v/>
      </c>
      <c r="O158" s="11">
        <f>IF(MATCH_ENGINE!H158="","",INDEX(BANK_CLEAN!$C$2:$C$1001,MATCH_ENGINE!H158))</f>
        <v/>
      </c>
      <c r="P158" s="11" t="inlineStr"/>
    </row>
    <row r="159">
      <c r="A159" s="11">
        <f>IF(MATCH_ENGINE!A159="","",MATCH_ENGINE!N159)</f>
        <v/>
      </c>
      <c r="B159" s="11">
        <f>IF(MATCH_ENGINE!A159="","",MATCH_ENGINE!C159)</f>
        <v/>
      </c>
      <c r="C159" s="10">
        <f>IF(MATCH_ENGINE!A159="","",MATCH_ENGINE!B159)</f>
        <v/>
      </c>
      <c r="D159" s="16">
        <f>IF(MATCH_ENGINE!A159="","",MATCH_ENGINE!D159)</f>
        <v/>
      </c>
      <c r="E159" s="11">
        <f>IF(MATCH_ENGINE!A159="","",MATCH_ENGINE!F159)</f>
        <v/>
      </c>
      <c r="F159" s="10">
        <f>IF(MATCH_ENGINE!A159="","",MATCH_ENGINE!I159)</f>
        <v/>
      </c>
      <c r="G159" s="16">
        <f>IF(MATCH_ENGINE!H159="","",IF(MATCH_ENGINE!F159="IN",MATCH_ENGINE!J159,""))</f>
        <v/>
      </c>
      <c r="H159" s="16">
        <f>IF(MATCH_ENGINE!H159="","",IF(MATCH_ENGINE!F159="OUT",MATCH_ENGINE!J159,""))</f>
        <v/>
      </c>
      <c r="I159" s="16">
        <f>IF(MATCH_ENGINE!H159="","",MATCH_ENGINE!J159)</f>
        <v/>
      </c>
      <c r="J159" s="12">
        <f>IF(MATCH_ENGINE!A159="","",MATCH_ENGINE!K159)</f>
        <v/>
      </c>
      <c r="K159" s="11">
        <f>IF(MATCH_ENGINE!A159="","",MATCH_ENGINE!L159)</f>
        <v/>
      </c>
      <c r="L159" s="17">
        <f>IF(MATCH_ENGINE!A159="","",MATCH_ENGINE!M159)</f>
        <v/>
      </c>
      <c r="M159" s="11">
        <f>IF(MATCH_ENGINE!A159="","",GL_CLEAN!F159)</f>
        <v/>
      </c>
      <c r="N159" s="11">
        <f>IF(MATCH_ENGINE!A159="","",GL_CLEAN!G159)</f>
        <v/>
      </c>
      <c r="O159" s="11">
        <f>IF(MATCH_ENGINE!H159="","",INDEX(BANK_CLEAN!$C$2:$C$1001,MATCH_ENGINE!H159))</f>
        <v/>
      </c>
      <c r="P159" s="11" t="inlineStr"/>
    </row>
    <row r="160">
      <c r="A160" s="11">
        <f>IF(MATCH_ENGINE!A160="","",MATCH_ENGINE!N160)</f>
        <v/>
      </c>
      <c r="B160" s="11">
        <f>IF(MATCH_ENGINE!A160="","",MATCH_ENGINE!C160)</f>
        <v/>
      </c>
      <c r="C160" s="10">
        <f>IF(MATCH_ENGINE!A160="","",MATCH_ENGINE!B160)</f>
        <v/>
      </c>
      <c r="D160" s="16">
        <f>IF(MATCH_ENGINE!A160="","",MATCH_ENGINE!D160)</f>
        <v/>
      </c>
      <c r="E160" s="11">
        <f>IF(MATCH_ENGINE!A160="","",MATCH_ENGINE!F160)</f>
        <v/>
      </c>
      <c r="F160" s="10">
        <f>IF(MATCH_ENGINE!A160="","",MATCH_ENGINE!I160)</f>
        <v/>
      </c>
      <c r="G160" s="16">
        <f>IF(MATCH_ENGINE!H160="","",IF(MATCH_ENGINE!F160="IN",MATCH_ENGINE!J160,""))</f>
        <v/>
      </c>
      <c r="H160" s="16">
        <f>IF(MATCH_ENGINE!H160="","",IF(MATCH_ENGINE!F160="OUT",MATCH_ENGINE!J160,""))</f>
        <v/>
      </c>
      <c r="I160" s="16">
        <f>IF(MATCH_ENGINE!H160="","",MATCH_ENGINE!J160)</f>
        <v/>
      </c>
      <c r="J160" s="12">
        <f>IF(MATCH_ENGINE!A160="","",MATCH_ENGINE!K160)</f>
        <v/>
      </c>
      <c r="K160" s="11">
        <f>IF(MATCH_ENGINE!A160="","",MATCH_ENGINE!L160)</f>
        <v/>
      </c>
      <c r="L160" s="17">
        <f>IF(MATCH_ENGINE!A160="","",MATCH_ENGINE!M160)</f>
        <v/>
      </c>
      <c r="M160" s="11">
        <f>IF(MATCH_ENGINE!A160="","",GL_CLEAN!F160)</f>
        <v/>
      </c>
      <c r="N160" s="11">
        <f>IF(MATCH_ENGINE!A160="","",GL_CLEAN!G160)</f>
        <v/>
      </c>
      <c r="O160" s="11">
        <f>IF(MATCH_ENGINE!H160="","",INDEX(BANK_CLEAN!$C$2:$C$1001,MATCH_ENGINE!H160))</f>
        <v/>
      </c>
      <c r="P160" s="11" t="inlineStr"/>
    </row>
    <row r="161">
      <c r="A161" s="11">
        <f>IF(MATCH_ENGINE!A161="","",MATCH_ENGINE!N161)</f>
        <v/>
      </c>
      <c r="B161" s="11">
        <f>IF(MATCH_ENGINE!A161="","",MATCH_ENGINE!C161)</f>
        <v/>
      </c>
      <c r="C161" s="10">
        <f>IF(MATCH_ENGINE!A161="","",MATCH_ENGINE!B161)</f>
        <v/>
      </c>
      <c r="D161" s="16">
        <f>IF(MATCH_ENGINE!A161="","",MATCH_ENGINE!D161)</f>
        <v/>
      </c>
      <c r="E161" s="11">
        <f>IF(MATCH_ENGINE!A161="","",MATCH_ENGINE!F161)</f>
        <v/>
      </c>
      <c r="F161" s="10">
        <f>IF(MATCH_ENGINE!A161="","",MATCH_ENGINE!I161)</f>
        <v/>
      </c>
      <c r="G161" s="16">
        <f>IF(MATCH_ENGINE!H161="","",IF(MATCH_ENGINE!F161="IN",MATCH_ENGINE!J161,""))</f>
        <v/>
      </c>
      <c r="H161" s="16">
        <f>IF(MATCH_ENGINE!H161="","",IF(MATCH_ENGINE!F161="OUT",MATCH_ENGINE!J161,""))</f>
        <v/>
      </c>
      <c r="I161" s="16">
        <f>IF(MATCH_ENGINE!H161="","",MATCH_ENGINE!J161)</f>
        <v/>
      </c>
      <c r="J161" s="12">
        <f>IF(MATCH_ENGINE!A161="","",MATCH_ENGINE!K161)</f>
        <v/>
      </c>
      <c r="K161" s="11">
        <f>IF(MATCH_ENGINE!A161="","",MATCH_ENGINE!L161)</f>
        <v/>
      </c>
      <c r="L161" s="17">
        <f>IF(MATCH_ENGINE!A161="","",MATCH_ENGINE!M161)</f>
        <v/>
      </c>
      <c r="M161" s="11">
        <f>IF(MATCH_ENGINE!A161="","",GL_CLEAN!F161)</f>
        <v/>
      </c>
      <c r="N161" s="11">
        <f>IF(MATCH_ENGINE!A161="","",GL_CLEAN!G161)</f>
        <v/>
      </c>
      <c r="O161" s="11">
        <f>IF(MATCH_ENGINE!H161="","",INDEX(BANK_CLEAN!$C$2:$C$1001,MATCH_ENGINE!H161))</f>
        <v/>
      </c>
      <c r="P161" s="11" t="inlineStr"/>
    </row>
    <row r="162">
      <c r="A162" s="11">
        <f>IF(MATCH_ENGINE!A162="","",MATCH_ENGINE!N162)</f>
        <v/>
      </c>
      <c r="B162" s="11">
        <f>IF(MATCH_ENGINE!A162="","",MATCH_ENGINE!C162)</f>
        <v/>
      </c>
      <c r="C162" s="10">
        <f>IF(MATCH_ENGINE!A162="","",MATCH_ENGINE!B162)</f>
        <v/>
      </c>
      <c r="D162" s="16">
        <f>IF(MATCH_ENGINE!A162="","",MATCH_ENGINE!D162)</f>
        <v/>
      </c>
      <c r="E162" s="11">
        <f>IF(MATCH_ENGINE!A162="","",MATCH_ENGINE!F162)</f>
        <v/>
      </c>
      <c r="F162" s="10">
        <f>IF(MATCH_ENGINE!A162="","",MATCH_ENGINE!I162)</f>
        <v/>
      </c>
      <c r="G162" s="16">
        <f>IF(MATCH_ENGINE!H162="","",IF(MATCH_ENGINE!F162="IN",MATCH_ENGINE!J162,""))</f>
        <v/>
      </c>
      <c r="H162" s="16">
        <f>IF(MATCH_ENGINE!H162="","",IF(MATCH_ENGINE!F162="OUT",MATCH_ENGINE!J162,""))</f>
        <v/>
      </c>
      <c r="I162" s="16">
        <f>IF(MATCH_ENGINE!H162="","",MATCH_ENGINE!J162)</f>
        <v/>
      </c>
      <c r="J162" s="12">
        <f>IF(MATCH_ENGINE!A162="","",MATCH_ENGINE!K162)</f>
        <v/>
      </c>
      <c r="K162" s="11">
        <f>IF(MATCH_ENGINE!A162="","",MATCH_ENGINE!L162)</f>
        <v/>
      </c>
      <c r="L162" s="17">
        <f>IF(MATCH_ENGINE!A162="","",MATCH_ENGINE!M162)</f>
        <v/>
      </c>
      <c r="M162" s="11">
        <f>IF(MATCH_ENGINE!A162="","",GL_CLEAN!F162)</f>
        <v/>
      </c>
      <c r="N162" s="11">
        <f>IF(MATCH_ENGINE!A162="","",GL_CLEAN!G162)</f>
        <v/>
      </c>
      <c r="O162" s="11">
        <f>IF(MATCH_ENGINE!H162="","",INDEX(BANK_CLEAN!$C$2:$C$1001,MATCH_ENGINE!H162))</f>
        <v/>
      </c>
      <c r="P162" s="11" t="inlineStr"/>
    </row>
    <row r="163">
      <c r="A163" s="11">
        <f>IF(MATCH_ENGINE!A163="","",MATCH_ENGINE!N163)</f>
        <v/>
      </c>
      <c r="B163" s="11">
        <f>IF(MATCH_ENGINE!A163="","",MATCH_ENGINE!C163)</f>
        <v/>
      </c>
      <c r="C163" s="10">
        <f>IF(MATCH_ENGINE!A163="","",MATCH_ENGINE!B163)</f>
        <v/>
      </c>
      <c r="D163" s="16">
        <f>IF(MATCH_ENGINE!A163="","",MATCH_ENGINE!D163)</f>
        <v/>
      </c>
      <c r="E163" s="11">
        <f>IF(MATCH_ENGINE!A163="","",MATCH_ENGINE!F163)</f>
        <v/>
      </c>
      <c r="F163" s="10">
        <f>IF(MATCH_ENGINE!A163="","",MATCH_ENGINE!I163)</f>
        <v/>
      </c>
      <c r="G163" s="16">
        <f>IF(MATCH_ENGINE!H163="","",IF(MATCH_ENGINE!F163="IN",MATCH_ENGINE!J163,""))</f>
        <v/>
      </c>
      <c r="H163" s="16">
        <f>IF(MATCH_ENGINE!H163="","",IF(MATCH_ENGINE!F163="OUT",MATCH_ENGINE!J163,""))</f>
        <v/>
      </c>
      <c r="I163" s="16">
        <f>IF(MATCH_ENGINE!H163="","",MATCH_ENGINE!J163)</f>
        <v/>
      </c>
      <c r="J163" s="12">
        <f>IF(MATCH_ENGINE!A163="","",MATCH_ENGINE!K163)</f>
        <v/>
      </c>
      <c r="K163" s="11">
        <f>IF(MATCH_ENGINE!A163="","",MATCH_ENGINE!L163)</f>
        <v/>
      </c>
      <c r="L163" s="17">
        <f>IF(MATCH_ENGINE!A163="","",MATCH_ENGINE!M163)</f>
        <v/>
      </c>
      <c r="M163" s="11">
        <f>IF(MATCH_ENGINE!A163="","",GL_CLEAN!F163)</f>
        <v/>
      </c>
      <c r="N163" s="11">
        <f>IF(MATCH_ENGINE!A163="","",GL_CLEAN!G163)</f>
        <v/>
      </c>
      <c r="O163" s="11">
        <f>IF(MATCH_ENGINE!H163="","",INDEX(BANK_CLEAN!$C$2:$C$1001,MATCH_ENGINE!H163))</f>
        <v/>
      </c>
      <c r="P163" s="11" t="inlineStr"/>
    </row>
    <row r="164">
      <c r="A164" s="11">
        <f>IF(MATCH_ENGINE!A164="","",MATCH_ENGINE!N164)</f>
        <v/>
      </c>
      <c r="B164" s="11">
        <f>IF(MATCH_ENGINE!A164="","",MATCH_ENGINE!C164)</f>
        <v/>
      </c>
      <c r="C164" s="10">
        <f>IF(MATCH_ENGINE!A164="","",MATCH_ENGINE!B164)</f>
        <v/>
      </c>
      <c r="D164" s="16">
        <f>IF(MATCH_ENGINE!A164="","",MATCH_ENGINE!D164)</f>
        <v/>
      </c>
      <c r="E164" s="11">
        <f>IF(MATCH_ENGINE!A164="","",MATCH_ENGINE!F164)</f>
        <v/>
      </c>
      <c r="F164" s="10">
        <f>IF(MATCH_ENGINE!A164="","",MATCH_ENGINE!I164)</f>
        <v/>
      </c>
      <c r="G164" s="16">
        <f>IF(MATCH_ENGINE!H164="","",IF(MATCH_ENGINE!F164="IN",MATCH_ENGINE!J164,""))</f>
        <v/>
      </c>
      <c r="H164" s="16">
        <f>IF(MATCH_ENGINE!H164="","",IF(MATCH_ENGINE!F164="OUT",MATCH_ENGINE!J164,""))</f>
        <v/>
      </c>
      <c r="I164" s="16">
        <f>IF(MATCH_ENGINE!H164="","",MATCH_ENGINE!J164)</f>
        <v/>
      </c>
      <c r="J164" s="12">
        <f>IF(MATCH_ENGINE!A164="","",MATCH_ENGINE!K164)</f>
        <v/>
      </c>
      <c r="K164" s="11">
        <f>IF(MATCH_ENGINE!A164="","",MATCH_ENGINE!L164)</f>
        <v/>
      </c>
      <c r="L164" s="17">
        <f>IF(MATCH_ENGINE!A164="","",MATCH_ENGINE!M164)</f>
        <v/>
      </c>
      <c r="M164" s="11">
        <f>IF(MATCH_ENGINE!A164="","",GL_CLEAN!F164)</f>
        <v/>
      </c>
      <c r="N164" s="11">
        <f>IF(MATCH_ENGINE!A164="","",GL_CLEAN!G164)</f>
        <v/>
      </c>
      <c r="O164" s="11">
        <f>IF(MATCH_ENGINE!H164="","",INDEX(BANK_CLEAN!$C$2:$C$1001,MATCH_ENGINE!H164))</f>
        <v/>
      </c>
      <c r="P164" s="11" t="inlineStr"/>
    </row>
    <row r="165">
      <c r="A165" s="11">
        <f>IF(MATCH_ENGINE!A165="","",MATCH_ENGINE!N165)</f>
        <v/>
      </c>
      <c r="B165" s="11">
        <f>IF(MATCH_ENGINE!A165="","",MATCH_ENGINE!C165)</f>
        <v/>
      </c>
      <c r="C165" s="10">
        <f>IF(MATCH_ENGINE!A165="","",MATCH_ENGINE!B165)</f>
        <v/>
      </c>
      <c r="D165" s="16">
        <f>IF(MATCH_ENGINE!A165="","",MATCH_ENGINE!D165)</f>
        <v/>
      </c>
      <c r="E165" s="11">
        <f>IF(MATCH_ENGINE!A165="","",MATCH_ENGINE!F165)</f>
        <v/>
      </c>
      <c r="F165" s="10">
        <f>IF(MATCH_ENGINE!A165="","",MATCH_ENGINE!I165)</f>
        <v/>
      </c>
      <c r="G165" s="16">
        <f>IF(MATCH_ENGINE!H165="","",IF(MATCH_ENGINE!F165="IN",MATCH_ENGINE!J165,""))</f>
        <v/>
      </c>
      <c r="H165" s="16">
        <f>IF(MATCH_ENGINE!H165="","",IF(MATCH_ENGINE!F165="OUT",MATCH_ENGINE!J165,""))</f>
        <v/>
      </c>
      <c r="I165" s="16">
        <f>IF(MATCH_ENGINE!H165="","",MATCH_ENGINE!J165)</f>
        <v/>
      </c>
      <c r="J165" s="12">
        <f>IF(MATCH_ENGINE!A165="","",MATCH_ENGINE!K165)</f>
        <v/>
      </c>
      <c r="K165" s="11">
        <f>IF(MATCH_ENGINE!A165="","",MATCH_ENGINE!L165)</f>
        <v/>
      </c>
      <c r="L165" s="17">
        <f>IF(MATCH_ENGINE!A165="","",MATCH_ENGINE!M165)</f>
        <v/>
      </c>
      <c r="M165" s="11">
        <f>IF(MATCH_ENGINE!A165="","",GL_CLEAN!F165)</f>
        <v/>
      </c>
      <c r="N165" s="11">
        <f>IF(MATCH_ENGINE!A165="","",GL_CLEAN!G165)</f>
        <v/>
      </c>
      <c r="O165" s="11">
        <f>IF(MATCH_ENGINE!H165="","",INDEX(BANK_CLEAN!$C$2:$C$1001,MATCH_ENGINE!H165))</f>
        <v/>
      </c>
      <c r="P165" s="11" t="inlineStr"/>
    </row>
    <row r="166">
      <c r="A166" s="11">
        <f>IF(MATCH_ENGINE!A166="","",MATCH_ENGINE!N166)</f>
        <v/>
      </c>
      <c r="B166" s="11">
        <f>IF(MATCH_ENGINE!A166="","",MATCH_ENGINE!C166)</f>
        <v/>
      </c>
      <c r="C166" s="10">
        <f>IF(MATCH_ENGINE!A166="","",MATCH_ENGINE!B166)</f>
        <v/>
      </c>
      <c r="D166" s="16">
        <f>IF(MATCH_ENGINE!A166="","",MATCH_ENGINE!D166)</f>
        <v/>
      </c>
      <c r="E166" s="11">
        <f>IF(MATCH_ENGINE!A166="","",MATCH_ENGINE!F166)</f>
        <v/>
      </c>
      <c r="F166" s="10">
        <f>IF(MATCH_ENGINE!A166="","",MATCH_ENGINE!I166)</f>
        <v/>
      </c>
      <c r="G166" s="16">
        <f>IF(MATCH_ENGINE!H166="","",IF(MATCH_ENGINE!F166="IN",MATCH_ENGINE!J166,""))</f>
        <v/>
      </c>
      <c r="H166" s="16">
        <f>IF(MATCH_ENGINE!H166="","",IF(MATCH_ENGINE!F166="OUT",MATCH_ENGINE!J166,""))</f>
        <v/>
      </c>
      <c r="I166" s="16">
        <f>IF(MATCH_ENGINE!H166="","",MATCH_ENGINE!J166)</f>
        <v/>
      </c>
      <c r="J166" s="12">
        <f>IF(MATCH_ENGINE!A166="","",MATCH_ENGINE!K166)</f>
        <v/>
      </c>
      <c r="K166" s="11">
        <f>IF(MATCH_ENGINE!A166="","",MATCH_ENGINE!L166)</f>
        <v/>
      </c>
      <c r="L166" s="17">
        <f>IF(MATCH_ENGINE!A166="","",MATCH_ENGINE!M166)</f>
        <v/>
      </c>
      <c r="M166" s="11">
        <f>IF(MATCH_ENGINE!A166="","",GL_CLEAN!F166)</f>
        <v/>
      </c>
      <c r="N166" s="11">
        <f>IF(MATCH_ENGINE!A166="","",GL_CLEAN!G166)</f>
        <v/>
      </c>
      <c r="O166" s="11">
        <f>IF(MATCH_ENGINE!H166="","",INDEX(BANK_CLEAN!$C$2:$C$1001,MATCH_ENGINE!H166))</f>
        <v/>
      </c>
      <c r="P166" s="11" t="inlineStr"/>
    </row>
    <row r="167">
      <c r="A167" s="11">
        <f>IF(MATCH_ENGINE!A167="","",MATCH_ENGINE!N167)</f>
        <v/>
      </c>
      <c r="B167" s="11">
        <f>IF(MATCH_ENGINE!A167="","",MATCH_ENGINE!C167)</f>
        <v/>
      </c>
      <c r="C167" s="10">
        <f>IF(MATCH_ENGINE!A167="","",MATCH_ENGINE!B167)</f>
        <v/>
      </c>
      <c r="D167" s="16">
        <f>IF(MATCH_ENGINE!A167="","",MATCH_ENGINE!D167)</f>
        <v/>
      </c>
      <c r="E167" s="11">
        <f>IF(MATCH_ENGINE!A167="","",MATCH_ENGINE!F167)</f>
        <v/>
      </c>
      <c r="F167" s="10">
        <f>IF(MATCH_ENGINE!A167="","",MATCH_ENGINE!I167)</f>
        <v/>
      </c>
      <c r="G167" s="16">
        <f>IF(MATCH_ENGINE!H167="","",IF(MATCH_ENGINE!F167="IN",MATCH_ENGINE!J167,""))</f>
        <v/>
      </c>
      <c r="H167" s="16">
        <f>IF(MATCH_ENGINE!H167="","",IF(MATCH_ENGINE!F167="OUT",MATCH_ENGINE!J167,""))</f>
        <v/>
      </c>
      <c r="I167" s="16">
        <f>IF(MATCH_ENGINE!H167="","",MATCH_ENGINE!J167)</f>
        <v/>
      </c>
      <c r="J167" s="12">
        <f>IF(MATCH_ENGINE!A167="","",MATCH_ENGINE!K167)</f>
        <v/>
      </c>
      <c r="K167" s="11">
        <f>IF(MATCH_ENGINE!A167="","",MATCH_ENGINE!L167)</f>
        <v/>
      </c>
      <c r="L167" s="17">
        <f>IF(MATCH_ENGINE!A167="","",MATCH_ENGINE!M167)</f>
        <v/>
      </c>
      <c r="M167" s="11">
        <f>IF(MATCH_ENGINE!A167="","",GL_CLEAN!F167)</f>
        <v/>
      </c>
      <c r="N167" s="11">
        <f>IF(MATCH_ENGINE!A167="","",GL_CLEAN!G167)</f>
        <v/>
      </c>
      <c r="O167" s="11">
        <f>IF(MATCH_ENGINE!H167="","",INDEX(BANK_CLEAN!$C$2:$C$1001,MATCH_ENGINE!H167))</f>
        <v/>
      </c>
      <c r="P167" s="11" t="inlineStr"/>
    </row>
    <row r="168">
      <c r="A168" s="11">
        <f>IF(MATCH_ENGINE!A168="","",MATCH_ENGINE!N168)</f>
        <v/>
      </c>
      <c r="B168" s="11">
        <f>IF(MATCH_ENGINE!A168="","",MATCH_ENGINE!C168)</f>
        <v/>
      </c>
      <c r="C168" s="10">
        <f>IF(MATCH_ENGINE!A168="","",MATCH_ENGINE!B168)</f>
        <v/>
      </c>
      <c r="D168" s="16">
        <f>IF(MATCH_ENGINE!A168="","",MATCH_ENGINE!D168)</f>
        <v/>
      </c>
      <c r="E168" s="11">
        <f>IF(MATCH_ENGINE!A168="","",MATCH_ENGINE!F168)</f>
        <v/>
      </c>
      <c r="F168" s="10">
        <f>IF(MATCH_ENGINE!A168="","",MATCH_ENGINE!I168)</f>
        <v/>
      </c>
      <c r="G168" s="16">
        <f>IF(MATCH_ENGINE!H168="","",IF(MATCH_ENGINE!F168="IN",MATCH_ENGINE!J168,""))</f>
        <v/>
      </c>
      <c r="H168" s="16">
        <f>IF(MATCH_ENGINE!H168="","",IF(MATCH_ENGINE!F168="OUT",MATCH_ENGINE!J168,""))</f>
        <v/>
      </c>
      <c r="I168" s="16">
        <f>IF(MATCH_ENGINE!H168="","",MATCH_ENGINE!J168)</f>
        <v/>
      </c>
      <c r="J168" s="12">
        <f>IF(MATCH_ENGINE!A168="","",MATCH_ENGINE!K168)</f>
        <v/>
      </c>
      <c r="K168" s="11">
        <f>IF(MATCH_ENGINE!A168="","",MATCH_ENGINE!L168)</f>
        <v/>
      </c>
      <c r="L168" s="17">
        <f>IF(MATCH_ENGINE!A168="","",MATCH_ENGINE!M168)</f>
        <v/>
      </c>
      <c r="M168" s="11">
        <f>IF(MATCH_ENGINE!A168="","",GL_CLEAN!F168)</f>
        <v/>
      </c>
      <c r="N168" s="11">
        <f>IF(MATCH_ENGINE!A168="","",GL_CLEAN!G168)</f>
        <v/>
      </c>
      <c r="O168" s="11">
        <f>IF(MATCH_ENGINE!H168="","",INDEX(BANK_CLEAN!$C$2:$C$1001,MATCH_ENGINE!H168))</f>
        <v/>
      </c>
      <c r="P168" s="11" t="inlineStr"/>
    </row>
    <row r="169">
      <c r="A169" s="11">
        <f>IF(MATCH_ENGINE!A169="","",MATCH_ENGINE!N169)</f>
        <v/>
      </c>
      <c r="B169" s="11">
        <f>IF(MATCH_ENGINE!A169="","",MATCH_ENGINE!C169)</f>
        <v/>
      </c>
      <c r="C169" s="10">
        <f>IF(MATCH_ENGINE!A169="","",MATCH_ENGINE!B169)</f>
        <v/>
      </c>
      <c r="D169" s="16">
        <f>IF(MATCH_ENGINE!A169="","",MATCH_ENGINE!D169)</f>
        <v/>
      </c>
      <c r="E169" s="11">
        <f>IF(MATCH_ENGINE!A169="","",MATCH_ENGINE!F169)</f>
        <v/>
      </c>
      <c r="F169" s="10">
        <f>IF(MATCH_ENGINE!A169="","",MATCH_ENGINE!I169)</f>
        <v/>
      </c>
      <c r="G169" s="16">
        <f>IF(MATCH_ENGINE!H169="","",IF(MATCH_ENGINE!F169="IN",MATCH_ENGINE!J169,""))</f>
        <v/>
      </c>
      <c r="H169" s="16">
        <f>IF(MATCH_ENGINE!H169="","",IF(MATCH_ENGINE!F169="OUT",MATCH_ENGINE!J169,""))</f>
        <v/>
      </c>
      <c r="I169" s="16">
        <f>IF(MATCH_ENGINE!H169="","",MATCH_ENGINE!J169)</f>
        <v/>
      </c>
      <c r="J169" s="12">
        <f>IF(MATCH_ENGINE!A169="","",MATCH_ENGINE!K169)</f>
        <v/>
      </c>
      <c r="K169" s="11">
        <f>IF(MATCH_ENGINE!A169="","",MATCH_ENGINE!L169)</f>
        <v/>
      </c>
      <c r="L169" s="17">
        <f>IF(MATCH_ENGINE!A169="","",MATCH_ENGINE!M169)</f>
        <v/>
      </c>
      <c r="M169" s="11">
        <f>IF(MATCH_ENGINE!A169="","",GL_CLEAN!F169)</f>
        <v/>
      </c>
      <c r="N169" s="11">
        <f>IF(MATCH_ENGINE!A169="","",GL_CLEAN!G169)</f>
        <v/>
      </c>
      <c r="O169" s="11">
        <f>IF(MATCH_ENGINE!H169="","",INDEX(BANK_CLEAN!$C$2:$C$1001,MATCH_ENGINE!H169))</f>
        <v/>
      </c>
      <c r="P169" s="11" t="inlineStr"/>
    </row>
    <row r="170">
      <c r="A170" s="11">
        <f>IF(MATCH_ENGINE!A170="","",MATCH_ENGINE!N170)</f>
        <v/>
      </c>
      <c r="B170" s="11">
        <f>IF(MATCH_ENGINE!A170="","",MATCH_ENGINE!C170)</f>
        <v/>
      </c>
      <c r="C170" s="10">
        <f>IF(MATCH_ENGINE!A170="","",MATCH_ENGINE!B170)</f>
        <v/>
      </c>
      <c r="D170" s="16">
        <f>IF(MATCH_ENGINE!A170="","",MATCH_ENGINE!D170)</f>
        <v/>
      </c>
      <c r="E170" s="11">
        <f>IF(MATCH_ENGINE!A170="","",MATCH_ENGINE!F170)</f>
        <v/>
      </c>
      <c r="F170" s="10">
        <f>IF(MATCH_ENGINE!A170="","",MATCH_ENGINE!I170)</f>
        <v/>
      </c>
      <c r="G170" s="16">
        <f>IF(MATCH_ENGINE!H170="","",IF(MATCH_ENGINE!F170="IN",MATCH_ENGINE!J170,""))</f>
        <v/>
      </c>
      <c r="H170" s="16">
        <f>IF(MATCH_ENGINE!H170="","",IF(MATCH_ENGINE!F170="OUT",MATCH_ENGINE!J170,""))</f>
        <v/>
      </c>
      <c r="I170" s="16">
        <f>IF(MATCH_ENGINE!H170="","",MATCH_ENGINE!J170)</f>
        <v/>
      </c>
      <c r="J170" s="12">
        <f>IF(MATCH_ENGINE!A170="","",MATCH_ENGINE!K170)</f>
        <v/>
      </c>
      <c r="K170" s="11">
        <f>IF(MATCH_ENGINE!A170="","",MATCH_ENGINE!L170)</f>
        <v/>
      </c>
      <c r="L170" s="17">
        <f>IF(MATCH_ENGINE!A170="","",MATCH_ENGINE!M170)</f>
        <v/>
      </c>
      <c r="M170" s="11">
        <f>IF(MATCH_ENGINE!A170="","",GL_CLEAN!F170)</f>
        <v/>
      </c>
      <c r="N170" s="11">
        <f>IF(MATCH_ENGINE!A170="","",GL_CLEAN!G170)</f>
        <v/>
      </c>
      <c r="O170" s="11">
        <f>IF(MATCH_ENGINE!H170="","",INDEX(BANK_CLEAN!$C$2:$C$1001,MATCH_ENGINE!H170))</f>
        <v/>
      </c>
      <c r="P170" s="11" t="inlineStr"/>
    </row>
    <row r="171">
      <c r="A171" s="11">
        <f>IF(MATCH_ENGINE!A171="","",MATCH_ENGINE!N171)</f>
        <v/>
      </c>
      <c r="B171" s="11">
        <f>IF(MATCH_ENGINE!A171="","",MATCH_ENGINE!C171)</f>
        <v/>
      </c>
      <c r="C171" s="10">
        <f>IF(MATCH_ENGINE!A171="","",MATCH_ENGINE!B171)</f>
        <v/>
      </c>
      <c r="D171" s="16">
        <f>IF(MATCH_ENGINE!A171="","",MATCH_ENGINE!D171)</f>
        <v/>
      </c>
      <c r="E171" s="11">
        <f>IF(MATCH_ENGINE!A171="","",MATCH_ENGINE!F171)</f>
        <v/>
      </c>
      <c r="F171" s="10">
        <f>IF(MATCH_ENGINE!A171="","",MATCH_ENGINE!I171)</f>
        <v/>
      </c>
      <c r="G171" s="16">
        <f>IF(MATCH_ENGINE!H171="","",IF(MATCH_ENGINE!F171="IN",MATCH_ENGINE!J171,""))</f>
        <v/>
      </c>
      <c r="H171" s="16">
        <f>IF(MATCH_ENGINE!H171="","",IF(MATCH_ENGINE!F171="OUT",MATCH_ENGINE!J171,""))</f>
        <v/>
      </c>
      <c r="I171" s="16">
        <f>IF(MATCH_ENGINE!H171="","",MATCH_ENGINE!J171)</f>
        <v/>
      </c>
      <c r="J171" s="12">
        <f>IF(MATCH_ENGINE!A171="","",MATCH_ENGINE!K171)</f>
        <v/>
      </c>
      <c r="K171" s="11">
        <f>IF(MATCH_ENGINE!A171="","",MATCH_ENGINE!L171)</f>
        <v/>
      </c>
      <c r="L171" s="17">
        <f>IF(MATCH_ENGINE!A171="","",MATCH_ENGINE!M171)</f>
        <v/>
      </c>
      <c r="M171" s="11">
        <f>IF(MATCH_ENGINE!A171="","",GL_CLEAN!F171)</f>
        <v/>
      </c>
      <c r="N171" s="11">
        <f>IF(MATCH_ENGINE!A171="","",GL_CLEAN!G171)</f>
        <v/>
      </c>
      <c r="O171" s="11">
        <f>IF(MATCH_ENGINE!H171="","",INDEX(BANK_CLEAN!$C$2:$C$1001,MATCH_ENGINE!H171))</f>
        <v/>
      </c>
      <c r="P171" s="11" t="inlineStr"/>
    </row>
    <row r="172">
      <c r="A172" s="11">
        <f>IF(MATCH_ENGINE!A172="","",MATCH_ENGINE!N172)</f>
        <v/>
      </c>
      <c r="B172" s="11">
        <f>IF(MATCH_ENGINE!A172="","",MATCH_ENGINE!C172)</f>
        <v/>
      </c>
      <c r="C172" s="10">
        <f>IF(MATCH_ENGINE!A172="","",MATCH_ENGINE!B172)</f>
        <v/>
      </c>
      <c r="D172" s="16">
        <f>IF(MATCH_ENGINE!A172="","",MATCH_ENGINE!D172)</f>
        <v/>
      </c>
      <c r="E172" s="11">
        <f>IF(MATCH_ENGINE!A172="","",MATCH_ENGINE!F172)</f>
        <v/>
      </c>
      <c r="F172" s="10">
        <f>IF(MATCH_ENGINE!A172="","",MATCH_ENGINE!I172)</f>
        <v/>
      </c>
      <c r="G172" s="16">
        <f>IF(MATCH_ENGINE!H172="","",IF(MATCH_ENGINE!F172="IN",MATCH_ENGINE!J172,""))</f>
        <v/>
      </c>
      <c r="H172" s="16">
        <f>IF(MATCH_ENGINE!H172="","",IF(MATCH_ENGINE!F172="OUT",MATCH_ENGINE!J172,""))</f>
        <v/>
      </c>
      <c r="I172" s="16">
        <f>IF(MATCH_ENGINE!H172="","",MATCH_ENGINE!J172)</f>
        <v/>
      </c>
      <c r="J172" s="12">
        <f>IF(MATCH_ENGINE!A172="","",MATCH_ENGINE!K172)</f>
        <v/>
      </c>
      <c r="K172" s="11">
        <f>IF(MATCH_ENGINE!A172="","",MATCH_ENGINE!L172)</f>
        <v/>
      </c>
      <c r="L172" s="17">
        <f>IF(MATCH_ENGINE!A172="","",MATCH_ENGINE!M172)</f>
        <v/>
      </c>
      <c r="M172" s="11">
        <f>IF(MATCH_ENGINE!A172="","",GL_CLEAN!F172)</f>
        <v/>
      </c>
      <c r="N172" s="11">
        <f>IF(MATCH_ENGINE!A172="","",GL_CLEAN!G172)</f>
        <v/>
      </c>
      <c r="O172" s="11">
        <f>IF(MATCH_ENGINE!H172="","",INDEX(BANK_CLEAN!$C$2:$C$1001,MATCH_ENGINE!H172))</f>
        <v/>
      </c>
      <c r="P172" s="11" t="inlineStr"/>
    </row>
    <row r="173">
      <c r="A173" s="11">
        <f>IF(MATCH_ENGINE!A173="","",MATCH_ENGINE!N173)</f>
        <v/>
      </c>
      <c r="B173" s="11">
        <f>IF(MATCH_ENGINE!A173="","",MATCH_ENGINE!C173)</f>
        <v/>
      </c>
      <c r="C173" s="10">
        <f>IF(MATCH_ENGINE!A173="","",MATCH_ENGINE!B173)</f>
        <v/>
      </c>
      <c r="D173" s="16">
        <f>IF(MATCH_ENGINE!A173="","",MATCH_ENGINE!D173)</f>
        <v/>
      </c>
      <c r="E173" s="11">
        <f>IF(MATCH_ENGINE!A173="","",MATCH_ENGINE!F173)</f>
        <v/>
      </c>
      <c r="F173" s="10">
        <f>IF(MATCH_ENGINE!A173="","",MATCH_ENGINE!I173)</f>
        <v/>
      </c>
      <c r="G173" s="16">
        <f>IF(MATCH_ENGINE!H173="","",IF(MATCH_ENGINE!F173="IN",MATCH_ENGINE!J173,""))</f>
        <v/>
      </c>
      <c r="H173" s="16">
        <f>IF(MATCH_ENGINE!H173="","",IF(MATCH_ENGINE!F173="OUT",MATCH_ENGINE!J173,""))</f>
        <v/>
      </c>
      <c r="I173" s="16">
        <f>IF(MATCH_ENGINE!H173="","",MATCH_ENGINE!J173)</f>
        <v/>
      </c>
      <c r="J173" s="12">
        <f>IF(MATCH_ENGINE!A173="","",MATCH_ENGINE!K173)</f>
        <v/>
      </c>
      <c r="K173" s="11">
        <f>IF(MATCH_ENGINE!A173="","",MATCH_ENGINE!L173)</f>
        <v/>
      </c>
      <c r="L173" s="17">
        <f>IF(MATCH_ENGINE!A173="","",MATCH_ENGINE!M173)</f>
        <v/>
      </c>
      <c r="M173" s="11">
        <f>IF(MATCH_ENGINE!A173="","",GL_CLEAN!F173)</f>
        <v/>
      </c>
      <c r="N173" s="11">
        <f>IF(MATCH_ENGINE!A173="","",GL_CLEAN!G173)</f>
        <v/>
      </c>
      <c r="O173" s="11">
        <f>IF(MATCH_ENGINE!H173="","",INDEX(BANK_CLEAN!$C$2:$C$1001,MATCH_ENGINE!H173))</f>
        <v/>
      </c>
      <c r="P173" s="11" t="inlineStr"/>
    </row>
    <row r="174">
      <c r="A174" s="11">
        <f>IF(MATCH_ENGINE!A174="","",MATCH_ENGINE!N174)</f>
        <v/>
      </c>
      <c r="B174" s="11">
        <f>IF(MATCH_ENGINE!A174="","",MATCH_ENGINE!C174)</f>
        <v/>
      </c>
      <c r="C174" s="10">
        <f>IF(MATCH_ENGINE!A174="","",MATCH_ENGINE!B174)</f>
        <v/>
      </c>
      <c r="D174" s="16">
        <f>IF(MATCH_ENGINE!A174="","",MATCH_ENGINE!D174)</f>
        <v/>
      </c>
      <c r="E174" s="11">
        <f>IF(MATCH_ENGINE!A174="","",MATCH_ENGINE!F174)</f>
        <v/>
      </c>
      <c r="F174" s="10">
        <f>IF(MATCH_ENGINE!A174="","",MATCH_ENGINE!I174)</f>
        <v/>
      </c>
      <c r="G174" s="16">
        <f>IF(MATCH_ENGINE!H174="","",IF(MATCH_ENGINE!F174="IN",MATCH_ENGINE!J174,""))</f>
        <v/>
      </c>
      <c r="H174" s="16">
        <f>IF(MATCH_ENGINE!H174="","",IF(MATCH_ENGINE!F174="OUT",MATCH_ENGINE!J174,""))</f>
        <v/>
      </c>
      <c r="I174" s="16">
        <f>IF(MATCH_ENGINE!H174="","",MATCH_ENGINE!J174)</f>
        <v/>
      </c>
      <c r="J174" s="12">
        <f>IF(MATCH_ENGINE!A174="","",MATCH_ENGINE!K174)</f>
        <v/>
      </c>
      <c r="K174" s="11">
        <f>IF(MATCH_ENGINE!A174="","",MATCH_ENGINE!L174)</f>
        <v/>
      </c>
      <c r="L174" s="17">
        <f>IF(MATCH_ENGINE!A174="","",MATCH_ENGINE!M174)</f>
        <v/>
      </c>
      <c r="M174" s="11">
        <f>IF(MATCH_ENGINE!A174="","",GL_CLEAN!F174)</f>
        <v/>
      </c>
      <c r="N174" s="11">
        <f>IF(MATCH_ENGINE!A174="","",GL_CLEAN!G174)</f>
        <v/>
      </c>
      <c r="O174" s="11">
        <f>IF(MATCH_ENGINE!H174="","",INDEX(BANK_CLEAN!$C$2:$C$1001,MATCH_ENGINE!H174))</f>
        <v/>
      </c>
      <c r="P174" s="11" t="inlineStr"/>
    </row>
    <row r="175">
      <c r="A175" s="11">
        <f>IF(MATCH_ENGINE!A175="","",MATCH_ENGINE!N175)</f>
        <v/>
      </c>
      <c r="B175" s="11">
        <f>IF(MATCH_ENGINE!A175="","",MATCH_ENGINE!C175)</f>
        <v/>
      </c>
      <c r="C175" s="10">
        <f>IF(MATCH_ENGINE!A175="","",MATCH_ENGINE!B175)</f>
        <v/>
      </c>
      <c r="D175" s="16">
        <f>IF(MATCH_ENGINE!A175="","",MATCH_ENGINE!D175)</f>
        <v/>
      </c>
      <c r="E175" s="11">
        <f>IF(MATCH_ENGINE!A175="","",MATCH_ENGINE!F175)</f>
        <v/>
      </c>
      <c r="F175" s="10">
        <f>IF(MATCH_ENGINE!A175="","",MATCH_ENGINE!I175)</f>
        <v/>
      </c>
      <c r="G175" s="16">
        <f>IF(MATCH_ENGINE!H175="","",IF(MATCH_ENGINE!F175="IN",MATCH_ENGINE!J175,""))</f>
        <v/>
      </c>
      <c r="H175" s="16">
        <f>IF(MATCH_ENGINE!H175="","",IF(MATCH_ENGINE!F175="OUT",MATCH_ENGINE!J175,""))</f>
        <v/>
      </c>
      <c r="I175" s="16">
        <f>IF(MATCH_ENGINE!H175="","",MATCH_ENGINE!J175)</f>
        <v/>
      </c>
      <c r="J175" s="12">
        <f>IF(MATCH_ENGINE!A175="","",MATCH_ENGINE!K175)</f>
        <v/>
      </c>
      <c r="K175" s="11">
        <f>IF(MATCH_ENGINE!A175="","",MATCH_ENGINE!L175)</f>
        <v/>
      </c>
      <c r="L175" s="17">
        <f>IF(MATCH_ENGINE!A175="","",MATCH_ENGINE!M175)</f>
        <v/>
      </c>
      <c r="M175" s="11">
        <f>IF(MATCH_ENGINE!A175="","",GL_CLEAN!F175)</f>
        <v/>
      </c>
      <c r="N175" s="11">
        <f>IF(MATCH_ENGINE!A175="","",GL_CLEAN!G175)</f>
        <v/>
      </c>
      <c r="O175" s="11">
        <f>IF(MATCH_ENGINE!H175="","",INDEX(BANK_CLEAN!$C$2:$C$1001,MATCH_ENGINE!H175))</f>
        <v/>
      </c>
      <c r="P175" s="11" t="inlineStr"/>
    </row>
    <row r="176">
      <c r="A176" s="11">
        <f>IF(MATCH_ENGINE!A176="","",MATCH_ENGINE!N176)</f>
        <v/>
      </c>
      <c r="B176" s="11">
        <f>IF(MATCH_ENGINE!A176="","",MATCH_ENGINE!C176)</f>
        <v/>
      </c>
      <c r="C176" s="10">
        <f>IF(MATCH_ENGINE!A176="","",MATCH_ENGINE!B176)</f>
        <v/>
      </c>
      <c r="D176" s="16">
        <f>IF(MATCH_ENGINE!A176="","",MATCH_ENGINE!D176)</f>
        <v/>
      </c>
      <c r="E176" s="11">
        <f>IF(MATCH_ENGINE!A176="","",MATCH_ENGINE!F176)</f>
        <v/>
      </c>
      <c r="F176" s="10">
        <f>IF(MATCH_ENGINE!A176="","",MATCH_ENGINE!I176)</f>
        <v/>
      </c>
      <c r="G176" s="16">
        <f>IF(MATCH_ENGINE!H176="","",IF(MATCH_ENGINE!F176="IN",MATCH_ENGINE!J176,""))</f>
        <v/>
      </c>
      <c r="H176" s="16">
        <f>IF(MATCH_ENGINE!H176="","",IF(MATCH_ENGINE!F176="OUT",MATCH_ENGINE!J176,""))</f>
        <v/>
      </c>
      <c r="I176" s="16">
        <f>IF(MATCH_ENGINE!H176="","",MATCH_ENGINE!J176)</f>
        <v/>
      </c>
      <c r="J176" s="12">
        <f>IF(MATCH_ENGINE!A176="","",MATCH_ENGINE!K176)</f>
        <v/>
      </c>
      <c r="K176" s="11">
        <f>IF(MATCH_ENGINE!A176="","",MATCH_ENGINE!L176)</f>
        <v/>
      </c>
      <c r="L176" s="17">
        <f>IF(MATCH_ENGINE!A176="","",MATCH_ENGINE!M176)</f>
        <v/>
      </c>
      <c r="M176" s="11">
        <f>IF(MATCH_ENGINE!A176="","",GL_CLEAN!F176)</f>
        <v/>
      </c>
      <c r="N176" s="11">
        <f>IF(MATCH_ENGINE!A176="","",GL_CLEAN!G176)</f>
        <v/>
      </c>
      <c r="O176" s="11">
        <f>IF(MATCH_ENGINE!H176="","",INDEX(BANK_CLEAN!$C$2:$C$1001,MATCH_ENGINE!H176))</f>
        <v/>
      </c>
      <c r="P176" s="11" t="inlineStr"/>
    </row>
    <row r="177">
      <c r="A177" s="11">
        <f>IF(MATCH_ENGINE!A177="","",MATCH_ENGINE!N177)</f>
        <v/>
      </c>
      <c r="B177" s="11">
        <f>IF(MATCH_ENGINE!A177="","",MATCH_ENGINE!C177)</f>
        <v/>
      </c>
      <c r="C177" s="10">
        <f>IF(MATCH_ENGINE!A177="","",MATCH_ENGINE!B177)</f>
        <v/>
      </c>
      <c r="D177" s="16">
        <f>IF(MATCH_ENGINE!A177="","",MATCH_ENGINE!D177)</f>
        <v/>
      </c>
      <c r="E177" s="11">
        <f>IF(MATCH_ENGINE!A177="","",MATCH_ENGINE!F177)</f>
        <v/>
      </c>
      <c r="F177" s="10">
        <f>IF(MATCH_ENGINE!A177="","",MATCH_ENGINE!I177)</f>
        <v/>
      </c>
      <c r="G177" s="16">
        <f>IF(MATCH_ENGINE!H177="","",IF(MATCH_ENGINE!F177="IN",MATCH_ENGINE!J177,""))</f>
        <v/>
      </c>
      <c r="H177" s="16">
        <f>IF(MATCH_ENGINE!H177="","",IF(MATCH_ENGINE!F177="OUT",MATCH_ENGINE!J177,""))</f>
        <v/>
      </c>
      <c r="I177" s="16">
        <f>IF(MATCH_ENGINE!H177="","",MATCH_ENGINE!J177)</f>
        <v/>
      </c>
      <c r="J177" s="12">
        <f>IF(MATCH_ENGINE!A177="","",MATCH_ENGINE!K177)</f>
        <v/>
      </c>
      <c r="K177" s="11">
        <f>IF(MATCH_ENGINE!A177="","",MATCH_ENGINE!L177)</f>
        <v/>
      </c>
      <c r="L177" s="17">
        <f>IF(MATCH_ENGINE!A177="","",MATCH_ENGINE!M177)</f>
        <v/>
      </c>
      <c r="M177" s="11">
        <f>IF(MATCH_ENGINE!A177="","",GL_CLEAN!F177)</f>
        <v/>
      </c>
      <c r="N177" s="11">
        <f>IF(MATCH_ENGINE!A177="","",GL_CLEAN!G177)</f>
        <v/>
      </c>
      <c r="O177" s="11">
        <f>IF(MATCH_ENGINE!H177="","",INDEX(BANK_CLEAN!$C$2:$C$1001,MATCH_ENGINE!H177))</f>
        <v/>
      </c>
      <c r="P177" s="11" t="inlineStr"/>
    </row>
    <row r="178">
      <c r="A178" s="11">
        <f>IF(MATCH_ENGINE!A178="","",MATCH_ENGINE!N178)</f>
        <v/>
      </c>
      <c r="B178" s="11">
        <f>IF(MATCH_ENGINE!A178="","",MATCH_ENGINE!C178)</f>
        <v/>
      </c>
      <c r="C178" s="10">
        <f>IF(MATCH_ENGINE!A178="","",MATCH_ENGINE!B178)</f>
        <v/>
      </c>
      <c r="D178" s="16">
        <f>IF(MATCH_ENGINE!A178="","",MATCH_ENGINE!D178)</f>
        <v/>
      </c>
      <c r="E178" s="11">
        <f>IF(MATCH_ENGINE!A178="","",MATCH_ENGINE!F178)</f>
        <v/>
      </c>
      <c r="F178" s="10">
        <f>IF(MATCH_ENGINE!A178="","",MATCH_ENGINE!I178)</f>
        <v/>
      </c>
      <c r="G178" s="16">
        <f>IF(MATCH_ENGINE!H178="","",IF(MATCH_ENGINE!F178="IN",MATCH_ENGINE!J178,""))</f>
        <v/>
      </c>
      <c r="H178" s="16">
        <f>IF(MATCH_ENGINE!H178="","",IF(MATCH_ENGINE!F178="OUT",MATCH_ENGINE!J178,""))</f>
        <v/>
      </c>
      <c r="I178" s="16">
        <f>IF(MATCH_ENGINE!H178="","",MATCH_ENGINE!J178)</f>
        <v/>
      </c>
      <c r="J178" s="12">
        <f>IF(MATCH_ENGINE!A178="","",MATCH_ENGINE!K178)</f>
        <v/>
      </c>
      <c r="K178" s="11">
        <f>IF(MATCH_ENGINE!A178="","",MATCH_ENGINE!L178)</f>
        <v/>
      </c>
      <c r="L178" s="17">
        <f>IF(MATCH_ENGINE!A178="","",MATCH_ENGINE!M178)</f>
        <v/>
      </c>
      <c r="M178" s="11">
        <f>IF(MATCH_ENGINE!A178="","",GL_CLEAN!F178)</f>
        <v/>
      </c>
      <c r="N178" s="11">
        <f>IF(MATCH_ENGINE!A178="","",GL_CLEAN!G178)</f>
        <v/>
      </c>
      <c r="O178" s="11">
        <f>IF(MATCH_ENGINE!H178="","",INDEX(BANK_CLEAN!$C$2:$C$1001,MATCH_ENGINE!H178))</f>
        <v/>
      </c>
      <c r="P178" s="11" t="inlineStr"/>
    </row>
    <row r="179">
      <c r="A179" s="11">
        <f>IF(MATCH_ENGINE!A179="","",MATCH_ENGINE!N179)</f>
        <v/>
      </c>
      <c r="B179" s="11">
        <f>IF(MATCH_ENGINE!A179="","",MATCH_ENGINE!C179)</f>
        <v/>
      </c>
      <c r="C179" s="10">
        <f>IF(MATCH_ENGINE!A179="","",MATCH_ENGINE!B179)</f>
        <v/>
      </c>
      <c r="D179" s="16">
        <f>IF(MATCH_ENGINE!A179="","",MATCH_ENGINE!D179)</f>
        <v/>
      </c>
      <c r="E179" s="11">
        <f>IF(MATCH_ENGINE!A179="","",MATCH_ENGINE!F179)</f>
        <v/>
      </c>
      <c r="F179" s="10">
        <f>IF(MATCH_ENGINE!A179="","",MATCH_ENGINE!I179)</f>
        <v/>
      </c>
      <c r="G179" s="16">
        <f>IF(MATCH_ENGINE!H179="","",IF(MATCH_ENGINE!F179="IN",MATCH_ENGINE!J179,""))</f>
        <v/>
      </c>
      <c r="H179" s="16">
        <f>IF(MATCH_ENGINE!H179="","",IF(MATCH_ENGINE!F179="OUT",MATCH_ENGINE!J179,""))</f>
        <v/>
      </c>
      <c r="I179" s="16">
        <f>IF(MATCH_ENGINE!H179="","",MATCH_ENGINE!J179)</f>
        <v/>
      </c>
      <c r="J179" s="12">
        <f>IF(MATCH_ENGINE!A179="","",MATCH_ENGINE!K179)</f>
        <v/>
      </c>
      <c r="K179" s="11">
        <f>IF(MATCH_ENGINE!A179="","",MATCH_ENGINE!L179)</f>
        <v/>
      </c>
      <c r="L179" s="17">
        <f>IF(MATCH_ENGINE!A179="","",MATCH_ENGINE!M179)</f>
        <v/>
      </c>
      <c r="M179" s="11">
        <f>IF(MATCH_ENGINE!A179="","",GL_CLEAN!F179)</f>
        <v/>
      </c>
      <c r="N179" s="11">
        <f>IF(MATCH_ENGINE!A179="","",GL_CLEAN!G179)</f>
        <v/>
      </c>
      <c r="O179" s="11">
        <f>IF(MATCH_ENGINE!H179="","",INDEX(BANK_CLEAN!$C$2:$C$1001,MATCH_ENGINE!H179))</f>
        <v/>
      </c>
      <c r="P179" s="11" t="inlineStr"/>
    </row>
    <row r="180">
      <c r="A180" s="11">
        <f>IF(MATCH_ENGINE!A180="","",MATCH_ENGINE!N180)</f>
        <v/>
      </c>
      <c r="B180" s="11">
        <f>IF(MATCH_ENGINE!A180="","",MATCH_ENGINE!C180)</f>
        <v/>
      </c>
      <c r="C180" s="10">
        <f>IF(MATCH_ENGINE!A180="","",MATCH_ENGINE!B180)</f>
        <v/>
      </c>
      <c r="D180" s="16">
        <f>IF(MATCH_ENGINE!A180="","",MATCH_ENGINE!D180)</f>
        <v/>
      </c>
      <c r="E180" s="11">
        <f>IF(MATCH_ENGINE!A180="","",MATCH_ENGINE!F180)</f>
        <v/>
      </c>
      <c r="F180" s="10">
        <f>IF(MATCH_ENGINE!A180="","",MATCH_ENGINE!I180)</f>
        <v/>
      </c>
      <c r="G180" s="16">
        <f>IF(MATCH_ENGINE!H180="","",IF(MATCH_ENGINE!F180="IN",MATCH_ENGINE!J180,""))</f>
        <v/>
      </c>
      <c r="H180" s="16">
        <f>IF(MATCH_ENGINE!H180="","",IF(MATCH_ENGINE!F180="OUT",MATCH_ENGINE!J180,""))</f>
        <v/>
      </c>
      <c r="I180" s="16">
        <f>IF(MATCH_ENGINE!H180="","",MATCH_ENGINE!J180)</f>
        <v/>
      </c>
      <c r="J180" s="12">
        <f>IF(MATCH_ENGINE!A180="","",MATCH_ENGINE!K180)</f>
        <v/>
      </c>
      <c r="K180" s="11">
        <f>IF(MATCH_ENGINE!A180="","",MATCH_ENGINE!L180)</f>
        <v/>
      </c>
      <c r="L180" s="17">
        <f>IF(MATCH_ENGINE!A180="","",MATCH_ENGINE!M180)</f>
        <v/>
      </c>
      <c r="M180" s="11">
        <f>IF(MATCH_ENGINE!A180="","",GL_CLEAN!F180)</f>
        <v/>
      </c>
      <c r="N180" s="11">
        <f>IF(MATCH_ENGINE!A180="","",GL_CLEAN!G180)</f>
        <v/>
      </c>
      <c r="O180" s="11">
        <f>IF(MATCH_ENGINE!H180="","",INDEX(BANK_CLEAN!$C$2:$C$1001,MATCH_ENGINE!H180))</f>
        <v/>
      </c>
      <c r="P180" s="11" t="inlineStr"/>
    </row>
    <row r="181">
      <c r="A181" s="11">
        <f>IF(MATCH_ENGINE!A181="","",MATCH_ENGINE!N181)</f>
        <v/>
      </c>
      <c r="B181" s="11">
        <f>IF(MATCH_ENGINE!A181="","",MATCH_ENGINE!C181)</f>
        <v/>
      </c>
      <c r="C181" s="10">
        <f>IF(MATCH_ENGINE!A181="","",MATCH_ENGINE!B181)</f>
        <v/>
      </c>
      <c r="D181" s="16">
        <f>IF(MATCH_ENGINE!A181="","",MATCH_ENGINE!D181)</f>
        <v/>
      </c>
      <c r="E181" s="11">
        <f>IF(MATCH_ENGINE!A181="","",MATCH_ENGINE!F181)</f>
        <v/>
      </c>
      <c r="F181" s="10">
        <f>IF(MATCH_ENGINE!A181="","",MATCH_ENGINE!I181)</f>
        <v/>
      </c>
      <c r="G181" s="16">
        <f>IF(MATCH_ENGINE!H181="","",IF(MATCH_ENGINE!F181="IN",MATCH_ENGINE!J181,""))</f>
        <v/>
      </c>
      <c r="H181" s="16">
        <f>IF(MATCH_ENGINE!H181="","",IF(MATCH_ENGINE!F181="OUT",MATCH_ENGINE!J181,""))</f>
        <v/>
      </c>
      <c r="I181" s="16">
        <f>IF(MATCH_ENGINE!H181="","",MATCH_ENGINE!J181)</f>
        <v/>
      </c>
      <c r="J181" s="12">
        <f>IF(MATCH_ENGINE!A181="","",MATCH_ENGINE!K181)</f>
        <v/>
      </c>
      <c r="K181" s="11">
        <f>IF(MATCH_ENGINE!A181="","",MATCH_ENGINE!L181)</f>
        <v/>
      </c>
      <c r="L181" s="17">
        <f>IF(MATCH_ENGINE!A181="","",MATCH_ENGINE!M181)</f>
        <v/>
      </c>
      <c r="M181" s="11">
        <f>IF(MATCH_ENGINE!A181="","",GL_CLEAN!F181)</f>
        <v/>
      </c>
      <c r="N181" s="11">
        <f>IF(MATCH_ENGINE!A181="","",GL_CLEAN!G181)</f>
        <v/>
      </c>
      <c r="O181" s="11">
        <f>IF(MATCH_ENGINE!H181="","",INDEX(BANK_CLEAN!$C$2:$C$1001,MATCH_ENGINE!H181))</f>
        <v/>
      </c>
      <c r="P181" s="11" t="inlineStr"/>
    </row>
    <row r="182">
      <c r="A182" s="11">
        <f>IF(MATCH_ENGINE!A182="","",MATCH_ENGINE!N182)</f>
        <v/>
      </c>
      <c r="B182" s="11">
        <f>IF(MATCH_ENGINE!A182="","",MATCH_ENGINE!C182)</f>
        <v/>
      </c>
      <c r="C182" s="10">
        <f>IF(MATCH_ENGINE!A182="","",MATCH_ENGINE!B182)</f>
        <v/>
      </c>
      <c r="D182" s="16">
        <f>IF(MATCH_ENGINE!A182="","",MATCH_ENGINE!D182)</f>
        <v/>
      </c>
      <c r="E182" s="11">
        <f>IF(MATCH_ENGINE!A182="","",MATCH_ENGINE!F182)</f>
        <v/>
      </c>
      <c r="F182" s="10">
        <f>IF(MATCH_ENGINE!A182="","",MATCH_ENGINE!I182)</f>
        <v/>
      </c>
      <c r="G182" s="16">
        <f>IF(MATCH_ENGINE!H182="","",IF(MATCH_ENGINE!F182="IN",MATCH_ENGINE!J182,""))</f>
        <v/>
      </c>
      <c r="H182" s="16">
        <f>IF(MATCH_ENGINE!H182="","",IF(MATCH_ENGINE!F182="OUT",MATCH_ENGINE!J182,""))</f>
        <v/>
      </c>
      <c r="I182" s="16">
        <f>IF(MATCH_ENGINE!H182="","",MATCH_ENGINE!J182)</f>
        <v/>
      </c>
      <c r="J182" s="12">
        <f>IF(MATCH_ENGINE!A182="","",MATCH_ENGINE!K182)</f>
        <v/>
      </c>
      <c r="K182" s="11">
        <f>IF(MATCH_ENGINE!A182="","",MATCH_ENGINE!L182)</f>
        <v/>
      </c>
      <c r="L182" s="17">
        <f>IF(MATCH_ENGINE!A182="","",MATCH_ENGINE!M182)</f>
        <v/>
      </c>
      <c r="M182" s="11">
        <f>IF(MATCH_ENGINE!A182="","",GL_CLEAN!F182)</f>
        <v/>
      </c>
      <c r="N182" s="11">
        <f>IF(MATCH_ENGINE!A182="","",GL_CLEAN!G182)</f>
        <v/>
      </c>
      <c r="O182" s="11">
        <f>IF(MATCH_ENGINE!H182="","",INDEX(BANK_CLEAN!$C$2:$C$1001,MATCH_ENGINE!H182))</f>
        <v/>
      </c>
      <c r="P182" s="11" t="inlineStr"/>
    </row>
    <row r="183">
      <c r="A183" s="11">
        <f>IF(MATCH_ENGINE!A183="","",MATCH_ENGINE!N183)</f>
        <v/>
      </c>
      <c r="B183" s="11">
        <f>IF(MATCH_ENGINE!A183="","",MATCH_ENGINE!C183)</f>
        <v/>
      </c>
      <c r="C183" s="10">
        <f>IF(MATCH_ENGINE!A183="","",MATCH_ENGINE!B183)</f>
        <v/>
      </c>
      <c r="D183" s="16">
        <f>IF(MATCH_ENGINE!A183="","",MATCH_ENGINE!D183)</f>
        <v/>
      </c>
      <c r="E183" s="11">
        <f>IF(MATCH_ENGINE!A183="","",MATCH_ENGINE!F183)</f>
        <v/>
      </c>
      <c r="F183" s="10">
        <f>IF(MATCH_ENGINE!A183="","",MATCH_ENGINE!I183)</f>
        <v/>
      </c>
      <c r="G183" s="16">
        <f>IF(MATCH_ENGINE!H183="","",IF(MATCH_ENGINE!F183="IN",MATCH_ENGINE!J183,""))</f>
        <v/>
      </c>
      <c r="H183" s="16">
        <f>IF(MATCH_ENGINE!H183="","",IF(MATCH_ENGINE!F183="OUT",MATCH_ENGINE!J183,""))</f>
        <v/>
      </c>
      <c r="I183" s="16">
        <f>IF(MATCH_ENGINE!H183="","",MATCH_ENGINE!J183)</f>
        <v/>
      </c>
      <c r="J183" s="12">
        <f>IF(MATCH_ENGINE!A183="","",MATCH_ENGINE!K183)</f>
        <v/>
      </c>
      <c r="K183" s="11">
        <f>IF(MATCH_ENGINE!A183="","",MATCH_ENGINE!L183)</f>
        <v/>
      </c>
      <c r="L183" s="17">
        <f>IF(MATCH_ENGINE!A183="","",MATCH_ENGINE!M183)</f>
        <v/>
      </c>
      <c r="M183" s="11">
        <f>IF(MATCH_ENGINE!A183="","",GL_CLEAN!F183)</f>
        <v/>
      </c>
      <c r="N183" s="11">
        <f>IF(MATCH_ENGINE!A183="","",GL_CLEAN!G183)</f>
        <v/>
      </c>
      <c r="O183" s="11">
        <f>IF(MATCH_ENGINE!H183="","",INDEX(BANK_CLEAN!$C$2:$C$1001,MATCH_ENGINE!H183))</f>
        <v/>
      </c>
      <c r="P183" s="11" t="inlineStr"/>
    </row>
    <row r="184">
      <c r="A184" s="11">
        <f>IF(MATCH_ENGINE!A184="","",MATCH_ENGINE!N184)</f>
        <v/>
      </c>
      <c r="B184" s="11">
        <f>IF(MATCH_ENGINE!A184="","",MATCH_ENGINE!C184)</f>
        <v/>
      </c>
      <c r="C184" s="10">
        <f>IF(MATCH_ENGINE!A184="","",MATCH_ENGINE!B184)</f>
        <v/>
      </c>
      <c r="D184" s="16">
        <f>IF(MATCH_ENGINE!A184="","",MATCH_ENGINE!D184)</f>
        <v/>
      </c>
      <c r="E184" s="11">
        <f>IF(MATCH_ENGINE!A184="","",MATCH_ENGINE!F184)</f>
        <v/>
      </c>
      <c r="F184" s="10">
        <f>IF(MATCH_ENGINE!A184="","",MATCH_ENGINE!I184)</f>
        <v/>
      </c>
      <c r="G184" s="16">
        <f>IF(MATCH_ENGINE!H184="","",IF(MATCH_ENGINE!F184="IN",MATCH_ENGINE!J184,""))</f>
        <v/>
      </c>
      <c r="H184" s="16">
        <f>IF(MATCH_ENGINE!H184="","",IF(MATCH_ENGINE!F184="OUT",MATCH_ENGINE!J184,""))</f>
        <v/>
      </c>
      <c r="I184" s="16">
        <f>IF(MATCH_ENGINE!H184="","",MATCH_ENGINE!J184)</f>
        <v/>
      </c>
      <c r="J184" s="12">
        <f>IF(MATCH_ENGINE!A184="","",MATCH_ENGINE!K184)</f>
        <v/>
      </c>
      <c r="K184" s="11">
        <f>IF(MATCH_ENGINE!A184="","",MATCH_ENGINE!L184)</f>
        <v/>
      </c>
      <c r="L184" s="17">
        <f>IF(MATCH_ENGINE!A184="","",MATCH_ENGINE!M184)</f>
        <v/>
      </c>
      <c r="M184" s="11">
        <f>IF(MATCH_ENGINE!A184="","",GL_CLEAN!F184)</f>
        <v/>
      </c>
      <c r="N184" s="11">
        <f>IF(MATCH_ENGINE!A184="","",GL_CLEAN!G184)</f>
        <v/>
      </c>
      <c r="O184" s="11">
        <f>IF(MATCH_ENGINE!H184="","",INDEX(BANK_CLEAN!$C$2:$C$1001,MATCH_ENGINE!H184))</f>
        <v/>
      </c>
      <c r="P184" s="11" t="inlineStr"/>
    </row>
    <row r="185">
      <c r="A185" s="11">
        <f>IF(MATCH_ENGINE!A185="","",MATCH_ENGINE!N185)</f>
        <v/>
      </c>
      <c r="B185" s="11">
        <f>IF(MATCH_ENGINE!A185="","",MATCH_ENGINE!C185)</f>
        <v/>
      </c>
      <c r="C185" s="10">
        <f>IF(MATCH_ENGINE!A185="","",MATCH_ENGINE!B185)</f>
        <v/>
      </c>
      <c r="D185" s="16">
        <f>IF(MATCH_ENGINE!A185="","",MATCH_ENGINE!D185)</f>
        <v/>
      </c>
      <c r="E185" s="11">
        <f>IF(MATCH_ENGINE!A185="","",MATCH_ENGINE!F185)</f>
        <v/>
      </c>
      <c r="F185" s="10">
        <f>IF(MATCH_ENGINE!A185="","",MATCH_ENGINE!I185)</f>
        <v/>
      </c>
      <c r="G185" s="16">
        <f>IF(MATCH_ENGINE!H185="","",IF(MATCH_ENGINE!F185="IN",MATCH_ENGINE!J185,""))</f>
        <v/>
      </c>
      <c r="H185" s="16">
        <f>IF(MATCH_ENGINE!H185="","",IF(MATCH_ENGINE!F185="OUT",MATCH_ENGINE!J185,""))</f>
        <v/>
      </c>
      <c r="I185" s="16">
        <f>IF(MATCH_ENGINE!H185="","",MATCH_ENGINE!J185)</f>
        <v/>
      </c>
      <c r="J185" s="12">
        <f>IF(MATCH_ENGINE!A185="","",MATCH_ENGINE!K185)</f>
        <v/>
      </c>
      <c r="K185" s="11">
        <f>IF(MATCH_ENGINE!A185="","",MATCH_ENGINE!L185)</f>
        <v/>
      </c>
      <c r="L185" s="17">
        <f>IF(MATCH_ENGINE!A185="","",MATCH_ENGINE!M185)</f>
        <v/>
      </c>
      <c r="M185" s="11">
        <f>IF(MATCH_ENGINE!A185="","",GL_CLEAN!F185)</f>
        <v/>
      </c>
      <c r="N185" s="11">
        <f>IF(MATCH_ENGINE!A185="","",GL_CLEAN!G185)</f>
        <v/>
      </c>
      <c r="O185" s="11">
        <f>IF(MATCH_ENGINE!H185="","",INDEX(BANK_CLEAN!$C$2:$C$1001,MATCH_ENGINE!H185))</f>
        <v/>
      </c>
      <c r="P185" s="11" t="inlineStr"/>
    </row>
    <row r="186">
      <c r="A186" s="11">
        <f>IF(MATCH_ENGINE!A186="","",MATCH_ENGINE!N186)</f>
        <v/>
      </c>
      <c r="B186" s="11">
        <f>IF(MATCH_ENGINE!A186="","",MATCH_ENGINE!C186)</f>
        <v/>
      </c>
      <c r="C186" s="10">
        <f>IF(MATCH_ENGINE!A186="","",MATCH_ENGINE!B186)</f>
        <v/>
      </c>
      <c r="D186" s="16">
        <f>IF(MATCH_ENGINE!A186="","",MATCH_ENGINE!D186)</f>
        <v/>
      </c>
      <c r="E186" s="11">
        <f>IF(MATCH_ENGINE!A186="","",MATCH_ENGINE!F186)</f>
        <v/>
      </c>
      <c r="F186" s="10">
        <f>IF(MATCH_ENGINE!A186="","",MATCH_ENGINE!I186)</f>
        <v/>
      </c>
      <c r="G186" s="16">
        <f>IF(MATCH_ENGINE!H186="","",IF(MATCH_ENGINE!F186="IN",MATCH_ENGINE!J186,""))</f>
        <v/>
      </c>
      <c r="H186" s="16">
        <f>IF(MATCH_ENGINE!H186="","",IF(MATCH_ENGINE!F186="OUT",MATCH_ENGINE!J186,""))</f>
        <v/>
      </c>
      <c r="I186" s="16">
        <f>IF(MATCH_ENGINE!H186="","",MATCH_ENGINE!J186)</f>
        <v/>
      </c>
      <c r="J186" s="12">
        <f>IF(MATCH_ENGINE!A186="","",MATCH_ENGINE!K186)</f>
        <v/>
      </c>
      <c r="K186" s="11">
        <f>IF(MATCH_ENGINE!A186="","",MATCH_ENGINE!L186)</f>
        <v/>
      </c>
      <c r="L186" s="17">
        <f>IF(MATCH_ENGINE!A186="","",MATCH_ENGINE!M186)</f>
        <v/>
      </c>
      <c r="M186" s="11">
        <f>IF(MATCH_ENGINE!A186="","",GL_CLEAN!F186)</f>
        <v/>
      </c>
      <c r="N186" s="11">
        <f>IF(MATCH_ENGINE!A186="","",GL_CLEAN!G186)</f>
        <v/>
      </c>
      <c r="O186" s="11">
        <f>IF(MATCH_ENGINE!H186="","",INDEX(BANK_CLEAN!$C$2:$C$1001,MATCH_ENGINE!H186))</f>
        <v/>
      </c>
      <c r="P186" s="11" t="inlineStr"/>
    </row>
    <row r="187">
      <c r="A187" s="11">
        <f>IF(MATCH_ENGINE!A187="","",MATCH_ENGINE!N187)</f>
        <v/>
      </c>
      <c r="B187" s="11">
        <f>IF(MATCH_ENGINE!A187="","",MATCH_ENGINE!C187)</f>
        <v/>
      </c>
      <c r="C187" s="10">
        <f>IF(MATCH_ENGINE!A187="","",MATCH_ENGINE!B187)</f>
        <v/>
      </c>
      <c r="D187" s="16">
        <f>IF(MATCH_ENGINE!A187="","",MATCH_ENGINE!D187)</f>
        <v/>
      </c>
      <c r="E187" s="11">
        <f>IF(MATCH_ENGINE!A187="","",MATCH_ENGINE!F187)</f>
        <v/>
      </c>
      <c r="F187" s="10">
        <f>IF(MATCH_ENGINE!A187="","",MATCH_ENGINE!I187)</f>
        <v/>
      </c>
      <c r="G187" s="16">
        <f>IF(MATCH_ENGINE!H187="","",IF(MATCH_ENGINE!F187="IN",MATCH_ENGINE!J187,""))</f>
        <v/>
      </c>
      <c r="H187" s="16">
        <f>IF(MATCH_ENGINE!H187="","",IF(MATCH_ENGINE!F187="OUT",MATCH_ENGINE!J187,""))</f>
        <v/>
      </c>
      <c r="I187" s="16">
        <f>IF(MATCH_ENGINE!H187="","",MATCH_ENGINE!J187)</f>
        <v/>
      </c>
      <c r="J187" s="12">
        <f>IF(MATCH_ENGINE!A187="","",MATCH_ENGINE!K187)</f>
        <v/>
      </c>
      <c r="K187" s="11">
        <f>IF(MATCH_ENGINE!A187="","",MATCH_ENGINE!L187)</f>
        <v/>
      </c>
      <c r="L187" s="17">
        <f>IF(MATCH_ENGINE!A187="","",MATCH_ENGINE!M187)</f>
        <v/>
      </c>
      <c r="M187" s="11">
        <f>IF(MATCH_ENGINE!A187="","",GL_CLEAN!F187)</f>
        <v/>
      </c>
      <c r="N187" s="11">
        <f>IF(MATCH_ENGINE!A187="","",GL_CLEAN!G187)</f>
        <v/>
      </c>
      <c r="O187" s="11">
        <f>IF(MATCH_ENGINE!H187="","",INDEX(BANK_CLEAN!$C$2:$C$1001,MATCH_ENGINE!H187))</f>
        <v/>
      </c>
      <c r="P187" s="11" t="inlineStr"/>
    </row>
    <row r="188">
      <c r="A188" s="11">
        <f>IF(MATCH_ENGINE!A188="","",MATCH_ENGINE!N188)</f>
        <v/>
      </c>
      <c r="B188" s="11">
        <f>IF(MATCH_ENGINE!A188="","",MATCH_ENGINE!C188)</f>
        <v/>
      </c>
      <c r="C188" s="10">
        <f>IF(MATCH_ENGINE!A188="","",MATCH_ENGINE!B188)</f>
        <v/>
      </c>
      <c r="D188" s="16">
        <f>IF(MATCH_ENGINE!A188="","",MATCH_ENGINE!D188)</f>
        <v/>
      </c>
      <c r="E188" s="11">
        <f>IF(MATCH_ENGINE!A188="","",MATCH_ENGINE!F188)</f>
        <v/>
      </c>
      <c r="F188" s="10">
        <f>IF(MATCH_ENGINE!A188="","",MATCH_ENGINE!I188)</f>
        <v/>
      </c>
      <c r="G188" s="16">
        <f>IF(MATCH_ENGINE!H188="","",IF(MATCH_ENGINE!F188="IN",MATCH_ENGINE!J188,""))</f>
        <v/>
      </c>
      <c r="H188" s="16">
        <f>IF(MATCH_ENGINE!H188="","",IF(MATCH_ENGINE!F188="OUT",MATCH_ENGINE!J188,""))</f>
        <v/>
      </c>
      <c r="I188" s="16">
        <f>IF(MATCH_ENGINE!H188="","",MATCH_ENGINE!J188)</f>
        <v/>
      </c>
      <c r="J188" s="12">
        <f>IF(MATCH_ENGINE!A188="","",MATCH_ENGINE!K188)</f>
        <v/>
      </c>
      <c r="K188" s="11">
        <f>IF(MATCH_ENGINE!A188="","",MATCH_ENGINE!L188)</f>
        <v/>
      </c>
      <c r="L188" s="17">
        <f>IF(MATCH_ENGINE!A188="","",MATCH_ENGINE!M188)</f>
        <v/>
      </c>
      <c r="M188" s="11">
        <f>IF(MATCH_ENGINE!A188="","",GL_CLEAN!F188)</f>
        <v/>
      </c>
      <c r="N188" s="11">
        <f>IF(MATCH_ENGINE!A188="","",GL_CLEAN!G188)</f>
        <v/>
      </c>
      <c r="O188" s="11">
        <f>IF(MATCH_ENGINE!H188="","",INDEX(BANK_CLEAN!$C$2:$C$1001,MATCH_ENGINE!H188))</f>
        <v/>
      </c>
      <c r="P188" s="11" t="inlineStr"/>
    </row>
    <row r="189">
      <c r="A189" s="11">
        <f>IF(MATCH_ENGINE!A189="","",MATCH_ENGINE!N189)</f>
        <v/>
      </c>
      <c r="B189" s="11">
        <f>IF(MATCH_ENGINE!A189="","",MATCH_ENGINE!C189)</f>
        <v/>
      </c>
      <c r="C189" s="10">
        <f>IF(MATCH_ENGINE!A189="","",MATCH_ENGINE!B189)</f>
        <v/>
      </c>
      <c r="D189" s="16">
        <f>IF(MATCH_ENGINE!A189="","",MATCH_ENGINE!D189)</f>
        <v/>
      </c>
      <c r="E189" s="11">
        <f>IF(MATCH_ENGINE!A189="","",MATCH_ENGINE!F189)</f>
        <v/>
      </c>
      <c r="F189" s="10">
        <f>IF(MATCH_ENGINE!A189="","",MATCH_ENGINE!I189)</f>
        <v/>
      </c>
      <c r="G189" s="16">
        <f>IF(MATCH_ENGINE!H189="","",IF(MATCH_ENGINE!F189="IN",MATCH_ENGINE!J189,""))</f>
        <v/>
      </c>
      <c r="H189" s="16">
        <f>IF(MATCH_ENGINE!H189="","",IF(MATCH_ENGINE!F189="OUT",MATCH_ENGINE!J189,""))</f>
        <v/>
      </c>
      <c r="I189" s="16">
        <f>IF(MATCH_ENGINE!H189="","",MATCH_ENGINE!J189)</f>
        <v/>
      </c>
      <c r="J189" s="12">
        <f>IF(MATCH_ENGINE!A189="","",MATCH_ENGINE!K189)</f>
        <v/>
      </c>
      <c r="K189" s="11">
        <f>IF(MATCH_ENGINE!A189="","",MATCH_ENGINE!L189)</f>
        <v/>
      </c>
      <c r="L189" s="17">
        <f>IF(MATCH_ENGINE!A189="","",MATCH_ENGINE!M189)</f>
        <v/>
      </c>
      <c r="M189" s="11">
        <f>IF(MATCH_ENGINE!A189="","",GL_CLEAN!F189)</f>
        <v/>
      </c>
      <c r="N189" s="11">
        <f>IF(MATCH_ENGINE!A189="","",GL_CLEAN!G189)</f>
        <v/>
      </c>
      <c r="O189" s="11">
        <f>IF(MATCH_ENGINE!H189="","",INDEX(BANK_CLEAN!$C$2:$C$1001,MATCH_ENGINE!H189))</f>
        <v/>
      </c>
      <c r="P189" s="11" t="inlineStr"/>
    </row>
    <row r="190">
      <c r="A190" s="11">
        <f>IF(MATCH_ENGINE!A190="","",MATCH_ENGINE!N190)</f>
        <v/>
      </c>
      <c r="B190" s="11">
        <f>IF(MATCH_ENGINE!A190="","",MATCH_ENGINE!C190)</f>
        <v/>
      </c>
      <c r="C190" s="10">
        <f>IF(MATCH_ENGINE!A190="","",MATCH_ENGINE!B190)</f>
        <v/>
      </c>
      <c r="D190" s="16">
        <f>IF(MATCH_ENGINE!A190="","",MATCH_ENGINE!D190)</f>
        <v/>
      </c>
      <c r="E190" s="11">
        <f>IF(MATCH_ENGINE!A190="","",MATCH_ENGINE!F190)</f>
        <v/>
      </c>
      <c r="F190" s="10">
        <f>IF(MATCH_ENGINE!A190="","",MATCH_ENGINE!I190)</f>
        <v/>
      </c>
      <c r="G190" s="16">
        <f>IF(MATCH_ENGINE!H190="","",IF(MATCH_ENGINE!F190="IN",MATCH_ENGINE!J190,""))</f>
        <v/>
      </c>
      <c r="H190" s="16">
        <f>IF(MATCH_ENGINE!H190="","",IF(MATCH_ENGINE!F190="OUT",MATCH_ENGINE!J190,""))</f>
        <v/>
      </c>
      <c r="I190" s="16">
        <f>IF(MATCH_ENGINE!H190="","",MATCH_ENGINE!J190)</f>
        <v/>
      </c>
      <c r="J190" s="12">
        <f>IF(MATCH_ENGINE!A190="","",MATCH_ENGINE!K190)</f>
        <v/>
      </c>
      <c r="K190" s="11">
        <f>IF(MATCH_ENGINE!A190="","",MATCH_ENGINE!L190)</f>
        <v/>
      </c>
      <c r="L190" s="17">
        <f>IF(MATCH_ENGINE!A190="","",MATCH_ENGINE!M190)</f>
        <v/>
      </c>
      <c r="M190" s="11">
        <f>IF(MATCH_ENGINE!A190="","",GL_CLEAN!F190)</f>
        <v/>
      </c>
      <c r="N190" s="11">
        <f>IF(MATCH_ENGINE!A190="","",GL_CLEAN!G190)</f>
        <v/>
      </c>
      <c r="O190" s="11">
        <f>IF(MATCH_ENGINE!H190="","",INDEX(BANK_CLEAN!$C$2:$C$1001,MATCH_ENGINE!H190))</f>
        <v/>
      </c>
      <c r="P190" s="11" t="inlineStr"/>
    </row>
    <row r="191">
      <c r="A191" s="11">
        <f>IF(MATCH_ENGINE!A191="","",MATCH_ENGINE!N191)</f>
        <v/>
      </c>
      <c r="B191" s="11">
        <f>IF(MATCH_ENGINE!A191="","",MATCH_ENGINE!C191)</f>
        <v/>
      </c>
      <c r="C191" s="10">
        <f>IF(MATCH_ENGINE!A191="","",MATCH_ENGINE!B191)</f>
        <v/>
      </c>
      <c r="D191" s="16">
        <f>IF(MATCH_ENGINE!A191="","",MATCH_ENGINE!D191)</f>
        <v/>
      </c>
      <c r="E191" s="11">
        <f>IF(MATCH_ENGINE!A191="","",MATCH_ENGINE!F191)</f>
        <v/>
      </c>
      <c r="F191" s="10">
        <f>IF(MATCH_ENGINE!A191="","",MATCH_ENGINE!I191)</f>
        <v/>
      </c>
      <c r="G191" s="16">
        <f>IF(MATCH_ENGINE!H191="","",IF(MATCH_ENGINE!F191="IN",MATCH_ENGINE!J191,""))</f>
        <v/>
      </c>
      <c r="H191" s="16">
        <f>IF(MATCH_ENGINE!H191="","",IF(MATCH_ENGINE!F191="OUT",MATCH_ENGINE!J191,""))</f>
        <v/>
      </c>
      <c r="I191" s="16">
        <f>IF(MATCH_ENGINE!H191="","",MATCH_ENGINE!J191)</f>
        <v/>
      </c>
      <c r="J191" s="12">
        <f>IF(MATCH_ENGINE!A191="","",MATCH_ENGINE!K191)</f>
        <v/>
      </c>
      <c r="K191" s="11">
        <f>IF(MATCH_ENGINE!A191="","",MATCH_ENGINE!L191)</f>
        <v/>
      </c>
      <c r="L191" s="17">
        <f>IF(MATCH_ENGINE!A191="","",MATCH_ENGINE!M191)</f>
        <v/>
      </c>
      <c r="M191" s="11">
        <f>IF(MATCH_ENGINE!A191="","",GL_CLEAN!F191)</f>
        <v/>
      </c>
      <c r="N191" s="11">
        <f>IF(MATCH_ENGINE!A191="","",GL_CLEAN!G191)</f>
        <v/>
      </c>
      <c r="O191" s="11">
        <f>IF(MATCH_ENGINE!H191="","",INDEX(BANK_CLEAN!$C$2:$C$1001,MATCH_ENGINE!H191))</f>
        <v/>
      </c>
      <c r="P191" s="11" t="inlineStr"/>
    </row>
    <row r="192">
      <c r="A192" s="11">
        <f>IF(MATCH_ENGINE!A192="","",MATCH_ENGINE!N192)</f>
        <v/>
      </c>
      <c r="B192" s="11">
        <f>IF(MATCH_ENGINE!A192="","",MATCH_ENGINE!C192)</f>
        <v/>
      </c>
      <c r="C192" s="10">
        <f>IF(MATCH_ENGINE!A192="","",MATCH_ENGINE!B192)</f>
        <v/>
      </c>
      <c r="D192" s="16">
        <f>IF(MATCH_ENGINE!A192="","",MATCH_ENGINE!D192)</f>
        <v/>
      </c>
      <c r="E192" s="11">
        <f>IF(MATCH_ENGINE!A192="","",MATCH_ENGINE!F192)</f>
        <v/>
      </c>
      <c r="F192" s="10">
        <f>IF(MATCH_ENGINE!A192="","",MATCH_ENGINE!I192)</f>
        <v/>
      </c>
      <c r="G192" s="16">
        <f>IF(MATCH_ENGINE!H192="","",IF(MATCH_ENGINE!F192="IN",MATCH_ENGINE!J192,""))</f>
        <v/>
      </c>
      <c r="H192" s="16">
        <f>IF(MATCH_ENGINE!H192="","",IF(MATCH_ENGINE!F192="OUT",MATCH_ENGINE!J192,""))</f>
        <v/>
      </c>
      <c r="I192" s="16">
        <f>IF(MATCH_ENGINE!H192="","",MATCH_ENGINE!J192)</f>
        <v/>
      </c>
      <c r="J192" s="12">
        <f>IF(MATCH_ENGINE!A192="","",MATCH_ENGINE!K192)</f>
        <v/>
      </c>
      <c r="K192" s="11">
        <f>IF(MATCH_ENGINE!A192="","",MATCH_ENGINE!L192)</f>
        <v/>
      </c>
      <c r="L192" s="17">
        <f>IF(MATCH_ENGINE!A192="","",MATCH_ENGINE!M192)</f>
        <v/>
      </c>
      <c r="M192" s="11">
        <f>IF(MATCH_ENGINE!A192="","",GL_CLEAN!F192)</f>
        <v/>
      </c>
      <c r="N192" s="11">
        <f>IF(MATCH_ENGINE!A192="","",GL_CLEAN!G192)</f>
        <v/>
      </c>
      <c r="O192" s="11">
        <f>IF(MATCH_ENGINE!H192="","",INDEX(BANK_CLEAN!$C$2:$C$1001,MATCH_ENGINE!H192))</f>
        <v/>
      </c>
      <c r="P192" s="11" t="inlineStr"/>
    </row>
    <row r="193">
      <c r="A193" s="11">
        <f>IF(MATCH_ENGINE!A193="","",MATCH_ENGINE!N193)</f>
        <v/>
      </c>
      <c r="B193" s="11">
        <f>IF(MATCH_ENGINE!A193="","",MATCH_ENGINE!C193)</f>
        <v/>
      </c>
      <c r="C193" s="10">
        <f>IF(MATCH_ENGINE!A193="","",MATCH_ENGINE!B193)</f>
        <v/>
      </c>
      <c r="D193" s="16">
        <f>IF(MATCH_ENGINE!A193="","",MATCH_ENGINE!D193)</f>
        <v/>
      </c>
      <c r="E193" s="11">
        <f>IF(MATCH_ENGINE!A193="","",MATCH_ENGINE!F193)</f>
        <v/>
      </c>
      <c r="F193" s="10">
        <f>IF(MATCH_ENGINE!A193="","",MATCH_ENGINE!I193)</f>
        <v/>
      </c>
      <c r="G193" s="16">
        <f>IF(MATCH_ENGINE!H193="","",IF(MATCH_ENGINE!F193="IN",MATCH_ENGINE!J193,""))</f>
        <v/>
      </c>
      <c r="H193" s="16">
        <f>IF(MATCH_ENGINE!H193="","",IF(MATCH_ENGINE!F193="OUT",MATCH_ENGINE!J193,""))</f>
        <v/>
      </c>
      <c r="I193" s="16">
        <f>IF(MATCH_ENGINE!H193="","",MATCH_ENGINE!J193)</f>
        <v/>
      </c>
      <c r="J193" s="12">
        <f>IF(MATCH_ENGINE!A193="","",MATCH_ENGINE!K193)</f>
        <v/>
      </c>
      <c r="K193" s="11">
        <f>IF(MATCH_ENGINE!A193="","",MATCH_ENGINE!L193)</f>
        <v/>
      </c>
      <c r="L193" s="17">
        <f>IF(MATCH_ENGINE!A193="","",MATCH_ENGINE!M193)</f>
        <v/>
      </c>
      <c r="M193" s="11">
        <f>IF(MATCH_ENGINE!A193="","",GL_CLEAN!F193)</f>
        <v/>
      </c>
      <c r="N193" s="11">
        <f>IF(MATCH_ENGINE!A193="","",GL_CLEAN!G193)</f>
        <v/>
      </c>
      <c r="O193" s="11">
        <f>IF(MATCH_ENGINE!H193="","",INDEX(BANK_CLEAN!$C$2:$C$1001,MATCH_ENGINE!H193))</f>
        <v/>
      </c>
      <c r="P193" s="11" t="inlineStr"/>
    </row>
    <row r="194">
      <c r="A194" s="11">
        <f>IF(MATCH_ENGINE!A194="","",MATCH_ENGINE!N194)</f>
        <v/>
      </c>
      <c r="B194" s="11">
        <f>IF(MATCH_ENGINE!A194="","",MATCH_ENGINE!C194)</f>
        <v/>
      </c>
      <c r="C194" s="10">
        <f>IF(MATCH_ENGINE!A194="","",MATCH_ENGINE!B194)</f>
        <v/>
      </c>
      <c r="D194" s="16">
        <f>IF(MATCH_ENGINE!A194="","",MATCH_ENGINE!D194)</f>
        <v/>
      </c>
      <c r="E194" s="11">
        <f>IF(MATCH_ENGINE!A194="","",MATCH_ENGINE!F194)</f>
        <v/>
      </c>
      <c r="F194" s="10">
        <f>IF(MATCH_ENGINE!A194="","",MATCH_ENGINE!I194)</f>
        <v/>
      </c>
      <c r="G194" s="16">
        <f>IF(MATCH_ENGINE!H194="","",IF(MATCH_ENGINE!F194="IN",MATCH_ENGINE!J194,""))</f>
        <v/>
      </c>
      <c r="H194" s="16">
        <f>IF(MATCH_ENGINE!H194="","",IF(MATCH_ENGINE!F194="OUT",MATCH_ENGINE!J194,""))</f>
        <v/>
      </c>
      <c r="I194" s="16">
        <f>IF(MATCH_ENGINE!H194="","",MATCH_ENGINE!J194)</f>
        <v/>
      </c>
      <c r="J194" s="12">
        <f>IF(MATCH_ENGINE!A194="","",MATCH_ENGINE!K194)</f>
        <v/>
      </c>
      <c r="K194" s="11">
        <f>IF(MATCH_ENGINE!A194="","",MATCH_ENGINE!L194)</f>
        <v/>
      </c>
      <c r="L194" s="17">
        <f>IF(MATCH_ENGINE!A194="","",MATCH_ENGINE!M194)</f>
        <v/>
      </c>
      <c r="M194" s="11">
        <f>IF(MATCH_ENGINE!A194="","",GL_CLEAN!F194)</f>
        <v/>
      </c>
      <c r="N194" s="11">
        <f>IF(MATCH_ENGINE!A194="","",GL_CLEAN!G194)</f>
        <v/>
      </c>
      <c r="O194" s="11">
        <f>IF(MATCH_ENGINE!H194="","",INDEX(BANK_CLEAN!$C$2:$C$1001,MATCH_ENGINE!H194))</f>
        <v/>
      </c>
      <c r="P194" s="11" t="inlineStr"/>
    </row>
    <row r="195">
      <c r="A195" s="11">
        <f>IF(MATCH_ENGINE!A195="","",MATCH_ENGINE!N195)</f>
        <v/>
      </c>
      <c r="B195" s="11">
        <f>IF(MATCH_ENGINE!A195="","",MATCH_ENGINE!C195)</f>
        <v/>
      </c>
      <c r="C195" s="10">
        <f>IF(MATCH_ENGINE!A195="","",MATCH_ENGINE!B195)</f>
        <v/>
      </c>
      <c r="D195" s="16">
        <f>IF(MATCH_ENGINE!A195="","",MATCH_ENGINE!D195)</f>
        <v/>
      </c>
      <c r="E195" s="11">
        <f>IF(MATCH_ENGINE!A195="","",MATCH_ENGINE!F195)</f>
        <v/>
      </c>
      <c r="F195" s="10">
        <f>IF(MATCH_ENGINE!A195="","",MATCH_ENGINE!I195)</f>
        <v/>
      </c>
      <c r="G195" s="16">
        <f>IF(MATCH_ENGINE!H195="","",IF(MATCH_ENGINE!F195="IN",MATCH_ENGINE!J195,""))</f>
        <v/>
      </c>
      <c r="H195" s="16">
        <f>IF(MATCH_ENGINE!H195="","",IF(MATCH_ENGINE!F195="OUT",MATCH_ENGINE!J195,""))</f>
        <v/>
      </c>
      <c r="I195" s="16">
        <f>IF(MATCH_ENGINE!H195="","",MATCH_ENGINE!J195)</f>
        <v/>
      </c>
      <c r="J195" s="12">
        <f>IF(MATCH_ENGINE!A195="","",MATCH_ENGINE!K195)</f>
        <v/>
      </c>
      <c r="K195" s="11">
        <f>IF(MATCH_ENGINE!A195="","",MATCH_ENGINE!L195)</f>
        <v/>
      </c>
      <c r="L195" s="17">
        <f>IF(MATCH_ENGINE!A195="","",MATCH_ENGINE!M195)</f>
        <v/>
      </c>
      <c r="M195" s="11">
        <f>IF(MATCH_ENGINE!A195="","",GL_CLEAN!F195)</f>
        <v/>
      </c>
      <c r="N195" s="11">
        <f>IF(MATCH_ENGINE!A195="","",GL_CLEAN!G195)</f>
        <v/>
      </c>
      <c r="O195" s="11">
        <f>IF(MATCH_ENGINE!H195="","",INDEX(BANK_CLEAN!$C$2:$C$1001,MATCH_ENGINE!H195))</f>
        <v/>
      </c>
      <c r="P195" s="11" t="inlineStr"/>
    </row>
    <row r="196">
      <c r="A196" s="11">
        <f>IF(MATCH_ENGINE!A196="","",MATCH_ENGINE!N196)</f>
        <v/>
      </c>
      <c r="B196" s="11">
        <f>IF(MATCH_ENGINE!A196="","",MATCH_ENGINE!C196)</f>
        <v/>
      </c>
      <c r="C196" s="10">
        <f>IF(MATCH_ENGINE!A196="","",MATCH_ENGINE!B196)</f>
        <v/>
      </c>
      <c r="D196" s="16">
        <f>IF(MATCH_ENGINE!A196="","",MATCH_ENGINE!D196)</f>
        <v/>
      </c>
      <c r="E196" s="11">
        <f>IF(MATCH_ENGINE!A196="","",MATCH_ENGINE!F196)</f>
        <v/>
      </c>
      <c r="F196" s="10">
        <f>IF(MATCH_ENGINE!A196="","",MATCH_ENGINE!I196)</f>
        <v/>
      </c>
      <c r="G196" s="16">
        <f>IF(MATCH_ENGINE!H196="","",IF(MATCH_ENGINE!F196="IN",MATCH_ENGINE!J196,""))</f>
        <v/>
      </c>
      <c r="H196" s="16">
        <f>IF(MATCH_ENGINE!H196="","",IF(MATCH_ENGINE!F196="OUT",MATCH_ENGINE!J196,""))</f>
        <v/>
      </c>
      <c r="I196" s="16">
        <f>IF(MATCH_ENGINE!H196="","",MATCH_ENGINE!J196)</f>
        <v/>
      </c>
      <c r="J196" s="12">
        <f>IF(MATCH_ENGINE!A196="","",MATCH_ENGINE!K196)</f>
        <v/>
      </c>
      <c r="K196" s="11">
        <f>IF(MATCH_ENGINE!A196="","",MATCH_ENGINE!L196)</f>
        <v/>
      </c>
      <c r="L196" s="17">
        <f>IF(MATCH_ENGINE!A196="","",MATCH_ENGINE!M196)</f>
        <v/>
      </c>
      <c r="M196" s="11">
        <f>IF(MATCH_ENGINE!A196="","",GL_CLEAN!F196)</f>
        <v/>
      </c>
      <c r="N196" s="11">
        <f>IF(MATCH_ENGINE!A196="","",GL_CLEAN!G196)</f>
        <v/>
      </c>
      <c r="O196" s="11">
        <f>IF(MATCH_ENGINE!H196="","",INDEX(BANK_CLEAN!$C$2:$C$1001,MATCH_ENGINE!H196))</f>
        <v/>
      </c>
      <c r="P196" s="11" t="inlineStr"/>
    </row>
    <row r="197">
      <c r="A197" s="11">
        <f>IF(MATCH_ENGINE!A197="","",MATCH_ENGINE!N197)</f>
        <v/>
      </c>
      <c r="B197" s="11">
        <f>IF(MATCH_ENGINE!A197="","",MATCH_ENGINE!C197)</f>
        <v/>
      </c>
      <c r="C197" s="10">
        <f>IF(MATCH_ENGINE!A197="","",MATCH_ENGINE!B197)</f>
        <v/>
      </c>
      <c r="D197" s="16">
        <f>IF(MATCH_ENGINE!A197="","",MATCH_ENGINE!D197)</f>
        <v/>
      </c>
      <c r="E197" s="11">
        <f>IF(MATCH_ENGINE!A197="","",MATCH_ENGINE!F197)</f>
        <v/>
      </c>
      <c r="F197" s="10">
        <f>IF(MATCH_ENGINE!A197="","",MATCH_ENGINE!I197)</f>
        <v/>
      </c>
      <c r="G197" s="16">
        <f>IF(MATCH_ENGINE!H197="","",IF(MATCH_ENGINE!F197="IN",MATCH_ENGINE!J197,""))</f>
        <v/>
      </c>
      <c r="H197" s="16">
        <f>IF(MATCH_ENGINE!H197="","",IF(MATCH_ENGINE!F197="OUT",MATCH_ENGINE!J197,""))</f>
        <v/>
      </c>
      <c r="I197" s="16">
        <f>IF(MATCH_ENGINE!H197="","",MATCH_ENGINE!J197)</f>
        <v/>
      </c>
      <c r="J197" s="12">
        <f>IF(MATCH_ENGINE!A197="","",MATCH_ENGINE!K197)</f>
        <v/>
      </c>
      <c r="K197" s="11">
        <f>IF(MATCH_ENGINE!A197="","",MATCH_ENGINE!L197)</f>
        <v/>
      </c>
      <c r="L197" s="17">
        <f>IF(MATCH_ENGINE!A197="","",MATCH_ENGINE!M197)</f>
        <v/>
      </c>
      <c r="M197" s="11">
        <f>IF(MATCH_ENGINE!A197="","",GL_CLEAN!F197)</f>
        <v/>
      </c>
      <c r="N197" s="11">
        <f>IF(MATCH_ENGINE!A197="","",GL_CLEAN!G197)</f>
        <v/>
      </c>
      <c r="O197" s="11">
        <f>IF(MATCH_ENGINE!H197="","",INDEX(BANK_CLEAN!$C$2:$C$1001,MATCH_ENGINE!H197))</f>
        <v/>
      </c>
      <c r="P197" s="11" t="inlineStr"/>
    </row>
    <row r="198">
      <c r="A198" s="11">
        <f>IF(MATCH_ENGINE!A198="","",MATCH_ENGINE!N198)</f>
        <v/>
      </c>
      <c r="B198" s="11">
        <f>IF(MATCH_ENGINE!A198="","",MATCH_ENGINE!C198)</f>
        <v/>
      </c>
      <c r="C198" s="10">
        <f>IF(MATCH_ENGINE!A198="","",MATCH_ENGINE!B198)</f>
        <v/>
      </c>
      <c r="D198" s="16">
        <f>IF(MATCH_ENGINE!A198="","",MATCH_ENGINE!D198)</f>
        <v/>
      </c>
      <c r="E198" s="11">
        <f>IF(MATCH_ENGINE!A198="","",MATCH_ENGINE!F198)</f>
        <v/>
      </c>
      <c r="F198" s="10">
        <f>IF(MATCH_ENGINE!A198="","",MATCH_ENGINE!I198)</f>
        <v/>
      </c>
      <c r="G198" s="16">
        <f>IF(MATCH_ENGINE!H198="","",IF(MATCH_ENGINE!F198="IN",MATCH_ENGINE!J198,""))</f>
        <v/>
      </c>
      <c r="H198" s="16">
        <f>IF(MATCH_ENGINE!H198="","",IF(MATCH_ENGINE!F198="OUT",MATCH_ENGINE!J198,""))</f>
        <v/>
      </c>
      <c r="I198" s="16">
        <f>IF(MATCH_ENGINE!H198="","",MATCH_ENGINE!J198)</f>
        <v/>
      </c>
      <c r="J198" s="12">
        <f>IF(MATCH_ENGINE!A198="","",MATCH_ENGINE!K198)</f>
        <v/>
      </c>
      <c r="K198" s="11">
        <f>IF(MATCH_ENGINE!A198="","",MATCH_ENGINE!L198)</f>
        <v/>
      </c>
      <c r="L198" s="17">
        <f>IF(MATCH_ENGINE!A198="","",MATCH_ENGINE!M198)</f>
        <v/>
      </c>
      <c r="M198" s="11">
        <f>IF(MATCH_ENGINE!A198="","",GL_CLEAN!F198)</f>
        <v/>
      </c>
      <c r="N198" s="11">
        <f>IF(MATCH_ENGINE!A198="","",GL_CLEAN!G198)</f>
        <v/>
      </c>
      <c r="O198" s="11">
        <f>IF(MATCH_ENGINE!H198="","",INDEX(BANK_CLEAN!$C$2:$C$1001,MATCH_ENGINE!H198))</f>
        <v/>
      </c>
      <c r="P198" s="11" t="inlineStr"/>
    </row>
    <row r="199">
      <c r="A199" s="11">
        <f>IF(MATCH_ENGINE!A199="","",MATCH_ENGINE!N199)</f>
        <v/>
      </c>
      <c r="B199" s="11">
        <f>IF(MATCH_ENGINE!A199="","",MATCH_ENGINE!C199)</f>
        <v/>
      </c>
      <c r="C199" s="10">
        <f>IF(MATCH_ENGINE!A199="","",MATCH_ENGINE!B199)</f>
        <v/>
      </c>
      <c r="D199" s="16">
        <f>IF(MATCH_ENGINE!A199="","",MATCH_ENGINE!D199)</f>
        <v/>
      </c>
      <c r="E199" s="11">
        <f>IF(MATCH_ENGINE!A199="","",MATCH_ENGINE!F199)</f>
        <v/>
      </c>
      <c r="F199" s="10">
        <f>IF(MATCH_ENGINE!A199="","",MATCH_ENGINE!I199)</f>
        <v/>
      </c>
      <c r="G199" s="16">
        <f>IF(MATCH_ENGINE!H199="","",IF(MATCH_ENGINE!F199="IN",MATCH_ENGINE!J199,""))</f>
        <v/>
      </c>
      <c r="H199" s="16">
        <f>IF(MATCH_ENGINE!H199="","",IF(MATCH_ENGINE!F199="OUT",MATCH_ENGINE!J199,""))</f>
        <v/>
      </c>
      <c r="I199" s="16">
        <f>IF(MATCH_ENGINE!H199="","",MATCH_ENGINE!J199)</f>
        <v/>
      </c>
      <c r="J199" s="12">
        <f>IF(MATCH_ENGINE!A199="","",MATCH_ENGINE!K199)</f>
        <v/>
      </c>
      <c r="K199" s="11">
        <f>IF(MATCH_ENGINE!A199="","",MATCH_ENGINE!L199)</f>
        <v/>
      </c>
      <c r="L199" s="17">
        <f>IF(MATCH_ENGINE!A199="","",MATCH_ENGINE!M199)</f>
        <v/>
      </c>
      <c r="M199" s="11">
        <f>IF(MATCH_ENGINE!A199="","",GL_CLEAN!F199)</f>
        <v/>
      </c>
      <c r="N199" s="11">
        <f>IF(MATCH_ENGINE!A199="","",GL_CLEAN!G199)</f>
        <v/>
      </c>
      <c r="O199" s="11">
        <f>IF(MATCH_ENGINE!H199="","",INDEX(BANK_CLEAN!$C$2:$C$1001,MATCH_ENGINE!H199))</f>
        <v/>
      </c>
      <c r="P199" s="11" t="inlineStr"/>
    </row>
    <row r="200">
      <c r="A200" s="11">
        <f>IF(MATCH_ENGINE!A200="","",MATCH_ENGINE!N200)</f>
        <v/>
      </c>
      <c r="B200" s="11">
        <f>IF(MATCH_ENGINE!A200="","",MATCH_ENGINE!C200)</f>
        <v/>
      </c>
      <c r="C200" s="10">
        <f>IF(MATCH_ENGINE!A200="","",MATCH_ENGINE!B200)</f>
        <v/>
      </c>
      <c r="D200" s="16">
        <f>IF(MATCH_ENGINE!A200="","",MATCH_ENGINE!D200)</f>
        <v/>
      </c>
      <c r="E200" s="11">
        <f>IF(MATCH_ENGINE!A200="","",MATCH_ENGINE!F200)</f>
        <v/>
      </c>
      <c r="F200" s="10">
        <f>IF(MATCH_ENGINE!A200="","",MATCH_ENGINE!I200)</f>
        <v/>
      </c>
      <c r="G200" s="16">
        <f>IF(MATCH_ENGINE!H200="","",IF(MATCH_ENGINE!F200="IN",MATCH_ENGINE!J200,""))</f>
        <v/>
      </c>
      <c r="H200" s="16">
        <f>IF(MATCH_ENGINE!H200="","",IF(MATCH_ENGINE!F200="OUT",MATCH_ENGINE!J200,""))</f>
        <v/>
      </c>
      <c r="I200" s="16">
        <f>IF(MATCH_ENGINE!H200="","",MATCH_ENGINE!J200)</f>
        <v/>
      </c>
      <c r="J200" s="12">
        <f>IF(MATCH_ENGINE!A200="","",MATCH_ENGINE!K200)</f>
        <v/>
      </c>
      <c r="K200" s="11">
        <f>IF(MATCH_ENGINE!A200="","",MATCH_ENGINE!L200)</f>
        <v/>
      </c>
      <c r="L200" s="17">
        <f>IF(MATCH_ENGINE!A200="","",MATCH_ENGINE!M200)</f>
        <v/>
      </c>
      <c r="M200" s="11">
        <f>IF(MATCH_ENGINE!A200="","",GL_CLEAN!F200)</f>
        <v/>
      </c>
      <c r="N200" s="11">
        <f>IF(MATCH_ENGINE!A200="","",GL_CLEAN!G200)</f>
        <v/>
      </c>
      <c r="O200" s="11">
        <f>IF(MATCH_ENGINE!H200="","",INDEX(BANK_CLEAN!$C$2:$C$1001,MATCH_ENGINE!H200))</f>
        <v/>
      </c>
      <c r="P200" s="11" t="inlineStr"/>
    </row>
    <row r="201">
      <c r="A201" s="11">
        <f>IF(MATCH_ENGINE!A201="","",MATCH_ENGINE!N201)</f>
        <v/>
      </c>
      <c r="B201" s="11">
        <f>IF(MATCH_ENGINE!A201="","",MATCH_ENGINE!C201)</f>
        <v/>
      </c>
      <c r="C201" s="10">
        <f>IF(MATCH_ENGINE!A201="","",MATCH_ENGINE!B201)</f>
        <v/>
      </c>
      <c r="D201" s="16">
        <f>IF(MATCH_ENGINE!A201="","",MATCH_ENGINE!D201)</f>
        <v/>
      </c>
      <c r="E201" s="11">
        <f>IF(MATCH_ENGINE!A201="","",MATCH_ENGINE!F201)</f>
        <v/>
      </c>
      <c r="F201" s="10">
        <f>IF(MATCH_ENGINE!A201="","",MATCH_ENGINE!I201)</f>
        <v/>
      </c>
      <c r="G201" s="16">
        <f>IF(MATCH_ENGINE!H201="","",IF(MATCH_ENGINE!F201="IN",MATCH_ENGINE!J201,""))</f>
        <v/>
      </c>
      <c r="H201" s="16">
        <f>IF(MATCH_ENGINE!H201="","",IF(MATCH_ENGINE!F201="OUT",MATCH_ENGINE!J201,""))</f>
        <v/>
      </c>
      <c r="I201" s="16">
        <f>IF(MATCH_ENGINE!H201="","",MATCH_ENGINE!J201)</f>
        <v/>
      </c>
      <c r="J201" s="12">
        <f>IF(MATCH_ENGINE!A201="","",MATCH_ENGINE!K201)</f>
        <v/>
      </c>
      <c r="K201" s="11">
        <f>IF(MATCH_ENGINE!A201="","",MATCH_ENGINE!L201)</f>
        <v/>
      </c>
      <c r="L201" s="17">
        <f>IF(MATCH_ENGINE!A201="","",MATCH_ENGINE!M201)</f>
        <v/>
      </c>
      <c r="M201" s="11">
        <f>IF(MATCH_ENGINE!A201="","",GL_CLEAN!F201)</f>
        <v/>
      </c>
      <c r="N201" s="11">
        <f>IF(MATCH_ENGINE!A201="","",GL_CLEAN!G201)</f>
        <v/>
      </c>
      <c r="O201" s="11">
        <f>IF(MATCH_ENGINE!H201="","",INDEX(BANK_CLEAN!$C$2:$C$1001,MATCH_ENGINE!H201))</f>
        <v/>
      </c>
      <c r="P201" s="11" t="inlineStr"/>
    </row>
    <row r="202">
      <c r="A202" s="11">
        <f>IF(MATCH_ENGINE!A202="","",MATCH_ENGINE!N202)</f>
        <v/>
      </c>
      <c r="B202" s="11">
        <f>IF(MATCH_ENGINE!A202="","",MATCH_ENGINE!C202)</f>
        <v/>
      </c>
      <c r="C202" s="10">
        <f>IF(MATCH_ENGINE!A202="","",MATCH_ENGINE!B202)</f>
        <v/>
      </c>
      <c r="D202" s="16">
        <f>IF(MATCH_ENGINE!A202="","",MATCH_ENGINE!D202)</f>
        <v/>
      </c>
      <c r="E202" s="11">
        <f>IF(MATCH_ENGINE!A202="","",MATCH_ENGINE!F202)</f>
        <v/>
      </c>
      <c r="F202" s="10">
        <f>IF(MATCH_ENGINE!A202="","",MATCH_ENGINE!I202)</f>
        <v/>
      </c>
      <c r="G202" s="16">
        <f>IF(MATCH_ENGINE!H202="","",IF(MATCH_ENGINE!F202="IN",MATCH_ENGINE!J202,""))</f>
        <v/>
      </c>
      <c r="H202" s="16">
        <f>IF(MATCH_ENGINE!H202="","",IF(MATCH_ENGINE!F202="OUT",MATCH_ENGINE!J202,""))</f>
        <v/>
      </c>
      <c r="I202" s="16">
        <f>IF(MATCH_ENGINE!H202="","",MATCH_ENGINE!J202)</f>
        <v/>
      </c>
      <c r="J202" s="12">
        <f>IF(MATCH_ENGINE!A202="","",MATCH_ENGINE!K202)</f>
        <v/>
      </c>
      <c r="K202" s="11">
        <f>IF(MATCH_ENGINE!A202="","",MATCH_ENGINE!L202)</f>
        <v/>
      </c>
      <c r="L202" s="17">
        <f>IF(MATCH_ENGINE!A202="","",MATCH_ENGINE!M202)</f>
        <v/>
      </c>
      <c r="M202" s="11">
        <f>IF(MATCH_ENGINE!A202="","",GL_CLEAN!F202)</f>
        <v/>
      </c>
      <c r="N202" s="11">
        <f>IF(MATCH_ENGINE!A202="","",GL_CLEAN!G202)</f>
        <v/>
      </c>
      <c r="O202" s="11">
        <f>IF(MATCH_ENGINE!H202="","",INDEX(BANK_CLEAN!$C$2:$C$1001,MATCH_ENGINE!H202))</f>
        <v/>
      </c>
      <c r="P202" s="11" t="inlineStr"/>
    </row>
    <row r="203">
      <c r="A203" s="11">
        <f>IF(MATCH_ENGINE!A203="","",MATCH_ENGINE!N203)</f>
        <v/>
      </c>
      <c r="B203" s="11">
        <f>IF(MATCH_ENGINE!A203="","",MATCH_ENGINE!C203)</f>
        <v/>
      </c>
      <c r="C203" s="10">
        <f>IF(MATCH_ENGINE!A203="","",MATCH_ENGINE!B203)</f>
        <v/>
      </c>
      <c r="D203" s="16">
        <f>IF(MATCH_ENGINE!A203="","",MATCH_ENGINE!D203)</f>
        <v/>
      </c>
      <c r="E203" s="11">
        <f>IF(MATCH_ENGINE!A203="","",MATCH_ENGINE!F203)</f>
        <v/>
      </c>
      <c r="F203" s="10">
        <f>IF(MATCH_ENGINE!A203="","",MATCH_ENGINE!I203)</f>
        <v/>
      </c>
      <c r="G203" s="16">
        <f>IF(MATCH_ENGINE!H203="","",IF(MATCH_ENGINE!F203="IN",MATCH_ENGINE!J203,""))</f>
        <v/>
      </c>
      <c r="H203" s="16">
        <f>IF(MATCH_ENGINE!H203="","",IF(MATCH_ENGINE!F203="OUT",MATCH_ENGINE!J203,""))</f>
        <v/>
      </c>
      <c r="I203" s="16">
        <f>IF(MATCH_ENGINE!H203="","",MATCH_ENGINE!J203)</f>
        <v/>
      </c>
      <c r="J203" s="12">
        <f>IF(MATCH_ENGINE!A203="","",MATCH_ENGINE!K203)</f>
        <v/>
      </c>
      <c r="K203" s="11">
        <f>IF(MATCH_ENGINE!A203="","",MATCH_ENGINE!L203)</f>
        <v/>
      </c>
      <c r="L203" s="17">
        <f>IF(MATCH_ENGINE!A203="","",MATCH_ENGINE!M203)</f>
        <v/>
      </c>
      <c r="M203" s="11">
        <f>IF(MATCH_ENGINE!A203="","",GL_CLEAN!F203)</f>
        <v/>
      </c>
      <c r="N203" s="11">
        <f>IF(MATCH_ENGINE!A203="","",GL_CLEAN!G203)</f>
        <v/>
      </c>
      <c r="O203" s="11">
        <f>IF(MATCH_ENGINE!H203="","",INDEX(BANK_CLEAN!$C$2:$C$1001,MATCH_ENGINE!H203))</f>
        <v/>
      </c>
      <c r="P203" s="11" t="inlineStr"/>
    </row>
    <row r="204">
      <c r="A204" s="11">
        <f>IF(MATCH_ENGINE!A204="","",MATCH_ENGINE!N204)</f>
        <v/>
      </c>
      <c r="B204" s="11">
        <f>IF(MATCH_ENGINE!A204="","",MATCH_ENGINE!C204)</f>
        <v/>
      </c>
      <c r="C204" s="10">
        <f>IF(MATCH_ENGINE!A204="","",MATCH_ENGINE!B204)</f>
        <v/>
      </c>
      <c r="D204" s="16">
        <f>IF(MATCH_ENGINE!A204="","",MATCH_ENGINE!D204)</f>
        <v/>
      </c>
      <c r="E204" s="11">
        <f>IF(MATCH_ENGINE!A204="","",MATCH_ENGINE!F204)</f>
        <v/>
      </c>
      <c r="F204" s="10">
        <f>IF(MATCH_ENGINE!A204="","",MATCH_ENGINE!I204)</f>
        <v/>
      </c>
      <c r="G204" s="16">
        <f>IF(MATCH_ENGINE!H204="","",IF(MATCH_ENGINE!F204="IN",MATCH_ENGINE!J204,""))</f>
        <v/>
      </c>
      <c r="H204" s="16">
        <f>IF(MATCH_ENGINE!H204="","",IF(MATCH_ENGINE!F204="OUT",MATCH_ENGINE!J204,""))</f>
        <v/>
      </c>
      <c r="I204" s="16">
        <f>IF(MATCH_ENGINE!H204="","",MATCH_ENGINE!J204)</f>
        <v/>
      </c>
      <c r="J204" s="12">
        <f>IF(MATCH_ENGINE!A204="","",MATCH_ENGINE!K204)</f>
        <v/>
      </c>
      <c r="K204" s="11">
        <f>IF(MATCH_ENGINE!A204="","",MATCH_ENGINE!L204)</f>
        <v/>
      </c>
      <c r="L204" s="17">
        <f>IF(MATCH_ENGINE!A204="","",MATCH_ENGINE!M204)</f>
        <v/>
      </c>
      <c r="M204" s="11">
        <f>IF(MATCH_ENGINE!A204="","",GL_CLEAN!F204)</f>
        <v/>
      </c>
      <c r="N204" s="11">
        <f>IF(MATCH_ENGINE!A204="","",GL_CLEAN!G204)</f>
        <v/>
      </c>
      <c r="O204" s="11">
        <f>IF(MATCH_ENGINE!H204="","",INDEX(BANK_CLEAN!$C$2:$C$1001,MATCH_ENGINE!H204))</f>
        <v/>
      </c>
      <c r="P204" s="11" t="inlineStr"/>
    </row>
    <row r="205">
      <c r="A205" s="11">
        <f>IF(MATCH_ENGINE!A205="","",MATCH_ENGINE!N205)</f>
        <v/>
      </c>
      <c r="B205" s="11">
        <f>IF(MATCH_ENGINE!A205="","",MATCH_ENGINE!C205)</f>
        <v/>
      </c>
      <c r="C205" s="10">
        <f>IF(MATCH_ENGINE!A205="","",MATCH_ENGINE!B205)</f>
        <v/>
      </c>
      <c r="D205" s="16">
        <f>IF(MATCH_ENGINE!A205="","",MATCH_ENGINE!D205)</f>
        <v/>
      </c>
      <c r="E205" s="11">
        <f>IF(MATCH_ENGINE!A205="","",MATCH_ENGINE!F205)</f>
        <v/>
      </c>
      <c r="F205" s="10">
        <f>IF(MATCH_ENGINE!A205="","",MATCH_ENGINE!I205)</f>
        <v/>
      </c>
      <c r="G205" s="16">
        <f>IF(MATCH_ENGINE!H205="","",IF(MATCH_ENGINE!F205="IN",MATCH_ENGINE!J205,""))</f>
        <v/>
      </c>
      <c r="H205" s="16">
        <f>IF(MATCH_ENGINE!H205="","",IF(MATCH_ENGINE!F205="OUT",MATCH_ENGINE!J205,""))</f>
        <v/>
      </c>
      <c r="I205" s="16">
        <f>IF(MATCH_ENGINE!H205="","",MATCH_ENGINE!J205)</f>
        <v/>
      </c>
      <c r="J205" s="12">
        <f>IF(MATCH_ENGINE!A205="","",MATCH_ENGINE!K205)</f>
        <v/>
      </c>
      <c r="K205" s="11">
        <f>IF(MATCH_ENGINE!A205="","",MATCH_ENGINE!L205)</f>
        <v/>
      </c>
      <c r="L205" s="17">
        <f>IF(MATCH_ENGINE!A205="","",MATCH_ENGINE!M205)</f>
        <v/>
      </c>
      <c r="M205" s="11">
        <f>IF(MATCH_ENGINE!A205="","",GL_CLEAN!F205)</f>
        <v/>
      </c>
      <c r="N205" s="11">
        <f>IF(MATCH_ENGINE!A205="","",GL_CLEAN!G205)</f>
        <v/>
      </c>
      <c r="O205" s="11">
        <f>IF(MATCH_ENGINE!H205="","",INDEX(BANK_CLEAN!$C$2:$C$1001,MATCH_ENGINE!H205))</f>
        <v/>
      </c>
      <c r="P205" s="11" t="inlineStr"/>
    </row>
    <row r="206">
      <c r="A206" s="11">
        <f>IF(MATCH_ENGINE!A206="","",MATCH_ENGINE!N206)</f>
        <v/>
      </c>
      <c r="B206" s="11">
        <f>IF(MATCH_ENGINE!A206="","",MATCH_ENGINE!C206)</f>
        <v/>
      </c>
      <c r="C206" s="10">
        <f>IF(MATCH_ENGINE!A206="","",MATCH_ENGINE!B206)</f>
        <v/>
      </c>
      <c r="D206" s="16">
        <f>IF(MATCH_ENGINE!A206="","",MATCH_ENGINE!D206)</f>
        <v/>
      </c>
      <c r="E206" s="11">
        <f>IF(MATCH_ENGINE!A206="","",MATCH_ENGINE!F206)</f>
        <v/>
      </c>
      <c r="F206" s="10">
        <f>IF(MATCH_ENGINE!A206="","",MATCH_ENGINE!I206)</f>
        <v/>
      </c>
      <c r="G206" s="16">
        <f>IF(MATCH_ENGINE!H206="","",IF(MATCH_ENGINE!F206="IN",MATCH_ENGINE!J206,""))</f>
        <v/>
      </c>
      <c r="H206" s="16">
        <f>IF(MATCH_ENGINE!H206="","",IF(MATCH_ENGINE!F206="OUT",MATCH_ENGINE!J206,""))</f>
        <v/>
      </c>
      <c r="I206" s="16">
        <f>IF(MATCH_ENGINE!H206="","",MATCH_ENGINE!J206)</f>
        <v/>
      </c>
      <c r="J206" s="12">
        <f>IF(MATCH_ENGINE!A206="","",MATCH_ENGINE!K206)</f>
        <v/>
      </c>
      <c r="K206" s="11">
        <f>IF(MATCH_ENGINE!A206="","",MATCH_ENGINE!L206)</f>
        <v/>
      </c>
      <c r="L206" s="17">
        <f>IF(MATCH_ENGINE!A206="","",MATCH_ENGINE!M206)</f>
        <v/>
      </c>
      <c r="M206" s="11">
        <f>IF(MATCH_ENGINE!A206="","",GL_CLEAN!F206)</f>
        <v/>
      </c>
      <c r="N206" s="11">
        <f>IF(MATCH_ENGINE!A206="","",GL_CLEAN!G206)</f>
        <v/>
      </c>
      <c r="O206" s="11">
        <f>IF(MATCH_ENGINE!H206="","",INDEX(BANK_CLEAN!$C$2:$C$1001,MATCH_ENGINE!H206))</f>
        <v/>
      </c>
      <c r="P206" s="11" t="inlineStr"/>
    </row>
    <row r="207">
      <c r="A207" s="11">
        <f>IF(MATCH_ENGINE!A207="","",MATCH_ENGINE!N207)</f>
        <v/>
      </c>
      <c r="B207" s="11">
        <f>IF(MATCH_ENGINE!A207="","",MATCH_ENGINE!C207)</f>
        <v/>
      </c>
      <c r="C207" s="10">
        <f>IF(MATCH_ENGINE!A207="","",MATCH_ENGINE!B207)</f>
        <v/>
      </c>
      <c r="D207" s="16">
        <f>IF(MATCH_ENGINE!A207="","",MATCH_ENGINE!D207)</f>
        <v/>
      </c>
      <c r="E207" s="11">
        <f>IF(MATCH_ENGINE!A207="","",MATCH_ENGINE!F207)</f>
        <v/>
      </c>
      <c r="F207" s="10">
        <f>IF(MATCH_ENGINE!A207="","",MATCH_ENGINE!I207)</f>
        <v/>
      </c>
      <c r="G207" s="16">
        <f>IF(MATCH_ENGINE!H207="","",IF(MATCH_ENGINE!F207="IN",MATCH_ENGINE!J207,""))</f>
        <v/>
      </c>
      <c r="H207" s="16">
        <f>IF(MATCH_ENGINE!H207="","",IF(MATCH_ENGINE!F207="OUT",MATCH_ENGINE!J207,""))</f>
        <v/>
      </c>
      <c r="I207" s="16">
        <f>IF(MATCH_ENGINE!H207="","",MATCH_ENGINE!J207)</f>
        <v/>
      </c>
      <c r="J207" s="12">
        <f>IF(MATCH_ENGINE!A207="","",MATCH_ENGINE!K207)</f>
        <v/>
      </c>
      <c r="K207" s="11">
        <f>IF(MATCH_ENGINE!A207="","",MATCH_ENGINE!L207)</f>
        <v/>
      </c>
      <c r="L207" s="17">
        <f>IF(MATCH_ENGINE!A207="","",MATCH_ENGINE!M207)</f>
        <v/>
      </c>
      <c r="M207" s="11">
        <f>IF(MATCH_ENGINE!A207="","",GL_CLEAN!F207)</f>
        <v/>
      </c>
      <c r="N207" s="11">
        <f>IF(MATCH_ENGINE!A207="","",GL_CLEAN!G207)</f>
        <v/>
      </c>
      <c r="O207" s="11">
        <f>IF(MATCH_ENGINE!H207="","",INDEX(BANK_CLEAN!$C$2:$C$1001,MATCH_ENGINE!H207))</f>
        <v/>
      </c>
      <c r="P207" s="11" t="inlineStr"/>
    </row>
    <row r="208">
      <c r="A208" s="11">
        <f>IF(MATCH_ENGINE!A208="","",MATCH_ENGINE!N208)</f>
        <v/>
      </c>
      <c r="B208" s="11">
        <f>IF(MATCH_ENGINE!A208="","",MATCH_ENGINE!C208)</f>
        <v/>
      </c>
      <c r="C208" s="10">
        <f>IF(MATCH_ENGINE!A208="","",MATCH_ENGINE!B208)</f>
        <v/>
      </c>
      <c r="D208" s="16">
        <f>IF(MATCH_ENGINE!A208="","",MATCH_ENGINE!D208)</f>
        <v/>
      </c>
      <c r="E208" s="11">
        <f>IF(MATCH_ENGINE!A208="","",MATCH_ENGINE!F208)</f>
        <v/>
      </c>
      <c r="F208" s="10">
        <f>IF(MATCH_ENGINE!A208="","",MATCH_ENGINE!I208)</f>
        <v/>
      </c>
      <c r="G208" s="16">
        <f>IF(MATCH_ENGINE!H208="","",IF(MATCH_ENGINE!F208="IN",MATCH_ENGINE!J208,""))</f>
        <v/>
      </c>
      <c r="H208" s="16">
        <f>IF(MATCH_ENGINE!H208="","",IF(MATCH_ENGINE!F208="OUT",MATCH_ENGINE!J208,""))</f>
        <v/>
      </c>
      <c r="I208" s="16">
        <f>IF(MATCH_ENGINE!H208="","",MATCH_ENGINE!J208)</f>
        <v/>
      </c>
      <c r="J208" s="12">
        <f>IF(MATCH_ENGINE!A208="","",MATCH_ENGINE!K208)</f>
        <v/>
      </c>
      <c r="K208" s="11">
        <f>IF(MATCH_ENGINE!A208="","",MATCH_ENGINE!L208)</f>
        <v/>
      </c>
      <c r="L208" s="17">
        <f>IF(MATCH_ENGINE!A208="","",MATCH_ENGINE!M208)</f>
        <v/>
      </c>
      <c r="M208" s="11">
        <f>IF(MATCH_ENGINE!A208="","",GL_CLEAN!F208)</f>
        <v/>
      </c>
      <c r="N208" s="11">
        <f>IF(MATCH_ENGINE!A208="","",GL_CLEAN!G208)</f>
        <v/>
      </c>
      <c r="O208" s="11">
        <f>IF(MATCH_ENGINE!H208="","",INDEX(BANK_CLEAN!$C$2:$C$1001,MATCH_ENGINE!H208))</f>
        <v/>
      </c>
      <c r="P208" s="11" t="inlineStr"/>
    </row>
    <row r="209">
      <c r="A209" s="11">
        <f>IF(MATCH_ENGINE!A209="","",MATCH_ENGINE!N209)</f>
        <v/>
      </c>
      <c r="B209" s="11">
        <f>IF(MATCH_ENGINE!A209="","",MATCH_ENGINE!C209)</f>
        <v/>
      </c>
      <c r="C209" s="10">
        <f>IF(MATCH_ENGINE!A209="","",MATCH_ENGINE!B209)</f>
        <v/>
      </c>
      <c r="D209" s="16">
        <f>IF(MATCH_ENGINE!A209="","",MATCH_ENGINE!D209)</f>
        <v/>
      </c>
      <c r="E209" s="11">
        <f>IF(MATCH_ENGINE!A209="","",MATCH_ENGINE!F209)</f>
        <v/>
      </c>
      <c r="F209" s="10">
        <f>IF(MATCH_ENGINE!A209="","",MATCH_ENGINE!I209)</f>
        <v/>
      </c>
      <c r="G209" s="16">
        <f>IF(MATCH_ENGINE!H209="","",IF(MATCH_ENGINE!F209="IN",MATCH_ENGINE!J209,""))</f>
        <v/>
      </c>
      <c r="H209" s="16">
        <f>IF(MATCH_ENGINE!H209="","",IF(MATCH_ENGINE!F209="OUT",MATCH_ENGINE!J209,""))</f>
        <v/>
      </c>
      <c r="I209" s="16">
        <f>IF(MATCH_ENGINE!H209="","",MATCH_ENGINE!J209)</f>
        <v/>
      </c>
      <c r="J209" s="12">
        <f>IF(MATCH_ENGINE!A209="","",MATCH_ENGINE!K209)</f>
        <v/>
      </c>
      <c r="K209" s="11">
        <f>IF(MATCH_ENGINE!A209="","",MATCH_ENGINE!L209)</f>
        <v/>
      </c>
      <c r="L209" s="17">
        <f>IF(MATCH_ENGINE!A209="","",MATCH_ENGINE!M209)</f>
        <v/>
      </c>
      <c r="M209" s="11">
        <f>IF(MATCH_ENGINE!A209="","",GL_CLEAN!F209)</f>
        <v/>
      </c>
      <c r="N209" s="11">
        <f>IF(MATCH_ENGINE!A209="","",GL_CLEAN!G209)</f>
        <v/>
      </c>
      <c r="O209" s="11">
        <f>IF(MATCH_ENGINE!H209="","",INDEX(BANK_CLEAN!$C$2:$C$1001,MATCH_ENGINE!H209))</f>
        <v/>
      </c>
      <c r="P209" s="11" t="inlineStr"/>
    </row>
    <row r="210">
      <c r="A210" s="11">
        <f>IF(MATCH_ENGINE!A210="","",MATCH_ENGINE!N210)</f>
        <v/>
      </c>
      <c r="B210" s="11">
        <f>IF(MATCH_ENGINE!A210="","",MATCH_ENGINE!C210)</f>
        <v/>
      </c>
      <c r="C210" s="10">
        <f>IF(MATCH_ENGINE!A210="","",MATCH_ENGINE!B210)</f>
        <v/>
      </c>
      <c r="D210" s="16">
        <f>IF(MATCH_ENGINE!A210="","",MATCH_ENGINE!D210)</f>
        <v/>
      </c>
      <c r="E210" s="11">
        <f>IF(MATCH_ENGINE!A210="","",MATCH_ENGINE!F210)</f>
        <v/>
      </c>
      <c r="F210" s="10">
        <f>IF(MATCH_ENGINE!A210="","",MATCH_ENGINE!I210)</f>
        <v/>
      </c>
      <c r="G210" s="16">
        <f>IF(MATCH_ENGINE!H210="","",IF(MATCH_ENGINE!F210="IN",MATCH_ENGINE!J210,""))</f>
        <v/>
      </c>
      <c r="H210" s="16">
        <f>IF(MATCH_ENGINE!H210="","",IF(MATCH_ENGINE!F210="OUT",MATCH_ENGINE!J210,""))</f>
        <v/>
      </c>
      <c r="I210" s="16">
        <f>IF(MATCH_ENGINE!H210="","",MATCH_ENGINE!J210)</f>
        <v/>
      </c>
      <c r="J210" s="12">
        <f>IF(MATCH_ENGINE!A210="","",MATCH_ENGINE!K210)</f>
        <v/>
      </c>
      <c r="K210" s="11">
        <f>IF(MATCH_ENGINE!A210="","",MATCH_ENGINE!L210)</f>
        <v/>
      </c>
      <c r="L210" s="17">
        <f>IF(MATCH_ENGINE!A210="","",MATCH_ENGINE!M210)</f>
        <v/>
      </c>
      <c r="M210" s="11">
        <f>IF(MATCH_ENGINE!A210="","",GL_CLEAN!F210)</f>
        <v/>
      </c>
      <c r="N210" s="11">
        <f>IF(MATCH_ENGINE!A210="","",GL_CLEAN!G210)</f>
        <v/>
      </c>
      <c r="O210" s="11">
        <f>IF(MATCH_ENGINE!H210="","",INDEX(BANK_CLEAN!$C$2:$C$1001,MATCH_ENGINE!H210))</f>
        <v/>
      </c>
      <c r="P210" s="11" t="inlineStr"/>
    </row>
    <row r="211">
      <c r="A211" s="11">
        <f>IF(MATCH_ENGINE!A211="","",MATCH_ENGINE!N211)</f>
        <v/>
      </c>
      <c r="B211" s="11">
        <f>IF(MATCH_ENGINE!A211="","",MATCH_ENGINE!C211)</f>
        <v/>
      </c>
      <c r="C211" s="10">
        <f>IF(MATCH_ENGINE!A211="","",MATCH_ENGINE!B211)</f>
        <v/>
      </c>
      <c r="D211" s="16">
        <f>IF(MATCH_ENGINE!A211="","",MATCH_ENGINE!D211)</f>
        <v/>
      </c>
      <c r="E211" s="11">
        <f>IF(MATCH_ENGINE!A211="","",MATCH_ENGINE!F211)</f>
        <v/>
      </c>
      <c r="F211" s="10">
        <f>IF(MATCH_ENGINE!A211="","",MATCH_ENGINE!I211)</f>
        <v/>
      </c>
      <c r="G211" s="16">
        <f>IF(MATCH_ENGINE!H211="","",IF(MATCH_ENGINE!F211="IN",MATCH_ENGINE!J211,""))</f>
        <v/>
      </c>
      <c r="H211" s="16">
        <f>IF(MATCH_ENGINE!H211="","",IF(MATCH_ENGINE!F211="OUT",MATCH_ENGINE!J211,""))</f>
        <v/>
      </c>
      <c r="I211" s="16">
        <f>IF(MATCH_ENGINE!H211="","",MATCH_ENGINE!J211)</f>
        <v/>
      </c>
      <c r="J211" s="12">
        <f>IF(MATCH_ENGINE!A211="","",MATCH_ENGINE!K211)</f>
        <v/>
      </c>
      <c r="K211" s="11">
        <f>IF(MATCH_ENGINE!A211="","",MATCH_ENGINE!L211)</f>
        <v/>
      </c>
      <c r="L211" s="17">
        <f>IF(MATCH_ENGINE!A211="","",MATCH_ENGINE!M211)</f>
        <v/>
      </c>
      <c r="M211" s="11">
        <f>IF(MATCH_ENGINE!A211="","",GL_CLEAN!F211)</f>
        <v/>
      </c>
      <c r="N211" s="11">
        <f>IF(MATCH_ENGINE!A211="","",GL_CLEAN!G211)</f>
        <v/>
      </c>
      <c r="O211" s="11">
        <f>IF(MATCH_ENGINE!H211="","",INDEX(BANK_CLEAN!$C$2:$C$1001,MATCH_ENGINE!H211))</f>
        <v/>
      </c>
      <c r="P211" s="11" t="inlineStr"/>
    </row>
    <row r="212">
      <c r="A212" s="11">
        <f>IF(MATCH_ENGINE!A212="","",MATCH_ENGINE!N212)</f>
        <v/>
      </c>
      <c r="B212" s="11">
        <f>IF(MATCH_ENGINE!A212="","",MATCH_ENGINE!C212)</f>
        <v/>
      </c>
      <c r="C212" s="10">
        <f>IF(MATCH_ENGINE!A212="","",MATCH_ENGINE!B212)</f>
        <v/>
      </c>
      <c r="D212" s="16">
        <f>IF(MATCH_ENGINE!A212="","",MATCH_ENGINE!D212)</f>
        <v/>
      </c>
      <c r="E212" s="11">
        <f>IF(MATCH_ENGINE!A212="","",MATCH_ENGINE!F212)</f>
        <v/>
      </c>
      <c r="F212" s="10">
        <f>IF(MATCH_ENGINE!A212="","",MATCH_ENGINE!I212)</f>
        <v/>
      </c>
      <c r="G212" s="16">
        <f>IF(MATCH_ENGINE!H212="","",IF(MATCH_ENGINE!F212="IN",MATCH_ENGINE!J212,""))</f>
        <v/>
      </c>
      <c r="H212" s="16">
        <f>IF(MATCH_ENGINE!H212="","",IF(MATCH_ENGINE!F212="OUT",MATCH_ENGINE!J212,""))</f>
        <v/>
      </c>
      <c r="I212" s="16">
        <f>IF(MATCH_ENGINE!H212="","",MATCH_ENGINE!J212)</f>
        <v/>
      </c>
      <c r="J212" s="12">
        <f>IF(MATCH_ENGINE!A212="","",MATCH_ENGINE!K212)</f>
        <v/>
      </c>
      <c r="K212" s="11">
        <f>IF(MATCH_ENGINE!A212="","",MATCH_ENGINE!L212)</f>
        <v/>
      </c>
      <c r="L212" s="17">
        <f>IF(MATCH_ENGINE!A212="","",MATCH_ENGINE!M212)</f>
        <v/>
      </c>
      <c r="M212" s="11">
        <f>IF(MATCH_ENGINE!A212="","",GL_CLEAN!F212)</f>
        <v/>
      </c>
      <c r="N212" s="11">
        <f>IF(MATCH_ENGINE!A212="","",GL_CLEAN!G212)</f>
        <v/>
      </c>
      <c r="O212" s="11">
        <f>IF(MATCH_ENGINE!H212="","",INDEX(BANK_CLEAN!$C$2:$C$1001,MATCH_ENGINE!H212))</f>
        <v/>
      </c>
      <c r="P212" s="11" t="inlineStr"/>
    </row>
    <row r="213">
      <c r="A213" s="11">
        <f>IF(MATCH_ENGINE!A213="","",MATCH_ENGINE!N213)</f>
        <v/>
      </c>
      <c r="B213" s="11">
        <f>IF(MATCH_ENGINE!A213="","",MATCH_ENGINE!C213)</f>
        <v/>
      </c>
      <c r="C213" s="10">
        <f>IF(MATCH_ENGINE!A213="","",MATCH_ENGINE!B213)</f>
        <v/>
      </c>
      <c r="D213" s="16">
        <f>IF(MATCH_ENGINE!A213="","",MATCH_ENGINE!D213)</f>
        <v/>
      </c>
      <c r="E213" s="11">
        <f>IF(MATCH_ENGINE!A213="","",MATCH_ENGINE!F213)</f>
        <v/>
      </c>
      <c r="F213" s="10">
        <f>IF(MATCH_ENGINE!A213="","",MATCH_ENGINE!I213)</f>
        <v/>
      </c>
      <c r="G213" s="16">
        <f>IF(MATCH_ENGINE!H213="","",IF(MATCH_ENGINE!F213="IN",MATCH_ENGINE!J213,""))</f>
        <v/>
      </c>
      <c r="H213" s="16">
        <f>IF(MATCH_ENGINE!H213="","",IF(MATCH_ENGINE!F213="OUT",MATCH_ENGINE!J213,""))</f>
        <v/>
      </c>
      <c r="I213" s="16">
        <f>IF(MATCH_ENGINE!H213="","",MATCH_ENGINE!J213)</f>
        <v/>
      </c>
      <c r="J213" s="12">
        <f>IF(MATCH_ENGINE!A213="","",MATCH_ENGINE!K213)</f>
        <v/>
      </c>
      <c r="K213" s="11">
        <f>IF(MATCH_ENGINE!A213="","",MATCH_ENGINE!L213)</f>
        <v/>
      </c>
      <c r="L213" s="17">
        <f>IF(MATCH_ENGINE!A213="","",MATCH_ENGINE!M213)</f>
        <v/>
      </c>
      <c r="M213" s="11">
        <f>IF(MATCH_ENGINE!A213="","",GL_CLEAN!F213)</f>
        <v/>
      </c>
      <c r="N213" s="11">
        <f>IF(MATCH_ENGINE!A213="","",GL_CLEAN!G213)</f>
        <v/>
      </c>
      <c r="O213" s="11">
        <f>IF(MATCH_ENGINE!H213="","",INDEX(BANK_CLEAN!$C$2:$C$1001,MATCH_ENGINE!H213))</f>
        <v/>
      </c>
      <c r="P213" s="11" t="inlineStr"/>
    </row>
    <row r="214">
      <c r="A214" s="11">
        <f>IF(MATCH_ENGINE!A214="","",MATCH_ENGINE!N214)</f>
        <v/>
      </c>
      <c r="B214" s="11">
        <f>IF(MATCH_ENGINE!A214="","",MATCH_ENGINE!C214)</f>
        <v/>
      </c>
      <c r="C214" s="10">
        <f>IF(MATCH_ENGINE!A214="","",MATCH_ENGINE!B214)</f>
        <v/>
      </c>
      <c r="D214" s="16">
        <f>IF(MATCH_ENGINE!A214="","",MATCH_ENGINE!D214)</f>
        <v/>
      </c>
      <c r="E214" s="11">
        <f>IF(MATCH_ENGINE!A214="","",MATCH_ENGINE!F214)</f>
        <v/>
      </c>
      <c r="F214" s="10">
        <f>IF(MATCH_ENGINE!A214="","",MATCH_ENGINE!I214)</f>
        <v/>
      </c>
      <c r="G214" s="16">
        <f>IF(MATCH_ENGINE!H214="","",IF(MATCH_ENGINE!F214="IN",MATCH_ENGINE!J214,""))</f>
        <v/>
      </c>
      <c r="H214" s="16">
        <f>IF(MATCH_ENGINE!H214="","",IF(MATCH_ENGINE!F214="OUT",MATCH_ENGINE!J214,""))</f>
        <v/>
      </c>
      <c r="I214" s="16">
        <f>IF(MATCH_ENGINE!H214="","",MATCH_ENGINE!J214)</f>
        <v/>
      </c>
      <c r="J214" s="12">
        <f>IF(MATCH_ENGINE!A214="","",MATCH_ENGINE!K214)</f>
        <v/>
      </c>
      <c r="K214" s="11">
        <f>IF(MATCH_ENGINE!A214="","",MATCH_ENGINE!L214)</f>
        <v/>
      </c>
      <c r="L214" s="17">
        <f>IF(MATCH_ENGINE!A214="","",MATCH_ENGINE!M214)</f>
        <v/>
      </c>
      <c r="M214" s="11">
        <f>IF(MATCH_ENGINE!A214="","",GL_CLEAN!F214)</f>
        <v/>
      </c>
      <c r="N214" s="11">
        <f>IF(MATCH_ENGINE!A214="","",GL_CLEAN!G214)</f>
        <v/>
      </c>
      <c r="O214" s="11">
        <f>IF(MATCH_ENGINE!H214="","",INDEX(BANK_CLEAN!$C$2:$C$1001,MATCH_ENGINE!H214))</f>
        <v/>
      </c>
      <c r="P214" s="11" t="inlineStr"/>
    </row>
    <row r="215">
      <c r="A215" s="11">
        <f>IF(MATCH_ENGINE!A215="","",MATCH_ENGINE!N215)</f>
        <v/>
      </c>
      <c r="B215" s="11">
        <f>IF(MATCH_ENGINE!A215="","",MATCH_ENGINE!C215)</f>
        <v/>
      </c>
      <c r="C215" s="10">
        <f>IF(MATCH_ENGINE!A215="","",MATCH_ENGINE!B215)</f>
        <v/>
      </c>
      <c r="D215" s="16">
        <f>IF(MATCH_ENGINE!A215="","",MATCH_ENGINE!D215)</f>
        <v/>
      </c>
      <c r="E215" s="11">
        <f>IF(MATCH_ENGINE!A215="","",MATCH_ENGINE!F215)</f>
        <v/>
      </c>
      <c r="F215" s="10">
        <f>IF(MATCH_ENGINE!A215="","",MATCH_ENGINE!I215)</f>
        <v/>
      </c>
      <c r="G215" s="16">
        <f>IF(MATCH_ENGINE!H215="","",IF(MATCH_ENGINE!F215="IN",MATCH_ENGINE!J215,""))</f>
        <v/>
      </c>
      <c r="H215" s="16">
        <f>IF(MATCH_ENGINE!H215="","",IF(MATCH_ENGINE!F215="OUT",MATCH_ENGINE!J215,""))</f>
        <v/>
      </c>
      <c r="I215" s="16">
        <f>IF(MATCH_ENGINE!H215="","",MATCH_ENGINE!J215)</f>
        <v/>
      </c>
      <c r="J215" s="12">
        <f>IF(MATCH_ENGINE!A215="","",MATCH_ENGINE!K215)</f>
        <v/>
      </c>
      <c r="K215" s="11">
        <f>IF(MATCH_ENGINE!A215="","",MATCH_ENGINE!L215)</f>
        <v/>
      </c>
      <c r="L215" s="17">
        <f>IF(MATCH_ENGINE!A215="","",MATCH_ENGINE!M215)</f>
        <v/>
      </c>
      <c r="M215" s="11">
        <f>IF(MATCH_ENGINE!A215="","",GL_CLEAN!F215)</f>
        <v/>
      </c>
      <c r="N215" s="11">
        <f>IF(MATCH_ENGINE!A215="","",GL_CLEAN!G215)</f>
        <v/>
      </c>
      <c r="O215" s="11">
        <f>IF(MATCH_ENGINE!H215="","",INDEX(BANK_CLEAN!$C$2:$C$1001,MATCH_ENGINE!H215))</f>
        <v/>
      </c>
      <c r="P215" s="11" t="inlineStr"/>
    </row>
    <row r="216">
      <c r="A216" s="11">
        <f>IF(MATCH_ENGINE!A216="","",MATCH_ENGINE!N216)</f>
        <v/>
      </c>
      <c r="B216" s="11">
        <f>IF(MATCH_ENGINE!A216="","",MATCH_ENGINE!C216)</f>
        <v/>
      </c>
      <c r="C216" s="10">
        <f>IF(MATCH_ENGINE!A216="","",MATCH_ENGINE!B216)</f>
        <v/>
      </c>
      <c r="D216" s="16">
        <f>IF(MATCH_ENGINE!A216="","",MATCH_ENGINE!D216)</f>
        <v/>
      </c>
      <c r="E216" s="11">
        <f>IF(MATCH_ENGINE!A216="","",MATCH_ENGINE!F216)</f>
        <v/>
      </c>
      <c r="F216" s="10">
        <f>IF(MATCH_ENGINE!A216="","",MATCH_ENGINE!I216)</f>
        <v/>
      </c>
      <c r="G216" s="16">
        <f>IF(MATCH_ENGINE!H216="","",IF(MATCH_ENGINE!F216="IN",MATCH_ENGINE!J216,""))</f>
        <v/>
      </c>
      <c r="H216" s="16">
        <f>IF(MATCH_ENGINE!H216="","",IF(MATCH_ENGINE!F216="OUT",MATCH_ENGINE!J216,""))</f>
        <v/>
      </c>
      <c r="I216" s="16">
        <f>IF(MATCH_ENGINE!H216="","",MATCH_ENGINE!J216)</f>
        <v/>
      </c>
      <c r="J216" s="12">
        <f>IF(MATCH_ENGINE!A216="","",MATCH_ENGINE!K216)</f>
        <v/>
      </c>
      <c r="K216" s="11">
        <f>IF(MATCH_ENGINE!A216="","",MATCH_ENGINE!L216)</f>
        <v/>
      </c>
      <c r="L216" s="17">
        <f>IF(MATCH_ENGINE!A216="","",MATCH_ENGINE!M216)</f>
        <v/>
      </c>
      <c r="M216" s="11">
        <f>IF(MATCH_ENGINE!A216="","",GL_CLEAN!F216)</f>
        <v/>
      </c>
      <c r="N216" s="11">
        <f>IF(MATCH_ENGINE!A216="","",GL_CLEAN!G216)</f>
        <v/>
      </c>
      <c r="O216" s="11">
        <f>IF(MATCH_ENGINE!H216="","",INDEX(BANK_CLEAN!$C$2:$C$1001,MATCH_ENGINE!H216))</f>
        <v/>
      </c>
      <c r="P216" s="11" t="inlineStr"/>
    </row>
    <row r="217">
      <c r="A217" s="11">
        <f>IF(MATCH_ENGINE!A217="","",MATCH_ENGINE!N217)</f>
        <v/>
      </c>
      <c r="B217" s="11">
        <f>IF(MATCH_ENGINE!A217="","",MATCH_ENGINE!C217)</f>
        <v/>
      </c>
      <c r="C217" s="10">
        <f>IF(MATCH_ENGINE!A217="","",MATCH_ENGINE!B217)</f>
        <v/>
      </c>
      <c r="D217" s="16">
        <f>IF(MATCH_ENGINE!A217="","",MATCH_ENGINE!D217)</f>
        <v/>
      </c>
      <c r="E217" s="11">
        <f>IF(MATCH_ENGINE!A217="","",MATCH_ENGINE!F217)</f>
        <v/>
      </c>
      <c r="F217" s="10">
        <f>IF(MATCH_ENGINE!A217="","",MATCH_ENGINE!I217)</f>
        <v/>
      </c>
      <c r="G217" s="16">
        <f>IF(MATCH_ENGINE!H217="","",IF(MATCH_ENGINE!F217="IN",MATCH_ENGINE!J217,""))</f>
        <v/>
      </c>
      <c r="H217" s="16">
        <f>IF(MATCH_ENGINE!H217="","",IF(MATCH_ENGINE!F217="OUT",MATCH_ENGINE!J217,""))</f>
        <v/>
      </c>
      <c r="I217" s="16">
        <f>IF(MATCH_ENGINE!H217="","",MATCH_ENGINE!J217)</f>
        <v/>
      </c>
      <c r="J217" s="12">
        <f>IF(MATCH_ENGINE!A217="","",MATCH_ENGINE!K217)</f>
        <v/>
      </c>
      <c r="K217" s="11">
        <f>IF(MATCH_ENGINE!A217="","",MATCH_ENGINE!L217)</f>
        <v/>
      </c>
      <c r="L217" s="17">
        <f>IF(MATCH_ENGINE!A217="","",MATCH_ENGINE!M217)</f>
        <v/>
      </c>
      <c r="M217" s="11">
        <f>IF(MATCH_ENGINE!A217="","",GL_CLEAN!F217)</f>
        <v/>
      </c>
      <c r="N217" s="11">
        <f>IF(MATCH_ENGINE!A217="","",GL_CLEAN!G217)</f>
        <v/>
      </c>
      <c r="O217" s="11">
        <f>IF(MATCH_ENGINE!H217="","",INDEX(BANK_CLEAN!$C$2:$C$1001,MATCH_ENGINE!H217))</f>
        <v/>
      </c>
      <c r="P217" s="11" t="inlineStr"/>
    </row>
    <row r="218">
      <c r="A218" s="11">
        <f>IF(MATCH_ENGINE!A218="","",MATCH_ENGINE!N218)</f>
        <v/>
      </c>
      <c r="B218" s="11">
        <f>IF(MATCH_ENGINE!A218="","",MATCH_ENGINE!C218)</f>
        <v/>
      </c>
      <c r="C218" s="10">
        <f>IF(MATCH_ENGINE!A218="","",MATCH_ENGINE!B218)</f>
        <v/>
      </c>
      <c r="D218" s="16">
        <f>IF(MATCH_ENGINE!A218="","",MATCH_ENGINE!D218)</f>
        <v/>
      </c>
      <c r="E218" s="11">
        <f>IF(MATCH_ENGINE!A218="","",MATCH_ENGINE!F218)</f>
        <v/>
      </c>
      <c r="F218" s="10">
        <f>IF(MATCH_ENGINE!A218="","",MATCH_ENGINE!I218)</f>
        <v/>
      </c>
      <c r="G218" s="16">
        <f>IF(MATCH_ENGINE!H218="","",IF(MATCH_ENGINE!F218="IN",MATCH_ENGINE!J218,""))</f>
        <v/>
      </c>
      <c r="H218" s="16">
        <f>IF(MATCH_ENGINE!H218="","",IF(MATCH_ENGINE!F218="OUT",MATCH_ENGINE!J218,""))</f>
        <v/>
      </c>
      <c r="I218" s="16">
        <f>IF(MATCH_ENGINE!H218="","",MATCH_ENGINE!J218)</f>
        <v/>
      </c>
      <c r="J218" s="12">
        <f>IF(MATCH_ENGINE!A218="","",MATCH_ENGINE!K218)</f>
        <v/>
      </c>
      <c r="K218" s="11">
        <f>IF(MATCH_ENGINE!A218="","",MATCH_ENGINE!L218)</f>
        <v/>
      </c>
      <c r="L218" s="17">
        <f>IF(MATCH_ENGINE!A218="","",MATCH_ENGINE!M218)</f>
        <v/>
      </c>
      <c r="M218" s="11">
        <f>IF(MATCH_ENGINE!A218="","",GL_CLEAN!F218)</f>
        <v/>
      </c>
      <c r="N218" s="11">
        <f>IF(MATCH_ENGINE!A218="","",GL_CLEAN!G218)</f>
        <v/>
      </c>
      <c r="O218" s="11">
        <f>IF(MATCH_ENGINE!H218="","",INDEX(BANK_CLEAN!$C$2:$C$1001,MATCH_ENGINE!H218))</f>
        <v/>
      </c>
      <c r="P218" s="11" t="inlineStr"/>
    </row>
    <row r="219">
      <c r="A219" s="11">
        <f>IF(MATCH_ENGINE!A219="","",MATCH_ENGINE!N219)</f>
        <v/>
      </c>
      <c r="B219" s="11">
        <f>IF(MATCH_ENGINE!A219="","",MATCH_ENGINE!C219)</f>
        <v/>
      </c>
      <c r="C219" s="10">
        <f>IF(MATCH_ENGINE!A219="","",MATCH_ENGINE!B219)</f>
        <v/>
      </c>
      <c r="D219" s="16">
        <f>IF(MATCH_ENGINE!A219="","",MATCH_ENGINE!D219)</f>
        <v/>
      </c>
      <c r="E219" s="11">
        <f>IF(MATCH_ENGINE!A219="","",MATCH_ENGINE!F219)</f>
        <v/>
      </c>
      <c r="F219" s="10">
        <f>IF(MATCH_ENGINE!A219="","",MATCH_ENGINE!I219)</f>
        <v/>
      </c>
      <c r="G219" s="16">
        <f>IF(MATCH_ENGINE!H219="","",IF(MATCH_ENGINE!F219="IN",MATCH_ENGINE!J219,""))</f>
        <v/>
      </c>
      <c r="H219" s="16">
        <f>IF(MATCH_ENGINE!H219="","",IF(MATCH_ENGINE!F219="OUT",MATCH_ENGINE!J219,""))</f>
        <v/>
      </c>
      <c r="I219" s="16">
        <f>IF(MATCH_ENGINE!H219="","",MATCH_ENGINE!J219)</f>
        <v/>
      </c>
      <c r="J219" s="12">
        <f>IF(MATCH_ENGINE!A219="","",MATCH_ENGINE!K219)</f>
        <v/>
      </c>
      <c r="K219" s="11">
        <f>IF(MATCH_ENGINE!A219="","",MATCH_ENGINE!L219)</f>
        <v/>
      </c>
      <c r="L219" s="17">
        <f>IF(MATCH_ENGINE!A219="","",MATCH_ENGINE!M219)</f>
        <v/>
      </c>
      <c r="M219" s="11">
        <f>IF(MATCH_ENGINE!A219="","",GL_CLEAN!F219)</f>
        <v/>
      </c>
      <c r="N219" s="11">
        <f>IF(MATCH_ENGINE!A219="","",GL_CLEAN!G219)</f>
        <v/>
      </c>
      <c r="O219" s="11">
        <f>IF(MATCH_ENGINE!H219="","",INDEX(BANK_CLEAN!$C$2:$C$1001,MATCH_ENGINE!H219))</f>
        <v/>
      </c>
      <c r="P219" s="11" t="inlineStr"/>
    </row>
    <row r="220">
      <c r="A220" s="11">
        <f>IF(MATCH_ENGINE!A220="","",MATCH_ENGINE!N220)</f>
        <v/>
      </c>
      <c r="B220" s="11">
        <f>IF(MATCH_ENGINE!A220="","",MATCH_ENGINE!C220)</f>
        <v/>
      </c>
      <c r="C220" s="10">
        <f>IF(MATCH_ENGINE!A220="","",MATCH_ENGINE!B220)</f>
        <v/>
      </c>
      <c r="D220" s="16">
        <f>IF(MATCH_ENGINE!A220="","",MATCH_ENGINE!D220)</f>
        <v/>
      </c>
      <c r="E220" s="11">
        <f>IF(MATCH_ENGINE!A220="","",MATCH_ENGINE!F220)</f>
        <v/>
      </c>
      <c r="F220" s="10">
        <f>IF(MATCH_ENGINE!A220="","",MATCH_ENGINE!I220)</f>
        <v/>
      </c>
      <c r="G220" s="16">
        <f>IF(MATCH_ENGINE!H220="","",IF(MATCH_ENGINE!F220="IN",MATCH_ENGINE!J220,""))</f>
        <v/>
      </c>
      <c r="H220" s="16">
        <f>IF(MATCH_ENGINE!H220="","",IF(MATCH_ENGINE!F220="OUT",MATCH_ENGINE!J220,""))</f>
        <v/>
      </c>
      <c r="I220" s="16">
        <f>IF(MATCH_ENGINE!H220="","",MATCH_ENGINE!J220)</f>
        <v/>
      </c>
      <c r="J220" s="12">
        <f>IF(MATCH_ENGINE!A220="","",MATCH_ENGINE!K220)</f>
        <v/>
      </c>
      <c r="K220" s="11">
        <f>IF(MATCH_ENGINE!A220="","",MATCH_ENGINE!L220)</f>
        <v/>
      </c>
      <c r="L220" s="17">
        <f>IF(MATCH_ENGINE!A220="","",MATCH_ENGINE!M220)</f>
        <v/>
      </c>
      <c r="M220" s="11">
        <f>IF(MATCH_ENGINE!A220="","",GL_CLEAN!F220)</f>
        <v/>
      </c>
      <c r="N220" s="11">
        <f>IF(MATCH_ENGINE!A220="","",GL_CLEAN!G220)</f>
        <v/>
      </c>
      <c r="O220" s="11">
        <f>IF(MATCH_ENGINE!H220="","",INDEX(BANK_CLEAN!$C$2:$C$1001,MATCH_ENGINE!H220))</f>
        <v/>
      </c>
      <c r="P220" s="11" t="inlineStr"/>
    </row>
    <row r="221">
      <c r="A221" s="11">
        <f>IF(MATCH_ENGINE!A221="","",MATCH_ENGINE!N221)</f>
        <v/>
      </c>
      <c r="B221" s="11">
        <f>IF(MATCH_ENGINE!A221="","",MATCH_ENGINE!C221)</f>
        <v/>
      </c>
      <c r="C221" s="10">
        <f>IF(MATCH_ENGINE!A221="","",MATCH_ENGINE!B221)</f>
        <v/>
      </c>
      <c r="D221" s="16">
        <f>IF(MATCH_ENGINE!A221="","",MATCH_ENGINE!D221)</f>
        <v/>
      </c>
      <c r="E221" s="11">
        <f>IF(MATCH_ENGINE!A221="","",MATCH_ENGINE!F221)</f>
        <v/>
      </c>
      <c r="F221" s="10">
        <f>IF(MATCH_ENGINE!A221="","",MATCH_ENGINE!I221)</f>
        <v/>
      </c>
      <c r="G221" s="16">
        <f>IF(MATCH_ENGINE!H221="","",IF(MATCH_ENGINE!F221="IN",MATCH_ENGINE!J221,""))</f>
        <v/>
      </c>
      <c r="H221" s="16">
        <f>IF(MATCH_ENGINE!H221="","",IF(MATCH_ENGINE!F221="OUT",MATCH_ENGINE!J221,""))</f>
        <v/>
      </c>
      <c r="I221" s="16">
        <f>IF(MATCH_ENGINE!H221="","",MATCH_ENGINE!J221)</f>
        <v/>
      </c>
      <c r="J221" s="12">
        <f>IF(MATCH_ENGINE!A221="","",MATCH_ENGINE!K221)</f>
        <v/>
      </c>
      <c r="K221" s="11">
        <f>IF(MATCH_ENGINE!A221="","",MATCH_ENGINE!L221)</f>
        <v/>
      </c>
      <c r="L221" s="17">
        <f>IF(MATCH_ENGINE!A221="","",MATCH_ENGINE!M221)</f>
        <v/>
      </c>
      <c r="M221" s="11">
        <f>IF(MATCH_ENGINE!A221="","",GL_CLEAN!F221)</f>
        <v/>
      </c>
      <c r="N221" s="11">
        <f>IF(MATCH_ENGINE!A221="","",GL_CLEAN!G221)</f>
        <v/>
      </c>
      <c r="O221" s="11">
        <f>IF(MATCH_ENGINE!H221="","",INDEX(BANK_CLEAN!$C$2:$C$1001,MATCH_ENGINE!H221))</f>
        <v/>
      </c>
      <c r="P221" s="11" t="inlineStr"/>
    </row>
    <row r="222">
      <c r="A222" s="11">
        <f>IF(MATCH_ENGINE!A222="","",MATCH_ENGINE!N222)</f>
        <v/>
      </c>
      <c r="B222" s="11">
        <f>IF(MATCH_ENGINE!A222="","",MATCH_ENGINE!C222)</f>
        <v/>
      </c>
      <c r="C222" s="10">
        <f>IF(MATCH_ENGINE!A222="","",MATCH_ENGINE!B222)</f>
        <v/>
      </c>
      <c r="D222" s="16">
        <f>IF(MATCH_ENGINE!A222="","",MATCH_ENGINE!D222)</f>
        <v/>
      </c>
      <c r="E222" s="11">
        <f>IF(MATCH_ENGINE!A222="","",MATCH_ENGINE!F222)</f>
        <v/>
      </c>
      <c r="F222" s="10">
        <f>IF(MATCH_ENGINE!A222="","",MATCH_ENGINE!I222)</f>
        <v/>
      </c>
      <c r="G222" s="16">
        <f>IF(MATCH_ENGINE!H222="","",IF(MATCH_ENGINE!F222="IN",MATCH_ENGINE!J222,""))</f>
        <v/>
      </c>
      <c r="H222" s="16">
        <f>IF(MATCH_ENGINE!H222="","",IF(MATCH_ENGINE!F222="OUT",MATCH_ENGINE!J222,""))</f>
        <v/>
      </c>
      <c r="I222" s="16">
        <f>IF(MATCH_ENGINE!H222="","",MATCH_ENGINE!J222)</f>
        <v/>
      </c>
      <c r="J222" s="12">
        <f>IF(MATCH_ENGINE!A222="","",MATCH_ENGINE!K222)</f>
        <v/>
      </c>
      <c r="K222" s="11">
        <f>IF(MATCH_ENGINE!A222="","",MATCH_ENGINE!L222)</f>
        <v/>
      </c>
      <c r="L222" s="17">
        <f>IF(MATCH_ENGINE!A222="","",MATCH_ENGINE!M222)</f>
        <v/>
      </c>
      <c r="M222" s="11">
        <f>IF(MATCH_ENGINE!A222="","",GL_CLEAN!F222)</f>
        <v/>
      </c>
      <c r="N222" s="11">
        <f>IF(MATCH_ENGINE!A222="","",GL_CLEAN!G222)</f>
        <v/>
      </c>
      <c r="O222" s="11">
        <f>IF(MATCH_ENGINE!H222="","",INDEX(BANK_CLEAN!$C$2:$C$1001,MATCH_ENGINE!H222))</f>
        <v/>
      </c>
      <c r="P222" s="11" t="inlineStr"/>
    </row>
    <row r="223">
      <c r="A223" s="11">
        <f>IF(MATCH_ENGINE!A223="","",MATCH_ENGINE!N223)</f>
        <v/>
      </c>
      <c r="B223" s="11">
        <f>IF(MATCH_ENGINE!A223="","",MATCH_ENGINE!C223)</f>
        <v/>
      </c>
      <c r="C223" s="10">
        <f>IF(MATCH_ENGINE!A223="","",MATCH_ENGINE!B223)</f>
        <v/>
      </c>
      <c r="D223" s="16">
        <f>IF(MATCH_ENGINE!A223="","",MATCH_ENGINE!D223)</f>
        <v/>
      </c>
      <c r="E223" s="11">
        <f>IF(MATCH_ENGINE!A223="","",MATCH_ENGINE!F223)</f>
        <v/>
      </c>
      <c r="F223" s="10">
        <f>IF(MATCH_ENGINE!A223="","",MATCH_ENGINE!I223)</f>
        <v/>
      </c>
      <c r="G223" s="16">
        <f>IF(MATCH_ENGINE!H223="","",IF(MATCH_ENGINE!F223="IN",MATCH_ENGINE!J223,""))</f>
        <v/>
      </c>
      <c r="H223" s="16">
        <f>IF(MATCH_ENGINE!H223="","",IF(MATCH_ENGINE!F223="OUT",MATCH_ENGINE!J223,""))</f>
        <v/>
      </c>
      <c r="I223" s="16">
        <f>IF(MATCH_ENGINE!H223="","",MATCH_ENGINE!J223)</f>
        <v/>
      </c>
      <c r="J223" s="12">
        <f>IF(MATCH_ENGINE!A223="","",MATCH_ENGINE!K223)</f>
        <v/>
      </c>
      <c r="K223" s="11">
        <f>IF(MATCH_ENGINE!A223="","",MATCH_ENGINE!L223)</f>
        <v/>
      </c>
      <c r="L223" s="17">
        <f>IF(MATCH_ENGINE!A223="","",MATCH_ENGINE!M223)</f>
        <v/>
      </c>
      <c r="M223" s="11">
        <f>IF(MATCH_ENGINE!A223="","",GL_CLEAN!F223)</f>
        <v/>
      </c>
      <c r="N223" s="11">
        <f>IF(MATCH_ENGINE!A223="","",GL_CLEAN!G223)</f>
        <v/>
      </c>
      <c r="O223" s="11">
        <f>IF(MATCH_ENGINE!H223="","",INDEX(BANK_CLEAN!$C$2:$C$1001,MATCH_ENGINE!H223))</f>
        <v/>
      </c>
      <c r="P223" s="11" t="inlineStr"/>
    </row>
    <row r="224">
      <c r="A224" s="11">
        <f>IF(MATCH_ENGINE!A224="","",MATCH_ENGINE!N224)</f>
        <v/>
      </c>
      <c r="B224" s="11">
        <f>IF(MATCH_ENGINE!A224="","",MATCH_ENGINE!C224)</f>
        <v/>
      </c>
      <c r="C224" s="10">
        <f>IF(MATCH_ENGINE!A224="","",MATCH_ENGINE!B224)</f>
        <v/>
      </c>
      <c r="D224" s="16">
        <f>IF(MATCH_ENGINE!A224="","",MATCH_ENGINE!D224)</f>
        <v/>
      </c>
      <c r="E224" s="11">
        <f>IF(MATCH_ENGINE!A224="","",MATCH_ENGINE!F224)</f>
        <v/>
      </c>
      <c r="F224" s="10">
        <f>IF(MATCH_ENGINE!A224="","",MATCH_ENGINE!I224)</f>
        <v/>
      </c>
      <c r="G224" s="16">
        <f>IF(MATCH_ENGINE!H224="","",IF(MATCH_ENGINE!F224="IN",MATCH_ENGINE!J224,""))</f>
        <v/>
      </c>
      <c r="H224" s="16">
        <f>IF(MATCH_ENGINE!H224="","",IF(MATCH_ENGINE!F224="OUT",MATCH_ENGINE!J224,""))</f>
        <v/>
      </c>
      <c r="I224" s="16">
        <f>IF(MATCH_ENGINE!H224="","",MATCH_ENGINE!J224)</f>
        <v/>
      </c>
      <c r="J224" s="12">
        <f>IF(MATCH_ENGINE!A224="","",MATCH_ENGINE!K224)</f>
        <v/>
      </c>
      <c r="K224" s="11">
        <f>IF(MATCH_ENGINE!A224="","",MATCH_ENGINE!L224)</f>
        <v/>
      </c>
      <c r="L224" s="17">
        <f>IF(MATCH_ENGINE!A224="","",MATCH_ENGINE!M224)</f>
        <v/>
      </c>
      <c r="M224" s="11">
        <f>IF(MATCH_ENGINE!A224="","",GL_CLEAN!F224)</f>
        <v/>
      </c>
      <c r="N224" s="11">
        <f>IF(MATCH_ENGINE!A224="","",GL_CLEAN!G224)</f>
        <v/>
      </c>
      <c r="O224" s="11">
        <f>IF(MATCH_ENGINE!H224="","",INDEX(BANK_CLEAN!$C$2:$C$1001,MATCH_ENGINE!H224))</f>
        <v/>
      </c>
      <c r="P224" s="11" t="inlineStr"/>
    </row>
    <row r="225">
      <c r="A225" s="11">
        <f>IF(MATCH_ENGINE!A225="","",MATCH_ENGINE!N225)</f>
        <v/>
      </c>
      <c r="B225" s="11">
        <f>IF(MATCH_ENGINE!A225="","",MATCH_ENGINE!C225)</f>
        <v/>
      </c>
      <c r="C225" s="10">
        <f>IF(MATCH_ENGINE!A225="","",MATCH_ENGINE!B225)</f>
        <v/>
      </c>
      <c r="D225" s="16">
        <f>IF(MATCH_ENGINE!A225="","",MATCH_ENGINE!D225)</f>
        <v/>
      </c>
      <c r="E225" s="11">
        <f>IF(MATCH_ENGINE!A225="","",MATCH_ENGINE!F225)</f>
        <v/>
      </c>
      <c r="F225" s="10">
        <f>IF(MATCH_ENGINE!A225="","",MATCH_ENGINE!I225)</f>
        <v/>
      </c>
      <c r="G225" s="16">
        <f>IF(MATCH_ENGINE!H225="","",IF(MATCH_ENGINE!F225="IN",MATCH_ENGINE!J225,""))</f>
        <v/>
      </c>
      <c r="H225" s="16">
        <f>IF(MATCH_ENGINE!H225="","",IF(MATCH_ENGINE!F225="OUT",MATCH_ENGINE!J225,""))</f>
        <v/>
      </c>
      <c r="I225" s="16">
        <f>IF(MATCH_ENGINE!H225="","",MATCH_ENGINE!J225)</f>
        <v/>
      </c>
      <c r="J225" s="12">
        <f>IF(MATCH_ENGINE!A225="","",MATCH_ENGINE!K225)</f>
        <v/>
      </c>
      <c r="K225" s="11">
        <f>IF(MATCH_ENGINE!A225="","",MATCH_ENGINE!L225)</f>
        <v/>
      </c>
      <c r="L225" s="17">
        <f>IF(MATCH_ENGINE!A225="","",MATCH_ENGINE!M225)</f>
        <v/>
      </c>
      <c r="M225" s="11">
        <f>IF(MATCH_ENGINE!A225="","",GL_CLEAN!F225)</f>
        <v/>
      </c>
      <c r="N225" s="11">
        <f>IF(MATCH_ENGINE!A225="","",GL_CLEAN!G225)</f>
        <v/>
      </c>
      <c r="O225" s="11">
        <f>IF(MATCH_ENGINE!H225="","",INDEX(BANK_CLEAN!$C$2:$C$1001,MATCH_ENGINE!H225))</f>
        <v/>
      </c>
      <c r="P225" s="11" t="inlineStr"/>
    </row>
    <row r="226">
      <c r="A226" s="11">
        <f>IF(MATCH_ENGINE!A226="","",MATCH_ENGINE!N226)</f>
        <v/>
      </c>
      <c r="B226" s="11">
        <f>IF(MATCH_ENGINE!A226="","",MATCH_ENGINE!C226)</f>
        <v/>
      </c>
      <c r="C226" s="10">
        <f>IF(MATCH_ENGINE!A226="","",MATCH_ENGINE!B226)</f>
        <v/>
      </c>
      <c r="D226" s="16">
        <f>IF(MATCH_ENGINE!A226="","",MATCH_ENGINE!D226)</f>
        <v/>
      </c>
      <c r="E226" s="11">
        <f>IF(MATCH_ENGINE!A226="","",MATCH_ENGINE!F226)</f>
        <v/>
      </c>
      <c r="F226" s="10">
        <f>IF(MATCH_ENGINE!A226="","",MATCH_ENGINE!I226)</f>
        <v/>
      </c>
      <c r="G226" s="16">
        <f>IF(MATCH_ENGINE!H226="","",IF(MATCH_ENGINE!F226="IN",MATCH_ENGINE!J226,""))</f>
        <v/>
      </c>
      <c r="H226" s="16">
        <f>IF(MATCH_ENGINE!H226="","",IF(MATCH_ENGINE!F226="OUT",MATCH_ENGINE!J226,""))</f>
        <v/>
      </c>
      <c r="I226" s="16">
        <f>IF(MATCH_ENGINE!H226="","",MATCH_ENGINE!J226)</f>
        <v/>
      </c>
      <c r="J226" s="12">
        <f>IF(MATCH_ENGINE!A226="","",MATCH_ENGINE!K226)</f>
        <v/>
      </c>
      <c r="K226" s="11">
        <f>IF(MATCH_ENGINE!A226="","",MATCH_ENGINE!L226)</f>
        <v/>
      </c>
      <c r="L226" s="17">
        <f>IF(MATCH_ENGINE!A226="","",MATCH_ENGINE!M226)</f>
        <v/>
      </c>
      <c r="M226" s="11">
        <f>IF(MATCH_ENGINE!A226="","",GL_CLEAN!F226)</f>
        <v/>
      </c>
      <c r="N226" s="11">
        <f>IF(MATCH_ENGINE!A226="","",GL_CLEAN!G226)</f>
        <v/>
      </c>
      <c r="O226" s="11">
        <f>IF(MATCH_ENGINE!H226="","",INDEX(BANK_CLEAN!$C$2:$C$1001,MATCH_ENGINE!H226))</f>
        <v/>
      </c>
      <c r="P226" s="11" t="inlineStr"/>
    </row>
    <row r="227">
      <c r="A227" s="11">
        <f>IF(MATCH_ENGINE!A227="","",MATCH_ENGINE!N227)</f>
        <v/>
      </c>
      <c r="B227" s="11">
        <f>IF(MATCH_ENGINE!A227="","",MATCH_ENGINE!C227)</f>
        <v/>
      </c>
      <c r="C227" s="10">
        <f>IF(MATCH_ENGINE!A227="","",MATCH_ENGINE!B227)</f>
        <v/>
      </c>
      <c r="D227" s="16">
        <f>IF(MATCH_ENGINE!A227="","",MATCH_ENGINE!D227)</f>
        <v/>
      </c>
      <c r="E227" s="11">
        <f>IF(MATCH_ENGINE!A227="","",MATCH_ENGINE!F227)</f>
        <v/>
      </c>
      <c r="F227" s="10">
        <f>IF(MATCH_ENGINE!A227="","",MATCH_ENGINE!I227)</f>
        <v/>
      </c>
      <c r="G227" s="16">
        <f>IF(MATCH_ENGINE!H227="","",IF(MATCH_ENGINE!F227="IN",MATCH_ENGINE!J227,""))</f>
        <v/>
      </c>
      <c r="H227" s="16">
        <f>IF(MATCH_ENGINE!H227="","",IF(MATCH_ENGINE!F227="OUT",MATCH_ENGINE!J227,""))</f>
        <v/>
      </c>
      <c r="I227" s="16">
        <f>IF(MATCH_ENGINE!H227="","",MATCH_ENGINE!J227)</f>
        <v/>
      </c>
      <c r="J227" s="12">
        <f>IF(MATCH_ENGINE!A227="","",MATCH_ENGINE!K227)</f>
        <v/>
      </c>
      <c r="K227" s="11">
        <f>IF(MATCH_ENGINE!A227="","",MATCH_ENGINE!L227)</f>
        <v/>
      </c>
      <c r="L227" s="17">
        <f>IF(MATCH_ENGINE!A227="","",MATCH_ENGINE!M227)</f>
        <v/>
      </c>
      <c r="M227" s="11">
        <f>IF(MATCH_ENGINE!A227="","",GL_CLEAN!F227)</f>
        <v/>
      </c>
      <c r="N227" s="11">
        <f>IF(MATCH_ENGINE!A227="","",GL_CLEAN!G227)</f>
        <v/>
      </c>
      <c r="O227" s="11">
        <f>IF(MATCH_ENGINE!H227="","",INDEX(BANK_CLEAN!$C$2:$C$1001,MATCH_ENGINE!H227))</f>
        <v/>
      </c>
      <c r="P227" s="11" t="inlineStr"/>
    </row>
    <row r="228">
      <c r="A228" s="11">
        <f>IF(MATCH_ENGINE!A228="","",MATCH_ENGINE!N228)</f>
        <v/>
      </c>
      <c r="B228" s="11">
        <f>IF(MATCH_ENGINE!A228="","",MATCH_ENGINE!C228)</f>
        <v/>
      </c>
      <c r="C228" s="10">
        <f>IF(MATCH_ENGINE!A228="","",MATCH_ENGINE!B228)</f>
        <v/>
      </c>
      <c r="D228" s="16">
        <f>IF(MATCH_ENGINE!A228="","",MATCH_ENGINE!D228)</f>
        <v/>
      </c>
      <c r="E228" s="11">
        <f>IF(MATCH_ENGINE!A228="","",MATCH_ENGINE!F228)</f>
        <v/>
      </c>
      <c r="F228" s="10">
        <f>IF(MATCH_ENGINE!A228="","",MATCH_ENGINE!I228)</f>
        <v/>
      </c>
      <c r="G228" s="16">
        <f>IF(MATCH_ENGINE!H228="","",IF(MATCH_ENGINE!F228="IN",MATCH_ENGINE!J228,""))</f>
        <v/>
      </c>
      <c r="H228" s="16">
        <f>IF(MATCH_ENGINE!H228="","",IF(MATCH_ENGINE!F228="OUT",MATCH_ENGINE!J228,""))</f>
        <v/>
      </c>
      <c r="I228" s="16">
        <f>IF(MATCH_ENGINE!H228="","",MATCH_ENGINE!J228)</f>
        <v/>
      </c>
      <c r="J228" s="12">
        <f>IF(MATCH_ENGINE!A228="","",MATCH_ENGINE!K228)</f>
        <v/>
      </c>
      <c r="K228" s="11">
        <f>IF(MATCH_ENGINE!A228="","",MATCH_ENGINE!L228)</f>
        <v/>
      </c>
      <c r="L228" s="17">
        <f>IF(MATCH_ENGINE!A228="","",MATCH_ENGINE!M228)</f>
        <v/>
      </c>
      <c r="M228" s="11">
        <f>IF(MATCH_ENGINE!A228="","",GL_CLEAN!F228)</f>
        <v/>
      </c>
      <c r="N228" s="11">
        <f>IF(MATCH_ENGINE!A228="","",GL_CLEAN!G228)</f>
        <v/>
      </c>
      <c r="O228" s="11">
        <f>IF(MATCH_ENGINE!H228="","",INDEX(BANK_CLEAN!$C$2:$C$1001,MATCH_ENGINE!H228))</f>
        <v/>
      </c>
      <c r="P228" s="11" t="inlineStr"/>
    </row>
    <row r="229">
      <c r="A229" s="11">
        <f>IF(MATCH_ENGINE!A229="","",MATCH_ENGINE!N229)</f>
        <v/>
      </c>
      <c r="B229" s="11">
        <f>IF(MATCH_ENGINE!A229="","",MATCH_ENGINE!C229)</f>
        <v/>
      </c>
      <c r="C229" s="10">
        <f>IF(MATCH_ENGINE!A229="","",MATCH_ENGINE!B229)</f>
        <v/>
      </c>
      <c r="D229" s="16">
        <f>IF(MATCH_ENGINE!A229="","",MATCH_ENGINE!D229)</f>
        <v/>
      </c>
      <c r="E229" s="11">
        <f>IF(MATCH_ENGINE!A229="","",MATCH_ENGINE!F229)</f>
        <v/>
      </c>
      <c r="F229" s="10">
        <f>IF(MATCH_ENGINE!A229="","",MATCH_ENGINE!I229)</f>
        <v/>
      </c>
      <c r="G229" s="16">
        <f>IF(MATCH_ENGINE!H229="","",IF(MATCH_ENGINE!F229="IN",MATCH_ENGINE!J229,""))</f>
        <v/>
      </c>
      <c r="H229" s="16">
        <f>IF(MATCH_ENGINE!H229="","",IF(MATCH_ENGINE!F229="OUT",MATCH_ENGINE!J229,""))</f>
        <v/>
      </c>
      <c r="I229" s="16">
        <f>IF(MATCH_ENGINE!H229="","",MATCH_ENGINE!J229)</f>
        <v/>
      </c>
      <c r="J229" s="12">
        <f>IF(MATCH_ENGINE!A229="","",MATCH_ENGINE!K229)</f>
        <v/>
      </c>
      <c r="K229" s="11">
        <f>IF(MATCH_ENGINE!A229="","",MATCH_ENGINE!L229)</f>
        <v/>
      </c>
      <c r="L229" s="17">
        <f>IF(MATCH_ENGINE!A229="","",MATCH_ENGINE!M229)</f>
        <v/>
      </c>
      <c r="M229" s="11">
        <f>IF(MATCH_ENGINE!A229="","",GL_CLEAN!F229)</f>
        <v/>
      </c>
      <c r="N229" s="11">
        <f>IF(MATCH_ENGINE!A229="","",GL_CLEAN!G229)</f>
        <v/>
      </c>
      <c r="O229" s="11">
        <f>IF(MATCH_ENGINE!H229="","",INDEX(BANK_CLEAN!$C$2:$C$1001,MATCH_ENGINE!H229))</f>
        <v/>
      </c>
      <c r="P229" s="11" t="inlineStr"/>
    </row>
    <row r="230">
      <c r="A230" s="11">
        <f>IF(MATCH_ENGINE!A230="","",MATCH_ENGINE!N230)</f>
        <v/>
      </c>
      <c r="B230" s="11">
        <f>IF(MATCH_ENGINE!A230="","",MATCH_ENGINE!C230)</f>
        <v/>
      </c>
      <c r="C230" s="10">
        <f>IF(MATCH_ENGINE!A230="","",MATCH_ENGINE!B230)</f>
        <v/>
      </c>
      <c r="D230" s="16">
        <f>IF(MATCH_ENGINE!A230="","",MATCH_ENGINE!D230)</f>
        <v/>
      </c>
      <c r="E230" s="11">
        <f>IF(MATCH_ENGINE!A230="","",MATCH_ENGINE!F230)</f>
        <v/>
      </c>
      <c r="F230" s="10">
        <f>IF(MATCH_ENGINE!A230="","",MATCH_ENGINE!I230)</f>
        <v/>
      </c>
      <c r="G230" s="16">
        <f>IF(MATCH_ENGINE!H230="","",IF(MATCH_ENGINE!F230="IN",MATCH_ENGINE!J230,""))</f>
        <v/>
      </c>
      <c r="H230" s="16">
        <f>IF(MATCH_ENGINE!H230="","",IF(MATCH_ENGINE!F230="OUT",MATCH_ENGINE!J230,""))</f>
        <v/>
      </c>
      <c r="I230" s="16">
        <f>IF(MATCH_ENGINE!H230="","",MATCH_ENGINE!J230)</f>
        <v/>
      </c>
      <c r="J230" s="12">
        <f>IF(MATCH_ENGINE!A230="","",MATCH_ENGINE!K230)</f>
        <v/>
      </c>
      <c r="K230" s="11">
        <f>IF(MATCH_ENGINE!A230="","",MATCH_ENGINE!L230)</f>
        <v/>
      </c>
      <c r="L230" s="17">
        <f>IF(MATCH_ENGINE!A230="","",MATCH_ENGINE!M230)</f>
        <v/>
      </c>
      <c r="M230" s="11">
        <f>IF(MATCH_ENGINE!A230="","",GL_CLEAN!F230)</f>
        <v/>
      </c>
      <c r="N230" s="11">
        <f>IF(MATCH_ENGINE!A230="","",GL_CLEAN!G230)</f>
        <v/>
      </c>
      <c r="O230" s="11">
        <f>IF(MATCH_ENGINE!H230="","",INDEX(BANK_CLEAN!$C$2:$C$1001,MATCH_ENGINE!H230))</f>
        <v/>
      </c>
      <c r="P230" s="11" t="inlineStr"/>
    </row>
    <row r="231">
      <c r="A231" s="11">
        <f>IF(MATCH_ENGINE!A231="","",MATCH_ENGINE!N231)</f>
        <v/>
      </c>
      <c r="B231" s="11">
        <f>IF(MATCH_ENGINE!A231="","",MATCH_ENGINE!C231)</f>
        <v/>
      </c>
      <c r="C231" s="10">
        <f>IF(MATCH_ENGINE!A231="","",MATCH_ENGINE!B231)</f>
        <v/>
      </c>
      <c r="D231" s="16">
        <f>IF(MATCH_ENGINE!A231="","",MATCH_ENGINE!D231)</f>
        <v/>
      </c>
      <c r="E231" s="11">
        <f>IF(MATCH_ENGINE!A231="","",MATCH_ENGINE!F231)</f>
        <v/>
      </c>
      <c r="F231" s="10">
        <f>IF(MATCH_ENGINE!A231="","",MATCH_ENGINE!I231)</f>
        <v/>
      </c>
      <c r="G231" s="16">
        <f>IF(MATCH_ENGINE!H231="","",IF(MATCH_ENGINE!F231="IN",MATCH_ENGINE!J231,""))</f>
        <v/>
      </c>
      <c r="H231" s="16">
        <f>IF(MATCH_ENGINE!H231="","",IF(MATCH_ENGINE!F231="OUT",MATCH_ENGINE!J231,""))</f>
        <v/>
      </c>
      <c r="I231" s="16">
        <f>IF(MATCH_ENGINE!H231="","",MATCH_ENGINE!J231)</f>
        <v/>
      </c>
      <c r="J231" s="12">
        <f>IF(MATCH_ENGINE!A231="","",MATCH_ENGINE!K231)</f>
        <v/>
      </c>
      <c r="K231" s="11">
        <f>IF(MATCH_ENGINE!A231="","",MATCH_ENGINE!L231)</f>
        <v/>
      </c>
      <c r="L231" s="17">
        <f>IF(MATCH_ENGINE!A231="","",MATCH_ENGINE!M231)</f>
        <v/>
      </c>
      <c r="M231" s="11">
        <f>IF(MATCH_ENGINE!A231="","",GL_CLEAN!F231)</f>
        <v/>
      </c>
      <c r="N231" s="11">
        <f>IF(MATCH_ENGINE!A231="","",GL_CLEAN!G231)</f>
        <v/>
      </c>
      <c r="O231" s="11">
        <f>IF(MATCH_ENGINE!H231="","",INDEX(BANK_CLEAN!$C$2:$C$1001,MATCH_ENGINE!H231))</f>
        <v/>
      </c>
      <c r="P231" s="11" t="inlineStr"/>
    </row>
    <row r="232">
      <c r="A232" s="11">
        <f>IF(MATCH_ENGINE!A232="","",MATCH_ENGINE!N232)</f>
        <v/>
      </c>
      <c r="B232" s="11">
        <f>IF(MATCH_ENGINE!A232="","",MATCH_ENGINE!C232)</f>
        <v/>
      </c>
      <c r="C232" s="10">
        <f>IF(MATCH_ENGINE!A232="","",MATCH_ENGINE!B232)</f>
        <v/>
      </c>
      <c r="D232" s="16">
        <f>IF(MATCH_ENGINE!A232="","",MATCH_ENGINE!D232)</f>
        <v/>
      </c>
      <c r="E232" s="11">
        <f>IF(MATCH_ENGINE!A232="","",MATCH_ENGINE!F232)</f>
        <v/>
      </c>
      <c r="F232" s="10">
        <f>IF(MATCH_ENGINE!A232="","",MATCH_ENGINE!I232)</f>
        <v/>
      </c>
      <c r="G232" s="16">
        <f>IF(MATCH_ENGINE!H232="","",IF(MATCH_ENGINE!F232="IN",MATCH_ENGINE!J232,""))</f>
        <v/>
      </c>
      <c r="H232" s="16">
        <f>IF(MATCH_ENGINE!H232="","",IF(MATCH_ENGINE!F232="OUT",MATCH_ENGINE!J232,""))</f>
        <v/>
      </c>
      <c r="I232" s="16">
        <f>IF(MATCH_ENGINE!H232="","",MATCH_ENGINE!J232)</f>
        <v/>
      </c>
      <c r="J232" s="12">
        <f>IF(MATCH_ENGINE!A232="","",MATCH_ENGINE!K232)</f>
        <v/>
      </c>
      <c r="K232" s="11">
        <f>IF(MATCH_ENGINE!A232="","",MATCH_ENGINE!L232)</f>
        <v/>
      </c>
      <c r="L232" s="17">
        <f>IF(MATCH_ENGINE!A232="","",MATCH_ENGINE!M232)</f>
        <v/>
      </c>
      <c r="M232" s="11">
        <f>IF(MATCH_ENGINE!A232="","",GL_CLEAN!F232)</f>
        <v/>
      </c>
      <c r="N232" s="11">
        <f>IF(MATCH_ENGINE!A232="","",GL_CLEAN!G232)</f>
        <v/>
      </c>
      <c r="O232" s="11">
        <f>IF(MATCH_ENGINE!H232="","",INDEX(BANK_CLEAN!$C$2:$C$1001,MATCH_ENGINE!H232))</f>
        <v/>
      </c>
      <c r="P232" s="11" t="inlineStr"/>
    </row>
    <row r="233">
      <c r="A233" s="11">
        <f>IF(MATCH_ENGINE!A233="","",MATCH_ENGINE!N233)</f>
        <v/>
      </c>
      <c r="B233" s="11">
        <f>IF(MATCH_ENGINE!A233="","",MATCH_ENGINE!C233)</f>
        <v/>
      </c>
      <c r="C233" s="10">
        <f>IF(MATCH_ENGINE!A233="","",MATCH_ENGINE!B233)</f>
        <v/>
      </c>
      <c r="D233" s="16">
        <f>IF(MATCH_ENGINE!A233="","",MATCH_ENGINE!D233)</f>
        <v/>
      </c>
      <c r="E233" s="11">
        <f>IF(MATCH_ENGINE!A233="","",MATCH_ENGINE!F233)</f>
        <v/>
      </c>
      <c r="F233" s="10">
        <f>IF(MATCH_ENGINE!A233="","",MATCH_ENGINE!I233)</f>
        <v/>
      </c>
      <c r="G233" s="16">
        <f>IF(MATCH_ENGINE!H233="","",IF(MATCH_ENGINE!F233="IN",MATCH_ENGINE!J233,""))</f>
        <v/>
      </c>
      <c r="H233" s="16">
        <f>IF(MATCH_ENGINE!H233="","",IF(MATCH_ENGINE!F233="OUT",MATCH_ENGINE!J233,""))</f>
        <v/>
      </c>
      <c r="I233" s="16">
        <f>IF(MATCH_ENGINE!H233="","",MATCH_ENGINE!J233)</f>
        <v/>
      </c>
      <c r="J233" s="12">
        <f>IF(MATCH_ENGINE!A233="","",MATCH_ENGINE!K233)</f>
        <v/>
      </c>
      <c r="K233" s="11">
        <f>IF(MATCH_ENGINE!A233="","",MATCH_ENGINE!L233)</f>
        <v/>
      </c>
      <c r="L233" s="17">
        <f>IF(MATCH_ENGINE!A233="","",MATCH_ENGINE!M233)</f>
        <v/>
      </c>
      <c r="M233" s="11">
        <f>IF(MATCH_ENGINE!A233="","",GL_CLEAN!F233)</f>
        <v/>
      </c>
      <c r="N233" s="11">
        <f>IF(MATCH_ENGINE!A233="","",GL_CLEAN!G233)</f>
        <v/>
      </c>
      <c r="O233" s="11">
        <f>IF(MATCH_ENGINE!H233="","",INDEX(BANK_CLEAN!$C$2:$C$1001,MATCH_ENGINE!H233))</f>
        <v/>
      </c>
      <c r="P233" s="11" t="inlineStr"/>
    </row>
    <row r="234">
      <c r="A234" s="11">
        <f>IF(MATCH_ENGINE!A234="","",MATCH_ENGINE!N234)</f>
        <v/>
      </c>
      <c r="B234" s="11">
        <f>IF(MATCH_ENGINE!A234="","",MATCH_ENGINE!C234)</f>
        <v/>
      </c>
      <c r="C234" s="10">
        <f>IF(MATCH_ENGINE!A234="","",MATCH_ENGINE!B234)</f>
        <v/>
      </c>
      <c r="D234" s="16">
        <f>IF(MATCH_ENGINE!A234="","",MATCH_ENGINE!D234)</f>
        <v/>
      </c>
      <c r="E234" s="11">
        <f>IF(MATCH_ENGINE!A234="","",MATCH_ENGINE!F234)</f>
        <v/>
      </c>
      <c r="F234" s="10">
        <f>IF(MATCH_ENGINE!A234="","",MATCH_ENGINE!I234)</f>
        <v/>
      </c>
      <c r="G234" s="16">
        <f>IF(MATCH_ENGINE!H234="","",IF(MATCH_ENGINE!F234="IN",MATCH_ENGINE!J234,""))</f>
        <v/>
      </c>
      <c r="H234" s="16">
        <f>IF(MATCH_ENGINE!H234="","",IF(MATCH_ENGINE!F234="OUT",MATCH_ENGINE!J234,""))</f>
        <v/>
      </c>
      <c r="I234" s="16">
        <f>IF(MATCH_ENGINE!H234="","",MATCH_ENGINE!J234)</f>
        <v/>
      </c>
      <c r="J234" s="12">
        <f>IF(MATCH_ENGINE!A234="","",MATCH_ENGINE!K234)</f>
        <v/>
      </c>
      <c r="K234" s="11">
        <f>IF(MATCH_ENGINE!A234="","",MATCH_ENGINE!L234)</f>
        <v/>
      </c>
      <c r="L234" s="17">
        <f>IF(MATCH_ENGINE!A234="","",MATCH_ENGINE!M234)</f>
        <v/>
      </c>
      <c r="M234" s="11">
        <f>IF(MATCH_ENGINE!A234="","",GL_CLEAN!F234)</f>
        <v/>
      </c>
      <c r="N234" s="11">
        <f>IF(MATCH_ENGINE!A234="","",GL_CLEAN!G234)</f>
        <v/>
      </c>
      <c r="O234" s="11">
        <f>IF(MATCH_ENGINE!H234="","",INDEX(BANK_CLEAN!$C$2:$C$1001,MATCH_ENGINE!H234))</f>
        <v/>
      </c>
      <c r="P234" s="11" t="inlineStr"/>
    </row>
    <row r="235">
      <c r="A235" s="11">
        <f>IF(MATCH_ENGINE!A235="","",MATCH_ENGINE!N235)</f>
        <v/>
      </c>
      <c r="B235" s="11">
        <f>IF(MATCH_ENGINE!A235="","",MATCH_ENGINE!C235)</f>
        <v/>
      </c>
      <c r="C235" s="10">
        <f>IF(MATCH_ENGINE!A235="","",MATCH_ENGINE!B235)</f>
        <v/>
      </c>
      <c r="D235" s="16">
        <f>IF(MATCH_ENGINE!A235="","",MATCH_ENGINE!D235)</f>
        <v/>
      </c>
      <c r="E235" s="11">
        <f>IF(MATCH_ENGINE!A235="","",MATCH_ENGINE!F235)</f>
        <v/>
      </c>
      <c r="F235" s="10">
        <f>IF(MATCH_ENGINE!A235="","",MATCH_ENGINE!I235)</f>
        <v/>
      </c>
      <c r="G235" s="16">
        <f>IF(MATCH_ENGINE!H235="","",IF(MATCH_ENGINE!F235="IN",MATCH_ENGINE!J235,""))</f>
        <v/>
      </c>
      <c r="H235" s="16">
        <f>IF(MATCH_ENGINE!H235="","",IF(MATCH_ENGINE!F235="OUT",MATCH_ENGINE!J235,""))</f>
        <v/>
      </c>
      <c r="I235" s="16">
        <f>IF(MATCH_ENGINE!H235="","",MATCH_ENGINE!J235)</f>
        <v/>
      </c>
      <c r="J235" s="12">
        <f>IF(MATCH_ENGINE!A235="","",MATCH_ENGINE!K235)</f>
        <v/>
      </c>
      <c r="K235" s="11">
        <f>IF(MATCH_ENGINE!A235="","",MATCH_ENGINE!L235)</f>
        <v/>
      </c>
      <c r="L235" s="17">
        <f>IF(MATCH_ENGINE!A235="","",MATCH_ENGINE!M235)</f>
        <v/>
      </c>
      <c r="M235" s="11">
        <f>IF(MATCH_ENGINE!A235="","",GL_CLEAN!F235)</f>
        <v/>
      </c>
      <c r="N235" s="11">
        <f>IF(MATCH_ENGINE!A235="","",GL_CLEAN!G235)</f>
        <v/>
      </c>
      <c r="O235" s="11">
        <f>IF(MATCH_ENGINE!H235="","",INDEX(BANK_CLEAN!$C$2:$C$1001,MATCH_ENGINE!H235))</f>
        <v/>
      </c>
      <c r="P235" s="11" t="inlineStr"/>
    </row>
    <row r="236">
      <c r="A236" s="11">
        <f>IF(MATCH_ENGINE!A236="","",MATCH_ENGINE!N236)</f>
        <v/>
      </c>
      <c r="B236" s="11">
        <f>IF(MATCH_ENGINE!A236="","",MATCH_ENGINE!C236)</f>
        <v/>
      </c>
      <c r="C236" s="10">
        <f>IF(MATCH_ENGINE!A236="","",MATCH_ENGINE!B236)</f>
        <v/>
      </c>
      <c r="D236" s="16">
        <f>IF(MATCH_ENGINE!A236="","",MATCH_ENGINE!D236)</f>
        <v/>
      </c>
      <c r="E236" s="11">
        <f>IF(MATCH_ENGINE!A236="","",MATCH_ENGINE!F236)</f>
        <v/>
      </c>
      <c r="F236" s="10">
        <f>IF(MATCH_ENGINE!A236="","",MATCH_ENGINE!I236)</f>
        <v/>
      </c>
      <c r="G236" s="16">
        <f>IF(MATCH_ENGINE!H236="","",IF(MATCH_ENGINE!F236="IN",MATCH_ENGINE!J236,""))</f>
        <v/>
      </c>
      <c r="H236" s="16">
        <f>IF(MATCH_ENGINE!H236="","",IF(MATCH_ENGINE!F236="OUT",MATCH_ENGINE!J236,""))</f>
        <v/>
      </c>
      <c r="I236" s="16">
        <f>IF(MATCH_ENGINE!H236="","",MATCH_ENGINE!J236)</f>
        <v/>
      </c>
      <c r="J236" s="12">
        <f>IF(MATCH_ENGINE!A236="","",MATCH_ENGINE!K236)</f>
        <v/>
      </c>
      <c r="K236" s="11">
        <f>IF(MATCH_ENGINE!A236="","",MATCH_ENGINE!L236)</f>
        <v/>
      </c>
      <c r="L236" s="17">
        <f>IF(MATCH_ENGINE!A236="","",MATCH_ENGINE!M236)</f>
        <v/>
      </c>
      <c r="M236" s="11">
        <f>IF(MATCH_ENGINE!A236="","",GL_CLEAN!F236)</f>
        <v/>
      </c>
      <c r="N236" s="11">
        <f>IF(MATCH_ENGINE!A236="","",GL_CLEAN!G236)</f>
        <v/>
      </c>
      <c r="O236" s="11">
        <f>IF(MATCH_ENGINE!H236="","",INDEX(BANK_CLEAN!$C$2:$C$1001,MATCH_ENGINE!H236))</f>
        <v/>
      </c>
      <c r="P236" s="11" t="inlineStr"/>
    </row>
    <row r="237">
      <c r="A237" s="11">
        <f>IF(MATCH_ENGINE!A237="","",MATCH_ENGINE!N237)</f>
        <v/>
      </c>
      <c r="B237" s="11">
        <f>IF(MATCH_ENGINE!A237="","",MATCH_ENGINE!C237)</f>
        <v/>
      </c>
      <c r="C237" s="10">
        <f>IF(MATCH_ENGINE!A237="","",MATCH_ENGINE!B237)</f>
        <v/>
      </c>
      <c r="D237" s="16">
        <f>IF(MATCH_ENGINE!A237="","",MATCH_ENGINE!D237)</f>
        <v/>
      </c>
      <c r="E237" s="11">
        <f>IF(MATCH_ENGINE!A237="","",MATCH_ENGINE!F237)</f>
        <v/>
      </c>
      <c r="F237" s="10">
        <f>IF(MATCH_ENGINE!A237="","",MATCH_ENGINE!I237)</f>
        <v/>
      </c>
      <c r="G237" s="16">
        <f>IF(MATCH_ENGINE!H237="","",IF(MATCH_ENGINE!F237="IN",MATCH_ENGINE!J237,""))</f>
        <v/>
      </c>
      <c r="H237" s="16">
        <f>IF(MATCH_ENGINE!H237="","",IF(MATCH_ENGINE!F237="OUT",MATCH_ENGINE!J237,""))</f>
        <v/>
      </c>
      <c r="I237" s="16">
        <f>IF(MATCH_ENGINE!H237="","",MATCH_ENGINE!J237)</f>
        <v/>
      </c>
      <c r="J237" s="12">
        <f>IF(MATCH_ENGINE!A237="","",MATCH_ENGINE!K237)</f>
        <v/>
      </c>
      <c r="K237" s="11">
        <f>IF(MATCH_ENGINE!A237="","",MATCH_ENGINE!L237)</f>
        <v/>
      </c>
      <c r="L237" s="17">
        <f>IF(MATCH_ENGINE!A237="","",MATCH_ENGINE!M237)</f>
        <v/>
      </c>
      <c r="M237" s="11">
        <f>IF(MATCH_ENGINE!A237="","",GL_CLEAN!F237)</f>
        <v/>
      </c>
      <c r="N237" s="11">
        <f>IF(MATCH_ENGINE!A237="","",GL_CLEAN!G237)</f>
        <v/>
      </c>
      <c r="O237" s="11">
        <f>IF(MATCH_ENGINE!H237="","",INDEX(BANK_CLEAN!$C$2:$C$1001,MATCH_ENGINE!H237))</f>
        <v/>
      </c>
      <c r="P237" s="11" t="inlineStr"/>
    </row>
    <row r="238">
      <c r="A238" s="11">
        <f>IF(MATCH_ENGINE!A238="","",MATCH_ENGINE!N238)</f>
        <v/>
      </c>
      <c r="B238" s="11">
        <f>IF(MATCH_ENGINE!A238="","",MATCH_ENGINE!C238)</f>
        <v/>
      </c>
      <c r="C238" s="10">
        <f>IF(MATCH_ENGINE!A238="","",MATCH_ENGINE!B238)</f>
        <v/>
      </c>
      <c r="D238" s="16">
        <f>IF(MATCH_ENGINE!A238="","",MATCH_ENGINE!D238)</f>
        <v/>
      </c>
      <c r="E238" s="11">
        <f>IF(MATCH_ENGINE!A238="","",MATCH_ENGINE!F238)</f>
        <v/>
      </c>
      <c r="F238" s="10">
        <f>IF(MATCH_ENGINE!A238="","",MATCH_ENGINE!I238)</f>
        <v/>
      </c>
      <c r="G238" s="16">
        <f>IF(MATCH_ENGINE!H238="","",IF(MATCH_ENGINE!F238="IN",MATCH_ENGINE!J238,""))</f>
        <v/>
      </c>
      <c r="H238" s="16">
        <f>IF(MATCH_ENGINE!H238="","",IF(MATCH_ENGINE!F238="OUT",MATCH_ENGINE!J238,""))</f>
        <v/>
      </c>
      <c r="I238" s="16">
        <f>IF(MATCH_ENGINE!H238="","",MATCH_ENGINE!J238)</f>
        <v/>
      </c>
      <c r="J238" s="12">
        <f>IF(MATCH_ENGINE!A238="","",MATCH_ENGINE!K238)</f>
        <v/>
      </c>
      <c r="K238" s="11">
        <f>IF(MATCH_ENGINE!A238="","",MATCH_ENGINE!L238)</f>
        <v/>
      </c>
      <c r="L238" s="17">
        <f>IF(MATCH_ENGINE!A238="","",MATCH_ENGINE!M238)</f>
        <v/>
      </c>
      <c r="M238" s="11">
        <f>IF(MATCH_ENGINE!A238="","",GL_CLEAN!F238)</f>
        <v/>
      </c>
      <c r="N238" s="11">
        <f>IF(MATCH_ENGINE!A238="","",GL_CLEAN!G238)</f>
        <v/>
      </c>
      <c r="O238" s="11">
        <f>IF(MATCH_ENGINE!H238="","",INDEX(BANK_CLEAN!$C$2:$C$1001,MATCH_ENGINE!H238))</f>
        <v/>
      </c>
      <c r="P238" s="11" t="inlineStr"/>
    </row>
    <row r="239">
      <c r="A239" s="11">
        <f>IF(MATCH_ENGINE!A239="","",MATCH_ENGINE!N239)</f>
        <v/>
      </c>
      <c r="B239" s="11">
        <f>IF(MATCH_ENGINE!A239="","",MATCH_ENGINE!C239)</f>
        <v/>
      </c>
      <c r="C239" s="10">
        <f>IF(MATCH_ENGINE!A239="","",MATCH_ENGINE!B239)</f>
        <v/>
      </c>
      <c r="D239" s="16">
        <f>IF(MATCH_ENGINE!A239="","",MATCH_ENGINE!D239)</f>
        <v/>
      </c>
      <c r="E239" s="11">
        <f>IF(MATCH_ENGINE!A239="","",MATCH_ENGINE!F239)</f>
        <v/>
      </c>
      <c r="F239" s="10">
        <f>IF(MATCH_ENGINE!A239="","",MATCH_ENGINE!I239)</f>
        <v/>
      </c>
      <c r="G239" s="16">
        <f>IF(MATCH_ENGINE!H239="","",IF(MATCH_ENGINE!F239="IN",MATCH_ENGINE!J239,""))</f>
        <v/>
      </c>
      <c r="H239" s="16">
        <f>IF(MATCH_ENGINE!H239="","",IF(MATCH_ENGINE!F239="OUT",MATCH_ENGINE!J239,""))</f>
        <v/>
      </c>
      <c r="I239" s="16">
        <f>IF(MATCH_ENGINE!H239="","",MATCH_ENGINE!J239)</f>
        <v/>
      </c>
      <c r="J239" s="12">
        <f>IF(MATCH_ENGINE!A239="","",MATCH_ENGINE!K239)</f>
        <v/>
      </c>
      <c r="K239" s="11">
        <f>IF(MATCH_ENGINE!A239="","",MATCH_ENGINE!L239)</f>
        <v/>
      </c>
      <c r="L239" s="17">
        <f>IF(MATCH_ENGINE!A239="","",MATCH_ENGINE!M239)</f>
        <v/>
      </c>
      <c r="M239" s="11">
        <f>IF(MATCH_ENGINE!A239="","",GL_CLEAN!F239)</f>
        <v/>
      </c>
      <c r="N239" s="11">
        <f>IF(MATCH_ENGINE!A239="","",GL_CLEAN!G239)</f>
        <v/>
      </c>
      <c r="O239" s="11">
        <f>IF(MATCH_ENGINE!H239="","",INDEX(BANK_CLEAN!$C$2:$C$1001,MATCH_ENGINE!H239))</f>
        <v/>
      </c>
      <c r="P239" s="11" t="inlineStr"/>
    </row>
    <row r="240">
      <c r="A240" s="11">
        <f>IF(MATCH_ENGINE!A240="","",MATCH_ENGINE!N240)</f>
        <v/>
      </c>
      <c r="B240" s="11">
        <f>IF(MATCH_ENGINE!A240="","",MATCH_ENGINE!C240)</f>
        <v/>
      </c>
      <c r="C240" s="10">
        <f>IF(MATCH_ENGINE!A240="","",MATCH_ENGINE!B240)</f>
        <v/>
      </c>
      <c r="D240" s="16">
        <f>IF(MATCH_ENGINE!A240="","",MATCH_ENGINE!D240)</f>
        <v/>
      </c>
      <c r="E240" s="11">
        <f>IF(MATCH_ENGINE!A240="","",MATCH_ENGINE!F240)</f>
        <v/>
      </c>
      <c r="F240" s="10">
        <f>IF(MATCH_ENGINE!A240="","",MATCH_ENGINE!I240)</f>
        <v/>
      </c>
      <c r="G240" s="16">
        <f>IF(MATCH_ENGINE!H240="","",IF(MATCH_ENGINE!F240="IN",MATCH_ENGINE!J240,""))</f>
        <v/>
      </c>
      <c r="H240" s="16">
        <f>IF(MATCH_ENGINE!H240="","",IF(MATCH_ENGINE!F240="OUT",MATCH_ENGINE!J240,""))</f>
        <v/>
      </c>
      <c r="I240" s="16">
        <f>IF(MATCH_ENGINE!H240="","",MATCH_ENGINE!J240)</f>
        <v/>
      </c>
      <c r="J240" s="12">
        <f>IF(MATCH_ENGINE!A240="","",MATCH_ENGINE!K240)</f>
        <v/>
      </c>
      <c r="K240" s="11">
        <f>IF(MATCH_ENGINE!A240="","",MATCH_ENGINE!L240)</f>
        <v/>
      </c>
      <c r="L240" s="17">
        <f>IF(MATCH_ENGINE!A240="","",MATCH_ENGINE!M240)</f>
        <v/>
      </c>
      <c r="M240" s="11">
        <f>IF(MATCH_ENGINE!A240="","",GL_CLEAN!F240)</f>
        <v/>
      </c>
      <c r="N240" s="11">
        <f>IF(MATCH_ENGINE!A240="","",GL_CLEAN!G240)</f>
        <v/>
      </c>
      <c r="O240" s="11">
        <f>IF(MATCH_ENGINE!H240="","",INDEX(BANK_CLEAN!$C$2:$C$1001,MATCH_ENGINE!H240))</f>
        <v/>
      </c>
      <c r="P240" s="11" t="inlineStr"/>
    </row>
    <row r="241">
      <c r="A241" s="11">
        <f>IF(MATCH_ENGINE!A241="","",MATCH_ENGINE!N241)</f>
        <v/>
      </c>
      <c r="B241" s="11">
        <f>IF(MATCH_ENGINE!A241="","",MATCH_ENGINE!C241)</f>
        <v/>
      </c>
      <c r="C241" s="10">
        <f>IF(MATCH_ENGINE!A241="","",MATCH_ENGINE!B241)</f>
        <v/>
      </c>
      <c r="D241" s="16">
        <f>IF(MATCH_ENGINE!A241="","",MATCH_ENGINE!D241)</f>
        <v/>
      </c>
      <c r="E241" s="11">
        <f>IF(MATCH_ENGINE!A241="","",MATCH_ENGINE!F241)</f>
        <v/>
      </c>
      <c r="F241" s="10">
        <f>IF(MATCH_ENGINE!A241="","",MATCH_ENGINE!I241)</f>
        <v/>
      </c>
      <c r="G241" s="16">
        <f>IF(MATCH_ENGINE!H241="","",IF(MATCH_ENGINE!F241="IN",MATCH_ENGINE!J241,""))</f>
        <v/>
      </c>
      <c r="H241" s="16">
        <f>IF(MATCH_ENGINE!H241="","",IF(MATCH_ENGINE!F241="OUT",MATCH_ENGINE!J241,""))</f>
        <v/>
      </c>
      <c r="I241" s="16">
        <f>IF(MATCH_ENGINE!H241="","",MATCH_ENGINE!J241)</f>
        <v/>
      </c>
      <c r="J241" s="12">
        <f>IF(MATCH_ENGINE!A241="","",MATCH_ENGINE!K241)</f>
        <v/>
      </c>
      <c r="K241" s="11">
        <f>IF(MATCH_ENGINE!A241="","",MATCH_ENGINE!L241)</f>
        <v/>
      </c>
      <c r="L241" s="17">
        <f>IF(MATCH_ENGINE!A241="","",MATCH_ENGINE!M241)</f>
        <v/>
      </c>
      <c r="M241" s="11">
        <f>IF(MATCH_ENGINE!A241="","",GL_CLEAN!F241)</f>
        <v/>
      </c>
      <c r="N241" s="11">
        <f>IF(MATCH_ENGINE!A241="","",GL_CLEAN!G241)</f>
        <v/>
      </c>
      <c r="O241" s="11">
        <f>IF(MATCH_ENGINE!H241="","",INDEX(BANK_CLEAN!$C$2:$C$1001,MATCH_ENGINE!H241))</f>
        <v/>
      </c>
      <c r="P241" s="11" t="inlineStr"/>
    </row>
    <row r="242">
      <c r="A242" s="11">
        <f>IF(MATCH_ENGINE!A242="","",MATCH_ENGINE!N242)</f>
        <v/>
      </c>
      <c r="B242" s="11">
        <f>IF(MATCH_ENGINE!A242="","",MATCH_ENGINE!C242)</f>
        <v/>
      </c>
      <c r="C242" s="10">
        <f>IF(MATCH_ENGINE!A242="","",MATCH_ENGINE!B242)</f>
        <v/>
      </c>
      <c r="D242" s="16">
        <f>IF(MATCH_ENGINE!A242="","",MATCH_ENGINE!D242)</f>
        <v/>
      </c>
      <c r="E242" s="11">
        <f>IF(MATCH_ENGINE!A242="","",MATCH_ENGINE!F242)</f>
        <v/>
      </c>
      <c r="F242" s="10">
        <f>IF(MATCH_ENGINE!A242="","",MATCH_ENGINE!I242)</f>
        <v/>
      </c>
      <c r="G242" s="16">
        <f>IF(MATCH_ENGINE!H242="","",IF(MATCH_ENGINE!F242="IN",MATCH_ENGINE!J242,""))</f>
        <v/>
      </c>
      <c r="H242" s="16">
        <f>IF(MATCH_ENGINE!H242="","",IF(MATCH_ENGINE!F242="OUT",MATCH_ENGINE!J242,""))</f>
        <v/>
      </c>
      <c r="I242" s="16">
        <f>IF(MATCH_ENGINE!H242="","",MATCH_ENGINE!J242)</f>
        <v/>
      </c>
      <c r="J242" s="12">
        <f>IF(MATCH_ENGINE!A242="","",MATCH_ENGINE!K242)</f>
        <v/>
      </c>
      <c r="K242" s="11">
        <f>IF(MATCH_ENGINE!A242="","",MATCH_ENGINE!L242)</f>
        <v/>
      </c>
      <c r="L242" s="17">
        <f>IF(MATCH_ENGINE!A242="","",MATCH_ENGINE!M242)</f>
        <v/>
      </c>
      <c r="M242" s="11">
        <f>IF(MATCH_ENGINE!A242="","",GL_CLEAN!F242)</f>
        <v/>
      </c>
      <c r="N242" s="11">
        <f>IF(MATCH_ENGINE!A242="","",GL_CLEAN!G242)</f>
        <v/>
      </c>
      <c r="O242" s="11">
        <f>IF(MATCH_ENGINE!H242="","",INDEX(BANK_CLEAN!$C$2:$C$1001,MATCH_ENGINE!H242))</f>
        <v/>
      </c>
      <c r="P242" s="11" t="inlineStr"/>
    </row>
    <row r="243">
      <c r="A243" s="11">
        <f>IF(MATCH_ENGINE!A243="","",MATCH_ENGINE!N243)</f>
        <v/>
      </c>
      <c r="B243" s="11">
        <f>IF(MATCH_ENGINE!A243="","",MATCH_ENGINE!C243)</f>
        <v/>
      </c>
      <c r="C243" s="10">
        <f>IF(MATCH_ENGINE!A243="","",MATCH_ENGINE!B243)</f>
        <v/>
      </c>
      <c r="D243" s="16">
        <f>IF(MATCH_ENGINE!A243="","",MATCH_ENGINE!D243)</f>
        <v/>
      </c>
      <c r="E243" s="11">
        <f>IF(MATCH_ENGINE!A243="","",MATCH_ENGINE!F243)</f>
        <v/>
      </c>
      <c r="F243" s="10">
        <f>IF(MATCH_ENGINE!A243="","",MATCH_ENGINE!I243)</f>
        <v/>
      </c>
      <c r="G243" s="16">
        <f>IF(MATCH_ENGINE!H243="","",IF(MATCH_ENGINE!F243="IN",MATCH_ENGINE!J243,""))</f>
        <v/>
      </c>
      <c r="H243" s="16">
        <f>IF(MATCH_ENGINE!H243="","",IF(MATCH_ENGINE!F243="OUT",MATCH_ENGINE!J243,""))</f>
        <v/>
      </c>
      <c r="I243" s="16">
        <f>IF(MATCH_ENGINE!H243="","",MATCH_ENGINE!J243)</f>
        <v/>
      </c>
      <c r="J243" s="12">
        <f>IF(MATCH_ENGINE!A243="","",MATCH_ENGINE!K243)</f>
        <v/>
      </c>
      <c r="K243" s="11">
        <f>IF(MATCH_ENGINE!A243="","",MATCH_ENGINE!L243)</f>
        <v/>
      </c>
      <c r="L243" s="17">
        <f>IF(MATCH_ENGINE!A243="","",MATCH_ENGINE!M243)</f>
        <v/>
      </c>
      <c r="M243" s="11">
        <f>IF(MATCH_ENGINE!A243="","",GL_CLEAN!F243)</f>
        <v/>
      </c>
      <c r="N243" s="11">
        <f>IF(MATCH_ENGINE!A243="","",GL_CLEAN!G243)</f>
        <v/>
      </c>
      <c r="O243" s="11">
        <f>IF(MATCH_ENGINE!H243="","",INDEX(BANK_CLEAN!$C$2:$C$1001,MATCH_ENGINE!H243))</f>
        <v/>
      </c>
      <c r="P243" s="11" t="inlineStr"/>
    </row>
    <row r="244">
      <c r="A244" s="11">
        <f>IF(MATCH_ENGINE!A244="","",MATCH_ENGINE!N244)</f>
        <v/>
      </c>
      <c r="B244" s="11">
        <f>IF(MATCH_ENGINE!A244="","",MATCH_ENGINE!C244)</f>
        <v/>
      </c>
      <c r="C244" s="10">
        <f>IF(MATCH_ENGINE!A244="","",MATCH_ENGINE!B244)</f>
        <v/>
      </c>
      <c r="D244" s="16">
        <f>IF(MATCH_ENGINE!A244="","",MATCH_ENGINE!D244)</f>
        <v/>
      </c>
      <c r="E244" s="11">
        <f>IF(MATCH_ENGINE!A244="","",MATCH_ENGINE!F244)</f>
        <v/>
      </c>
      <c r="F244" s="10">
        <f>IF(MATCH_ENGINE!A244="","",MATCH_ENGINE!I244)</f>
        <v/>
      </c>
      <c r="G244" s="16">
        <f>IF(MATCH_ENGINE!H244="","",IF(MATCH_ENGINE!F244="IN",MATCH_ENGINE!J244,""))</f>
        <v/>
      </c>
      <c r="H244" s="16">
        <f>IF(MATCH_ENGINE!H244="","",IF(MATCH_ENGINE!F244="OUT",MATCH_ENGINE!J244,""))</f>
        <v/>
      </c>
      <c r="I244" s="16">
        <f>IF(MATCH_ENGINE!H244="","",MATCH_ENGINE!J244)</f>
        <v/>
      </c>
      <c r="J244" s="12">
        <f>IF(MATCH_ENGINE!A244="","",MATCH_ENGINE!K244)</f>
        <v/>
      </c>
      <c r="K244" s="11">
        <f>IF(MATCH_ENGINE!A244="","",MATCH_ENGINE!L244)</f>
        <v/>
      </c>
      <c r="L244" s="17">
        <f>IF(MATCH_ENGINE!A244="","",MATCH_ENGINE!M244)</f>
        <v/>
      </c>
      <c r="M244" s="11">
        <f>IF(MATCH_ENGINE!A244="","",GL_CLEAN!F244)</f>
        <v/>
      </c>
      <c r="N244" s="11">
        <f>IF(MATCH_ENGINE!A244="","",GL_CLEAN!G244)</f>
        <v/>
      </c>
      <c r="O244" s="11">
        <f>IF(MATCH_ENGINE!H244="","",INDEX(BANK_CLEAN!$C$2:$C$1001,MATCH_ENGINE!H244))</f>
        <v/>
      </c>
      <c r="P244" s="11" t="inlineStr"/>
    </row>
    <row r="245">
      <c r="A245" s="11">
        <f>IF(MATCH_ENGINE!A245="","",MATCH_ENGINE!N245)</f>
        <v/>
      </c>
      <c r="B245" s="11">
        <f>IF(MATCH_ENGINE!A245="","",MATCH_ENGINE!C245)</f>
        <v/>
      </c>
      <c r="C245" s="10">
        <f>IF(MATCH_ENGINE!A245="","",MATCH_ENGINE!B245)</f>
        <v/>
      </c>
      <c r="D245" s="16">
        <f>IF(MATCH_ENGINE!A245="","",MATCH_ENGINE!D245)</f>
        <v/>
      </c>
      <c r="E245" s="11">
        <f>IF(MATCH_ENGINE!A245="","",MATCH_ENGINE!F245)</f>
        <v/>
      </c>
      <c r="F245" s="10">
        <f>IF(MATCH_ENGINE!A245="","",MATCH_ENGINE!I245)</f>
        <v/>
      </c>
      <c r="G245" s="16">
        <f>IF(MATCH_ENGINE!H245="","",IF(MATCH_ENGINE!F245="IN",MATCH_ENGINE!J245,""))</f>
        <v/>
      </c>
      <c r="H245" s="16">
        <f>IF(MATCH_ENGINE!H245="","",IF(MATCH_ENGINE!F245="OUT",MATCH_ENGINE!J245,""))</f>
        <v/>
      </c>
      <c r="I245" s="16">
        <f>IF(MATCH_ENGINE!H245="","",MATCH_ENGINE!J245)</f>
        <v/>
      </c>
      <c r="J245" s="12">
        <f>IF(MATCH_ENGINE!A245="","",MATCH_ENGINE!K245)</f>
        <v/>
      </c>
      <c r="K245" s="11">
        <f>IF(MATCH_ENGINE!A245="","",MATCH_ENGINE!L245)</f>
        <v/>
      </c>
      <c r="L245" s="17">
        <f>IF(MATCH_ENGINE!A245="","",MATCH_ENGINE!M245)</f>
        <v/>
      </c>
      <c r="M245" s="11">
        <f>IF(MATCH_ENGINE!A245="","",GL_CLEAN!F245)</f>
        <v/>
      </c>
      <c r="N245" s="11">
        <f>IF(MATCH_ENGINE!A245="","",GL_CLEAN!G245)</f>
        <v/>
      </c>
      <c r="O245" s="11">
        <f>IF(MATCH_ENGINE!H245="","",INDEX(BANK_CLEAN!$C$2:$C$1001,MATCH_ENGINE!H245))</f>
        <v/>
      </c>
      <c r="P245" s="11" t="inlineStr"/>
    </row>
    <row r="246">
      <c r="A246" s="11">
        <f>IF(MATCH_ENGINE!A246="","",MATCH_ENGINE!N246)</f>
        <v/>
      </c>
      <c r="B246" s="11">
        <f>IF(MATCH_ENGINE!A246="","",MATCH_ENGINE!C246)</f>
        <v/>
      </c>
      <c r="C246" s="10">
        <f>IF(MATCH_ENGINE!A246="","",MATCH_ENGINE!B246)</f>
        <v/>
      </c>
      <c r="D246" s="16">
        <f>IF(MATCH_ENGINE!A246="","",MATCH_ENGINE!D246)</f>
        <v/>
      </c>
      <c r="E246" s="11">
        <f>IF(MATCH_ENGINE!A246="","",MATCH_ENGINE!F246)</f>
        <v/>
      </c>
      <c r="F246" s="10">
        <f>IF(MATCH_ENGINE!A246="","",MATCH_ENGINE!I246)</f>
        <v/>
      </c>
      <c r="G246" s="16">
        <f>IF(MATCH_ENGINE!H246="","",IF(MATCH_ENGINE!F246="IN",MATCH_ENGINE!J246,""))</f>
        <v/>
      </c>
      <c r="H246" s="16">
        <f>IF(MATCH_ENGINE!H246="","",IF(MATCH_ENGINE!F246="OUT",MATCH_ENGINE!J246,""))</f>
        <v/>
      </c>
      <c r="I246" s="16">
        <f>IF(MATCH_ENGINE!H246="","",MATCH_ENGINE!J246)</f>
        <v/>
      </c>
      <c r="J246" s="12">
        <f>IF(MATCH_ENGINE!A246="","",MATCH_ENGINE!K246)</f>
        <v/>
      </c>
      <c r="K246" s="11">
        <f>IF(MATCH_ENGINE!A246="","",MATCH_ENGINE!L246)</f>
        <v/>
      </c>
      <c r="L246" s="17">
        <f>IF(MATCH_ENGINE!A246="","",MATCH_ENGINE!M246)</f>
        <v/>
      </c>
      <c r="M246" s="11">
        <f>IF(MATCH_ENGINE!A246="","",GL_CLEAN!F246)</f>
        <v/>
      </c>
      <c r="N246" s="11">
        <f>IF(MATCH_ENGINE!A246="","",GL_CLEAN!G246)</f>
        <v/>
      </c>
      <c r="O246" s="11">
        <f>IF(MATCH_ENGINE!H246="","",INDEX(BANK_CLEAN!$C$2:$C$1001,MATCH_ENGINE!H246))</f>
        <v/>
      </c>
      <c r="P246" s="11" t="inlineStr"/>
    </row>
    <row r="247">
      <c r="A247" s="11">
        <f>IF(MATCH_ENGINE!A247="","",MATCH_ENGINE!N247)</f>
        <v/>
      </c>
      <c r="B247" s="11">
        <f>IF(MATCH_ENGINE!A247="","",MATCH_ENGINE!C247)</f>
        <v/>
      </c>
      <c r="C247" s="10">
        <f>IF(MATCH_ENGINE!A247="","",MATCH_ENGINE!B247)</f>
        <v/>
      </c>
      <c r="D247" s="16">
        <f>IF(MATCH_ENGINE!A247="","",MATCH_ENGINE!D247)</f>
        <v/>
      </c>
      <c r="E247" s="11">
        <f>IF(MATCH_ENGINE!A247="","",MATCH_ENGINE!F247)</f>
        <v/>
      </c>
      <c r="F247" s="10">
        <f>IF(MATCH_ENGINE!A247="","",MATCH_ENGINE!I247)</f>
        <v/>
      </c>
      <c r="G247" s="16">
        <f>IF(MATCH_ENGINE!H247="","",IF(MATCH_ENGINE!F247="IN",MATCH_ENGINE!J247,""))</f>
        <v/>
      </c>
      <c r="H247" s="16">
        <f>IF(MATCH_ENGINE!H247="","",IF(MATCH_ENGINE!F247="OUT",MATCH_ENGINE!J247,""))</f>
        <v/>
      </c>
      <c r="I247" s="16">
        <f>IF(MATCH_ENGINE!H247="","",MATCH_ENGINE!J247)</f>
        <v/>
      </c>
      <c r="J247" s="12">
        <f>IF(MATCH_ENGINE!A247="","",MATCH_ENGINE!K247)</f>
        <v/>
      </c>
      <c r="K247" s="11">
        <f>IF(MATCH_ENGINE!A247="","",MATCH_ENGINE!L247)</f>
        <v/>
      </c>
      <c r="L247" s="17">
        <f>IF(MATCH_ENGINE!A247="","",MATCH_ENGINE!M247)</f>
        <v/>
      </c>
      <c r="M247" s="11">
        <f>IF(MATCH_ENGINE!A247="","",GL_CLEAN!F247)</f>
        <v/>
      </c>
      <c r="N247" s="11">
        <f>IF(MATCH_ENGINE!A247="","",GL_CLEAN!G247)</f>
        <v/>
      </c>
      <c r="O247" s="11">
        <f>IF(MATCH_ENGINE!H247="","",INDEX(BANK_CLEAN!$C$2:$C$1001,MATCH_ENGINE!H247))</f>
        <v/>
      </c>
      <c r="P247" s="11" t="inlineStr"/>
    </row>
    <row r="248">
      <c r="A248" s="11">
        <f>IF(MATCH_ENGINE!A248="","",MATCH_ENGINE!N248)</f>
        <v/>
      </c>
      <c r="B248" s="11">
        <f>IF(MATCH_ENGINE!A248="","",MATCH_ENGINE!C248)</f>
        <v/>
      </c>
      <c r="C248" s="10">
        <f>IF(MATCH_ENGINE!A248="","",MATCH_ENGINE!B248)</f>
        <v/>
      </c>
      <c r="D248" s="16">
        <f>IF(MATCH_ENGINE!A248="","",MATCH_ENGINE!D248)</f>
        <v/>
      </c>
      <c r="E248" s="11">
        <f>IF(MATCH_ENGINE!A248="","",MATCH_ENGINE!F248)</f>
        <v/>
      </c>
      <c r="F248" s="10">
        <f>IF(MATCH_ENGINE!A248="","",MATCH_ENGINE!I248)</f>
        <v/>
      </c>
      <c r="G248" s="16">
        <f>IF(MATCH_ENGINE!H248="","",IF(MATCH_ENGINE!F248="IN",MATCH_ENGINE!J248,""))</f>
        <v/>
      </c>
      <c r="H248" s="16">
        <f>IF(MATCH_ENGINE!H248="","",IF(MATCH_ENGINE!F248="OUT",MATCH_ENGINE!J248,""))</f>
        <v/>
      </c>
      <c r="I248" s="16">
        <f>IF(MATCH_ENGINE!H248="","",MATCH_ENGINE!J248)</f>
        <v/>
      </c>
      <c r="J248" s="12">
        <f>IF(MATCH_ENGINE!A248="","",MATCH_ENGINE!K248)</f>
        <v/>
      </c>
      <c r="K248" s="11">
        <f>IF(MATCH_ENGINE!A248="","",MATCH_ENGINE!L248)</f>
        <v/>
      </c>
      <c r="L248" s="17">
        <f>IF(MATCH_ENGINE!A248="","",MATCH_ENGINE!M248)</f>
        <v/>
      </c>
      <c r="M248" s="11">
        <f>IF(MATCH_ENGINE!A248="","",GL_CLEAN!F248)</f>
        <v/>
      </c>
      <c r="N248" s="11">
        <f>IF(MATCH_ENGINE!A248="","",GL_CLEAN!G248)</f>
        <v/>
      </c>
      <c r="O248" s="11">
        <f>IF(MATCH_ENGINE!H248="","",INDEX(BANK_CLEAN!$C$2:$C$1001,MATCH_ENGINE!H248))</f>
        <v/>
      </c>
      <c r="P248" s="11" t="inlineStr"/>
    </row>
    <row r="249">
      <c r="A249" s="11">
        <f>IF(MATCH_ENGINE!A249="","",MATCH_ENGINE!N249)</f>
        <v/>
      </c>
      <c r="B249" s="11">
        <f>IF(MATCH_ENGINE!A249="","",MATCH_ENGINE!C249)</f>
        <v/>
      </c>
      <c r="C249" s="10">
        <f>IF(MATCH_ENGINE!A249="","",MATCH_ENGINE!B249)</f>
        <v/>
      </c>
      <c r="D249" s="16">
        <f>IF(MATCH_ENGINE!A249="","",MATCH_ENGINE!D249)</f>
        <v/>
      </c>
      <c r="E249" s="11">
        <f>IF(MATCH_ENGINE!A249="","",MATCH_ENGINE!F249)</f>
        <v/>
      </c>
      <c r="F249" s="10">
        <f>IF(MATCH_ENGINE!A249="","",MATCH_ENGINE!I249)</f>
        <v/>
      </c>
      <c r="G249" s="16">
        <f>IF(MATCH_ENGINE!H249="","",IF(MATCH_ENGINE!F249="IN",MATCH_ENGINE!J249,""))</f>
        <v/>
      </c>
      <c r="H249" s="16">
        <f>IF(MATCH_ENGINE!H249="","",IF(MATCH_ENGINE!F249="OUT",MATCH_ENGINE!J249,""))</f>
        <v/>
      </c>
      <c r="I249" s="16">
        <f>IF(MATCH_ENGINE!H249="","",MATCH_ENGINE!J249)</f>
        <v/>
      </c>
      <c r="J249" s="12">
        <f>IF(MATCH_ENGINE!A249="","",MATCH_ENGINE!K249)</f>
        <v/>
      </c>
      <c r="K249" s="11">
        <f>IF(MATCH_ENGINE!A249="","",MATCH_ENGINE!L249)</f>
        <v/>
      </c>
      <c r="L249" s="17">
        <f>IF(MATCH_ENGINE!A249="","",MATCH_ENGINE!M249)</f>
        <v/>
      </c>
      <c r="M249" s="11">
        <f>IF(MATCH_ENGINE!A249="","",GL_CLEAN!F249)</f>
        <v/>
      </c>
      <c r="N249" s="11">
        <f>IF(MATCH_ENGINE!A249="","",GL_CLEAN!G249)</f>
        <v/>
      </c>
      <c r="O249" s="11">
        <f>IF(MATCH_ENGINE!H249="","",INDEX(BANK_CLEAN!$C$2:$C$1001,MATCH_ENGINE!H249))</f>
        <v/>
      </c>
      <c r="P249" s="11" t="inlineStr"/>
    </row>
    <row r="250">
      <c r="A250" s="11">
        <f>IF(MATCH_ENGINE!A250="","",MATCH_ENGINE!N250)</f>
        <v/>
      </c>
      <c r="B250" s="11">
        <f>IF(MATCH_ENGINE!A250="","",MATCH_ENGINE!C250)</f>
        <v/>
      </c>
      <c r="C250" s="10">
        <f>IF(MATCH_ENGINE!A250="","",MATCH_ENGINE!B250)</f>
        <v/>
      </c>
      <c r="D250" s="16">
        <f>IF(MATCH_ENGINE!A250="","",MATCH_ENGINE!D250)</f>
        <v/>
      </c>
      <c r="E250" s="11">
        <f>IF(MATCH_ENGINE!A250="","",MATCH_ENGINE!F250)</f>
        <v/>
      </c>
      <c r="F250" s="10">
        <f>IF(MATCH_ENGINE!A250="","",MATCH_ENGINE!I250)</f>
        <v/>
      </c>
      <c r="G250" s="16">
        <f>IF(MATCH_ENGINE!H250="","",IF(MATCH_ENGINE!F250="IN",MATCH_ENGINE!J250,""))</f>
        <v/>
      </c>
      <c r="H250" s="16">
        <f>IF(MATCH_ENGINE!H250="","",IF(MATCH_ENGINE!F250="OUT",MATCH_ENGINE!J250,""))</f>
        <v/>
      </c>
      <c r="I250" s="16">
        <f>IF(MATCH_ENGINE!H250="","",MATCH_ENGINE!J250)</f>
        <v/>
      </c>
      <c r="J250" s="12">
        <f>IF(MATCH_ENGINE!A250="","",MATCH_ENGINE!K250)</f>
        <v/>
      </c>
      <c r="K250" s="11">
        <f>IF(MATCH_ENGINE!A250="","",MATCH_ENGINE!L250)</f>
        <v/>
      </c>
      <c r="L250" s="17">
        <f>IF(MATCH_ENGINE!A250="","",MATCH_ENGINE!M250)</f>
        <v/>
      </c>
      <c r="M250" s="11">
        <f>IF(MATCH_ENGINE!A250="","",GL_CLEAN!F250)</f>
        <v/>
      </c>
      <c r="N250" s="11">
        <f>IF(MATCH_ENGINE!A250="","",GL_CLEAN!G250)</f>
        <v/>
      </c>
      <c r="O250" s="11">
        <f>IF(MATCH_ENGINE!H250="","",INDEX(BANK_CLEAN!$C$2:$C$1001,MATCH_ENGINE!H250))</f>
        <v/>
      </c>
      <c r="P250" s="11" t="inlineStr"/>
    </row>
    <row r="251">
      <c r="A251" s="11">
        <f>IF(MATCH_ENGINE!A251="","",MATCH_ENGINE!N251)</f>
        <v/>
      </c>
      <c r="B251" s="11">
        <f>IF(MATCH_ENGINE!A251="","",MATCH_ENGINE!C251)</f>
        <v/>
      </c>
      <c r="C251" s="10">
        <f>IF(MATCH_ENGINE!A251="","",MATCH_ENGINE!B251)</f>
        <v/>
      </c>
      <c r="D251" s="16">
        <f>IF(MATCH_ENGINE!A251="","",MATCH_ENGINE!D251)</f>
        <v/>
      </c>
      <c r="E251" s="11">
        <f>IF(MATCH_ENGINE!A251="","",MATCH_ENGINE!F251)</f>
        <v/>
      </c>
      <c r="F251" s="10">
        <f>IF(MATCH_ENGINE!A251="","",MATCH_ENGINE!I251)</f>
        <v/>
      </c>
      <c r="G251" s="16">
        <f>IF(MATCH_ENGINE!H251="","",IF(MATCH_ENGINE!F251="IN",MATCH_ENGINE!J251,""))</f>
        <v/>
      </c>
      <c r="H251" s="16">
        <f>IF(MATCH_ENGINE!H251="","",IF(MATCH_ENGINE!F251="OUT",MATCH_ENGINE!J251,""))</f>
        <v/>
      </c>
      <c r="I251" s="16">
        <f>IF(MATCH_ENGINE!H251="","",MATCH_ENGINE!J251)</f>
        <v/>
      </c>
      <c r="J251" s="12">
        <f>IF(MATCH_ENGINE!A251="","",MATCH_ENGINE!K251)</f>
        <v/>
      </c>
      <c r="K251" s="11">
        <f>IF(MATCH_ENGINE!A251="","",MATCH_ENGINE!L251)</f>
        <v/>
      </c>
      <c r="L251" s="17">
        <f>IF(MATCH_ENGINE!A251="","",MATCH_ENGINE!M251)</f>
        <v/>
      </c>
      <c r="M251" s="11">
        <f>IF(MATCH_ENGINE!A251="","",GL_CLEAN!F251)</f>
        <v/>
      </c>
      <c r="N251" s="11">
        <f>IF(MATCH_ENGINE!A251="","",GL_CLEAN!G251)</f>
        <v/>
      </c>
      <c r="O251" s="11">
        <f>IF(MATCH_ENGINE!H251="","",INDEX(BANK_CLEAN!$C$2:$C$1001,MATCH_ENGINE!H251))</f>
        <v/>
      </c>
      <c r="P251" s="11" t="inlineStr"/>
    </row>
    <row r="252">
      <c r="A252" s="11">
        <f>IF(MATCH_ENGINE!A252="","",MATCH_ENGINE!N252)</f>
        <v/>
      </c>
      <c r="B252" s="11">
        <f>IF(MATCH_ENGINE!A252="","",MATCH_ENGINE!C252)</f>
        <v/>
      </c>
      <c r="C252" s="10">
        <f>IF(MATCH_ENGINE!A252="","",MATCH_ENGINE!B252)</f>
        <v/>
      </c>
      <c r="D252" s="16">
        <f>IF(MATCH_ENGINE!A252="","",MATCH_ENGINE!D252)</f>
        <v/>
      </c>
      <c r="E252" s="11">
        <f>IF(MATCH_ENGINE!A252="","",MATCH_ENGINE!F252)</f>
        <v/>
      </c>
      <c r="F252" s="10">
        <f>IF(MATCH_ENGINE!A252="","",MATCH_ENGINE!I252)</f>
        <v/>
      </c>
      <c r="G252" s="16">
        <f>IF(MATCH_ENGINE!H252="","",IF(MATCH_ENGINE!F252="IN",MATCH_ENGINE!J252,""))</f>
        <v/>
      </c>
      <c r="H252" s="16">
        <f>IF(MATCH_ENGINE!H252="","",IF(MATCH_ENGINE!F252="OUT",MATCH_ENGINE!J252,""))</f>
        <v/>
      </c>
      <c r="I252" s="16">
        <f>IF(MATCH_ENGINE!H252="","",MATCH_ENGINE!J252)</f>
        <v/>
      </c>
      <c r="J252" s="12">
        <f>IF(MATCH_ENGINE!A252="","",MATCH_ENGINE!K252)</f>
        <v/>
      </c>
      <c r="K252" s="11">
        <f>IF(MATCH_ENGINE!A252="","",MATCH_ENGINE!L252)</f>
        <v/>
      </c>
      <c r="L252" s="17">
        <f>IF(MATCH_ENGINE!A252="","",MATCH_ENGINE!M252)</f>
        <v/>
      </c>
      <c r="M252" s="11">
        <f>IF(MATCH_ENGINE!A252="","",GL_CLEAN!F252)</f>
        <v/>
      </c>
      <c r="N252" s="11">
        <f>IF(MATCH_ENGINE!A252="","",GL_CLEAN!G252)</f>
        <v/>
      </c>
      <c r="O252" s="11">
        <f>IF(MATCH_ENGINE!H252="","",INDEX(BANK_CLEAN!$C$2:$C$1001,MATCH_ENGINE!H252))</f>
        <v/>
      </c>
      <c r="P252" s="11" t="inlineStr"/>
    </row>
    <row r="253">
      <c r="A253" s="11">
        <f>IF(MATCH_ENGINE!A253="","",MATCH_ENGINE!N253)</f>
        <v/>
      </c>
      <c r="B253" s="11">
        <f>IF(MATCH_ENGINE!A253="","",MATCH_ENGINE!C253)</f>
        <v/>
      </c>
      <c r="C253" s="10">
        <f>IF(MATCH_ENGINE!A253="","",MATCH_ENGINE!B253)</f>
        <v/>
      </c>
      <c r="D253" s="16">
        <f>IF(MATCH_ENGINE!A253="","",MATCH_ENGINE!D253)</f>
        <v/>
      </c>
      <c r="E253" s="11">
        <f>IF(MATCH_ENGINE!A253="","",MATCH_ENGINE!F253)</f>
        <v/>
      </c>
      <c r="F253" s="10">
        <f>IF(MATCH_ENGINE!A253="","",MATCH_ENGINE!I253)</f>
        <v/>
      </c>
      <c r="G253" s="16">
        <f>IF(MATCH_ENGINE!H253="","",IF(MATCH_ENGINE!F253="IN",MATCH_ENGINE!J253,""))</f>
        <v/>
      </c>
      <c r="H253" s="16">
        <f>IF(MATCH_ENGINE!H253="","",IF(MATCH_ENGINE!F253="OUT",MATCH_ENGINE!J253,""))</f>
        <v/>
      </c>
      <c r="I253" s="16">
        <f>IF(MATCH_ENGINE!H253="","",MATCH_ENGINE!J253)</f>
        <v/>
      </c>
      <c r="J253" s="12">
        <f>IF(MATCH_ENGINE!A253="","",MATCH_ENGINE!K253)</f>
        <v/>
      </c>
      <c r="K253" s="11">
        <f>IF(MATCH_ENGINE!A253="","",MATCH_ENGINE!L253)</f>
        <v/>
      </c>
      <c r="L253" s="17">
        <f>IF(MATCH_ENGINE!A253="","",MATCH_ENGINE!M253)</f>
        <v/>
      </c>
      <c r="M253" s="11">
        <f>IF(MATCH_ENGINE!A253="","",GL_CLEAN!F253)</f>
        <v/>
      </c>
      <c r="N253" s="11">
        <f>IF(MATCH_ENGINE!A253="","",GL_CLEAN!G253)</f>
        <v/>
      </c>
      <c r="O253" s="11">
        <f>IF(MATCH_ENGINE!H253="","",INDEX(BANK_CLEAN!$C$2:$C$1001,MATCH_ENGINE!H253))</f>
        <v/>
      </c>
      <c r="P253" s="11" t="inlineStr"/>
    </row>
    <row r="254">
      <c r="A254" s="11">
        <f>IF(MATCH_ENGINE!A254="","",MATCH_ENGINE!N254)</f>
        <v/>
      </c>
      <c r="B254" s="11">
        <f>IF(MATCH_ENGINE!A254="","",MATCH_ENGINE!C254)</f>
        <v/>
      </c>
      <c r="C254" s="10">
        <f>IF(MATCH_ENGINE!A254="","",MATCH_ENGINE!B254)</f>
        <v/>
      </c>
      <c r="D254" s="16">
        <f>IF(MATCH_ENGINE!A254="","",MATCH_ENGINE!D254)</f>
        <v/>
      </c>
      <c r="E254" s="11">
        <f>IF(MATCH_ENGINE!A254="","",MATCH_ENGINE!F254)</f>
        <v/>
      </c>
      <c r="F254" s="10">
        <f>IF(MATCH_ENGINE!A254="","",MATCH_ENGINE!I254)</f>
        <v/>
      </c>
      <c r="G254" s="16">
        <f>IF(MATCH_ENGINE!H254="","",IF(MATCH_ENGINE!F254="IN",MATCH_ENGINE!J254,""))</f>
        <v/>
      </c>
      <c r="H254" s="16">
        <f>IF(MATCH_ENGINE!H254="","",IF(MATCH_ENGINE!F254="OUT",MATCH_ENGINE!J254,""))</f>
        <v/>
      </c>
      <c r="I254" s="16">
        <f>IF(MATCH_ENGINE!H254="","",MATCH_ENGINE!J254)</f>
        <v/>
      </c>
      <c r="J254" s="12">
        <f>IF(MATCH_ENGINE!A254="","",MATCH_ENGINE!K254)</f>
        <v/>
      </c>
      <c r="K254" s="11">
        <f>IF(MATCH_ENGINE!A254="","",MATCH_ENGINE!L254)</f>
        <v/>
      </c>
      <c r="L254" s="17">
        <f>IF(MATCH_ENGINE!A254="","",MATCH_ENGINE!M254)</f>
        <v/>
      </c>
      <c r="M254" s="11">
        <f>IF(MATCH_ENGINE!A254="","",GL_CLEAN!F254)</f>
        <v/>
      </c>
      <c r="N254" s="11">
        <f>IF(MATCH_ENGINE!A254="","",GL_CLEAN!G254)</f>
        <v/>
      </c>
      <c r="O254" s="11">
        <f>IF(MATCH_ENGINE!H254="","",INDEX(BANK_CLEAN!$C$2:$C$1001,MATCH_ENGINE!H254))</f>
        <v/>
      </c>
      <c r="P254" s="11" t="inlineStr"/>
    </row>
    <row r="255">
      <c r="A255" s="11">
        <f>IF(MATCH_ENGINE!A255="","",MATCH_ENGINE!N255)</f>
        <v/>
      </c>
      <c r="B255" s="11">
        <f>IF(MATCH_ENGINE!A255="","",MATCH_ENGINE!C255)</f>
        <v/>
      </c>
      <c r="C255" s="10">
        <f>IF(MATCH_ENGINE!A255="","",MATCH_ENGINE!B255)</f>
        <v/>
      </c>
      <c r="D255" s="16">
        <f>IF(MATCH_ENGINE!A255="","",MATCH_ENGINE!D255)</f>
        <v/>
      </c>
      <c r="E255" s="11">
        <f>IF(MATCH_ENGINE!A255="","",MATCH_ENGINE!F255)</f>
        <v/>
      </c>
      <c r="F255" s="10">
        <f>IF(MATCH_ENGINE!A255="","",MATCH_ENGINE!I255)</f>
        <v/>
      </c>
      <c r="G255" s="16">
        <f>IF(MATCH_ENGINE!H255="","",IF(MATCH_ENGINE!F255="IN",MATCH_ENGINE!J255,""))</f>
        <v/>
      </c>
      <c r="H255" s="16">
        <f>IF(MATCH_ENGINE!H255="","",IF(MATCH_ENGINE!F255="OUT",MATCH_ENGINE!J255,""))</f>
        <v/>
      </c>
      <c r="I255" s="16">
        <f>IF(MATCH_ENGINE!H255="","",MATCH_ENGINE!J255)</f>
        <v/>
      </c>
      <c r="J255" s="12">
        <f>IF(MATCH_ENGINE!A255="","",MATCH_ENGINE!K255)</f>
        <v/>
      </c>
      <c r="K255" s="11">
        <f>IF(MATCH_ENGINE!A255="","",MATCH_ENGINE!L255)</f>
        <v/>
      </c>
      <c r="L255" s="17">
        <f>IF(MATCH_ENGINE!A255="","",MATCH_ENGINE!M255)</f>
        <v/>
      </c>
      <c r="M255" s="11">
        <f>IF(MATCH_ENGINE!A255="","",GL_CLEAN!F255)</f>
        <v/>
      </c>
      <c r="N255" s="11">
        <f>IF(MATCH_ENGINE!A255="","",GL_CLEAN!G255)</f>
        <v/>
      </c>
      <c r="O255" s="11">
        <f>IF(MATCH_ENGINE!H255="","",INDEX(BANK_CLEAN!$C$2:$C$1001,MATCH_ENGINE!H255))</f>
        <v/>
      </c>
      <c r="P255" s="11" t="inlineStr"/>
    </row>
    <row r="256">
      <c r="A256" s="11">
        <f>IF(MATCH_ENGINE!A256="","",MATCH_ENGINE!N256)</f>
        <v/>
      </c>
      <c r="B256" s="11">
        <f>IF(MATCH_ENGINE!A256="","",MATCH_ENGINE!C256)</f>
        <v/>
      </c>
      <c r="C256" s="10">
        <f>IF(MATCH_ENGINE!A256="","",MATCH_ENGINE!B256)</f>
        <v/>
      </c>
      <c r="D256" s="16">
        <f>IF(MATCH_ENGINE!A256="","",MATCH_ENGINE!D256)</f>
        <v/>
      </c>
      <c r="E256" s="11">
        <f>IF(MATCH_ENGINE!A256="","",MATCH_ENGINE!F256)</f>
        <v/>
      </c>
      <c r="F256" s="10">
        <f>IF(MATCH_ENGINE!A256="","",MATCH_ENGINE!I256)</f>
        <v/>
      </c>
      <c r="G256" s="16">
        <f>IF(MATCH_ENGINE!H256="","",IF(MATCH_ENGINE!F256="IN",MATCH_ENGINE!J256,""))</f>
        <v/>
      </c>
      <c r="H256" s="16">
        <f>IF(MATCH_ENGINE!H256="","",IF(MATCH_ENGINE!F256="OUT",MATCH_ENGINE!J256,""))</f>
        <v/>
      </c>
      <c r="I256" s="16">
        <f>IF(MATCH_ENGINE!H256="","",MATCH_ENGINE!J256)</f>
        <v/>
      </c>
      <c r="J256" s="12">
        <f>IF(MATCH_ENGINE!A256="","",MATCH_ENGINE!K256)</f>
        <v/>
      </c>
      <c r="K256" s="11">
        <f>IF(MATCH_ENGINE!A256="","",MATCH_ENGINE!L256)</f>
        <v/>
      </c>
      <c r="L256" s="17">
        <f>IF(MATCH_ENGINE!A256="","",MATCH_ENGINE!M256)</f>
        <v/>
      </c>
      <c r="M256" s="11">
        <f>IF(MATCH_ENGINE!A256="","",GL_CLEAN!F256)</f>
        <v/>
      </c>
      <c r="N256" s="11">
        <f>IF(MATCH_ENGINE!A256="","",GL_CLEAN!G256)</f>
        <v/>
      </c>
      <c r="O256" s="11">
        <f>IF(MATCH_ENGINE!H256="","",INDEX(BANK_CLEAN!$C$2:$C$1001,MATCH_ENGINE!H256))</f>
        <v/>
      </c>
      <c r="P256" s="11" t="inlineStr"/>
    </row>
    <row r="257">
      <c r="A257" s="11">
        <f>IF(MATCH_ENGINE!A257="","",MATCH_ENGINE!N257)</f>
        <v/>
      </c>
      <c r="B257" s="11">
        <f>IF(MATCH_ENGINE!A257="","",MATCH_ENGINE!C257)</f>
        <v/>
      </c>
      <c r="C257" s="10">
        <f>IF(MATCH_ENGINE!A257="","",MATCH_ENGINE!B257)</f>
        <v/>
      </c>
      <c r="D257" s="16">
        <f>IF(MATCH_ENGINE!A257="","",MATCH_ENGINE!D257)</f>
        <v/>
      </c>
      <c r="E257" s="11">
        <f>IF(MATCH_ENGINE!A257="","",MATCH_ENGINE!F257)</f>
        <v/>
      </c>
      <c r="F257" s="10">
        <f>IF(MATCH_ENGINE!A257="","",MATCH_ENGINE!I257)</f>
        <v/>
      </c>
      <c r="G257" s="16">
        <f>IF(MATCH_ENGINE!H257="","",IF(MATCH_ENGINE!F257="IN",MATCH_ENGINE!J257,""))</f>
        <v/>
      </c>
      <c r="H257" s="16">
        <f>IF(MATCH_ENGINE!H257="","",IF(MATCH_ENGINE!F257="OUT",MATCH_ENGINE!J257,""))</f>
        <v/>
      </c>
      <c r="I257" s="16">
        <f>IF(MATCH_ENGINE!H257="","",MATCH_ENGINE!J257)</f>
        <v/>
      </c>
      <c r="J257" s="12">
        <f>IF(MATCH_ENGINE!A257="","",MATCH_ENGINE!K257)</f>
        <v/>
      </c>
      <c r="K257" s="11">
        <f>IF(MATCH_ENGINE!A257="","",MATCH_ENGINE!L257)</f>
        <v/>
      </c>
      <c r="L257" s="17">
        <f>IF(MATCH_ENGINE!A257="","",MATCH_ENGINE!M257)</f>
        <v/>
      </c>
      <c r="M257" s="11">
        <f>IF(MATCH_ENGINE!A257="","",GL_CLEAN!F257)</f>
        <v/>
      </c>
      <c r="N257" s="11">
        <f>IF(MATCH_ENGINE!A257="","",GL_CLEAN!G257)</f>
        <v/>
      </c>
      <c r="O257" s="11">
        <f>IF(MATCH_ENGINE!H257="","",INDEX(BANK_CLEAN!$C$2:$C$1001,MATCH_ENGINE!H257))</f>
        <v/>
      </c>
      <c r="P257" s="11" t="inlineStr"/>
    </row>
    <row r="258">
      <c r="A258" s="11">
        <f>IF(MATCH_ENGINE!A258="","",MATCH_ENGINE!N258)</f>
        <v/>
      </c>
      <c r="B258" s="11">
        <f>IF(MATCH_ENGINE!A258="","",MATCH_ENGINE!C258)</f>
        <v/>
      </c>
      <c r="C258" s="10">
        <f>IF(MATCH_ENGINE!A258="","",MATCH_ENGINE!B258)</f>
        <v/>
      </c>
      <c r="D258" s="16">
        <f>IF(MATCH_ENGINE!A258="","",MATCH_ENGINE!D258)</f>
        <v/>
      </c>
      <c r="E258" s="11">
        <f>IF(MATCH_ENGINE!A258="","",MATCH_ENGINE!F258)</f>
        <v/>
      </c>
      <c r="F258" s="10">
        <f>IF(MATCH_ENGINE!A258="","",MATCH_ENGINE!I258)</f>
        <v/>
      </c>
      <c r="G258" s="16">
        <f>IF(MATCH_ENGINE!H258="","",IF(MATCH_ENGINE!F258="IN",MATCH_ENGINE!J258,""))</f>
        <v/>
      </c>
      <c r="H258" s="16">
        <f>IF(MATCH_ENGINE!H258="","",IF(MATCH_ENGINE!F258="OUT",MATCH_ENGINE!J258,""))</f>
        <v/>
      </c>
      <c r="I258" s="16">
        <f>IF(MATCH_ENGINE!H258="","",MATCH_ENGINE!J258)</f>
        <v/>
      </c>
      <c r="J258" s="12">
        <f>IF(MATCH_ENGINE!A258="","",MATCH_ENGINE!K258)</f>
        <v/>
      </c>
      <c r="K258" s="11">
        <f>IF(MATCH_ENGINE!A258="","",MATCH_ENGINE!L258)</f>
        <v/>
      </c>
      <c r="L258" s="17">
        <f>IF(MATCH_ENGINE!A258="","",MATCH_ENGINE!M258)</f>
        <v/>
      </c>
      <c r="M258" s="11">
        <f>IF(MATCH_ENGINE!A258="","",GL_CLEAN!F258)</f>
        <v/>
      </c>
      <c r="N258" s="11">
        <f>IF(MATCH_ENGINE!A258="","",GL_CLEAN!G258)</f>
        <v/>
      </c>
      <c r="O258" s="11">
        <f>IF(MATCH_ENGINE!H258="","",INDEX(BANK_CLEAN!$C$2:$C$1001,MATCH_ENGINE!H258))</f>
        <v/>
      </c>
      <c r="P258" s="11" t="inlineStr"/>
    </row>
    <row r="259">
      <c r="A259" s="11">
        <f>IF(MATCH_ENGINE!A259="","",MATCH_ENGINE!N259)</f>
        <v/>
      </c>
      <c r="B259" s="11">
        <f>IF(MATCH_ENGINE!A259="","",MATCH_ENGINE!C259)</f>
        <v/>
      </c>
      <c r="C259" s="10">
        <f>IF(MATCH_ENGINE!A259="","",MATCH_ENGINE!B259)</f>
        <v/>
      </c>
      <c r="D259" s="16">
        <f>IF(MATCH_ENGINE!A259="","",MATCH_ENGINE!D259)</f>
        <v/>
      </c>
      <c r="E259" s="11">
        <f>IF(MATCH_ENGINE!A259="","",MATCH_ENGINE!F259)</f>
        <v/>
      </c>
      <c r="F259" s="10">
        <f>IF(MATCH_ENGINE!A259="","",MATCH_ENGINE!I259)</f>
        <v/>
      </c>
      <c r="G259" s="16">
        <f>IF(MATCH_ENGINE!H259="","",IF(MATCH_ENGINE!F259="IN",MATCH_ENGINE!J259,""))</f>
        <v/>
      </c>
      <c r="H259" s="16">
        <f>IF(MATCH_ENGINE!H259="","",IF(MATCH_ENGINE!F259="OUT",MATCH_ENGINE!J259,""))</f>
        <v/>
      </c>
      <c r="I259" s="16">
        <f>IF(MATCH_ENGINE!H259="","",MATCH_ENGINE!J259)</f>
        <v/>
      </c>
      <c r="J259" s="12">
        <f>IF(MATCH_ENGINE!A259="","",MATCH_ENGINE!K259)</f>
        <v/>
      </c>
      <c r="K259" s="11">
        <f>IF(MATCH_ENGINE!A259="","",MATCH_ENGINE!L259)</f>
        <v/>
      </c>
      <c r="L259" s="17">
        <f>IF(MATCH_ENGINE!A259="","",MATCH_ENGINE!M259)</f>
        <v/>
      </c>
      <c r="M259" s="11">
        <f>IF(MATCH_ENGINE!A259="","",GL_CLEAN!F259)</f>
        <v/>
      </c>
      <c r="N259" s="11">
        <f>IF(MATCH_ENGINE!A259="","",GL_CLEAN!G259)</f>
        <v/>
      </c>
      <c r="O259" s="11">
        <f>IF(MATCH_ENGINE!H259="","",INDEX(BANK_CLEAN!$C$2:$C$1001,MATCH_ENGINE!H259))</f>
        <v/>
      </c>
      <c r="P259" s="11" t="inlineStr"/>
    </row>
    <row r="260">
      <c r="A260" s="11">
        <f>IF(MATCH_ENGINE!A260="","",MATCH_ENGINE!N260)</f>
        <v/>
      </c>
      <c r="B260" s="11">
        <f>IF(MATCH_ENGINE!A260="","",MATCH_ENGINE!C260)</f>
        <v/>
      </c>
      <c r="C260" s="10">
        <f>IF(MATCH_ENGINE!A260="","",MATCH_ENGINE!B260)</f>
        <v/>
      </c>
      <c r="D260" s="16">
        <f>IF(MATCH_ENGINE!A260="","",MATCH_ENGINE!D260)</f>
        <v/>
      </c>
      <c r="E260" s="11">
        <f>IF(MATCH_ENGINE!A260="","",MATCH_ENGINE!F260)</f>
        <v/>
      </c>
      <c r="F260" s="10">
        <f>IF(MATCH_ENGINE!A260="","",MATCH_ENGINE!I260)</f>
        <v/>
      </c>
      <c r="G260" s="16">
        <f>IF(MATCH_ENGINE!H260="","",IF(MATCH_ENGINE!F260="IN",MATCH_ENGINE!J260,""))</f>
        <v/>
      </c>
      <c r="H260" s="16">
        <f>IF(MATCH_ENGINE!H260="","",IF(MATCH_ENGINE!F260="OUT",MATCH_ENGINE!J260,""))</f>
        <v/>
      </c>
      <c r="I260" s="16">
        <f>IF(MATCH_ENGINE!H260="","",MATCH_ENGINE!J260)</f>
        <v/>
      </c>
      <c r="J260" s="12">
        <f>IF(MATCH_ENGINE!A260="","",MATCH_ENGINE!K260)</f>
        <v/>
      </c>
      <c r="K260" s="11">
        <f>IF(MATCH_ENGINE!A260="","",MATCH_ENGINE!L260)</f>
        <v/>
      </c>
      <c r="L260" s="17">
        <f>IF(MATCH_ENGINE!A260="","",MATCH_ENGINE!M260)</f>
        <v/>
      </c>
      <c r="M260" s="11">
        <f>IF(MATCH_ENGINE!A260="","",GL_CLEAN!F260)</f>
        <v/>
      </c>
      <c r="N260" s="11">
        <f>IF(MATCH_ENGINE!A260="","",GL_CLEAN!G260)</f>
        <v/>
      </c>
      <c r="O260" s="11">
        <f>IF(MATCH_ENGINE!H260="","",INDEX(BANK_CLEAN!$C$2:$C$1001,MATCH_ENGINE!H260))</f>
        <v/>
      </c>
      <c r="P260" s="11" t="inlineStr"/>
    </row>
    <row r="261">
      <c r="A261" s="11">
        <f>IF(MATCH_ENGINE!A261="","",MATCH_ENGINE!N261)</f>
        <v/>
      </c>
      <c r="B261" s="11">
        <f>IF(MATCH_ENGINE!A261="","",MATCH_ENGINE!C261)</f>
        <v/>
      </c>
      <c r="C261" s="10">
        <f>IF(MATCH_ENGINE!A261="","",MATCH_ENGINE!B261)</f>
        <v/>
      </c>
      <c r="D261" s="16">
        <f>IF(MATCH_ENGINE!A261="","",MATCH_ENGINE!D261)</f>
        <v/>
      </c>
      <c r="E261" s="11">
        <f>IF(MATCH_ENGINE!A261="","",MATCH_ENGINE!F261)</f>
        <v/>
      </c>
      <c r="F261" s="10">
        <f>IF(MATCH_ENGINE!A261="","",MATCH_ENGINE!I261)</f>
        <v/>
      </c>
      <c r="G261" s="16">
        <f>IF(MATCH_ENGINE!H261="","",IF(MATCH_ENGINE!F261="IN",MATCH_ENGINE!J261,""))</f>
        <v/>
      </c>
      <c r="H261" s="16">
        <f>IF(MATCH_ENGINE!H261="","",IF(MATCH_ENGINE!F261="OUT",MATCH_ENGINE!J261,""))</f>
        <v/>
      </c>
      <c r="I261" s="16">
        <f>IF(MATCH_ENGINE!H261="","",MATCH_ENGINE!J261)</f>
        <v/>
      </c>
      <c r="J261" s="12">
        <f>IF(MATCH_ENGINE!A261="","",MATCH_ENGINE!K261)</f>
        <v/>
      </c>
      <c r="K261" s="11">
        <f>IF(MATCH_ENGINE!A261="","",MATCH_ENGINE!L261)</f>
        <v/>
      </c>
      <c r="L261" s="17">
        <f>IF(MATCH_ENGINE!A261="","",MATCH_ENGINE!M261)</f>
        <v/>
      </c>
      <c r="M261" s="11">
        <f>IF(MATCH_ENGINE!A261="","",GL_CLEAN!F261)</f>
        <v/>
      </c>
      <c r="N261" s="11">
        <f>IF(MATCH_ENGINE!A261="","",GL_CLEAN!G261)</f>
        <v/>
      </c>
      <c r="O261" s="11">
        <f>IF(MATCH_ENGINE!H261="","",INDEX(BANK_CLEAN!$C$2:$C$1001,MATCH_ENGINE!H261))</f>
        <v/>
      </c>
      <c r="P261" s="11" t="inlineStr"/>
    </row>
    <row r="262">
      <c r="A262" s="11">
        <f>IF(MATCH_ENGINE!A262="","",MATCH_ENGINE!N262)</f>
        <v/>
      </c>
      <c r="B262" s="11">
        <f>IF(MATCH_ENGINE!A262="","",MATCH_ENGINE!C262)</f>
        <v/>
      </c>
      <c r="C262" s="10">
        <f>IF(MATCH_ENGINE!A262="","",MATCH_ENGINE!B262)</f>
        <v/>
      </c>
      <c r="D262" s="16">
        <f>IF(MATCH_ENGINE!A262="","",MATCH_ENGINE!D262)</f>
        <v/>
      </c>
      <c r="E262" s="11">
        <f>IF(MATCH_ENGINE!A262="","",MATCH_ENGINE!F262)</f>
        <v/>
      </c>
      <c r="F262" s="10">
        <f>IF(MATCH_ENGINE!A262="","",MATCH_ENGINE!I262)</f>
        <v/>
      </c>
      <c r="G262" s="16">
        <f>IF(MATCH_ENGINE!H262="","",IF(MATCH_ENGINE!F262="IN",MATCH_ENGINE!J262,""))</f>
        <v/>
      </c>
      <c r="H262" s="16">
        <f>IF(MATCH_ENGINE!H262="","",IF(MATCH_ENGINE!F262="OUT",MATCH_ENGINE!J262,""))</f>
        <v/>
      </c>
      <c r="I262" s="16">
        <f>IF(MATCH_ENGINE!H262="","",MATCH_ENGINE!J262)</f>
        <v/>
      </c>
      <c r="J262" s="12">
        <f>IF(MATCH_ENGINE!A262="","",MATCH_ENGINE!K262)</f>
        <v/>
      </c>
      <c r="K262" s="11">
        <f>IF(MATCH_ENGINE!A262="","",MATCH_ENGINE!L262)</f>
        <v/>
      </c>
      <c r="L262" s="17">
        <f>IF(MATCH_ENGINE!A262="","",MATCH_ENGINE!M262)</f>
        <v/>
      </c>
      <c r="M262" s="11">
        <f>IF(MATCH_ENGINE!A262="","",GL_CLEAN!F262)</f>
        <v/>
      </c>
      <c r="N262" s="11">
        <f>IF(MATCH_ENGINE!A262="","",GL_CLEAN!G262)</f>
        <v/>
      </c>
      <c r="O262" s="11">
        <f>IF(MATCH_ENGINE!H262="","",INDEX(BANK_CLEAN!$C$2:$C$1001,MATCH_ENGINE!H262))</f>
        <v/>
      </c>
      <c r="P262" s="11" t="inlineStr"/>
    </row>
    <row r="263">
      <c r="A263" s="11">
        <f>IF(MATCH_ENGINE!A263="","",MATCH_ENGINE!N263)</f>
        <v/>
      </c>
      <c r="B263" s="11">
        <f>IF(MATCH_ENGINE!A263="","",MATCH_ENGINE!C263)</f>
        <v/>
      </c>
      <c r="C263" s="10">
        <f>IF(MATCH_ENGINE!A263="","",MATCH_ENGINE!B263)</f>
        <v/>
      </c>
      <c r="D263" s="16">
        <f>IF(MATCH_ENGINE!A263="","",MATCH_ENGINE!D263)</f>
        <v/>
      </c>
      <c r="E263" s="11">
        <f>IF(MATCH_ENGINE!A263="","",MATCH_ENGINE!F263)</f>
        <v/>
      </c>
      <c r="F263" s="10">
        <f>IF(MATCH_ENGINE!A263="","",MATCH_ENGINE!I263)</f>
        <v/>
      </c>
      <c r="G263" s="16">
        <f>IF(MATCH_ENGINE!H263="","",IF(MATCH_ENGINE!F263="IN",MATCH_ENGINE!J263,""))</f>
        <v/>
      </c>
      <c r="H263" s="16">
        <f>IF(MATCH_ENGINE!H263="","",IF(MATCH_ENGINE!F263="OUT",MATCH_ENGINE!J263,""))</f>
        <v/>
      </c>
      <c r="I263" s="16">
        <f>IF(MATCH_ENGINE!H263="","",MATCH_ENGINE!J263)</f>
        <v/>
      </c>
      <c r="J263" s="12">
        <f>IF(MATCH_ENGINE!A263="","",MATCH_ENGINE!K263)</f>
        <v/>
      </c>
      <c r="K263" s="11">
        <f>IF(MATCH_ENGINE!A263="","",MATCH_ENGINE!L263)</f>
        <v/>
      </c>
      <c r="L263" s="17">
        <f>IF(MATCH_ENGINE!A263="","",MATCH_ENGINE!M263)</f>
        <v/>
      </c>
      <c r="M263" s="11">
        <f>IF(MATCH_ENGINE!A263="","",GL_CLEAN!F263)</f>
        <v/>
      </c>
      <c r="N263" s="11">
        <f>IF(MATCH_ENGINE!A263="","",GL_CLEAN!G263)</f>
        <v/>
      </c>
      <c r="O263" s="11">
        <f>IF(MATCH_ENGINE!H263="","",INDEX(BANK_CLEAN!$C$2:$C$1001,MATCH_ENGINE!H263))</f>
        <v/>
      </c>
      <c r="P263" s="11" t="inlineStr"/>
    </row>
    <row r="264">
      <c r="A264" s="11">
        <f>IF(MATCH_ENGINE!A264="","",MATCH_ENGINE!N264)</f>
        <v/>
      </c>
      <c r="B264" s="11">
        <f>IF(MATCH_ENGINE!A264="","",MATCH_ENGINE!C264)</f>
        <v/>
      </c>
      <c r="C264" s="10">
        <f>IF(MATCH_ENGINE!A264="","",MATCH_ENGINE!B264)</f>
        <v/>
      </c>
      <c r="D264" s="16">
        <f>IF(MATCH_ENGINE!A264="","",MATCH_ENGINE!D264)</f>
        <v/>
      </c>
      <c r="E264" s="11">
        <f>IF(MATCH_ENGINE!A264="","",MATCH_ENGINE!F264)</f>
        <v/>
      </c>
      <c r="F264" s="10">
        <f>IF(MATCH_ENGINE!A264="","",MATCH_ENGINE!I264)</f>
        <v/>
      </c>
      <c r="G264" s="16">
        <f>IF(MATCH_ENGINE!H264="","",IF(MATCH_ENGINE!F264="IN",MATCH_ENGINE!J264,""))</f>
        <v/>
      </c>
      <c r="H264" s="16">
        <f>IF(MATCH_ENGINE!H264="","",IF(MATCH_ENGINE!F264="OUT",MATCH_ENGINE!J264,""))</f>
        <v/>
      </c>
      <c r="I264" s="16">
        <f>IF(MATCH_ENGINE!H264="","",MATCH_ENGINE!J264)</f>
        <v/>
      </c>
      <c r="J264" s="12">
        <f>IF(MATCH_ENGINE!A264="","",MATCH_ENGINE!K264)</f>
        <v/>
      </c>
      <c r="K264" s="11">
        <f>IF(MATCH_ENGINE!A264="","",MATCH_ENGINE!L264)</f>
        <v/>
      </c>
      <c r="L264" s="17">
        <f>IF(MATCH_ENGINE!A264="","",MATCH_ENGINE!M264)</f>
        <v/>
      </c>
      <c r="M264" s="11">
        <f>IF(MATCH_ENGINE!A264="","",GL_CLEAN!F264)</f>
        <v/>
      </c>
      <c r="N264" s="11">
        <f>IF(MATCH_ENGINE!A264="","",GL_CLEAN!G264)</f>
        <v/>
      </c>
      <c r="O264" s="11">
        <f>IF(MATCH_ENGINE!H264="","",INDEX(BANK_CLEAN!$C$2:$C$1001,MATCH_ENGINE!H264))</f>
        <v/>
      </c>
      <c r="P264" s="11" t="inlineStr"/>
    </row>
    <row r="265">
      <c r="A265" s="11">
        <f>IF(MATCH_ENGINE!A265="","",MATCH_ENGINE!N265)</f>
        <v/>
      </c>
      <c r="B265" s="11">
        <f>IF(MATCH_ENGINE!A265="","",MATCH_ENGINE!C265)</f>
        <v/>
      </c>
      <c r="C265" s="10">
        <f>IF(MATCH_ENGINE!A265="","",MATCH_ENGINE!B265)</f>
        <v/>
      </c>
      <c r="D265" s="16">
        <f>IF(MATCH_ENGINE!A265="","",MATCH_ENGINE!D265)</f>
        <v/>
      </c>
      <c r="E265" s="11">
        <f>IF(MATCH_ENGINE!A265="","",MATCH_ENGINE!F265)</f>
        <v/>
      </c>
      <c r="F265" s="10">
        <f>IF(MATCH_ENGINE!A265="","",MATCH_ENGINE!I265)</f>
        <v/>
      </c>
      <c r="G265" s="16">
        <f>IF(MATCH_ENGINE!H265="","",IF(MATCH_ENGINE!F265="IN",MATCH_ENGINE!J265,""))</f>
        <v/>
      </c>
      <c r="H265" s="16">
        <f>IF(MATCH_ENGINE!H265="","",IF(MATCH_ENGINE!F265="OUT",MATCH_ENGINE!J265,""))</f>
        <v/>
      </c>
      <c r="I265" s="16">
        <f>IF(MATCH_ENGINE!H265="","",MATCH_ENGINE!J265)</f>
        <v/>
      </c>
      <c r="J265" s="12">
        <f>IF(MATCH_ENGINE!A265="","",MATCH_ENGINE!K265)</f>
        <v/>
      </c>
      <c r="K265" s="11">
        <f>IF(MATCH_ENGINE!A265="","",MATCH_ENGINE!L265)</f>
        <v/>
      </c>
      <c r="L265" s="17">
        <f>IF(MATCH_ENGINE!A265="","",MATCH_ENGINE!M265)</f>
        <v/>
      </c>
      <c r="M265" s="11">
        <f>IF(MATCH_ENGINE!A265="","",GL_CLEAN!F265)</f>
        <v/>
      </c>
      <c r="N265" s="11">
        <f>IF(MATCH_ENGINE!A265="","",GL_CLEAN!G265)</f>
        <v/>
      </c>
      <c r="O265" s="11">
        <f>IF(MATCH_ENGINE!H265="","",INDEX(BANK_CLEAN!$C$2:$C$1001,MATCH_ENGINE!H265))</f>
        <v/>
      </c>
      <c r="P265" s="11" t="inlineStr"/>
    </row>
    <row r="266">
      <c r="A266" s="11">
        <f>IF(MATCH_ENGINE!A266="","",MATCH_ENGINE!N266)</f>
        <v/>
      </c>
      <c r="B266" s="11">
        <f>IF(MATCH_ENGINE!A266="","",MATCH_ENGINE!C266)</f>
        <v/>
      </c>
      <c r="C266" s="10">
        <f>IF(MATCH_ENGINE!A266="","",MATCH_ENGINE!B266)</f>
        <v/>
      </c>
      <c r="D266" s="16">
        <f>IF(MATCH_ENGINE!A266="","",MATCH_ENGINE!D266)</f>
        <v/>
      </c>
      <c r="E266" s="11">
        <f>IF(MATCH_ENGINE!A266="","",MATCH_ENGINE!F266)</f>
        <v/>
      </c>
      <c r="F266" s="10">
        <f>IF(MATCH_ENGINE!A266="","",MATCH_ENGINE!I266)</f>
        <v/>
      </c>
      <c r="G266" s="16">
        <f>IF(MATCH_ENGINE!H266="","",IF(MATCH_ENGINE!F266="IN",MATCH_ENGINE!J266,""))</f>
        <v/>
      </c>
      <c r="H266" s="16">
        <f>IF(MATCH_ENGINE!H266="","",IF(MATCH_ENGINE!F266="OUT",MATCH_ENGINE!J266,""))</f>
        <v/>
      </c>
      <c r="I266" s="16">
        <f>IF(MATCH_ENGINE!H266="","",MATCH_ENGINE!J266)</f>
        <v/>
      </c>
      <c r="J266" s="12">
        <f>IF(MATCH_ENGINE!A266="","",MATCH_ENGINE!K266)</f>
        <v/>
      </c>
      <c r="K266" s="11">
        <f>IF(MATCH_ENGINE!A266="","",MATCH_ENGINE!L266)</f>
        <v/>
      </c>
      <c r="L266" s="17">
        <f>IF(MATCH_ENGINE!A266="","",MATCH_ENGINE!M266)</f>
        <v/>
      </c>
      <c r="M266" s="11">
        <f>IF(MATCH_ENGINE!A266="","",GL_CLEAN!F266)</f>
        <v/>
      </c>
      <c r="N266" s="11">
        <f>IF(MATCH_ENGINE!A266="","",GL_CLEAN!G266)</f>
        <v/>
      </c>
      <c r="O266" s="11">
        <f>IF(MATCH_ENGINE!H266="","",INDEX(BANK_CLEAN!$C$2:$C$1001,MATCH_ENGINE!H266))</f>
        <v/>
      </c>
      <c r="P266" s="11" t="inlineStr"/>
    </row>
    <row r="267">
      <c r="A267" s="11">
        <f>IF(MATCH_ENGINE!A267="","",MATCH_ENGINE!N267)</f>
        <v/>
      </c>
      <c r="B267" s="11">
        <f>IF(MATCH_ENGINE!A267="","",MATCH_ENGINE!C267)</f>
        <v/>
      </c>
      <c r="C267" s="10">
        <f>IF(MATCH_ENGINE!A267="","",MATCH_ENGINE!B267)</f>
        <v/>
      </c>
      <c r="D267" s="16">
        <f>IF(MATCH_ENGINE!A267="","",MATCH_ENGINE!D267)</f>
        <v/>
      </c>
      <c r="E267" s="11">
        <f>IF(MATCH_ENGINE!A267="","",MATCH_ENGINE!F267)</f>
        <v/>
      </c>
      <c r="F267" s="10">
        <f>IF(MATCH_ENGINE!A267="","",MATCH_ENGINE!I267)</f>
        <v/>
      </c>
      <c r="G267" s="16">
        <f>IF(MATCH_ENGINE!H267="","",IF(MATCH_ENGINE!F267="IN",MATCH_ENGINE!J267,""))</f>
        <v/>
      </c>
      <c r="H267" s="16">
        <f>IF(MATCH_ENGINE!H267="","",IF(MATCH_ENGINE!F267="OUT",MATCH_ENGINE!J267,""))</f>
        <v/>
      </c>
      <c r="I267" s="16">
        <f>IF(MATCH_ENGINE!H267="","",MATCH_ENGINE!J267)</f>
        <v/>
      </c>
      <c r="J267" s="12">
        <f>IF(MATCH_ENGINE!A267="","",MATCH_ENGINE!K267)</f>
        <v/>
      </c>
      <c r="K267" s="11">
        <f>IF(MATCH_ENGINE!A267="","",MATCH_ENGINE!L267)</f>
        <v/>
      </c>
      <c r="L267" s="17">
        <f>IF(MATCH_ENGINE!A267="","",MATCH_ENGINE!M267)</f>
        <v/>
      </c>
      <c r="M267" s="11">
        <f>IF(MATCH_ENGINE!A267="","",GL_CLEAN!F267)</f>
        <v/>
      </c>
      <c r="N267" s="11">
        <f>IF(MATCH_ENGINE!A267="","",GL_CLEAN!G267)</f>
        <v/>
      </c>
      <c r="O267" s="11">
        <f>IF(MATCH_ENGINE!H267="","",INDEX(BANK_CLEAN!$C$2:$C$1001,MATCH_ENGINE!H267))</f>
        <v/>
      </c>
      <c r="P267" s="11" t="inlineStr"/>
    </row>
    <row r="268">
      <c r="A268" s="11">
        <f>IF(MATCH_ENGINE!A268="","",MATCH_ENGINE!N268)</f>
        <v/>
      </c>
      <c r="B268" s="11">
        <f>IF(MATCH_ENGINE!A268="","",MATCH_ENGINE!C268)</f>
        <v/>
      </c>
      <c r="C268" s="10">
        <f>IF(MATCH_ENGINE!A268="","",MATCH_ENGINE!B268)</f>
        <v/>
      </c>
      <c r="D268" s="16">
        <f>IF(MATCH_ENGINE!A268="","",MATCH_ENGINE!D268)</f>
        <v/>
      </c>
      <c r="E268" s="11">
        <f>IF(MATCH_ENGINE!A268="","",MATCH_ENGINE!F268)</f>
        <v/>
      </c>
      <c r="F268" s="10">
        <f>IF(MATCH_ENGINE!A268="","",MATCH_ENGINE!I268)</f>
        <v/>
      </c>
      <c r="G268" s="16">
        <f>IF(MATCH_ENGINE!H268="","",IF(MATCH_ENGINE!F268="IN",MATCH_ENGINE!J268,""))</f>
        <v/>
      </c>
      <c r="H268" s="16">
        <f>IF(MATCH_ENGINE!H268="","",IF(MATCH_ENGINE!F268="OUT",MATCH_ENGINE!J268,""))</f>
        <v/>
      </c>
      <c r="I268" s="16">
        <f>IF(MATCH_ENGINE!H268="","",MATCH_ENGINE!J268)</f>
        <v/>
      </c>
      <c r="J268" s="12">
        <f>IF(MATCH_ENGINE!A268="","",MATCH_ENGINE!K268)</f>
        <v/>
      </c>
      <c r="K268" s="11">
        <f>IF(MATCH_ENGINE!A268="","",MATCH_ENGINE!L268)</f>
        <v/>
      </c>
      <c r="L268" s="17">
        <f>IF(MATCH_ENGINE!A268="","",MATCH_ENGINE!M268)</f>
        <v/>
      </c>
      <c r="M268" s="11">
        <f>IF(MATCH_ENGINE!A268="","",GL_CLEAN!F268)</f>
        <v/>
      </c>
      <c r="N268" s="11">
        <f>IF(MATCH_ENGINE!A268="","",GL_CLEAN!G268)</f>
        <v/>
      </c>
      <c r="O268" s="11">
        <f>IF(MATCH_ENGINE!H268="","",INDEX(BANK_CLEAN!$C$2:$C$1001,MATCH_ENGINE!H268))</f>
        <v/>
      </c>
      <c r="P268" s="11" t="inlineStr"/>
    </row>
    <row r="269">
      <c r="A269" s="11">
        <f>IF(MATCH_ENGINE!A269="","",MATCH_ENGINE!N269)</f>
        <v/>
      </c>
      <c r="B269" s="11">
        <f>IF(MATCH_ENGINE!A269="","",MATCH_ENGINE!C269)</f>
        <v/>
      </c>
      <c r="C269" s="10">
        <f>IF(MATCH_ENGINE!A269="","",MATCH_ENGINE!B269)</f>
        <v/>
      </c>
      <c r="D269" s="16">
        <f>IF(MATCH_ENGINE!A269="","",MATCH_ENGINE!D269)</f>
        <v/>
      </c>
      <c r="E269" s="11">
        <f>IF(MATCH_ENGINE!A269="","",MATCH_ENGINE!F269)</f>
        <v/>
      </c>
      <c r="F269" s="10">
        <f>IF(MATCH_ENGINE!A269="","",MATCH_ENGINE!I269)</f>
        <v/>
      </c>
      <c r="G269" s="16">
        <f>IF(MATCH_ENGINE!H269="","",IF(MATCH_ENGINE!F269="IN",MATCH_ENGINE!J269,""))</f>
        <v/>
      </c>
      <c r="H269" s="16">
        <f>IF(MATCH_ENGINE!H269="","",IF(MATCH_ENGINE!F269="OUT",MATCH_ENGINE!J269,""))</f>
        <v/>
      </c>
      <c r="I269" s="16">
        <f>IF(MATCH_ENGINE!H269="","",MATCH_ENGINE!J269)</f>
        <v/>
      </c>
      <c r="J269" s="12">
        <f>IF(MATCH_ENGINE!A269="","",MATCH_ENGINE!K269)</f>
        <v/>
      </c>
      <c r="K269" s="11">
        <f>IF(MATCH_ENGINE!A269="","",MATCH_ENGINE!L269)</f>
        <v/>
      </c>
      <c r="L269" s="17">
        <f>IF(MATCH_ENGINE!A269="","",MATCH_ENGINE!M269)</f>
        <v/>
      </c>
      <c r="M269" s="11">
        <f>IF(MATCH_ENGINE!A269="","",GL_CLEAN!F269)</f>
        <v/>
      </c>
      <c r="N269" s="11">
        <f>IF(MATCH_ENGINE!A269="","",GL_CLEAN!G269)</f>
        <v/>
      </c>
      <c r="O269" s="11">
        <f>IF(MATCH_ENGINE!H269="","",INDEX(BANK_CLEAN!$C$2:$C$1001,MATCH_ENGINE!H269))</f>
        <v/>
      </c>
      <c r="P269" s="11" t="inlineStr"/>
    </row>
    <row r="270">
      <c r="A270" s="11">
        <f>IF(MATCH_ENGINE!A270="","",MATCH_ENGINE!N270)</f>
        <v/>
      </c>
      <c r="B270" s="11">
        <f>IF(MATCH_ENGINE!A270="","",MATCH_ENGINE!C270)</f>
        <v/>
      </c>
      <c r="C270" s="10">
        <f>IF(MATCH_ENGINE!A270="","",MATCH_ENGINE!B270)</f>
        <v/>
      </c>
      <c r="D270" s="16">
        <f>IF(MATCH_ENGINE!A270="","",MATCH_ENGINE!D270)</f>
        <v/>
      </c>
      <c r="E270" s="11">
        <f>IF(MATCH_ENGINE!A270="","",MATCH_ENGINE!F270)</f>
        <v/>
      </c>
      <c r="F270" s="10">
        <f>IF(MATCH_ENGINE!A270="","",MATCH_ENGINE!I270)</f>
        <v/>
      </c>
      <c r="G270" s="16">
        <f>IF(MATCH_ENGINE!H270="","",IF(MATCH_ENGINE!F270="IN",MATCH_ENGINE!J270,""))</f>
        <v/>
      </c>
      <c r="H270" s="16">
        <f>IF(MATCH_ENGINE!H270="","",IF(MATCH_ENGINE!F270="OUT",MATCH_ENGINE!J270,""))</f>
        <v/>
      </c>
      <c r="I270" s="16">
        <f>IF(MATCH_ENGINE!H270="","",MATCH_ENGINE!J270)</f>
        <v/>
      </c>
      <c r="J270" s="12">
        <f>IF(MATCH_ENGINE!A270="","",MATCH_ENGINE!K270)</f>
        <v/>
      </c>
      <c r="K270" s="11">
        <f>IF(MATCH_ENGINE!A270="","",MATCH_ENGINE!L270)</f>
        <v/>
      </c>
      <c r="L270" s="17">
        <f>IF(MATCH_ENGINE!A270="","",MATCH_ENGINE!M270)</f>
        <v/>
      </c>
      <c r="M270" s="11">
        <f>IF(MATCH_ENGINE!A270="","",GL_CLEAN!F270)</f>
        <v/>
      </c>
      <c r="N270" s="11">
        <f>IF(MATCH_ENGINE!A270="","",GL_CLEAN!G270)</f>
        <v/>
      </c>
      <c r="O270" s="11">
        <f>IF(MATCH_ENGINE!H270="","",INDEX(BANK_CLEAN!$C$2:$C$1001,MATCH_ENGINE!H270))</f>
        <v/>
      </c>
      <c r="P270" s="11" t="inlineStr"/>
    </row>
    <row r="271">
      <c r="A271" s="11">
        <f>IF(MATCH_ENGINE!A271="","",MATCH_ENGINE!N271)</f>
        <v/>
      </c>
      <c r="B271" s="11">
        <f>IF(MATCH_ENGINE!A271="","",MATCH_ENGINE!C271)</f>
        <v/>
      </c>
      <c r="C271" s="10">
        <f>IF(MATCH_ENGINE!A271="","",MATCH_ENGINE!B271)</f>
        <v/>
      </c>
      <c r="D271" s="16">
        <f>IF(MATCH_ENGINE!A271="","",MATCH_ENGINE!D271)</f>
        <v/>
      </c>
      <c r="E271" s="11">
        <f>IF(MATCH_ENGINE!A271="","",MATCH_ENGINE!F271)</f>
        <v/>
      </c>
      <c r="F271" s="10">
        <f>IF(MATCH_ENGINE!A271="","",MATCH_ENGINE!I271)</f>
        <v/>
      </c>
      <c r="G271" s="16">
        <f>IF(MATCH_ENGINE!H271="","",IF(MATCH_ENGINE!F271="IN",MATCH_ENGINE!J271,""))</f>
        <v/>
      </c>
      <c r="H271" s="16">
        <f>IF(MATCH_ENGINE!H271="","",IF(MATCH_ENGINE!F271="OUT",MATCH_ENGINE!J271,""))</f>
        <v/>
      </c>
      <c r="I271" s="16">
        <f>IF(MATCH_ENGINE!H271="","",MATCH_ENGINE!J271)</f>
        <v/>
      </c>
      <c r="J271" s="12">
        <f>IF(MATCH_ENGINE!A271="","",MATCH_ENGINE!K271)</f>
        <v/>
      </c>
      <c r="K271" s="11">
        <f>IF(MATCH_ENGINE!A271="","",MATCH_ENGINE!L271)</f>
        <v/>
      </c>
      <c r="L271" s="17">
        <f>IF(MATCH_ENGINE!A271="","",MATCH_ENGINE!M271)</f>
        <v/>
      </c>
      <c r="M271" s="11">
        <f>IF(MATCH_ENGINE!A271="","",GL_CLEAN!F271)</f>
        <v/>
      </c>
      <c r="N271" s="11">
        <f>IF(MATCH_ENGINE!A271="","",GL_CLEAN!G271)</f>
        <v/>
      </c>
      <c r="O271" s="11">
        <f>IF(MATCH_ENGINE!H271="","",INDEX(BANK_CLEAN!$C$2:$C$1001,MATCH_ENGINE!H271))</f>
        <v/>
      </c>
      <c r="P271" s="11" t="inlineStr"/>
    </row>
    <row r="272">
      <c r="A272" s="11">
        <f>IF(MATCH_ENGINE!A272="","",MATCH_ENGINE!N272)</f>
        <v/>
      </c>
      <c r="B272" s="11">
        <f>IF(MATCH_ENGINE!A272="","",MATCH_ENGINE!C272)</f>
        <v/>
      </c>
      <c r="C272" s="10">
        <f>IF(MATCH_ENGINE!A272="","",MATCH_ENGINE!B272)</f>
        <v/>
      </c>
      <c r="D272" s="16">
        <f>IF(MATCH_ENGINE!A272="","",MATCH_ENGINE!D272)</f>
        <v/>
      </c>
      <c r="E272" s="11">
        <f>IF(MATCH_ENGINE!A272="","",MATCH_ENGINE!F272)</f>
        <v/>
      </c>
      <c r="F272" s="10">
        <f>IF(MATCH_ENGINE!A272="","",MATCH_ENGINE!I272)</f>
        <v/>
      </c>
      <c r="G272" s="16">
        <f>IF(MATCH_ENGINE!H272="","",IF(MATCH_ENGINE!F272="IN",MATCH_ENGINE!J272,""))</f>
        <v/>
      </c>
      <c r="H272" s="16">
        <f>IF(MATCH_ENGINE!H272="","",IF(MATCH_ENGINE!F272="OUT",MATCH_ENGINE!J272,""))</f>
        <v/>
      </c>
      <c r="I272" s="16">
        <f>IF(MATCH_ENGINE!H272="","",MATCH_ENGINE!J272)</f>
        <v/>
      </c>
      <c r="J272" s="12">
        <f>IF(MATCH_ENGINE!A272="","",MATCH_ENGINE!K272)</f>
        <v/>
      </c>
      <c r="K272" s="11">
        <f>IF(MATCH_ENGINE!A272="","",MATCH_ENGINE!L272)</f>
        <v/>
      </c>
      <c r="L272" s="17">
        <f>IF(MATCH_ENGINE!A272="","",MATCH_ENGINE!M272)</f>
        <v/>
      </c>
      <c r="M272" s="11">
        <f>IF(MATCH_ENGINE!A272="","",GL_CLEAN!F272)</f>
        <v/>
      </c>
      <c r="N272" s="11">
        <f>IF(MATCH_ENGINE!A272="","",GL_CLEAN!G272)</f>
        <v/>
      </c>
      <c r="O272" s="11">
        <f>IF(MATCH_ENGINE!H272="","",INDEX(BANK_CLEAN!$C$2:$C$1001,MATCH_ENGINE!H272))</f>
        <v/>
      </c>
      <c r="P272" s="11" t="inlineStr"/>
    </row>
    <row r="273">
      <c r="A273" s="11">
        <f>IF(MATCH_ENGINE!A273="","",MATCH_ENGINE!N273)</f>
        <v/>
      </c>
      <c r="B273" s="11">
        <f>IF(MATCH_ENGINE!A273="","",MATCH_ENGINE!C273)</f>
        <v/>
      </c>
      <c r="C273" s="10">
        <f>IF(MATCH_ENGINE!A273="","",MATCH_ENGINE!B273)</f>
        <v/>
      </c>
      <c r="D273" s="16">
        <f>IF(MATCH_ENGINE!A273="","",MATCH_ENGINE!D273)</f>
        <v/>
      </c>
      <c r="E273" s="11">
        <f>IF(MATCH_ENGINE!A273="","",MATCH_ENGINE!F273)</f>
        <v/>
      </c>
      <c r="F273" s="10">
        <f>IF(MATCH_ENGINE!A273="","",MATCH_ENGINE!I273)</f>
        <v/>
      </c>
      <c r="G273" s="16">
        <f>IF(MATCH_ENGINE!H273="","",IF(MATCH_ENGINE!F273="IN",MATCH_ENGINE!J273,""))</f>
        <v/>
      </c>
      <c r="H273" s="16">
        <f>IF(MATCH_ENGINE!H273="","",IF(MATCH_ENGINE!F273="OUT",MATCH_ENGINE!J273,""))</f>
        <v/>
      </c>
      <c r="I273" s="16">
        <f>IF(MATCH_ENGINE!H273="","",MATCH_ENGINE!J273)</f>
        <v/>
      </c>
      <c r="J273" s="12">
        <f>IF(MATCH_ENGINE!A273="","",MATCH_ENGINE!K273)</f>
        <v/>
      </c>
      <c r="K273" s="11">
        <f>IF(MATCH_ENGINE!A273="","",MATCH_ENGINE!L273)</f>
        <v/>
      </c>
      <c r="L273" s="17">
        <f>IF(MATCH_ENGINE!A273="","",MATCH_ENGINE!M273)</f>
        <v/>
      </c>
      <c r="M273" s="11">
        <f>IF(MATCH_ENGINE!A273="","",GL_CLEAN!F273)</f>
        <v/>
      </c>
      <c r="N273" s="11">
        <f>IF(MATCH_ENGINE!A273="","",GL_CLEAN!G273)</f>
        <v/>
      </c>
      <c r="O273" s="11">
        <f>IF(MATCH_ENGINE!H273="","",INDEX(BANK_CLEAN!$C$2:$C$1001,MATCH_ENGINE!H273))</f>
        <v/>
      </c>
      <c r="P273" s="11" t="inlineStr"/>
    </row>
    <row r="274">
      <c r="A274" s="11">
        <f>IF(MATCH_ENGINE!A274="","",MATCH_ENGINE!N274)</f>
        <v/>
      </c>
      <c r="B274" s="11">
        <f>IF(MATCH_ENGINE!A274="","",MATCH_ENGINE!C274)</f>
        <v/>
      </c>
      <c r="C274" s="10">
        <f>IF(MATCH_ENGINE!A274="","",MATCH_ENGINE!B274)</f>
        <v/>
      </c>
      <c r="D274" s="16">
        <f>IF(MATCH_ENGINE!A274="","",MATCH_ENGINE!D274)</f>
        <v/>
      </c>
      <c r="E274" s="11">
        <f>IF(MATCH_ENGINE!A274="","",MATCH_ENGINE!F274)</f>
        <v/>
      </c>
      <c r="F274" s="10">
        <f>IF(MATCH_ENGINE!A274="","",MATCH_ENGINE!I274)</f>
        <v/>
      </c>
      <c r="G274" s="16">
        <f>IF(MATCH_ENGINE!H274="","",IF(MATCH_ENGINE!F274="IN",MATCH_ENGINE!J274,""))</f>
        <v/>
      </c>
      <c r="H274" s="16">
        <f>IF(MATCH_ENGINE!H274="","",IF(MATCH_ENGINE!F274="OUT",MATCH_ENGINE!J274,""))</f>
        <v/>
      </c>
      <c r="I274" s="16">
        <f>IF(MATCH_ENGINE!H274="","",MATCH_ENGINE!J274)</f>
        <v/>
      </c>
      <c r="J274" s="12">
        <f>IF(MATCH_ENGINE!A274="","",MATCH_ENGINE!K274)</f>
        <v/>
      </c>
      <c r="K274" s="11">
        <f>IF(MATCH_ENGINE!A274="","",MATCH_ENGINE!L274)</f>
        <v/>
      </c>
      <c r="L274" s="17">
        <f>IF(MATCH_ENGINE!A274="","",MATCH_ENGINE!M274)</f>
        <v/>
      </c>
      <c r="M274" s="11">
        <f>IF(MATCH_ENGINE!A274="","",GL_CLEAN!F274)</f>
        <v/>
      </c>
      <c r="N274" s="11">
        <f>IF(MATCH_ENGINE!A274="","",GL_CLEAN!G274)</f>
        <v/>
      </c>
      <c r="O274" s="11">
        <f>IF(MATCH_ENGINE!H274="","",INDEX(BANK_CLEAN!$C$2:$C$1001,MATCH_ENGINE!H274))</f>
        <v/>
      </c>
      <c r="P274" s="11" t="inlineStr"/>
    </row>
    <row r="275">
      <c r="A275" s="11">
        <f>IF(MATCH_ENGINE!A275="","",MATCH_ENGINE!N275)</f>
        <v/>
      </c>
      <c r="B275" s="11">
        <f>IF(MATCH_ENGINE!A275="","",MATCH_ENGINE!C275)</f>
        <v/>
      </c>
      <c r="C275" s="10">
        <f>IF(MATCH_ENGINE!A275="","",MATCH_ENGINE!B275)</f>
        <v/>
      </c>
      <c r="D275" s="16">
        <f>IF(MATCH_ENGINE!A275="","",MATCH_ENGINE!D275)</f>
        <v/>
      </c>
      <c r="E275" s="11">
        <f>IF(MATCH_ENGINE!A275="","",MATCH_ENGINE!F275)</f>
        <v/>
      </c>
      <c r="F275" s="10">
        <f>IF(MATCH_ENGINE!A275="","",MATCH_ENGINE!I275)</f>
        <v/>
      </c>
      <c r="G275" s="16">
        <f>IF(MATCH_ENGINE!H275="","",IF(MATCH_ENGINE!F275="IN",MATCH_ENGINE!J275,""))</f>
        <v/>
      </c>
      <c r="H275" s="16">
        <f>IF(MATCH_ENGINE!H275="","",IF(MATCH_ENGINE!F275="OUT",MATCH_ENGINE!J275,""))</f>
        <v/>
      </c>
      <c r="I275" s="16">
        <f>IF(MATCH_ENGINE!H275="","",MATCH_ENGINE!J275)</f>
        <v/>
      </c>
      <c r="J275" s="12">
        <f>IF(MATCH_ENGINE!A275="","",MATCH_ENGINE!K275)</f>
        <v/>
      </c>
      <c r="K275" s="11">
        <f>IF(MATCH_ENGINE!A275="","",MATCH_ENGINE!L275)</f>
        <v/>
      </c>
      <c r="L275" s="17">
        <f>IF(MATCH_ENGINE!A275="","",MATCH_ENGINE!M275)</f>
        <v/>
      </c>
      <c r="M275" s="11">
        <f>IF(MATCH_ENGINE!A275="","",GL_CLEAN!F275)</f>
        <v/>
      </c>
      <c r="N275" s="11">
        <f>IF(MATCH_ENGINE!A275="","",GL_CLEAN!G275)</f>
        <v/>
      </c>
      <c r="O275" s="11">
        <f>IF(MATCH_ENGINE!H275="","",INDEX(BANK_CLEAN!$C$2:$C$1001,MATCH_ENGINE!H275))</f>
        <v/>
      </c>
      <c r="P275" s="11" t="inlineStr"/>
    </row>
    <row r="276">
      <c r="A276" s="11">
        <f>IF(MATCH_ENGINE!A276="","",MATCH_ENGINE!N276)</f>
        <v/>
      </c>
      <c r="B276" s="11">
        <f>IF(MATCH_ENGINE!A276="","",MATCH_ENGINE!C276)</f>
        <v/>
      </c>
      <c r="C276" s="10">
        <f>IF(MATCH_ENGINE!A276="","",MATCH_ENGINE!B276)</f>
        <v/>
      </c>
      <c r="D276" s="16">
        <f>IF(MATCH_ENGINE!A276="","",MATCH_ENGINE!D276)</f>
        <v/>
      </c>
      <c r="E276" s="11">
        <f>IF(MATCH_ENGINE!A276="","",MATCH_ENGINE!F276)</f>
        <v/>
      </c>
      <c r="F276" s="10">
        <f>IF(MATCH_ENGINE!A276="","",MATCH_ENGINE!I276)</f>
        <v/>
      </c>
      <c r="G276" s="16">
        <f>IF(MATCH_ENGINE!H276="","",IF(MATCH_ENGINE!F276="IN",MATCH_ENGINE!J276,""))</f>
        <v/>
      </c>
      <c r="H276" s="16">
        <f>IF(MATCH_ENGINE!H276="","",IF(MATCH_ENGINE!F276="OUT",MATCH_ENGINE!J276,""))</f>
        <v/>
      </c>
      <c r="I276" s="16">
        <f>IF(MATCH_ENGINE!H276="","",MATCH_ENGINE!J276)</f>
        <v/>
      </c>
      <c r="J276" s="12">
        <f>IF(MATCH_ENGINE!A276="","",MATCH_ENGINE!K276)</f>
        <v/>
      </c>
      <c r="K276" s="11">
        <f>IF(MATCH_ENGINE!A276="","",MATCH_ENGINE!L276)</f>
        <v/>
      </c>
      <c r="L276" s="17">
        <f>IF(MATCH_ENGINE!A276="","",MATCH_ENGINE!M276)</f>
        <v/>
      </c>
      <c r="M276" s="11">
        <f>IF(MATCH_ENGINE!A276="","",GL_CLEAN!F276)</f>
        <v/>
      </c>
      <c r="N276" s="11">
        <f>IF(MATCH_ENGINE!A276="","",GL_CLEAN!G276)</f>
        <v/>
      </c>
      <c r="O276" s="11">
        <f>IF(MATCH_ENGINE!H276="","",INDEX(BANK_CLEAN!$C$2:$C$1001,MATCH_ENGINE!H276))</f>
        <v/>
      </c>
      <c r="P276" s="11" t="inlineStr"/>
    </row>
    <row r="277">
      <c r="A277" s="11">
        <f>IF(MATCH_ENGINE!A277="","",MATCH_ENGINE!N277)</f>
        <v/>
      </c>
      <c r="B277" s="11">
        <f>IF(MATCH_ENGINE!A277="","",MATCH_ENGINE!C277)</f>
        <v/>
      </c>
      <c r="C277" s="10">
        <f>IF(MATCH_ENGINE!A277="","",MATCH_ENGINE!B277)</f>
        <v/>
      </c>
      <c r="D277" s="16">
        <f>IF(MATCH_ENGINE!A277="","",MATCH_ENGINE!D277)</f>
        <v/>
      </c>
      <c r="E277" s="11">
        <f>IF(MATCH_ENGINE!A277="","",MATCH_ENGINE!F277)</f>
        <v/>
      </c>
      <c r="F277" s="10">
        <f>IF(MATCH_ENGINE!A277="","",MATCH_ENGINE!I277)</f>
        <v/>
      </c>
      <c r="G277" s="16">
        <f>IF(MATCH_ENGINE!H277="","",IF(MATCH_ENGINE!F277="IN",MATCH_ENGINE!J277,""))</f>
        <v/>
      </c>
      <c r="H277" s="16">
        <f>IF(MATCH_ENGINE!H277="","",IF(MATCH_ENGINE!F277="OUT",MATCH_ENGINE!J277,""))</f>
        <v/>
      </c>
      <c r="I277" s="16">
        <f>IF(MATCH_ENGINE!H277="","",MATCH_ENGINE!J277)</f>
        <v/>
      </c>
      <c r="J277" s="12">
        <f>IF(MATCH_ENGINE!A277="","",MATCH_ENGINE!K277)</f>
        <v/>
      </c>
      <c r="K277" s="11">
        <f>IF(MATCH_ENGINE!A277="","",MATCH_ENGINE!L277)</f>
        <v/>
      </c>
      <c r="L277" s="17">
        <f>IF(MATCH_ENGINE!A277="","",MATCH_ENGINE!M277)</f>
        <v/>
      </c>
      <c r="M277" s="11">
        <f>IF(MATCH_ENGINE!A277="","",GL_CLEAN!F277)</f>
        <v/>
      </c>
      <c r="N277" s="11">
        <f>IF(MATCH_ENGINE!A277="","",GL_CLEAN!G277)</f>
        <v/>
      </c>
      <c r="O277" s="11">
        <f>IF(MATCH_ENGINE!H277="","",INDEX(BANK_CLEAN!$C$2:$C$1001,MATCH_ENGINE!H277))</f>
        <v/>
      </c>
      <c r="P277" s="11" t="inlineStr"/>
    </row>
    <row r="278">
      <c r="A278" s="11">
        <f>IF(MATCH_ENGINE!A278="","",MATCH_ENGINE!N278)</f>
        <v/>
      </c>
      <c r="B278" s="11">
        <f>IF(MATCH_ENGINE!A278="","",MATCH_ENGINE!C278)</f>
        <v/>
      </c>
      <c r="C278" s="10">
        <f>IF(MATCH_ENGINE!A278="","",MATCH_ENGINE!B278)</f>
        <v/>
      </c>
      <c r="D278" s="16">
        <f>IF(MATCH_ENGINE!A278="","",MATCH_ENGINE!D278)</f>
        <v/>
      </c>
      <c r="E278" s="11">
        <f>IF(MATCH_ENGINE!A278="","",MATCH_ENGINE!F278)</f>
        <v/>
      </c>
      <c r="F278" s="10">
        <f>IF(MATCH_ENGINE!A278="","",MATCH_ENGINE!I278)</f>
        <v/>
      </c>
      <c r="G278" s="16">
        <f>IF(MATCH_ENGINE!H278="","",IF(MATCH_ENGINE!F278="IN",MATCH_ENGINE!J278,""))</f>
        <v/>
      </c>
      <c r="H278" s="16">
        <f>IF(MATCH_ENGINE!H278="","",IF(MATCH_ENGINE!F278="OUT",MATCH_ENGINE!J278,""))</f>
        <v/>
      </c>
      <c r="I278" s="16">
        <f>IF(MATCH_ENGINE!H278="","",MATCH_ENGINE!J278)</f>
        <v/>
      </c>
      <c r="J278" s="12">
        <f>IF(MATCH_ENGINE!A278="","",MATCH_ENGINE!K278)</f>
        <v/>
      </c>
      <c r="K278" s="11">
        <f>IF(MATCH_ENGINE!A278="","",MATCH_ENGINE!L278)</f>
        <v/>
      </c>
      <c r="L278" s="17">
        <f>IF(MATCH_ENGINE!A278="","",MATCH_ENGINE!M278)</f>
        <v/>
      </c>
      <c r="M278" s="11">
        <f>IF(MATCH_ENGINE!A278="","",GL_CLEAN!F278)</f>
        <v/>
      </c>
      <c r="N278" s="11">
        <f>IF(MATCH_ENGINE!A278="","",GL_CLEAN!G278)</f>
        <v/>
      </c>
      <c r="O278" s="11">
        <f>IF(MATCH_ENGINE!H278="","",INDEX(BANK_CLEAN!$C$2:$C$1001,MATCH_ENGINE!H278))</f>
        <v/>
      </c>
      <c r="P278" s="11" t="inlineStr"/>
    </row>
    <row r="279">
      <c r="A279" s="11">
        <f>IF(MATCH_ENGINE!A279="","",MATCH_ENGINE!N279)</f>
        <v/>
      </c>
      <c r="B279" s="11">
        <f>IF(MATCH_ENGINE!A279="","",MATCH_ENGINE!C279)</f>
        <v/>
      </c>
      <c r="C279" s="10">
        <f>IF(MATCH_ENGINE!A279="","",MATCH_ENGINE!B279)</f>
        <v/>
      </c>
      <c r="D279" s="16">
        <f>IF(MATCH_ENGINE!A279="","",MATCH_ENGINE!D279)</f>
        <v/>
      </c>
      <c r="E279" s="11">
        <f>IF(MATCH_ENGINE!A279="","",MATCH_ENGINE!F279)</f>
        <v/>
      </c>
      <c r="F279" s="10">
        <f>IF(MATCH_ENGINE!A279="","",MATCH_ENGINE!I279)</f>
        <v/>
      </c>
      <c r="G279" s="16">
        <f>IF(MATCH_ENGINE!H279="","",IF(MATCH_ENGINE!F279="IN",MATCH_ENGINE!J279,""))</f>
        <v/>
      </c>
      <c r="H279" s="16">
        <f>IF(MATCH_ENGINE!H279="","",IF(MATCH_ENGINE!F279="OUT",MATCH_ENGINE!J279,""))</f>
        <v/>
      </c>
      <c r="I279" s="16">
        <f>IF(MATCH_ENGINE!H279="","",MATCH_ENGINE!J279)</f>
        <v/>
      </c>
      <c r="J279" s="12">
        <f>IF(MATCH_ENGINE!A279="","",MATCH_ENGINE!K279)</f>
        <v/>
      </c>
      <c r="K279" s="11">
        <f>IF(MATCH_ENGINE!A279="","",MATCH_ENGINE!L279)</f>
        <v/>
      </c>
      <c r="L279" s="17">
        <f>IF(MATCH_ENGINE!A279="","",MATCH_ENGINE!M279)</f>
        <v/>
      </c>
      <c r="M279" s="11">
        <f>IF(MATCH_ENGINE!A279="","",GL_CLEAN!F279)</f>
        <v/>
      </c>
      <c r="N279" s="11">
        <f>IF(MATCH_ENGINE!A279="","",GL_CLEAN!G279)</f>
        <v/>
      </c>
      <c r="O279" s="11">
        <f>IF(MATCH_ENGINE!H279="","",INDEX(BANK_CLEAN!$C$2:$C$1001,MATCH_ENGINE!H279))</f>
        <v/>
      </c>
      <c r="P279" s="11" t="inlineStr"/>
    </row>
    <row r="280">
      <c r="A280" s="11">
        <f>IF(MATCH_ENGINE!A280="","",MATCH_ENGINE!N280)</f>
        <v/>
      </c>
      <c r="B280" s="11">
        <f>IF(MATCH_ENGINE!A280="","",MATCH_ENGINE!C280)</f>
        <v/>
      </c>
      <c r="C280" s="10">
        <f>IF(MATCH_ENGINE!A280="","",MATCH_ENGINE!B280)</f>
        <v/>
      </c>
      <c r="D280" s="16">
        <f>IF(MATCH_ENGINE!A280="","",MATCH_ENGINE!D280)</f>
        <v/>
      </c>
      <c r="E280" s="11">
        <f>IF(MATCH_ENGINE!A280="","",MATCH_ENGINE!F280)</f>
        <v/>
      </c>
      <c r="F280" s="10">
        <f>IF(MATCH_ENGINE!A280="","",MATCH_ENGINE!I280)</f>
        <v/>
      </c>
      <c r="G280" s="16">
        <f>IF(MATCH_ENGINE!H280="","",IF(MATCH_ENGINE!F280="IN",MATCH_ENGINE!J280,""))</f>
        <v/>
      </c>
      <c r="H280" s="16">
        <f>IF(MATCH_ENGINE!H280="","",IF(MATCH_ENGINE!F280="OUT",MATCH_ENGINE!J280,""))</f>
        <v/>
      </c>
      <c r="I280" s="16">
        <f>IF(MATCH_ENGINE!H280="","",MATCH_ENGINE!J280)</f>
        <v/>
      </c>
      <c r="J280" s="12">
        <f>IF(MATCH_ENGINE!A280="","",MATCH_ENGINE!K280)</f>
        <v/>
      </c>
      <c r="K280" s="11">
        <f>IF(MATCH_ENGINE!A280="","",MATCH_ENGINE!L280)</f>
        <v/>
      </c>
      <c r="L280" s="17">
        <f>IF(MATCH_ENGINE!A280="","",MATCH_ENGINE!M280)</f>
        <v/>
      </c>
      <c r="M280" s="11">
        <f>IF(MATCH_ENGINE!A280="","",GL_CLEAN!F280)</f>
        <v/>
      </c>
      <c r="N280" s="11">
        <f>IF(MATCH_ENGINE!A280="","",GL_CLEAN!G280)</f>
        <v/>
      </c>
      <c r="O280" s="11">
        <f>IF(MATCH_ENGINE!H280="","",INDEX(BANK_CLEAN!$C$2:$C$1001,MATCH_ENGINE!H280))</f>
        <v/>
      </c>
      <c r="P280" s="11" t="inlineStr"/>
    </row>
    <row r="281">
      <c r="A281" s="11">
        <f>IF(MATCH_ENGINE!A281="","",MATCH_ENGINE!N281)</f>
        <v/>
      </c>
      <c r="B281" s="11">
        <f>IF(MATCH_ENGINE!A281="","",MATCH_ENGINE!C281)</f>
        <v/>
      </c>
      <c r="C281" s="10">
        <f>IF(MATCH_ENGINE!A281="","",MATCH_ENGINE!B281)</f>
        <v/>
      </c>
      <c r="D281" s="16">
        <f>IF(MATCH_ENGINE!A281="","",MATCH_ENGINE!D281)</f>
        <v/>
      </c>
      <c r="E281" s="11">
        <f>IF(MATCH_ENGINE!A281="","",MATCH_ENGINE!F281)</f>
        <v/>
      </c>
      <c r="F281" s="10">
        <f>IF(MATCH_ENGINE!A281="","",MATCH_ENGINE!I281)</f>
        <v/>
      </c>
      <c r="G281" s="16">
        <f>IF(MATCH_ENGINE!H281="","",IF(MATCH_ENGINE!F281="IN",MATCH_ENGINE!J281,""))</f>
        <v/>
      </c>
      <c r="H281" s="16">
        <f>IF(MATCH_ENGINE!H281="","",IF(MATCH_ENGINE!F281="OUT",MATCH_ENGINE!J281,""))</f>
        <v/>
      </c>
      <c r="I281" s="16">
        <f>IF(MATCH_ENGINE!H281="","",MATCH_ENGINE!J281)</f>
        <v/>
      </c>
      <c r="J281" s="12">
        <f>IF(MATCH_ENGINE!A281="","",MATCH_ENGINE!K281)</f>
        <v/>
      </c>
      <c r="K281" s="11">
        <f>IF(MATCH_ENGINE!A281="","",MATCH_ENGINE!L281)</f>
        <v/>
      </c>
      <c r="L281" s="17">
        <f>IF(MATCH_ENGINE!A281="","",MATCH_ENGINE!M281)</f>
        <v/>
      </c>
      <c r="M281" s="11">
        <f>IF(MATCH_ENGINE!A281="","",GL_CLEAN!F281)</f>
        <v/>
      </c>
      <c r="N281" s="11">
        <f>IF(MATCH_ENGINE!A281="","",GL_CLEAN!G281)</f>
        <v/>
      </c>
      <c r="O281" s="11">
        <f>IF(MATCH_ENGINE!H281="","",INDEX(BANK_CLEAN!$C$2:$C$1001,MATCH_ENGINE!H281))</f>
        <v/>
      </c>
      <c r="P281" s="11" t="inlineStr"/>
    </row>
    <row r="282">
      <c r="A282" s="11">
        <f>IF(MATCH_ENGINE!A282="","",MATCH_ENGINE!N282)</f>
        <v/>
      </c>
      <c r="B282" s="11">
        <f>IF(MATCH_ENGINE!A282="","",MATCH_ENGINE!C282)</f>
        <v/>
      </c>
      <c r="C282" s="10">
        <f>IF(MATCH_ENGINE!A282="","",MATCH_ENGINE!B282)</f>
        <v/>
      </c>
      <c r="D282" s="16">
        <f>IF(MATCH_ENGINE!A282="","",MATCH_ENGINE!D282)</f>
        <v/>
      </c>
      <c r="E282" s="11">
        <f>IF(MATCH_ENGINE!A282="","",MATCH_ENGINE!F282)</f>
        <v/>
      </c>
      <c r="F282" s="10">
        <f>IF(MATCH_ENGINE!A282="","",MATCH_ENGINE!I282)</f>
        <v/>
      </c>
      <c r="G282" s="16">
        <f>IF(MATCH_ENGINE!H282="","",IF(MATCH_ENGINE!F282="IN",MATCH_ENGINE!J282,""))</f>
        <v/>
      </c>
      <c r="H282" s="16">
        <f>IF(MATCH_ENGINE!H282="","",IF(MATCH_ENGINE!F282="OUT",MATCH_ENGINE!J282,""))</f>
        <v/>
      </c>
      <c r="I282" s="16">
        <f>IF(MATCH_ENGINE!H282="","",MATCH_ENGINE!J282)</f>
        <v/>
      </c>
      <c r="J282" s="12">
        <f>IF(MATCH_ENGINE!A282="","",MATCH_ENGINE!K282)</f>
        <v/>
      </c>
      <c r="K282" s="11">
        <f>IF(MATCH_ENGINE!A282="","",MATCH_ENGINE!L282)</f>
        <v/>
      </c>
      <c r="L282" s="17">
        <f>IF(MATCH_ENGINE!A282="","",MATCH_ENGINE!M282)</f>
        <v/>
      </c>
      <c r="M282" s="11">
        <f>IF(MATCH_ENGINE!A282="","",GL_CLEAN!F282)</f>
        <v/>
      </c>
      <c r="N282" s="11">
        <f>IF(MATCH_ENGINE!A282="","",GL_CLEAN!G282)</f>
        <v/>
      </c>
      <c r="O282" s="11">
        <f>IF(MATCH_ENGINE!H282="","",INDEX(BANK_CLEAN!$C$2:$C$1001,MATCH_ENGINE!H282))</f>
        <v/>
      </c>
      <c r="P282" s="11" t="inlineStr"/>
    </row>
    <row r="283">
      <c r="A283" s="11">
        <f>IF(MATCH_ENGINE!A283="","",MATCH_ENGINE!N283)</f>
        <v/>
      </c>
      <c r="B283" s="11">
        <f>IF(MATCH_ENGINE!A283="","",MATCH_ENGINE!C283)</f>
        <v/>
      </c>
      <c r="C283" s="10">
        <f>IF(MATCH_ENGINE!A283="","",MATCH_ENGINE!B283)</f>
        <v/>
      </c>
      <c r="D283" s="16">
        <f>IF(MATCH_ENGINE!A283="","",MATCH_ENGINE!D283)</f>
        <v/>
      </c>
      <c r="E283" s="11">
        <f>IF(MATCH_ENGINE!A283="","",MATCH_ENGINE!F283)</f>
        <v/>
      </c>
      <c r="F283" s="10">
        <f>IF(MATCH_ENGINE!A283="","",MATCH_ENGINE!I283)</f>
        <v/>
      </c>
      <c r="G283" s="16">
        <f>IF(MATCH_ENGINE!H283="","",IF(MATCH_ENGINE!F283="IN",MATCH_ENGINE!J283,""))</f>
        <v/>
      </c>
      <c r="H283" s="16">
        <f>IF(MATCH_ENGINE!H283="","",IF(MATCH_ENGINE!F283="OUT",MATCH_ENGINE!J283,""))</f>
        <v/>
      </c>
      <c r="I283" s="16">
        <f>IF(MATCH_ENGINE!H283="","",MATCH_ENGINE!J283)</f>
        <v/>
      </c>
      <c r="J283" s="12">
        <f>IF(MATCH_ENGINE!A283="","",MATCH_ENGINE!K283)</f>
        <v/>
      </c>
      <c r="K283" s="11">
        <f>IF(MATCH_ENGINE!A283="","",MATCH_ENGINE!L283)</f>
        <v/>
      </c>
      <c r="L283" s="17">
        <f>IF(MATCH_ENGINE!A283="","",MATCH_ENGINE!M283)</f>
        <v/>
      </c>
      <c r="M283" s="11">
        <f>IF(MATCH_ENGINE!A283="","",GL_CLEAN!F283)</f>
        <v/>
      </c>
      <c r="N283" s="11">
        <f>IF(MATCH_ENGINE!A283="","",GL_CLEAN!G283)</f>
        <v/>
      </c>
      <c r="O283" s="11">
        <f>IF(MATCH_ENGINE!H283="","",INDEX(BANK_CLEAN!$C$2:$C$1001,MATCH_ENGINE!H283))</f>
        <v/>
      </c>
      <c r="P283" s="11" t="inlineStr"/>
    </row>
    <row r="284">
      <c r="A284" s="11">
        <f>IF(MATCH_ENGINE!A284="","",MATCH_ENGINE!N284)</f>
        <v/>
      </c>
      <c r="B284" s="11">
        <f>IF(MATCH_ENGINE!A284="","",MATCH_ENGINE!C284)</f>
        <v/>
      </c>
      <c r="C284" s="10">
        <f>IF(MATCH_ENGINE!A284="","",MATCH_ENGINE!B284)</f>
        <v/>
      </c>
      <c r="D284" s="16">
        <f>IF(MATCH_ENGINE!A284="","",MATCH_ENGINE!D284)</f>
        <v/>
      </c>
      <c r="E284" s="11">
        <f>IF(MATCH_ENGINE!A284="","",MATCH_ENGINE!F284)</f>
        <v/>
      </c>
      <c r="F284" s="10">
        <f>IF(MATCH_ENGINE!A284="","",MATCH_ENGINE!I284)</f>
        <v/>
      </c>
      <c r="G284" s="16">
        <f>IF(MATCH_ENGINE!H284="","",IF(MATCH_ENGINE!F284="IN",MATCH_ENGINE!J284,""))</f>
        <v/>
      </c>
      <c r="H284" s="16">
        <f>IF(MATCH_ENGINE!H284="","",IF(MATCH_ENGINE!F284="OUT",MATCH_ENGINE!J284,""))</f>
        <v/>
      </c>
      <c r="I284" s="16">
        <f>IF(MATCH_ENGINE!H284="","",MATCH_ENGINE!J284)</f>
        <v/>
      </c>
      <c r="J284" s="12">
        <f>IF(MATCH_ENGINE!A284="","",MATCH_ENGINE!K284)</f>
        <v/>
      </c>
      <c r="K284" s="11">
        <f>IF(MATCH_ENGINE!A284="","",MATCH_ENGINE!L284)</f>
        <v/>
      </c>
      <c r="L284" s="17">
        <f>IF(MATCH_ENGINE!A284="","",MATCH_ENGINE!M284)</f>
        <v/>
      </c>
      <c r="M284" s="11">
        <f>IF(MATCH_ENGINE!A284="","",GL_CLEAN!F284)</f>
        <v/>
      </c>
      <c r="N284" s="11">
        <f>IF(MATCH_ENGINE!A284="","",GL_CLEAN!G284)</f>
        <v/>
      </c>
      <c r="O284" s="11">
        <f>IF(MATCH_ENGINE!H284="","",INDEX(BANK_CLEAN!$C$2:$C$1001,MATCH_ENGINE!H284))</f>
        <v/>
      </c>
      <c r="P284" s="11" t="inlineStr"/>
    </row>
    <row r="285">
      <c r="A285" s="11">
        <f>IF(MATCH_ENGINE!A285="","",MATCH_ENGINE!N285)</f>
        <v/>
      </c>
      <c r="B285" s="11">
        <f>IF(MATCH_ENGINE!A285="","",MATCH_ENGINE!C285)</f>
        <v/>
      </c>
      <c r="C285" s="10">
        <f>IF(MATCH_ENGINE!A285="","",MATCH_ENGINE!B285)</f>
        <v/>
      </c>
      <c r="D285" s="16">
        <f>IF(MATCH_ENGINE!A285="","",MATCH_ENGINE!D285)</f>
        <v/>
      </c>
      <c r="E285" s="11">
        <f>IF(MATCH_ENGINE!A285="","",MATCH_ENGINE!F285)</f>
        <v/>
      </c>
      <c r="F285" s="10">
        <f>IF(MATCH_ENGINE!A285="","",MATCH_ENGINE!I285)</f>
        <v/>
      </c>
      <c r="G285" s="16">
        <f>IF(MATCH_ENGINE!H285="","",IF(MATCH_ENGINE!F285="IN",MATCH_ENGINE!J285,""))</f>
        <v/>
      </c>
      <c r="H285" s="16">
        <f>IF(MATCH_ENGINE!H285="","",IF(MATCH_ENGINE!F285="OUT",MATCH_ENGINE!J285,""))</f>
        <v/>
      </c>
      <c r="I285" s="16">
        <f>IF(MATCH_ENGINE!H285="","",MATCH_ENGINE!J285)</f>
        <v/>
      </c>
      <c r="J285" s="12">
        <f>IF(MATCH_ENGINE!A285="","",MATCH_ENGINE!K285)</f>
        <v/>
      </c>
      <c r="K285" s="11">
        <f>IF(MATCH_ENGINE!A285="","",MATCH_ENGINE!L285)</f>
        <v/>
      </c>
      <c r="L285" s="17">
        <f>IF(MATCH_ENGINE!A285="","",MATCH_ENGINE!M285)</f>
        <v/>
      </c>
      <c r="M285" s="11">
        <f>IF(MATCH_ENGINE!A285="","",GL_CLEAN!F285)</f>
        <v/>
      </c>
      <c r="N285" s="11">
        <f>IF(MATCH_ENGINE!A285="","",GL_CLEAN!G285)</f>
        <v/>
      </c>
      <c r="O285" s="11">
        <f>IF(MATCH_ENGINE!H285="","",INDEX(BANK_CLEAN!$C$2:$C$1001,MATCH_ENGINE!H285))</f>
        <v/>
      </c>
      <c r="P285" s="11" t="inlineStr"/>
    </row>
    <row r="286">
      <c r="A286" s="11">
        <f>IF(MATCH_ENGINE!A286="","",MATCH_ENGINE!N286)</f>
        <v/>
      </c>
      <c r="B286" s="11">
        <f>IF(MATCH_ENGINE!A286="","",MATCH_ENGINE!C286)</f>
        <v/>
      </c>
      <c r="C286" s="10">
        <f>IF(MATCH_ENGINE!A286="","",MATCH_ENGINE!B286)</f>
        <v/>
      </c>
      <c r="D286" s="16">
        <f>IF(MATCH_ENGINE!A286="","",MATCH_ENGINE!D286)</f>
        <v/>
      </c>
      <c r="E286" s="11">
        <f>IF(MATCH_ENGINE!A286="","",MATCH_ENGINE!F286)</f>
        <v/>
      </c>
      <c r="F286" s="10">
        <f>IF(MATCH_ENGINE!A286="","",MATCH_ENGINE!I286)</f>
        <v/>
      </c>
      <c r="G286" s="16">
        <f>IF(MATCH_ENGINE!H286="","",IF(MATCH_ENGINE!F286="IN",MATCH_ENGINE!J286,""))</f>
        <v/>
      </c>
      <c r="H286" s="16">
        <f>IF(MATCH_ENGINE!H286="","",IF(MATCH_ENGINE!F286="OUT",MATCH_ENGINE!J286,""))</f>
        <v/>
      </c>
      <c r="I286" s="16">
        <f>IF(MATCH_ENGINE!H286="","",MATCH_ENGINE!J286)</f>
        <v/>
      </c>
      <c r="J286" s="12">
        <f>IF(MATCH_ENGINE!A286="","",MATCH_ENGINE!K286)</f>
        <v/>
      </c>
      <c r="K286" s="11">
        <f>IF(MATCH_ENGINE!A286="","",MATCH_ENGINE!L286)</f>
        <v/>
      </c>
      <c r="L286" s="17">
        <f>IF(MATCH_ENGINE!A286="","",MATCH_ENGINE!M286)</f>
        <v/>
      </c>
      <c r="M286" s="11">
        <f>IF(MATCH_ENGINE!A286="","",GL_CLEAN!F286)</f>
        <v/>
      </c>
      <c r="N286" s="11">
        <f>IF(MATCH_ENGINE!A286="","",GL_CLEAN!G286)</f>
        <v/>
      </c>
      <c r="O286" s="11">
        <f>IF(MATCH_ENGINE!H286="","",INDEX(BANK_CLEAN!$C$2:$C$1001,MATCH_ENGINE!H286))</f>
        <v/>
      </c>
      <c r="P286" s="11" t="inlineStr"/>
    </row>
    <row r="287">
      <c r="A287" s="11">
        <f>IF(MATCH_ENGINE!A287="","",MATCH_ENGINE!N287)</f>
        <v/>
      </c>
      <c r="B287" s="11">
        <f>IF(MATCH_ENGINE!A287="","",MATCH_ENGINE!C287)</f>
        <v/>
      </c>
      <c r="C287" s="10">
        <f>IF(MATCH_ENGINE!A287="","",MATCH_ENGINE!B287)</f>
        <v/>
      </c>
      <c r="D287" s="16">
        <f>IF(MATCH_ENGINE!A287="","",MATCH_ENGINE!D287)</f>
        <v/>
      </c>
      <c r="E287" s="11">
        <f>IF(MATCH_ENGINE!A287="","",MATCH_ENGINE!F287)</f>
        <v/>
      </c>
      <c r="F287" s="10">
        <f>IF(MATCH_ENGINE!A287="","",MATCH_ENGINE!I287)</f>
        <v/>
      </c>
      <c r="G287" s="16">
        <f>IF(MATCH_ENGINE!H287="","",IF(MATCH_ENGINE!F287="IN",MATCH_ENGINE!J287,""))</f>
        <v/>
      </c>
      <c r="H287" s="16">
        <f>IF(MATCH_ENGINE!H287="","",IF(MATCH_ENGINE!F287="OUT",MATCH_ENGINE!J287,""))</f>
        <v/>
      </c>
      <c r="I287" s="16">
        <f>IF(MATCH_ENGINE!H287="","",MATCH_ENGINE!J287)</f>
        <v/>
      </c>
      <c r="J287" s="12">
        <f>IF(MATCH_ENGINE!A287="","",MATCH_ENGINE!K287)</f>
        <v/>
      </c>
      <c r="K287" s="11">
        <f>IF(MATCH_ENGINE!A287="","",MATCH_ENGINE!L287)</f>
        <v/>
      </c>
      <c r="L287" s="17">
        <f>IF(MATCH_ENGINE!A287="","",MATCH_ENGINE!M287)</f>
        <v/>
      </c>
      <c r="M287" s="11">
        <f>IF(MATCH_ENGINE!A287="","",GL_CLEAN!F287)</f>
        <v/>
      </c>
      <c r="N287" s="11">
        <f>IF(MATCH_ENGINE!A287="","",GL_CLEAN!G287)</f>
        <v/>
      </c>
      <c r="O287" s="11">
        <f>IF(MATCH_ENGINE!H287="","",INDEX(BANK_CLEAN!$C$2:$C$1001,MATCH_ENGINE!H287))</f>
        <v/>
      </c>
      <c r="P287" s="11" t="inlineStr"/>
    </row>
    <row r="288">
      <c r="A288" s="11">
        <f>IF(MATCH_ENGINE!A288="","",MATCH_ENGINE!N288)</f>
        <v/>
      </c>
      <c r="B288" s="11">
        <f>IF(MATCH_ENGINE!A288="","",MATCH_ENGINE!C288)</f>
        <v/>
      </c>
      <c r="C288" s="10">
        <f>IF(MATCH_ENGINE!A288="","",MATCH_ENGINE!B288)</f>
        <v/>
      </c>
      <c r="D288" s="16">
        <f>IF(MATCH_ENGINE!A288="","",MATCH_ENGINE!D288)</f>
        <v/>
      </c>
      <c r="E288" s="11">
        <f>IF(MATCH_ENGINE!A288="","",MATCH_ENGINE!F288)</f>
        <v/>
      </c>
      <c r="F288" s="10">
        <f>IF(MATCH_ENGINE!A288="","",MATCH_ENGINE!I288)</f>
        <v/>
      </c>
      <c r="G288" s="16">
        <f>IF(MATCH_ENGINE!H288="","",IF(MATCH_ENGINE!F288="IN",MATCH_ENGINE!J288,""))</f>
        <v/>
      </c>
      <c r="H288" s="16">
        <f>IF(MATCH_ENGINE!H288="","",IF(MATCH_ENGINE!F288="OUT",MATCH_ENGINE!J288,""))</f>
        <v/>
      </c>
      <c r="I288" s="16">
        <f>IF(MATCH_ENGINE!H288="","",MATCH_ENGINE!J288)</f>
        <v/>
      </c>
      <c r="J288" s="12">
        <f>IF(MATCH_ENGINE!A288="","",MATCH_ENGINE!K288)</f>
        <v/>
      </c>
      <c r="K288" s="11">
        <f>IF(MATCH_ENGINE!A288="","",MATCH_ENGINE!L288)</f>
        <v/>
      </c>
      <c r="L288" s="17">
        <f>IF(MATCH_ENGINE!A288="","",MATCH_ENGINE!M288)</f>
        <v/>
      </c>
      <c r="M288" s="11">
        <f>IF(MATCH_ENGINE!A288="","",GL_CLEAN!F288)</f>
        <v/>
      </c>
      <c r="N288" s="11">
        <f>IF(MATCH_ENGINE!A288="","",GL_CLEAN!G288)</f>
        <v/>
      </c>
      <c r="O288" s="11">
        <f>IF(MATCH_ENGINE!H288="","",INDEX(BANK_CLEAN!$C$2:$C$1001,MATCH_ENGINE!H288))</f>
        <v/>
      </c>
      <c r="P288" s="11" t="inlineStr"/>
    </row>
    <row r="289">
      <c r="A289" s="11">
        <f>IF(MATCH_ENGINE!A289="","",MATCH_ENGINE!N289)</f>
        <v/>
      </c>
      <c r="B289" s="11">
        <f>IF(MATCH_ENGINE!A289="","",MATCH_ENGINE!C289)</f>
        <v/>
      </c>
      <c r="C289" s="10">
        <f>IF(MATCH_ENGINE!A289="","",MATCH_ENGINE!B289)</f>
        <v/>
      </c>
      <c r="D289" s="16">
        <f>IF(MATCH_ENGINE!A289="","",MATCH_ENGINE!D289)</f>
        <v/>
      </c>
      <c r="E289" s="11">
        <f>IF(MATCH_ENGINE!A289="","",MATCH_ENGINE!F289)</f>
        <v/>
      </c>
      <c r="F289" s="10">
        <f>IF(MATCH_ENGINE!A289="","",MATCH_ENGINE!I289)</f>
        <v/>
      </c>
      <c r="G289" s="16">
        <f>IF(MATCH_ENGINE!H289="","",IF(MATCH_ENGINE!F289="IN",MATCH_ENGINE!J289,""))</f>
        <v/>
      </c>
      <c r="H289" s="16">
        <f>IF(MATCH_ENGINE!H289="","",IF(MATCH_ENGINE!F289="OUT",MATCH_ENGINE!J289,""))</f>
        <v/>
      </c>
      <c r="I289" s="16">
        <f>IF(MATCH_ENGINE!H289="","",MATCH_ENGINE!J289)</f>
        <v/>
      </c>
      <c r="J289" s="12">
        <f>IF(MATCH_ENGINE!A289="","",MATCH_ENGINE!K289)</f>
        <v/>
      </c>
      <c r="K289" s="11">
        <f>IF(MATCH_ENGINE!A289="","",MATCH_ENGINE!L289)</f>
        <v/>
      </c>
      <c r="L289" s="17">
        <f>IF(MATCH_ENGINE!A289="","",MATCH_ENGINE!M289)</f>
        <v/>
      </c>
      <c r="M289" s="11">
        <f>IF(MATCH_ENGINE!A289="","",GL_CLEAN!F289)</f>
        <v/>
      </c>
      <c r="N289" s="11">
        <f>IF(MATCH_ENGINE!A289="","",GL_CLEAN!G289)</f>
        <v/>
      </c>
      <c r="O289" s="11">
        <f>IF(MATCH_ENGINE!H289="","",INDEX(BANK_CLEAN!$C$2:$C$1001,MATCH_ENGINE!H289))</f>
        <v/>
      </c>
      <c r="P289" s="11" t="inlineStr"/>
    </row>
    <row r="290">
      <c r="A290" s="11">
        <f>IF(MATCH_ENGINE!A290="","",MATCH_ENGINE!N290)</f>
        <v/>
      </c>
      <c r="B290" s="11">
        <f>IF(MATCH_ENGINE!A290="","",MATCH_ENGINE!C290)</f>
        <v/>
      </c>
      <c r="C290" s="10">
        <f>IF(MATCH_ENGINE!A290="","",MATCH_ENGINE!B290)</f>
        <v/>
      </c>
      <c r="D290" s="16">
        <f>IF(MATCH_ENGINE!A290="","",MATCH_ENGINE!D290)</f>
        <v/>
      </c>
      <c r="E290" s="11">
        <f>IF(MATCH_ENGINE!A290="","",MATCH_ENGINE!F290)</f>
        <v/>
      </c>
      <c r="F290" s="10">
        <f>IF(MATCH_ENGINE!A290="","",MATCH_ENGINE!I290)</f>
        <v/>
      </c>
      <c r="G290" s="16">
        <f>IF(MATCH_ENGINE!H290="","",IF(MATCH_ENGINE!F290="IN",MATCH_ENGINE!J290,""))</f>
        <v/>
      </c>
      <c r="H290" s="16">
        <f>IF(MATCH_ENGINE!H290="","",IF(MATCH_ENGINE!F290="OUT",MATCH_ENGINE!J290,""))</f>
        <v/>
      </c>
      <c r="I290" s="16">
        <f>IF(MATCH_ENGINE!H290="","",MATCH_ENGINE!J290)</f>
        <v/>
      </c>
      <c r="J290" s="12">
        <f>IF(MATCH_ENGINE!A290="","",MATCH_ENGINE!K290)</f>
        <v/>
      </c>
      <c r="K290" s="11">
        <f>IF(MATCH_ENGINE!A290="","",MATCH_ENGINE!L290)</f>
        <v/>
      </c>
      <c r="L290" s="17">
        <f>IF(MATCH_ENGINE!A290="","",MATCH_ENGINE!M290)</f>
        <v/>
      </c>
      <c r="M290" s="11">
        <f>IF(MATCH_ENGINE!A290="","",GL_CLEAN!F290)</f>
        <v/>
      </c>
      <c r="N290" s="11">
        <f>IF(MATCH_ENGINE!A290="","",GL_CLEAN!G290)</f>
        <v/>
      </c>
      <c r="O290" s="11">
        <f>IF(MATCH_ENGINE!H290="","",INDEX(BANK_CLEAN!$C$2:$C$1001,MATCH_ENGINE!H290))</f>
        <v/>
      </c>
      <c r="P290" s="11" t="inlineStr"/>
    </row>
    <row r="291">
      <c r="A291" s="11">
        <f>IF(MATCH_ENGINE!A291="","",MATCH_ENGINE!N291)</f>
        <v/>
      </c>
      <c r="B291" s="11">
        <f>IF(MATCH_ENGINE!A291="","",MATCH_ENGINE!C291)</f>
        <v/>
      </c>
      <c r="C291" s="10">
        <f>IF(MATCH_ENGINE!A291="","",MATCH_ENGINE!B291)</f>
        <v/>
      </c>
      <c r="D291" s="16">
        <f>IF(MATCH_ENGINE!A291="","",MATCH_ENGINE!D291)</f>
        <v/>
      </c>
      <c r="E291" s="11">
        <f>IF(MATCH_ENGINE!A291="","",MATCH_ENGINE!F291)</f>
        <v/>
      </c>
      <c r="F291" s="10">
        <f>IF(MATCH_ENGINE!A291="","",MATCH_ENGINE!I291)</f>
        <v/>
      </c>
      <c r="G291" s="16">
        <f>IF(MATCH_ENGINE!H291="","",IF(MATCH_ENGINE!F291="IN",MATCH_ENGINE!J291,""))</f>
        <v/>
      </c>
      <c r="H291" s="16">
        <f>IF(MATCH_ENGINE!H291="","",IF(MATCH_ENGINE!F291="OUT",MATCH_ENGINE!J291,""))</f>
        <v/>
      </c>
      <c r="I291" s="16">
        <f>IF(MATCH_ENGINE!H291="","",MATCH_ENGINE!J291)</f>
        <v/>
      </c>
      <c r="J291" s="12">
        <f>IF(MATCH_ENGINE!A291="","",MATCH_ENGINE!K291)</f>
        <v/>
      </c>
      <c r="K291" s="11">
        <f>IF(MATCH_ENGINE!A291="","",MATCH_ENGINE!L291)</f>
        <v/>
      </c>
      <c r="L291" s="17">
        <f>IF(MATCH_ENGINE!A291="","",MATCH_ENGINE!M291)</f>
        <v/>
      </c>
      <c r="M291" s="11">
        <f>IF(MATCH_ENGINE!A291="","",GL_CLEAN!F291)</f>
        <v/>
      </c>
      <c r="N291" s="11">
        <f>IF(MATCH_ENGINE!A291="","",GL_CLEAN!G291)</f>
        <v/>
      </c>
      <c r="O291" s="11">
        <f>IF(MATCH_ENGINE!H291="","",INDEX(BANK_CLEAN!$C$2:$C$1001,MATCH_ENGINE!H291))</f>
        <v/>
      </c>
      <c r="P291" s="11" t="inlineStr"/>
    </row>
    <row r="292">
      <c r="A292" s="11">
        <f>IF(MATCH_ENGINE!A292="","",MATCH_ENGINE!N292)</f>
        <v/>
      </c>
      <c r="B292" s="11">
        <f>IF(MATCH_ENGINE!A292="","",MATCH_ENGINE!C292)</f>
        <v/>
      </c>
      <c r="C292" s="10">
        <f>IF(MATCH_ENGINE!A292="","",MATCH_ENGINE!B292)</f>
        <v/>
      </c>
      <c r="D292" s="16">
        <f>IF(MATCH_ENGINE!A292="","",MATCH_ENGINE!D292)</f>
        <v/>
      </c>
      <c r="E292" s="11">
        <f>IF(MATCH_ENGINE!A292="","",MATCH_ENGINE!F292)</f>
        <v/>
      </c>
      <c r="F292" s="10">
        <f>IF(MATCH_ENGINE!A292="","",MATCH_ENGINE!I292)</f>
        <v/>
      </c>
      <c r="G292" s="16">
        <f>IF(MATCH_ENGINE!H292="","",IF(MATCH_ENGINE!F292="IN",MATCH_ENGINE!J292,""))</f>
        <v/>
      </c>
      <c r="H292" s="16">
        <f>IF(MATCH_ENGINE!H292="","",IF(MATCH_ENGINE!F292="OUT",MATCH_ENGINE!J292,""))</f>
        <v/>
      </c>
      <c r="I292" s="16">
        <f>IF(MATCH_ENGINE!H292="","",MATCH_ENGINE!J292)</f>
        <v/>
      </c>
      <c r="J292" s="12">
        <f>IF(MATCH_ENGINE!A292="","",MATCH_ENGINE!K292)</f>
        <v/>
      </c>
      <c r="K292" s="11">
        <f>IF(MATCH_ENGINE!A292="","",MATCH_ENGINE!L292)</f>
        <v/>
      </c>
      <c r="L292" s="17">
        <f>IF(MATCH_ENGINE!A292="","",MATCH_ENGINE!M292)</f>
        <v/>
      </c>
      <c r="M292" s="11">
        <f>IF(MATCH_ENGINE!A292="","",GL_CLEAN!F292)</f>
        <v/>
      </c>
      <c r="N292" s="11">
        <f>IF(MATCH_ENGINE!A292="","",GL_CLEAN!G292)</f>
        <v/>
      </c>
      <c r="O292" s="11">
        <f>IF(MATCH_ENGINE!H292="","",INDEX(BANK_CLEAN!$C$2:$C$1001,MATCH_ENGINE!H292))</f>
        <v/>
      </c>
      <c r="P292" s="11" t="inlineStr"/>
    </row>
    <row r="293">
      <c r="A293" s="11">
        <f>IF(MATCH_ENGINE!A293="","",MATCH_ENGINE!N293)</f>
        <v/>
      </c>
      <c r="B293" s="11">
        <f>IF(MATCH_ENGINE!A293="","",MATCH_ENGINE!C293)</f>
        <v/>
      </c>
      <c r="C293" s="10">
        <f>IF(MATCH_ENGINE!A293="","",MATCH_ENGINE!B293)</f>
        <v/>
      </c>
      <c r="D293" s="16">
        <f>IF(MATCH_ENGINE!A293="","",MATCH_ENGINE!D293)</f>
        <v/>
      </c>
      <c r="E293" s="11">
        <f>IF(MATCH_ENGINE!A293="","",MATCH_ENGINE!F293)</f>
        <v/>
      </c>
      <c r="F293" s="10">
        <f>IF(MATCH_ENGINE!A293="","",MATCH_ENGINE!I293)</f>
        <v/>
      </c>
      <c r="G293" s="16">
        <f>IF(MATCH_ENGINE!H293="","",IF(MATCH_ENGINE!F293="IN",MATCH_ENGINE!J293,""))</f>
        <v/>
      </c>
      <c r="H293" s="16">
        <f>IF(MATCH_ENGINE!H293="","",IF(MATCH_ENGINE!F293="OUT",MATCH_ENGINE!J293,""))</f>
        <v/>
      </c>
      <c r="I293" s="16">
        <f>IF(MATCH_ENGINE!H293="","",MATCH_ENGINE!J293)</f>
        <v/>
      </c>
      <c r="J293" s="12">
        <f>IF(MATCH_ENGINE!A293="","",MATCH_ENGINE!K293)</f>
        <v/>
      </c>
      <c r="K293" s="11">
        <f>IF(MATCH_ENGINE!A293="","",MATCH_ENGINE!L293)</f>
        <v/>
      </c>
      <c r="L293" s="17">
        <f>IF(MATCH_ENGINE!A293="","",MATCH_ENGINE!M293)</f>
        <v/>
      </c>
      <c r="M293" s="11">
        <f>IF(MATCH_ENGINE!A293="","",GL_CLEAN!F293)</f>
        <v/>
      </c>
      <c r="N293" s="11">
        <f>IF(MATCH_ENGINE!A293="","",GL_CLEAN!G293)</f>
        <v/>
      </c>
      <c r="O293" s="11">
        <f>IF(MATCH_ENGINE!H293="","",INDEX(BANK_CLEAN!$C$2:$C$1001,MATCH_ENGINE!H293))</f>
        <v/>
      </c>
      <c r="P293" s="11" t="inlineStr"/>
    </row>
    <row r="294">
      <c r="A294" s="11">
        <f>IF(MATCH_ENGINE!A294="","",MATCH_ENGINE!N294)</f>
        <v/>
      </c>
      <c r="B294" s="11">
        <f>IF(MATCH_ENGINE!A294="","",MATCH_ENGINE!C294)</f>
        <v/>
      </c>
      <c r="C294" s="10">
        <f>IF(MATCH_ENGINE!A294="","",MATCH_ENGINE!B294)</f>
        <v/>
      </c>
      <c r="D294" s="16">
        <f>IF(MATCH_ENGINE!A294="","",MATCH_ENGINE!D294)</f>
        <v/>
      </c>
      <c r="E294" s="11">
        <f>IF(MATCH_ENGINE!A294="","",MATCH_ENGINE!F294)</f>
        <v/>
      </c>
      <c r="F294" s="10">
        <f>IF(MATCH_ENGINE!A294="","",MATCH_ENGINE!I294)</f>
        <v/>
      </c>
      <c r="G294" s="16">
        <f>IF(MATCH_ENGINE!H294="","",IF(MATCH_ENGINE!F294="IN",MATCH_ENGINE!J294,""))</f>
        <v/>
      </c>
      <c r="H294" s="16">
        <f>IF(MATCH_ENGINE!H294="","",IF(MATCH_ENGINE!F294="OUT",MATCH_ENGINE!J294,""))</f>
        <v/>
      </c>
      <c r="I294" s="16">
        <f>IF(MATCH_ENGINE!H294="","",MATCH_ENGINE!J294)</f>
        <v/>
      </c>
      <c r="J294" s="12">
        <f>IF(MATCH_ENGINE!A294="","",MATCH_ENGINE!K294)</f>
        <v/>
      </c>
      <c r="K294" s="11">
        <f>IF(MATCH_ENGINE!A294="","",MATCH_ENGINE!L294)</f>
        <v/>
      </c>
      <c r="L294" s="17">
        <f>IF(MATCH_ENGINE!A294="","",MATCH_ENGINE!M294)</f>
        <v/>
      </c>
      <c r="M294" s="11">
        <f>IF(MATCH_ENGINE!A294="","",GL_CLEAN!F294)</f>
        <v/>
      </c>
      <c r="N294" s="11">
        <f>IF(MATCH_ENGINE!A294="","",GL_CLEAN!G294)</f>
        <v/>
      </c>
      <c r="O294" s="11">
        <f>IF(MATCH_ENGINE!H294="","",INDEX(BANK_CLEAN!$C$2:$C$1001,MATCH_ENGINE!H294))</f>
        <v/>
      </c>
      <c r="P294" s="11" t="inlineStr"/>
    </row>
    <row r="295">
      <c r="A295" s="11">
        <f>IF(MATCH_ENGINE!A295="","",MATCH_ENGINE!N295)</f>
        <v/>
      </c>
      <c r="B295" s="11">
        <f>IF(MATCH_ENGINE!A295="","",MATCH_ENGINE!C295)</f>
        <v/>
      </c>
      <c r="C295" s="10">
        <f>IF(MATCH_ENGINE!A295="","",MATCH_ENGINE!B295)</f>
        <v/>
      </c>
      <c r="D295" s="16">
        <f>IF(MATCH_ENGINE!A295="","",MATCH_ENGINE!D295)</f>
        <v/>
      </c>
      <c r="E295" s="11">
        <f>IF(MATCH_ENGINE!A295="","",MATCH_ENGINE!F295)</f>
        <v/>
      </c>
      <c r="F295" s="10">
        <f>IF(MATCH_ENGINE!A295="","",MATCH_ENGINE!I295)</f>
        <v/>
      </c>
      <c r="G295" s="16">
        <f>IF(MATCH_ENGINE!H295="","",IF(MATCH_ENGINE!F295="IN",MATCH_ENGINE!J295,""))</f>
        <v/>
      </c>
      <c r="H295" s="16">
        <f>IF(MATCH_ENGINE!H295="","",IF(MATCH_ENGINE!F295="OUT",MATCH_ENGINE!J295,""))</f>
        <v/>
      </c>
      <c r="I295" s="16">
        <f>IF(MATCH_ENGINE!H295="","",MATCH_ENGINE!J295)</f>
        <v/>
      </c>
      <c r="J295" s="12">
        <f>IF(MATCH_ENGINE!A295="","",MATCH_ENGINE!K295)</f>
        <v/>
      </c>
      <c r="K295" s="11">
        <f>IF(MATCH_ENGINE!A295="","",MATCH_ENGINE!L295)</f>
        <v/>
      </c>
      <c r="L295" s="17">
        <f>IF(MATCH_ENGINE!A295="","",MATCH_ENGINE!M295)</f>
        <v/>
      </c>
      <c r="M295" s="11">
        <f>IF(MATCH_ENGINE!A295="","",GL_CLEAN!F295)</f>
        <v/>
      </c>
      <c r="N295" s="11">
        <f>IF(MATCH_ENGINE!A295="","",GL_CLEAN!G295)</f>
        <v/>
      </c>
      <c r="O295" s="11">
        <f>IF(MATCH_ENGINE!H295="","",INDEX(BANK_CLEAN!$C$2:$C$1001,MATCH_ENGINE!H295))</f>
        <v/>
      </c>
      <c r="P295" s="11" t="inlineStr"/>
    </row>
    <row r="296">
      <c r="A296" s="11">
        <f>IF(MATCH_ENGINE!A296="","",MATCH_ENGINE!N296)</f>
        <v/>
      </c>
      <c r="B296" s="11">
        <f>IF(MATCH_ENGINE!A296="","",MATCH_ENGINE!C296)</f>
        <v/>
      </c>
      <c r="C296" s="10">
        <f>IF(MATCH_ENGINE!A296="","",MATCH_ENGINE!B296)</f>
        <v/>
      </c>
      <c r="D296" s="16">
        <f>IF(MATCH_ENGINE!A296="","",MATCH_ENGINE!D296)</f>
        <v/>
      </c>
      <c r="E296" s="11">
        <f>IF(MATCH_ENGINE!A296="","",MATCH_ENGINE!F296)</f>
        <v/>
      </c>
      <c r="F296" s="10">
        <f>IF(MATCH_ENGINE!A296="","",MATCH_ENGINE!I296)</f>
        <v/>
      </c>
      <c r="G296" s="16">
        <f>IF(MATCH_ENGINE!H296="","",IF(MATCH_ENGINE!F296="IN",MATCH_ENGINE!J296,""))</f>
        <v/>
      </c>
      <c r="H296" s="16">
        <f>IF(MATCH_ENGINE!H296="","",IF(MATCH_ENGINE!F296="OUT",MATCH_ENGINE!J296,""))</f>
        <v/>
      </c>
      <c r="I296" s="16">
        <f>IF(MATCH_ENGINE!H296="","",MATCH_ENGINE!J296)</f>
        <v/>
      </c>
      <c r="J296" s="12">
        <f>IF(MATCH_ENGINE!A296="","",MATCH_ENGINE!K296)</f>
        <v/>
      </c>
      <c r="K296" s="11">
        <f>IF(MATCH_ENGINE!A296="","",MATCH_ENGINE!L296)</f>
        <v/>
      </c>
      <c r="L296" s="17">
        <f>IF(MATCH_ENGINE!A296="","",MATCH_ENGINE!M296)</f>
        <v/>
      </c>
      <c r="M296" s="11">
        <f>IF(MATCH_ENGINE!A296="","",GL_CLEAN!F296)</f>
        <v/>
      </c>
      <c r="N296" s="11">
        <f>IF(MATCH_ENGINE!A296="","",GL_CLEAN!G296)</f>
        <v/>
      </c>
      <c r="O296" s="11">
        <f>IF(MATCH_ENGINE!H296="","",INDEX(BANK_CLEAN!$C$2:$C$1001,MATCH_ENGINE!H296))</f>
        <v/>
      </c>
      <c r="P296" s="11" t="inlineStr"/>
    </row>
    <row r="297">
      <c r="A297" s="11">
        <f>IF(MATCH_ENGINE!A297="","",MATCH_ENGINE!N297)</f>
        <v/>
      </c>
      <c r="B297" s="11">
        <f>IF(MATCH_ENGINE!A297="","",MATCH_ENGINE!C297)</f>
        <v/>
      </c>
      <c r="C297" s="10">
        <f>IF(MATCH_ENGINE!A297="","",MATCH_ENGINE!B297)</f>
        <v/>
      </c>
      <c r="D297" s="16">
        <f>IF(MATCH_ENGINE!A297="","",MATCH_ENGINE!D297)</f>
        <v/>
      </c>
      <c r="E297" s="11">
        <f>IF(MATCH_ENGINE!A297="","",MATCH_ENGINE!F297)</f>
        <v/>
      </c>
      <c r="F297" s="10">
        <f>IF(MATCH_ENGINE!A297="","",MATCH_ENGINE!I297)</f>
        <v/>
      </c>
      <c r="G297" s="16">
        <f>IF(MATCH_ENGINE!H297="","",IF(MATCH_ENGINE!F297="IN",MATCH_ENGINE!J297,""))</f>
        <v/>
      </c>
      <c r="H297" s="16">
        <f>IF(MATCH_ENGINE!H297="","",IF(MATCH_ENGINE!F297="OUT",MATCH_ENGINE!J297,""))</f>
        <v/>
      </c>
      <c r="I297" s="16">
        <f>IF(MATCH_ENGINE!H297="","",MATCH_ENGINE!J297)</f>
        <v/>
      </c>
      <c r="J297" s="12">
        <f>IF(MATCH_ENGINE!A297="","",MATCH_ENGINE!K297)</f>
        <v/>
      </c>
      <c r="K297" s="11">
        <f>IF(MATCH_ENGINE!A297="","",MATCH_ENGINE!L297)</f>
        <v/>
      </c>
      <c r="L297" s="17">
        <f>IF(MATCH_ENGINE!A297="","",MATCH_ENGINE!M297)</f>
        <v/>
      </c>
      <c r="M297" s="11">
        <f>IF(MATCH_ENGINE!A297="","",GL_CLEAN!F297)</f>
        <v/>
      </c>
      <c r="N297" s="11">
        <f>IF(MATCH_ENGINE!A297="","",GL_CLEAN!G297)</f>
        <v/>
      </c>
      <c r="O297" s="11">
        <f>IF(MATCH_ENGINE!H297="","",INDEX(BANK_CLEAN!$C$2:$C$1001,MATCH_ENGINE!H297))</f>
        <v/>
      </c>
      <c r="P297" s="11" t="inlineStr"/>
    </row>
    <row r="298">
      <c r="A298" s="11">
        <f>IF(MATCH_ENGINE!A298="","",MATCH_ENGINE!N298)</f>
        <v/>
      </c>
      <c r="B298" s="11">
        <f>IF(MATCH_ENGINE!A298="","",MATCH_ENGINE!C298)</f>
        <v/>
      </c>
      <c r="C298" s="10">
        <f>IF(MATCH_ENGINE!A298="","",MATCH_ENGINE!B298)</f>
        <v/>
      </c>
      <c r="D298" s="16">
        <f>IF(MATCH_ENGINE!A298="","",MATCH_ENGINE!D298)</f>
        <v/>
      </c>
      <c r="E298" s="11">
        <f>IF(MATCH_ENGINE!A298="","",MATCH_ENGINE!F298)</f>
        <v/>
      </c>
      <c r="F298" s="10">
        <f>IF(MATCH_ENGINE!A298="","",MATCH_ENGINE!I298)</f>
        <v/>
      </c>
      <c r="G298" s="16">
        <f>IF(MATCH_ENGINE!H298="","",IF(MATCH_ENGINE!F298="IN",MATCH_ENGINE!J298,""))</f>
        <v/>
      </c>
      <c r="H298" s="16">
        <f>IF(MATCH_ENGINE!H298="","",IF(MATCH_ENGINE!F298="OUT",MATCH_ENGINE!J298,""))</f>
        <v/>
      </c>
      <c r="I298" s="16">
        <f>IF(MATCH_ENGINE!H298="","",MATCH_ENGINE!J298)</f>
        <v/>
      </c>
      <c r="J298" s="12">
        <f>IF(MATCH_ENGINE!A298="","",MATCH_ENGINE!K298)</f>
        <v/>
      </c>
      <c r="K298" s="11">
        <f>IF(MATCH_ENGINE!A298="","",MATCH_ENGINE!L298)</f>
        <v/>
      </c>
      <c r="L298" s="17">
        <f>IF(MATCH_ENGINE!A298="","",MATCH_ENGINE!M298)</f>
        <v/>
      </c>
      <c r="M298" s="11">
        <f>IF(MATCH_ENGINE!A298="","",GL_CLEAN!F298)</f>
        <v/>
      </c>
      <c r="N298" s="11">
        <f>IF(MATCH_ENGINE!A298="","",GL_CLEAN!G298)</f>
        <v/>
      </c>
      <c r="O298" s="11">
        <f>IF(MATCH_ENGINE!H298="","",INDEX(BANK_CLEAN!$C$2:$C$1001,MATCH_ENGINE!H298))</f>
        <v/>
      </c>
      <c r="P298" s="11" t="inlineStr"/>
    </row>
    <row r="299">
      <c r="A299" s="11">
        <f>IF(MATCH_ENGINE!A299="","",MATCH_ENGINE!N299)</f>
        <v/>
      </c>
      <c r="B299" s="11">
        <f>IF(MATCH_ENGINE!A299="","",MATCH_ENGINE!C299)</f>
        <v/>
      </c>
      <c r="C299" s="10">
        <f>IF(MATCH_ENGINE!A299="","",MATCH_ENGINE!B299)</f>
        <v/>
      </c>
      <c r="D299" s="16">
        <f>IF(MATCH_ENGINE!A299="","",MATCH_ENGINE!D299)</f>
        <v/>
      </c>
      <c r="E299" s="11">
        <f>IF(MATCH_ENGINE!A299="","",MATCH_ENGINE!F299)</f>
        <v/>
      </c>
      <c r="F299" s="10">
        <f>IF(MATCH_ENGINE!A299="","",MATCH_ENGINE!I299)</f>
        <v/>
      </c>
      <c r="G299" s="16">
        <f>IF(MATCH_ENGINE!H299="","",IF(MATCH_ENGINE!F299="IN",MATCH_ENGINE!J299,""))</f>
        <v/>
      </c>
      <c r="H299" s="16">
        <f>IF(MATCH_ENGINE!H299="","",IF(MATCH_ENGINE!F299="OUT",MATCH_ENGINE!J299,""))</f>
        <v/>
      </c>
      <c r="I299" s="16">
        <f>IF(MATCH_ENGINE!H299="","",MATCH_ENGINE!J299)</f>
        <v/>
      </c>
      <c r="J299" s="12">
        <f>IF(MATCH_ENGINE!A299="","",MATCH_ENGINE!K299)</f>
        <v/>
      </c>
      <c r="K299" s="11">
        <f>IF(MATCH_ENGINE!A299="","",MATCH_ENGINE!L299)</f>
        <v/>
      </c>
      <c r="L299" s="17">
        <f>IF(MATCH_ENGINE!A299="","",MATCH_ENGINE!M299)</f>
        <v/>
      </c>
      <c r="M299" s="11">
        <f>IF(MATCH_ENGINE!A299="","",GL_CLEAN!F299)</f>
        <v/>
      </c>
      <c r="N299" s="11">
        <f>IF(MATCH_ENGINE!A299="","",GL_CLEAN!G299)</f>
        <v/>
      </c>
      <c r="O299" s="11">
        <f>IF(MATCH_ENGINE!H299="","",INDEX(BANK_CLEAN!$C$2:$C$1001,MATCH_ENGINE!H299))</f>
        <v/>
      </c>
      <c r="P299" s="11" t="inlineStr"/>
    </row>
    <row r="300">
      <c r="A300" s="11">
        <f>IF(MATCH_ENGINE!A300="","",MATCH_ENGINE!N300)</f>
        <v/>
      </c>
      <c r="B300" s="11">
        <f>IF(MATCH_ENGINE!A300="","",MATCH_ENGINE!C300)</f>
        <v/>
      </c>
      <c r="C300" s="10">
        <f>IF(MATCH_ENGINE!A300="","",MATCH_ENGINE!B300)</f>
        <v/>
      </c>
      <c r="D300" s="16">
        <f>IF(MATCH_ENGINE!A300="","",MATCH_ENGINE!D300)</f>
        <v/>
      </c>
      <c r="E300" s="11">
        <f>IF(MATCH_ENGINE!A300="","",MATCH_ENGINE!F300)</f>
        <v/>
      </c>
      <c r="F300" s="10">
        <f>IF(MATCH_ENGINE!A300="","",MATCH_ENGINE!I300)</f>
        <v/>
      </c>
      <c r="G300" s="16">
        <f>IF(MATCH_ENGINE!H300="","",IF(MATCH_ENGINE!F300="IN",MATCH_ENGINE!J300,""))</f>
        <v/>
      </c>
      <c r="H300" s="16">
        <f>IF(MATCH_ENGINE!H300="","",IF(MATCH_ENGINE!F300="OUT",MATCH_ENGINE!J300,""))</f>
        <v/>
      </c>
      <c r="I300" s="16">
        <f>IF(MATCH_ENGINE!H300="","",MATCH_ENGINE!J300)</f>
        <v/>
      </c>
      <c r="J300" s="12">
        <f>IF(MATCH_ENGINE!A300="","",MATCH_ENGINE!K300)</f>
        <v/>
      </c>
      <c r="K300" s="11">
        <f>IF(MATCH_ENGINE!A300="","",MATCH_ENGINE!L300)</f>
        <v/>
      </c>
      <c r="L300" s="17">
        <f>IF(MATCH_ENGINE!A300="","",MATCH_ENGINE!M300)</f>
        <v/>
      </c>
      <c r="M300" s="11">
        <f>IF(MATCH_ENGINE!A300="","",GL_CLEAN!F300)</f>
        <v/>
      </c>
      <c r="N300" s="11">
        <f>IF(MATCH_ENGINE!A300="","",GL_CLEAN!G300)</f>
        <v/>
      </c>
      <c r="O300" s="11">
        <f>IF(MATCH_ENGINE!H300="","",INDEX(BANK_CLEAN!$C$2:$C$1001,MATCH_ENGINE!H300))</f>
        <v/>
      </c>
      <c r="P300" s="11" t="inlineStr"/>
    </row>
    <row r="301">
      <c r="A301" s="11">
        <f>IF(MATCH_ENGINE!A301="","",MATCH_ENGINE!N301)</f>
        <v/>
      </c>
      <c r="B301" s="11">
        <f>IF(MATCH_ENGINE!A301="","",MATCH_ENGINE!C301)</f>
        <v/>
      </c>
      <c r="C301" s="10">
        <f>IF(MATCH_ENGINE!A301="","",MATCH_ENGINE!B301)</f>
        <v/>
      </c>
      <c r="D301" s="16">
        <f>IF(MATCH_ENGINE!A301="","",MATCH_ENGINE!D301)</f>
        <v/>
      </c>
      <c r="E301" s="11">
        <f>IF(MATCH_ENGINE!A301="","",MATCH_ENGINE!F301)</f>
        <v/>
      </c>
      <c r="F301" s="10">
        <f>IF(MATCH_ENGINE!A301="","",MATCH_ENGINE!I301)</f>
        <v/>
      </c>
      <c r="G301" s="16">
        <f>IF(MATCH_ENGINE!H301="","",IF(MATCH_ENGINE!F301="IN",MATCH_ENGINE!J301,""))</f>
        <v/>
      </c>
      <c r="H301" s="16">
        <f>IF(MATCH_ENGINE!H301="","",IF(MATCH_ENGINE!F301="OUT",MATCH_ENGINE!J301,""))</f>
        <v/>
      </c>
      <c r="I301" s="16">
        <f>IF(MATCH_ENGINE!H301="","",MATCH_ENGINE!J301)</f>
        <v/>
      </c>
      <c r="J301" s="12">
        <f>IF(MATCH_ENGINE!A301="","",MATCH_ENGINE!K301)</f>
        <v/>
      </c>
      <c r="K301" s="11">
        <f>IF(MATCH_ENGINE!A301="","",MATCH_ENGINE!L301)</f>
        <v/>
      </c>
      <c r="L301" s="17">
        <f>IF(MATCH_ENGINE!A301="","",MATCH_ENGINE!M301)</f>
        <v/>
      </c>
      <c r="M301" s="11">
        <f>IF(MATCH_ENGINE!A301="","",GL_CLEAN!F301)</f>
        <v/>
      </c>
      <c r="N301" s="11">
        <f>IF(MATCH_ENGINE!A301="","",GL_CLEAN!G301)</f>
        <v/>
      </c>
      <c r="O301" s="11">
        <f>IF(MATCH_ENGINE!H301="","",INDEX(BANK_CLEAN!$C$2:$C$1001,MATCH_ENGINE!H301))</f>
        <v/>
      </c>
      <c r="P301" s="11" t="inlineStr"/>
    </row>
    <row r="302">
      <c r="A302" s="11">
        <f>IF(MATCH_ENGINE!A302="","",MATCH_ENGINE!N302)</f>
        <v/>
      </c>
      <c r="B302" s="11">
        <f>IF(MATCH_ENGINE!A302="","",MATCH_ENGINE!C302)</f>
        <v/>
      </c>
      <c r="C302" s="10">
        <f>IF(MATCH_ENGINE!A302="","",MATCH_ENGINE!B302)</f>
        <v/>
      </c>
      <c r="D302" s="16">
        <f>IF(MATCH_ENGINE!A302="","",MATCH_ENGINE!D302)</f>
        <v/>
      </c>
      <c r="E302" s="11">
        <f>IF(MATCH_ENGINE!A302="","",MATCH_ENGINE!F302)</f>
        <v/>
      </c>
      <c r="F302" s="10">
        <f>IF(MATCH_ENGINE!A302="","",MATCH_ENGINE!I302)</f>
        <v/>
      </c>
      <c r="G302" s="16">
        <f>IF(MATCH_ENGINE!H302="","",IF(MATCH_ENGINE!F302="IN",MATCH_ENGINE!J302,""))</f>
        <v/>
      </c>
      <c r="H302" s="16">
        <f>IF(MATCH_ENGINE!H302="","",IF(MATCH_ENGINE!F302="OUT",MATCH_ENGINE!J302,""))</f>
        <v/>
      </c>
      <c r="I302" s="16">
        <f>IF(MATCH_ENGINE!H302="","",MATCH_ENGINE!J302)</f>
        <v/>
      </c>
      <c r="J302" s="12">
        <f>IF(MATCH_ENGINE!A302="","",MATCH_ENGINE!K302)</f>
        <v/>
      </c>
      <c r="K302" s="11">
        <f>IF(MATCH_ENGINE!A302="","",MATCH_ENGINE!L302)</f>
        <v/>
      </c>
      <c r="L302" s="17">
        <f>IF(MATCH_ENGINE!A302="","",MATCH_ENGINE!M302)</f>
        <v/>
      </c>
      <c r="M302" s="11">
        <f>IF(MATCH_ENGINE!A302="","",GL_CLEAN!F302)</f>
        <v/>
      </c>
      <c r="N302" s="11">
        <f>IF(MATCH_ENGINE!A302="","",GL_CLEAN!G302)</f>
        <v/>
      </c>
      <c r="O302" s="11">
        <f>IF(MATCH_ENGINE!H302="","",INDEX(BANK_CLEAN!$C$2:$C$1001,MATCH_ENGINE!H302))</f>
        <v/>
      </c>
      <c r="P302" s="11" t="inlineStr"/>
    </row>
    <row r="303">
      <c r="A303" s="11">
        <f>IF(MATCH_ENGINE!A303="","",MATCH_ENGINE!N303)</f>
        <v/>
      </c>
      <c r="B303" s="11">
        <f>IF(MATCH_ENGINE!A303="","",MATCH_ENGINE!C303)</f>
        <v/>
      </c>
      <c r="C303" s="10">
        <f>IF(MATCH_ENGINE!A303="","",MATCH_ENGINE!B303)</f>
        <v/>
      </c>
      <c r="D303" s="16">
        <f>IF(MATCH_ENGINE!A303="","",MATCH_ENGINE!D303)</f>
        <v/>
      </c>
      <c r="E303" s="11">
        <f>IF(MATCH_ENGINE!A303="","",MATCH_ENGINE!F303)</f>
        <v/>
      </c>
      <c r="F303" s="10">
        <f>IF(MATCH_ENGINE!A303="","",MATCH_ENGINE!I303)</f>
        <v/>
      </c>
      <c r="G303" s="16">
        <f>IF(MATCH_ENGINE!H303="","",IF(MATCH_ENGINE!F303="IN",MATCH_ENGINE!J303,""))</f>
        <v/>
      </c>
      <c r="H303" s="16">
        <f>IF(MATCH_ENGINE!H303="","",IF(MATCH_ENGINE!F303="OUT",MATCH_ENGINE!J303,""))</f>
        <v/>
      </c>
      <c r="I303" s="16">
        <f>IF(MATCH_ENGINE!H303="","",MATCH_ENGINE!J303)</f>
        <v/>
      </c>
      <c r="J303" s="12">
        <f>IF(MATCH_ENGINE!A303="","",MATCH_ENGINE!K303)</f>
        <v/>
      </c>
      <c r="K303" s="11">
        <f>IF(MATCH_ENGINE!A303="","",MATCH_ENGINE!L303)</f>
        <v/>
      </c>
      <c r="L303" s="17">
        <f>IF(MATCH_ENGINE!A303="","",MATCH_ENGINE!M303)</f>
        <v/>
      </c>
      <c r="M303" s="11">
        <f>IF(MATCH_ENGINE!A303="","",GL_CLEAN!F303)</f>
        <v/>
      </c>
      <c r="N303" s="11">
        <f>IF(MATCH_ENGINE!A303="","",GL_CLEAN!G303)</f>
        <v/>
      </c>
      <c r="O303" s="11">
        <f>IF(MATCH_ENGINE!H303="","",INDEX(BANK_CLEAN!$C$2:$C$1001,MATCH_ENGINE!H303))</f>
        <v/>
      </c>
      <c r="P303" s="11" t="inlineStr"/>
    </row>
    <row r="304">
      <c r="A304" s="11">
        <f>IF(MATCH_ENGINE!A304="","",MATCH_ENGINE!N304)</f>
        <v/>
      </c>
      <c r="B304" s="11">
        <f>IF(MATCH_ENGINE!A304="","",MATCH_ENGINE!C304)</f>
        <v/>
      </c>
      <c r="C304" s="10">
        <f>IF(MATCH_ENGINE!A304="","",MATCH_ENGINE!B304)</f>
        <v/>
      </c>
      <c r="D304" s="16">
        <f>IF(MATCH_ENGINE!A304="","",MATCH_ENGINE!D304)</f>
        <v/>
      </c>
      <c r="E304" s="11">
        <f>IF(MATCH_ENGINE!A304="","",MATCH_ENGINE!F304)</f>
        <v/>
      </c>
      <c r="F304" s="10">
        <f>IF(MATCH_ENGINE!A304="","",MATCH_ENGINE!I304)</f>
        <v/>
      </c>
      <c r="G304" s="16">
        <f>IF(MATCH_ENGINE!H304="","",IF(MATCH_ENGINE!F304="IN",MATCH_ENGINE!J304,""))</f>
        <v/>
      </c>
      <c r="H304" s="16">
        <f>IF(MATCH_ENGINE!H304="","",IF(MATCH_ENGINE!F304="OUT",MATCH_ENGINE!J304,""))</f>
        <v/>
      </c>
      <c r="I304" s="16">
        <f>IF(MATCH_ENGINE!H304="","",MATCH_ENGINE!J304)</f>
        <v/>
      </c>
      <c r="J304" s="12">
        <f>IF(MATCH_ENGINE!A304="","",MATCH_ENGINE!K304)</f>
        <v/>
      </c>
      <c r="K304" s="11">
        <f>IF(MATCH_ENGINE!A304="","",MATCH_ENGINE!L304)</f>
        <v/>
      </c>
      <c r="L304" s="17">
        <f>IF(MATCH_ENGINE!A304="","",MATCH_ENGINE!M304)</f>
        <v/>
      </c>
      <c r="M304" s="11">
        <f>IF(MATCH_ENGINE!A304="","",GL_CLEAN!F304)</f>
        <v/>
      </c>
      <c r="N304" s="11">
        <f>IF(MATCH_ENGINE!A304="","",GL_CLEAN!G304)</f>
        <v/>
      </c>
      <c r="O304" s="11">
        <f>IF(MATCH_ENGINE!H304="","",INDEX(BANK_CLEAN!$C$2:$C$1001,MATCH_ENGINE!H304))</f>
        <v/>
      </c>
      <c r="P304" s="11" t="inlineStr"/>
    </row>
    <row r="305">
      <c r="A305" s="11">
        <f>IF(MATCH_ENGINE!A305="","",MATCH_ENGINE!N305)</f>
        <v/>
      </c>
      <c r="B305" s="11">
        <f>IF(MATCH_ENGINE!A305="","",MATCH_ENGINE!C305)</f>
        <v/>
      </c>
      <c r="C305" s="10">
        <f>IF(MATCH_ENGINE!A305="","",MATCH_ENGINE!B305)</f>
        <v/>
      </c>
      <c r="D305" s="16">
        <f>IF(MATCH_ENGINE!A305="","",MATCH_ENGINE!D305)</f>
        <v/>
      </c>
      <c r="E305" s="11">
        <f>IF(MATCH_ENGINE!A305="","",MATCH_ENGINE!F305)</f>
        <v/>
      </c>
      <c r="F305" s="10">
        <f>IF(MATCH_ENGINE!A305="","",MATCH_ENGINE!I305)</f>
        <v/>
      </c>
      <c r="G305" s="16">
        <f>IF(MATCH_ENGINE!H305="","",IF(MATCH_ENGINE!F305="IN",MATCH_ENGINE!J305,""))</f>
        <v/>
      </c>
      <c r="H305" s="16">
        <f>IF(MATCH_ENGINE!H305="","",IF(MATCH_ENGINE!F305="OUT",MATCH_ENGINE!J305,""))</f>
        <v/>
      </c>
      <c r="I305" s="16">
        <f>IF(MATCH_ENGINE!H305="","",MATCH_ENGINE!J305)</f>
        <v/>
      </c>
      <c r="J305" s="12">
        <f>IF(MATCH_ENGINE!A305="","",MATCH_ENGINE!K305)</f>
        <v/>
      </c>
      <c r="K305" s="11">
        <f>IF(MATCH_ENGINE!A305="","",MATCH_ENGINE!L305)</f>
        <v/>
      </c>
      <c r="L305" s="17">
        <f>IF(MATCH_ENGINE!A305="","",MATCH_ENGINE!M305)</f>
        <v/>
      </c>
      <c r="M305" s="11">
        <f>IF(MATCH_ENGINE!A305="","",GL_CLEAN!F305)</f>
        <v/>
      </c>
      <c r="N305" s="11">
        <f>IF(MATCH_ENGINE!A305="","",GL_CLEAN!G305)</f>
        <v/>
      </c>
      <c r="O305" s="11">
        <f>IF(MATCH_ENGINE!H305="","",INDEX(BANK_CLEAN!$C$2:$C$1001,MATCH_ENGINE!H305))</f>
        <v/>
      </c>
      <c r="P305" s="11" t="inlineStr"/>
    </row>
    <row r="306">
      <c r="A306" s="11">
        <f>IF(MATCH_ENGINE!A306="","",MATCH_ENGINE!N306)</f>
        <v/>
      </c>
      <c r="B306" s="11">
        <f>IF(MATCH_ENGINE!A306="","",MATCH_ENGINE!C306)</f>
        <v/>
      </c>
      <c r="C306" s="10">
        <f>IF(MATCH_ENGINE!A306="","",MATCH_ENGINE!B306)</f>
        <v/>
      </c>
      <c r="D306" s="16">
        <f>IF(MATCH_ENGINE!A306="","",MATCH_ENGINE!D306)</f>
        <v/>
      </c>
      <c r="E306" s="11">
        <f>IF(MATCH_ENGINE!A306="","",MATCH_ENGINE!F306)</f>
        <v/>
      </c>
      <c r="F306" s="10">
        <f>IF(MATCH_ENGINE!A306="","",MATCH_ENGINE!I306)</f>
        <v/>
      </c>
      <c r="G306" s="16">
        <f>IF(MATCH_ENGINE!H306="","",IF(MATCH_ENGINE!F306="IN",MATCH_ENGINE!J306,""))</f>
        <v/>
      </c>
      <c r="H306" s="16">
        <f>IF(MATCH_ENGINE!H306="","",IF(MATCH_ENGINE!F306="OUT",MATCH_ENGINE!J306,""))</f>
        <v/>
      </c>
      <c r="I306" s="16">
        <f>IF(MATCH_ENGINE!H306="","",MATCH_ENGINE!J306)</f>
        <v/>
      </c>
      <c r="J306" s="12">
        <f>IF(MATCH_ENGINE!A306="","",MATCH_ENGINE!K306)</f>
        <v/>
      </c>
      <c r="K306" s="11">
        <f>IF(MATCH_ENGINE!A306="","",MATCH_ENGINE!L306)</f>
        <v/>
      </c>
      <c r="L306" s="17">
        <f>IF(MATCH_ENGINE!A306="","",MATCH_ENGINE!M306)</f>
        <v/>
      </c>
      <c r="M306" s="11">
        <f>IF(MATCH_ENGINE!A306="","",GL_CLEAN!F306)</f>
        <v/>
      </c>
      <c r="N306" s="11">
        <f>IF(MATCH_ENGINE!A306="","",GL_CLEAN!G306)</f>
        <v/>
      </c>
      <c r="O306" s="11">
        <f>IF(MATCH_ENGINE!H306="","",INDEX(BANK_CLEAN!$C$2:$C$1001,MATCH_ENGINE!H306))</f>
        <v/>
      </c>
      <c r="P306" s="11" t="inlineStr"/>
    </row>
    <row r="307">
      <c r="A307" s="11">
        <f>IF(MATCH_ENGINE!A307="","",MATCH_ENGINE!N307)</f>
        <v/>
      </c>
      <c r="B307" s="11">
        <f>IF(MATCH_ENGINE!A307="","",MATCH_ENGINE!C307)</f>
        <v/>
      </c>
      <c r="C307" s="10">
        <f>IF(MATCH_ENGINE!A307="","",MATCH_ENGINE!B307)</f>
        <v/>
      </c>
      <c r="D307" s="16">
        <f>IF(MATCH_ENGINE!A307="","",MATCH_ENGINE!D307)</f>
        <v/>
      </c>
      <c r="E307" s="11">
        <f>IF(MATCH_ENGINE!A307="","",MATCH_ENGINE!F307)</f>
        <v/>
      </c>
      <c r="F307" s="10">
        <f>IF(MATCH_ENGINE!A307="","",MATCH_ENGINE!I307)</f>
        <v/>
      </c>
      <c r="G307" s="16">
        <f>IF(MATCH_ENGINE!H307="","",IF(MATCH_ENGINE!F307="IN",MATCH_ENGINE!J307,""))</f>
        <v/>
      </c>
      <c r="H307" s="16">
        <f>IF(MATCH_ENGINE!H307="","",IF(MATCH_ENGINE!F307="OUT",MATCH_ENGINE!J307,""))</f>
        <v/>
      </c>
      <c r="I307" s="16">
        <f>IF(MATCH_ENGINE!H307="","",MATCH_ENGINE!J307)</f>
        <v/>
      </c>
      <c r="J307" s="12">
        <f>IF(MATCH_ENGINE!A307="","",MATCH_ENGINE!K307)</f>
        <v/>
      </c>
      <c r="K307" s="11">
        <f>IF(MATCH_ENGINE!A307="","",MATCH_ENGINE!L307)</f>
        <v/>
      </c>
      <c r="L307" s="17">
        <f>IF(MATCH_ENGINE!A307="","",MATCH_ENGINE!M307)</f>
        <v/>
      </c>
      <c r="M307" s="11">
        <f>IF(MATCH_ENGINE!A307="","",GL_CLEAN!F307)</f>
        <v/>
      </c>
      <c r="N307" s="11">
        <f>IF(MATCH_ENGINE!A307="","",GL_CLEAN!G307)</f>
        <v/>
      </c>
      <c r="O307" s="11">
        <f>IF(MATCH_ENGINE!H307="","",INDEX(BANK_CLEAN!$C$2:$C$1001,MATCH_ENGINE!H307))</f>
        <v/>
      </c>
      <c r="P307" s="11" t="inlineStr"/>
    </row>
    <row r="308">
      <c r="A308" s="11">
        <f>IF(MATCH_ENGINE!A308="","",MATCH_ENGINE!N308)</f>
        <v/>
      </c>
      <c r="B308" s="11">
        <f>IF(MATCH_ENGINE!A308="","",MATCH_ENGINE!C308)</f>
        <v/>
      </c>
      <c r="C308" s="10">
        <f>IF(MATCH_ENGINE!A308="","",MATCH_ENGINE!B308)</f>
        <v/>
      </c>
      <c r="D308" s="16">
        <f>IF(MATCH_ENGINE!A308="","",MATCH_ENGINE!D308)</f>
        <v/>
      </c>
      <c r="E308" s="11">
        <f>IF(MATCH_ENGINE!A308="","",MATCH_ENGINE!F308)</f>
        <v/>
      </c>
      <c r="F308" s="10">
        <f>IF(MATCH_ENGINE!A308="","",MATCH_ENGINE!I308)</f>
        <v/>
      </c>
      <c r="G308" s="16">
        <f>IF(MATCH_ENGINE!H308="","",IF(MATCH_ENGINE!F308="IN",MATCH_ENGINE!J308,""))</f>
        <v/>
      </c>
      <c r="H308" s="16">
        <f>IF(MATCH_ENGINE!H308="","",IF(MATCH_ENGINE!F308="OUT",MATCH_ENGINE!J308,""))</f>
        <v/>
      </c>
      <c r="I308" s="16">
        <f>IF(MATCH_ENGINE!H308="","",MATCH_ENGINE!J308)</f>
        <v/>
      </c>
      <c r="J308" s="12">
        <f>IF(MATCH_ENGINE!A308="","",MATCH_ENGINE!K308)</f>
        <v/>
      </c>
      <c r="K308" s="11">
        <f>IF(MATCH_ENGINE!A308="","",MATCH_ENGINE!L308)</f>
        <v/>
      </c>
      <c r="L308" s="17">
        <f>IF(MATCH_ENGINE!A308="","",MATCH_ENGINE!M308)</f>
        <v/>
      </c>
      <c r="M308" s="11">
        <f>IF(MATCH_ENGINE!A308="","",GL_CLEAN!F308)</f>
        <v/>
      </c>
      <c r="N308" s="11">
        <f>IF(MATCH_ENGINE!A308="","",GL_CLEAN!G308)</f>
        <v/>
      </c>
      <c r="O308" s="11">
        <f>IF(MATCH_ENGINE!H308="","",INDEX(BANK_CLEAN!$C$2:$C$1001,MATCH_ENGINE!H308))</f>
        <v/>
      </c>
      <c r="P308" s="11" t="inlineStr"/>
    </row>
    <row r="309">
      <c r="A309" s="11">
        <f>IF(MATCH_ENGINE!A309="","",MATCH_ENGINE!N309)</f>
        <v/>
      </c>
      <c r="B309" s="11">
        <f>IF(MATCH_ENGINE!A309="","",MATCH_ENGINE!C309)</f>
        <v/>
      </c>
      <c r="C309" s="10">
        <f>IF(MATCH_ENGINE!A309="","",MATCH_ENGINE!B309)</f>
        <v/>
      </c>
      <c r="D309" s="16">
        <f>IF(MATCH_ENGINE!A309="","",MATCH_ENGINE!D309)</f>
        <v/>
      </c>
      <c r="E309" s="11">
        <f>IF(MATCH_ENGINE!A309="","",MATCH_ENGINE!F309)</f>
        <v/>
      </c>
      <c r="F309" s="10">
        <f>IF(MATCH_ENGINE!A309="","",MATCH_ENGINE!I309)</f>
        <v/>
      </c>
      <c r="G309" s="16">
        <f>IF(MATCH_ENGINE!H309="","",IF(MATCH_ENGINE!F309="IN",MATCH_ENGINE!J309,""))</f>
        <v/>
      </c>
      <c r="H309" s="16">
        <f>IF(MATCH_ENGINE!H309="","",IF(MATCH_ENGINE!F309="OUT",MATCH_ENGINE!J309,""))</f>
        <v/>
      </c>
      <c r="I309" s="16">
        <f>IF(MATCH_ENGINE!H309="","",MATCH_ENGINE!J309)</f>
        <v/>
      </c>
      <c r="J309" s="12">
        <f>IF(MATCH_ENGINE!A309="","",MATCH_ENGINE!K309)</f>
        <v/>
      </c>
      <c r="K309" s="11">
        <f>IF(MATCH_ENGINE!A309="","",MATCH_ENGINE!L309)</f>
        <v/>
      </c>
      <c r="L309" s="17">
        <f>IF(MATCH_ENGINE!A309="","",MATCH_ENGINE!M309)</f>
        <v/>
      </c>
      <c r="M309" s="11">
        <f>IF(MATCH_ENGINE!A309="","",GL_CLEAN!F309)</f>
        <v/>
      </c>
      <c r="N309" s="11">
        <f>IF(MATCH_ENGINE!A309="","",GL_CLEAN!G309)</f>
        <v/>
      </c>
      <c r="O309" s="11">
        <f>IF(MATCH_ENGINE!H309="","",INDEX(BANK_CLEAN!$C$2:$C$1001,MATCH_ENGINE!H309))</f>
        <v/>
      </c>
      <c r="P309" s="11" t="inlineStr"/>
    </row>
    <row r="310">
      <c r="A310" s="11">
        <f>IF(MATCH_ENGINE!A310="","",MATCH_ENGINE!N310)</f>
        <v/>
      </c>
      <c r="B310" s="11">
        <f>IF(MATCH_ENGINE!A310="","",MATCH_ENGINE!C310)</f>
        <v/>
      </c>
      <c r="C310" s="10">
        <f>IF(MATCH_ENGINE!A310="","",MATCH_ENGINE!B310)</f>
        <v/>
      </c>
      <c r="D310" s="16">
        <f>IF(MATCH_ENGINE!A310="","",MATCH_ENGINE!D310)</f>
        <v/>
      </c>
      <c r="E310" s="11">
        <f>IF(MATCH_ENGINE!A310="","",MATCH_ENGINE!F310)</f>
        <v/>
      </c>
      <c r="F310" s="10">
        <f>IF(MATCH_ENGINE!A310="","",MATCH_ENGINE!I310)</f>
        <v/>
      </c>
      <c r="G310" s="16">
        <f>IF(MATCH_ENGINE!H310="","",IF(MATCH_ENGINE!F310="IN",MATCH_ENGINE!J310,""))</f>
        <v/>
      </c>
      <c r="H310" s="16">
        <f>IF(MATCH_ENGINE!H310="","",IF(MATCH_ENGINE!F310="OUT",MATCH_ENGINE!J310,""))</f>
        <v/>
      </c>
      <c r="I310" s="16">
        <f>IF(MATCH_ENGINE!H310="","",MATCH_ENGINE!J310)</f>
        <v/>
      </c>
      <c r="J310" s="12">
        <f>IF(MATCH_ENGINE!A310="","",MATCH_ENGINE!K310)</f>
        <v/>
      </c>
      <c r="K310" s="11">
        <f>IF(MATCH_ENGINE!A310="","",MATCH_ENGINE!L310)</f>
        <v/>
      </c>
      <c r="L310" s="17">
        <f>IF(MATCH_ENGINE!A310="","",MATCH_ENGINE!M310)</f>
        <v/>
      </c>
      <c r="M310" s="11">
        <f>IF(MATCH_ENGINE!A310="","",GL_CLEAN!F310)</f>
        <v/>
      </c>
      <c r="N310" s="11">
        <f>IF(MATCH_ENGINE!A310="","",GL_CLEAN!G310)</f>
        <v/>
      </c>
      <c r="O310" s="11">
        <f>IF(MATCH_ENGINE!H310="","",INDEX(BANK_CLEAN!$C$2:$C$1001,MATCH_ENGINE!H310))</f>
        <v/>
      </c>
      <c r="P310" s="11" t="inlineStr"/>
    </row>
    <row r="311">
      <c r="A311" s="11">
        <f>IF(MATCH_ENGINE!A311="","",MATCH_ENGINE!N311)</f>
        <v/>
      </c>
      <c r="B311" s="11">
        <f>IF(MATCH_ENGINE!A311="","",MATCH_ENGINE!C311)</f>
        <v/>
      </c>
      <c r="C311" s="10">
        <f>IF(MATCH_ENGINE!A311="","",MATCH_ENGINE!B311)</f>
        <v/>
      </c>
      <c r="D311" s="16">
        <f>IF(MATCH_ENGINE!A311="","",MATCH_ENGINE!D311)</f>
        <v/>
      </c>
      <c r="E311" s="11">
        <f>IF(MATCH_ENGINE!A311="","",MATCH_ENGINE!F311)</f>
        <v/>
      </c>
      <c r="F311" s="10">
        <f>IF(MATCH_ENGINE!A311="","",MATCH_ENGINE!I311)</f>
        <v/>
      </c>
      <c r="G311" s="16">
        <f>IF(MATCH_ENGINE!H311="","",IF(MATCH_ENGINE!F311="IN",MATCH_ENGINE!J311,""))</f>
        <v/>
      </c>
      <c r="H311" s="16">
        <f>IF(MATCH_ENGINE!H311="","",IF(MATCH_ENGINE!F311="OUT",MATCH_ENGINE!J311,""))</f>
        <v/>
      </c>
      <c r="I311" s="16">
        <f>IF(MATCH_ENGINE!H311="","",MATCH_ENGINE!J311)</f>
        <v/>
      </c>
      <c r="J311" s="12">
        <f>IF(MATCH_ENGINE!A311="","",MATCH_ENGINE!K311)</f>
        <v/>
      </c>
      <c r="K311" s="11">
        <f>IF(MATCH_ENGINE!A311="","",MATCH_ENGINE!L311)</f>
        <v/>
      </c>
      <c r="L311" s="17">
        <f>IF(MATCH_ENGINE!A311="","",MATCH_ENGINE!M311)</f>
        <v/>
      </c>
      <c r="M311" s="11">
        <f>IF(MATCH_ENGINE!A311="","",GL_CLEAN!F311)</f>
        <v/>
      </c>
      <c r="N311" s="11">
        <f>IF(MATCH_ENGINE!A311="","",GL_CLEAN!G311)</f>
        <v/>
      </c>
      <c r="O311" s="11">
        <f>IF(MATCH_ENGINE!H311="","",INDEX(BANK_CLEAN!$C$2:$C$1001,MATCH_ENGINE!H311))</f>
        <v/>
      </c>
      <c r="P311" s="11" t="inlineStr"/>
    </row>
    <row r="312">
      <c r="A312" s="11">
        <f>IF(MATCH_ENGINE!A312="","",MATCH_ENGINE!N312)</f>
        <v/>
      </c>
      <c r="B312" s="11">
        <f>IF(MATCH_ENGINE!A312="","",MATCH_ENGINE!C312)</f>
        <v/>
      </c>
      <c r="C312" s="10">
        <f>IF(MATCH_ENGINE!A312="","",MATCH_ENGINE!B312)</f>
        <v/>
      </c>
      <c r="D312" s="16">
        <f>IF(MATCH_ENGINE!A312="","",MATCH_ENGINE!D312)</f>
        <v/>
      </c>
      <c r="E312" s="11">
        <f>IF(MATCH_ENGINE!A312="","",MATCH_ENGINE!F312)</f>
        <v/>
      </c>
      <c r="F312" s="10">
        <f>IF(MATCH_ENGINE!A312="","",MATCH_ENGINE!I312)</f>
        <v/>
      </c>
      <c r="G312" s="16">
        <f>IF(MATCH_ENGINE!H312="","",IF(MATCH_ENGINE!F312="IN",MATCH_ENGINE!J312,""))</f>
        <v/>
      </c>
      <c r="H312" s="16">
        <f>IF(MATCH_ENGINE!H312="","",IF(MATCH_ENGINE!F312="OUT",MATCH_ENGINE!J312,""))</f>
        <v/>
      </c>
      <c r="I312" s="16">
        <f>IF(MATCH_ENGINE!H312="","",MATCH_ENGINE!J312)</f>
        <v/>
      </c>
      <c r="J312" s="12">
        <f>IF(MATCH_ENGINE!A312="","",MATCH_ENGINE!K312)</f>
        <v/>
      </c>
      <c r="K312" s="11">
        <f>IF(MATCH_ENGINE!A312="","",MATCH_ENGINE!L312)</f>
        <v/>
      </c>
      <c r="L312" s="17">
        <f>IF(MATCH_ENGINE!A312="","",MATCH_ENGINE!M312)</f>
        <v/>
      </c>
      <c r="M312" s="11">
        <f>IF(MATCH_ENGINE!A312="","",GL_CLEAN!F312)</f>
        <v/>
      </c>
      <c r="N312" s="11">
        <f>IF(MATCH_ENGINE!A312="","",GL_CLEAN!G312)</f>
        <v/>
      </c>
      <c r="O312" s="11">
        <f>IF(MATCH_ENGINE!H312="","",INDEX(BANK_CLEAN!$C$2:$C$1001,MATCH_ENGINE!H312))</f>
        <v/>
      </c>
      <c r="P312" s="11" t="inlineStr"/>
    </row>
    <row r="313">
      <c r="A313" s="11">
        <f>IF(MATCH_ENGINE!A313="","",MATCH_ENGINE!N313)</f>
        <v/>
      </c>
      <c r="B313" s="11">
        <f>IF(MATCH_ENGINE!A313="","",MATCH_ENGINE!C313)</f>
        <v/>
      </c>
      <c r="C313" s="10">
        <f>IF(MATCH_ENGINE!A313="","",MATCH_ENGINE!B313)</f>
        <v/>
      </c>
      <c r="D313" s="16">
        <f>IF(MATCH_ENGINE!A313="","",MATCH_ENGINE!D313)</f>
        <v/>
      </c>
      <c r="E313" s="11">
        <f>IF(MATCH_ENGINE!A313="","",MATCH_ENGINE!F313)</f>
        <v/>
      </c>
      <c r="F313" s="10">
        <f>IF(MATCH_ENGINE!A313="","",MATCH_ENGINE!I313)</f>
        <v/>
      </c>
      <c r="G313" s="16">
        <f>IF(MATCH_ENGINE!H313="","",IF(MATCH_ENGINE!F313="IN",MATCH_ENGINE!J313,""))</f>
        <v/>
      </c>
      <c r="H313" s="16">
        <f>IF(MATCH_ENGINE!H313="","",IF(MATCH_ENGINE!F313="OUT",MATCH_ENGINE!J313,""))</f>
        <v/>
      </c>
      <c r="I313" s="16">
        <f>IF(MATCH_ENGINE!H313="","",MATCH_ENGINE!J313)</f>
        <v/>
      </c>
      <c r="J313" s="12">
        <f>IF(MATCH_ENGINE!A313="","",MATCH_ENGINE!K313)</f>
        <v/>
      </c>
      <c r="K313" s="11">
        <f>IF(MATCH_ENGINE!A313="","",MATCH_ENGINE!L313)</f>
        <v/>
      </c>
      <c r="L313" s="17">
        <f>IF(MATCH_ENGINE!A313="","",MATCH_ENGINE!M313)</f>
        <v/>
      </c>
      <c r="M313" s="11">
        <f>IF(MATCH_ENGINE!A313="","",GL_CLEAN!F313)</f>
        <v/>
      </c>
      <c r="N313" s="11">
        <f>IF(MATCH_ENGINE!A313="","",GL_CLEAN!G313)</f>
        <v/>
      </c>
      <c r="O313" s="11">
        <f>IF(MATCH_ENGINE!H313="","",INDEX(BANK_CLEAN!$C$2:$C$1001,MATCH_ENGINE!H313))</f>
        <v/>
      </c>
      <c r="P313" s="11" t="inlineStr"/>
    </row>
    <row r="314">
      <c r="A314" s="11">
        <f>IF(MATCH_ENGINE!A314="","",MATCH_ENGINE!N314)</f>
        <v/>
      </c>
      <c r="B314" s="11">
        <f>IF(MATCH_ENGINE!A314="","",MATCH_ENGINE!C314)</f>
        <v/>
      </c>
      <c r="C314" s="10">
        <f>IF(MATCH_ENGINE!A314="","",MATCH_ENGINE!B314)</f>
        <v/>
      </c>
      <c r="D314" s="16">
        <f>IF(MATCH_ENGINE!A314="","",MATCH_ENGINE!D314)</f>
        <v/>
      </c>
      <c r="E314" s="11">
        <f>IF(MATCH_ENGINE!A314="","",MATCH_ENGINE!F314)</f>
        <v/>
      </c>
      <c r="F314" s="10">
        <f>IF(MATCH_ENGINE!A314="","",MATCH_ENGINE!I314)</f>
        <v/>
      </c>
      <c r="G314" s="16">
        <f>IF(MATCH_ENGINE!H314="","",IF(MATCH_ENGINE!F314="IN",MATCH_ENGINE!J314,""))</f>
        <v/>
      </c>
      <c r="H314" s="16">
        <f>IF(MATCH_ENGINE!H314="","",IF(MATCH_ENGINE!F314="OUT",MATCH_ENGINE!J314,""))</f>
        <v/>
      </c>
      <c r="I314" s="16">
        <f>IF(MATCH_ENGINE!H314="","",MATCH_ENGINE!J314)</f>
        <v/>
      </c>
      <c r="J314" s="12">
        <f>IF(MATCH_ENGINE!A314="","",MATCH_ENGINE!K314)</f>
        <v/>
      </c>
      <c r="K314" s="11">
        <f>IF(MATCH_ENGINE!A314="","",MATCH_ENGINE!L314)</f>
        <v/>
      </c>
      <c r="L314" s="17">
        <f>IF(MATCH_ENGINE!A314="","",MATCH_ENGINE!M314)</f>
        <v/>
      </c>
      <c r="M314" s="11">
        <f>IF(MATCH_ENGINE!A314="","",GL_CLEAN!F314)</f>
        <v/>
      </c>
      <c r="N314" s="11">
        <f>IF(MATCH_ENGINE!A314="","",GL_CLEAN!G314)</f>
        <v/>
      </c>
      <c r="O314" s="11">
        <f>IF(MATCH_ENGINE!H314="","",INDEX(BANK_CLEAN!$C$2:$C$1001,MATCH_ENGINE!H314))</f>
        <v/>
      </c>
      <c r="P314" s="11" t="inlineStr"/>
    </row>
    <row r="315">
      <c r="A315" s="11">
        <f>IF(MATCH_ENGINE!A315="","",MATCH_ENGINE!N315)</f>
        <v/>
      </c>
      <c r="B315" s="11">
        <f>IF(MATCH_ENGINE!A315="","",MATCH_ENGINE!C315)</f>
        <v/>
      </c>
      <c r="C315" s="10">
        <f>IF(MATCH_ENGINE!A315="","",MATCH_ENGINE!B315)</f>
        <v/>
      </c>
      <c r="D315" s="16">
        <f>IF(MATCH_ENGINE!A315="","",MATCH_ENGINE!D315)</f>
        <v/>
      </c>
      <c r="E315" s="11">
        <f>IF(MATCH_ENGINE!A315="","",MATCH_ENGINE!F315)</f>
        <v/>
      </c>
      <c r="F315" s="10">
        <f>IF(MATCH_ENGINE!A315="","",MATCH_ENGINE!I315)</f>
        <v/>
      </c>
      <c r="G315" s="16">
        <f>IF(MATCH_ENGINE!H315="","",IF(MATCH_ENGINE!F315="IN",MATCH_ENGINE!J315,""))</f>
        <v/>
      </c>
      <c r="H315" s="16">
        <f>IF(MATCH_ENGINE!H315="","",IF(MATCH_ENGINE!F315="OUT",MATCH_ENGINE!J315,""))</f>
        <v/>
      </c>
      <c r="I315" s="16">
        <f>IF(MATCH_ENGINE!H315="","",MATCH_ENGINE!J315)</f>
        <v/>
      </c>
      <c r="J315" s="12">
        <f>IF(MATCH_ENGINE!A315="","",MATCH_ENGINE!K315)</f>
        <v/>
      </c>
      <c r="K315" s="11">
        <f>IF(MATCH_ENGINE!A315="","",MATCH_ENGINE!L315)</f>
        <v/>
      </c>
      <c r="L315" s="17">
        <f>IF(MATCH_ENGINE!A315="","",MATCH_ENGINE!M315)</f>
        <v/>
      </c>
      <c r="M315" s="11">
        <f>IF(MATCH_ENGINE!A315="","",GL_CLEAN!F315)</f>
        <v/>
      </c>
      <c r="N315" s="11">
        <f>IF(MATCH_ENGINE!A315="","",GL_CLEAN!G315)</f>
        <v/>
      </c>
      <c r="O315" s="11">
        <f>IF(MATCH_ENGINE!H315="","",INDEX(BANK_CLEAN!$C$2:$C$1001,MATCH_ENGINE!H315))</f>
        <v/>
      </c>
      <c r="P315" s="11" t="inlineStr"/>
    </row>
    <row r="316">
      <c r="A316" s="11">
        <f>IF(MATCH_ENGINE!A316="","",MATCH_ENGINE!N316)</f>
        <v/>
      </c>
      <c r="B316" s="11">
        <f>IF(MATCH_ENGINE!A316="","",MATCH_ENGINE!C316)</f>
        <v/>
      </c>
      <c r="C316" s="10">
        <f>IF(MATCH_ENGINE!A316="","",MATCH_ENGINE!B316)</f>
        <v/>
      </c>
      <c r="D316" s="16">
        <f>IF(MATCH_ENGINE!A316="","",MATCH_ENGINE!D316)</f>
        <v/>
      </c>
      <c r="E316" s="11">
        <f>IF(MATCH_ENGINE!A316="","",MATCH_ENGINE!F316)</f>
        <v/>
      </c>
      <c r="F316" s="10">
        <f>IF(MATCH_ENGINE!A316="","",MATCH_ENGINE!I316)</f>
        <v/>
      </c>
      <c r="G316" s="16">
        <f>IF(MATCH_ENGINE!H316="","",IF(MATCH_ENGINE!F316="IN",MATCH_ENGINE!J316,""))</f>
        <v/>
      </c>
      <c r="H316" s="16">
        <f>IF(MATCH_ENGINE!H316="","",IF(MATCH_ENGINE!F316="OUT",MATCH_ENGINE!J316,""))</f>
        <v/>
      </c>
      <c r="I316" s="16">
        <f>IF(MATCH_ENGINE!H316="","",MATCH_ENGINE!J316)</f>
        <v/>
      </c>
      <c r="J316" s="12">
        <f>IF(MATCH_ENGINE!A316="","",MATCH_ENGINE!K316)</f>
        <v/>
      </c>
      <c r="K316" s="11">
        <f>IF(MATCH_ENGINE!A316="","",MATCH_ENGINE!L316)</f>
        <v/>
      </c>
      <c r="L316" s="17">
        <f>IF(MATCH_ENGINE!A316="","",MATCH_ENGINE!M316)</f>
        <v/>
      </c>
      <c r="M316" s="11">
        <f>IF(MATCH_ENGINE!A316="","",GL_CLEAN!F316)</f>
        <v/>
      </c>
      <c r="N316" s="11">
        <f>IF(MATCH_ENGINE!A316="","",GL_CLEAN!G316)</f>
        <v/>
      </c>
      <c r="O316" s="11">
        <f>IF(MATCH_ENGINE!H316="","",INDEX(BANK_CLEAN!$C$2:$C$1001,MATCH_ENGINE!H316))</f>
        <v/>
      </c>
      <c r="P316" s="11" t="inlineStr"/>
    </row>
    <row r="317">
      <c r="A317" s="11">
        <f>IF(MATCH_ENGINE!A317="","",MATCH_ENGINE!N317)</f>
        <v/>
      </c>
      <c r="B317" s="11">
        <f>IF(MATCH_ENGINE!A317="","",MATCH_ENGINE!C317)</f>
        <v/>
      </c>
      <c r="C317" s="10">
        <f>IF(MATCH_ENGINE!A317="","",MATCH_ENGINE!B317)</f>
        <v/>
      </c>
      <c r="D317" s="16">
        <f>IF(MATCH_ENGINE!A317="","",MATCH_ENGINE!D317)</f>
        <v/>
      </c>
      <c r="E317" s="11">
        <f>IF(MATCH_ENGINE!A317="","",MATCH_ENGINE!F317)</f>
        <v/>
      </c>
      <c r="F317" s="10">
        <f>IF(MATCH_ENGINE!A317="","",MATCH_ENGINE!I317)</f>
        <v/>
      </c>
      <c r="G317" s="16">
        <f>IF(MATCH_ENGINE!H317="","",IF(MATCH_ENGINE!F317="IN",MATCH_ENGINE!J317,""))</f>
        <v/>
      </c>
      <c r="H317" s="16">
        <f>IF(MATCH_ENGINE!H317="","",IF(MATCH_ENGINE!F317="OUT",MATCH_ENGINE!J317,""))</f>
        <v/>
      </c>
      <c r="I317" s="16">
        <f>IF(MATCH_ENGINE!H317="","",MATCH_ENGINE!J317)</f>
        <v/>
      </c>
      <c r="J317" s="12">
        <f>IF(MATCH_ENGINE!A317="","",MATCH_ENGINE!K317)</f>
        <v/>
      </c>
      <c r="K317" s="11">
        <f>IF(MATCH_ENGINE!A317="","",MATCH_ENGINE!L317)</f>
        <v/>
      </c>
      <c r="L317" s="17">
        <f>IF(MATCH_ENGINE!A317="","",MATCH_ENGINE!M317)</f>
        <v/>
      </c>
      <c r="M317" s="11">
        <f>IF(MATCH_ENGINE!A317="","",GL_CLEAN!F317)</f>
        <v/>
      </c>
      <c r="N317" s="11">
        <f>IF(MATCH_ENGINE!A317="","",GL_CLEAN!G317)</f>
        <v/>
      </c>
      <c r="O317" s="11">
        <f>IF(MATCH_ENGINE!H317="","",INDEX(BANK_CLEAN!$C$2:$C$1001,MATCH_ENGINE!H317))</f>
        <v/>
      </c>
      <c r="P317" s="11" t="inlineStr"/>
    </row>
    <row r="318">
      <c r="A318" s="11">
        <f>IF(MATCH_ENGINE!A318="","",MATCH_ENGINE!N318)</f>
        <v/>
      </c>
      <c r="B318" s="11">
        <f>IF(MATCH_ENGINE!A318="","",MATCH_ENGINE!C318)</f>
        <v/>
      </c>
      <c r="C318" s="10">
        <f>IF(MATCH_ENGINE!A318="","",MATCH_ENGINE!B318)</f>
        <v/>
      </c>
      <c r="D318" s="16">
        <f>IF(MATCH_ENGINE!A318="","",MATCH_ENGINE!D318)</f>
        <v/>
      </c>
      <c r="E318" s="11">
        <f>IF(MATCH_ENGINE!A318="","",MATCH_ENGINE!F318)</f>
        <v/>
      </c>
      <c r="F318" s="10">
        <f>IF(MATCH_ENGINE!A318="","",MATCH_ENGINE!I318)</f>
        <v/>
      </c>
      <c r="G318" s="16">
        <f>IF(MATCH_ENGINE!H318="","",IF(MATCH_ENGINE!F318="IN",MATCH_ENGINE!J318,""))</f>
        <v/>
      </c>
      <c r="H318" s="16">
        <f>IF(MATCH_ENGINE!H318="","",IF(MATCH_ENGINE!F318="OUT",MATCH_ENGINE!J318,""))</f>
        <v/>
      </c>
      <c r="I318" s="16">
        <f>IF(MATCH_ENGINE!H318="","",MATCH_ENGINE!J318)</f>
        <v/>
      </c>
      <c r="J318" s="12">
        <f>IF(MATCH_ENGINE!A318="","",MATCH_ENGINE!K318)</f>
        <v/>
      </c>
      <c r="K318" s="11">
        <f>IF(MATCH_ENGINE!A318="","",MATCH_ENGINE!L318)</f>
        <v/>
      </c>
      <c r="L318" s="17">
        <f>IF(MATCH_ENGINE!A318="","",MATCH_ENGINE!M318)</f>
        <v/>
      </c>
      <c r="M318" s="11">
        <f>IF(MATCH_ENGINE!A318="","",GL_CLEAN!F318)</f>
        <v/>
      </c>
      <c r="N318" s="11">
        <f>IF(MATCH_ENGINE!A318="","",GL_CLEAN!G318)</f>
        <v/>
      </c>
      <c r="O318" s="11">
        <f>IF(MATCH_ENGINE!H318="","",INDEX(BANK_CLEAN!$C$2:$C$1001,MATCH_ENGINE!H318))</f>
        <v/>
      </c>
      <c r="P318" s="11" t="inlineStr"/>
    </row>
    <row r="319">
      <c r="A319" s="11">
        <f>IF(MATCH_ENGINE!A319="","",MATCH_ENGINE!N319)</f>
        <v/>
      </c>
      <c r="B319" s="11">
        <f>IF(MATCH_ENGINE!A319="","",MATCH_ENGINE!C319)</f>
        <v/>
      </c>
      <c r="C319" s="10">
        <f>IF(MATCH_ENGINE!A319="","",MATCH_ENGINE!B319)</f>
        <v/>
      </c>
      <c r="D319" s="16">
        <f>IF(MATCH_ENGINE!A319="","",MATCH_ENGINE!D319)</f>
        <v/>
      </c>
      <c r="E319" s="11">
        <f>IF(MATCH_ENGINE!A319="","",MATCH_ENGINE!F319)</f>
        <v/>
      </c>
      <c r="F319" s="10">
        <f>IF(MATCH_ENGINE!A319="","",MATCH_ENGINE!I319)</f>
        <v/>
      </c>
      <c r="G319" s="16">
        <f>IF(MATCH_ENGINE!H319="","",IF(MATCH_ENGINE!F319="IN",MATCH_ENGINE!J319,""))</f>
        <v/>
      </c>
      <c r="H319" s="16">
        <f>IF(MATCH_ENGINE!H319="","",IF(MATCH_ENGINE!F319="OUT",MATCH_ENGINE!J319,""))</f>
        <v/>
      </c>
      <c r="I319" s="16">
        <f>IF(MATCH_ENGINE!H319="","",MATCH_ENGINE!J319)</f>
        <v/>
      </c>
      <c r="J319" s="12">
        <f>IF(MATCH_ENGINE!A319="","",MATCH_ENGINE!K319)</f>
        <v/>
      </c>
      <c r="K319" s="11">
        <f>IF(MATCH_ENGINE!A319="","",MATCH_ENGINE!L319)</f>
        <v/>
      </c>
      <c r="L319" s="17">
        <f>IF(MATCH_ENGINE!A319="","",MATCH_ENGINE!M319)</f>
        <v/>
      </c>
      <c r="M319" s="11">
        <f>IF(MATCH_ENGINE!A319="","",GL_CLEAN!F319)</f>
        <v/>
      </c>
      <c r="N319" s="11">
        <f>IF(MATCH_ENGINE!A319="","",GL_CLEAN!G319)</f>
        <v/>
      </c>
      <c r="O319" s="11">
        <f>IF(MATCH_ENGINE!H319="","",INDEX(BANK_CLEAN!$C$2:$C$1001,MATCH_ENGINE!H319))</f>
        <v/>
      </c>
      <c r="P319" s="11" t="inlineStr"/>
    </row>
    <row r="320">
      <c r="A320" s="11">
        <f>IF(MATCH_ENGINE!A320="","",MATCH_ENGINE!N320)</f>
        <v/>
      </c>
      <c r="B320" s="11">
        <f>IF(MATCH_ENGINE!A320="","",MATCH_ENGINE!C320)</f>
        <v/>
      </c>
      <c r="C320" s="10">
        <f>IF(MATCH_ENGINE!A320="","",MATCH_ENGINE!B320)</f>
        <v/>
      </c>
      <c r="D320" s="16">
        <f>IF(MATCH_ENGINE!A320="","",MATCH_ENGINE!D320)</f>
        <v/>
      </c>
      <c r="E320" s="11">
        <f>IF(MATCH_ENGINE!A320="","",MATCH_ENGINE!F320)</f>
        <v/>
      </c>
      <c r="F320" s="10">
        <f>IF(MATCH_ENGINE!A320="","",MATCH_ENGINE!I320)</f>
        <v/>
      </c>
      <c r="G320" s="16">
        <f>IF(MATCH_ENGINE!H320="","",IF(MATCH_ENGINE!F320="IN",MATCH_ENGINE!J320,""))</f>
        <v/>
      </c>
      <c r="H320" s="16">
        <f>IF(MATCH_ENGINE!H320="","",IF(MATCH_ENGINE!F320="OUT",MATCH_ENGINE!J320,""))</f>
        <v/>
      </c>
      <c r="I320" s="16">
        <f>IF(MATCH_ENGINE!H320="","",MATCH_ENGINE!J320)</f>
        <v/>
      </c>
      <c r="J320" s="12">
        <f>IF(MATCH_ENGINE!A320="","",MATCH_ENGINE!K320)</f>
        <v/>
      </c>
      <c r="K320" s="11">
        <f>IF(MATCH_ENGINE!A320="","",MATCH_ENGINE!L320)</f>
        <v/>
      </c>
      <c r="L320" s="17">
        <f>IF(MATCH_ENGINE!A320="","",MATCH_ENGINE!M320)</f>
        <v/>
      </c>
      <c r="M320" s="11">
        <f>IF(MATCH_ENGINE!A320="","",GL_CLEAN!F320)</f>
        <v/>
      </c>
      <c r="N320" s="11">
        <f>IF(MATCH_ENGINE!A320="","",GL_CLEAN!G320)</f>
        <v/>
      </c>
      <c r="O320" s="11">
        <f>IF(MATCH_ENGINE!H320="","",INDEX(BANK_CLEAN!$C$2:$C$1001,MATCH_ENGINE!H320))</f>
        <v/>
      </c>
      <c r="P320" s="11" t="inlineStr"/>
    </row>
    <row r="321">
      <c r="A321" s="11">
        <f>IF(MATCH_ENGINE!A321="","",MATCH_ENGINE!N321)</f>
        <v/>
      </c>
      <c r="B321" s="11">
        <f>IF(MATCH_ENGINE!A321="","",MATCH_ENGINE!C321)</f>
        <v/>
      </c>
      <c r="C321" s="10">
        <f>IF(MATCH_ENGINE!A321="","",MATCH_ENGINE!B321)</f>
        <v/>
      </c>
      <c r="D321" s="16">
        <f>IF(MATCH_ENGINE!A321="","",MATCH_ENGINE!D321)</f>
        <v/>
      </c>
      <c r="E321" s="11">
        <f>IF(MATCH_ENGINE!A321="","",MATCH_ENGINE!F321)</f>
        <v/>
      </c>
      <c r="F321" s="10">
        <f>IF(MATCH_ENGINE!A321="","",MATCH_ENGINE!I321)</f>
        <v/>
      </c>
      <c r="G321" s="16">
        <f>IF(MATCH_ENGINE!H321="","",IF(MATCH_ENGINE!F321="IN",MATCH_ENGINE!J321,""))</f>
        <v/>
      </c>
      <c r="H321" s="16">
        <f>IF(MATCH_ENGINE!H321="","",IF(MATCH_ENGINE!F321="OUT",MATCH_ENGINE!J321,""))</f>
        <v/>
      </c>
      <c r="I321" s="16">
        <f>IF(MATCH_ENGINE!H321="","",MATCH_ENGINE!J321)</f>
        <v/>
      </c>
      <c r="J321" s="12">
        <f>IF(MATCH_ENGINE!A321="","",MATCH_ENGINE!K321)</f>
        <v/>
      </c>
      <c r="K321" s="11">
        <f>IF(MATCH_ENGINE!A321="","",MATCH_ENGINE!L321)</f>
        <v/>
      </c>
      <c r="L321" s="17">
        <f>IF(MATCH_ENGINE!A321="","",MATCH_ENGINE!M321)</f>
        <v/>
      </c>
      <c r="M321" s="11">
        <f>IF(MATCH_ENGINE!A321="","",GL_CLEAN!F321)</f>
        <v/>
      </c>
      <c r="N321" s="11">
        <f>IF(MATCH_ENGINE!A321="","",GL_CLEAN!G321)</f>
        <v/>
      </c>
      <c r="O321" s="11">
        <f>IF(MATCH_ENGINE!H321="","",INDEX(BANK_CLEAN!$C$2:$C$1001,MATCH_ENGINE!H321))</f>
        <v/>
      </c>
      <c r="P321" s="11" t="inlineStr"/>
    </row>
    <row r="322">
      <c r="A322" s="11">
        <f>IF(MATCH_ENGINE!A322="","",MATCH_ENGINE!N322)</f>
        <v/>
      </c>
      <c r="B322" s="11">
        <f>IF(MATCH_ENGINE!A322="","",MATCH_ENGINE!C322)</f>
        <v/>
      </c>
      <c r="C322" s="10">
        <f>IF(MATCH_ENGINE!A322="","",MATCH_ENGINE!B322)</f>
        <v/>
      </c>
      <c r="D322" s="16">
        <f>IF(MATCH_ENGINE!A322="","",MATCH_ENGINE!D322)</f>
        <v/>
      </c>
      <c r="E322" s="11">
        <f>IF(MATCH_ENGINE!A322="","",MATCH_ENGINE!F322)</f>
        <v/>
      </c>
      <c r="F322" s="10">
        <f>IF(MATCH_ENGINE!A322="","",MATCH_ENGINE!I322)</f>
        <v/>
      </c>
      <c r="G322" s="16">
        <f>IF(MATCH_ENGINE!H322="","",IF(MATCH_ENGINE!F322="IN",MATCH_ENGINE!J322,""))</f>
        <v/>
      </c>
      <c r="H322" s="16">
        <f>IF(MATCH_ENGINE!H322="","",IF(MATCH_ENGINE!F322="OUT",MATCH_ENGINE!J322,""))</f>
        <v/>
      </c>
      <c r="I322" s="16">
        <f>IF(MATCH_ENGINE!H322="","",MATCH_ENGINE!J322)</f>
        <v/>
      </c>
      <c r="J322" s="12">
        <f>IF(MATCH_ENGINE!A322="","",MATCH_ENGINE!K322)</f>
        <v/>
      </c>
      <c r="K322" s="11">
        <f>IF(MATCH_ENGINE!A322="","",MATCH_ENGINE!L322)</f>
        <v/>
      </c>
      <c r="L322" s="17">
        <f>IF(MATCH_ENGINE!A322="","",MATCH_ENGINE!M322)</f>
        <v/>
      </c>
      <c r="M322" s="11">
        <f>IF(MATCH_ENGINE!A322="","",GL_CLEAN!F322)</f>
        <v/>
      </c>
      <c r="N322" s="11">
        <f>IF(MATCH_ENGINE!A322="","",GL_CLEAN!G322)</f>
        <v/>
      </c>
      <c r="O322" s="11">
        <f>IF(MATCH_ENGINE!H322="","",INDEX(BANK_CLEAN!$C$2:$C$1001,MATCH_ENGINE!H322))</f>
        <v/>
      </c>
      <c r="P322" s="11" t="inlineStr"/>
    </row>
    <row r="323">
      <c r="A323" s="11">
        <f>IF(MATCH_ENGINE!A323="","",MATCH_ENGINE!N323)</f>
        <v/>
      </c>
      <c r="B323" s="11">
        <f>IF(MATCH_ENGINE!A323="","",MATCH_ENGINE!C323)</f>
        <v/>
      </c>
      <c r="C323" s="10">
        <f>IF(MATCH_ENGINE!A323="","",MATCH_ENGINE!B323)</f>
        <v/>
      </c>
      <c r="D323" s="16">
        <f>IF(MATCH_ENGINE!A323="","",MATCH_ENGINE!D323)</f>
        <v/>
      </c>
      <c r="E323" s="11">
        <f>IF(MATCH_ENGINE!A323="","",MATCH_ENGINE!F323)</f>
        <v/>
      </c>
      <c r="F323" s="10">
        <f>IF(MATCH_ENGINE!A323="","",MATCH_ENGINE!I323)</f>
        <v/>
      </c>
      <c r="G323" s="16">
        <f>IF(MATCH_ENGINE!H323="","",IF(MATCH_ENGINE!F323="IN",MATCH_ENGINE!J323,""))</f>
        <v/>
      </c>
      <c r="H323" s="16">
        <f>IF(MATCH_ENGINE!H323="","",IF(MATCH_ENGINE!F323="OUT",MATCH_ENGINE!J323,""))</f>
        <v/>
      </c>
      <c r="I323" s="16">
        <f>IF(MATCH_ENGINE!H323="","",MATCH_ENGINE!J323)</f>
        <v/>
      </c>
      <c r="J323" s="12">
        <f>IF(MATCH_ENGINE!A323="","",MATCH_ENGINE!K323)</f>
        <v/>
      </c>
      <c r="K323" s="11">
        <f>IF(MATCH_ENGINE!A323="","",MATCH_ENGINE!L323)</f>
        <v/>
      </c>
      <c r="L323" s="17">
        <f>IF(MATCH_ENGINE!A323="","",MATCH_ENGINE!M323)</f>
        <v/>
      </c>
      <c r="M323" s="11">
        <f>IF(MATCH_ENGINE!A323="","",GL_CLEAN!F323)</f>
        <v/>
      </c>
      <c r="N323" s="11">
        <f>IF(MATCH_ENGINE!A323="","",GL_CLEAN!G323)</f>
        <v/>
      </c>
      <c r="O323" s="11">
        <f>IF(MATCH_ENGINE!H323="","",INDEX(BANK_CLEAN!$C$2:$C$1001,MATCH_ENGINE!H323))</f>
        <v/>
      </c>
      <c r="P323" s="11" t="inlineStr"/>
    </row>
    <row r="324">
      <c r="A324" s="11">
        <f>IF(MATCH_ENGINE!A324="","",MATCH_ENGINE!N324)</f>
        <v/>
      </c>
      <c r="B324" s="11">
        <f>IF(MATCH_ENGINE!A324="","",MATCH_ENGINE!C324)</f>
        <v/>
      </c>
      <c r="C324" s="10">
        <f>IF(MATCH_ENGINE!A324="","",MATCH_ENGINE!B324)</f>
        <v/>
      </c>
      <c r="D324" s="16">
        <f>IF(MATCH_ENGINE!A324="","",MATCH_ENGINE!D324)</f>
        <v/>
      </c>
      <c r="E324" s="11">
        <f>IF(MATCH_ENGINE!A324="","",MATCH_ENGINE!F324)</f>
        <v/>
      </c>
      <c r="F324" s="10">
        <f>IF(MATCH_ENGINE!A324="","",MATCH_ENGINE!I324)</f>
        <v/>
      </c>
      <c r="G324" s="16">
        <f>IF(MATCH_ENGINE!H324="","",IF(MATCH_ENGINE!F324="IN",MATCH_ENGINE!J324,""))</f>
        <v/>
      </c>
      <c r="H324" s="16">
        <f>IF(MATCH_ENGINE!H324="","",IF(MATCH_ENGINE!F324="OUT",MATCH_ENGINE!J324,""))</f>
        <v/>
      </c>
      <c r="I324" s="16">
        <f>IF(MATCH_ENGINE!H324="","",MATCH_ENGINE!J324)</f>
        <v/>
      </c>
      <c r="J324" s="12">
        <f>IF(MATCH_ENGINE!A324="","",MATCH_ENGINE!K324)</f>
        <v/>
      </c>
      <c r="K324" s="11">
        <f>IF(MATCH_ENGINE!A324="","",MATCH_ENGINE!L324)</f>
        <v/>
      </c>
      <c r="L324" s="17">
        <f>IF(MATCH_ENGINE!A324="","",MATCH_ENGINE!M324)</f>
        <v/>
      </c>
      <c r="M324" s="11">
        <f>IF(MATCH_ENGINE!A324="","",GL_CLEAN!F324)</f>
        <v/>
      </c>
      <c r="N324" s="11">
        <f>IF(MATCH_ENGINE!A324="","",GL_CLEAN!G324)</f>
        <v/>
      </c>
      <c r="O324" s="11">
        <f>IF(MATCH_ENGINE!H324="","",INDEX(BANK_CLEAN!$C$2:$C$1001,MATCH_ENGINE!H324))</f>
        <v/>
      </c>
      <c r="P324" s="11" t="inlineStr"/>
    </row>
    <row r="325">
      <c r="A325" s="11">
        <f>IF(MATCH_ENGINE!A325="","",MATCH_ENGINE!N325)</f>
        <v/>
      </c>
      <c r="B325" s="11">
        <f>IF(MATCH_ENGINE!A325="","",MATCH_ENGINE!C325)</f>
        <v/>
      </c>
      <c r="C325" s="10">
        <f>IF(MATCH_ENGINE!A325="","",MATCH_ENGINE!B325)</f>
        <v/>
      </c>
      <c r="D325" s="16">
        <f>IF(MATCH_ENGINE!A325="","",MATCH_ENGINE!D325)</f>
        <v/>
      </c>
      <c r="E325" s="11">
        <f>IF(MATCH_ENGINE!A325="","",MATCH_ENGINE!F325)</f>
        <v/>
      </c>
      <c r="F325" s="10">
        <f>IF(MATCH_ENGINE!A325="","",MATCH_ENGINE!I325)</f>
        <v/>
      </c>
      <c r="G325" s="16">
        <f>IF(MATCH_ENGINE!H325="","",IF(MATCH_ENGINE!F325="IN",MATCH_ENGINE!J325,""))</f>
        <v/>
      </c>
      <c r="H325" s="16">
        <f>IF(MATCH_ENGINE!H325="","",IF(MATCH_ENGINE!F325="OUT",MATCH_ENGINE!J325,""))</f>
        <v/>
      </c>
      <c r="I325" s="16">
        <f>IF(MATCH_ENGINE!H325="","",MATCH_ENGINE!J325)</f>
        <v/>
      </c>
      <c r="J325" s="12">
        <f>IF(MATCH_ENGINE!A325="","",MATCH_ENGINE!K325)</f>
        <v/>
      </c>
      <c r="K325" s="11">
        <f>IF(MATCH_ENGINE!A325="","",MATCH_ENGINE!L325)</f>
        <v/>
      </c>
      <c r="L325" s="17">
        <f>IF(MATCH_ENGINE!A325="","",MATCH_ENGINE!M325)</f>
        <v/>
      </c>
      <c r="M325" s="11">
        <f>IF(MATCH_ENGINE!A325="","",GL_CLEAN!F325)</f>
        <v/>
      </c>
      <c r="N325" s="11">
        <f>IF(MATCH_ENGINE!A325="","",GL_CLEAN!G325)</f>
        <v/>
      </c>
      <c r="O325" s="11">
        <f>IF(MATCH_ENGINE!H325="","",INDEX(BANK_CLEAN!$C$2:$C$1001,MATCH_ENGINE!H325))</f>
        <v/>
      </c>
      <c r="P325" s="11" t="inlineStr"/>
    </row>
    <row r="326">
      <c r="A326" s="11">
        <f>IF(MATCH_ENGINE!A326="","",MATCH_ENGINE!N326)</f>
        <v/>
      </c>
      <c r="B326" s="11">
        <f>IF(MATCH_ENGINE!A326="","",MATCH_ENGINE!C326)</f>
        <v/>
      </c>
      <c r="C326" s="10">
        <f>IF(MATCH_ENGINE!A326="","",MATCH_ENGINE!B326)</f>
        <v/>
      </c>
      <c r="D326" s="16">
        <f>IF(MATCH_ENGINE!A326="","",MATCH_ENGINE!D326)</f>
        <v/>
      </c>
      <c r="E326" s="11">
        <f>IF(MATCH_ENGINE!A326="","",MATCH_ENGINE!F326)</f>
        <v/>
      </c>
      <c r="F326" s="10">
        <f>IF(MATCH_ENGINE!A326="","",MATCH_ENGINE!I326)</f>
        <v/>
      </c>
      <c r="G326" s="16">
        <f>IF(MATCH_ENGINE!H326="","",IF(MATCH_ENGINE!F326="IN",MATCH_ENGINE!J326,""))</f>
        <v/>
      </c>
      <c r="H326" s="16">
        <f>IF(MATCH_ENGINE!H326="","",IF(MATCH_ENGINE!F326="OUT",MATCH_ENGINE!J326,""))</f>
        <v/>
      </c>
      <c r="I326" s="16">
        <f>IF(MATCH_ENGINE!H326="","",MATCH_ENGINE!J326)</f>
        <v/>
      </c>
      <c r="J326" s="12">
        <f>IF(MATCH_ENGINE!A326="","",MATCH_ENGINE!K326)</f>
        <v/>
      </c>
      <c r="K326" s="11">
        <f>IF(MATCH_ENGINE!A326="","",MATCH_ENGINE!L326)</f>
        <v/>
      </c>
      <c r="L326" s="17">
        <f>IF(MATCH_ENGINE!A326="","",MATCH_ENGINE!M326)</f>
        <v/>
      </c>
      <c r="M326" s="11">
        <f>IF(MATCH_ENGINE!A326="","",GL_CLEAN!F326)</f>
        <v/>
      </c>
      <c r="N326" s="11">
        <f>IF(MATCH_ENGINE!A326="","",GL_CLEAN!G326)</f>
        <v/>
      </c>
      <c r="O326" s="11">
        <f>IF(MATCH_ENGINE!H326="","",INDEX(BANK_CLEAN!$C$2:$C$1001,MATCH_ENGINE!H326))</f>
        <v/>
      </c>
      <c r="P326" s="11" t="inlineStr"/>
    </row>
    <row r="327">
      <c r="A327" s="11">
        <f>IF(MATCH_ENGINE!A327="","",MATCH_ENGINE!N327)</f>
        <v/>
      </c>
      <c r="B327" s="11">
        <f>IF(MATCH_ENGINE!A327="","",MATCH_ENGINE!C327)</f>
        <v/>
      </c>
      <c r="C327" s="10">
        <f>IF(MATCH_ENGINE!A327="","",MATCH_ENGINE!B327)</f>
        <v/>
      </c>
      <c r="D327" s="16">
        <f>IF(MATCH_ENGINE!A327="","",MATCH_ENGINE!D327)</f>
        <v/>
      </c>
      <c r="E327" s="11">
        <f>IF(MATCH_ENGINE!A327="","",MATCH_ENGINE!F327)</f>
        <v/>
      </c>
      <c r="F327" s="10">
        <f>IF(MATCH_ENGINE!A327="","",MATCH_ENGINE!I327)</f>
        <v/>
      </c>
      <c r="G327" s="16">
        <f>IF(MATCH_ENGINE!H327="","",IF(MATCH_ENGINE!F327="IN",MATCH_ENGINE!J327,""))</f>
        <v/>
      </c>
      <c r="H327" s="16">
        <f>IF(MATCH_ENGINE!H327="","",IF(MATCH_ENGINE!F327="OUT",MATCH_ENGINE!J327,""))</f>
        <v/>
      </c>
      <c r="I327" s="16">
        <f>IF(MATCH_ENGINE!H327="","",MATCH_ENGINE!J327)</f>
        <v/>
      </c>
      <c r="J327" s="12">
        <f>IF(MATCH_ENGINE!A327="","",MATCH_ENGINE!K327)</f>
        <v/>
      </c>
      <c r="K327" s="11">
        <f>IF(MATCH_ENGINE!A327="","",MATCH_ENGINE!L327)</f>
        <v/>
      </c>
      <c r="L327" s="17">
        <f>IF(MATCH_ENGINE!A327="","",MATCH_ENGINE!M327)</f>
        <v/>
      </c>
      <c r="M327" s="11">
        <f>IF(MATCH_ENGINE!A327="","",GL_CLEAN!F327)</f>
        <v/>
      </c>
      <c r="N327" s="11">
        <f>IF(MATCH_ENGINE!A327="","",GL_CLEAN!G327)</f>
        <v/>
      </c>
      <c r="O327" s="11">
        <f>IF(MATCH_ENGINE!H327="","",INDEX(BANK_CLEAN!$C$2:$C$1001,MATCH_ENGINE!H327))</f>
        <v/>
      </c>
      <c r="P327" s="11" t="inlineStr"/>
    </row>
    <row r="328">
      <c r="A328" s="11">
        <f>IF(MATCH_ENGINE!A328="","",MATCH_ENGINE!N328)</f>
        <v/>
      </c>
      <c r="B328" s="11">
        <f>IF(MATCH_ENGINE!A328="","",MATCH_ENGINE!C328)</f>
        <v/>
      </c>
      <c r="C328" s="10">
        <f>IF(MATCH_ENGINE!A328="","",MATCH_ENGINE!B328)</f>
        <v/>
      </c>
      <c r="D328" s="16">
        <f>IF(MATCH_ENGINE!A328="","",MATCH_ENGINE!D328)</f>
        <v/>
      </c>
      <c r="E328" s="11">
        <f>IF(MATCH_ENGINE!A328="","",MATCH_ENGINE!F328)</f>
        <v/>
      </c>
      <c r="F328" s="10">
        <f>IF(MATCH_ENGINE!A328="","",MATCH_ENGINE!I328)</f>
        <v/>
      </c>
      <c r="G328" s="16">
        <f>IF(MATCH_ENGINE!H328="","",IF(MATCH_ENGINE!F328="IN",MATCH_ENGINE!J328,""))</f>
        <v/>
      </c>
      <c r="H328" s="16">
        <f>IF(MATCH_ENGINE!H328="","",IF(MATCH_ENGINE!F328="OUT",MATCH_ENGINE!J328,""))</f>
        <v/>
      </c>
      <c r="I328" s="16">
        <f>IF(MATCH_ENGINE!H328="","",MATCH_ENGINE!J328)</f>
        <v/>
      </c>
      <c r="J328" s="12">
        <f>IF(MATCH_ENGINE!A328="","",MATCH_ENGINE!K328)</f>
        <v/>
      </c>
      <c r="K328" s="11">
        <f>IF(MATCH_ENGINE!A328="","",MATCH_ENGINE!L328)</f>
        <v/>
      </c>
      <c r="L328" s="17">
        <f>IF(MATCH_ENGINE!A328="","",MATCH_ENGINE!M328)</f>
        <v/>
      </c>
      <c r="M328" s="11">
        <f>IF(MATCH_ENGINE!A328="","",GL_CLEAN!F328)</f>
        <v/>
      </c>
      <c r="N328" s="11">
        <f>IF(MATCH_ENGINE!A328="","",GL_CLEAN!G328)</f>
        <v/>
      </c>
      <c r="O328" s="11">
        <f>IF(MATCH_ENGINE!H328="","",INDEX(BANK_CLEAN!$C$2:$C$1001,MATCH_ENGINE!H328))</f>
        <v/>
      </c>
      <c r="P328" s="11" t="inlineStr"/>
    </row>
    <row r="329">
      <c r="A329" s="11">
        <f>IF(MATCH_ENGINE!A329="","",MATCH_ENGINE!N329)</f>
        <v/>
      </c>
      <c r="B329" s="11">
        <f>IF(MATCH_ENGINE!A329="","",MATCH_ENGINE!C329)</f>
        <v/>
      </c>
      <c r="C329" s="10">
        <f>IF(MATCH_ENGINE!A329="","",MATCH_ENGINE!B329)</f>
        <v/>
      </c>
      <c r="D329" s="16">
        <f>IF(MATCH_ENGINE!A329="","",MATCH_ENGINE!D329)</f>
        <v/>
      </c>
      <c r="E329" s="11">
        <f>IF(MATCH_ENGINE!A329="","",MATCH_ENGINE!F329)</f>
        <v/>
      </c>
      <c r="F329" s="10">
        <f>IF(MATCH_ENGINE!A329="","",MATCH_ENGINE!I329)</f>
        <v/>
      </c>
      <c r="G329" s="16">
        <f>IF(MATCH_ENGINE!H329="","",IF(MATCH_ENGINE!F329="IN",MATCH_ENGINE!J329,""))</f>
        <v/>
      </c>
      <c r="H329" s="16">
        <f>IF(MATCH_ENGINE!H329="","",IF(MATCH_ENGINE!F329="OUT",MATCH_ENGINE!J329,""))</f>
        <v/>
      </c>
      <c r="I329" s="16">
        <f>IF(MATCH_ENGINE!H329="","",MATCH_ENGINE!J329)</f>
        <v/>
      </c>
      <c r="J329" s="12">
        <f>IF(MATCH_ENGINE!A329="","",MATCH_ENGINE!K329)</f>
        <v/>
      </c>
      <c r="K329" s="11">
        <f>IF(MATCH_ENGINE!A329="","",MATCH_ENGINE!L329)</f>
        <v/>
      </c>
      <c r="L329" s="17">
        <f>IF(MATCH_ENGINE!A329="","",MATCH_ENGINE!M329)</f>
        <v/>
      </c>
      <c r="M329" s="11">
        <f>IF(MATCH_ENGINE!A329="","",GL_CLEAN!F329)</f>
        <v/>
      </c>
      <c r="N329" s="11">
        <f>IF(MATCH_ENGINE!A329="","",GL_CLEAN!G329)</f>
        <v/>
      </c>
      <c r="O329" s="11">
        <f>IF(MATCH_ENGINE!H329="","",INDEX(BANK_CLEAN!$C$2:$C$1001,MATCH_ENGINE!H329))</f>
        <v/>
      </c>
      <c r="P329" s="11" t="inlineStr"/>
    </row>
    <row r="330">
      <c r="A330" s="11">
        <f>IF(MATCH_ENGINE!A330="","",MATCH_ENGINE!N330)</f>
        <v/>
      </c>
      <c r="B330" s="11">
        <f>IF(MATCH_ENGINE!A330="","",MATCH_ENGINE!C330)</f>
        <v/>
      </c>
      <c r="C330" s="10">
        <f>IF(MATCH_ENGINE!A330="","",MATCH_ENGINE!B330)</f>
        <v/>
      </c>
      <c r="D330" s="16">
        <f>IF(MATCH_ENGINE!A330="","",MATCH_ENGINE!D330)</f>
        <v/>
      </c>
      <c r="E330" s="11">
        <f>IF(MATCH_ENGINE!A330="","",MATCH_ENGINE!F330)</f>
        <v/>
      </c>
      <c r="F330" s="10">
        <f>IF(MATCH_ENGINE!A330="","",MATCH_ENGINE!I330)</f>
        <v/>
      </c>
      <c r="G330" s="16">
        <f>IF(MATCH_ENGINE!H330="","",IF(MATCH_ENGINE!F330="IN",MATCH_ENGINE!J330,""))</f>
        <v/>
      </c>
      <c r="H330" s="16">
        <f>IF(MATCH_ENGINE!H330="","",IF(MATCH_ENGINE!F330="OUT",MATCH_ENGINE!J330,""))</f>
        <v/>
      </c>
      <c r="I330" s="16">
        <f>IF(MATCH_ENGINE!H330="","",MATCH_ENGINE!J330)</f>
        <v/>
      </c>
      <c r="J330" s="12">
        <f>IF(MATCH_ENGINE!A330="","",MATCH_ENGINE!K330)</f>
        <v/>
      </c>
      <c r="K330" s="11">
        <f>IF(MATCH_ENGINE!A330="","",MATCH_ENGINE!L330)</f>
        <v/>
      </c>
      <c r="L330" s="17">
        <f>IF(MATCH_ENGINE!A330="","",MATCH_ENGINE!M330)</f>
        <v/>
      </c>
      <c r="M330" s="11">
        <f>IF(MATCH_ENGINE!A330="","",GL_CLEAN!F330)</f>
        <v/>
      </c>
      <c r="N330" s="11">
        <f>IF(MATCH_ENGINE!A330="","",GL_CLEAN!G330)</f>
        <v/>
      </c>
      <c r="O330" s="11">
        <f>IF(MATCH_ENGINE!H330="","",INDEX(BANK_CLEAN!$C$2:$C$1001,MATCH_ENGINE!H330))</f>
        <v/>
      </c>
      <c r="P330" s="11" t="inlineStr"/>
    </row>
    <row r="331">
      <c r="A331" s="11">
        <f>IF(MATCH_ENGINE!A331="","",MATCH_ENGINE!N331)</f>
        <v/>
      </c>
      <c r="B331" s="11">
        <f>IF(MATCH_ENGINE!A331="","",MATCH_ENGINE!C331)</f>
        <v/>
      </c>
      <c r="C331" s="10">
        <f>IF(MATCH_ENGINE!A331="","",MATCH_ENGINE!B331)</f>
        <v/>
      </c>
      <c r="D331" s="16">
        <f>IF(MATCH_ENGINE!A331="","",MATCH_ENGINE!D331)</f>
        <v/>
      </c>
      <c r="E331" s="11">
        <f>IF(MATCH_ENGINE!A331="","",MATCH_ENGINE!F331)</f>
        <v/>
      </c>
      <c r="F331" s="10">
        <f>IF(MATCH_ENGINE!A331="","",MATCH_ENGINE!I331)</f>
        <v/>
      </c>
      <c r="G331" s="16">
        <f>IF(MATCH_ENGINE!H331="","",IF(MATCH_ENGINE!F331="IN",MATCH_ENGINE!J331,""))</f>
        <v/>
      </c>
      <c r="H331" s="16">
        <f>IF(MATCH_ENGINE!H331="","",IF(MATCH_ENGINE!F331="OUT",MATCH_ENGINE!J331,""))</f>
        <v/>
      </c>
      <c r="I331" s="16">
        <f>IF(MATCH_ENGINE!H331="","",MATCH_ENGINE!J331)</f>
        <v/>
      </c>
      <c r="J331" s="12">
        <f>IF(MATCH_ENGINE!A331="","",MATCH_ENGINE!K331)</f>
        <v/>
      </c>
      <c r="K331" s="11">
        <f>IF(MATCH_ENGINE!A331="","",MATCH_ENGINE!L331)</f>
        <v/>
      </c>
      <c r="L331" s="17">
        <f>IF(MATCH_ENGINE!A331="","",MATCH_ENGINE!M331)</f>
        <v/>
      </c>
      <c r="M331" s="11">
        <f>IF(MATCH_ENGINE!A331="","",GL_CLEAN!F331)</f>
        <v/>
      </c>
      <c r="N331" s="11">
        <f>IF(MATCH_ENGINE!A331="","",GL_CLEAN!G331)</f>
        <v/>
      </c>
      <c r="O331" s="11">
        <f>IF(MATCH_ENGINE!H331="","",INDEX(BANK_CLEAN!$C$2:$C$1001,MATCH_ENGINE!H331))</f>
        <v/>
      </c>
      <c r="P331" s="11" t="inlineStr"/>
    </row>
    <row r="332">
      <c r="A332" s="11">
        <f>IF(MATCH_ENGINE!A332="","",MATCH_ENGINE!N332)</f>
        <v/>
      </c>
      <c r="B332" s="11">
        <f>IF(MATCH_ENGINE!A332="","",MATCH_ENGINE!C332)</f>
        <v/>
      </c>
      <c r="C332" s="10">
        <f>IF(MATCH_ENGINE!A332="","",MATCH_ENGINE!B332)</f>
        <v/>
      </c>
      <c r="D332" s="16">
        <f>IF(MATCH_ENGINE!A332="","",MATCH_ENGINE!D332)</f>
        <v/>
      </c>
      <c r="E332" s="11">
        <f>IF(MATCH_ENGINE!A332="","",MATCH_ENGINE!F332)</f>
        <v/>
      </c>
      <c r="F332" s="10">
        <f>IF(MATCH_ENGINE!A332="","",MATCH_ENGINE!I332)</f>
        <v/>
      </c>
      <c r="G332" s="16">
        <f>IF(MATCH_ENGINE!H332="","",IF(MATCH_ENGINE!F332="IN",MATCH_ENGINE!J332,""))</f>
        <v/>
      </c>
      <c r="H332" s="16">
        <f>IF(MATCH_ENGINE!H332="","",IF(MATCH_ENGINE!F332="OUT",MATCH_ENGINE!J332,""))</f>
        <v/>
      </c>
      <c r="I332" s="16">
        <f>IF(MATCH_ENGINE!H332="","",MATCH_ENGINE!J332)</f>
        <v/>
      </c>
      <c r="J332" s="12">
        <f>IF(MATCH_ENGINE!A332="","",MATCH_ENGINE!K332)</f>
        <v/>
      </c>
      <c r="K332" s="11">
        <f>IF(MATCH_ENGINE!A332="","",MATCH_ENGINE!L332)</f>
        <v/>
      </c>
      <c r="L332" s="17">
        <f>IF(MATCH_ENGINE!A332="","",MATCH_ENGINE!M332)</f>
        <v/>
      </c>
      <c r="M332" s="11">
        <f>IF(MATCH_ENGINE!A332="","",GL_CLEAN!F332)</f>
        <v/>
      </c>
      <c r="N332" s="11">
        <f>IF(MATCH_ENGINE!A332="","",GL_CLEAN!G332)</f>
        <v/>
      </c>
      <c r="O332" s="11">
        <f>IF(MATCH_ENGINE!H332="","",INDEX(BANK_CLEAN!$C$2:$C$1001,MATCH_ENGINE!H332))</f>
        <v/>
      </c>
      <c r="P332" s="11" t="inlineStr"/>
    </row>
    <row r="333">
      <c r="A333" s="11">
        <f>IF(MATCH_ENGINE!A333="","",MATCH_ENGINE!N333)</f>
        <v/>
      </c>
      <c r="B333" s="11">
        <f>IF(MATCH_ENGINE!A333="","",MATCH_ENGINE!C333)</f>
        <v/>
      </c>
      <c r="C333" s="10">
        <f>IF(MATCH_ENGINE!A333="","",MATCH_ENGINE!B333)</f>
        <v/>
      </c>
      <c r="D333" s="16">
        <f>IF(MATCH_ENGINE!A333="","",MATCH_ENGINE!D333)</f>
        <v/>
      </c>
      <c r="E333" s="11">
        <f>IF(MATCH_ENGINE!A333="","",MATCH_ENGINE!F333)</f>
        <v/>
      </c>
      <c r="F333" s="10">
        <f>IF(MATCH_ENGINE!A333="","",MATCH_ENGINE!I333)</f>
        <v/>
      </c>
      <c r="G333" s="16">
        <f>IF(MATCH_ENGINE!H333="","",IF(MATCH_ENGINE!F333="IN",MATCH_ENGINE!J333,""))</f>
        <v/>
      </c>
      <c r="H333" s="16">
        <f>IF(MATCH_ENGINE!H333="","",IF(MATCH_ENGINE!F333="OUT",MATCH_ENGINE!J333,""))</f>
        <v/>
      </c>
      <c r="I333" s="16">
        <f>IF(MATCH_ENGINE!H333="","",MATCH_ENGINE!J333)</f>
        <v/>
      </c>
      <c r="J333" s="12">
        <f>IF(MATCH_ENGINE!A333="","",MATCH_ENGINE!K333)</f>
        <v/>
      </c>
      <c r="K333" s="11">
        <f>IF(MATCH_ENGINE!A333="","",MATCH_ENGINE!L333)</f>
        <v/>
      </c>
      <c r="L333" s="17">
        <f>IF(MATCH_ENGINE!A333="","",MATCH_ENGINE!M333)</f>
        <v/>
      </c>
      <c r="M333" s="11">
        <f>IF(MATCH_ENGINE!A333="","",GL_CLEAN!F333)</f>
        <v/>
      </c>
      <c r="N333" s="11">
        <f>IF(MATCH_ENGINE!A333="","",GL_CLEAN!G333)</f>
        <v/>
      </c>
      <c r="O333" s="11">
        <f>IF(MATCH_ENGINE!H333="","",INDEX(BANK_CLEAN!$C$2:$C$1001,MATCH_ENGINE!H333))</f>
        <v/>
      </c>
      <c r="P333" s="11" t="inlineStr"/>
    </row>
    <row r="334">
      <c r="A334" s="11">
        <f>IF(MATCH_ENGINE!A334="","",MATCH_ENGINE!N334)</f>
        <v/>
      </c>
      <c r="B334" s="11">
        <f>IF(MATCH_ENGINE!A334="","",MATCH_ENGINE!C334)</f>
        <v/>
      </c>
      <c r="C334" s="10">
        <f>IF(MATCH_ENGINE!A334="","",MATCH_ENGINE!B334)</f>
        <v/>
      </c>
      <c r="D334" s="16">
        <f>IF(MATCH_ENGINE!A334="","",MATCH_ENGINE!D334)</f>
        <v/>
      </c>
      <c r="E334" s="11">
        <f>IF(MATCH_ENGINE!A334="","",MATCH_ENGINE!F334)</f>
        <v/>
      </c>
      <c r="F334" s="10">
        <f>IF(MATCH_ENGINE!A334="","",MATCH_ENGINE!I334)</f>
        <v/>
      </c>
      <c r="G334" s="16">
        <f>IF(MATCH_ENGINE!H334="","",IF(MATCH_ENGINE!F334="IN",MATCH_ENGINE!J334,""))</f>
        <v/>
      </c>
      <c r="H334" s="16">
        <f>IF(MATCH_ENGINE!H334="","",IF(MATCH_ENGINE!F334="OUT",MATCH_ENGINE!J334,""))</f>
        <v/>
      </c>
      <c r="I334" s="16">
        <f>IF(MATCH_ENGINE!H334="","",MATCH_ENGINE!J334)</f>
        <v/>
      </c>
      <c r="J334" s="12">
        <f>IF(MATCH_ENGINE!A334="","",MATCH_ENGINE!K334)</f>
        <v/>
      </c>
      <c r="K334" s="11">
        <f>IF(MATCH_ENGINE!A334="","",MATCH_ENGINE!L334)</f>
        <v/>
      </c>
      <c r="L334" s="17">
        <f>IF(MATCH_ENGINE!A334="","",MATCH_ENGINE!M334)</f>
        <v/>
      </c>
      <c r="M334" s="11">
        <f>IF(MATCH_ENGINE!A334="","",GL_CLEAN!F334)</f>
        <v/>
      </c>
      <c r="N334" s="11">
        <f>IF(MATCH_ENGINE!A334="","",GL_CLEAN!G334)</f>
        <v/>
      </c>
      <c r="O334" s="11">
        <f>IF(MATCH_ENGINE!H334="","",INDEX(BANK_CLEAN!$C$2:$C$1001,MATCH_ENGINE!H334))</f>
        <v/>
      </c>
      <c r="P334" s="11" t="inlineStr"/>
    </row>
    <row r="335">
      <c r="A335" s="11">
        <f>IF(MATCH_ENGINE!A335="","",MATCH_ENGINE!N335)</f>
        <v/>
      </c>
      <c r="B335" s="11">
        <f>IF(MATCH_ENGINE!A335="","",MATCH_ENGINE!C335)</f>
        <v/>
      </c>
      <c r="C335" s="10">
        <f>IF(MATCH_ENGINE!A335="","",MATCH_ENGINE!B335)</f>
        <v/>
      </c>
      <c r="D335" s="16">
        <f>IF(MATCH_ENGINE!A335="","",MATCH_ENGINE!D335)</f>
        <v/>
      </c>
      <c r="E335" s="11">
        <f>IF(MATCH_ENGINE!A335="","",MATCH_ENGINE!F335)</f>
        <v/>
      </c>
      <c r="F335" s="10">
        <f>IF(MATCH_ENGINE!A335="","",MATCH_ENGINE!I335)</f>
        <v/>
      </c>
      <c r="G335" s="16">
        <f>IF(MATCH_ENGINE!H335="","",IF(MATCH_ENGINE!F335="IN",MATCH_ENGINE!J335,""))</f>
        <v/>
      </c>
      <c r="H335" s="16">
        <f>IF(MATCH_ENGINE!H335="","",IF(MATCH_ENGINE!F335="OUT",MATCH_ENGINE!J335,""))</f>
        <v/>
      </c>
      <c r="I335" s="16">
        <f>IF(MATCH_ENGINE!H335="","",MATCH_ENGINE!J335)</f>
        <v/>
      </c>
      <c r="J335" s="12">
        <f>IF(MATCH_ENGINE!A335="","",MATCH_ENGINE!K335)</f>
        <v/>
      </c>
      <c r="K335" s="11">
        <f>IF(MATCH_ENGINE!A335="","",MATCH_ENGINE!L335)</f>
        <v/>
      </c>
      <c r="L335" s="17">
        <f>IF(MATCH_ENGINE!A335="","",MATCH_ENGINE!M335)</f>
        <v/>
      </c>
      <c r="M335" s="11">
        <f>IF(MATCH_ENGINE!A335="","",GL_CLEAN!F335)</f>
        <v/>
      </c>
      <c r="N335" s="11">
        <f>IF(MATCH_ENGINE!A335="","",GL_CLEAN!G335)</f>
        <v/>
      </c>
      <c r="O335" s="11">
        <f>IF(MATCH_ENGINE!H335="","",INDEX(BANK_CLEAN!$C$2:$C$1001,MATCH_ENGINE!H335))</f>
        <v/>
      </c>
      <c r="P335" s="11" t="inlineStr"/>
    </row>
    <row r="336">
      <c r="A336" s="11">
        <f>IF(MATCH_ENGINE!A336="","",MATCH_ENGINE!N336)</f>
        <v/>
      </c>
      <c r="B336" s="11">
        <f>IF(MATCH_ENGINE!A336="","",MATCH_ENGINE!C336)</f>
        <v/>
      </c>
      <c r="C336" s="10">
        <f>IF(MATCH_ENGINE!A336="","",MATCH_ENGINE!B336)</f>
        <v/>
      </c>
      <c r="D336" s="16">
        <f>IF(MATCH_ENGINE!A336="","",MATCH_ENGINE!D336)</f>
        <v/>
      </c>
      <c r="E336" s="11">
        <f>IF(MATCH_ENGINE!A336="","",MATCH_ENGINE!F336)</f>
        <v/>
      </c>
      <c r="F336" s="10">
        <f>IF(MATCH_ENGINE!A336="","",MATCH_ENGINE!I336)</f>
        <v/>
      </c>
      <c r="G336" s="16">
        <f>IF(MATCH_ENGINE!H336="","",IF(MATCH_ENGINE!F336="IN",MATCH_ENGINE!J336,""))</f>
        <v/>
      </c>
      <c r="H336" s="16">
        <f>IF(MATCH_ENGINE!H336="","",IF(MATCH_ENGINE!F336="OUT",MATCH_ENGINE!J336,""))</f>
        <v/>
      </c>
      <c r="I336" s="16">
        <f>IF(MATCH_ENGINE!H336="","",MATCH_ENGINE!J336)</f>
        <v/>
      </c>
      <c r="J336" s="12">
        <f>IF(MATCH_ENGINE!A336="","",MATCH_ENGINE!K336)</f>
        <v/>
      </c>
      <c r="K336" s="11">
        <f>IF(MATCH_ENGINE!A336="","",MATCH_ENGINE!L336)</f>
        <v/>
      </c>
      <c r="L336" s="17">
        <f>IF(MATCH_ENGINE!A336="","",MATCH_ENGINE!M336)</f>
        <v/>
      </c>
      <c r="M336" s="11">
        <f>IF(MATCH_ENGINE!A336="","",GL_CLEAN!F336)</f>
        <v/>
      </c>
      <c r="N336" s="11">
        <f>IF(MATCH_ENGINE!A336="","",GL_CLEAN!G336)</f>
        <v/>
      </c>
      <c r="O336" s="11">
        <f>IF(MATCH_ENGINE!H336="","",INDEX(BANK_CLEAN!$C$2:$C$1001,MATCH_ENGINE!H336))</f>
        <v/>
      </c>
      <c r="P336" s="11" t="inlineStr"/>
    </row>
    <row r="337">
      <c r="A337" s="11">
        <f>IF(MATCH_ENGINE!A337="","",MATCH_ENGINE!N337)</f>
        <v/>
      </c>
      <c r="B337" s="11">
        <f>IF(MATCH_ENGINE!A337="","",MATCH_ENGINE!C337)</f>
        <v/>
      </c>
      <c r="C337" s="10">
        <f>IF(MATCH_ENGINE!A337="","",MATCH_ENGINE!B337)</f>
        <v/>
      </c>
      <c r="D337" s="16">
        <f>IF(MATCH_ENGINE!A337="","",MATCH_ENGINE!D337)</f>
        <v/>
      </c>
      <c r="E337" s="11">
        <f>IF(MATCH_ENGINE!A337="","",MATCH_ENGINE!F337)</f>
        <v/>
      </c>
      <c r="F337" s="10">
        <f>IF(MATCH_ENGINE!A337="","",MATCH_ENGINE!I337)</f>
        <v/>
      </c>
      <c r="G337" s="16">
        <f>IF(MATCH_ENGINE!H337="","",IF(MATCH_ENGINE!F337="IN",MATCH_ENGINE!J337,""))</f>
        <v/>
      </c>
      <c r="H337" s="16">
        <f>IF(MATCH_ENGINE!H337="","",IF(MATCH_ENGINE!F337="OUT",MATCH_ENGINE!J337,""))</f>
        <v/>
      </c>
      <c r="I337" s="16">
        <f>IF(MATCH_ENGINE!H337="","",MATCH_ENGINE!J337)</f>
        <v/>
      </c>
      <c r="J337" s="12">
        <f>IF(MATCH_ENGINE!A337="","",MATCH_ENGINE!K337)</f>
        <v/>
      </c>
      <c r="K337" s="11">
        <f>IF(MATCH_ENGINE!A337="","",MATCH_ENGINE!L337)</f>
        <v/>
      </c>
      <c r="L337" s="17">
        <f>IF(MATCH_ENGINE!A337="","",MATCH_ENGINE!M337)</f>
        <v/>
      </c>
      <c r="M337" s="11">
        <f>IF(MATCH_ENGINE!A337="","",GL_CLEAN!F337)</f>
        <v/>
      </c>
      <c r="N337" s="11">
        <f>IF(MATCH_ENGINE!A337="","",GL_CLEAN!G337)</f>
        <v/>
      </c>
      <c r="O337" s="11">
        <f>IF(MATCH_ENGINE!H337="","",INDEX(BANK_CLEAN!$C$2:$C$1001,MATCH_ENGINE!H337))</f>
        <v/>
      </c>
      <c r="P337" s="11" t="inlineStr"/>
    </row>
    <row r="338">
      <c r="A338" s="11">
        <f>IF(MATCH_ENGINE!A338="","",MATCH_ENGINE!N338)</f>
        <v/>
      </c>
      <c r="B338" s="11">
        <f>IF(MATCH_ENGINE!A338="","",MATCH_ENGINE!C338)</f>
        <v/>
      </c>
      <c r="C338" s="10">
        <f>IF(MATCH_ENGINE!A338="","",MATCH_ENGINE!B338)</f>
        <v/>
      </c>
      <c r="D338" s="16">
        <f>IF(MATCH_ENGINE!A338="","",MATCH_ENGINE!D338)</f>
        <v/>
      </c>
      <c r="E338" s="11">
        <f>IF(MATCH_ENGINE!A338="","",MATCH_ENGINE!F338)</f>
        <v/>
      </c>
      <c r="F338" s="10">
        <f>IF(MATCH_ENGINE!A338="","",MATCH_ENGINE!I338)</f>
        <v/>
      </c>
      <c r="G338" s="16">
        <f>IF(MATCH_ENGINE!H338="","",IF(MATCH_ENGINE!F338="IN",MATCH_ENGINE!J338,""))</f>
        <v/>
      </c>
      <c r="H338" s="16">
        <f>IF(MATCH_ENGINE!H338="","",IF(MATCH_ENGINE!F338="OUT",MATCH_ENGINE!J338,""))</f>
        <v/>
      </c>
      <c r="I338" s="16">
        <f>IF(MATCH_ENGINE!H338="","",MATCH_ENGINE!J338)</f>
        <v/>
      </c>
      <c r="J338" s="12">
        <f>IF(MATCH_ENGINE!A338="","",MATCH_ENGINE!K338)</f>
        <v/>
      </c>
      <c r="K338" s="11">
        <f>IF(MATCH_ENGINE!A338="","",MATCH_ENGINE!L338)</f>
        <v/>
      </c>
      <c r="L338" s="17">
        <f>IF(MATCH_ENGINE!A338="","",MATCH_ENGINE!M338)</f>
        <v/>
      </c>
      <c r="M338" s="11">
        <f>IF(MATCH_ENGINE!A338="","",GL_CLEAN!F338)</f>
        <v/>
      </c>
      <c r="N338" s="11">
        <f>IF(MATCH_ENGINE!A338="","",GL_CLEAN!G338)</f>
        <v/>
      </c>
      <c r="O338" s="11">
        <f>IF(MATCH_ENGINE!H338="","",INDEX(BANK_CLEAN!$C$2:$C$1001,MATCH_ENGINE!H338))</f>
        <v/>
      </c>
      <c r="P338" s="11" t="inlineStr"/>
    </row>
    <row r="339">
      <c r="A339" s="11">
        <f>IF(MATCH_ENGINE!A339="","",MATCH_ENGINE!N339)</f>
        <v/>
      </c>
      <c r="B339" s="11">
        <f>IF(MATCH_ENGINE!A339="","",MATCH_ENGINE!C339)</f>
        <v/>
      </c>
      <c r="C339" s="10">
        <f>IF(MATCH_ENGINE!A339="","",MATCH_ENGINE!B339)</f>
        <v/>
      </c>
      <c r="D339" s="16">
        <f>IF(MATCH_ENGINE!A339="","",MATCH_ENGINE!D339)</f>
        <v/>
      </c>
      <c r="E339" s="11">
        <f>IF(MATCH_ENGINE!A339="","",MATCH_ENGINE!F339)</f>
        <v/>
      </c>
      <c r="F339" s="10">
        <f>IF(MATCH_ENGINE!A339="","",MATCH_ENGINE!I339)</f>
        <v/>
      </c>
      <c r="G339" s="16">
        <f>IF(MATCH_ENGINE!H339="","",IF(MATCH_ENGINE!F339="IN",MATCH_ENGINE!J339,""))</f>
        <v/>
      </c>
      <c r="H339" s="16">
        <f>IF(MATCH_ENGINE!H339="","",IF(MATCH_ENGINE!F339="OUT",MATCH_ENGINE!J339,""))</f>
        <v/>
      </c>
      <c r="I339" s="16">
        <f>IF(MATCH_ENGINE!H339="","",MATCH_ENGINE!J339)</f>
        <v/>
      </c>
      <c r="J339" s="12">
        <f>IF(MATCH_ENGINE!A339="","",MATCH_ENGINE!K339)</f>
        <v/>
      </c>
      <c r="K339" s="11">
        <f>IF(MATCH_ENGINE!A339="","",MATCH_ENGINE!L339)</f>
        <v/>
      </c>
      <c r="L339" s="17">
        <f>IF(MATCH_ENGINE!A339="","",MATCH_ENGINE!M339)</f>
        <v/>
      </c>
      <c r="M339" s="11">
        <f>IF(MATCH_ENGINE!A339="","",GL_CLEAN!F339)</f>
        <v/>
      </c>
      <c r="N339" s="11">
        <f>IF(MATCH_ENGINE!A339="","",GL_CLEAN!G339)</f>
        <v/>
      </c>
      <c r="O339" s="11">
        <f>IF(MATCH_ENGINE!H339="","",INDEX(BANK_CLEAN!$C$2:$C$1001,MATCH_ENGINE!H339))</f>
        <v/>
      </c>
      <c r="P339" s="11" t="inlineStr"/>
    </row>
    <row r="340">
      <c r="A340" s="11">
        <f>IF(MATCH_ENGINE!A340="","",MATCH_ENGINE!N340)</f>
        <v/>
      </c>
      <c r="B340" s="11">
        <f>IF(MATCH_ENGINE!A340="","",MATCH_ENGINE!C340)</f>
        <v/>
      </c>
      <c r="C340" s="10">
        <f>IF(MATCH_ENGINE!A340="","",MATCH_ENGINE!B340)</f>
        <v/>
      </c>
      <c r="D340" s="16">
        <f>IF(MATCH_ENGINE!A340="","",MATCH_ENGINE!D340)</f>
        <v/>
      </c>
      <c r="E340" s="11">
        <f>IF(MATCH_ENGINE!A340="","",MATCH_ENGINE!F340)</f>
        <v/>
      </c>
      <c r="F340" s="10">
        <f>IF(MATCH_ENGINE!A340="","",MATCH_ENGINE!I340)</f>
        <v/>
      </c>
      <c r="G340" s="16">
        <f>IF(MATCH_ENGINE!H340="","",IF(MATCH_ENGINE!F340="IN",MATCH_ENGINE!J340,""))</f>
        <v/>
      </c>
      <c r="H340" s="16">
        <f>IF(MATCH_ENGINE!H340="","",IF(MATCH_ENGINE!F340="OUT",MATCH_ENGINE!J340,""))</f>
        <v/>
      </c>
      <c r="I340" s="16">
        <f>IF(MATCH_ENGINE!H340="","",MATCH_ENGINE!J340)</f>
        <v/>
      </c>
      <c r="J340" s="12">
        <f>IF(MATCH_ENGINE!A340="","",MATCH_ENGINE!K340)</f>
        <v/>
      </c>
      <c r="K340" s="11">
        <f>IF(MATCH_ENGINE!A340="","",MATCH_ENGINE!L340)</f>
        <v/>
      </c>
      <c r="L340" s="17">
        <f>IF(MATCH_ENGINE!A340="","",MATCH_ENGINE!M340)</f>
        <v/>
      </c>
      <c r="M340" s="11">
        <f>IF(MATCH_ENGINE!A340="","",GL_CLEAN!F340)</f>
        <v/>
      </c>
      <c r="N340" s="11">
        <f>IF(MATCH_ENGINE!A340="","",GL_CLEAN!G340)</f>
        <v/>
      </c>
      <c r="O340" s="11">
        <f>IF(MATCH_ENGINE!H340="","",INDEX(BANK_CLEAN!$C$2:$C$1001,MATCH_ENGINE!H340))</f>
        <v/>
      </c>
      <c r="P340" s="11" t="inlineStr"/>
    </row>
    <row r="341">
      <c r="A341" s="11">
        <f>IF(MATCH_ENGINE!A341="","",MATCH_ENGINE!N341)</f>
        <v/>
      </c>
      <c r="B341" s="11">
        <f>IF(MATCH_ENGINE!A341="","",MATCH_ENGINE!C341)</f>
        <v/>
      </c>
      <c r="C341" s="10">
        <f>IF(MATCH_ENGINE!A341="","",MATCH_ENGINE!B341)</f>
        <v/>
      </c>
      <c r="D341" s="16">
        <f>IF(MATCH_ENGINE!A341="","",MATCH_ENGINE!D341)</f>
        <v/>
      </c>
      <c r="E341" s="11">
        <f>IF(MATCH_ENGINE!A341="","",MATCH_ENGINE!F341)</f>
        <v/>
      </c>
      <c r="F341" s="10">
        <f>IF(MATCH_ENGINE!A341="","",MATCH_ENGINE!I341)</f>
        <v/>
      </c>
      <c r="G341" s="16">
        <f>IF(MATCH_ENGINE!H341="","",IF(MATCH_ENGINE!F341="IN",MATCH_ENGINE!J341,""))</f>
        <v/>
      </c>
      <c r="H341" s="16">
        <f>IF(MATCH_ENGINE!H341="","",IF(MATCH_ENGINE!F341="OUT",MATCH_ENGINE!J341,""))</f>
        <v/>
      </c>
      <c r="I341" s="16">
        <f>IF(MATCH_ENGINE!H341="","",MATCH_ENGINE!J341)</f>
        <v/>
      </c>
      <c r="J341" s="12">
        <f>IF(MATCH_ENGINE!A341="","",MATCH_ENGINE!K341)</f>
        <v/>
      </c>
      <c r="K341" s="11">
        <f>IF(MATCH_ENGINE!A341="","",MATCH_ENGINE!L341)</f>
        <v/>
      </c>
      <c r="L341" s="17">
        <f>IF(MATCH_ENGINE!A341="","",MATCH_ENGINE!M341)</f>
        <v/>
      </c>
      <c r="M341" s="11">
        <f>IF(MATCH_ENGINE!A341="","",GL_CLEAN!F341)</f>
        <v/>
      </c>
      <c r="N341" s="11">
        <f>IF(MATCH_ENGINE!A341="","",GL_CLEAN!G341)</f>
        <v/>
      </c>
      <c r="O341" s="11">
        <f>IF(MATCH_ENGINE!H341="","",INDEX(BANK_CLEAN!$C$2:$C$1001,MATCH_ENGINE!H341))</f>
        <v/>
      </c>
      <c r="P341" s="11" t="inlineStr"/>
    </row>
    <row r="342">
      <c r="A342" s="11">
        <f>IF(MATCH_ENGINE!A342="","",MATCH_ENGINE!N342)</f>
        <v/>
      </c>
      <c r="B342" s="11">
        <f>IF(MATCH_ENGINE!A342="","",MATCH_ENGINE!C342)</f>
        <v/>
      </c>
      <c r="C342" s="10">
        <f>IF(MATCH_ENGINE!A342="","",MATCH_ENGINE!B342)</f>
        <v/>
      </c>
      <c r="D342" s="16">
        <f>IF(MATCH_ENGINE!A342="","",MATCH_ENGINE!D342)</f>
        <v/>
      </c>
      <c r="E342" s="11">
        <f>IF(MATCH_ENGINE!A342="","",MATCH_ENGINE!F342)</f>
        <v/>
      </c>
      <c r="F342" s="10">
        <f>IF(MATCH_ENGINE!A342="","",MATCH_ENGINE!I342)</f>
        <v/>
      </c>
      <c r="G342" s="16">
        <f>IF(MATCH_ENGINE!H342="","",IF(MATCH_ENGINE!F342="IN",MATCH_ENGINE!J342,""))</f>
        <v/>
      </c>
      <c r="H342" s="16">
        <f>IF(MATCH_ENGINE!H342="","",IF(MATCH_ENGINE!F342="OUT",MATCH_ENGINE!J342,""))</f>
        <v/>
      </c>
      <c r="I342" s="16">
        <f>IF(MATCH_ENGINE!H342="","",MATCH_ENGINE!J342)</f>
        <v/>
      </c>
      <c r="J342" s="12">
        <f>IF(MATCH_ENGINE!A342="","",MATCH_ENGINE!K342)</f>
        <v/>
      </c>
      <c r="K342" s="11">
        <f>IF(MATCH_ENGINE!A342="","",MATCH_ENGINE!L342)</f>
        <v/>
      </c>
      <c r="L342" s="17">
        <f>IF(MATCH_ENGINE!A342="","",MATCH_ENGINE!M342)</f>
        <v/>
      </c>
      <c r="M342" s="11">
        <f>IF(MATCH_ENGINE!A342="","",GL_CLEAN!F342)</f>
        <v/>
      </c>
      <c r="N342" s="11">
        <f>IF(MATCH_ENGINE!A342="","",GL_CLEAN!G342)</f>
        <v/>
      </c>
      <c r="O342" s="11">
        <f>IF(MATCH_ENGINE!H342="","",INDEX(BANK_CLEAN!$C$2:$C$1001,MATCH_ENGINE!H342))</f>
        <v/>
      </c>
      <c r="P342" s="11" t="inlineStr"/>
    </row>
    <row r="343">
      <c r="A343" s="11">
        <f>IF(MATCH_ENGINE!A343="","",MATCH_ENGINE!N343)</f>
        <v/>
      </c>
      <c r="B343" s="11">
        <f>IF(MATCH_ENGINE!A343="","",MATCH_ENGINE!C343)</f>
        <v/>
      </c>
      <c r="C343" s="10">
        <f>IF(MATCH_ENGINE!A343="","",MATCH_ENGINE!B343)</f>
        <v/>
      </c>
      <c r="D343" s="16">
        <f>IF(MATCH_ENGINE!A343="","",MATCH_ENGINE!D343)</f>
        <v/>
      </c>
      <c r="E343" s="11">
        <f>IF(MATCH_ENGINE!A343="","",MATCH_ENGINE!F343)</f>
        <v/>
      </c>
      <c r="F343" s="10">
        <f>IF(MATCH_ENGINE!A343="","",MATCH_ENGINE!I343)</f>
        <v/>
      </c>
      <c r="G343" s="16">
        <f>IF(MATCH_ENGINE!H343="","",IF(MATCH_ENGINE!F343="IN",MATCH_ENGINE!J343,""))</f>
        <v/>
      </c>
      <c r="H343" s="16">
        <f>IF(MATCH_ENGINE!H343="","",IF(MATCH_ENGINE!F343="OUT",MATCH_ENGINE!J343,""))</f>
        <v/>
      </c>
      <c r="I343" s="16">
        <f>IF(MATCH_ENGINE!H343="","",MATCH_ENGINE!J343)</f>
        <v/>
      </c>
      <c r="J343" s="12">
        <f>IF(MATCH_ENGINE!A343="","",MATCH_ENGINE!K343)</f>
        <v/>
      </c>
      <c r="K343" s="11">
        <f>IF(MATCH_ENGINE!A343="","",MATCH_ENGINE!L343)</f>
        <v/>
      </c>
      <c r="L343" s="17">
        <f>IF(MATCH_ENGINE!A343="","",MATCH_ENGINE!M343)</f>
        <v/>
      </c>
      <c r="M343" s="11">
        <f>IF(MATCH_ENGINE!A343="","",GL_CLEAN!F343)</f>
        <v/>
      </c>
      <c r="N343" s="11">
        <f>IF(MATCH_ENGINE!A343="","",GL_CLEAN!G343)</f>
        <v/>
      </c>
      <c r="O343" s="11">
        <f>IF(MATCH_ENGINE!H343="","",INDEX(BANK_CLEAN!$C$2:$C$1001,MATCH_ENGINE!H343))</f>
        <v/>
      </c>
      <c r="P343" s="11" t="inlineStr"/>
    </row>
    <row r="344">
      <c r="A344" s="11">
        <f>IF(MATCH_ENGINE!A344="","",MATCH_ENGINE!N344)</f>
        <v/>
      </c>
      <c r="B344" s="11">
        <f>IF(MATCH_ENGINE!A344="","",MATCH_ENGINE!C344)</f>
        <v/>
      </c>
      <c r="C344" s="10">
        <f>IF(MATCH_ENGINE!A344="","",MATCH_ENGINE!B344)</f>
        <v/>
      </c>
      <c r="D344" s="16">
        <f>IF(MATCH_ENGINE!A344="","",MATCH_ENGINE!D344)</f>
        <v/>
      </c>
      <c r="E344" s="11">
        <f>IF(MATCH_ENGINE!A344="","",MATCH_ENGINE!F344)</f>
        <v/>
      </c>
      <c r="F344" s="10">
        <f>IF(MATCH_ENGINE!A344="","",MATCH_ENGINE!I344)</f>
        <v/>
      </c>
      <c r="G344" s="16">
        <f>IF(MATCH_ENGINE!H344="","",IF(MATCH_ENGINE!F344="IN",MATCH_ENGINE!J344,""))</f>
        <v/>
      </c>
      <c r="H344" s="16">
        <f>IF(MATCH_ENGINE!H344="","",IF(MATCH_ENGINE!F344="OUT",MATCH_ENGINE!J344,""))</f>
        <v/>
      </c>
      <c r="I344" s="16">
        <f>IF(MATCH_ENGINE!H344="","",MATCH_ENGINE!J344)</f>
        <v/>
      </c>
      <c r="J344" s="12">
        <f>IF(MATCH_ENGINE!A344="","",MATCH_ENGINE!K344)</f>
        <v/>
      </c>
      <c r="K344" s="11">
        <f>IF(MATCH_ENGINE!A344="","",MATCH_ENGINE!L344)</f>
        <v/>
      </c>
      <c r="L344" s="17">
        <f>IF(MATCH_ENGINE!A344="","",MATCH_ENGINE!M344)</f>
        <v/>
      </c>
      <c r="M344" s="11">
        <f>IF(MATCH_ENGINE!A344="","",GL_CLEAN!F344)</f>
        <v/>
      </c>
      <c r="N344" s="11">
        <f>IF(MATCH_ENGINE!A344="","",GL_CLEAN!G344)</f>
        <v/>
      </c>
      <c r="O344" s="11">
        <f>IF(MATCH_ENGINE!H344="","",INDEX(BANK_CLEAN!$C$2:$C$1001,MATCH_ENGINE!H344))</f>
        <v/>
      </c>
      <c r="P344" s="11" t="inlineStr"/>
    </row>
    <row r="345">
      <c r="A345" s="11">
        <f>IF(MATCH_ENGINE!A345="","",MATCH_ENGINE!N345)</f>
        <v/>
      </c>
      <c r="B345" s="11">
        <f>IF(MATCH_ENGINE!A345="","",MATCH_ENGINE!C345)</f>
        <v/>
      </c>
      <c r="C345" s="10">
        <f>IF(MATCH_ENGINE!A345="","",MATCH_ENGINE!B345)</f>
        <v/>
      </c>
      <c r="D345" s="16">
        <f>IF(MATCH_ENGINE!A345="","",MATCH_ENGINE!D345)</f>
        <v/>
      </c>
      <c r="E345" s="11">
        <f>IF(MATCH_ENGINE!A345="","",MATCH_ENGINE!F345)</f>
        <v/>
      </c>
      <c r="F345" s="10">
        <f>IF(MATCH_ENGINE!A345="","",MATCH_ENGINE!I345)</f>
        <v/>
      </c>
      <c r="G345" s="16">
        <f>IF(MATCH_ENGINE!H345="","",IF(MATCH_ENGINE!F345="IN",MATCH_ENGINE!J345,""))</f>
        <v/>
      </c>
      <c r="H345" s="16">
        <f>IF(MATCH_ENGINE!H345="","",IF(MATCH_ENGINE!F345="OUT",MATCH_ENGINE!J345,""))</f>
        <v/>
      </c>
      <c r="I345" s="16">
        <f>IF(MATCH_ENGINE!H345="","",MATCH_ENGINE!J345)</f>
        <v/>
      </c>
      <c r="J345" s="12">
        <f>IF(MATCH_ENGINE!A345="","",MATCH_ENGINE!K345)</f>
        <v/>
      </c>
      <c r="K345" s="11">
        <f>IF(MATCH_ENGINE!A345="","",MATCH_ENGINE!L345)</f>
        <v/>
      </c>
      <c r="L345" s="17">
        <f>IF(MATCH_ENGINE!A345="","",MATCH_ENGINE!M345)</f>
        <v/>
      </c>
      <c r="M345" s="11">
        <f>IF(MATCH_ENGINE!A345="","",GL_CLEAN!F345)</f>
        <v/>
      </c>
      <c r="N345" s="11">
        <f>IF(MATCH_ENGINE!A345="","",GL_CLEAN!G345)</f>
        <v/>
      </c>
      <c r="O345" s="11">
        <f>IF(MATCH_ENGINE!H345="","",INDEX(BANK_CLEAN!$C$2:$C$1001,MATCH_ENGINE!H345))</f>
        <v/>
      </c>
      <c r="P345" s="11" t="inlineStr"/>
    </row>
    <row r="346">
      <c r="A346" s="11">
        <f>IF(MATCH_ENGINE!A346="","",MATCH_ENGINE!N346)</f>
        <v/>
      </c>
      <c r="B346" s="11">
        <f>IF(MATCH_ENGINE!A346="","",MATCH_ENGINE!C346)</f>
        <v/>
      </c>
      <c r="C346" s="10">
        <f>IF(MATCH_ENGINE!A346="","",MATCH_ENGINE!B346)</f>
        <v/>
      </c>
      <c r="D346" s="16">
        <f>IF(MATCH_ENGINE!A346="","",MATCH_ENGINE!D346)</f>
        <v/>
      </c>
      <c r="E346" s="11">
        <f>IF(MATCH_ENGINE!A346="","",MATCH_ENGINE!F346)</f>
        <v/>
      </c>
      <c r="F346" s="10">
        <f>IF(MATCH_ENGINE!A346="","",MATCH_ENGINE!I346)</f>
        <v/>
      </c>
      <c r="G346" s="16">
        <f>IF(MATCH_ENGINE!H346="","",IF(MATCH_ENGINE!F346="IN",MATCH_ENGINE!J346,""))</f>
        <v/>
      </c>
      <c r="H346" s="16">
        <f>IF(MATCH_ENGINE!H346="","",IF(MATCH_ENGINE!F346="OUT",MATCH_ENGINE!J346,""))</f>
        <v/>
      </c>
      <c r="I346" s="16">
        <f>IF(MATCH_ENGINE!H346="","",MATCH_ENGINE!J346)</f>
        <v/>
      </c>
      <c r="J346" s="12">
        <f>IF(MATCH_ENGINE!A346="","",MATCH_ENGINE!K346)</f>
        <v/>
      </c>
      <c r="K346" s="11">
        <f>IF(MATCH_ENGINE!A346="","",MATCH_ENGINE!L346)</f>
        <v/>
      </c>
      <c r="L346" s="17">
        <f>IF(MATCH_ENGINE!A346="","",MATCH_ENGINE!M346)</f>
        <v/>
      </c>
      <c r="M346" s="11">
        <f>IF(MATCH_ENGINE!A346="","",GL_CLEAN!F346)</f>
        <v/>
      </c>
      <c r="N346" s="11">
        <f>IF(MATCH_ENGINE!A346="","",GL_CLEAN!G346)</f>
        <v/>
      </c>
      <c r="O346" s="11">
        <f>IF(MATCH_ENGINE!H346="","",INDEX(BANK_CLEAN!$C$2:$C$1001,MATCH_ENGINE!H346))</f>
        <v/>
      </c>
      <c r="P346" s="11" t="inlineStr"/>
    </row>
    <row r="347">
      <c r="A347" s="11">
        <f>IF(MATCH_ENGINE!A347="","",MATCH_ENGINE!N347)</f>
        <v/>
      </c>
      <c r="B347" s="11">
        <f>IF(MATCH_ENGINE!A347="","",MATCH_ENGINE!C347)</f>
        <v/>
      </c>
      <c r="C347" s="10">
        <f>IF(MATCH_ENGINE!A347="","",MATCH_ENGINE!B347)</f>
        <v/>
      </c>
      <c r="D347" s="16">
        <f>IF(MATCH_ENGINE!A347="","",MATCH_ENGINE!D347)</f>
        <v/>
      </c>
      <c r="E347" s="11">
        <f>IF(MATCH_ENGINE!A347="","",MATCH_ENGINE!F347)</f>
        <v/>
      </c>
      <c r="F347" s="10">
        <f>IF(MATCH_ENGINE!A347="","",MATCH_ENGINE!I347)</f>
        <v/>
      </c>
      <c r="G347" s="16">
        <f>IF(MATCH_ENGINE!H347="","",IF(MATCH_ENGINE!F347="IN",MATCH_ENGINE!J347,""))</f>
        <v/>
      </c>
      <c r="H347" s="16">
        <f>IF(MATCH_ENGINE!H347="","",IF(MATCH_ENGINE!F347="OUT",MATCH_ENGINE!J347,""))</f>
        <v/>
      </c>
      <c r="I347" s="16">
        <f>IF(MATCH_ENGINE!H347="","",MATCH_ENGINE!J347)</f>
        <v/>
      </c>
      <c r="J347" s="12">
        <f>IF(MATCH_ENGINE!A347="","",MATCH_ENGINE!K347)</f>
        <v/>
      </c>
      <c r="K347" s="11">
        <f>IF(MATCH_ENGINE!A347="","",MATCH_ENGINE!L347)</f>
        <v/>
      </c>
      <c r="L347" s="17">
        <f>IF(MATCH_ENGINE!A347="","",MATCH_ENGINE!M347)</f>
        <v/>
      </c>
      <c r="M347" s="11">
        <f>IF(MATCH_ENGINE!A347="","",GL_CLEAN!F347)</f>
        <v/>
      </c>
      <c r="N347" s="11">
        <f>IF(MATCH_ENGINE!A347="","",GL_CLEAN!G347)</f>
        <v/>
      </c>
      <c r="O347" s="11">
        <f>IF(MATCH_ENGINE!H347="","",INDEX(BANK_CLEAN!$C$2:$C$1001,MATCH_ENGINE!H347))</f>
        <v/>
      </c>
      <c r="P347" s="11" t="inlineStr"/>
    </row>
    <row r="348">
      <c r="A348" s="11">
        <f>IF(MATCH_ENGINE!A348="","",MATCH_ENGINE!N348)</f>
        <v/>
      </c>
      <c r="B348" s="11">
        <f>IF(MATCH_ENGINE!A348="","",MATCH_ENGINE!C348)</f>
        <v/>
      </c>
      <c r="C348" s="10">
        <f>IF(MATCH_ENGINE!A348="","",MATCH_ENGINE!B348)</f>
        <v/>
      </c>
      <c r="D348" s="16">
        <f>IF(MATCH_ENGINE!A348="","",MATCH_ENGINE!D348)</f>
        <v/>
      </c>
      <c r="E348" s="11">
        <f>IF(MATCH_ENGINE!A348="","",MATCH_ENGINE!F348)</f>
        <v/>
      </c>
      <c r="F348" s="10">
        <f>IF(MATCH_ENGINE!A348="","",MATCH_ENGINE!I348)</f>
        <v/>
      </c>
      <c r="G348" s="16">
        <f>IF(MATCH_ENGINE!H348="","",IF(MATCH_ENGINE!F348="IN",MATCH_ENGINE!J348,""))</f>
        <v/>
      </c>
      <c r="H348" s="16">
        <f>IF(MATCH_ENGINE!H348="","",IF(MATCH_ENGINE!F348="OUT",MATCH_ENGINE!J348,""))</f>
        <v/>
      </c>
      <c r="I348" s="16">
        <f>IF(MATCH_ENGINE!H348="","",MATCH_ENGINE!J348)</f>
        <v/>
      </c>
      <c r="J348" s="12">
        <f>IF(MATCH_ENGINE!A348="","",MATCH_ENGINE!K348)</f>
        <v/>
      </c>
      <c r="K348" s="11">
        <f>IF(MATCH_ENGINE!A348="","",MATCH_ENGINE!L348)</f>
        <v/>
      </c>
      <c r="L348" s="17">
        <f>IF(MATCH_ENGINE!A348="","",MATCH_ENGINE!M348)</f>
        <v/>
      </c>
      <c r="M348" s="11">
        <f>IF(MATCH_ENGINE!A348="","",GL_CLEAN!F348)</f>
        <v/>
      </c>
      <c r="N348" s="11">
        <f>IF(MATCH_ENGINE!A348="","",GL_CLEAN!G348)</f>
        <v/>
      </c>
      <c r="O348" s="11">
        <f>IF(MATCH_ENGINE!H348="","",INDEX(BANK_CLEAN!$C$2:$C$1001,MATCH_ENGINE!H348))</f>
        <v/>
      </c>
      <c r="P348" s="11" t="inlineStr"/>
    </row>
    <row r="349">
      <c r="A349" s="11">
        <f>IF(MATCH_ENGINE!A349="","",MATCH_ENGINE!N349)</f>
        <v/>
      </c>
      <c r="B349" s="11">
        <f>IF(MATCH_ENGINE!A349="","",MATCH_ENGINE!C349)</f>
        <v/>
      </c>
      <c r="C349" s="10">
        <f>IF(MATCH_ENGINE!A349="","",MATCH_ENGINE!B349)</f>
        <v/>
      </c>
      <c r="D349" s="16">
        <f>IF(MATCH_ENGINE!A349="","",MATCH_ENGINE!D349)</f>
        <v/>
      </c>
      <c r="E349" s="11">
        <f>IF(MATCH_ENGINE!A349="","",MATCH_ENGINE!F349)</f>
        <v/>
      </c>
      <c r="F349" s="10">
        <f>IF(MATCH_ENGINE!A349="","",MATCH_ENGINE!I349)</f>
        <v/>
      </c>
      <c r="G349" s="16">
        <f>IF(MATCH_ENGINE!H349="","",IF(MATCH_ENGINE!F349="IN",MATCH_ENGINE!J349,""))</f>
        <v/>
      </c>
      <c r="H349" s="16">
        <f>IF(MATCH_ENGINE!H349="","",IF(MATCH_ENGINE!F349="OUT",MATCH_ENGINE!J349,""))</f>
        <v/>
      </c>
      <c r="I349" s="16">
        <f>IF(MATCH_ENGINE!H349="","",MATCH_ENGINE!J349)</f>
        <v/>
      </c>
      <c r="J349" s="12">
        <f>IF(MATCH_ENGINE!A349="","",MATCH_ENGINE!K349)</f>
        <v/>
      </c>
      <c r="K349" s="11">
        <f>IF(MATCH_ENGINE!A349="","",MATCH_ENGINE!L349)</f>
        <v/>
      </c>
      <c r="L349" s="17">
        <f>IF(MATCH_ENGINE!A349="","",MATCH_ENGINE!M349)</f>
        <v/>
      </c>
      <c r="M349" s="11">
        <f>IF(MATCH_ENGINE!A349="","",GL_CLEAN!F349)</f>
        <v/>
      </c>
      <c r="N349" s="11">
        <f>IF(MATCH_ENGINE!A349="","",GL_CLEAN!G349)</f>
        <v/>
      </c>
      <c r="O349" s="11">
        <f>IF(MATCH_ENGINE!H349="","",INDEX(BANK_CLEAN!$C$2:$C$1001,MATCH_ENGINE!H349))</f>
        <v/>
      </c>
      <c r="P349" s="11" t="inlineStr"/>
    </row>
    <row r="350">
      <c r="A350" s="11">
        <f>IF(MATCH_ENGINE!A350="","",MATCH_ENGINE!N350)</f>
        <v/>
      </c>
      <c r="B350" s="11">
        <f>IF(MATCH_ENGINE!A350="","",MATCH_ENGINE!C350)</f>
        <v/>
      </c>
      <c r="C350" s="10">
        <f>IF(MATCH_ENGINE!A350="","",MATCH_ENGINE!B350)</f>
        <v/>
      </c>
      <c r="D350" s="16">
        <f>IF(MATCH_ENGINE!A350="","",MATCH_ENGINE!D350)</f>
        <v/>
      </c>
      <c r="E350" s="11">
        <f>IF(MATCH_ENGINE!A350="","",MATCH_ENGINE!F350)</f>
        <v/>
      </c>
      <c r="F350" s="10">
        <f>IF(MATCH_ENGINE!A350="","",MATCH_ENGINE!I350)</f>
        <v/>
      </c>
      <c r="G350" s="16">
        <f>IF(MATCH_ENGINE!H350="","",IF(MATCH_ENGINE!F350="IN",MATCH_ENGINE!J350,""))</f>
        <v/>
      </c>
      <c r="H350" s="16">
        <f>IF(MATCH_ENGINE!H350="","",IF(MATCH_ENGINE!F350="OUT",MATCH_ENGINE!J350,""))</f>
        <v/>
      </c>
      <c r="I350" s="16">
        <f>IF(MATCH_ENGINE!H350="","",MATCH_ENGINE!J350)</f>
        <v/>
      </c>
      <c r="J350" s="12">
        <f>IF(MATCH_ENGINE!A350="","",MATCH_ENGINE!K350)</f>
        <v/>
      </c>
      <c r="K350" s="11">
        <f>IF(MATCH_ENGINE!A350="","",MATCH_ENGINE!L350)</f>
        <v/>
      </c>
      <c r="L350" s="17">
        <f>IF(MATCH_ENGINE!A350="","",MATCH_ENGINE!M350)</f>
        <v/>
      </c>
      <c r="M350" s="11">
        <f>IF(MATCH_ENGINE!A350="","",GL_CLEAN!F350)</f>
        <v/>
      </c>
      <c r="N350" s="11">
        <f>IF(MATCH_ENGINE!A350="","",GL_CLEAN!G350)</f>
        <v/>
      </c>
      <c r="O350" s="11">
        <f>IF(MATCH_ENGINE!H350="","",INDEX(BANK_CLEAN!$C$2:$C$1001,MATCH_ENGINE!H350))</f>
        <v/>
      </c>
      <c r="P350" s="11" t="inlineStr"/>
    </row>
    <row r="351">
      <c r="A351" s="11">
        <f>IF(MATCH_ENGINE!A351="","",MATCH_ENGINE!N351)</f>
        <v/>
      </c>
      <c r="B351" s="11">
        <f>IF(MATCH_ENGINE!A351="","",MATCH_ENGINE!C351)</f>
        <v/>
      </c>
      <c r="C351" s="10">
        <f>IF(MATCH_ENGINE!A351="","",MATCH_ENGINE!B351)</f>
        <v/>
      </c>
      <c r="D351" s="16">
        <f>IF(MATCH_ENGINE!A351="","",MATCH_ENGINE!D351)</f>
        <v/>
      </c>
      <c r="E351" s="11">
        <f>IF(MATCH_ENGINE!A351="","",MATCH_ENGINE!F351)</f>
        <v/>
      </c>
      <c r="F351" s="10">
        <f>IF(MATCH_ENGINE!A351="","",MATCH_ENGINE!I351)</f>
        <v/>
      </c>
      <c r="G351" s="16">
        <f>IF(MATCH_ENGINE!H351="","",IF(MATCH_ENGINE!F351="IN",MATCH_ENGINE!J351,""))</f>
        <v/>
      </c>
      <c r="H351" s="16">
        <f>IF(MATCH_ENGINE!H351="","",IF(MATCH_ENGINE!F351="OUT",MATCH_ENGINE!J351,""))</f>
        <v/>
      </c>
      <c r="I351" s="16">
        <f>IF(MATCH_ENGINE!H351="","",MATCH_ENGINE!J351)</f>
        <v/>
      </c>
      <c r="J351" s="12">
        <f>IF(MATCH_ENGINE!A351="","",MATCH_ENGINE!K351)</f>
        <v/>
      </c>
      <c r="K351" s="11">
        <f>IF(MATCH_ENGINE!A351="","",MATCH_ENGINE!L351)</f>
        <v/>
      </c>
      <c r="L351" s="17">
        <f>IF(MATCH_ENGINE!A351="","",MATCH_ENGINE!M351)</f>
        <v/>
      </c>
      <c r="M351" s="11">
        <f>IF(MATCH_ENGINE!A351="","",GL_CLEAN!F351)</f>
        <v/>
      </c>
      <c r="N351" s="11">
        <f>IF(MATCH_ENGINE!A351="","",GL_CLEAN!G351)</f>
        <v/>
      </c>
      <c r="O351" s="11">
        <f>IF(MATCH_ENGINE!H351="","",INDEX(BANK_CLEAN!$C$2:$C$1001,MATCH_ENGINE!H351))</f>
        <v/>
      </c>
      <c r="P351" s="11" t="inlineStr"/>
    </row>
    <row r="352">
      <c r="A352" s="11">
        <f>IF(MATCH_ENGINE!A352="","",MATCH_ENGINE!N352)</f>
        <v/>
      </c>
      <c r="B352" s="11">
        <f>IF(MATCH_ENGINE!A352="","",MATCH_ENGINE!C352)</f>
        <v/>
      </c>
      <c r="C352" s="10">
        <f>IF(MATCH_ENGINE!A352="","",MATCH_ENGINE!B352)</f>
        <v/>
      </c>
      <c r="D352" s="16">
        <f>IF(MATCH_ENGINE!A352="","",MATCH_ENGINE!D352)</f>
        <v/>
      </c>
      <c r="E352" s="11">
        <f>IF(MATCH_ENGINE!A352="","",MATCH_ENGINE!F352)</f>
        <v/>
      </c>
      <c r="F352" s="10">
        <f>IF(MATCH_ENGINE!A352="","",MATCH_ENGINE!I352)</f>
        <v/>
      </c>
      <c r="G352" s="16">
        <f>IF(MATCH_ENGINE!H352="","",IF(MATCH_ENGINE!F352="IN",MATCH_ENGINE!J352,""))</f>
        <v/>
      </c>
      <c r="H352" s="16">
        <f>IF(MATCH_ENGINE!H352="","",IF(MATCH_ENGINE!F352="OUT",MATCH_ENGINE!J352,""))</f>
        <v/>
      </c>
      <c r="I352" s="16">
        <f>IF(MATCH_ENGINE!H352="","",MATCH_ENGINE!J352)</f>
        <v/>
      </c>
      <c r="J352" s="12">
        <f>IF(MATCH_ENGINE!A352="","",MATCH_ENGINE!K352)</f>
        <v/>
      </c>
      <c r="K352" s="11">
        <f>IF(MATCH_ENGINE!A352="","",MATCH_ENGINE!L352)</f>
        <v/>
      </c>
      <c r="L352" s="17">
        <f>IF(MATCH_ENGINE!A352="","",MATCH_ENGINE!M352)</f>
        <v/>
      </c>
      <c r="M352" s="11">
        <f>IF(MATCH_ENGINE!A352="","",GL_CLEAN!F352)</f>
        <v/>
      </c>
      <c r="N352" s="11">
        <f>IF(MATCH_ENGINE!A352="","",GL_CLEAN!G352)</f>
        <v/>
      </c>
      <c r="O352" s="11">
        <f>IF(MATCH_ENGINE!H352="","",INDEX(BANK_CLEAN!$C$2:$C$1001,MATCH_ENGINE!H352))</f>
        <v/>
      </c>
      <c r="P352" s="11" t="inlineStr"/>
    </row>
    <row r="353">
      <c r="A353" s="11">
        <f>IF(MATCH_ENGINE!A353="","",MATCH_ENGINE!N353)</f>
        <v/>
      </c>
      <c r="B353" s="11">
        <f>IF(MATCH_ENGINE!A353="","",MATCH_ENGINE!C353)</f>
        <v/>
      </c>
      <c r="C353" s="10">
        <f>IF(MATCH_ENGINE!A353="","",MATCH_ENGINE!B353)</f>
        <v/>
      </c>
      <c r="D353" s="16">
        <f>IF(MATCH_ENGINE!A353="","",MATCH_ENGINE!D353)</f>
        <v/>
      </c>
      <c r="E353" s="11">
        <f>IF(MATCH_ENGINE!A353="","",MATCH_ENGINE!F353)</f>
        <v/>
      </c>
      <c r="F353" s="10">
        <f>IF(MATCH_ENGINE!A353="","",MATCH_ENGINE!I353)</f>
        <v/>
      </c>
      <c r="G353" s="16">
        <f>IF(MATCH_ENGINE!H353="","",IF(MATCH_ENGINE!F353="IN",MATCH_ENGINE!J353,""))</f>
        <v/>
      </c>
      <c r="H353" s="16">
        <f>IF(MATCH_ENGINE!H353="","",IF(MATCH_ENGINE!F353="OUT",MATCH_ENGINE!J353,""))</f>
        <v/>
      </c>
      <c r="I353" s="16">
        <f>IF(MATCH_ENGINE!H353="","",MATCH_ENGINE!J353)</f>
        <v/>
      </c>
      <c r="J353" s="12">
        <f>IF(MATCH_ENGINE!A353="","",MATCH_ENGINE!K353)</f>
        <v/>
      </c>
      <c r="K353" s="11">
        <f>IF(MATCH_ENGINE!A353="","",MATCH_ENGINE!L353)</f>
        <v/>
      </c>
      <c r="L353" s="17">
        <f>IF(MATCH_ENGINE!A353="","",MATCH_ENGINE!M353)</f>
        <v/>
      </c>
      <c r="M353" s="11">
        <f>IF(MATCH_ENGINE!A353="","",GL_CLEAN!F353)</f>
        <v/>
      </c>
      <c r="N353" s="11">
        <f>IF(MATCH_ENGINE!A353="","",GL_CLEAN!G353)</f>
        <v/>
      </c>
      <c r="O353" s="11">
        <f>IF(MATCH_ENGINE!H353="","",INDEX(BANK_CLEAN!$C$2:$C$1001,MATCH_ENGINE!H353))</f>
        <v/>
      </c>
      <c r="P353" s="11" t="inlineStr"/>
    </row>
    <row r="354">
      <c r="A354" s="11">
        <f>IF(MATCH_ENGINE!A354="","",MATCH_ENGINE!N354)</f>
        <v/>
      </c>
      <c r="B354" s="11">
        <f>IF(MATCH_ENGINE!A354="","",MATCH_ENGINE!C354)</f>
        <v/>
      </c>
      <c r="C354" s="10">
        <f>IF(MATCH_ENGINE!A354="","",MATCH_ENGINE!B354)</f>
        <v/>
      </c>
      <c r="D354" s="16">
        <f>IF(MATCH_ENGINE!A354="","",MATCH_ENGINE!D354)</f>
        <v/>
      </c>
      <c r="E354" s="11">
        <f>IF(MATCH_ENGINE!A354="","",MATCH_ENGINE!F354)</f>
        <v/>
      </c>
      <c r="F354" s="10">
        <f>IF(MATCH_ENGINE!A354="","",MATCH_ENGINE!I354)</f>
        <v/>
      </c>
      <c r="G354" s="16">
        <f>IF(MATCH_ENGINE!H354="","",IF(MATCH_ENGINE!F354="IN",MATCH_ENGINE!J354,""))</f>
        <v/>
      </c>
      <c r="H354" s="16">
        <f>IF(MATCH_ENGINE!H354="","",IF(MATCH_ENGINE!F354="OUT",MATCH_ENGINE!J354,""))</f>
        <v/>
      </c>
      <c r="I354" s="16">
        <f>IF(MATCH_ENGINE!H354="","",MATCH_ENGINE!J354)</f>
        <v/>
      </c>
      <c r="J354" s="12">
        <f>IF(MATCH_ENGINE!A354="","",MATCH_ENGINE!K354)</f>
        <v/>
      </c>
      <c r="K354" s="11">
        <f>IF(MATCH_ENGINE!A354="","",MATCH_ENGINE!L354)</f>
        <v/>
      </c>
      <c r="L354" s="17">
        <f>IF(MATCH_ENGINE!A354="","",MATCH_ENGINE!M354)</f>
        <v/>
      </c>
      <c r="M354" s="11">
        <f>IF(MATCH_ENGINE!A354="","",GL_CLEAN!F354)</f>
        <v/>
      </c>
      <c r="N354" s="11">
        <f>IF(MATCH_ENGINE!A354="","",GL_CLEAN!G354)</f>
        <v/>
      </c>
      <c r="O354" s="11">
        <f>IF(MATCH_ENGINE!H354="","",INDEX(BANK_CLEAN!$C$2:$C$1001,MATCH_ENGINE!H354))</f>
        <v/>
      </c>
      <c r="P354" s="11" t="inlineStr"/>
    </row>
    <row r="355">
      <c r="A355" s="11">
        <f>IF(MATCH_ENGINE!A355="","",MATCH_ENGINE!N355)</f>
        <v/>
      </c>
      <c r="B355" s="11">
        <f>IF(MATCH_ENGINE!A355="","",MATCH_ENGINE!C355)</f>
        <v/>
      </c>
      <c r="C355" s="10">
        <f>IF(MATCH_ENGINE!A355="","",MATCH_ENGINE!B355)</f>
        <v/>
      </c>
      <c r="D355" s="16">
        <f>IF(MATCH_ENGINE!A355="","",MATCH_ENGINE!D355)</f>
        <v/>
      </c>
      <c r="E355" s="11">
        <f>IF(MATCH_ENGINE!A355="","",MATCH_ENGINE!F355)</f>
        <v/>
      </c>
      <c r="F355" s="10">
        <f>IF(MATCH_ENGINE!A355="","",MATCH_ENGINE!I355)</f>
        <v/>
      </c>
      <c r="G355" s="16">
        <f>IF(MATCH_ENGINE!H355="","",IF(MATCH_ENGINE!F355="IN",MATCH_ENGINE!J355,""))</f>
        <v/>
      </c>
      <c r="H355" s="16">
        <f>IF(MATCH_ENGINE!H355="","",IF(MATCH_ENGINE!F355="OUT",MATCH_ENGINE!J355,""))</f>
        <v/>
      </c>
      <c r="I355" s="16">
        <f>IF(MATCH_ENGINE!H355="","",MATCH_ENGINE!J355)</f>
        <v/>
      </c>
      <c r="J355" s="12">
        <f>IF(MATCH_ENGINE!A355="","",MATCH_ENGINE!K355)</f>
        <v/>
      </c>
      <c r="K355" s="11">
        <f>IF(MATCH_ENGINE!A355="","",MATCH_ENGINE!L355)</f>
        <v/>
      </c>
      <c r="L355" s="17">
        <f>IF(MATCH_ENGINE!A355="","",MATCH_ENGINE!M355)</f>
        <v/>
      </c>
      <c r="M355" s="11">
        <f>IF(MATCH_ENGINE!A355="","",GL_CLEAN!F355)</f>
        <v/>
      </c>
      <c r="N355" s="11">
        <f>IF(MATCH_ENGINE!A355="","",GL_CLEAN!G355)</f>
        <v/>
      </c>
      <c r="O355" s="11">
        <f>IF(MATCH_ENGINE!H355="","",INDEX(BANK_CLEAN!$C$2:$C$1001,MATCH_ENGINE!H355))</f>
        <v/>
      </c>
      <c r="P355" s="11" t="inlineStr"/>
    </row>
    <row r="356">
      <c r="A356" s="11">
        <f>IF(MATCH_ENGINE!A356="","",MATCH_ENGINE!N356)</f>
        <v/>
      </c>
      <c r="B356" s="11">
        <f>IF(MATCH_ENGINE!A356="","",MATCH_ENGINE!C356)</f>
        <v/>
      </c>
      <c r="C356" s="10">
        <f>IF(MATCH_ENGINE!A356="","",MATCH_ENGINE!B356)</f>
        <v/>
      </c>
      <c r="D356" s="16">
        <f>IF(MATCH_ENGINE!A356="","",MATCH_ENGINE!D356)</f>
        <v/>
      </c>
      <c r="E356" s="11">
        <f>IF(MATCH_ENGINE!A356="","",MATCH_ENGINE!F356)</f>
        <v/>
      </c>
      <c r="F356" s="10">
        <f>IF(MATCH_ENGINE!A356="","",MATCH_ENGINE!I356)</f>
        <v/>
      </c>
      <c r="G356" s="16">
        <f>IF(MATCH_ENGINE!H356="","",IF(MATCH_ENGINE!F356="IN",MATCH_ENGINE!J356,""))</f>
        <v/>
      </c>
      <c r="H356" s="16">
        <f>IF(MATCH_ENGINE!H356="","",IF(MATCH_ENGINE!F356="OUT",MATCH_ENGINE!J356,""))</f>
        <v/>
      </c>
      <c r="I356" s="16">
        <f>IF(MATCH_ENGINE!H356="","",MATCH_ENGINE!J356)</f>
        <v/>
      </c>
      <c r="J356" s="12">
        <f>IF(MATCH_ENGINE!A356="","",MATCH_ENGINE!K356)</f>
        <v/>
      </c>
      <c r="K356" s="11">
        <f>IF(MATCH_ENGINE!A356="","",MATCH_ENGINE!L356)</f>
        <v/>
      </c>
      <c r="L356" s="17">
        <f>IF(MATCH_ENGINE!A356="","",MATCH_ENGINE!M356)</f>
        <v/>
      </c>
      <c r="M356" s="11">
        <f>IF(MATCH_ENGINE!A356="","",GL_CLEAN!F356)</f>
        <v/>
      </c>
      <c r="N356" s="11">
        <f>IF(MATCH_ENGINE!A356="","",GL_CLEAN!G356)</f>
        <v/>
      </c>
      <c r="O356" s="11">
        <f>IF(MATCH_ENGINE!H356="","",INDEX(BANK_CLEAN!$C$2:$C$1001,MATCH_ENGINE!H356))</f>
        <v/>
      </c>
      <c r="P356" s="11" t="inlineStr"/>
    </row>
    <row r="357">
      <c r="A357" s="11">
        <f>IF(MATCH_ENGINE!A357="","",MATCH_ENGINE!N357)</f>
        <v/>
      </c>
      <c r="B357" s="11">
        <f>IF(MATCH_ENGINE!A357="","",MATCH_ENGINE!C357)</f>
        <v/>
      </c>
      <c r="C357" s="10">
        <f>IF(MATCH_ENGINE!A357="","",MATCH_ENGINE!B357)</f>
        <v/>
      </c>
      <c r="D357" s="16">
        <f>IF(MATCH_ENGINE!A357="","",MATCH_ENGINE!D357)</f>
        <v/>
      </c>
      <c r="E357" s="11">
        <f>IF(MATCH_ENGINE!A357="","",MATCH_ENGINE!F357)</f>
        <v/>
      </c>
      <c r="F357" s="10">
        <f>IF(MATCH_ENGINE!A357="","",MATCH_ENGINE!I357)</f>
        <v/>
      </c>
      <c r="G357" s="16">
        <f>IF(MATCH_ENGINE!H357="","",IF(MATCH_ENGINE!F357="IN",MATCH_ENGINE!J357,""))</f>
        <v/>
      </c>
      <c r="H357" s="16">
        <f>IF(MATCH_ENGINE!H357="","",IF(MATCH_ENGINE!F357="OUT",MATCH_ENGINE!J357,""))</f>
        <v/>
      </c>
      <c r="I357" s="16">
        <f>IF(MATCH_ENGINE!H357="","",MATCH_ENGINE!J357)</f>
        <v/>
      </c>
      <c r="J357" s="12">
        <f>IF(MATCH_ENGINE!A357="","",MATCH_ENGINE!K357)</f>
        <v/>
      </c>
      <c r="K357" s="11">
        <f>IF(MATCH_ENGINE!A357="","",MATCH_ENGINE!L357)</f>
        <v/>
      </c>
      <c r="L357" s="17">
        <f>IF(MATCH_ENGINE!A357="","",MATCH_ENGINE!M357)</f>
        <v/>
      </c>
      <c r="M357" s="11">
        <f>IF(MATCH_ENGINE!A357="","",GL_CLEAN!F357)</f>
        <v/>
      </c>
      <c r="N357" s="11">
        <f>IF(MATCH_ENGINE!A357="","",GL_CLEAN!G357)</f>
        <v/>
      </c>
      <c r="O357" s="11">
        <f>IF(MATCH_ENGINE!H357="","",INDEX(BANK_CLEAN!$C$2:$C$1001,MATCH_ENGINE!H357))</f>
        <v/>
      </c>
      <c r="P357" s="11" t="inlineStr"/>
    </row>
    <row r="358">
      <c r="A358" s="11">
        <f>IF(MATCH_ENGINE!A358="","",MATCH_ENGINE!N358)</f>
        <v/>
      </c>
      <c r="B358" s="11">
        <f>IF(MATCH_ENGINE!A358="","",MATCH_ENGINE!C358)</f>
        <v/>
      </c>
      <c r="C358" s="10">
        <f>IF(MATCH_ENGINE!A358="","",MATCH_ENGINE!B358)</f>
        <v/>
      </c>
      <c r="D358" s="16">
        <f>IF(MATCH_ENGINE!A358="","",MATCH_ENGINE!D358)</f>
        <v/>
      </c>
      <c r="E358" s="11">
        <f>IF(MATCH_ENGINE!A358="","",MATCH_ENGINE!F358)</f>
        <v/>
      </c>
      <c r="F358" s="10">
        <f>IF(MATCH_ENGINE!A358="","",MATCH_ENGINE!I358)</f>
        <v/>
      </c>
      <c r="G358" s="16">
        <f>IF(MATCH_ENGINE!H358="","",IF(MATCH_ENGINE!F358="IN",MATCH_ENGINE!J358,""))</f>
        <v/>
      </c>
      <c r="H358" s="16">
        <f>IF(MATCH_ENGINE!H358="","",IF(MATCH_ENGINE!F358="OUT",MATCH_ENGINE!J358,""))</f>
        <v/>
      </c>
      <c r="I358" s="16">
        <f>IF(MATCH_ENGINE!H358="","",MATCH_ENGINE!J358)</f>
        <v/>
      </c>
      <c r="J358" s="12">
        <f>IF(MATCH_ENGINE!A358="","",MATCH_ENGINE!K358)</f>
        <v/>
      </c>
      <c r="K358" s="11">
        <f>IF(MATCH_ENGINE!A358="","",MATCH_ENGINE!L358)</f>
        <v/>
      </c>
      <c r="L358" s="17">
        <f>IF(MATCH_ENGINE!A358="","",MATCH_ENGINE!M358)</f>
        <v/>
      </c>
      <c r="M358" s="11">
        <f>IF(MATCH_ENGINE!A358="","",GL_CLEAN!F358)</f>
        <v/>
      </c>
      <c r="N358" s="11">
        <f>IF(MATCH_ENGINE!A358="","",GL_CLEAN!G358)</f>
        <v/>
      </c>
      <c r="O358" s="11">
        <f>IF(MATCH_ENGINE!H358="","",INDEX(BANK_CLEAN!$C$2:$C$1001,MATCH_ENGINE!H358))</f>
        <v/>
      </c>
      <c r="P358" s="11" t="inlineStr"/>
    </row>
    <row r="359">
      <c r="A359" s="11">
        <f>IF(MATCH_ENGINE!A359="","",MATCH_ENGINE!N359)</f>
        <v/>
      </c>
      <c r="B359" s="11">
        <f>IF(MATCH_ENGINE!A359="","",MATCH_ENGINE!C359)</f>
        <v/>
      </c>
      <c r="C359" s="10">
        <f>IF(MATCH_ENGINE!A359="","",MATCH_ENGINE!B359)</f>
        <v/>
      </c>
      <c r="D359" s="16">
        <f>IF(MATCH_ENGINE!A359="","",MATCH_ENGINE!D359)</f>
        <v/>
      </c>
      <c r="E359" s="11">
        <f>IF(MATCH_ENGINE!A359="","",MATCH_ENGINE!F359)</f>
        <v/>
      </c>
      <c r="F359" s="10">
        <f>IF(MATCH_ENGINE!A359="","",MATCH_ENGINE!I359)</f>
        <v/>
      </c>
      <c r="G359" s="16">
        <f>IF(MATCH_ENGINE!H359="","",IF(MATCH_ENGINE!F359="IN",MATCH_ENGINE!J359,""))</f>
        <v/>
      </c>
      <c r="H359" s="16">
        <f>IF(MATCH_ENGINE!H359="","",IF(MATCH_ENGINE!F359="OUT",MATCH_ENGINE!J359,""))</f>
        <v/>
      </c>
      <c r="I359" s="16">
        <f>IF(MATCH_ENGINE!H359="","",MATCH_ENGINE!J359)</f>
        <v/>
      </c>
      <c r="J359" s="12">
        <f>IF(MATCH_ENGINE!A359="","",MATCH_ENGINE!K359)</f>
        <v/>
      </c>
      <c r="K359" s="11">
        <f>IF(MATCH_ENGINE!A359="","",MATCH_ENGINE!L359)</f>
        <v/>
      </c>
      <c r="L359" s="17">
        <f>IF(MATCH_ENGINE!A359="","",MATCH_ENGINE!M359)</f>
        <v/>
      </c>
      <c r="M359" s="11">
        <f>IF(MATCH_ENGINE!A359="","",GL_CLEAN!F359)</f>
        <v/>
      </c>
      <c r="N359" s="11">
        <f>IF(MATCH_ENGINE!A359="","",GL_CLEAN!G359)</f>
        <v/>
      </c>
      <c r="O359" s="11">
        <f>IF(MATCH_ENGINE!H359="","",INDEX(BANK_CLEAN!$C$2:$C$1001,MATCH_ENGINE!H359))</f>
        <v/>
      </c>
      <c r="P359" s="11" t="inlineStr"/>
    </row>
    <row r="360">
      <c r="A360" s="11">
        <f>IF(MATCH_ENGINE!A360="","",MATCH_ENGINE!N360)</f>
        <v/>
      </c>
      <c r="B360" s="11">
        <f>IF(MATCH_ENGINE!A360="","",MATCH_ENGINE!C360)</f>
        <v/>
      </c>
      <c r="C360" s="10">
        <f>IF(MATCH_ENGINE!A360="","",MATCH_ENGINE!B360)</f>
        <v/>
      </c>
      <c r="D360" s="16">
        <f>IF(MATCH_ENGINE!A360="","",MATCH_ENGINE!D360)</f>
        <v/>
      </c>
      <c r="E360" s="11">
        <f>IF(MATCH_ENGINE!A360="","",MATCH_ENGINE!F360)</f>
        <v/>
      </c>
      <c r="F360" s="10">
        <f>IF(MATCH_ENGINE!A360="","",MATCH_ENGINE!I360)</f>
        <v/>
      </c>
      <c r="G360" s="16">
        <f>IF(MATCH_ENGINE!H360="","",IF(MATCH_ENGINE!F360="IN",MATCH_ENGINE!J360,""))</f>
        <v/>
      </c>
      <c r="H360" s="16">
        <f>IF(MATCH_ENGINE!H360="","",IF(MATCH_ENGINE!F360="OUT",MATCH_ENGINE!J360,""))</f>
        <v/>
      </c>
      <c r="I360" s="16">
        <f>IF(MATCH_ENGINE!H360="","",MATCH_ENGINE!J360)</f>
        <v/>
      </c>
      <c r="J360" s="12">
        <f>IF(MATCH_ENGINE!A360="","",MATCH_ENGINE!K360)</f>
        <v/>
      </c>
      <c r="K360" s="11">
        <f>IF(MATCH_ENGINE!A360="","",MATCH_ENGINE!L360)</f>
        <v/>
      </c>
      <c r="L360" s="17">
        <f>IF(MATCH_ENGINE!A360="","",MATCH_ENGINE!M360)</f>
        <v/>
      </c>
      <c r="M360" s="11">
        <f>IF(MATCH_ENGINE!A360="","",GL_CLEAN!F360)</f>
        <v/>
      </c>
      <c r="N360" s="11">
        <f>IF(MATCH_ENGINE!A360="","",GL_CLEAN!G360)</f>
        <v/>
      </c>
      <c r="O360" s="11">
        <f>IF(MATCH_ENGINE!H360="","",INDEX(BANK_CLEAN!$C$2:$C$1001,MATCH_ENGINE!H360))</f>
        <v/>
      </c>
      <c r="P360" s="11" t="inlineStr"/>
    </row>
    <row r="361">
      <c r="A361" s="11">
        <f>IF(MATCH_ENGINE!A361="","",MATCH_ENGINE!N361)</f>
        <v/>
      </c>
      <c r="B361" s="11">
        <f>IF(MATCH_ENGINE!A361="","",MATCH_ENGINE!C361)</f>
        <v/>
      </c>
      <c r="C361" s="10">
        <f>IF(MATCH_ENGINE!A361="","",MATCH_ENGINE!B361)</f>
        <v/>
      </c>
      <c r="D361" s="16">
        <f>IF(MATCH_ENGINE!A361="","",MATCH_ENGINE!D361)</f>
        <v/>
      </c>
      <c r="E361" s="11">
        <f>IF(MATCH_ENGINE!A361="","",MATCH_ENGINE!F361)</f>
        <v/>
      </c>
      <c r="F361" s="10">
        <f>IF(MATCH_ENGINE!A361="","",MATCH_ENGINE!I361)</f>
        <v/>
      </c>
      <c r="G361" s="16">
        <f>IF(MATCH_ENGINE!H361="","",IF(MATCH_ENGINE!F361="IN",MATCH_ENGINE!J361,""))</f>
        <v/>
      </c>
      <c r="H361" s="16">
        <f>IF(MATCH_ENGINE!H361="","",IF(MATCH_ENGINE!F361="OUT",MATCH_ENGINE!J361,""))</f>
        <v/>
      </c>
      <c r="I361" s="16">
        <f>IF(MATCH_ENGINE!H361="","",MATCH_ENGINE!J361)</f>
        <v/>
      </c>
      <c r="J361" s="12">
        <f>IF(MATCH_ENGINE!A361="","",MATCH_ENGINE!K361)</f>
        <v/>
      </c>
      <c r="K361" s="11">
        <f>IF(MATCH_ENGINE!A361="","",MATCH_ENGINE!L361)</f>
        <v/>
      </c>
      <c r="L361" s="17">
        <f>IF(MATCH_ENGINE!A361="","",MATCH_ENGINE!M361)</f>
        <v/>
      </c>
      <c r="M361" s="11">
        <f>IF(MATCH_ENGINE!A361="","",GL_CLEAN!F361)</f>
        <v/>
      </c>
      <c r="N361" s="11">
        <f>IF(MATCH_ENGINE!A361="","",GL_CLEAN!G361)</f>
        <v/>
      </c>
      <c r="O361" s="11">
        <f>IF(MATCH_ENGINE!H361="","",INDEX(BANK_CLEAN!$C$2:$C$1001,MATCH_ENGINE!H361))</f>
        <v/>
      </c>
      <c r="P361" s="11" t="inlineStr"/>
    </row>
    <row r="362">
      <c r="A362" s="11">
        <f>IF(MATCH_ENGINE!A362="","",MATCH_ENGINE!N362)</f>
        <v/>
      </c>
      <c r="B362" s="11">
        <f>IF(MATCH_ENGINE!A362="","",MATCH_ENGINE!C362)</f>
        <v/>
      </c>
      <c r="C362" s="10">
        <f>IF(MATCH_ENGINE!A362="","",MATCH_ENGINE!B362)</f>
        <v/>
      </c>
      <c r="D362" s="16">
        <f>IF(MATCH_ENGINE!A362="","",MATCH_ENGINE!D362)</f>
        <v/>
      </c>
      <c r="E362" s="11">
        <f>IF(MATCH_ENGINE!A362="","",MATCH_ENGINE!F362)</f>
        <v/>
      </c>
      <c r="F362" s="10">
        <f>IF(MATCH_ENGINE!A362="","",MATCH_ENGINE!I362)</f>
        <v/>
      </c>
      <c r="G362" s="16">
        <f>IF(MATCH_ENGINE!H362="","",IF(MATCH_ENGINE!F362="IN",MATCH_ENGINE!J362,""))</f>
        <v/>
      </c>
      <c r="H362" s="16">
        <f>IF(MATCH_ENGINE!H362="","",IF(MATCH_ENGINE!F362="OUT",MATCH_ENGINE!J362,""))</f>
        <v/>
      </c>
      <c r="I362" s="16">
        <f>IF(MATCH_ENGINE!H362="","",MATCH_ENGINE!J362)</f>
        <v/>
      </c>
      <c r="J362" s="12">
        <f>IF(MATCH_ENGINE!A362="","",MATCH_ENGINE!K362)</f>
        <v/>
      </c>
      <c r="K362" s="11">
        <f>IF(MATCH_ENGINE!A362="","",MATCH_ENGINE!L362)</f>
        <v/>
      </c>
      <c r="L362" s="17">
        <f>IF(MATCH_ENGINE!A362="","",MATCH_ENGINE!M362)</f>
        <v/>
      </c>
      <c r="M362" s="11">
        <f>IF(MATCH_ENGINE!A362="","",GL_CLEAN!F362)</f>
        <v/>
      </c>
      <c r="N362" s="11">
        <f>IF(MATCH_ENGINE!A362="","",GL_CLEAN!G362)</f>
        <v/>
      </c>
      <c r="O362" s="11">
        <f>IF(MATCH_ENGINE!H362="","",INDEX(BANK_CLEAN!$C$2:$C$1001,MATCH_ENGINE!H362))</f>
        <v/>
      </c>
      <c r="P362" s="11" t="inlineStr"/>
    </row>
    <row r="363">
      <c r="A363" s="11">
        <f>IF(MATCH_ENGINE!A363="","",MATCH_ENGINE!N363)</f>
        <v/>
      </c>
      <c r="B363" s="11">
        <f>IF(MATCH_ENGINE!A363="","",MATCH_ENGINE!C363)</f>
        <v/>
      </c>
      <c r="C363" s="10">
        <f>IF(MATCH_ENGINE!A363="","",MATCH_ENGINE!B363)</f>
        <v/>
      </c>
      <c r="D363" s="16">
        <f>IF(MATCH_ENGINE!A363="","",MATCH_ENGINE!D363)</f>
        <v/>
      </c>
      <c r="E363" s="11">
        <f>IF(MATCH_ENGINE!A363="","",MATCH_ENGINE!F363)</f>
        <v/>
      </c>
      <c r="F363" s="10">
        <f>IF(MATCH_ENGINE!A363="","",MATCH_ENGINE!I363)</f>
        <v/>
      </c>
      <c r="G363" s="16">
        <f>IF(MATCH_ENGINE!H363="","",IF(MATCH_ENGINE!F363="IN",MATCH_ENGINE!J363,""))</f>
        <v/>
      </c>
      <c r="H363" s="16">
        <f>IF(MATCH_ENGINE!H363="","",IF(MATCH_ENGINE!F363="OUT",MATCH_ENGINE!J363,""))</f>
        <v/>
      </c>
      <c r="I363" s="16">
        <f>IF(MATCH_ENGINE!H363="","",MATCH_ENGINE!J363)</f>
        <v/>
      </c>
      <c r="J363" s="12">
        <f>IF(MATCH_ENGINE!A363="","",MATCH_ENGINE!K363)</f>
        <v/>
      </c>
      <c r="K363" s="11">
        <f>IF(MATCH_ENGINE!A363="","",MATCH_ENGINE!L363)</f>
        <v/>
      </c>
      <c r="L363" s="17">
        <f>IF(MATCH_ENGINE!A363="","",MATCH_ENGINE!M363)</f>
        <v/>
      </c>
      <c r="M363" s="11">
        <f>IF(MATCH_ENGINE!A363="","",GL_CLEAN!F363)</f>
        <v/>
      </c>
      <c r="N363" s="11">
        <f>IF(MATCH_ENGINE!A363="","",GL_CLEAN!G363)</f>
        <v/>
      </c>
      <c r="O363" s="11">
        <f>IF(MATCH_ENGINE!H363="","",INDEX(BANK_CLEAN!$C$2:$C$1001,MATCH_ENGINE!H363))</f>
        <v/>
      </c>
      <c r="P363" s="11" t="inlineStr"/>
    </row>
    <row r="364">
      <c r="A364" s="11">
        <f>IF(MATCH_ENGINE!A364="","",MATCH_ENGINE!N364)</f>
        <v/>
      </c>
      <c r="B364" s="11">
        <f>IF(MATCH_ENGINE!A364="","",MATCH_ENGINE!C364)</f>
        <v/>
      </c>
      <c r="C364" s="10">
        <f>IF(MATCH_ENGINE!A364="","",MATCH_ENGINE!B364)</f>
        <v/>
      </c>
      <c r="D364" s="16">
        <f>IF(MATCH_ENGINE!A364="","",MATCH_ENGINE!D364)</f>
        <v/>
      </c>
      <c r="E364" s="11">
        <f>IF(MATCH_ENGINE!A364="","",MATCH_ENGINE!F364)</f>
        <v/>
      </c>
      <c r="F364" s="10">
        <f>IF(MATCH_ENGINE!A364="","",MATCH_ENGINE!I364)</f>
        <v/>
      </c>
      <c r="G364" s="16">
        <f>IF(MATCH_ENGINE!H364="","",IF(MATCH_ENGINE!F364="IN",MATCH_ENGINE!J364,""))</f>
        <v/>
      </c>
      <c r="H364" s="16">
        <f>IF(MATCH_ENGINE!H364="","",IF(MATCH_ENGINE!F364="OUT",MATCH_ENGINE!J364,""))</f>
        <v/>
      </c>
      <c r="I364" s="16">
        <f>IF(MATCH_ENGINE!H364="","",MATCH_ENGINE!J364)</f>
        <v/>
      </c>
      <c r="J364" s="12">
        <f>IF(MATCH_ENGINE!A364="","",MATCH_ENGINE!K364)</f>
        <v/>
      </c>
      <c r="K364" s="11">
        <f>IF(MATCH_ENGINE!A364="","",MATCH_ENGINE!L364)</f>
        <v/>
      </c>
      <c r="L364" s="17">
        <f>IF(MATCH_ENGINE!A364="","",MATCH_ENGINE!M364)</f>
        <v/>
      </c>
      <c r="M364" s="11">
        <f>IF(MATCH_ENGINE!A364="","",GL_CLEAN!F364)</f>
        <v/>
      </c>
      <c r="N364" s="11">
        <f>IF(MATCH_ENGINE!A364="","",GL_CLEAN!G364)</f>
        <v/>
      </c>
      <c r="O364" s="11">
        <f>IF(MATCH_ENGINE!H364="","",INDEX(BANK_CLEAN!$C$2:$C$1001,MATCH_ENGINE!H364))</f>
        <v/>
      </c>
      <c r="P364" s="11" t="inlineStr"/>
    </row>
    <row r="365">
      <c r="A365" s="11">
        <f>IF(MATCH_ENGINE!A365="","",MATCH_ENGINE!N365)</f>
        <v/>
      </c>
      <c r="B365" s="11">
        <f>IF(MATCH_ENGINE!A365="","",MATCH_ENGINE!C365)</f>
        <v/>
      </c>
      <c r="C365" s="10">
        <f>IF(MATCH_ENGINE!A365="","",MATCH_ENGINE!B365)</f>
        <v/>
      </c>
      <c r="D365" s="16">
        <f>IF(MATCH_ENGINE!A365="","",MATCH_ENGINE!D365)</f>
        <v/>
      </c>
      <c r="E365" s="11">
        <f>IF(MATCH_ENGINE!A365="","",MATCH_ENGINE!F365)</f>
        <v/>
      </c>
      <c r="F365" s="10">
        <f>IF(MATCH_ENGINE!A365="","",MATCH_ENGINE!I365)</f>
        <v/>
      </c>
      <c r="G365" s="16">
        <f>IF(MATCH_ENGINE!H365="","",IF(MATCH_ENGINE!F365="IN",MATCH_ENGINE!J365,""))</f>
        <v/>
      </c>
      <c r="H365" s="16">
        <f>IF(MATCH_ENGINE!H365="","",IF(MATCH_ENGINE!F365="OUT",MATCH_ENGINE!J365,""))</f>
        <v/>
      </c>
      <c r="I365" s="16">
        <f>IF(MATCH_ENGINE!H365="","",MATCH_ENGINE!J365)</f>
        <v/>
      </c>
      <c r="J365" s="12">
        <f>IF(MATCH_ENGINE!A365="","",MATCH_ENGINE!K365)</f>
        <v/>
      </c>
      <c r="K365" s="11">
        <f>IF(MATCH_ENGINE!A365="","",MATCH_ENGINE!L365)</f>
        <v/>
      </c>
      <c r="L365" s="17">
        <f>IF(MATCH_ENGINE!A365="","",MATCH_ENGINE!M365)</f>
        <v/>
      </c>
      <c r="M365" s="11">
        <f>IF(MATCH_ENGINE!A365="","",GL_CLEAN!F365)</f>
        <v/>
      </c>
      <c r="N365" s="11">
        <f>IF(MATCH_ENGINE!A365="","",GL_CLEAN!G365)</f>
        <v/>
      </c>
      <c r="O365" s="11">
        <f>IF(MATCH_ENGINE!H365="","",INDEX(BANK_CLEAN!$C$2:$C$1001,MATCH_ENGINE!H365))</f>
        <v/>
      </c>
      <c r="P365" s="11" t="inlineStr"/>
    </row>
    <row r="366">
      <c r="A366" s="11">
        <f>IF(MATCH_ENGINE!A366="","",MATCH_ENGINE!N366)</f>
        <v/>
      </c>
      <c r="B366" s="11">
        <f>IF(MATCH_ENGINE!A366="","",MATCH_ENGINE!C366)</f>
        <v/>
      </c>
      <c r="C366" s="10">
        <f>IF(MATCH_ENGINE!A366="","",MATCH_ENGINE!B366)</f>
        <v/>
      </c>
      <c r="D366" s="16">
        <f>IF(MATCH_ENGINE!A366="","",MATCH_ENGINE!D366)</f>
        <v/>
      </c>
      <c r="E366" s="11">
        <f>IF(MATCH_ENGINE!A366="","",MATCH_ENGINE!F366)</f>
        <v/>
      </c>
      <c r="F366" s="10">
        <f>IF(MATCH_ENGINE!A366="","",MATCH_ENGINE!I366)</f>
        <v/>
      </c>
      <c r="G366" s="16">
        <f>IF(MATCH_ENGINE!H366="","",IF(MATCH_ENGINE!F366="IN",MATCH_ENGINE!J366,""))</f>
        <v/>
      </c>
      <c r="H366" s="16">
        <f>IF(MATCH_ENGINE!H366="","",IF(MATCH_ENGINE!F366="OUT",MATCH_ENGINE!J366,""))</f>
        <v/>
      </c>
      <c r="I366" s="16">
        <f>IF(MATCH_ENGINE!H366="","",MATCH_ENGINE!J366)</f>
        <v/>
      </c>
      <c r="J366" s="12">
        <f>IF(MATCH_ENGINE!A366="","",MATCH_ENGINE!K366)</f>
        <v/>
      </c>
      <c r="K366" s="11">
        <f>IF(MATCH_ENGINE!A366="","",MATCH_ENGINE!L366)</f>
        <v/>
      </c>
      <c r="L366" s="17">
        <f>IF(MATCH_ENGINE!A366="","",MATCH_ENGINE!M366)</f>
        <v/>
      </c>
      <c r="M366" s="11">
        <f>IF(MATCH_ENGINE!A366="","",GL_CLEAN!F366)</f>
        <v/>
      </c>
      <c r="N366" s="11">
        <f>IF(MATCH_ENGINE!A366="","",GL_CLEAN!G366)</f>
        <v/>
      </c>
      <c r="O366" s="11">
        <f>IF(MATCH_ENGINE!H366="","",INDEX(BANK_CLEAN!$C$2:$C$1001,MATCH_ENGINE!H366))</f>
        <v/>
      </c>
      <c r="P366" s="11" t="inlineStr"/>
    </row>
    <row r="367">
      <c r="A367" s="11">
        <f>IF(MATCH_ENGINE!A367="","",MATCH_ENGINE!N367)</f>
        <v/>
      </c>
      <c r="B367" s="11">
        <f>IF(MATCH_ENGINE!A367="","",MATCH_ENGINE!C367)</f>
        <v/>
      </c>
      <c r="C367" s="10">
        <f>IF(MATCH_ENGINE!A367="","",MATCH_ENGINE!B367)</f>
        <v/>
      </c>
      <c r="D367" s="16">
        <f>IF(MATCH_ENGINE!A367="","",MATCH_ENGINE!D367)</f>
        <v/>
      </c>
      <c r="E367" s="11">
        <f>IF(MATCH_ENGINE!A367="","",MATCH_ENGINE!F367)</f>
        <v/>
      </c>
      <c r="F367" s="10">
        <f>IF(MATCH_ENGINE!A367="","",MATCH_ENGINE!I367)</f>
        <v/>
      </c>
      <c r="G367" s="16">
        <f>IF(MATCH_ENGINE!H367="","",IF(MATCH_ENGINE!F367="IN",MATCH_ENGINE!J367,""))</f>
        <v/>
      </c>
      <c r="H367" s="16">
        <f>IF(MATCH_ENGINE!H367="","",IF(MATCH_ENGINE!F367="OUT",MATCH_ENGINE!J367,""))</f>
        <v/>
      </c>
      <c r="I367" s="16">
        <f>IF(MATCH_ENGINE!H367="","",MATCH_ENGINE!J367)</f>
        <v/>
      </c>
      <c r="J367" s="12">
        <f>IF(MATCH_ENGINE!A367="","",MATCH_ENGINE!K367)</f>
        <v/>
      </c>
      <c r="K367" s="11">
        <f>IF(MATCH_ENGINE!A367="","",MATCH_ENGINE!L367)</f>
        <v/>
      </c>
      <c r="L367" s="17">
        <f>IF(MATCH_ENGINE!A367="","",MATCH_ENGINE!M367)</f>
        <v/>
      </c>
      <c r="M367" s="11">
        <f>IF(MATCH_ENGINE!A367="","",GL_CLEAN!F367)</f>
        <v/>
      </c>
      <c r="N367" s="11">
        <f>IF(MATCH_ENGINE!A367="","",GL_CLEAN!G367)</f>
        <v/>
      </c>
      <c r="O367" s="11">
        <f>IF(MATCH_ENGINE!H367="","",INDEX(BANK_CLEAN!$C$2:$C$1001,MATCH_ENGINE!H367))</f>
        <v/>
      </c>
      <c r="P367" s="11" t="inlineStr"/>
    </row>
    <row r="368">
      <c r="A368" s="11">
        <f>IF(MATCH_ENGINE!A368="","",MATCH_ENGINE!N368)</f>
        <v/>
      </c>
      <c r="B368" s="11">
        <f>IF(MATCH_ENGINE!A368="","",MATCH_ENGINE!C368)</f>
        <v/>
      </c>
      <c r="C368" s="10">
        <f>IF(MATCH_ENGINE!A368="","",MATCH_ENGINE!B368)</f>
        <v/>
      </c>
      <c r="D368" s="16">
        <f>IF(MATCH_ENGINE!A368="","",MATCH_ENGINE!D368)</f>
        <v/>
      </c>
      <c r="E368" s="11">
        <f>IF(MATCH_ENGINE!A368="","",MATCH_ENGINE!F368)</f>
        <v/>
      </c>
      <c r="F368" s="10">
        <f>IF(MATCH_ENGINE!A368="","",MATCH_ENGINE!I368)</f>
        <v/>
      </c>
      <c r="G368" s="16">
        <f>IF(MATCH_ENGINE!H368="","",IF(MATCH_ENGINE!F368="IN",MATCH_ENGINE!J368,""))</f>
        <v/>
      </c>
      <c r="H368" s="16">
        <f>IF(MATCH_ENGINE!H368="","",IF(MATCH_ENGINE!F368="OUT",MATCH_ENGINE!J368,""))</f>
        <v/>
      </c>
      <c r="I368" s="16">
        <f>IF(MATCH_ENGINE!H368="","",MATCH_ENGINE!J368)</f>
        <v/>
      </c>
      <c r="J368" s="12">
        <f>IF(MATCH_ENGINE!A368="","",MATCH_ENGINE!K368)</f>
        <v/>
      </c>
      <c r="K368" s="11">
        <f>IF(MATCH_ENGINE!A368="","",MATCH_ENGINE!L368)</f>
        <v/>
      </c>
      <c r="L368" s="17">
        <f>IF(MATCH_ENGINE!A368="","",MATCH_ENGINE!M368)</f>
        <v/>
      </c>
      <c r="M368" s="11">
        <f>IF(MATCH_ENGINE!A368="","",GL_CLEAN!F368)</f>
        <v/>
      </c>
      <c r="N368" s="11">
        <f>IF(MATCH_ENGINE!A368="","",GL_CLEAN!G368)</f>
        <v/>
      </c>
      <c r="O368" s="11">
        <f>IF(MATCH_ENGINE!H368="","",INDEX(BANK_CLEAN!$C$2:$C$1001,MATCH_ENGINE!H368))</f>
        <v/>
      </c>
      <c r="P368" s="11" t="inlineStr"/>
    </row>
    <row r="369">
      <c r="A369" s="11">
        <f>IF(MATCH_ENGINE!A369="","",MATCH_ENGINE!N369)</f>
        <v/>
      </c>
      <c r="B369" s="11">
        <f>IF(MATCH_ENGINE!A369="","",MATCH_ENGINE!C369)</f>
        <v/>
      </c>
      <c r="C369" s="10">
        <f>IF(MATCH_ENGINE!A369="","",MATCH_ENGINE!B369)</f>
        <v/>
      </c>
      <c r="D369" s="16">
        <f>IF(MATCH_ENGINE!A369="","",MATCH_ENGINE!D369)</f>
        <v/>
      </c>
      <c r="E369" s="11">
        <f>IF(MATCH_ENGINE!A369="","",MATCH_ENGINE!F369)</f>
        <v/>
      </c>
      <c r="F369" s="10">
        <f>IF(MATCH_ENGINE!A369="","",MATCH_ENGINE!I369)</f>
        <v/>
      </c>
      <c r="G369" s="16">
        <f>IF(MATCH_ENGINE!H369="","",IF(MATCH_ENGINE!F369="IN",MATCH_ENGINE!J369,""))</f>
        <v/>
      </c>
      <c r="H369" s="16">
        <f>IF(MATCH_ENGINE!H369="","",IF(MATCH_ENGINE!F369="OUT",MATCH_ENGINE!J369,""))</f>
        <v/>
      </c>
      <c r="I369" s="16">
        <f>IF(MATCH_ENGINE!H369="","",MATCH_ENGINE!J369)</f>
        <v/>
      </c>
      <c r="J369" s="12">
        <f>IF(MATCH_ENGINE!A369="","",MATCH_ENGINE!K369)</f>
        <v/>
      </c>
      <c r="K369" s="11">
        <f>IF(MATCH_ENGINE!A369="","",MATCH_ENGINE!L369)</f>
        <v/>
      </c>
      <c r="L369" s="17">
        <f>IF(MATCH_ENGINE!A369="","",MATCH_ENGINE!M369)</f>
        <v/>
      </c>
      <c r="M369" s="11">
        <f>IF(MATCH_ENGINE!A369="","",GL_CLEAN!F369)</f>
        <v/>
      </c>
      <c r="N369" s="11">
        <f>IF(MATCH_ENGINE!A369="","",GL_CLEAN!G369)</f>
        <v/>
      </c>
      <c r="O369" s="11">
        <f>IF(MATCH_ENGINE!H369="","",INDEX(BANK_CLEAN!$C$2:$C$1001,MATCH_ENGINE!H369))</f>
        <v/>
      </c>
      <c r="P369" s="11" t="inlineStr"/>
    </row>
    <row r="370">
      <c r="A370" s="11">
        <f>IF(MATCH_ENGINE!A370="","",MATCH_ENGINE!N370)</f>
        <v/>
      </c>
      <c r="B370" s="11">
        <f>IF(MATCH_ENGINE!A370="","",MATCH_ENGINE!C370)</f>
        <v/>
      </c>
      <c r="C370" s="10">
        <f>IF(MATCH_ENGINE!A370="","",MATCH_ENGINE!B370)</f>
        <v/>
      </c>
      <c r="D370" s="16">
        <f>IF(MATCH_ENGINE!A370="","",MATCH_ENGINE!D370)</f>
        <v/>
      </c>
      <c r="E370" s="11">
        <f>IF(MATCH_ENGINE!A370="","",MATCH_ENGINE!F370)</f>
        <v/>
      </c>
      <c r="F370" s="10">
        <f>IF(MATCH_ENGINE!A370="","",MATCH_ENGINE!I370)</f>
        <v/>
      </c>
      <c r="G370" s="16">
        <f>IF(MATCH_ENGINE!H370="","",IF(MATCH_ENGINE!F370="IN",MATCH_ENGINE!J370,""))</f>
        <v/>
      </c>
      <c r="H370" s="16">
        <f>IF(MATCH_ENGINE!H370="","",IF(MATCH_ENGINE!F370="OUT",MATCH_ENGINE!J370,""))</f>
        <v/>
      </c>
      <c r="I370" s="16">
        <f>IF(MATCH_ENGINE!H370="","",MATCH_ENGINE!J370)</f>
        <v/>
      </c>
      <c r="J370" s="12">
        <f>IF(MATCH_ENGINE!A370="","",MATCH_ENGINE!K370)</f>
        <v/>
      </c>
      <c r="K370" s="11">
        <f>IF(MATCH_ENGINE!A370="","",MATCH_ENGINE!L370)</f>
        <v/>
      </c>
      <c r="L370" s="17">
        <f>IF(MATCH_ENGINE!A370="","",MATCH_ENGINE!M370)</f>
        <v/>
      </c>
      <c r="M370" s="11">
        <f>IF(MATCH_ENGINE!A370="","",GL_CLEAN!F370)</f>
        <v/>
      </c>
      <c r="N370" s="11">
        <f>IF(MATCH_ENGINE!A370="","",GL_CLEAN!G370)</f>
        <v/>
      </c>
      <c r="O370" s="11">
        <f>IF(MATCH_ENGINE!H370="","",INDEX(BANK_CLEAN!$C$2:$C$1001,MATCH_ENGINE!H370))</f>
        <v/>
      </c>
      <c r="P370" s="11" t="inlineStr"/>
    </row>
    <row r="371">
      <c r="A371" s="11">
        <f>IF(MATCH_ENGINE!A371="","",MATCH_ENGINE!N371)</f>
        <v/>
      </c>
      <c r="B371" s="11">
        <f>IF(MATCH_ENGINE!A371="","",MATCH_ENGINE!C371)</f>
        <v/>
      </c>
      <c r="C371" s="10">
        <f>IF(MATCH_ENGINE!A371="","",MATCH_ENGINE!B371)</f>
        <v/>
      </c>
      <c r="D371" s="16">
        <f>IF(MATCH_ENGINE!A371="","",MATCH_ENGINE!D371)</f>
        <v/>
      </c>
      <c r="E371" s="11">
        <f>IF(MATCH_ENGINE!A371="","",MATCH_ENGINE!F371)</f>
        <v/>
      </c>
      <c r="F371" s="10">
        <f>IF(MATCH_ENGINE!A371="","",MATCH_ENGINE!I371)</f>
        <v/>
      </c>
      <c r="G371" s="16">
        <f>IF(MATCH_ENGINE!H371="","",IF(MATCH_ENGINE!F371="IN",MATCH_ENGINE!J371,""))</f>
        <v/>
      </c>
      <c r="H371" s="16">
        <f>IF(MATCH_ENGINE!H371="","",IF(MATCH_ENGINE!F371="OUT",MATCH_ENGINE!J371,""))</f>
        <v/>
      </c>
      <c r="I371" s="16">
        <f>IF(MATCH_ENGINE!H371="","",MATCH_ENGINE!J371)</f>
        <v/>
      </c>
      <c r="J371" s="12">
        <f>IF(MATCH_ENGINE!A371="","",MATCH_ENGINE!K371)</f>
        <v/>
      </c>
      <c r="K371" s="11">
        <f>IF(MATCH_ENGINE!A371="","",MATCH_ENGINE!L371)</f>
        <v/>
      </c>
      <c r="L371" s="17">
        <f>IF(MATCH_ENGINE!A371="","",MATCH_ENGINE!M371)</f>
        <v/>
      </c>
      <c r="M371" s="11">
        <f>IF(MATCH_ENGINE!A371="","",GL_CLEAN!F371)</f>
        <v/>
      </c>
      <c r="N371" s="11">
        <f>IF(MATCH_ENGINE!A371="","",GL_CLEAN!G371)</f>
        <v/>
      </c>
      <c r="O371" s="11">
        <f>IF(MATCH_ENGINE!H371="","",INDEX(BANK_CLEAN!$C$2:$C$1001,MATCH_ENGINE!H371))</f>
        <v/>
      </c>
      <c r="P371" s="11" t="inlineStr"/>
    </row>
    <row r="372">
      <c r="A372" s="11">
        <f>IF(MATCH_ENGINE!A372="","",MATCH_ENGINE!N372)</f>
        <v/>
      </c>
      <c r="B372" s="11">
        <f>IF(MATCH_ENGINE!A372="","",MATCH_ENGINE!C372)</f>
        <v/>
      </c>
      <c r="C372" s="10">
        <f>IF(MATCH_ENGINE!A372="","",MATCH_ENGINE!B372)</f>
        <v/>
      </c>
      <c r="D372" s="16">
        <f>IF(MATCH_ENGINE!A372="","",MATCH_ENGINE!D372)</f>
        <v/>
      </c>
      <c r="E372" s="11">
        <f>IF(MATCH_ENGINE!A372="","",MATCH_ENGINE!F372)</f>
        <v/>
      </c>
      <c r="F372" s="10">
        <f>IF(MATCH_ENGINE!A372="","",MATCH_ENGINE!I372)</f>
        <v/>
      </c>
      <c r="G372" s="16">
        <f>IF(MATCH_ENGINE!H372="","",IF(MATCH_ENGINE!F372="IN",MATCH_ENGINE!J372,""))</f>
        <v/>
      </c>
      <c r="H372" s="16">
        <f>IF(MATCH_ENGINE!H372="","",IF(MATCH_ENGINE!F372="OUT",MATCH_ENGINE!J372,""))</f>
        <v/>
      </c>
      <c r="I372" s="16">
        <f>IF(MATCH_ENGINE!H372="","",MATCH_ENGINE!J372)</f>
        <v/>
      </c>
      <c r="J372" s="12">
        <f>IF(MATCH_ENGINE!A372="","",MATCH_ENGINE!K372)</f>
        <v/>
      </c>
      <c r="K372" s="11">
        <f>IF(MATCH_ENGINE!A372="","",MATCH_ENGINE!L372)</f>
        <v/>
      </c>
      <c r="L372" s="17">
        <f>IF(MATCH_ENGINE!A372="","",MATCH_ENGINE!M372)</f>
        <v/>
      </c>
      <c r="M372" s="11">
        <f>IF(MATCH_ENGINE!A372="","",GL_CLEAN!F372)</f>
        <v/>
      </c>
      <c r="N372" s="11">
        <f>IF(MATCH_ENGINE!A372="","",GL_CLEAN!G372)</f>
        <v/>
      </c>
      <c r="O372" s="11">
        <f>IF(MATCH_ENGINE!H372="","",INDEX(BANK_CLEAN!$C$2:$C$1001,MATCH_ENGINE!H372))</f>
        <v/>
      </c>
      <c r="P372" s="11" t="inlineStr"/>
    </row>
    <row r="373">
      <c r="A373" s="11">
        <f>IF(MATCH_ENGINE!A373="","",MATCH_ENGINE!N373)</f>
        <v/>
      </c>
      <c r="B373" s="11">
        <f>IF(MATCH_ENGINE!A373="","",MATCH_ENGINE!C373)</f>
        <v/>
      </c>
      <c r="C373" s="10">
        <f>IF(MATCH_ENGINE!A373="","",MATCH_ENGINE!B373)</f>
        <v/>
      </c>
      <c r="D373" s="16">
        <f>IF(MATCH_ENGINE!A373="","",MATCH_ENGINE!D373)</f>
        <v/>
      </c>
      <c r="E373" s="11">
        <f>IF(MATCH_ENGINE!A373="","",MATCH_ENGINE!F373)</f>
        <v/>
      </c>
      <c r="F373" s="10">
        <f>IF(MATCH_ENGINE!A373="","",MATCH_ENGINE!I373)</f>
        <v/>
      </c>
      <c r="G373" s="16">
        <f>IF(MATCH_ENGINE!H373="","",IF(MATCH_ENGINE!F373="IN",MATCH_ENGINE!J373,""))</f>
        <v/>
      </c>
      <c r="H373" s="16">
        <f>IF(MATCH_ENGINE!H373="","",IF(MATCH_ENGINE!F373="OUT",MATCH_ENGINE!J373,""))</f>
        <v/>
      </c>
      <c r="I373" s="16">
        <f>IF(MATCH_ENGINE!H373="","",MATCH_ENGINE!J373)</f>
        <v/>
      </c>
      <c r="J373" s="12">
        <f>IF(MATCH_ENGINE!A373="","",MATCH_ENGINE!K373)</f>
        <v/>
      </c>
      <c r="K373" s="11">
        <f>IF(MATCH_ENGINE!A373="","",MATCH_ENGINE!L373)</f>
        <v/>
      </c>
      <c r="L373" s="17">
        <f>IF(MATCH_ENGINE!A373="","",MATCH_ENGINE!M373)</f>
        <v/>
      </c>
      <c r="M373" s="11">
        <f>IF(MATCH_ENGINE!A373="","",GL_CLEAN!F373)</f>
        <v/>
      </c>
      <c r="N373" s="11">
        <f>IF(MATCH_ENGINE!A373="","",GL_CLEAN!G373)</f>
        <v/>
      </c>
      <c r="O373" s="11">
        <f>IF(MATCH_ENGINE!H373="","",INDEX(BANK_CLEAN!$C$2:$C$1001,MATCH_ENGINE!H373))</f>
        <v/>
      </c>
      <c r="P373" s="11" t="inlineStr"/>
    </row>
    <row r="374">
      <c r="A374" s="11">
        <f>IF(MATCH_ENGINE!A374="","",MATCH_ENGINE!N374)</f>
        <v/>
      </c>
      <c r="B374" s="11">
        <f>IF(MATCH_ENGINE!A374="","",MATCH_ENGINE!C374)</f>
        <v/>
      </c>
      <c r="C374" s="10">
        <f>IF(MATCH_ENGINE!A374="","",MATCH_ENGINE!B374)</f>
        <v/>
      </c>
      <c r="D374" s="16">
        <f>IF(MATCH_ENGINE!A374="","",MATCH_ENGINE!D374)</f>
        <v/>
      </c>
      <c r="E374" s="11">
        <f>IF(MATCH_ENGINE!A374="","",MATCH_ENGINE!F374)</f>
        <v/>
      </c>
      <c r="F374" s="10">
        <f>IF(MATCH_ENGINE!A374="","",MATCH_ENGINE!I374)</f>
        <v/>
      </c>
      <c r="G374" s="16">
        <f>IF(MATCH_ENGINE!H374="","",IF(MATCH_ENGINE!F374="IN",MATCH_ENGINE!J374,""))</f>
        <v/>
      </c>
      <c r="H374" s="16">
        <f>IF(MATCH_ENGINE!H374="","",IF(MATCH_ENGINE!F374="OUT",MATCH_ENGINE!J374,""))</f>
        <v/>
      </c>
      <c r="I374" s="16">
        <f>IF(MATCH_ENGINE!H374="","",MATCH_ENGINE!J374)</f>
        <v/>
      </c>
      <c r="J374" s="12">
        <f>IF(MATCH_ENGINE!A374="","",MATCH_ENGINE!K374)</f>
        <v/>
      </c>
      <c r="K374" s="11">
        <f>IF(MATCH_ENGINE!A374="","",MATCH_ENGINE!L374)</f>
        <v/>
      </c>
      <c r="L374" s="17">
        <f>IF(MATCH_ENGINE!A374="","",MATCH_ENGINE!M374)</f>
        <v/>
      </c>
      <c r="M374" s="11">
        <f>IF(MATCH_ENGINE!A374="","",GL_CLEAN!F374)</f>
        <v/>
      </c>
      <c r="N374" s="11">
        <f>IF(MATCH_ENGINE!A374="","",GL_CLEAN!G374)</f>
        <v/>
      </c>
      <c r="O374" s="11">
        <f>IF(MATCH_ENGINE!H374="","",INDEX(BANK_CLEAN!$C$2:$C$1001,MATCH_ENGINE!H374))</f>
        <v/>
      </c>
      <c r="P374" s="11" t="inlineStr"/>
    </row>
    <row r="375">
      <c r="A375" s="11">
        <f>IF(MATCH_ENGINE!A375="","",MATCH_ENGINE!N375)</f>
        <v/>
      </c>
      <c r="B375" s="11">
        <f>IF(MATCH_ENGINE!A375="","",MATCH_ENGINE!C375)</f>
        <v/>
      </c>
      <c r="C375" s="10">
        <f>IF(MATCH_ENGINE!A375="","",MATCH_ENGINE!B375)</f>
        <v/>
      </c>
      <c r="D375" s="16">
        <f>IF(MATCH_ENGINE!A375="","",MATCH_ENGINE!D375)</f>
        <v/>
      </c>
      <c r="E375" s="11">
        <f>IF(MATCH_ENGINE!A375="","",MATCH_ENGINE!F375)</f>
        <v/>
      </c>
      <c r="F375" s="10">
        <f>IF(MATCH_ENGINE!A375="","",MATCH_ENGINE!I375)</f>
        <v/>
      </c>
      <c r="G375" s="16">
        <f>IF(MATCH_ENGINE!H375="","",IF(MATCH_ENGINE!F375="IN",MATCH_ENGINE!J375,""))</f>
        <v/>
      </c>
      <c r="H375" s="16">
        <f>IF(MATCH_ENGINE!H375="","",IF(MATCH_ENGINE!F375="OUT",MATCH_ENGINE!J375,""))</f>
        <v/>
      </c>
      <c r="I375" s="16">
        <f>IF(MATCH_ENGINE!H375="","",MATCH_ENGINE!J375)</f>
        <v/>
      </c>
      <c r="J375" s="12">
        <f>IF(MATCH_ENGINE!A375="","",MATCH_ENGINE!K375)</f>
        <v/>
      </c>
      <c r="K375" s="11">
        <f>IF(MATCH_ENGINE!A375="","",MATCH_ENGINE!L375)</f>
        <v/>
      </c>
      <c r="L375" s="17">
        <f>IF(MATCH_ENGINE!A375="","",MATCH_ENGINE!M375)</f>
        <v/>
      </c>
      <c r="M375" s="11">
        <f>IF(MATCH_ENGINE!A375="","",GL_CLEAN!F375)</f>
        <v/>
      </c>
      <c r="N375" s="11">
        <f>IF(MATCH_ENGINE!A375="","",GL_CLEAN!G375)</f>
        <v/>
      </c>
      <c r="O375" s="11">
        <f>IF(MATCH_ENGINE!H375="","",INDEX(BANK_CLEAN!$C$2:$C$1001,MATCH_ENGINE!H375))</f>
        <v/>
      </c>
      <c r="P375" s="11" t="inlineStr"/>
    </row>
    <row r="376">
      <c r="A376" s="11">
        <f>IF(MATCH_ENGINE!A376="","",MATCH_ENGINE!N376)</f>
        <v/>
      </c>
      <c r="B376" s="11">
        <f>IF(MATCH_ENGINE!A376="","",MATCH_ENGINE!C376)</f>
        <v/>
      </c>
      <c r="C376" s="10">
        <f>IF(MATCH_ENGINE!A376="","",MATCH_ENGINE!B376)</f>
        <v/>
      </c>
      <c r="D376" s="16">
        <f>IF(MATCH_ENGINE!A376="","",MATCH_ENGINE!D376)</f>
        <v/>
      </c>
      <c r="E376" s="11">
        <f>IF(MATCH_ENGINE!A376="","",MATCH_ENGINE!F376)</f>
        <v/>
      </c>
      <c r="F376" s="10">
        <f>IF(MATCH_ENGINE!A376="","",MATCH_ENGINE!I376)</f>
        <v/>
      </c>
      <c r="G376" s="16">
        <f>IF(MATCH_ENGINE!H376="","",IF(MATCH_ENGINE!F376="IN",MATCH_ENGINE!J376,""))</f>
        <v/>
      </c>
      <c r="H376" s="16">
        <f>IF(MATCH_ENGINE!H376="","",IF(MATCH_ENGINE!F376="OUT",MATCH_ENGINE!J376,""))</f>
        <v/>
      </c>
      <c r="I376" s="16">
        <f>IF(MATCH_ENGINE!H376="","",MATCH_ENGINE!J376)</f>
        <v/>
      </c>
      <c r="J376" s="12">
        <f>IF(MATCH_ENGINE!A376="","",MATCH_ENGINE!K376)</f>
        <v/>
      </c>
      <c r="K376" s="11">
        <f>IF(MATCH_ENGINE!A376="","",MATCH_ENGINE!L376)</f>
        <v/>
      </c>
      <c r="L376" s="17">
        <f>IF(MATCH_ENGINE!A376="","",MATCH_ENGINE!M376)</f>
        <v/>
      </c>
      <c r="M376" s="11">
        <f>IF(MATCH_ENGINE!A376="","",GL_CLEAN!F376)</f>
        <v/>
      </c>
      <c r="N376" s="11">
        <f>IF(MATCH_ENGINE!A376="","",GL_CLEAN!G376)</f>
        <v/>
      </c>
      <c r="O376" s="11">
        <f>IF(MATCH_ENGINE!H376="","",INDEX(BANK_CLEAN!$C$2:$C$1001,MATCH_ENGINE!H376))</f>
        <v/>
      </c>
      <c r="P376" s="11" t="inlineStr"/>
    </row>
    <row r="377">
      <c r="A377" s="11">
        <f>IF(MATCH_ENGINE!A377="","",MATCH_ENGINE!N377)</f>
        <v/>
      </c>
      <c r="B377" s="11">
        <f>IF(MATCH_ENGINE!A377="","",MATCH_ENGINE!C377)</f>
        <v/>
      </c>
      <c r="C377" s="10">
        <f>IF(MATCH_ENGINE!A377="","",MATCH_ENGINE!B377)</f>
        <v/>
      </c>
      <c r="D377" s="16">
        <f>IF(MATCH_ENGINE!A377="","",MATCH_ENGINE!D377)</f>
        <v/>
      </c>
      <c r="E377" s="11">
        <f>IF(MATCH_ENGINE!A377="","",MATCH_ENGINE!F377)</f>
        <v/>
      </c>
      <c r="F377" s="10">
        <f>IF(MATCH_ENGINE!A377="","",MATCH_ENGINE!I377)</f>
        <v/>
      </c>
      <c r="G377" s="16">
        <f>IF(MATCH_ENGINE!H377="","",IF(MATCH_ENGINE!F377="IN",MATCH_ENGINE!J377,""))</f>
        <v/>
      </c>
      <c r="H377" s="16">
        <f>IF(MATCH_ENGINE!H377="","",IF(MATCH_ENGINE!F377="OUT",MATCH_ENGINE!J377,""))</f>
        <v/>
      </c>
      <c r="I377" s="16">
        <f>IF(MATCH_ENGINE!H377="","",MATCH_ENGINE!J377)</f>
        <v/>
      </c>
      <c r="J377" s="12">
        <f>IF(MATCH_ENGINE!A377="","",MATCH_ENGINE!K377)</f>
        <v/>
      </c>
      <c r="K377" s="11">
        <f>IF(MATCH_ENGINE!A377="","",MATCH_ENGINE!L377)</f>
        <v/>
      </c>
      <c r="L377" s="17">
        <f>IF(MATCH_ENGINE!A377="","",MATCH_ENGINE!M377)</f>
        <v/>
      </c>
      <c r="M377" s="11">
        <f>IF(MATCH_ENGINE!A377="","",GL_CLEAN!F377)</f>
        <v/>
      </c>
      <c r="N377" s="11">
        <f>IF(MATCH_ENGINE!A377="","",GL_CLEAN!G377)</f>
        <v/>
      </c>
      <c r="O377" s="11">
        <f>IF(MATCH_ENGINE!H377="","",INDEX(BANK_CLEAN!$C$2:$C$1001,MATCH_ENGINE!H377))</f>
        <v/>
      </c>
      <c r="P377" s="11" t="inlineStr"/>
    </row>
    <row r="378">
      <c r="A378" s="11">
        <f>IF(MATCH_ENGINE!A378="","",MATCH_ENGINE!N378)</f>
        <v/>
      </c>
      <c r="B378" s="11">
        <f>IF(MATCH_ENGINE!A378="","",MATCH_ENGINE!C378)</f>
        <v/>
      </c>
      <c r="C378" s="10">
        <f>IF(MATCH_ENGINE!A378="","",MATCH_ENGINE!B378)</f>
        <v/>
      </c>
      <c r="D378" s="16">
        <f>IF(MATCH_ENGINE!A378="","",MATCH_ENGINE!D378)</f>
        <v/>
      </c>
      <c r="E378" s="11">
        <f>IF(MATCH_ENGINE!A378="","",MATCH_ENGINE!F378)</f>
        <v/>
      </c>
      <c r="F378" s="10">
        <f>IF(MATCH_ENGINE!A378="","",MATCH_ENGINE!I378)</f>
        <v/>
      </c>
      <c r="G378" s="16">
        <f>IF(MATCH_ENGINE!H378="","",IF(MATCH_ENGINE!F378="IN",MATCH_ENGINE!J378,""))</f>
        <v/>
      </c>
      <c r="H378" s="16">
        <f>IF(MATCH_ENGINE!H378="","",IF(MATCH_ENGINE!F378="OUT",MATCH_ENGINE!J378,""))</f>
        <v/>
      </c>
      <c r="I378" s="16">
        <f>IF(MATCH_ENGINE!H378="","",MATCH_ENGINE!J378)</f>
        <v/>
      </c>
      <c r="J378" s="12">
        <f>IF(MATCH_ENGINE!A378="","",MATCH_ENGINE!K378)</f>
        <v/>
      </c>
      <c r="K378" s="11">
        <f>IF(MATCH_ENGINE!A378="","",MATCH_ENGINE!L378)</f>
        <v/>
      </c>
      <c r="L378" s="17">
        <f>IF(MATCH_ENGINE!A378="","",MATCH_ENGINE!M378)</f>
        <v/>
      </c>
      <c r="M378" s="11">
        <f>IF(MATCH_ENGINE!A378="","",GL_CLEAN!F378)</f>
        <v/>
      </c>
      <c r="N378" s="11">
        <f>IF(MATCH_ENGINE!A378="","",GL_CLEAN!G378)</f>
        <v/>
      </c>
      <c r="O378" s="11">
        <f>IF(MATCH_ENGINE!H378="","",INDEX(BANK_CLEAN!$C$2:$C$1001,MATCH_ENGINE!H378))</f>
        <v/>
      </c>
      <c r="P378" s="11" t="inlineStr"/>
    </row>
    <row r="379">
      <c r="A379" s="11">
        <f>IF(MATCH_ENGINE!A379="","",MATCH_ENGINE!N379)</f>
        <v/>
      </c>
      <c r="B379" s="11">
        <f>IF(MATCH_ENGINE!A379="","",MATCH_ENGINE!C379)</f>
        <v/>
      </c>
      <c r="C379" s="10">
        <f>IF(MATCH_ENGINE!A379="","",MATCH_ENGINE!B379)</f>
        <v/>
      </c>
      <c r="D379" s="16">
        <f>IF(MATCH_ENGINE!A379="","",MATCH_ENGINE!D379)</f>
        <v/>
      </c>
      <c r="E379" s="11">
        <f>IF(MATCH_ENGINE!A379="","",MATCH_ENGINE!F379)</f>
        <v/>
      </c>
      <c r="F379" s="10">
        <f>IF(MATCH_ENGINE!A379="","",MATCH_ENGINE!I379)</f>
        <v/>
      </c>
      <c r="G379" s="16">
        <f>IF(MATCH_ENGINE!H379="","",IF(MATCH_ENGINE!F379="IN",MATCH_ENGINE!J379,""))</f>
        <v/>
      </c>
      <c r="H379" s="16">
        <f>IF(MATCH_ENGINE!H379="","",IF(MATCH_ENGINE!F379="OUT",MATCH_ENGINE!J379,""))</f>
        <v/>
      </c>
      <c r="I379" s="16">
        <f>IF(MATCH_ENGINE!H379="","",MATCH_ENGINE!J379)</f>
        <v/>
      </c>
      <c r="J379" s="12">
        <f>IF(MATCH_ENGINE!A379="","",MATCH_ENGINE!K379)</f>
        <v/>
      </c>
      <c r="K379" s="11">
        <f>IF(MATCH_ENGINE!A379="","",MATCH_ENGINE!L379)</f>
        <v/>
      </c>
      <c r="L379" s="17">
        <f>IF(MATCH_ENGINE!A379="","",MATCH_ENGINE!M379)</f>
        <v/>
      </c>
      <c r="M379" s="11">
        <f>IF(MATCH_ENGINE!A379="","",GL_CLEAN!F379)</f>
        <v/>
      </c>
      <c r="N379" s="11">
        <f>IF(MATCH_ENGINE!A379="","",GL_CLEAN!G379)</f>
        <v/>
      </c>
      <c r="O379" s="11">
        <f>IF(MATCH_ENGINE!H379="","",INDEX(BANK_CLEAN!$C$2:$C$1001,MATCH_ENGINE!H379))</f>
        <v/>
      </c>
      <c r="P379" s="11" t="inlineStr"/>
    </row>
    <row r="380">
      <c r="A380" s="11">
        <f>IF(MATCH_ENGINE!A380="","",MATCH_ENGINE!N380)</f>
        <v/>
      </c>
      <c r="B380" s="11">
        <f>IF(MATCH_ENGINE!A380="","",MATCH_ENGINE!C380)</f>
        <v/>
      </c>
      <c r="C380" s="10">
        <f>IF(MATCH_ENGINE!A380="","",MATCH_ENGINE!B380)</f>
        <v/>
      </c>
      <c r="D380" s="16">
        <f>IF(MATCH_ENGINE!A380="","",MATCH_ENGINE!D380)</f>
        <v/>
      </c>
      <c r="E380" s="11">
        <f>IF(MATCH_ENGINE!A380="","",MATCH_ENGINE!F380)</f>
        <v/>
      </c>
      <c r="F380" s="10">
        <f>IF(MATCH_ENGINE!A380="","",MATCH_ENGINE!I380)</f>
        <v/>
      </c>
      <c r="G380" s="16">
        <f>IF(MATCH_ENGINE!H380="","",IF(MATCH_ENGINE!F380="IN",MATCH_ENGINE!J380,""))</f>
        <v/>
      </c>
      <c r="H380" s="16">
        <f>IF(MATCH_ENGINE!H380="","",IF(MATCH_ENGINE!F380="OUT",MATCH_ENGINE!J380,""))</f>
        <v/>
      </c>
      <c r="I380" s="16">
        <f>IF(MATCH_ENGINE!H380="","",MATCH_ENGINE!J380)</f>
        <v/>
      </c>
      <c r="J380" s="12">
        <f>IF(MATCH_ENGINE!A380="","",MATCH_ENGINE!K380)</f>
        <v/>
      </c>
      <c r="K380" s="11">
        <f>IF(MATCH_ENGINE!A380="","",MATCH_ENGINE!L380)</f>
        <v/>
      </c>
      <c r="L380" s="17">
        <f>IF(MATCH_ENGINE!A380="","",MATCH_ENGINE!M380)</f>
        <v/>
      </c>
      <c r="M380" s="11">
        <f>IF(MATCH_ENGINE!A380="","",GL_CLEAN!F380)</f>
        <v/>
      </c>
      <c r="N380" s="11">
        <f>IF(MATCH_ENGINE!A380="","",GL_CLEAN!G380)</f>
        <v/>
      </c>
      <c r="O380" s="11">
        <f>IF(MATCH_ENGINE!H380="","",INDEX(BANK_CLEAN!$C$2:$C$1001,MATCH_ENGINE!H380))</f>
        <v/>
      </c>
      <c r="P380" s="11" t="inlineStr"/>
    </row>
    <row r="381">
      <c r="A381" s="11">
        <f>IF(MATCH_ENGINE!A381="","",MATCH_ENGINE!N381)</f>
        <v/>
      </c>
      <c r="B381" s="11">
        <f>IF(MATCH_ENGINE!A381="","",MATCH_ENGINE!C381)</f>
        <v/>
      </c>
      <c r="C381" s="10">
        <f>IF(MATCH_ENGINE!A381="","",MATCH_ENGINE!B381)</f>
        <v/>
      </c>
      <c r="D381" s="16">
        <f>IF(MATCH_ENGINE!A381="","",MATCH_ENGINE!D381)</f>
        <v/>
      </c>
      <c r="E381" s="11">
        <f>IF(MATCH_ENGINE!A381="","",MATCH_ENGINE!F381)</f>
        <v/>
      </c>
      <c r="F381" s="10">
        <f>IF(MATCH_ENGINE!A381="","",MATCH_ENGINE!I381)</f>
        <v/>
      </c>
      <c r="G381" s="16">
        <f>IF(MATCH_ENGINE!H381="","",IF(MATCH_ENGINE!F381="IN",MATCH_ENGINE!J381,""))</f>
        <v/>
      </c>
      <c r="H381" s="16">
        <f>IF(MATCH_ENGINE!H381="","",IF(MATCH_ENGINE!F381="OUT",MATCH_ENGINE!J381,""))</f>
        <v/>
      </c>
      <c r="I381" s="16">
        <f>IF(MATCH_ENGINE!H381="","",MATCH_ENGINE!J381)</f>
        <v/>
      </c>
      <c r="J381" s="12">
        <f>IF(MATCH_ENGINE!A381="","",MATCH_ENGINE!K381)</f>
        <v/>
      </c>
      <c r="K381" s="11">
        <f>IF(MATCH_ENGINE!A381="","",MATCH_ENGINE!L381)</f>
        <v/>
      </c>
      <c r="L381" s="17">
        <f>IF(MATCH_ENGINE!A381="","",MATCH_ENGINE!M381)</f>
        <v/>
      </c>
      <c r="M381" s="11">
        <f>IF(MATCH_ENGINE!A381="","",GL_CLEAN!F381)</f>
        <v/>
      </c>
      <c r="N381" s="11">
        <f>IF(MATCH_ENGINE!A381="","",GL_CLEAN!G381)</f>
        <v/>
      </c>
      <c r="O381" s="11">
        <f>IF(MATCH_ENGINE!H381="","",INDEX(BANK_CLEAN!$C$2:$C$1001,MATCH_ENGINE!H381))</f>
        <v/>
      </c>
      <c r="P381" s="11" t="inlineStr"/>
    </row>
    <row r="382">
      <c r="A382" s="11">
        <f>IF(MATCH_ENGINE!A382="","",MATCH_ENGINE!N382)</f>
        <v/>
      </c>
      <c r="B382" s="11">
        <f>IF(MATCH_ENGINE!A382="","",MATCH_ENGINE!C382)</f>
        <v/>
      </c>
      <c r="C382" s="10">
        <f>IF(MATCH_ENGINE!A382="","",MATCH_ENGINE!B382)</f>
        <v/>
      </c>
      <c r="D382" s="16">
        <f>IF(MATCH_ENGINE!A382="","",MATCH_ENGINE!D382)</f>
        <v/>
      </c>
      <c r="E382" s="11">
        <f>IF(MATCH_ENGINE!A382="","",MATCH_ENGINE!F382)</f>
        <v/>
      </c>
      <c r="F382" s="10">
        <f>IF(MATCH_ENGINE!A382="","",MATCH_ENGINE!I382)</f>
        <v/>
      </c>
      <c r="G382" s="16">
        <f>IF(MATCH_ENGINE!H382="","",IF(MATCH_ENGINE!F382="IN",MATCH_ENGINE!J382,""))</f>
        <v/>
      </c>
      <c r="H382" s="16">
        <f>IF(MATCH_ENGINE!H382="","",IF(MATCH_ENGINE!F382="OUT",MATCH_ENGINE!J382,""))</f>
        <v/>
      </c>
      <c r="I382" s="16">
        <f>IF(MATCH_ENGINE!H382="","",MATCH_ENGINE!J382)</f>
        <v/>
      </c>
      <c r="J382" s="12">
        <f>IF(MATCH_ENGINE!A382="","",MATCH_ENGINE!K382)</f>
        <v/>
      </c>
      <c r="K382" s="11">
        <f>IF(MATCH_ENGINE!A382="","",MATCH_ENGINE!L382)</f>
        <v/>
      </c>
      <c r="L382" s="17">
        <f>IF(MATCH_ENGINE!A382="","",MATCH_ENGINE!M382)</f>
        <v/>
      </c>
      <c r="M382" s="11">
        <f>IF(MATCH_ENGINE!A382="","",GL_CLEAN!F382)</f>
        <v/>
      </c>
      <c r="N382" s="11">
        <f>IF(MATCH_ENGINE!A382="","",GL_CLEAN!G382)</f>
        <v/>
      </c>
      <c r="O382" s="11">
        <f>IF(MATCH_ENGINE!H382="","",INDEX(BANK_CLEAN!$C$2:$C$1001,MATCH_ENGINE!H382))</f>
        <v/>
      </c>
      <c r="P382" s="11" t="inlineStr"/>
    </row>
    <row r="383">
      <c r="A383" s="11">
        <f>IF(MATCH_ENGINE!A383="","",MATCH_ENGINE!N383)</f>
        <v/>
      </c>
      <c r="B383" s="11">
        <f>IF(MATCH_ENGINE!A383="","",MATCH_ENGINE!C383)</f>
        <v/>
      </c>
      <c r="C383" s="10">
        <f>IF(MATCH_ENGINE!A383="","",MATCH_ENGINE!B383)</f>
        <v/>
      </c>
      <c r="D383" s="16">
        <f>IF(MATCH_ENGINE!A383="","",MATCH_ENGINE!D383)</f>
        <v/>
      </c>
      <c r="E383" s="11">
        <f>IF(MATCH_ENGINE!A383="","",MATCH_ENGINE!F383)</f>
        <v/>
      </c>
      <c r="F383" s="10">
        <f>IF(MATCH_ENGINE!A383="","",MATCH_ENGINE!I383)</f>
        <v/>
      </c>
      <c r="G383" s="16">
        <f>IF(MATCH_ENGINE!H383="","",IF(MATCH_ENGINE!F383="IN",MATCH_ENGINE!J383,""))</f>
        <v/>
      </c>
      <c r="H383" s="16">
        <f>IF(MATCH_ENGINE!H383="","",IF(MATCH_ENGINE!F383="OUT",MATCH_ENGINE!J383,""))</f>
        <v/>
      </c>
      <c r="I383" s="16">
        <f>IF(MATCH_ENGINE!H383="","",MATCH_ENGINE!J383)</f>
        <v/>
      </c>
      <c r="J383" s="12">
        <f>IF(MATCH_ENGINE!A383="","",MATCH_ENGINE!K383)</f>
        <v/>
      </c>
      <c r="K383" s="11">
        <f>IF(MATCH_ENGINE!A383="","",MATCH_ENGINE!L383)</f>
        <v/>
      </c>
      <c r="L383" s="17">
        <f>IF(MATCH_ENGINE!A383="","",MATCH_ENGINE!M383)</f>
        <v/>
      </c>
      <c r="M383" s="11">
        <f>IF(MATCH_ENGINE!A383="","",GL_CLEAN!F383)</f>
        <v/>
      </c>
      <c r="N383" s="11">
        <f>IF(MATCH_ENGINE!A383="","",GL_CLEAN!G383)</f>
        <v/>
      </c>
      <c r="O383" s="11">
        <f>IF(MATCH_ENGINE!H383="","",INDEX(BANK_CLEAN!$C$2:$C$1001,MATCH_ENGINE!H383))</f>
        <v/>
      </c>
      <c r="P383" s="11" t="inlineStr"/>
    </row>
    <row r="384">
      <c r="A384" s="11">
        <f>IF(MATCH_ENGINE!A384="","",MATCH_ENGINE!N384)</f>
        <v/>
      </c>
      <c r="B384" s="11">
        <f>IF(MATCH_ENGINE!A384="","",MATCH_ENGINE!C384)</f>
        <v/>
      </c>
      <c r="C384" s="10">
        <f>IF(MATCH_ENGINE!A384="","",MATCH_ENGINE!B384)</f>
        <v/>
      </c>
      <c r="D384" s="16">
        <f>IF(MATCH_ENGINE!A384="","",MATCH_ENGINE!D384)</f>
        <v/>
      </c>
      <c r="E384" s="11">
        <f>IF(MATCH_ENGINE!A384="","",MATCH_ENGINE!F384)</f>
        <v/>
      </c>
      <c r="F384" s="10">
        <f>IF(MATCH_ENGINE!A384="","",MATCH_ENGINE!I384)</f>
        <v/>
      </c>
      <c r="G384" s="16">
        <f>IF(MATCH_ENGINE!H384="","",IF(MATCH_ENGINE!F384="IN",MATCH_ENGINE!J384,""))</f>
        <v/>
      </c>
      <c r="H384" s="16">
        <f>IF(MATCH_ENGINE!H384="","",IF(MATCH_ENGINE!F384="OUT",MATCH_ENGINE!J384,""))</f>
        <v/>
      </c>
      <c r="I384" s="16">
        <f>IF(MATCH_ENGINE!H384="","",MATCH_ENGINE!J384)</f>
        <v/>
      </c>
      <c r="J384" s="12">
        <f>IF(MATCH_ENGINE!A384="","",MATCH_ENGINE!K384)</f>
        <v/>
      </c>
      <c r="K384" s="11">
        <f>IF(MATCH_ENGINE!A384="","",MATCH_ENGINE!L384)</f>
        <v/>
      </c>
      <c r="L384" s="17">
        <f>IF(MATCH_ENGINE!A384="","",MATCH_ENGINE!M384)</f>
        <v/>
      </c>
      <c r="M384" s="11">
        <f>IF(MATCH_ENGINE!A384="","",GL_CLEAN!F384)</f>
        <v/>
      </c>
      <c r="N384" s="11">
        <f>IF(MATCH_ENGINE!A384="","",GL_CLEAN!G384)</f>
        <v/>
      </c>
      <c r="O384" s="11">
        <f>IF(MATCH_ENGINE!H384="","",INDEX(BANK_CLEAN!$C$2:$C$1001,MATCH_ENGINE!H384))</f>
        <v/>
      </c>
      <c r="P384" s="11" t="inlineStr"/>
    </row>
    <row r="385">
      <c r="A385" s="11">
        <f>IF(MATCH_ENGINE!A385="","",MATCH_ENGINE!N385)</f>
        <v/>
      </c>
      <c r="B385" s="11">
        <f>IF(MATCH_ENGINE!A385="","",MATCH_ENGINE!C385)</f>
        <v/>
      </c>
      <c r="C385" s="10">
        <f>IF(MATCH_ENGINE!A385="","",MATCH_ENGINE!B385)</f>
        <v/>
      </c>
      <c r="D385" s="16">
        <f>IF(MATCH_ENGINE!A385="","",MATCH_ENGINE!D385)</f>
        <v/>
      </c>
      <c r="E385" s="11">
        <f>IF(MATCH_ENGINE!A385="","",MATCH_ENGINE!F385)</f>
        <v/>
      </c>
      <c r="F385" s="10">
        <f>IF(MATCH_ENGINE!A385="","",MATCH_ENGINE!I385)</f>
        <v/>
      </c>
      <c r="G385" s="16">
        <f>IF(MATCH_ENGINE!H385="","",IF(MATCH_ENGINE!F385="IN",MATCH_ENGINE!J385,""))</f>
        <v/>
      </c>
      <c r="H385" s="16">
        <f>IF(MATCH_ENGINE!H385="","",IF(MATCH_ENGINE!F385="OUT",MATCH_ENGINE!J385,""))</f>
        <v/>
      </c>
      <c r="I385" s="16">
        <f>IF(MATCH_ENGINE!H385="","",MATCH_ENGINE!J385)</f>
        <v/>
      </c>
      <c r="J385" s="12">
        <f>IF(MATCH_ENGINE!A385="","",MATCH_ENGINE!K385)</f>
        <v/>
      </c>
      <c r="K385" s="11">
        <f>IF(MATCH_ENGINE!A385="","",MATCH_ENGINE!L385)</f>
        <v/>
      </c>
      <c r="L385" s="17">
        <f>IF(MATCH_ENGINE!A385="","",MATCH_ENGINE!M385)</f>
        <v/>
      </c>
      <c r="M385" s="11">
        <f>IF(MATCH_ENGINE!A385="","",GL_CLEAN!F385)</f>
        <v/>
      </c>
      <c r="N385" s="11">
        <f>IF(MATCH_ENGINE!A385="","",GL_CLEAN!G385)</f>
        <v/>
      </c>
      <c r="O385" s="11">
        <f>IF(MATCH_ENGINE!H385="","",INDEX(BANK_CLEAN!$C$2:$C$1001,MATCH_ENGINE!H385))</f>
        <v/>
      </c>
      <c r="P385" s="11" t="inlineStr"/>
    </row>
    <row r="386">
      <c r="A386" s="11">
        <f>IF(MATCH_ENGINE!A386="","",MATCH_ENGINE!N386)</f>
        <v/>
      </c>
      <c r="B386" s="11">
        <f>IF(MATCH_ENGINE!A386="","",MATCH_ENGINE!C386)</f>
        <v/>
      </c>
      <c r="C386" s="10">
        <f>IF(MATCH_ENGINE!A386="","",MATCH_ENGINE!B386)</f>
        <v/>
      </c>
      <c r="D386" s="16">
        <f>IF(MATCH_ENGINE!A386="","",MATCH_ENGINE!D386)</f>
        <v/>
      </c>
      <c r="E386" s="11">
        <f>IF(MATCH_ENGINE!A386="","",MATCH_ENGINE!F386)</f>
        <v/>
      </c>
      <c r="F386" s="10">
        <f>IF(MATCH_ENGINE!A386="","",MATCH_ENGINE!I386)</f>
        <v/>
      </c>
      <c r="G386" s="16">
        <f>IF(MATCH_ENGINE!H386="","",IF(MATCH_ENGINE!F386="IN",MATCH_ENGINE!J386,""))</f>
        <v/>
      </c>
      <c r="H386" s="16">
        <f>IF(MATCH_ENGINE!H386="","",IF(MATCH_ENGINE!F386="OUT",MATCH_ENGINE!J386,""))</f>
        <v/>
      </c>
      <c r="I386" s="16">
        <f>IF(MATCH_ENGINE!H386="","",MATCH_ENGINE!J386)</f>
        <v/>
      </c>
      <c r="J386" s="12">
        <f>IF(MATCH_ENGINE!A386="","",MATCH_ENGINE!K386)</f>
        <v/>
      </c>
      <c r="K386" s="11">
        <f>IF(MATCH_ENGINE!A386="","",MATCH_ENGINE!L386)</f>
        <v/>
      </c>
      <c r="L386" s="17">
        <f>IF(MATCH_ENGINE!A386="","",MATCH_ENGINE!M386)</f>
        <v/>
      </c>
      <c r="M386" s="11">
        <f>IF(MATCH_ENGINE!A386="","",GL_CLEAN!F386)</f>
        <v/>
      </c>
      <c r="N386" s="11">
        <f>IF(MATCH_ENGINE!A386="","",GL_CLEAN!G386)</f>
        <v/>
      </c>
      <c r="O386" s="11">
        <f>IF(MATCH_ENGINE!H386="","",INDEX(BANK_CLEAN!$C$2:$C$1001,MATCH_ENGINE!H386))</f>
        <v/>
      </c>
      <c r="P386" s="11" t="inlineStr"/>
    </row>
    <row r="387">
      <c r="A387" s="11">
        <f>IF(MATCH_ENGINE!A387="","",MATCH_ENGINE!N387)</f>
        <v/>
      </c>
      <c r="B387" s="11">
        <f>IF(MATCH_ENGINE!A387="","",MATCH_ENGINE!C387)</f>
        <v/>
      </c>
      <c r="C387" s="10">
        <f>IF(MATCH_ENGINE!A387="","",MATCH_ENGINE!B387)</f>
        <v/>
      </c>
      <c r="D387" s="16">
        <f>IF(MATCH_ENGINE!A387="","",MATCH_ENGINE!D387)</f>
        <v/>
      </c>
      <c r="E387" s="11">
        <f>IF(MATCH_ENGINE!A387="","",MATCH_ENGINE!F387)</f>
        <v/>
      </c>
      <c r="F387" s="10">
        <f>IF(MATCH_ENGINE!A387="","",MATCH_ENGINE!I387)</f>
        <v/>
      </c>
      <c r="G387" s="16">
        <f>IF(MATCH_ENGINE!H387="","",IF(MATCH_ENGINE!F387="IN",MATCH_ENGINE!J387,""))</f>
        <v/>
      </c>
      <c r="H387" s="16">
        <f>IF(MATCH_ENGINE!H387="","",IF(MATCH_ENGINE!F387="OUT",MATCH_ENGINE!J387,""))</f>
        <v/>
      </c>
      <c r="I387" s="16">
        <f>IF(MATCH_ENGINE!H387="","",MATCH_ENGINE!J387)</f>
        <v/>
      </c>
      <c r="J387" s="12">
        <f>IF(MATCH_ENGINE!A387="","",MATCH_ENGINE!K387)</f>
        <v/>
      </c>
      <c r="K387" s="11">
        <f>IF(MATCH_ENGINE!A387="","",MATCH_ENGINE!L387)</f>
        <v/>
      </c>
      <c r="L387" s="17">
        <f>IF(MATCH_ENGINE!A387="","",MATCH_ENGINE!M387)</f>
        <v/>
      </c>
      <c r="M387" s="11">
        <f>IF(MATCH_ENGINE!A387="","",GL_CLEAN!F387)</f>
        <v/>
      </c>
      <c r="N387" s="11">
        <f>IF(MATCH_ENGINE!A387="","",GL_CLEAN!G387)</f>
        <v/>
      </c>
      <c r="O387" s="11">
        <f>IF(MATCH_ENGINE!H387="","",INDEX(BANK_CLEAN!$C$2:$C$1001,MATCH_ENGINE!H387))</f>
        <v/>
      </c>
      <c r="P387" s="11" t="inlineStr"/>
    </row>
    <row r="388">
      <c r="A388" s="11">
        <f>IF(MATCH_ENGINE!A388="","",MATCH_ENGINE!N388)</f>
        <v/>
      </c>
      <c r="B388" s="11">
        <f>IF(MATCH_ENGINE!A388="","",MATCH_ENGINE!C388)</f>
        <v/>
      </c>
      <c r="C388" s="10">
        <f>IF(MATCH_ENGINE!A388="","",MATCH_ENGINE!B388)</f>
        <v/>
      </c>
      <c r="D388" s="16">
        <f>IF(MATCH_ENGINE!A388="","",MATCH_ENGINE!D388)</f>
        <v/>
      </c>
      <c r="E388" s="11">
        <f>IF(MATCH_ENGINE!A388="","",MATCH_ENGINE!F388)</f>
        <v/>
      </c>
      <c r="F388" s="10">
        <f>IF(MATCH_ENGINE!A388="","",MATCH_ENGINE!I388)</f>
        <v/>
      </c>
      <c r="G388" s="16">
        <f>IF(MATCH_ENGINE!H388="","",IF(MATCH_ENGINE!F388="IN",MATCH_ENGINE!J388,""))</f>
        <v/>
      </c>
      <c r="H388" s="16">
        <f>IF(MATCH_ENGINE!H388="","",IF(MATCH_ENGINE!F388="OUT",MATCH_ENGINE!J388,""))</f>
        <v/>
      </c>
      <c r="I388" s="16">
        <f>IF(MATCH_ENGINE!H388="","",MATCH_ENGINE!J388)</f>
        <v/>
      </c>
      <c r="J388" s="12">
        <f>IF(MATCH_ENGINE!A388="","",MATCH_ENGINE!K388)</f>
        <v/>
      </c>
      <c r="K388" s="11">
        <f>IF(MATCH_ENGINE!A388="","",MATCH_ENGINE!L388)</f>
        <v/>
      </c>
      <c r="L388" s="17">
        <f>IF(MATCH_ENGINE!A388="","",MATCH_ENGINE!M388)</f>
        <v/>
      </c>
      <c r="M388" s="11">
        <f>IF(MATCH_ENGINE!A388="","",GL_CLEAN!F388)</f>
        <v/>
      </c>
      <c r="N388" s="11">
        <f>IF(MATCH_ENGINE!A388="","",GL_CLEAN!G388)</f>
        <v/>
      </c>
      <c r="O388" s="11">
        <f>IF(MATCH_ENGINE!H388="","",INDEX(BANK_CLEAN!$C$2:$C$1001,MATCH_ENGINE!H388))</f>
        <v/>
      </c>
      <c r="P388" s="11" t="inlineStr"/>
    </row>
    <row r="389">
      <c r="A389" s="11">
        <f>IF(MATCH_ENGINE!A389="","",MATCH_ENGINE!N389)</f>
        <v/>
      </c>
      <c r="B389" s="11">
        <f>IF(MATCH_ENGINE!A389="","",MATCH_ENGINE!C389)</f>
        <v/>
      </c>
      <c r="C389" s="10">
        <f>IF(MATCH_ENGINE!A389="","",MATCH_ENGINE!B389)</f>
        <v/>
      </c>
      <c r="D389" s="16">
        <f>IF(MATCH_ENGINE!A389="","",MATCH_ENGINE!D389)</f>
        <v/>
      </c>
      <c r="E389" s="11">
        <f>IF(MATCH_ENGINE!A389="","",MATCH_ENGINE!F389)</f>
        <v/>
      </c>
      <c r="F389" s="10">
        <f>IF(MATCH_ENGINE!A389="","",MATCH_ENGINE!I389)</f>
        <v/>
      </c>
      <c r="G389" s="16">
        <f>IF(MATCH_ENGINE!H389="","",IF(MATCH_ENGINE!F389="IN",MATCH_ENGINE!J389,""))</f>
        <v/>
      </c>
      <c r="H389" s="16">
        <f>IF(MATCH_ENGINE!H389="","",IF(MATCH_ENGINE!F389="OUT",MATCH_ENGINE!J389,""))</f>
        <v/>
      </c>
      <c r="I389" s="16">
        <f>IF(MATCH_ENGINE!H389="","",MATCH_ENGINE!J389)</f>
        <v/>
      </c>
      <c r="J389" s="12">
        <f>IF(MATCH_ENGINE!A389="","",MATCH_ENGINE!K389)</f>
        <v/>
      </c>
      <c r="K389" s="11">
        <f>IF(MATCH_ENGINE!A389="","",MATCH_ENGINE!L389)</f>
        <v/>
      </c>
      <c r="L389" s="17">
        <f>IF(MATCH_ENGINE!A389="","",MATCH_ENGINE!M389)</f>
        <v/>
      </c>
      <c r="M389" s="11">
        <f>IF(MATCH_ENGINE!A389="","",GL_CLEAN!F389)</f>
        <v/>
      </c>
      <c r="N389" s="11">
        <f>IF(MATCH_ENGINE!A389="","",GL_CLEAN!G389)</f>
        <v/>
      </c>
      <c r="O389" s="11">
        <f>IF(MATCH_ENGINE!H389="","",INDEX(BANK_CLEAN!$C$2:$C$1001,MATCH_ENGINE!H389))</f>
        <v/>
      </c>
      <c r="P389" s="11" t="inlineStr"/>
    </row>
    <row r="390">
      <c r="A390" s="11">
        <f>IF(MATCH_ENGINE!A390="","",MATCH_ENGINE!N390)</f>
        <v/>
      </c>
      <c r="B390" s="11">
        <f>IF(MATCH_ENGINE!A390="","",MATCH_ENGINE!C390)</f>
        <v/>
      </c>
      <c r="C390" s="10">
        <f>IF(MATCH_ENGINE!A390="","",MATCH_ENGINE!B390)</f>
        <v/>
      </c>
      <c r="D390" s="16">
        <f>IF(MATCH_ENGINE!A390="","",MATCH_ENGINE!D390)</f>
        <v/>
      </c>
      <c r="E390" s="11">
        <f>IF(MATCH_ENGINE!A390="","",MATCH_ENGINE!F390)</f>
        <v/>
      </c>
      <c r="F390" s="10">
        <f>IF(MATCH_ENGINE!A390="","",MATCH_ENGINE!I390)</f>
        <v/>
      </c>
      <c r="G390" s="16">
        <f>IF(MATCH_ENGINE!H390="","",IF(MATCH_ENGINE!F390="IN",MATCH_ENGINE!J390,""))</f>
        <v/>
      </c>
      <c r="H390" s="16">
        <f>IF(MATCH_ENGINE!H390="","",IF(MATCH_ENGINE!F390="OUT",MATCH_ENGINE!J390,""))</f>
        <v/>
      </c>
      <c r="I390" s="16">
        <f>IF(MATCH_ENGINE!H390="","",MATCH_ENGINE!J390)</f>
        <v/>
      </c>
      <c r="J390" s="12">
        <f>IF(MATCH_ENGINE!A390="","",MATCH_ENGINE!K390)</f>
        <v/>
      </c>
      <c r="K390" s="11">
        <f>IF(MATCH_ENGINE!A390="","",MATCH_ENGINE!L390)</f>
        <v/>
      </c>
      <c r="L390" s="17">
        <f>IF(MATCH_ENGINE!A390="","",MATCH_ENGINE!M390)</f>
        <v/>
      </c>
      <c r="M390" s="11">
        <f>IF(MATCH_ENGINE!A390="","",GL_CLEAN!F390)</f>
        <v/>
      </c>
      <c r="N390" s="11">
        <f>IF(MATCH_ENGINE!A390="","",GL_CLEAN!G390)</f>
        <v/>
      </c>
      <c r="O390" s="11">
        <f>IF(MATCH_ENGINE!H390="","",INDEX(BANK_CLEAN!$C$2:$C$1001,MATCH_ENGINE!H390))</f>
        <v/>
      </c>
      <c r="P390" s="11" t="inlineStr"/>
    </row>
    <row r="391">
      <c r="A391" s="11">
        <f>IF(MATCH_ENGINE!A391="","",MATCH_ENGINE!N391)</f>
        <v/>
      </c>
      <c r="B391" s="11">
        <f>IF(MATCH_ENGINE!A391="","",MATCH_ENGINE!C391)</f>
        <v/>
      </c>
      <c r="C391" s="10">
        <f>IF(MATCH_ENGINE!A391="","",MATCH_ENGINE!B391)</f>
        <v/>
      </c>
      <c r="D391" s="16">
        <f>IF(MATCH_ENGINE!A391="","",MATCH_ENGINE!D391)</f>
        <v/>
      </c>
      <c r="E391" s="11">
        <f>IF(MATCH_ENGINE!A391="","",MATCH_ENGINE!F391)</f>
        <v/>
      </c>
      <c r="F391" s="10">
        <f>IF(MATCH_ENGINE!A391="","",MATCH_ENGINE!I391)</f>
        <v/>
      </c>
      <c r="G391" s="16">
        <f>IF(MATCH_ENGINE!H391="","",IF(MATCH_ENGINE!F391="IN",MATCH_ENGINE!J391,""))</f>
        <v/>
      </c>
      <c r="H391" s="16">
        <f>IF(MATCH_ENGINE!H391="","",IF(MATCH_ENGINE!F391="OUT",MATCH_ENGINE!J391,""))</f>
        <v/>
      </c>
      <c r="I391" s="16">
        <f>IF(MATCH_ENGINE!H391="","",MATCH_ENGINE!J391)</f>
        <v/>
      </c>
      <c r="J391" s="12">
        <f>IF(MATCH_ENGINE!A391="","",MATCH_ENGINE!K391)</f>
        <v/>
      </c>
      <c r="K391" s="11">
        <f>IF(MATCH_ENGINE!A391="","",MATCH_ENGINE!L391)</f>
        <v/>
      </c>
      <c r="L391" s="17">
        <f>IF(MATCH_ENGINE!A391="","",MATCH_ENGINE!M391)</f>
        <v/>
      </c>
      <c r="M391" s="11">
        <f>IF(MATCH_ENGINE!A391="","",GL_CLEAN!F391)</f>
        <v/>
      </c>
      <c r="N391" s="11">
        <f>IF(MATCH_ENGINE!A391="","",GL_CLEAN!G391)</f>
        <v/>
      </c>
      <c r="O391" s="11">
        <f>IF(MATCH_ENGINE!H391="","",INDEX(BANK_CLEAN!$C$2:$C$1001,MATCH_ENGINE!H391))</f>
        <v/>
      </c>
      <c r="P391" s="11" t="inlineStr"/>
    </row>
    <row r="392">
      <c r="A392" s="11">
        <f>IF(MATCH_ENGINE!A392="","",MATCH_ENGINE!N392)</f>
        <v/>
      </c>
      <c r="B392" s="11">
        <f>IF(MATCH_ENGINE!A392="","",MATCH_ENGINE!C392)</f>
        <v/>
      </c>
      <c r="C392" s="10">
        <f>IF(MATCH_ENGINE!A392="","",MATCH_ENGINE!B392)</f>
        <v/>
      </c>
      <c r="D392" s="16">
        <f>IF(MATCH_ENGINE!A392="","",MATCH_ENGINE!D392)</f>
        <v/>
      </c>
      <c r="E392" s="11">
        <f>IF(MATCH_ENGINE!A392="","",MATCH_ENGINE!F392)</f>
        <v/>
      </c>
      <c r="F392" s="10">
        <f>IF(MATCH_ENGINE!A392="","",MATCH_ENGINE!I392)</f>
        <v/>
      </c>
      <c r="G392" s="16">
        <f>IF(MATCH_ENGINE!H392="","",IF(MATCH_ENGINE!F392="IN",MATCH_ENGINE!J392,""))</f>
        <v/>
      </c>
      <c r="H392" s="16">
        <f>IF(MATCH_ENGINE!H392="","",IF(MATCH_ENGINE!F392="OUT",MATCH_ENGINE!J392,""))</f>
        <v/>
      </c>
      <c r="I392" s="16">
        <f>IF(MATCH_ENGINE!H392="","",MATCH_ENGINE!J392)</f>
        <v/>
      </c>
      <c r="J392" s="12">
        <f>IF(MATCH_ENGINE!A392="","",MATCH_ENGINE!K392)</f>
        <v/>
      </c>
      <c r="K392" s="11">
        <f>IF(MATCH_ENGINE!A392="","",MATCH_ENGINE!L392)</f>
        <v/>
      </c>
      <c r="L392" s="17">
        <f>IF(MATCH_ENGINE!A392="","",MATCH_ENGINE!M392)</f>
        <v/>
      </c>
      <c r="M392" s="11">
        <f>IF(MATCH_ENGINE!A392="","",GL_CLEAN!F392)</f>
        <v/>
      </c>
      <c r="N392" s="11">
        <f>IF(MATCH_ENGINE!A392="","",GL_CLEAN!G392)</f>
        <v/>
      </c>
      <c r="O392" s="11">
        <f>IF(MATCH_ENGINE!H392="","",INDEX(BANK_CLEAN!$C$2:$C$1001,MATCH_ENGINE!H392))</f>
        <v/>
      </c>
      <c r="P392" s="11" t="inlineStr"/>
    </row>
    <row r="393">
      <c r="A393" s="11">
        <f>IF(MATCH_ENGINE!A393="","",MATCH_ENGINE!N393)</f>
        <v/>
      </c>
      <c r="B393" s="11">
        <f>IF(MATCH_ENGINE!A393="","",MATCH_ENGINE!C393)</f>
        <v/>
      </c>
      <c r="C393" s="10">
        <f>IF(MATCH_ENGINE!A393="","",MATCH_ENGINE!B393)</f>
        <v/>
      </c>
      <c r="D393" s="16">
        <f>IF(MATCH_ENGINE!A393="","",MATCH_ENGINE!D393)</f>
        <v/>
      </c>
      <c r="E393" s="11">
        <f>IF(MATCH_ENGINE!A393="","",MATCH_ENGINE!F393)</f>
        <v/>
      </c>
      <c r="F393" s="10">
        <f>IF(MATCH_ENGINE!A393="","",MATCH_ENGINE!I393)</f>
        <v/>
      </c>
      <c r="G393" s="16">
        <f>IF(MATCH_ENGINE!H393="","",IF(MATCH_ENGINE!F393="IN",MATCH_ENGINE!J393,""))</f>
        <v/>
      </c>
      <c r="H393" s="16">
        <f>IF(MATCH_ENGINE!H393="","",IF(MATCH_ENGINE!F393="OUT",MATCH_ENGINE!J393,""))</f>
        <v/>
      </c>
      <c r="I393" s="16">
        <f>IF(MATCH_ENGINE!H393="","",MATCH_ENGINE!J393)</f>
        <v/>
      </c>
      <c r="J393" s="12">
        <f>IF(MATCH_ENGINE!A393="","",MATCH_ENGINE!K393)</f>
        <v/>
      </c>
      <c r="K393" s="11">
        <f>IF(MATCH_ENGINE!A393="","",MATCH_ENGINE!L393)</f>
        <v/>
      </c>
      <c r="L393" s="17">
        <f>IF(MATCH_ENGINE!A393="","",MATCH_ENGINE!M393)</f>
        <v/>
      </c>
      <c r="M393" s="11">
        <f>IF(MATCH_ENGINE!A393="","",GL_CLEAN!F393)</f>
        <v/>
      </c>
      <c r="N393" s="11">
        <f>IF(MATCH_ENGINE!A393="","",GL_CLEAN!G393)</f>
        <v/>
      </c>
      <c r="O393" s="11">
        <f>IF(MATCH_ENGINE!H393="","",INDEX(BANK_CLEAN!$C$2:$C$1001,MATCH_ENGINE!H393))</f>
        <v/>
      </c>
      <c r="P393" s="11" t="inlineStr"/>
    </row>
    <row r="394">
      <c r="A394" s="11">
        <f>IF(MATCH_ENGINE!A394="","",MATCH_ENGINE!N394)</f>
        <v/>
      </c>
      <c r="B394" s="11">
        <f>IF(MATCH_ENGINE!A394="","",MATCH_ENGINE!C394)</f>
        <v/>
      </c>
      <c r="C394" s="10">
        <f>IF(MATCH_ENGINE!A394="","",MATCH_ENGINE!B394)</f>
        <v/>
      </c>
      <c r="D394" s="16">
        <f>IF(MATCH_ENGINE!A394="","",MATCH_ENGINE!D394)</f>
        <v/>
      </c>
      <c r="E394" s="11">
        <f>IF(MATCH_ENGINE!A394="","",MATCH_ENGINE!F394)</f>
        <v/>
      </c>
      <c r="F394" s="10">
        <f>IF(MATCH_ENGINE!A394="","",MATCH_ENGINE!I394)</f>
        <v/>
      </c>
      <c r="G394" s="16">
        <f>IF(MATCH_ENGINE!H394="","",IF(MATCH_ENGINE!F394="IN",MATCH_ENGINE!J394,""))</f>
        <v/>
      </c>
      <c r="H394" s="16">
        <f>IF(MATCH_ENGINE!H394="","",IF(MATCH_ENGINE!F394="OUT",MATCH_ENGINE!J394,""))</f>
        <v/>
      </c>
      <c r="I394" s="16">
        <f>IF(MATCH_ENGINE!H394="","",MATCH_ENGINE!J394)</f>
        <v/>
      </c>
      <c r="J394" s="12">
        <f>IF(MATCH_ENGINE!A394="","",MATCH_ENGINE!K394)</f>
        <v/>
      </c>
      <c r="K394" s="11">
        <f>IF(MATCH_ENGINE!A394="","",MATCH_ENGINE!L394)</f>
        <v/>
      </c>
      <c r="L394" s="17">
        <f>IF(MATCH_ENGINE!A394="","",MATCH_ENGINE!M394)</f>
        <v/>
      </c>
      <c r="M394" s="11">
        <f>IF(MATCH_ENGINE!A394="","",GL_CLEAN!F394)</f>
        <v/>
      </c>
      <c r="N394" s="11">
        <f>IF(MATCH_ENGINE!A394="","",GL_CLEAN!G394)</f>
        <v/>
      </c>
      <c r="O394" s="11">
        <f>IF(MATCH_ENGINE!H394="","",INDEX(BANK_CLEAN!$C$2:$C$1001,MATCH_ENGINE!H394))</f>
        <v/>
      </c>
      <c r="P394" s="11" t="inlineStr"/>
    </row>
    <row r="395">
      <c r="A395" s="11">
        <f>IF(MATCH_ENGINE!A395="","",MATCH_ENGINE!N395)</f>
        <v/>
      </c>
      <c r="B395" s="11">
        <f>IF(MATCH_ENGINE!A395="","",MATCH_ENGINE!C395)</f>
        <v/>
      </c>
      <c r="C395" s="10">
        <f>IF(MATCH_ENGINE!A395="","",MATCH_ENGINE!B395)</f>
        <v/>
      </c>
      <c r="D395" s="16">
        <f>IF(MATCH_ENGINE!A395="","",MATCH_ENGINE!D395)</f>
        <v/>
      </c>
      <c r="E395" s="11">
        <f>IF(MATCH_ENGINE!A395="","",MATCH_ENGINE!F395)</f>
        <v/>
      </c>
      <c r="F395" s="10">
        <f>IF(MATCH_ENGINE!A395="","",MATCH_ENGINE!I395)</f>
        <v/>
      </c>
      <c r="G395" s="16">
        <f>IF(MATCH_ENGINE!H395="","",IF(MATCH_ENGINE!F395="IN",MATCH_ENGINE!J395,""))</f>
        <v/>
      </c>
      <c r="H395" s="16">
        <f>IF(MATCH_ENGINE!H395="","",IF(MATCH_ENGINE!F395="OUT",MATCH_ENGINE!J395,""))</f>
        <v/>
      </c>
      <c r="I395" s="16">
        <f>IF(MATCH_ENGINE!H395="","",MATCH_ENGINE!J395)</f>
        <v/>
      </c>
      <c r="J395" s="12">
        <f>IF(MATCH_ENGINE!A395="","",MATCH_ENGINE!K395)</f>
        <v/>
      </c>
      <c r="K395" s="11">
        <f>IF(MATCH_ENGINE!A395="","",MATCH_ENGINE!L395)</f>
        <v/>
      </c>
      <c r="L395" s="17">
        <f>IF(MATCH_ENGINE!A395="","",MATCH_ENGINE!M395)</f>
        <v/>
      </c>
      <c r="M395" s="11">
        <f>IF(MATCH_ENGINE!A395="","",GL_CLEAN!F395)</f>
        <v/>
      </c>
      <c r="N395" s="11">
        <f>IF(MATCH_ENGINE!A395="","",GL_CLEAN!G395)</f>
        <v/>
      </c>
      <c r="O395" s="11">
        <f>IF(MATCH_ENGINE!H395="","",INDEX(BANK_CLEAN!$C$2:$C$1001,MATCH_ENGINE!H395))</f>
        <v/>
      </c>
      <c r="P395" s="11" t="inlineStr"/>
    </row>
    <row r="396">
      <c r="A396" s="11">
        <f>IF(MATCH_ENGINE!A396="","",MATCH_ENGINE!N396)</f>
        <v/>
      </c>
      <c r="B396" s="11">
        <f>IF(MATCH_ENGINE!A396="","",MATCH_ENGINE!C396)</f>
        <v/>
      </c>
      <c r="C396" s="10">
        <f>IF(MATCH_ENGINE!A396="","",MATCH_ENGINE!B396)</f>
        <v/>
      </c>
      <c r="D396" s="16">
        <f>IF(MATCH_ENGINE!A396="","",MATCH_ENGINE!D396)</f>
        <v/>
      </c>
      <c r="E396" s="11">
        <f>IF(MATCH_ENGINE!A396="","",MATCH_ENGINE!F396)</f>
        <v/>
      </c>
      <c r="F396" s="10">
        <f>IF(MATCH_ENGINE!A396="","",MATCH_ENGINE!I396)</f>
        <v/>
      </c>
      <c r="G396" s="16">
        <f>IF(MATCH_ENGINE!H396="","",IF(MATCH_ENGINE!F396="IN",MATCH_ENGINE!J396,""))</f>
        <v/>
      </c>
      <c r="H396" s="16">
        <f>IF(MATCH_ENGINE!H396="","",IF(MATCH_ENGINE!F396="OUT",MATCH_ENGINE!J396,""))</f>
        <v/>
      </c>
      <c r="I396" s="16">
        <f>IF(MATCH_ENGINE!H396="","",MATCH_ENGINE!J396)</f>
        <v/>
      </c>
      <c r="J396" s="12">
        <f>IF(MATCH_ENGINE!A396="","",MATCH_ENGINE!K396)</f>
        <v/>
      </c>
      <c r="K396" s="11">
        <f>IF(MATCH_ENGINE!A396="","",MATCH_ENGINE!L396)</f>
        <v/>
      </c>
      <c r="L396" s="17">
        <f>IF(MATCH_ENGINE!A396="","",MATCH_ENGINE!M396)</f>
        <v/>
      </c>
      <c r="M396" s="11">
        <f>IF(MATCH_ENGINE!A396="","",GL_CLEAN!F396)</f>
        <v/>
      </c>
      <c r="N396" s="11">
        <f>IF(MATCH_ENGINE!A396="","",GL_CLEAN!G396)</f>
        <v/>
      </c>
      <c r="O396" s="11">
        <f>IF(MATCH_ENGINE!H396="","",INDEX(BANK_CLEAN!$C$2:$C$1001,MATCH_ENGINE!H396))</f>
        <v/>
      </c>
      <c r="P396" s="11" t="inlineStr"/>
    </row>
    <row r="397">
      <c r="A397" s="11">
        <f>IF(MATCH_ENGINE!A397="","",MATCH_ENGINE!N397)</f>
        <v/>
      </c>
      <c r="B397" s="11">
        <f>IF(MATCH_ENGINE!A397="","",MATCH_ENGINE!C397)</f>
        <v/>
      </c>
      <c r="C397" s="10">
        <f>IF(MATCH_ENGINE!A397="","",MATCH_ENGINE!B397)</f>
        <v/>
      </c>
      <c r="D397" s="16">
        <f>IF(MATCH_ENGINE!A397="","",MATCH_ENGINE!D397)</f>
        <v/>
      </c>
      <c r="E397" s="11">
        <f>IF(MATCH_ENGINE!A397="","",MATCH_ENGINE!F397)</f>
        <v/>
      </c>
      <c r="F397" s="10">
        <f>IF(MATCH_ENGINE!A397="","",MATCH_ENGINE!I397)</f>
        <v/>
      </c>
      <c r="G397" s="16">
        <f>IF(MATCH_ENGINE!H397="","",IF(MATCH_ENGINE!F397="IN",MATCH_ENGINE!J397,""))</f>
        <v/>
      </c>
      <c r="H397" s="16">
        <f>IF(MATCH_ENGINE!H397="","",IF(MATCH_ENGINE!F397="OUT",MATCH_ENGINE!J397,""))</f>
        <v/>
      </c>
      <c r="I397" s="16">
        <f>IF(MATCH_ENGINE!H397="","",MATCH_ENGINE!J397)</f>
        <v/>
      </c>
      <c r="J397" s="12">
        <f>IF(MATCH_ENGINE!A397="","",MATCH_ENGINE!K397)</f>
        <v/>
      </c>
      <c r="K397" s="11">
        <f>IF(MATCH_ENGINE!A397="","",MATCH_ENGINE!L397)</f>
        <v/>
      </c>
      <c r="L397" s="17">
        <f>IF(MATCH_ENGINE!A397="","",MATCH_ENGINE!M397)</f>
        <v/>
      </c>
      <c r="M397" s="11">
        <f>IF(MATCH_ENGINE!A397="","",GL_CLEAN!F397)</f>
        <v/>
      </c>
      <c r="N397" s="11">
        <f>IF(MATCH_ENGINE!A397="","",GL_CLEAN!G397)</f>
        <v/>
      </c>
      <c r="O397" s="11">
        <f>IF(MATCH_ENGINE!H397="","",INDEX(BANK_CLEAN!$C$2:$C$1001,MATCH_ENGINE!H397))</f>
        <v/>
      </c>
      <c r="P397" s="11" t="inlineStr"/>
    </row>
    <row r="398">
      <c r="A398" s="11">
        <f>IF(MATCH_ENGINE!A398="","",MATCH_ENGINE!N398)</f>
        <v/>
      </c>
      <c r="B398" s="11">
        <f>IF(MATCH_ENGINE!A398="","",MATCH_ENGINE!C398)</f>
        <v/>
      </c>
      <c r="C398" s="10">
        <f>IF(MATCH_ENGINE!A398="","",MATCH_ENGINE!B398)</f>
        <v/>
      </c>
      <c r="D398" s="16">
        <f>IF(MATCH_ENGINE!A398="","",MATCH_ENGINE!D398)</f>
        <v/>
      </c>
      <c r="E398" s="11">
        <f>IF(MATCH_ENGINE!A398="","",MATCH_ENGINE!F398)</f>
        <v/>
      </c>
      <c r="F398" s="10">
        <f>IF(MATCH_ENGINE!A398="","",MATCH_ENGINE!I398)</f>
        <v/>
      </c>
      <c r="G398" s="16">
        <f>IF(MATCH_ENGINE!H398="","",IF(MATCH_ENGINE!F398="IN",MATCH_ENGINE!J398,""))</f>
        <v/>
      </c>
      <c r="H398" s="16">
        <f>IF(MATCH_ENGINE!H398="","",IF(MATCH_ENGINE!F398="OUT",MATCH_ENGINE!J398,""))</f>
        <v/>
      </c>
      <c r="I398" s="16">
        <f>IF(MATCH_ENGINE!H398="","",MATCH_ENGINE!J398)</f>
        <v/>
      </c>
      <c r="J398" s="12">
        <f>IF(MATCH_ENGINE!A398="","",MATCH_ENGINE!K398)</f>
        <v/>
      </c>
      <c r="K398" s="11">
        <f>IF(MATCH_ENGINE!A398="","",MATCH_ENGINE!L398)</f>
        <v/>
      </c>
      <c r="L398" s="17">
        <f>IF(MATCH_ENGINE!A398="","",MATCH_ENGINE!M398)</f>
        <v/>
      </c>
      <c r="M398" s="11">
        <f>IF(MATCH_ENGINE!A398="","",GL_CLEAN!F398)</f>
        <v/>
      </c>
      <c r="N398" s="11">
        <f>IF(MATCH_ENGINE!A398="","",GL_CLEAN!G398)</f>
        <v/>
      </c>
      <c r="O398" s="11">
        <f>IF(MATCH_ENGINE!H398="","",INDEX(BANK_CLEAN!$C$2:$C$1001,MATCH_ENGINE!H398))</f>
        <v/>
      </c>
      <c r="P398" s="11" t="inlineStr"/>
    </row>
    <row r="399">
      <c r="A399" s="11">
        <f>IF(MATCH_ENGINE!A399="","",MATCH_ENGINE!N399)</f>
        <v/>
      </c>
      <c r="B399" s="11">
        <f>IF(MATCH_ENGINE!A399="","",MATCH_ENGINE!C399)</f>
        <v/>
      </c>
      <c r="C399" s="10">
        <f>IF(MATCH_ENGINE!A399="","",MATCH_ENGINE!B399)</f>
        <v/>
      </c>
      <c r="D399" s="16">
        <f>IF(MATCH_ENGINE!A399="","",MATCH_ENGINE!D399)</f>
        <v/>
      </c>
      <c r="E399" s="11">
        <f>IF(MATCH_ENGINE!A399="","",MATCH_ENGINE!F399)</f>
        <v/>
      </c>
      <c r="F399" s="10">
        <f>IF(MATCH_ENGINE!A399="","",MATCH_ENGINE!I399)</f>
        <v/>
      </c>
      <c r="G399" s="16">
        <f>IF(MATCH_ENGINE!H399="","",IF(MATCH_ENGINE!F399="IN",MATCH_ENGINE!J399,""))</f>
        <v/>
      </c>
      <c r="H399" s="16">
        <f>IF(MATCH_ENGINE!H399="","",IF(MATCH_ENGINE!F399="OUT",MATCH_ENGINE!J399,""))</f>
        <v/>
      </c>
      <c r="I399" s="16">
        <f>IF(MATCH_ENGINE!H399="","",MATCH_ENGINE!J399)</f>
        <v/>
      </c>
      <c r="J399" s="12">
        <f>IF(MATCH_ENGINE!A399="","",MATCH_ENGINE!K399)</f>
        <v/>
      </c>
      <c r="K399" s="11">
        <f>IF(MATCH_ENGINE!A399="","",MATCH_ENGINE!L399)</f>
        <v/>
      </c>
      <c r="L399" s="17">
        <f>IF(MATCH_ENGINE!A399="","",MATCH_ENGINE!M399)</f>
        <v/>
      </c>
      <c r="M399" s="11">
        <f>IF(MATCH_ENGINE!A399="","",GL_CLEAN!F399)</f>
        <v/>
      </c>
      <c r="N399" s="11">
        <f>IF(MATCH_ENGINE!A399="","",GL_CLEAN!G399)</f>
        <v/>
      </c>
      <c r="O399" s="11">
        <f>IF(MATCH_ENGINE!H399="","",INDEX(BANK_CLEAN!$C$2:$C$1001,MATCH_ENGINE!H399))</f>
        <v/>
      </c>
      <c r="P399" s="11" t="inlineStr"/>
    </row>
    <row r="400">
      <c r="A400" s="11">
        <f>IF(MATCH_ENGINE!A400="","",MATCH_ENGINE!N400)</f>
        <v/>
      </c>
      <c r="B400" s="11">
        <f>IF(MATCH_ENGINE!A400="","",MATCH_ENGINE!C400)</f>
        <v/>
      </c>
      <c r="C400" s="10">
        <f>IF(MATCH_ENGINE!A400="","",MATCH_ENGINE!B400)</f>
        <v/>
      </c>
      <c r="D400" s="16">
        <f>IF(MATCH_ENGINE!A400="","",MATCH_ENGINE!D400)</f>
        <v/>
      </c>
      <c r="E400" s="11">
        <f>IF(MATCH_ENGINE!A400="","",MATCH_ENGINE!F400)</f>
        <v/>
      </c>
      <c r="F400" s="10">
        <f>IF(MATCH_ENGINE!A400="","",MATCH_ENGINE!I400)</f>
        <v/>
      </c>
      <c r="G400" s="16">
        <f>IF(MATCH_ENGINE!H400="","",IF(MATCH_ENGINE!F400="IN",MATCH_ENGINE!J400,""))</f>
        <v/>
      </c>
      <c r="H400" s="16">
        <f>IF(MATCH_ENGINE!H400="","",IF(MATCH_ENGINE!F400="OUT",MATCH_ENGINE!J400,""))</f>
        <v/>
      </c>
      <c r="I400" s="16">
        <f>IF(MATCH_ENGINE!H400="","",MATCH_ENGINE!J400)</f>
        <v/>
      </c>
      <c r="J400" s="12">
        <f>IF(MATCH_ENGINE!A400="","",MATCH_ENGINE!K400)</f>
        <v/>
      </c>
      <c r="K400" s="11">
        <f>IF(MATCH_ENGINE!A400="","",MATCH_ENGINE!L400)</f>
        <v/>
      </c>
      <c r="L400" s="17">
        <f>IF(MATCH_ENGINE!A400="","",MATCH_ENGINE!M400)</f>
        <v/>
      </c>
      <c r="M400" s="11">
        <f>IF(MATCH_ENGINE!A400="","",GL_CLEAN!F400)</f>
        <v/>
      </c>
      <c r="N400" s="11">
        <f>IF(MATCH_ENGINE!A400="","",GL_CLEAN!G400)</f>
        <v/>
      </c>
      <c r="O400" s="11">
        <f>IF(MATCH_ENGINE!H400="","",INDEX(BANK_CLEAN!$C$2:$C$1001,MATCH_ENGINE!H400))</f>
        <v/>
      </c>
      <c r="P400" s="11" t="inlineStr"/>
    </row>
    <row r="401">
      <c r="A401" s="11">
        <f>IF(MATCH_ENGINE!A401="","",MATCH_ENGINE!N401)</f>
        <v/>
      </c>
      <c r="B401" s="11">
        <f>IF(MATCH_ENGINE!A401="","",MATCH_ENGINE!C401)</f>
        <v/>
      </c>
      <c r="C401" s="10">
        <f>IF(MATCH_ENGINE!A401="","",MATCH_ENGINE!B401)</f>
        <v/>
      </c>
      <c r="D401" s="16">
        <f>IF(MATCH_ENGINE!A401="","",MATCH_ENGINE!D401)</f>
        <v/>
      </c>
      <c r="E401" s="11">
        <f>IF(MATCH_ENGINE!A401="","",MATCH_ENGINE!F401)</f>
        <v/>
      </c>
      <c r="F401" s="10">
        <f>IF(MATCH_ENGINE!A401="","",MATCH_ENGINE!I401)</f>
        <v/>
      </c>
      <c r="G401" s="16">
        <f>IF(MATCH_ENGINE!H401="","",IF(MATCH_ENGINE!F401="IN",MATCH_ENGINE!J401,""))</f>
        <v/>
      </c>
      <c r="H401" s="16">
        <f>IF(MATCH_ENGINE!H401="","",IF(MATCH_ENGINE!F401="OUT",MATCH_ENGINE!J401,""))</f>
        <v/>
      </c>
      <c r="I401" s="16">
        <f>IF(MATCH_ENGINE!H401="","",MATCH_ENGINE!J401)</f>
        <v/>
      </c>
      <c r="J401" s="12">
        <f>IF(MATCH_ENGINE!A401="","",MATCH_ENGINE!K401)</f>
        <v/>
      </c>
      <c r="K401" s="11">
        <f>IF(MATCH_ENGINE!A401="","",MATCH_ENGINE!L401)</f>
        <v/>
      </c>
      <c r="L401" s="17">
        <f>IF(MATCH_ENGINE!A401="","",MATCH_ENGINE!M401)</f>
        <v/>
      </c>
      <c r="M401" s="11">
        <f>IF(MATCH_ENGINE!A401="","",GL_CLEAN!F401)</f>
        <v/>
      </c>
      <c r="N401" s="11">
        <f>IF(MATCH_ENGINE!A401="","",GL_CLEAN!G401)</f>
        <v/>
      </c>
      <c r="O401" s="11">
        <f>IF(MATCH_ENGINE!H401="","",INDEX(BANK_CLEAN!$C$2:$C$1001,MATCH_ENGINE!H401))</f>
        <v/>
      </c>
      <c r="P401" s="11" t="inlineStr"/>
    </row>
    <row r="402">
      <c r="A402" s="11">
        <f>IF(MATCH_ENGINE!A402="","",MATCH_ENGINE!N402)</f>
        <v/>
      </c>
      <c r="B402" s="11">
        <f>IF(MATCH_ENGINE!A402="","",MATCH_ENGINE!C402)</f>
        <v/>
      </c>
      <c r="C402" s="10">
        <f>IF(MATCH_ENGINE!A402="","",MATCH_ENGINE!B402)</f>
        <v/>
      </c>
      <c r="D402" s="16">
        <f>IF(MATCH_ENGINE!A402="","",MATCH_ENGINE!D402)</f>
        <v/>
      </c>
      <c r="E402" s="11">
        <f>IF(MATCH_ENGINE!A402="","",MATCH_ENGINE!F402)</f>
        <v/>
      </c>
      <c r="F402" s="10">
        <f>IF(MATCH_ENGINE!A402="","",MATCH_ENGINE!I402)</f>
        <v/>
      </c>
      <c r="G402" s="16">
        <f>IF(MATCH_ENGINE!H402="","",IF(MATCH_ENGINE!F402="IN",MATCH_ENGINE!J402,""))</f>
        <v/>
      </c>
      <c r="H402" s="16">
        <f>IF(MATCH_ENGINE!H402="","",IF(MATCH_ENGINE!F402="OUT",MATCH_ENGINE!J402,""))</f>
        <v/>
      </c>
      <c r="I402" s="16">
        <f>IF(MATCH_ENGINE!H402="","",MATCH_ENGINE!J402)</f>
        <v/>
      </c>
      <c r="J402" s="12">
        <f>IF(MATCH_ENGINE!A402="","",MATCH_ENGINE!K402)</f>
        <v/>
      </c>
      <c r="K402" s="11">
        <f>IF(MATCH_ENGINE!A402="","",MATCH_ENGINE!L402)</f>
        <v/>
      </c>
      <c r="L402" s="17">
        <f>IF(MATCH_ENGINE!A402="","",MATCH_ENGINE!M402)</f>
        <v/>
      </c>
      <c r="M402" s="11">
        <f>IF(MATCH_ENGINE!A402="","",GL_CLEAN!F402)</f>
        <v/>
      </c>
      <c r="N402" s="11">
        <f>IF(MATCH_ENGINE!A402="","",GL_CLEAN!G402)</f>
        <v/>
      </c>
      <c r="O402" s="11">
        <f>IF(MATCH_ENGINE!H402="","",INDEX(BANK_CLEAN!$C$2:$C$1001,MATCH_ENGINE!H402))</f>
        <v/>
      </c>
      <c r="P402" s="11" t="inlineStr"/>
    </row>
    <row r="403">
      <c r="A403" s="11">
        <f>IF(MATCH_ENGINE!A403="","",MATCH_ENGINE!N403)</f>
        <v/>
      </c>
      <c r="B403" s="11">
        <f>IF(MATCH_ENGINE!A403="","",MATCH_ENGINE!C403)</f>
        <v/>
      </c>
      <c r="C403" s="10">
        <f>IF(MATCH_ENGINE!A403="","",MATCH_ENGINE!B403)</f>
        <v/>
      </c>
      <c r="D403" s="16">
        <f>IF(MATCH_ENGINE!A403="","",MATCH_ENGINE!D403)</f>
        <v/>
      </c>
      <c r="E403" s="11">
        <f>IF(MATCH_ENGINE!A403="","",MATCH_ENGINE!F403)</f>
        <v/>
      </c>
      <c r="F403" s="10">
        <f>IF(MATCH_ENGINE!A403="","",MATCH_ENGINE!I403)</f>
        <v/>
      </c>
      <c r="G403" s="16">
        <f>IF(MATCH_ENGINE!H403="","",IF(MATCH_ENGINE!F403="IN",MATCH_ENGINE!J403,""))</f>
        <v/>
      </c>
      <c r="H403" s="16">
        <f>IF(MATCH_ENGINE!H403="","",IF(MATCH_ENGINE!F403="OUT",MATCH_ENGINE!J403,""))</f>
        <v/>
      </c>
      <c r="I403" s="16">
        <f>IF(MATCH_ENGINE!H403="","",MATCH_ENGINE!J403)</f>
        <v/>
      </c>
      <c r="J403" s="12">
        <f>IF(MATCH_ENGINE!A403="","",MATCH_ENGINE!K403)</f>
        <v/>
      </c>
      <c r="K403" s="11">
        <f>IF(MATCH_ENGINE!A403="","",MATCH_ENGINE!L403)</f>
        <v/>
      </c>
      <c r="L403" s="17">
        <f>IF(MATCH_ENGINE!A403="","",MATCH_ENGINE!M403)</f>
        <v/>
      </c>
      <c r="M403" s="11">
        <f>IF(MATCH_ENGINE!A403="","",GL_CLEAN!F403)</f>
        <v/>
      </c>
      <c r="N403" s="11">
        <f>IF(MATCH_ENGINE!A403="","",GL_CLEAN!G403)</f>
        <v/>
      </c>
      <c r="O403" s="11">
        <f>IF(MATCH_ENGINE!H403="","",INDEX(BANK_CLEAN!$C$2:$C$1001,MATCH_ENGINE!H403))</f>
        <v/>
      </c>
      <c r="P403" s="11" t="inlineStr"/>
    </row>
    <row r="404">
      <c r="A404" s="11">
        <f>IF(MATCH_ENGINE!A404="","",MATCH_ENGINE!N404)</f>
        <v/>
      </c>
      <c r="B404" s="11">
        <f>IF(MATCH_ENGINE!A404="","",MATCH_ENGINE!C404)</f>
        <v/>
      </c>
      <c r="C404" s="10">
        <f>IF(MATCH_ENGINE!A404="","",MATCH_ENGINE!B404)</f>
        <v/>
      </c>
      <c r="D404" s="16">
        <f>IF(MATCH_ENGINE!A404="","",MATCH_ENGINE!D404)</f>
        <v/>
      </c>
      <c r="E404" s="11">
        <f>IF(MATCH_ENGINE!A404="","",MATCH_ENGINE!F404)</f>
        <v/>
      </c>
      <c r="F404" s="10">
        <f>IF(MATCH_ENGINE!A404="","",MATCH_ENGINE!I404)</f>
        <v/>
      </c>
      <c r="G404" s="16">
        <f>IF(MATCH_ENGINE!H404="","",IF(MATCH_ENGINE!F404="IN",MATCH_ENGINE!J404,""))</f>
        <v/>
      </c>
      <c r="H404" s="16">
        <f>IF(MATCH_ENGINE!H404="","",IF(MATCH_ENGINE!F404="OUT",MATCH_ENGINE!J404,""))</f>
        <v/>
      </c>
      <c r="I404" s="16">
        <f>IF(MATCH_ENGINE!H404="","",MATCH_ENGINE!J404)</f>
        <v/>
      </c>
      <c r="J404" s="12">
        <f>IF(MATCH_ENGINE!A404="","",MATCH_ENGINE!K404)</f>
        <v/>
      </c>
      <c r="K404" s="11">
        <f>IF(MATCH_ENGINE!A404="","",MATCH_ENGINE!L404)</f>
        <v/>
      </c>
      <c r="L404" s="17">
        <f>IF(MATCH_ENGINE!A404="","",MATCH_ENGINE!M404)</f>
        <v/>
      </c>
      <c r="M404" s="11">
        <f>IF(MATCH_ENGINE!A404="","",GL_CLEAN!F404)</f>
        <v/>
      </c>
      <c r="N404" s="11">
        <f>IF(MATCH_ENGINE!A404="","",GL_CLEAN!G404)</f>
        <v/>
      </c>
      <c r="O404" s="11">
        <f>IF(MATCH_ENGINE!H404="","",INDEX(BANK_CLEAN!$C$2:$C$1001,MATCH_ENGINE!H404))</f>
        <v/>
      </c>
      <c r="P404" s="11" t="inlineStr"/>
    </row>
    <row r="405">
      <c r="A405" s="11">
        <f>IF(MATCH_ENGINE!A405="","",MATCH_ENGINE!N405)</f>
        <v/>
      </c>
      <c r="B405" s="11">
        <f>IF(MATCH_ENGINE!A405="","",MATCH_ENGINE!C405)</f>
        <v/>
      </c>
      <c r="C405" s="10">
        <f>IF(MATCH_ENGINE!A405="","",MATCH_ENGINE!B405)</f>
        <v/>
      </c>
      <c r="D405" s="16">
        <f>IF(MATCH_ENGINE!A405="","",MATCH_ENGINE!D405)</f>
        <v/>
      </c>
      <c r="E405" s="11">
        <f>IF(MATCH_ENGINE!A405="","",MATCH_ENGINE!F405)</f>
        <v/>
      </c>
      <c r="F405" s="10">
        <f>IF(MATCH_ENGINE!A405="","",MATCH_ENGINE!I405)</f>
        <v/>
      </c>
      <c r="G405" s="16">
        <f>IF(MATCH_ENGINE!H405="","",IF(MATCH_ENGINE!F405="IN",MATCH_ENGINE!J405,""))</f>
        <v/>
      </c>
      <c r="H405" s="16">
        <f>IF(MATCH_ENGINE!H405="","",IF(MATCH_ENGINE!F405="OUT",MATCH_ENGINE!J405,""))</f>
        <v/>
      </c>
      <c r="I405" s="16">
        <f>IF(MATCH_ENGINE!H405="","",MATCH_ENGINE!J405)</f>
        <v/>
      </c>
      <c r="J405" s="12">
        <f>IF(MATCH_ENGINE!A405="","",MATCH_ENGINE!K405)</f>
        <v/>
      </c>
      <c r="K405" s="11">
        <f>IF(MATCH_ENGINE!A405="","",MATCH_ENGINE!L405)</f>
        <v/>
      </c>
      <c r="L405" s="17">
        <f>IF(MATCH_ENGINE!A405="","",MATCH_ENGINE!M405)</f>
        <v/>
      </c>
      <c r="M405" s="11">
        <f>IF(MATCH_ENGINE!A405="","",GL_CLEAN!F405)</f>
        <v/>
      </c>
      <c r="N405" s="11">
        <f>IF(MATCH_ENGINE!A405="","",GL_CLEAN!G405)</f>
        <v/>
      </c>
      <c r="O405" s="11">
        <f>IF(MATCH_ENGINE!H405="","",INDEX(BANK_CLEAN!$C$2:$C$1001,MATCH_ENGINE!H405))</f>
        <v/>
      </c>
      <c r="P405" s="11" t="inlineStr"/>
    </row>
    <row r="406">
      <c r="A406" s="11">
        <f>IF(MATCH_ENGINE!A406="","",MATCH_ENGINE!N406)</f>
        <v/>
      </c>
      <c r="B406" s="11">
        <f>IF(MATCH_ENGINE!A406="","",MATCH_ENGINE!C406)</f>
        <v/>
      </c>
      <c r="C406" s="10">
        <f>IF(MATCH_ENGINE!A406="","",MATCH_ENGINE!B406)</f>
        <v/>
      </c>
      <c r="D406" s="16">
        <f>IF(MATCH_ENGINE!A406="","",MATCH_ENGINE!D406)</f>
        <v/>
      </c>
      <c r="E406" s="11">
        <f>IF(MATCH_ENGINE!A406="","",MATCH_ENGINE!F406)</f>
        <v/>
      </c>
      <c r="F406" s="10">
        <f>IF(MATCH_ENGINE!A406="","",MATCH_ENGINE!I406)</f>
        <v/>
      </c>
      <c r="G406" s="16">
        <f>IF(MATCH_ENGINE!H406="","",IF(MATCH_ENGINE!F406="IN",MATCH_ENGINE!J406,""))</f>
        <v/>
      </c>
      <c r="H406" s="16">
        <f>IF(MATCH_ENGINE!H406="","",IF(MATCH_ENGINE!F406="OUT",MATCH_ENGINE!J406,""))</f>
        <v/>
      </c>
      <c r="I406" s="16">
        <f>IF(MATCH_ENGINE!H406="","",MATCH_ENGINE!J406)</f>
        <v/>
      </c>
      <c r="J406" s="12">
        <f>IF(MATCH_ENGINE!A406="","",MATCH_ENGINE!K406)</f>
        <v/>
      </c>
      <c r="K406" s="11">
        <f>IF(MATCH_ENGINE!A406="","",MATCH_ENGINE!L406)</f>
        <v/>
      </c>
      <c r="L406" s="17">
        <f>IF(MATCH_ENGINE!A406="","",MATCH_ENGINE!M406)</f>
        <v/>
      </c>
      <c r="M406" s="11">
        <f>IF(MATCH_ENGINE!A406="","",GL_CLEAN!F406)</f>
        <v/>
      </c>
      <c r="N406" s="11">
        <f>IF(MATCH_ENGINE!A406="","",GL_CLEAN!G406)</f>
        <v/>
      </c>
      <c r="O406" s="11">
        <f>IF(MATCH_ENGINE!H406="","",INDEX(BANK_CLEAN!$C$2:$C$1001,MATCH_ENGINE!H406))</f>
        <v/>
      </c>
      <c r="P406" s="11" t="inlineStr"/>
    </row>
    <row r="407">
      <c r="A407" s="11">
        <f>IF(MATCH_ENGINE!A407="","",MATCH_ENGINE!N407)</f>
        <v/>
      </c>
      <c r="B407" s="11">
        <f>IF(MATCH_ENGINE!A407="","",MATCH_ENGINE!C407)</f>
        <v/>
      </c>
      <c r="C407" s="10">
        <f>IF(MATCH_ENGINE!A407="","",MATCH_ENGINE!B407)</f>
        <v/>
      </c>
      <c r="D407" s="16">
        <f>IF(MATCH_ENGINE!A407="","",MATCH_ENGINE!D407)</f>
        <v/>
      </c>
      <c r="E407" s="11">
        <f>IF(MATCH_ENGINE!A407="","",MATCH_ENGINE!F407)</f>
        <v/>
      </c>
      <c r="F407" s="10">
        <f>IF(MATCH_ENGINE!A407="","",MATCH_ENGINE!I407)</f>
        <v/>
      </c>
      <c r="G407" s="16">
        <f>IF(MATCH_ENGINE!H407="","",IF(MATCH_ENGINE!F407="IN",MATCH_ENGINE!J407,""))</f>
        <v/>
      </c>
      <c r="H407" s="16">
        <f>IF(MATCH_ENGINE!H407="","",IF(MATCH_ENGINE!F407="OUT",MATCH_ENGINE!J407,""))</f>
        <v/>
      </c>
      <c r="I407" s="16">
        <f>IF(MATCH_ENGINE!H407="","",MATCH_ENGINE!J407)</f>
        <v/>
      </c>
      <c r="J407" s="12">
        <f>IF(MATCH_ENGINE!A407="","",MATCH_ENGINE!K407)</f>
        <v/>
      </c>
      <c r="K407" s="11">
        <f>IF(MATCH_ENGINE!A407="","",MATCH_ENGINE!L407)</f>
        <v/>
      </c>
      <c r="L407" s="17">
        <f>IF(MATCH_ENGINE!A407="","",MATCH_ENGINE!M407)</f>
        <v/>
      </c>
      <c r="M407" s="11">
        <f>IF(MATCH_ENGINE!A407="","",GL_CLEAN!F407)</f>
        <v/>
      </c>
      <c r="N407" s="11">
        <f>IF(MATCH_ENGINE!A407="","",GL_CLEAN!G407)</f>
        <v/>
      </c>
      <c r="O407" s="11">
        <f>IF(MATCH_ENGINE!H407="","",INDEX(BANK_CLEAN!$C$2:$C$1001,MATCH_ENGINE!H407))</f>
        <v/>
      </c>
      <c r="P407" s="11" t="inlineStr"/>
    </row>
    <row r="408">
      <c r="A408" s="11">
        <f>IF(MATCH_ENGINE!A408="","",MATCH_ENGINE!N408)</f>
        <v/>
      </c>
      <c r="B408" s="11">
        <f>IF(MATCH_ENGINE!A408="","",MATCH_ENGINE!C408)</f>
        <v/>
      </c>
      <c r="C408" s="10">
        <f>IF(MATCH_ENGINE!A408="","",MATCH_ENGINE!B408)</f>
        <v/>
      </c>
      <c r="D408" s="16">
        <f>IF(MATCH_ENGINE!A408="","",MATCH_ENGINE!D408)</f>
        <v/>
      </c>
      <c r="E408" s="11">
        <f>IF(MATCH_ENGINE!A408="","",MATCH_ENGINE!F408)</f>
        <v/>
      </c>
      <c r="F408" s="10">
        <f>IF(MATCH_ENGINE!A408="","",MATCH_ENGINE!I408)</f>
        <v/>
      </c>
      <c r="G408" s="16">
        <f>IF(MATCH_ENGINE!H408="","",IF(MATCH_ENGINE!F408="IN",MATCH_ENGINE!J408,""))</f>
        <v/>
      </c>
      <c r="H408" s="16">
        <f>IF(MATCH_ENGINE!H408="","",IF(MATCH_ENGINE!F408="OUT",MATCH_ENGINE!J408,""))</f>
        <v/>
      </c>
      <c r="I408" s="16">
        <f>IF(MATCH_ENGINE!H408="","",MATCH_ENGINE!J408)</f>
        <v/>
      </c>
      <c r="J408" s="12">
        <f>IF(MATCH_ENGINE!A408="","",MATCH_ENGINE!K408)</f>
        <v/>
      </c>
      <c r="K408" s="11">
        <f>IF(MATCH_ENGINE!A408="","",MATCH_ENGINE!L408)</f>
        <v/>
      </c>
      <c r="L408" s="17">
        <f>IF(MATCH_ENGINE!A408="","",MATCH_ENGINE!M408)</f>
        <v/>
      </c>
      <c r="M408" s="11">
        <f>IF(MATCH_ENGINE!A408="","",GL_CLEAN!F408)</f>
        <v/>
      </c>
      <c r="N408" s="11">
        <f>IF(MATCH_ENGINE!A408="","",GL_CLEAN!G408)</f>
        <v/>
      </c>
      <c r="O408" s="11">
        <f>IF(MATCH_ENGINE!H408="","",INDEX(BANK_CLEAN!$C$2:$C$1001,MATCH_ENGINE!H408))</f>
        <v/>
      </c>
      <c r="P408" s="11" t="inlineStr"/>
    </row>
    <row r="409">
      <c r="A409" s="11">
        <f>IF(MATCH_ENGINE!A409="","",MATCH_ENGINE!N409)</f>
        <v/>
      </c>
      <c r="B409" s="11">
        <f>IF(MATCH_ENGINE!A409="","",MATCH_ENGINE!C409)</f>
        <v/>
      </c>
      <c r="C409" s="10">
        <f>IF(MATCH_ENGINE!A409="","",MATCH_ENGINE!B409)</f>
        <v/>
      </c>
      <c r="D409" s="16">
        <f>IF(MATCH_ENGINE!A409="","",MATCH_ENGINE!D409)</f>
        <v/>
      </c>
      <c r="E409" s="11">
        <f>IF(MATCH_ENGINE!A409="","",MATCH_ENGINE!F409)</f>
        <v/>
      </c>
      <c r="F409" s="10">
        <f>IF(MATCH_ENGINE!A409="","",MATCH_ENGINE!I409)</f>
        <v/>
      </c>
      <c r="G409" s="16">
        <f>IF(MATCH_ENGINE!H409="","",IF(MATCH_ENGINE!F409="IN",MATCH_ENGINE!J409,""))</f>
        <v/>
      </c>
      <c r="H409" s="16">
        <f>IF(MATCH_ENGINE!H409="","",IF(MATCH_ENGINE!F409="OUT",MATCH_ENGINE!J409,""))</f>
        <v/>
      </c>
      <c r="I409" s="16">
        <f>IF(MATCH_ENGINE!H409="","",MATCH_ENGINE!J409)</f>
        <v/>
      </c>
      <c r="J409" s="12">
        <f>IF(MATCH_ENGINE!A409="","",MATCH_ENGINE!K409)</f>
        <v/>
      </c>
      <c r="K409" s="11">
        <f>IF(MATCH_ENGINE!A409="","",MATCH_ENGINE!L409)</f>
        <v/>
      </c>
      <c r="L409" s="17">
        <f>IF(MATCH_ENGINE!A409="","",MATCH_ENGINE!M409)</f>
        <v/>
      </c>
      <c r="M409" s="11">
        <f>IF(MATCH_ENGINE!A409="","",GL_CLEAN!F409)</f>
        <v/>
      </c>
      <c r="N409" s="11">
        <f>IF(MATCH_ENGINE!A409="","",GL_CLEAN!G409)</f>
        <v/>
      </c>
      <c r="O409" s="11">
        <f>IF(MATCH_ENGINE!H409="","",INDEX(BANK_CLEAN!$C$2:$C$1001,MATCH_ENGINE!H409))</f>
        <v/>
      </c>
      <c r="P409" s="11" t="inlineStr"/>
    </row>
    <row r="410">
      <c r="A410" s="11">
        <f>IF(MATCH_ENGINE!A410="","",MATCH_ENGINE!N410)</f>
        <v/>
      </c>
      <c r="B410" s="11">
        <f>IF(MATCH_ENGINE!A410="","",MATCH_ENGINE!C410)</f>
        <v/>
      </c>
      <c r="C410" s="10">
        <f>IF(MATCH_ENGINE!A410="","",MATCH_ENGINE!B410)</f>
        <v/>
      </c>
      <c r="D410" s="16">
        <f>IF(MATCH_ENGINE!A410="","",MATCH_ENGINE!D410)</f>
        <v/>
      </c>
      <c r="E410" s="11">
        <f>IF(MATCH_ENGINE!A410="","",MATCH_ENGINE!F410)</f>
        <v/>
      </c>
      <c r="F410" s="10">
        <f>IF(MATCH_ENGINE!A410="","",MATCH_ENGINE!I410)</f>
        <v/>
      </c>
      <c r="G410" s="16">
        <f>IF(MATCH_ENGINE!H410="","",IF(MATCH_ENGINE!F410="IN",MATCH_ENGINE!J410,""))</f>
        <v/>
      </c>
      <c r="H410" s="16">
        <f>IF(MATCH_ENGINE!H410="","",IF(MATCH_ENGINE!F410="OUT",MATCH_ENGINE!J410,""))</f>
        <v/>
      </c>
      <c r="I410" s="16">
        <f>IF(MATCH_ENGINE!H410="","",MATCH_ENGINE!J410)</f>
        <v/>
      </c>
      <c r="J410" s="12">
        <f>IF(MATCH_ENGINE!A410="","",MATCH_ENGINE!K410)</f>
        <v/>
      </c>
      <c r="K410" s="11">
        <f>IF(MATCH_ENGINE!A410="","",MATCH_ENGINE!L410)</f>
        <v/>
      </c>
      <c r="L410" s="17">
        <f>IF(MATCH_ENGINE!A410="","",MATCH_ENGINE!M410)</f>
        <v/>
      </c>
      <c r="M410" s="11">
        <f>IF(MATCH_ENGINE!A410="","",GL_CLEAN!F410)</f>
        <v/>
      </c>
      <c r="N410" s="11">
        <f>IF(MATCH_ENGINE!A410="","",GL_CLEAN!G410)</f>
        <v/>
      </c>
      <c r="O410" s="11">
        <f>IF(MATCH_ENGINE!H410="","",INDEX(BANK_CLEAN!$C$2:$C$1001,MATCH_ENGINE!H410))</f>
        <v/>
      </c>
      <c r="P410" s="11" t="inlineStr"/>
    </row>
    <row r="411">
      <c r="A411" s="11">
        <f>IF(MATCH_ENGINE!A411="","",MATCH_ENGINE!N411)</f>
        <v/>
      </c>
      <c r="B411" s="11">
        <f>IF(MATCH_ENGINE!A411="","",MATCH_ENGINE!C411)</f>
        <v/>
      </c>
      <c r="C411" s="10">
        <f>IF(MATCH_ENGINE!A411="","",MATCH_ENGINE!B411)</f>
        <v/>
      </c>
      <c r="D411" s="16">
        <f>IF(MATCH_ENGINE!A411="","",MATCH_ENGINE!D411)</f>
        <v/>
      </c>
      <c r="E411" s="11">
        <f>IF(MATCH_ENGINE!A411="","",MATCH_ENGINE!F411)</f>
        <v/>
      </c>
      <c r="F411" s="10">
        <f>IF(MATCH_ENGINE!A411="","",MATCH_ENGINE!I411)</f>
        <v/>
      </c>
      <c r="G411" s="16">
        <f>IF(MATCH_ENGINE!H411="","",IF(MATCH_ENGINE!F411="IN",MATCH_ENGINE!J411,""))</f>
        <v/>
      </c>
      <c r="H411" s="16">
        <f>IF(MATCH_ENGINE!H411="","",IF(MATCH_ENGINE!F411="OUT",MATCH_ENGINE!J411,""))</f>
        <v/>
      </c>
      <c r="I411" s="16">
        <f>IF(MATCH_ENGINE!H411="","",MATCH_ENGINE!J411)</f>
        <v/>
      </c>
      <c r="J411" s="12">
        <f>IF(MATCH_ENGINE!A411="","",MATCH_ENGINE!K411)</f>
        <v/>
      </c>
      <c r="K411" s="11">
        <f>IF(MATCH_ENGINE!A411="","",MATCH_ENGINE!L411)</f>
        <v/>
      </c>
      <c r="L411" s="17">
        <f>IF(MATCH_ENGINE!A411="","",MATCH_ENGINE!M411)</f>
        <v/>
      </c>
      <c r="M411" s="11">
        <f>IF(MATCH_ENGINE!A411="","",GL_CLEAN!F411)</f>
        <v/>
      </c>
      <c r="N411" s="11">
        <f>IF(MATCH_ENGINE!A411="","",GL_CLEAN!G411)</f>
        <v/>
      </c>
      <c r="O411" s="11">
        <f>IF(MATCH_ENGINE!H411="","",INDEX(BANK_CLEAN!$C$2:$C$1001,MATCH_ENGINE!H411))</f>
        <v/>
      </c>
      <c r="P411" s="11" t="inlineStr"/>
    </row>
    <row r="412">
      <c r="A412" s="11">
        <f>IF(MATCH_ENGINE!A412="","",MATCH_ENGINE!N412)</f>
        <v/>
      </c>
      <c r="B412" s="11">
        <f>IF(MATCH_ENGINE!A412="","",MATCH_ENGINE!C412)</f>
        <v/>
      </c>
      <c r="C412" s="10">
        <f>IF(MATCH_ENGINE!A412="","",MATCH_ENGINE!B412)</f>
        <v/>
      </c>
      <c r="D412" s="16">
        <f>IF(MATCH_ENGINE!A412="","",MATCH_ENGINE!D412)</f>
        <v/>
      </c>
      <c r="E412" s="11">
        <f>IF(MATCH_ENGINE!A412="","",MATCH_ENGINE!F412)</f>
        <v/>
      </c>
      <c r="F412" s="10">
        <f>IF(MATCH_ENGINE!A412="","",MATCH_ENGINE!I412)</f>
        <v/>
      </c>
      <c r="G412" s="16">
        <f>IF(MATCH_ENGINE!H412="","",IF(MATCH_ENGINE!F412="IN",MATCH_ENGINE!J412,""))</f>
        <v/>
      </c>
      <c r="H412" s="16">
        <f>IF(MATCH_ENGINE!H412="","",IF(MATCH_ENGINE!F412="OUT",MATCH_ENGINE!J412,""))</f>
        <v/>
      </c>
      <c r="I412" s="16">
        <f>IF(MATCH_ENGINE!H412="","",MATCH_ENGINE!J412)</f>
        <v/>
      </c>
      <c r="J412" s="12">
        <f>IF(MATCH_ENGINE!A412="","",MATCH_ENGINE!K412)</f>
        <v/>
      </c>
      <c r="K412" s="11">
        <f>IF(MATCH_ENGINE!A412="","",MATCH_ENGINE!L412)</f>
        <v/>
      </c>
      <c r="L412" s="17">
        <f>IF(MATCH_ENGINE!A412="","",MATCH_ENGINE!M412)</f>
        <v/>
      </c>
      <c r="M412" s="11">
        <f>IF(MATCH_ENGINE!A412="","",GL_CLEAN!F412)</f>
        <v/>
      </c>
      <c r="N412" s="11">
        <f>IF(MATCH_ENGINE!A412="","",GL_CLEAN!G412)</f>
        <v/>
      </c>
      <c r="O412" s="11">
        <f>IF(MATCH_ENGINE!H412="","",INDEX(BANK_CLEAN!$C$2:$C$1001,MATCH_ENGINE!H412))</f>
        <v/>
      </c>
      <c r="P412" s="11" t="inlineStr"/>
    </row>
    <row r="413">
      <c r="A413" s="11">
        <f>IF(MATCH_ENGINE!A413="","",MATCH_ENGINE!N413)</f>
        <v/>
      </c>
      <c r="B413" s="11">
        <f>IF(MATCH_ENGINE!A413="","",MATCH_ENGINE!C413)</f>
        <v/>
      </c>
      <c r="C413" s="10">
        <f>IF(MATCH_ENGINE!A413="","",MATCH_ENGINE!B413)</f>
        <v/>
      </c>
      <c r="D413" s="16">
        <f>IF(MATCH_ENGINE!A413="","",MATCH_ENGINE!D413)</f>
        <v/>
      </c>
      <c r="E413" s="11">
        <f>IF(MATCH_ENGINE!A413="","",MATCH_ENGINE!F413)</f>
        <v/>
      </c>
      <c r="F413" s="10">
        <f>IF(MATCH_ENGINE!A413="","",MATCH_ENGINE!I413)</f>
        <v/>
      </c>
      <c r="G413" s="16">
        <f>IF(MATCH_ENGINE!H413="","",IF(MATCH_ENGINE!F413="IN",MATCH_ENGINE!J413,""))</f>
        <v/>
      </c>
      <c r="H413" s="16">
        <f>IF(MATCH_ENGINE!H413="","",IF(MATCH_ENGINE!F413="OUT",MATCH_ENGINE!J413,""))</f>
        <v/>
      </c>
      <c r="I413" s="16">
        <f>IF(MATCH_ENGINE!H413="","",MATCH_ENGINE!J413)</f>
        <v/>
      </c>
      <c r="J413" s="12">
        <f>IF(MATCH_ENGINE!A413="","",MATCH_ENGINE!K413)</f>
        <v/>
      </c>
      <c r="K413" s="11">
        <f>IF(MATCH_ENGINE!A413="","",MATCH_ENGINE!L413)</f>
        <v/>
      </c>
      <c r="L413" s="17">
        <f>IF(MATCH_ENGINE!A413="","",MATCH_ENGINE!M413)</f>
        <v/>
      </c>
      <c r="M413" s="11">
        <f>IF(MATCH_ENGINE!A413="","",GL_CLEAN!F413)</f>
        <v/>
      </c>
      <c r="N413" s="11">
        <f>IF(MATCH_ENGINE!A413="","",GL_CLEAN!G413)</f>
        <v/>
      </c>
      <c r="O413" s="11">
        <f>IF(MATCH_ENGINE!H413="","",INDEX(BANK_CLEAN!$C$2:$C$1001,MATCH_ENGINE!H413))</f>
        <v/>
      </c>
      <c r="P413" s="11" t="inlineStr"/>
    </row>
    <row r="414">
      <c r="A414" s="11">
        <f>IF(MATCH_ENGINE!A414="","",MATCH_ENGINE!N414)</f>
        <v/>
      </c>
      <c r="B414" s="11">
        <f>IF(MATCH_ENGINE!A414="","",MATCH_ENGINE!C414)</f>
        <v/>
      </c>
      <c r="C414" s="10">
        <f>IF(MATCH_ENGINE!A414="","",MATCH_ENGINE!B414)</f>
        <v/>
      </c>
      <c r="D414" s="16">
        <f>IF(MATCH_ENGINE!A414="","",MATCH_ENGINE!D414)</f>
        <v/>
      </c>
      <c r="E414" s="11">
        <f>IF(MATCH_ENGINE!A414="","",MATCH_ENGINE!F414)</f>
        <v/>
      </c>
      <c r="F414" s="10">
        <f>IF(MATCH_ENGINE!A414="","",MATCH_ENGINE!I414)</f>
        <v/>
      </c>
      <c r="G414" s="16">
        <f>IF(MATCH_ENGINE!H414="","",IF(MATCH_ENGINE!F414="IN",MATCH_ENGINE!J414,""))</f>
        <v/>
      </c>
      <c r="H414" s="16">
        <f>IF(MATCH_ENGINE!H414="","",IF(MATCH_ENGINE!F414="OUT",MATCH_ENGINE!J414,""))</f>
        <v/>
      </c>
      <c r="I414" s="16">
        <f>IF(MATCH_ENGINE!H414="","",MATCH_ENGINE!J414)</f>
        <v/>
      </c>
      <c r="J414" s="12">
        <f>IF(MATCH_ENGINE!A414="","",MATCH_ENGINE!K414)</f>
        <v/>
      </c>
      <c r="K414" s="11">
        <f>IF(MATCH_ENGINE!A414="","",MATCH_ENGINE!L414)</f>
        <v/>
      </c>
      <c r="L414" s="17">
        <f>IF(MATCH_ENGINE!A414="","",MATCH_ENGINE!M414)</f>
        <v/>
      </c>
      <c r="M414" s="11">
        <f>IF(MATCH_ENGINE!A414="","",GL_CLEAN!F414)</f>
        <v/>
      </c>
      <c r="N414" s="11">
        <f>IF(MATCH_ENGINE!A414="","",GL_CLEAN!G414)</f>
        <v/>
      </c>
      <c r="O414" s="11">
        <f>IF(MATCH_ENGINE!H414="","",INDEX(BANK_CLEAN!$C$2:$C$1001,MATCH_ENGINE!H414))</f>
        <v/>
      </c>
      <c r="P414" s="11" t="inlineStr"/>
    </row>
    <row r="415">
      <c r="A415" s="11">
        <f>IF(MATCH_ENGINE!A415="","",MATCH_ENGINE!N415)</f>
        <v/>
      </c>
      <c r="B415" s="11">
        <f>IF(MATCH_ENGINE!A415="","",MATCH_ENGINE!C415)</f>
        <v/>
      </c>
      <c r="C415" s="10">
        <f>IF(MATCH_ENGINE!A415="","",MATCH_ENGINE!B415)</f>
        <v/>
      </c>
      <c r="D415" s="16">
        <f>IF(MATCH_ENGINE!A415="","",MATCH_ENGINE!D415)</f>
        <v/>
      </c>
      <c r="E415" s="11">
        <f>IF(MATCH_ENGINE!A415="","",MATCH_ENGINE!F415)</f>
        <v/>
      </c>
      <c r="F415" s="10">
        <f>IF(MATCH_ENGINE!A415="","",MATCH_ENGINE!I415)</f>
        <v/>
      </c>
      <c r="G415" s="16">
        <f>IF(MATCH_ENGINE!H415="","",IF(MATCH_ENGINE!F415="IN",MATCH_ENGINE!J415,""))</f>
        <v/>
      </c>
      <c r="H415" s="16">
        <f>IF(MATCH_ENGINE!H415="","",IF(MATCH_ENGINE!F415="OUT",MATCH_ENGINE!J415,""))</f>
        <v/>
      </c>
      <c r="I415" s="16">
        <f>IF(MATCH_ENGINE!H415="","",MATCH_ENGINE!J415)</f>
        <v/>
      </c>
      <c r="J415" s="12">
        <f>IF(MATCH_ENGINE!A415="","",MATCH_ENGINE!K415)</f>
        <v/>
      </c>
      <c r="K415" s="11">
        <f>IF(MATCH_ENGINE!A415="","",MATCH_ENGINE!L415)</f>
        <v/>
      </c>
      <c r="L415" s="17">
        <f>IF(MATCH_ENGINE!A415="","",MATCH_ENGINE!M415)</f>
        <v/>
      </c>
      <c r="M415" s="11">
        <f>IF(MATCH_ENGINE!A415="","",GL_CLEAN!F415)</f>
        <v/>
      </c>
      <c r="N415" s="11">
        <f>IF(MATCH_ENGINE!A415="","",GL_CLEAN!G415)</f>
        <v/>
      </c>
      <c r="O415" s="11">
        <f>IF(MATCH_ENGINE!H415="","",INDEX(BANK_CLEAN!$C$2:$C$1001,MATCH_ENGINE!H415))</f>
        <v/>
      </c>
      <c r="P415" s="11" t="inlineStr"/>
    </row>
    <row r="416">
      <c r="A416" s="11">
        <f>IF(MATCH_ENGINE!A416="","",MATCH_ENGINE!N416)</f>
        <v/>
      </c>
      <c r="B416" s="11">
        <f>IF(MATCH_ENGINE!A416="","",MATCH_ENGINE!C416)</f>
        <v/>
      </c>
      <c r="C416" s="10">
        <f>IF(MATCH_ENGINE!A416="","",MATCH_ENGINE!B416)</f>
        <v/>
      </c>
      <c r="D416" s="16">
        <f>IF(MATCH_ENGINE!A416="","",MATCH_ENGINE!D416)</f>
        <v/>
      </c>
      <c r="E416" s="11">
        <f>IF(MATCH_ENGINE!A416="","",MATCH_ENGINE!F416)</f>
        <v/>
      </c>
      <c r="F416" s="10">
        <f>IF(MATCH_ENGINE!A416="","",MATCH_ENGINE!I416)</f>
        <v/>
      </c>
      <c r="G416" s="16">
        <f>IF(MATCH_ENGINE!H416="","",IF(MATCH_ENGINE!F416="IN",MATCH_ENGINE!J416,""))</f>
        <v/>
      </c>
      <c r="H416" s="16">
        <f>IF(MATCH_ENGINE!H416="","",IF(MATCH_ENGINE!F416="OUT",MATCH_ENGINE!J416,""))</f>
        <v/>
      </c>
      <c r="I416" s="16">
        <f>IF(MATCH_ENGINE!H416="","",MATCH_ENGINE!J416)</f>
        <v/>
      </c>
      <c r="J416" s="12">
        <f>IF(MATCH_ENGINE!A416="","",MATCH_ENGINE!K416)</f>
        <v/>
      </c>
      <c r="K416" s="11">
        <f>IF(MATCH_ENGINE!A416="","",MATCH_ENGINE!L416)</f>
        <v/>
      </c>
      <c r="L416" s="17">
        <f>IF(MATCH_ENGINE!A416="","",MATCH_ENGINE!M416)</f>
        <v/>
      </c>
      <c r="M416" s="11">
        <f>IF(MATCH_ENGINE!A416="","",GL_CLEAN!F416)</f>
        <v/>
      </c>
      <c r="N416" s="11">
        <f>IF(MATCH_ENGINE!A416="","",GL_CLEAN!G416)</f>
        <v/>
      </c>
      <c r="O416" s="11">
        <f>IF(MATCH_ENGINE!H416="","",INDEX(BANK_CLEAN!$C$2:$C$1001,MATCH_ENGINE!H416))</f>
        <v/>
      </c>
      <c r="P416" s="11" t="inlineStr"/>
    </row>
    <row r="417">
      <c r="A417" s="11">
        <f>IF(MATCH_ENGINE!A417="","",MATCH_ENGINE!N417)</f>
        <v/>
      </c>
      <c r="B417" s="11">
        <f>IF(MATCH_ENGINE!A417="","",MATCH_ENGINE!C417)</f>
        <v/>
      </c>
      <c r="C417" s="10">
        <f>IF(MATCH_ENGINE!A417="","",MATCH_ENGINE!B417)</f>
        <v/>
      </c>
      <c r="D417" s="16">
        <f>IF(MATCH_ENGINE!A417="","",MATCH_ENGINE!D417)</f>
        <v/>
      </c>
      <c r="E417" s="11">
        <f>IF(MATCH_ENGINE!A417="","",MATCH_ENGINE!F417)</f>
        <v/>
      </c>
      <c r="F417" s="10">
        <f>IF(MATCH_ENGINE!A417="","",MATCH_ENGINE!I417)</f>
        <v/>
      </c>
      <c r="G417" s="16">
        <f>IF(MATCH_ENGINE!H417="","",IF(MATCH_ENGINE!F417="IN",MATCH_ENGINE!J417,""))</f>
        <v/>
      </c>
      <c r="H417" s="16">
        <f>IF(MATCH_ENGINE!H417="","",IF(MATCH_ENGINE!F417="OUT",MATCH_ENGINE!J417,""))</f>
        <v/>
      </c>
      <c r="I417" s="16">
        <f>IF(MATCH_ENGINE!H417="","",MATCH_ENGINE!J417)</f>
        <v/>
      </c>
      <c r="J417" s="12">
        <f>IF(MATCH_ENGINE!A417="","",MATCH_ENGINE!K417)</f>
        <v/>
      </c>
      <c r="K417" s="11">
        <f>IF(MATCH_ENGINE!A417="","",MATCH_ENGINE!L417)</f>
        <v/>
      </c>
      <c r="L417" s="17">
        <f>IF(MATCH_ENGINE!A417="","",MATCH_ENGINE!M417)</f>
        <v/>
      </c>
      <c r="M417" s="11">
        <f>IF(MATCH_ENGINE!A417="","",GL_CLEAN!F417)</f>
        <v/>
      </c>
      <c r="N417" s="11">
        <f>IF(MATCH_ENGINE!A417="","",GL_CLEAN!G417)</f>
        <v/>
      </c>
      <c r="O417" s="11">
        <f>IF(MATCH_ENGINE!H417="","",INDEX(BANK_CLEAN!$C$2:$C$1001,MATCH_ENGINE!H417))</f>
        <v/>
      </c>
      <c r="P417" s="11" t="inlineStr"/>
    </row>
    <row r="418">
      <c r="A418" s="11">
        <f>IF(MATCH_ENGINE!A418="","",MATCH_ENGINE!N418)</f>
        <v/>
      </c>
      <c r="B418" s="11">
        <f>IF(MATCH_ENGINE!A418="","",MATCH_ENGINE!C418)</f>
        <v/>
      </c>
      <c r="C418" s="10">
        <f>IF(MATCH_ENGINE!A418="","",MATCH_ENGINE!B418)</f>
        <v/>
      </c>
      <c r="D418" s="16">
        <f>IF(MATCH_ENGINE!A418="","",MATCH_ENGINE!D418)</f>
        <v/>
      </c>
      <c r="E418" s="11">
        <f>IF(MATCH_ENGINE!A418="","",MATCH_ENGINE!F418)</f>
        <v/>
      </c>
      <c r="F418" s="10">
        <f>IF(MATCH_ENGINE!A418="","",MATCH_ENGINE!I418)</f>
        <v/>
      </c>
      <c r="G418" s="16">
        <f>IF(MATCH_ENGINE!H418="","",IF(MATCH_ENGINE!F418="IN",MATCH_ENGINE!J418,""))</f>
        <v/>
      </c>
      <c r="H418" s="16">
        <f>IF(MATCH_ENGINE!H418="","",IF(MATCH_ENGINE!F418="OUT",MATCH_ENGINE!J418,""))</f>
        <v/>
      </c>
      <c r="I418" s="16">
        <f>IF(MATCH_ENGINE!H418="","",MATCH_ENGINE!J418)</f>
        <v/>
      </c>
      <c r="J418" s="12">
        <f>IF(MATCH_ENGINE!A418="","",MATCH_ENGINE!K418)</f>
        <v/>
      </c>
      <c r="K418" s="11">
        <f>IF(MATCH_ENGINE!A418="","",MATCH_ENGINE!L418)</f>
        <v/>
      </c>
      <c r="L418" s="17">
        <f>IF(MATCH_ENGINE!A418="","",MATCH_ENGINE!M418)</f>
        <v/>
      </c>
      <c r="M418" s="11">
        <f>IF(MATCH_ENGINE!A418="","",GL_CLEAN!F418)</f>
        <v/>
      </c>
      <c r="N418" s="11">
        <f>IF(MATCH_ENGINE!A418="","",GL_CLEAN!G418)</f>
        <v/>
      </c>
      <c r="O418" s="11">
        <f>IF(MATCH_ENGINE!H418="","",INDEX(BANK_CLEAN!$C$2:$C$1001,MATCH_ENGINE!H418))</f>
        <v/>
      </c>
      <c r="P418" s="11" t="inlineStr"/>
    </row>
    <row r="419">
      <c r="A419" s="11">
        <f>IF(MATCH_ENGINE!A419="","",MATCH_ENGINE!N419)</f>
        <v/>
      </c>
      <c r="B419" s="11">
        <f>IF(MATCH_ENGINE!A419="","",MATCH_ENGINE!C419)</f>
        <v/>
      </c>
      <c r="C419" s="10">
        <f>IF(MATCH_ENGINE!A419="","",MATCH_ENGINE!B419)</f>
        <v/>
      </c>
      <c r="D419" s="16">
        <f>IF(MATCH_ENGINE!A419="","",MATCH_ENGINE!D419)</f>
        <v/>
      </c>
      <c r="E419" s="11">
        <f>IF(MATCH_ENGINE!A419="","",MATCH_ENGINE!F419)</f>
        <v/>
      </c>
      <c r="F419" s="10">
        <f>IF(MATCH_ENGINE!A419="","",MATCH_ENGINE!I419)</f>
        <v/>
      </c>
      <c r="G419" s="16">
        <f>IF(MATCH_ENGINE!H419="","",IF(MATCH_ENGINE!F419="IN",MATCH_ENGINE!J419,""))</f>
        <v/>
      </c>
      <c r="H419" s="16">
        <f>IF(MATCH_ENGINE!H419="","",IF(MATCH_ENGINE!F419="OUT",MATCH_ENGINE!J419,""))</f>
        <v/>
      </c>
      <c r="I419" s="16">
        <f>IF(MATCH_ENGINE!H419="","",MATCH_ENGINE!J419)</f>
        <v/>
      </c>
      <c r="J419" s="12">
        <f>IF(MATCH_ENGINE!A419="","",MATCH_ENGINE!K419)</f>
        <v/>
      </c>
      <c r="K419" s="11">
        <f>IF(MATCH_ENGINE!A419="","",MATCH_ENGINE!L419)</f>
        <v/>
      </c>
      <c r="L419" s="17">
        <f>IF(MATCH_ENGINE!A419="","",MATCH_ENGINE!M419)</f>
        <v/>
      </c>
      <c r="M419" s="11">
        <f>IF(MATCH_ENGINE!A419="","",GL_CLEAN!F419)</f>
        <v/>
      </c>
      <c r="N419" s="11">
        <f>IF(MATCH_ENGINE!A419="","",GL_CLEAN!G419)</f>
        <v/>
      </c>
      <c r="O419" s="11">
        <f>IF(MATCH_ENGINE!H419="","",INDEX(BANK_CLEAN!$C$2:$C$1001,MATCH_ENGINE!H419))</f>
        <v/>
      </c>
      <c r="P419" s="11" t="inlineStr"/>
    </row>
    <row r="420">
      <c r="A420" s="11">
        <f>IF(MATCH_ENGINE!A420="","",MATCH_ENGINE!N420)</f>
        <v/>
      </c>
      <c r="B420" s="11">
        <f>IF(MATCH_ENGINE!A420="","",MATCH_ENGINE!C420)</f>
        <v/>
      </c>
      <c r="C420" s="10">
        <f>IF(MATCH_ENGINE!A420="","",MATCH_ENGINE!B420)</f>
        <v/>
      </c>
      <c r="D420" s="16">
        <f>IF(MATCH_ENGINE!A420="","",MATCH_ENGINE!D420)</f>
        <v/>
      </c>
      <c r="E420" s="11">
        <f>IF(MATCH_ENGINE!A420="","",MATCH_ENGINE!F420)</f>
        <v/>
      </c>
      <c r="F420" s="10">
        <f>IF(MATCH_ENGINE!A420="","",MATCH_ENGINE!I420)</f>
        <v/>
      </c>
      <c r="G420" s="16">
        <f>IF(MATCH_ENGINE!H420="","",IF(MATCH_ENGINE!F420="IN",MATCH_ENGINE!J420,""))</f>
        <v/>
      </c>
      <c r="H420" s="16">
        <f>IF(MATCH_ENGINE!H420="","",IF(MATCH_ENGINE!F420="OUT",MATCH_ENGINE!J420,""))</f>
        <v/>
      </c>
      <c r="I420" s="16">
        <f>IF(MATCH_ENGINE!H420="","",MATCH_ENGINE!J420)</f>
        <v/>
      </c>
      <c r="J420" s="12">
        <f>IF(MATCH_ENGINE!A420="","",MATCH_ENGINE!K420)</f>
        <v/>
      </c>
      <c r="K420" s="11">
        <f>IF(MATCH_ENGINE!A420="","",MATCH_ENGINE!L420)</f>
        <v/>
      </c>
      <c r="L420" s="17">
        <f>IF(MATCH_ENGINE!A420="","",MATCH_ENGINE!M420)</f>
        <v/>
      </c>
      <c r="M420" s="11">
        <f>IF(MATCH_ENGINE!A420="","",GL_CLEAN!F420)</f>
        <v/>
      </c>
      <c r="N420" s="11">
        <f>IF(MATCH_ENGINE!A420="","",GL_CLEAN!G420)</f>
        <v/>
      </c>
      <c r="O420" s="11">
        <f>IF(MATCH_ENGINE!H420="","",INDEX(BANK_CLEAN!$C$2:$C$1001,MATCH_ENGINE!H420))</f>
        <v/>
      </c>
      <c r="P420" s="11" t="inlineStr"/>
    </row>
    <row r="421">
      <c r="A421" s="11">
        <f>IF(MATCH_ENGINE!A421="","",MATCH_ENGINE!N421)</f>
        <v/>
      </c>
      <c r="B421" s="11">
        <f>IF(MATCH_ENGINE!A421="","",MATCH_ENGINE!C421)</f>
        <v/>
      </c>
      <c r="C421" s="10">
        <f>IF(MATCH_ENGINE!A421="","",MATCH_ENGINE!B421)</f>
        <v/>
      </c>
      <c r="D421" s="16">
        <f>IF(MATCH_ENGINE!A421="","",MATCH_ENGINE!D421)</f>
        <v/>
      </c>
      <c r="E421" s="11">
        <f>IF(MATCH_ENGINE!A421="","",MATCH_ENGINE!F421)</f>
        <v/>
      </c>
      <c r="F421" s="10">
        <f>IF(MATCH_ENGINE!A421="","",MATCH_ENGINE!I421)</f>
        <v/>
      </c>
      <c r="G421" s="16">
        <f>IF(MATCH_ENGINE!H421="","",IF(MATCH_ENGINE!F421="IN",MATCH_ENGINE!J421,""))</f>
        <v/>
      </c>
      <c r="H421" s="16">
        <f>IF(MATCH_ENGINE!H421="","",IF(MATCH_ENGINE!F421="OUT",MATCH_ENGINE!J421,""))</f>
        <v/>
      </c>
      <c r="I421" s="16">
        <f>IF(MATCH_ENGINE!H421="","",MATCH_ENGINE!J421)</f>
        <v/>
      </c>
      <c r="J421" s="12">
        <f>IF(MATCH_ENGINE!A421="","",MATCH_ENGINE!K421)</f>
        <v/>
      </c>
      <c r="K421" s="11">
        <f>IF(MATCH_ENGINE!A421="","",MATCH_ENGINE!L421)</f>
        <v/>
      </c>
      <c r="L421" s="17">
        <f>IF(MATCH_ENGINE!A421="","",MATCH_ENGINE!M421)</f>
        <v/>
      </c>
      <c r="M421" s="11">
        <f>IF(MATCH_ENGINE!A421="","",GL_CLEAN!F421)</f>
        <v/>
      </c>
      <c r="N421" s="11">
        <f>IF(MATCH_ENGINE!A421="","",GL_CLEAN!G421)</f>
        <v/>
      </c>
      <c r="O421" s="11">
        <f>IF(MATCH_ENGINE!H421="","",INDEX(BANK_CLEAN!$C$2:$C$1001,MATCH_ENGINE!H421))</f>
        <v/>
      </c>
      <c r="P421" s="11" t="inlineStr"/>
    </row>
    <row r="422">
      <c r="A422" s="11">
        <f>IF(MATCH_ENGINE!A422="","",MATCH_ENGINE!N422)</f>
        <v/>
      </c>
      <c r="B422" s="11">
        <f>IF(MATCH_ENGINE!A422="","",MATCH_ENGINE!C422)</f>
        <v/>
      </c>
      <c r="C422" s="10">
        <f>IF(MATCH_ENGINE!A422="","",MATCH_ENGINE!B422)</f>
        <v/>
      </c>
      <c r="D422" s="16">
        <f>IF(MATCH_ENGINE!A422="","",MATCH_ENGINE!D422)</f>
        <v/>
      </c>
      <c r="E422" s="11">
        <f>IF(MATCH_ENGINE!A422="","",MATCH_ENGINE!F422)</f>
        <v/>
      </c>
      <c r="F422" s="10">
        <f>IF(MATCH_ENGINE!A422="","",MATCH_ENGINE!I422)</f>
        <v/>
      </c>
      <c r="G422" s="16">
        <f>IF(MATCH_ENGINE!H422="","",IF(MATCH_ENGINE!F422="IN",MATCH_ENGINE!J422,""))</f>
        <v/>
      </c>
      <c r="H422" s="16">
        <f>IF(MATCH_ENGINE!H422="","",IF(MATCH_ENGINE!F422="OUT",MATCH_ENGINE!J422,""))</f>
        <v/>
      </c>
      <c r="I422" s="16">
        <f>IF(MATCH_ENGINE!H422="","",MATCH_ENGINE!J422)</f>
        <v/>
      </c>
      <c r="J422" s="12">
        <f>IF(MATCH_ENGINE!A422="","",MATCH_ENGINE!K422)</f>
        <v/>
      </c>
      <c r="K422" s="11">
        <f>IF(MATCH_ENGINE!A422="","",MATCH_ENGINE!L422)</f>
        <v/>
      </c>
      <c r="L422" s="17">
        <f>IF(MATCH_ENGINE!A422="","",MATCH_ENGINE!M422)</f>
        <v/>
      </c>
      <c r="M422" s="11">
        <f>IF(MATCH_ENGINE!A422="","",GL_CLEAN!F422)</f>
        <v/>
      </c>
      <c r="N422" s="11">
        <f>IF(MATCH_ENGINE!A422="","",GL_CLEAN!G422)</f>
        <v/>
      </c>
      <c r="O422" s="11">
        <f>IF(MATCH_ENGINE!H422="","",INDEX(BANK_CLEAN!$C$2:$C$1001,MATCH_ENGINE!H422))</f>
        <v/>
      </c>
      <c r="P422" s="11" t="inlineStr"/>
    </row>
    <row r="423">
      <c r="A423" s="11">
        <f>IF(MATCH_ENGINE!A423="","",MATCH_ENGINE!N423)</f>
        <v/>
      </c>
      <c r="B423" s="11">
        <f>IF(MATCH_ENGINE!A423="","",MATCH_ENGINE!C423)</f>
        <v/>
      </c>
      <c r="C423" s="10">
        <f>IF(MATCH_ENGINE!A423="","",MATCH_ENGINE!B423)</f>
        <v/>
      </c>
      <c r="D423" s="16">
        <f>IF(MATCH_ENGINE!A423="","",MATCH_ENGINE!D423)</f>
        <v/>
      </c>
      <c r="E423" s="11">
        <f>IF(MATCH_ENGINE!A423="","",MATCH_ENGINE!F423)</f>
        <v/>
      </c>
      <c r="F423" s="10">
        <f>IF(MATCH_ENGINE!A423="","",MATCH_ENGINE!I423)</f>
        <v/>
      </c>
      <c r="G423" s="16">
        <f>IF(MATCH_ENGINE!H423="","",IF(MATCH_ENGINE!F423="IN",MATCH_ENGINE!J423,""))</f>
        <v/>
      </c>
      <c r="H423" s="16">
        <f>IF(MATCH_ENGINE!H423="","",IF(MATCH_ENGINE!F423="OUT",MATCH_ENGINE!J423,""))</f>
        <v/>
      </c>
      <c r="I423" s="16">
        <f>IF(MATCH_ENGINE!H423="","",MATCH_ENGINE!J423)</f>
        <v/>
      </c>
      <c r="J423" s="12">
        <f>IF(MATCH_ENGINE!A423="","",MATCH_ENGINE!K423)</f>
        <v/>
      </c>
      <c r="K423" s="11">
        <f>IF(MATCH_ENGINE!A423="","",MATCH_ENGINE!L423)</f>
        <v/>
      </c>
      <c r="L423" s="17">
        <f>IF(MATCH_ENGINE!A423="","",MATCH_ENGINE!M423)</f>
        <v/>
      </c>
      <c r="M423" s="11">
        <f>IF(MATCH_ENGINE!A423="","",GL_CLEAN!F423)</f>
        <v/>
      </c>
      <c r="N423" s="11">
        <f>IF(MATCH_ENGINE!A423="","",GL_CLEAN!G423)</f>
        <v/>
      </c>
      <c r="O423" s="11">
        <f>IF(MATCH_ENGINE!H423="","",INDEX(BANK_CLEAN!$C$2:$C$1001,MATCH_ENGINE!H423))</f>
        <v/>
      </c>
      <c r="P423" s="11" t="inlineStr"/>
    </row>
    <row r="424">
      <c r="A424" s="11">
        <f>IF(MATCH_ENGINE!A424="","",MATCH_ENGINE!N424)</f>
        <v/>
      </c>
      <c r="B424" s="11">
        <f>IF(MATCH_ENGINE!A424="","",MATCH_ENGINE!C424)</f>
        <v/>
      </c>
      <c r="C424" s="10">
        <f>IF(MATCH_ENGINE!A424="","",MATCH_ENGINE!B424)</f>
        <v/>
      </c>
      <c r="D424" s="16">
        <f>IF(MATCH_ENGINE!A424="","",MATCH_ENGINE!D424)</f>
        <v/>
      </c>
      <c r="E424" s="11">
        <f>IF(MATCH_ENGINE!A424="","",MATCH_ENGINE!F424)</f>
        <v/>
      </c>
      <c r="F424" s="10">
        <f>IF(MATCH_ENGINE!A424="","",MATCH_ENGINE!I424)</f>
        <v/>
      </c>
      <c r="G424" s="16">
        <f>IF(MATCH_ENGINE!H424="","",IF(MATCH_ENGINE!F424="IN",MATCH_ENGINE!J424,""))</f>
        <v/>
      </c>
      <c r="H424" s="16">
        <f>IF(MATCH_ENGINE!H424="","",IF(MATCH_ENGINE!F424="OUT",MATCH_ENGINE!J424,""))</f>
        <v/>
      </c>
      <c r="I424" s="16">
        <f>IF(MATCH_ENGINE!H424="","",MATCH_ENGINE!J424)</f>
        <v/>
      </c>
      <c r="J424" s="12">
        <f>IF(MATCH_ENGINE!A424="","",MATCH_ENGINE!K424)</f>
        <v/>
      </c>
      <c r="K424" s="11">
        <f>IF(MATCH_ENGINE!A424="","",MATCH_ENGINE!L424)</f>
        <v/>
      </c>
      <c r="L424" s="17">
        <f>IF(MATCH_ENGINE!A424="","",MATCH_ENGINE!M424)</f>
        <v/>
      </c>
      <c r="M424" s="11">
        <f>IF(MATCH_ENGINE!A424="","",GL_CLEAN!F424)</f>
        <v/>
      </c>
      <c r="N424" s="11">
        <f>IF(MATCH_ENGINE!A424="","",GL_CLEAN!G424)</f>
        <v/>
      </c>
      <c r="O424" s="11">
        <f>IF(MATCH_ENGINE!H424="","",INDEX(BANK_CLEAN!$C$2:$C$1001,MATCH_ENGINE!H424))</f>
        <v/>
      </c>
      <c r="P424" s="11" t="inlineStr"/>
    </row>
    <row r="425">
      <c r="A425" s="11">
        <f>IF(MATCH_ENGINE!A425="","",MATCH_ENGINE!N425)</f>
        <v/>
      </c>
      <c r="B425" s="11">
        <f>IF(MATCH_ENGINE!A425="","",MATCH_ENGINE!C425)</f>
        <v/>
      </c>
      <c r="C425" s="10">
        <f>IF(MATCH_ENGINE!A425="","",MATCH_ENGINE!B425)</f>
        <v/>
      </c>
      <c r="D425" s="16">
        <f>IF(MATCH_ENGINE!A425="","",MATCH_ENGINE!D425)</f>
        <v/>
      </c>
      <c r="E425" s="11">
        <f>IF(MATCH_ENGINE!A425="","",MATCH_ENGINE!F425)</f>
        <v/>
      </c>
      <c r="F425" s="10">
        <f>IF(MATCH_ENGINE!A425="","",MATCH_ENGINE!I425)</f>
        <v/>
      </c>
      <c r="G425" s="16">
        <f>IF(MATCH_ENGINE!H425="","",IF(MATCH_ENGINE!F425="IN",MATCH_ENGINE!J425,""))</f>
        <v/>
      </c>
      <c r="H425" s="16">
        <f>IF(MATCH_ENGINE!H425="","",IF(MATCH_ENGINE!F425="OUT",MATCH_ENGINE!J425,""))</f>
        <v/>
      </c>
      <c r="I425" s="16">
        <f>IF(MATCH_ENGINE!H425="","",MATCH_ENGINE!J425)</f>
        <v/>
      </c>
      <c r="J425" s="12">
        <f>IF(MATCH_ENGINE!A425="","",MATCH_ENGINE!K425)</f>
        <v/>
      </c>
      <c r="K425" s="11">
        <f>IF(MATCH_ENGINE!A425="","",MATCH_ENGINE!L425)</f>
        <v/>
      </c>
      <c r="L425" s="17">
        <f>IF(MATCH_ENGINE!A425="","",MATCH_ENGINE!M425)</f>
        <v/>
      </c>
      <c r="M425" s="11">
        <f>IF(MATCH_ENGINE!A425="","",GL_CLEAN!F425)</f>
        <v/>
      </c>
      <c r="N425" s="11">
        <f>IF(MATCH_ENGINE!A425="","",GL_CLEAN!G425)</f>
        <v/>
      </c>
      <c r="O425" s="11">
        <f>IF(MATCH_ENGINE!H425="","",INDEX(BANK_CLEAN!$C$2:$C$1001,MATCH_ENGINE!H425))</f>
        <v/>
      </c>
      <c r="P425" s="11" t="inlineStr"/>
    </row>
    <row r="426">
      <c r="A426" s="11">
        <f>IF(MATCH_ENGINE!A426="","",MATCH_ENGINE!N426)</f>
        <v/>
      </c>
      <c r="B426" s="11">
        <f>IF(MATCH_ENGINE!A426="","",MATCH_ENGINE!C426)</f>
        <v/>
      </c>
      <c r="C426" s="10">
        <f>IF(MATCH_ENGINE!A426="","",MATCH_ENGINE!B426)</f>
        <v/>
      </c>
      <c r="D426" s="16">
        <f>IF(MATCH_ENGINE!A426="","",MATCH_ENGINE!D426)</f>
        <v/>
      </c>
      <c r="E426" s="11">
        <f>IF(MATCH_ENGINE!A426="","",MATCH_ENGINE!F426)</f>
        <v/>
      </c>
      <c r="F426" s="10">
        <f>IF(MATCH_ENGINE!A426="","",MATCH_ENGINE!I426)</f>
        <v/>
      </c>
      <c r="G426" s="16">
        <f>IF(MATCH_ENGINE!H426="","",IF(MATCH_ENGINE!F426="IN",MATCH_ENGINE!J426,""))</f>
        <v/>
      </c>
      <c r="H426" s="16">
        <f>IF(MATCH_ENGINE!H426="","",IF(MATCH_ENGINE!F426="OUT",MATCH_ENGINE!J426,""))</f>
        <v/>
      </c>
      <c r="I426" s="16">
        <f>IF(MATCH_ENGINE!H426="","",MATCH_ENGINE!J426)</f>
        <v/>
      </c>
      <c r="J426" s="12">
        <f>IF(MATCH_ENGINE!A426="","",MATCH_ENGINE!K426)</f>
        <v/>
      </c>
      <c r="K426" s="11">
        <f>IF(MATCH_ENGINE!A426="","",MATCH_ENGINE!L426)</f>
        <v/>
      </c>
      <c r="L426" s="17">
        <f>IF(MATCH_ENGINE!A426="","",MATCH_ENGINE!M426)</f>
        <v/>
      </c>
      <c r="M426" s="11">
        <f>IF(MATCH_ENGINE!A426="","",GL_CLEAN!F426)</f>
        <v/>
      </c>
      <c r="N426" s="11">
        <f>IF(MATCH_ENGINE!A426="","",GL_CLEAN!G426)</f>
        <v/>
      </c>
      <c r="O426" s="11">
        <f>IF(MATCH_ENGINE!H426="","",INDEX(BANK_CLEAN!$C$2:$C$1001,MATCH_ENGINE!H426))</f>
        <v/>
      </c>
      <c r="P426" s="11" t="inlineStr"/>
    </row>
    <row r="427">
      <c r="A427" s="11">
        <f>IF(MATCH_ENGINE!A427="","",MATCH_ENGINE!N427)</f>
        <v/>
      </c>
      <c r="B427" s="11">
        <f>IF(MATCH_ENGINE!A427="","",MATCH_ENGINE!C427)</f>
        <v/>
      </c>
      <c r="C427" s="10">
        <f>IF(MATCH_ENGINE!A427="","",MATCH_ENGINE!B427)</f>
        <v/>
      </c>
      <c r="D427" s="16">
        <f>IF(MATCH_ENGINE!A427="","",MATCH_ENGINE!D427)</f>
        <v/>
      </c>
      <c r="E427" s="11">
        <f>IF(MATCH_ENGINE!A427="","",MATCH_ENGINE!F427)</f>
        <v/>
      </c>
      <c r="F427" s="10">
        <f>IF(MATCH_ENGINE!A427="","",MATCH_ENGINE!I427)</f>
        <v/>
      </c>
      <c r="G427" s="16">
        <f>IF(MATCH_ENGINE!H427="","",IF(MATCH_ENGINE!F427="IN",MATCH_ENGINE!J427,""))</f>
        <v/>
      </c>
      <c r="H427" s="16">
        <f>IF(MATCH_ENGINE!H427="","",IF(MATCH_ENGINE!F427="OUT",MATCH_ENGINE!J427,""))</f>
        <v/>
      </c>
      <c r="I427" s="16">
        <f>IF(MATCH_ENGINE!H427="","",MATCH_ENGINE!J427)</f>
        <v/>
      </c>
      <c r="J427" s="12">
        <f>IF(MATCH_ENGINE!A427="","",MATCH_ENGINE!K427)</f>
        <v/>
      </c>
      <c r="K427" s="11">
        <f>IF(MATCH_ENGINE!A427="","",MATCH_ENGINE!L427)</f>
        <v/>
      </c>
      <c r="L427" s="17">
        <f>IF(MATCH_ENGINE!A427="","",MATCH_ENGINE!M427)</f>
        <v/>
      </c>
      <c r="M427" s="11">
        <f>IF(MATCH_ENGINE!A427="","",GL_CLEAN!F427)</f>
        <v/>
      </c>
      <c r="N427" s="11">
        <f>IF(MATCH_ENGINE!A427="","",GL_CLEAN!G427)</f>
        <v/>
      </c>
      <c r="O427" s="11">
        <f>IF(MATCH_ENGINE!H427="","",INDEX(BANK_CLEAN!$C$2:$C$1001,MATCH_ENGINE!H427))</f>
        <v/>
      </c>
      <c r="P427" s="11" t="inlineStr"/>
    </row>
    <row r="428">
      <c r="A428" s="11">
        <f>IF(MATCH_ENGINE!A428="","",MATCH_ENGINE!N428)</f>
        <v/>
      </c>
      <c r="B428" s="11">
        <f>IF(MATCH_ENGINE!A428="","",MATCH_ENGINE!C428)</f>
        <v/>
      </c>
      <c r="C428" s="10">
        <f>IF(MATCH_ENGINE!A428="","",MATCH_ENGINE!B428)</f>
        <v/>
      </c>
      <c r="D428" s="16">
        <f>IF(MATCH_ENGINE!A428="","",MATCH_ENGINE!D428)</f>
        <v/>
      </c>
      <c r="E428" s="11">
        <f>IF(MATCH_ENGINE!A428="","",MATCH_ENGINE!F428)</f>
        <v/>
      </c>
      <c r="F428" s="10">
        <f>IF(MATCH_ENGINE!A428="","",MATCH_ENGINE!I428)</f>
        <v/>
      </c>
      <c r="G428" s="16">
        <f>IF(MATCH_ENGINE!H428="","",IF(MATCH_ENGINE!F428="IN",MATCH_ENGINE!J428,""))</f>
        <v/>
      </c>
      <c r="H428" s="16">
        <f>IF(MATCH_ENGINE!H428="","",IF(MATCH_ENGINE!F428="OUT",MATCH_ENGINE!J428,""))</f>
        <v/>
      </c>
      <c r="I428" s="16">
        <f>IF(MATCH_ENGINE!H428="","",MATCH_ENGINE!J428)</f>
        <v/>
      </c>
      <c r="J428" s="12">
        <f>IF(MATCH_ENGINE!A428="","",MATCH_ENGINE!K428)</f>
        <v/>
      </c>
      <c r="K428" s="11">
        <f>IF(MATCH_ENGINE!A428="","",MATCH_ENGINE!L428)</f>
        <v/>
      </c>
      <c r="L428" s="17">
        <f>IF(MATCH_ENGINE!A428="","",MATCH_ENGINE!M428)</f>
        <v/>
      </c>
      <c r="M428" s="11">
        <f>IF(MATCH_ENGINE!A428="","",GL_CLEAN!F428)</f>
        <v/>
      </c>
      <c r="N428" s="11">
        <f>IF(MATCH_ENGINE!A428="","",GL_CLEAN!G428)</f>
        <v/>
      </c>
      <c r="O428" s="11">
        <f>IF(MATCH_ENGINE!H428="","",INDEX(BANK_CLEAN!$C$2:$C$1001,MATCH_ENGINE!H428))</f>
        <v/>
      </c>
      <c r="P428" s="11" t="inlineStr"/>
    </row>
    <row r="429">
      <c r="A429" s="11">
        <f>IF(MATCH_ENGINE!A429="","",MATCH_ENGINE!N429)</f>
        <v/>
      </c>
      <c r="B429" s="11">
        <f>IF(MATCH_ENGINE!A429="","",MATCH_ENGINE!C429)</f>
        <v/>
      </c>
      <c r="C429" s="10">
        <f>IF(MATCH_ENGINE!A429="","",MATCH_ENGINE!B429)</f>
        <v/>
      </c>
      <c r="D429" s="16">
        <f>IF(MATCH_ENGINE!A429="","",MATCH_ENGINE!D429)</f>
        <v/>
      </c>
      <c r="E429" s="11">
        <f>IF(MATCH_ENGINE!A429="","",MATCH_ENGINE!F429)</f>
        <v/>
      </c>
      <c r="F429" s="10">
        <f>IF(MATCH_ENGINE!A429="","",MATCH_ENGINE!I429)</f>
        <v/>
      </c>
      <c r="G429" s="16">
        <f>IF(MATCH_ENGINE!H429="","",IF(MATCH_ENGINE!F429="IN",MATCH_ENGINE!J429,""))</f>
        <v/>
      </c>
      <c r="H429" s="16">
        <f>IF(MATCH_ENGINE!H429="","",IF(MATCH_ENGINE!F429="OUT",MATCH_ENGINE!J429,""))</f>
        <v/>
      </c>
      <c r="I429" s="16">
        <f>IF(MATCH_ENGINE!H429="","",MATCH_ENGINE!J429)</f>
        <v/>
      </c>
      <c r="J429" s="12">
        <f>IF(MATCH_ENGINE!A429="","",MATCH_ENGINE!K429)</f>
        <v/>
      </c>
      <c r="K429" s="11">
        <f>IF(MATCH_ENGINE!A429="","",MATCH_ENGINE!L429)</f>
        <v/>
      </c>
      <c r="L429" s="17">
        <f>IF(MATCH_ENGINE!A429="","",MATCH_ENGINE!M429)</f>
        <v/>
      </c>
      <c r="M429" s="11">
        <f>IF(MATCH_ENGINE!A429="","",GL_CLEAN!F429)</f>
        <v/>
      </c>
      <c r="N429" s="11">
        <f>IF(MATCH_ENGINE!A429="","",GL_CLEAN!G429)</f>
        <v/>
      </c>
      <c r="O429" s="11">
        <f>IF(MATCH_ENGINE!H429="","",INDEX(BANK_CLEAN!$C$2:$C$1001,MATCH_ENGINE!H429))</f>
        <v/>
      </c>
      <c r="P429" s="11" t="inlineStr"/>
    </row>
    <row r="430">
      <c r="A430" s="11">
        <f>IF(MATCH_ENGINE!A430="","",MATCH_ENGINE!N430)</f>
        <v/>
      </c>
      <c r="B430" s="11">
        <f>IF(MATCH_ENGINE!A430="","",MATCH_ENGINE!C430)</f>
        <v/>
      </c>
      <c r="C430" s="10">
        <f>IF(MATCH_ENGINE!A430="","",MATCH_ENGINE!B430)</f>
        <v/>
      </c>
      <c r="D430" s="16">
        <f>IF(MATCH_ENGINE!A430="","",MATCH_ENGINE!D430)</f>
        <v/>
      </c>
      <c r="E430" s="11">
        <f>IF(MATCH_ENGINE!A430="","",MATCH_ENGINE!F430)</f>
        <v/>
      </c>
      <c r="F430" s="10">
        <f>IF(MATCH_ENGINE!A430="","",MATCH_ENGINE!I430)</f>
        <v/>
      </c>
      <c r="G430" s="16">
        <f>IF(MATCH_ENGINE!H430="","",IF(MATCH_ENGINE!F430="IN",MATCH_ENGINE!J430,""))</f>
        <v/>
      </c>
      <c r="H430" s="16">
        <f>IF(MATCH_ENGINE!H430="","",IF(MATCH_ENGINE!F430="OUT",MATCH_ENGINE!J430,""))</f>
        <v/>
      </c>
      <c r="I430" s="16">
        <f>IF(MATCH_ENGINE!H430="","",MATCH_ENGINE!J430)</f>
        <v/>
      </c>
      <c r="J430" s="12">
        <f>IF(MATCH_ENGINE!A430="","",MATCH_ENGINE!K430)</f>
        <v/>
      </c>
      <c r="K430" s="11">
        <f>IF(MATCH_ENGINE!A430="","",MATCH_ENGINE!L430)</f>
        <v/>
      </c>
      <c r="L430" s="17">
        <f>IF(MATCH_ENGINE!A430="","",MATCH_ENGINE!M430)</f>
        <v/>
      </c>
      <c r="M430" s="11">
        <f>IF(MATCH_ENGINE!A430="","",GL_CLEAN!F430)</f>
        <v/>
      </c>
      <c r="N430" s="11">
        <f>IF(MATCH_ENGINE!A430="","",GL_CLEAN!G430)</f>
        <v/>
      </c>
      <c r="O430" s="11">
        <f>IF(MATCH_ENGINE!H430="","",INDEX(BANK_CLEAN!$C$2:$C$1001,MATCH_ENGINE!H430))</f>
        <v/>
      </c>
      <c r="P430" s="11" t="inlineStr"/>
    </row>
    <row r="431">
      <c r="A431" s="11">
        <f>IF(MATCH_ENGINE!A431="","",MATCH_ENGINE!N431)</f>
        <v/>
      </c>
      <c r="B431" s="11">
        <f>IF(MATCH_ENGINE!A431="","",MATCH_ENGINE!C431)</f>
        <v/>
      </c>
      <c r="C431" s="10">
        <f>IF(MATCH_ENGINE!A431="","",MATCH_ENGINE!B431)</f>
        <v/>
      </c>
      <c r="D431" s="16">
        <f>IF(MATCH_ENGINE!A431="","",MATCH_ENGINE!D431)</f>
        <v/>
      </c>
      <c r="E431" s="11">
        <f>IF(MATCH_ENGINE!A431="","",MATCH_ENGINE!F431)</f>
        <v/>
      </c>
      <c r="F431" s="10">
        <f>IF(MATCH_ENGINE!A431="","",MATCH_ENGINE!I431)</f>
        <v/>
      </c>
      <c r="G431" s="16">
        <f>IF(MATCH_ENGINE!H431="","",IF(MATCH_ENGINE!F431="IN",MATCH_ENGINE!J431,""))</f>
        <v/>
      </c>
      <c r="H431" s="16">
        <f>IF(MATCH_ENGINE!H431="","",IF(MATCH_ENGINE!F431="OUT",MATCH_ENGINE!J431,""))</f>
        <v/>
      </c>
      <c r="I431" s="16">
        <f>IF(MATCH_ENGINE!H431="","",MATCH_ENGINE!J431)</f>
        <v/>
      </c>
      <c r="J431" s="12">
        <f>IF(MATCH_ENGINE!A431="","",MATCH_ENGINE!K431)</f>
        <v/>
      </c>
      <c r="K431" s="11">
        <f>IF(MATCH_ENGINE!A431="","",MATCH_ENGINE!L431)</f>
        <v/>
      </c>
      <c r="L431" s="17">
        <f>IF(MATCH_ENGINE!A431="","",MATCH_ENGINE!M431)</f>
        <v/>
      </c>
      <c r="M431" s="11">
        <f>IF(MATCH_ENGINE!A431="","",GL_CLEAN!F431)</f>
        <v/>
      </c>
      <c r="N431" s="11">
        <f>IF(MATCH_ENGINE!A431="","",GL_CLEAN!G431)</f>
        <v/>
      </c>
      <c r="O431" s="11">
        <f>IF(MATCH_ENGINE!H431="","",INDEX(BANK_CLEAN!$C$2:$C$1001,MATCH_ENGINE!H431))</f>
        <v/>
      </c>
      <c r="P431" s="11" t="inlineStr"/>
    </row>
    <row r="432">
      <c r="A432" s="11">
        <f>IF(MATCH_ENGINE!A432="","",MATCH_ENGINE!N432)</f>
        <v/>
      </c>
      <c r="B432" s="11">
        <f>IF(MATCH_ENGINE!A432="","",MATCH_ENGINE!C432)</f>
        <v/>
      </c>
      <c r="C432" s="10">
        <f>IF(MATCH_ENGINE!A432="","",MATCH_ENGINE!B432)</f>
        <v/>
      </c>
      <c r="D432" s="16">
        <f>IF(MATCH_ENGINE!A432="","",MATCH_ENGINE!D432)</f>
        <v/>
      </c>
      <c r="E432" s="11">
        <f>IF(MATCH_ENGINE!A432="","",MATCH_ENGINE!F432)</f>
        <v/>
      </c>
      <c r="F432" s="10">
        <f>IF(MATCH_ENGINE!A432="","",MATCH_ENGINE!I432)</f>
        <v/>
      </c>
      <c r="G432" s="16">
        <f>IF(MATCH_ENGINE!H432="","",IF(MATCH_ENGINE!F432="IN",MATCH_ENGINE!J432,""))</f>
        <v/>
      </c>
      <c r="H432" s="16">
        <f>IF(MATCH_ENGINE!H432="","",IF(MATCH_ENGINE!F432="OUT",MATCH_ENGINE!J432,""))</f>
        <v/>
      </c>
      <c r="I432" s="16">
        <f>IF(MATCH_ENGINE!H432="","",MATCH_ENGINE!J432)</f>
        <v/>
      </c>
      <c r="J432" s="12">
        <f>IF(MATCH_ENGINE!A432="","",MATCH_ENGINE!K432)</f>
        <v/>
      </c>
      <c r="K432" s="11">
        <f>IF(MATCH_ENGINE!A432="","",MATCH_ENGINE!L432)</f>
        <v/>
      </c>
      <c r="L432" s="17">
        <f>IF(MATCH_ENGINE!A432="","",MATCH_ENGINE!M432)</f>
        <v/>
      </c>
      <c r="M432" s="11">
        <f>IF(MATCH_ENGINE!A432="","",GL_CLEAN!F432)</f>
        <v/>
      </c>
      <c r="N432" s="11">
        <f>IF(MATCH_ENGINE!A432="","",GL_CLEAN!G432)</f>
        <v/>
      </c>
      <c r="O432" s="11">
        <f>IF(MATCH_ENGINE!H432="","",INDEX(BANK_CLEAN!$C$2:$C$1001,MATCH_ENGINE!H432))</f>
        <v/>
      </c>
      <c r="P432" s="11" t="inlineStr"/>
    </row>
    <row r="433">
      <c r="A433" s="11">
        <f>IF(MATCH_ENGINE!A433="","",MATCH_ENGINE!N433)</f>
        <v/>
      </c>
      <c r="B433" s="11">
        <f>IF(MATCH_ENGINE!A433="","",MATCH_ENGINE!C433)</f>
        <v/>
      </c>
      <c r="C433" s="10">
        <f>IF(MATCH_ENGINE!A433="","",MATCH_ENGINE!B433)</f>
        <v/>
      </c>
      <c r="D433" s="16">
        <f>IF(MATCH_ENGINE!A433="","",MATCH_ENGINE!D433)</f>
        <v/>
      </c>
      <c r="E433" s="11">
        <f>IF(MATCH_ENGINE!A433="","",MATCH_ENGINE!F433)</f>
        <v/>
      </c>
      <c r="F433" s="10">
        <f>IF(MATCH_ENGINE!A433="","",MATCH_ENGINE!I433)</f>
        <v/>
      </c>
      <c r="G433" s="16">
        <f>IF(MATCH_ENGINE!H433="","",IF(MATCH_ENGINE!F433="IN",MATCH_ENGINE!J433,""))</f>
        <v/>
      </c>
      <c r="H433" s="16">
        <f>IF(MATCH_ENGINE!H433="","",IF(MATCH_ENGINE!F433="OUT",MATCH_ENGINE!J433,""))</f>
        <v/>
      </c>
      <c r="I433" s="16">
        <f>IF(MATCH_ENGINE!H433="","",MATCH_ENGINE!J433)</f>
        <v/>
      </c>
      <c r="J433" s="12">
        <f>IF(MATCH_ENGINE!A433="","",MATCH_ENGINE!K433)</f>
        <v/>
      </c>
      <c r="K433" s="11">
        <f>IF(MATCH_ENGINE!A433="","",MATCH_ENGINE!L433)</f>
        <v/>
      </c>
      <c r="L433" s="17">
        <f>IF(MATCH_ENGINE!A433="","",MATCH_ENGINE!M433)</f>
        <v/>
      </c>
      <c r="M433" s="11">
        <f>IF(MATCH_ENGINE!A433="","",GL_CLEAN!F433)</f>
        <v/>
      </c>
      <c r="N433" s="11">
        <f>IF(MATCH_ENGINE!A433="","",GL_CLEAN!G433)</f>
        <v/>
      </c>
      <c r="O433" s="11">
        <f>IF(MATCH_ENGINE!H433="","",INDEX(BANK_CLEAN!$C$2:$C$1001,MATCH_ENGINE!H433))</f>
        <v/>
      </c>
      <c r="P433" s="11" t="inlineStr"/>
    </row>
    <row r="434">
      <c r="A434" s="11">
        <f>IF(MATCH_ENGINE!A434="","",MATCH_ENGINE!N434)</f>
        <v/>
      </c>
      <c r="B434" s="11">
        <f>IF(MATCH_ENGINE!A434="","",MATCH_ENGINE!C434)</f>
        <v/>
      </c>
      <c r="C434" s="10">
        <f>IF(MATCH_ENGINE!A434="","",MATCH_ENGINE!B434)</f>
        <v/>
      </c>
      <c r="D434" s="16">
        <f>IF(MATCH_ENGINE!A434="","",MATCH_ENGINE!D434)</f>
        <v/>
      </c>
      <c r="E434" s="11">
        <f>IF(MATCH_ENGINE!A434="","",MATCH_ENGINE!F434)</f>
        <v/>
      </c>
      <c r="F434" s="10">
        <f>IF(MATCH_ENGINE!A434="","",MATCH_ENGINE!I434)</f>
        <v/>
      </c>
      <c r="G434" s="16">
        <f>IF(MATCH_ENGINE!H434="","",IF(MATCH_ENGINE!F434="IN",MATCH_ENGINE!J434,""))</f>
        <v/>
      </c>
      <c r="H434" s="16">
        <f>IF(MATCH_ENGINE!H434="","",IF(MATCH_ENGINE!F434="OUT",MATCH_ENGINE!J434,""))</f>
        <v/>
      </c>
      <c r="I434" s="16">
        <f>IF(MATCH_ENGINE!H434="","",MATCH_ENGINE!J434)</f>
        <v/>
      </c>
      <c r="J434" s="12">
        <f>IF(MATCH_ENGINE!A434="","",MATCH_ENGINE!K434)</f>
        <v/>
      </c>
      <c r="K434" s="11">
        <f>IF(MATCH_ENGINE!A434="","",MATCH_ENGINE!L434)</f>
        <v/>
      </c>
      <c r="L434" s="17">
        <f>IF(MATCH_ENGINE!A434="","",MATCH_ENGINE!M434)</f>
        <v/>
      </c>
      <c r="M434" s="11">
        <f>IF(MATCH_ENGINE!A434="","",GL_CLEAN!F434)</f>
        <v/>
      </c>
      <c r="N434" s="11">
        <f>IF(MATCH_ENGINE!A434="","",GL_CLEAN!G434)</f>
        <v/>
      </c>
      <c r="O434" s="11">
        <f>IF(MATCH_ENGINE!H434="","",INDEX(BANK_CLEAN!$C$2:$C$1001,MATCH_ENGINE!H434))</f>
        <v/>
      </c>
      <c r="P434" s="11" t="inlineStr"/>
    </row>
    <row r="435">
      <c r="A435" s="11">
        <f>IF(MATCH_ENGINE!A435="","",MATCH_ENGINE!N435)</f>
        <v/>
      </c>
      <c r="B435" s="11">
        <f>IF(MATCH_ENGINE!A435="","",MATCH_ENGINE!C435)</f>
        <v/>
      </c>
      <c r="C435" s="10">
        <f>IF(MATCH_ENGINE!A435="","",MATCH_ENGINE!B435)</f>
        <v/>
      </c>
      <c r="D435" s="16">
        <f>IF(MATCH_ENGINE!A435="","",MATCH_ENGINE!D435)</f>
        <v/>
      </c>
      <c r="E435" s="11">
        <f>IF(MATCH_ENGINE!A435="","",MATCH_ENGINE!F435)</f>
        <v/>
      </c>
      <c r="F435" s="10">
        <f>IF(MATCH_ENGINE!A435="","",MATCH_ENGINE!I435)</f>
        <v/>
      </c>
      <c r="G435" s="16">
        <f>IF(MATCH_ENGINE!H435="","",IF(MATCH_ENGINE!F435="IN",MATCH_ENGINE!J435,""))</f>
        <v/>
      </c>
      <c r="H435" s="16">
        <f>IF(MATCH_ENGINE!H435="","",IF(MATCH_ENGINE!F435="OUT",MATCH_ENGINE!J435,""))</f>
        <v/>
      </c>
      <c r="I435" s="16">
        <f>IF(MATCH_ENGINE!H435="","",MATCH_ENGINE!J435)</f>
        <v/>
      </c>
      <c r="J435" s="12">
        <f>IF(MATCH_ENGINE!A435="","",MATCH_ENGINE!K435)</f>
        <v/>
      </c>
      <c r="K435" s="11">
        <f>IF(MATCH_ENGINE!A435="","",MATCH_ENGINE!L435)</f>
        <v/>
      </c>
      <c r="L435" s="17">
        <f>IF(MATCH_ENGINE!A435="","",MATCH_ENGINE!M435)</f>
        <v/>
      </c>
      <c r="M435" s="11">
        <f>IF(MATCH_ENGINE!A435="","",GL_CLEAN!F435)</f>
        <v/>
      </c>
      <c r="N435" s="11">
        <f>IF(MATCH_ENGINE!A435="","",GL_CLEAN!G435)</f>
        <v/>
      </c>
      <c r="O435" s="11">
        <f>IF(MATCH_ENGINE!H435="","",INDEX(BANK_CLEAN!$C$2:$C$1001,MATCH_ENGINE!H435))</f>
        <v/>
      </c>
      <c r="P435" s="11" t="inlineStr"/>
    </row>
    <row r="436">
      <c r="A436" s="11">
        <f>IF(MATCH_ENGINE!A436="","",MATCH_ENGINE!N436)</f>
        <v/>
      </c>
      <c r="B436" s="11">
        <f>IF(MATCH_ENGINE!A436="","",MATCH_ENGINE!C436)</f>
        <v/>
      </c>
      <c r="C436" s="10">
        <f>IF(MATCH_ENGINE!A436="","",MATCH_ENGINE!B436)</f>
        <v/>
      </c>
      <c r="D436" s="16">
        <f>IF(MATCH_ENGINE!A436="","",MATCH_ENGINE!D436)</f>
        <v/>
      </c>
      <c r="E436" s="11">
        <f>IF(MATCH_ENGINE!A436="","",MATCH_ENGINE!F436)</f>
        <v/>
      </c>
      <c r="F436" s="10">
        <f>IF(MATCH_ENGINE!A436="","",MATCH_ENGINE!I436)</f>
        <v/>
      </c>
      <c r="G436" s="16">
        <f>IF(MATCH_ENGINE!H436="","",IF(MATCH_ENGINE!F436="IN",MATCH_ENGINE!J436,""))</f>
        <v/>
      </c>
      <c r="H436" s="16">
        <f>IF(MATCH_ENGINE!H436="","",IF(MATCH_ENGINE!F436="OUT",MATCH_ENGINE!J436,""))</f>
        <v/>
      </c>
      <c r="I436" s="16">
        <f>IF(MATCH_ENGINE!H436="","",MATCH_ENGINE!J436)</f>
        <v/>
      </c>
      <c r="J436" s="12">
        <f>IF(MATCH_ENGINE!A436="","",MATCH_ENGINE!K436)</f>
        <v/>
      </c>
      <c r="K436" s="11">
        <f>IF(MATCH_ENGINE!A436="","",MATCH_ENGINE!L436)</f>
        <v/>
      </c>
      <c r="L436" s="17">
        <f>IF(MATCH_ENGINE!A436="","",MATCH_ENGINE!M436)</f>
        <v/>
      </c>
      <c r="M436" s="11">
        <f>IF(MATCH_ENGINE!A436="","",GL_CLEAN!F436)</f>
        <v/>
      </c>
      <c r="N436" s="11">
        <f>IF(MATCH_ENGINE!A436="","",GL_CLEAN!G436)</f>
        <v/>
      </c>
      <c r="O436" s="11">
        <f>IF(MATCH_ENGINE!H436="","",INDEX(BANK_CLEAN!$C$2:$C$1001,MATCH_ENGINE!H436))</f>
        <v/>
      </c>
      <c r="P436" s="11" t="inlineStr"/>
    </row>
    <row r="437">
      <c r="A437" s="11">
        <f>IF(MATCH_ENGINE!A437="","",MATCH_ENGINE!N437)</f>
        <v/>
      </c>
      <c r="B437" s="11">
        <f>IF(MATCH_ENGINE!A437="","",MATCH_ENGINE!C437)</f>
        <v/>
      </c>
      <c r="C437" s="10">
        <f>IF(MATCH_ENGINE!A437="","",MATCH_ENGINE!B437)</f>
        <v/>
      </c>
      <c r="D437" s="16">
        <f>IF(MATCH_ENGINE!A437="","",MATCH_ENGINE!D437)</f>
        <v/>
      </c>
      <c r="E437" s="11">
        <f>IF(MATCH_ENGINE!A437="","",MATCH_ENGINE!F437)</f>
        <v/>
      </c>
      <c r="F437" s="10">
        <f>IF(MATCH_ENGINE!A437="","",MATCH_ENGINE!I437)</f>
        <v/>
      </c>
      <c r="G437" s="16">
        <f>IF(MATCH_ENGINE!H437="","",IF(MATCH_ENGINE!F437="IN",MATCH_ENGINE!J437,""))</f>
        <v/>
      </c>
      <c r="H437" s="16">
        <f>IF(MATCH_ENGINE!H437="","",IF(MATCH_ENGINE!F437="OUT",MATCH_ENGINE!J437,""))</f>
        <v/>
      </c>
      <c r="I437" s="16">
        <f>IF(MATCH_ENGINE!H437="","",MATCH_ENGINE!J437)</f>
        <v/>
      </c>
      <c r="J437" s="12">
        <f>IF(MATCH_ENGINE!A437="","",MATCH_ENGINE!K437)</f>
        <v/>
      </c>
      <c r="K437" s="11">
        <f>IF(MATCH_ENGINE!A437="","",MATCH_ENGINE!L437)</f>
        <v/>
      </c>
      <c r="L437" s="17">
        <f>IF(MATCH_ENGINE!A437="","",MATCH_ENGINE!M437)</f>
        <v/>
      </c>
      <c r="M437" s="11">
        <f>IF(MATCH_ENGINE!A437="","",GL_CLEAN!F437)</f>
        <v/>
      </c>
      <c r="N437" s="11">
        <f>IF(MATCH_ENGINE!A437="","",GL_CLEAN!G437)</f>
        <v/>
      </c>
      <c r="O437" s="11">
        <f>IF(MATCH_ENGINE!H437="","",INDEX(BANK_CLEAN!$C$2:$C$1001,MATCH_ENGINE!H437))</f>
        <v/>
      </c>
      <c r="P437" s="11" t="inlineStr"/>
    </row>
    <row r="438">
      <c r="A438" s="11">
        <f>IF(MATCH_ENGINE!A438="","",MATCH_ENGINE!N438)</f>
        <v/>
      </c>
      <c r="B438" s="11">
        <f>IF(MATCH_ENGINE!A438="","",MATCH_ENGINE!C438)</f>
        <v/>
      </c>
      <c r="C438" s="10">
        <f>IF(MATCH_ENGINE!A438="","",MATCH_ENGINE!B438)</f>
        <v/>
      </c>
      <c r="D438" s="16">
        <f>IF(MATCH_ENGINE!A438="","",MATCH_ENGINE!D438)</f>
        <v/>
      </c>
      <c r="E438" s="11">
        <f>IF(MATCH_ENGINE!A438="","",MATCH_ENGINE!F438)</f>
        <v/>
      </c>
      <c r="F438" s="10">
        <f>IF(MATCH_ENGINE!A438="","",MATCH_ENGINE!I438)</f>
        <v/>
      </c>
      <c r="G438" s="16">
        <f>IF(MATCH_ENGINE!H438="","",IF(MATCH_ENGINE!F438="IN",MATCH_ENGINE!J438,""))</f>
        <v/>
      </c>
      <c r="H438" s="16">
        <f>IF(MATCH_ENGINE!H438="","",IF(MATCH_ENGINE!F438="OUT",MATCH_ENGINE!J438,""))</f>
        <v/>
      </c>
      <c r="I438" s="16">
        <f>IF(MATCH_ENGINE!H438="","",MATCH_ENGINE!J438)</f>
        <v/>
      </c>
      <c r="J438" s="12">
        <f>IF(MATCH_ENGINE!A438="","",MATCH_ENGINE!K438)</f>
        <v/>
      </c>
      <c r="K438" s="11">
        <f>IF(MATCH_ENGINE!A438="","",MATCH_ENGINE!L438)</f>
        <v/>
      </c>
      <c r="L438" s="17">
        <f>IF(MATCH_ENGINE!A438="","",MATCH_ENGINE!M438)</f>
        <v/>
      </c>
      <c r="M438" s="11">
        <f>IF(MATCH_ENGINE!A438="","",GL_CLEAN!F438)</f>
        <v/>
      </c>
      <c r="N438" s="11">
        <f>IF(MATCH_ENGINE!A438="","",GL_CLEAN!G438)</f>
        <v/>
      </c>
      <c r="O438" s="11">
        <f>IF(MATCH_ENGINE!H438="","",INDEX(BANK_CLEAN!$C$2:$C$1001,MATCH_ENGINE!H438))</f>
        <v/>
      </c>
      <c r="P438" s="11" t="inlineStr"/>
    </row>
    <row r="439">
      <c r="A439" s="11">
        <f>IF(MATCH_ENGINE!A439="","",MATCH_ENGINE!N439)</f>
        <v/>
      </c>
      <c r="B439" s="11">
        <f>IF(MATCH_ENGINE!A439="","",MATCH_ENGINE!C439)</f>
        <v/>
      </c>
      <c r="C439" s="10">
        <f>IF(MATCH_ENGINE!A439="","",MATCH_ENGINE!B439)</f>
        <v/>
      </c>
      <c r="D439" s="16">
        <f>IF(MATCH_ENGINE!A439="","",MATCH_ENGINE!D439)</f>
        <v/>
      </c>
      <c r="E439" s="11">
        <f>IF(MATCH_ENGINE!A439="","",MATCH_ENGINE!F439)</f>
        <v/>
      </c>
      <c r="F439" s="10">
        <f>IF(MATCH_ENGINE!A439="","",MATCH_ENGINE!I439)</f>
        <v/>
      </c>
      <c r="G439" s="16">
        <f>IF(MATCH_ENGINE!H439="","",IF(MATCH_ENGINE!F439="IN",MATCH_ENGINE!J439,""))</f>
        <v/>
      </c>
      <c r="H439" s="16">
        <f>IF(MATCH_ENGINE!H439="","",IF(MATCH_ENGINE!F439="OUT",MATCH_ENGINE!J439,""))</f>
        <v/>
      </c>
      <c r="I439" s="16">
        <f>IF(MATCH_ENGINE!H439="","",MATCH_ENGINE!J439)</f>
        <v/>
      </c>
      <c r="J439" s="12">
        <f>IF(MATCH_ENGINE!A439="","",MATCH_ENGINE!K439)</f>
        <v/>
      </c>
      <c r="K439" s="11">
        <f>IF(MATCH_ENGINE!A439="","",MATCH_ENGINE!L439)</f>
        <v/>
      </c>
      <c r="L439" s="17">
        <f>IF(MATCH_ENGINE!A439="","",MATCH_ENGINE!M439)</f>
        <v/>
      </c>
      <c r="M439" s="11">
        <f>IF(MATCH_ENGINE!A439="","",GL_CLEAN!F439)</f>
        <v/>
      </c>
      <c r="N439" s="11">
        <f>IF(MATCH_ENGINE!A439="","",GL_CLEAN!G439)</f>
        <v/>
      </c>
      <c r="O439" s="11">
        <f>IF(MATCH_ENGINE!H439="","",INDEX(BANK_CLEAN!$C$2:$C$1001,MATCH_ENGINE!H439))</f>
        <v/>
      </c>
      <c r="P439" s="11" t="inlineStr"/>
    </row>
    <row r="440">
      <c r="A440" s="11">
        <f>IF(MATCH_ENGINE!A440="","",MATCH_ENGINE!N440)</f>
        <v/>
      </c>
      <c r="B440" s="11">
        <f>IF(MATCH_ENGINE!A440="","",MATCH_ENGINE!C440)</f>
        <v/>
      </c>
      <c r="C440" s="10">
        <f>IF(MATCH_ENGINE!A440="","",MATCH_ENGINE!B440)</f>
        <v/>
      </c>
      <c r="D440" s="16">
        <f>IF(MATCH_ENGINE!A440="","",MATCH_ENGINE!D440)</f>
        <v/>
      </c>
      <c r="E440" s="11">
        <f>IF(MATCH_ENGINE!A440="","",MATCH_ENGINE!F440)</f>
        <v/>
      </c>
      <c r="F440" s="10">
        <f>IF(MATCH_ENGINE!A440="","",MATCH_ENGINE!I440)</f>
        <v/>
      </c>
      <c r="G440" s="16">
        <f>IF(MATCH_ENGINE!H440="","",IF(MATCH_ENGINE!F440="IN",MATCH_ENGINE!J440,""))</f>
        <v/>
      </c>
      <c r="H440" s="16">
        <f>IF(MATCH_ENGINE!H440="","",IF(MATCH_ENGINE!F440="OUT",MATCH_ENGINE!J440,""))</f>
        <v/>
      </c>
      <c r="I440" s="16">
        <f>IF(MATCH_ENGINE!H440="","",MATCH_ENGINE!J440)</f>
        <v/>
      </c>
      <c r="J440" s="12">
        <f>IF(MATCH_ENGINE!A440="","",MATCH_ENGINE!K440)</f>
        <v/>
      </c>
      <c r="K440" s="11">
        <f>IF(MATCH_ENGINE!A440="","",MATCH_ENGINE!L440)</f>
        <v/>
      </c>
      <c r="L440" s="17">
        <f>IF(MATCH_ENGINE!A440="","",MATCH_ENGINE!M440)</f>
        <v/>
      </c>
      <c r="M440" s="11">
        <f>IF(MATCH_ENGINE!A440="","",GL_CLEAN!F440)</f>
        <v/>
      </c>
      <c r="N440" s="11">
        <f>IF(MATCH_ENGINE!A440="","",GL_CLEAN!G440)</f>
        <v/>
      </c>
      <c r="O440" s="11">
        <f>IF(MATCH_ENGINE!H440="","",INDEX(BANK_CLEAN!$C$2:$C$1001,MATCH_ENGINE!H440))</f>
        <v/>
      </c>
      <c r="P440" s="11" t="inlineStr"/>
    </row>
    <row r="441">
      <c r="A441" s="11">
        <f>IF(MATCH_ENGINE!A441="","",MATCH_ENGINE!N441)</f>
        <v/>
      </c>
      <c r="B441" s="11">
        <f>IF(MATCH_ENGINE!A441="","",MATCH_ENGINE!C441)</f>
        <v/>
      </c>
      <c r="C441" s="10">
        <f>IF(MATCH_ENGINE!A441="","",MATCH_ENGINE!B441)</f>
        <v/>
      </c>
      <c r="D441" s="16">
        <f>IF(MATCH_ENGINE!A441="","",MATCH_ENGINE!D441)</f>
        <v/>
      </c>
      <c r="E441" s="11">
        <f>IF(MATCH_ENGINE!A441="","",MATCH_ENGINE!F441)</f>
        <v/>
      </c>
      <c r="F441" s="10">
        <f>IF(MATCH_ENGINE!A441="","",MATCH_ENGINE!I441)</f>
        <v/>
      </c>
      <c r="G441" s="16">
        <f>IF(MATCH_ENGINE!H441="","",IF(MATCH_ENGINE!F441="IN",MATCH_ENGINE!J441,""))</f>
        <v/>
      </c>
      <c r="H441" s="16">
        <f>IF(MATCH_ENGINE!H441="","",IF(MATCH_ENGINE!F441="OUT",MATCH_ENGINE!J441,""))</f>
        <v/>
      </c>
      <c r="I441" s="16">
        <f>IF(MATCH_ENGINE!H441="","",MATCH_ENGINE!J441)</f>
        <v/>
      </c>
      <c r="J441" s="12">
        <f>IF(MATCH_ENGINE!A441="","",MATCH_ENGINE!K441)</f>
        <v/>
      </c>
      <c r="K441" s="11">
        <f>IF(MATCH_ENGINE!A441="","",MATCH_ENGINE!L441)</f>
        <v/>
      </c>
      <c r="L441" s="17">
        <f>IF(MATCH_ENGINE!A441="","",MATCH_ENGINE!M441)</f>
        <v/>
      </c>
      <c r="M441" s="11">
        <f>IF(MATCH_ENGINE!A441="","",GL_CLEAN!F441)</f>
        <v/>
      </c>
      <c r="N441" s="11">
        <f>IF(MATCH_ENGINE!A441="","",GL_CLEAN!G441)</f>
        <v/>
      </c>
      <c r="O441" s="11">
        <f>IF(MATCH_ENGINE!H441="","",INDEX(BANK_CLEAN!$C$2:$C$1001,MATCH_ENGINE!H441))</f>
        <v/>
      </c>
      <c r="P441" s="11" t="inlineStr"/>
    </row>
    <row r="442">
      <c r="A442" s="11">
        <f>IF(MATCH_ENGINE!A442="","",MATCH_ENGINE!N442)</f>
        <v/>
      </c>
      <c r="B442" s="11">
        <f>IF(MATCH_ENGINE!A442="","",MATCH_ENGINE!C442)</f>
        <v/>
      </c>
      <c r="C442" s="10">
        <f>IF(MATCH_ENGINE!A442="","",MATCH_ENGINE!B442)</f>
        <v/>
      </c>
      <c r="D442" s="16">
        <f>IF(MATCH_ENGINE!A442="","",MATCH_ENGINE!D442)</f>
        <v/>
      </c>
      <c r="E442" s="11">
        <f>IF(MATCH_ENGINE!A442="","",MATCH_ENGINE!F442)</f>
        <v/>
      </c>
      <c r="F442" s="10">
        <f>IF(MATCH_ENGINE!A442="","",MATCH_ENGINE!I442)</f>
        <v/>
      </c>
      <c r="G442" s="16">
        <f>IF(MATCH_ENGINE!H442="","",IF(MATCH_ENGINE!F442="IN",MATCH_ENGINE!J442,""))</f>
        <v/>
      </c>
      <c r="H442" s="16">
        <f>IF(MATCH_ENGINE!H442="","",IF(MATCH_ENGINE!F442="OUT",MATCH_ENGINE!J442,""))</f>
        <v/>
      </c>
      <c r="I442" s="16">
        <f>IF(MATCH_ENGINE!H442="","",MATCH_ENGINE!J442)</f>
        <v/>
      </c>
      <c r="J442" s="12">
        <f>IF(MATCH_ENGINE!A442="","",MATCH_ENGINE!K442)</f>
        <v/>
      </c>
      <c r="K442" s="11">
        <f>IF(MATCH_ENGINE!A442="","",MATCH_ENGINE!L442)</f>
        <v/>
      </c>
      <c r="L442" s="17">
        <f>IF(MATCH_ENGINE!A442="","",MATCH_ENGINE!M442)</f>
        <v/>
      </c>
      <c r="M442" s="11">
        <f>IF(MATCH_ENGINE!A442="","",GL_CLEAN!F442)</f>
        <v/>
      </c>
      <c r="N442" s="11">
        <f>IF(MATCH_ENGINE!A442="","",GL_CLEAN!G442)</f>
        <v/>
      </c>
      <c r="O442" s="11">
        <f>IF(MATCH_ENGINE!H442="","",INDEX(BANK_CLEAN!$C$2:$C$1001,MATCH_ENGINE!H442))</f>
        <v/>
      </c>
      <c r="P442" s="11" t="inlineStr"/>
    </row>
    <row r="443">
      <c r="A443" s="11">
        <f>IF(MATCH_ENGINE!A443="","",MATCH_ENGINE!N443)</f>
        <v/>
      </c>
      <c r="B443" s="11">
        <f>IF(MATCH_ENGINE!A443="","",MATCH_ENGINE!C443)</f>
        <v/>
      </c>
      <c r="C443" s="10">
        <f>IF(MATCH_ENGINE!A443="","",MATCH_ENGINE!B443)</f>
        <v/>
      </c>
      <c r="D443" s="16">
        <f>IF(MATCH_ENGINE!A443="","",MATCH_ENGINE!D443)</f>
        <v/>
      </c>
      <c r="E443" s="11">
        <f>IF(MATCH_ENGINE!A443="","",MATCH_ENGINE!F443)</f>
        <v/>
      </c>
      <c r="F443" s="10">
        <f>IF(MATCH_ENGINE!A443="","",MATCH_ENGINE!I443)</f>
        <v/>
      </c>
      <c r="G443" s="16">
        <f>IF(MATCH_ENGINE!H443="","",IF(MATCH_ENGINE!F443="IN",MATCH_ENGINE!J443,""))</f>
        <v/>
      </c>
      <c r="H443" s="16">
        <f>IF(MATCH_ENGINE!H443="","",IF(MATCH_ENGINE!F443="OUT",MATCH_ENGINE!J443,""))</f>
        <v/>
      </c>
      <c r="I443" s="16">
        <f>IF(MATCH_ENGINE!H443="","",MATCH_ENGINE!J443)</f>
        <v/>
      </c>
      <c r="J443" s="12">
        <f>IF(MATCH_ENGINE!A443="","",MATCH_ENGINE!K443)</f>
        <v/>
      </c>
      <c r="K443" s="11">
        <f>IF(MATCH_ENGINE!A443="","",MATCH_ENGINE!L443)</f>
        <v/>
      </c>
      <c r="L443" s="17">
        <f>IF(MATCH_ENGINE!A443="","",MATCH_ENGINE!M443)</f>
        <v/>
      </c>
      <c r="M443" s="11">
        <f>IF(MATCH_ENGINE!A443="","",GL_CLEAN!F443)</f>
        <v/>
      </c>
      <c r="N443" s="11">
        <f>IF(MATCH_ENGINE!A443="","",GL_CLEAN!G443)</f>
        <v/>
      </c>
      <c r="O443" s="11">
        <f>IF(MATCH_ENGINE!H443="","",INDEX(BANK_CLEAN!$C$2:$C$1001,MATCH_ENGINE!H443))</f>
        <v/>
      </c>
      <c r="P443" s="11" t="inlineStr"/>
    </row>
    <row r="444">
      <c r="A444" s="11">
        <f>IF(MATCH_ENGINE!A444="","",MATCH_ENGINE!N444)</f>
        <v/>
      </c>
      <c r="B444" s="11">
        <f>IF(MATCH_ENGINE!A444="","",MATCH_ENGINE!C444)</f>
        <v/>
      </c>
      <c r="C444" s="10">
        <f>IF(MATCH_ENGINE!A444="","",MATCH_ENGINE!B444)</f>
        <v/>
      </c>
      <c r="D444" s="16">
        <f>IF(MATCH_ENGINE!A444="","",MATCH_ENGINE!D444)</f>
        <v/>
      </c>
      <c r="E444" s="11">
        <f>IF(MATCH_ENGINE!A444="","",MATCH_ENGINE!F444)</f>
        <v/>
      </c>
      <c r="F444" s="10">
        <f>IF(MATCH_ENGINE!A444="","",MATCH_ENGINE!I444)</f>
        <v/>
      </c>
      <c r="G444" s="16">
        <f>IF(MATCH_ENGINE!H444="","",IF(MATCH_ENGINE!F444="IN",MATCH_ENGINE!J444,""))</f>
        <v/>
      </c>
      <c r="H444" s="16">
        <f>IF(MATCH_ENGINE!H444="","",IF(MATCH_ENGINE!F444="OUT",MATCH_ENGINE!J444,""))</f>
        <v/>
      </c>
      <c r="I444" s="16">
        <f>IF(MATCH_ENGINE!H444="","",MATCH_ENGINE!J444)</f>
        <v/>
      </c>
      <c r="J444" s="12">
        <f>IF(MATCH_ENGINE!A444="","",MATCH_ENGINE!K444)</f>
        <v/>
      </c>
      <c r="K444" s="11">
        <f>IF(MATCH_ENGINE!A444="","",MATCH_ENGINE!L444)</f>
        <v/>
      </c>
      <c r="L444" s="17">
        <f>IF(MATCH_ENGINE!A444="","",MATCH_ENGINE!M444)</f>
        <v/>
      </c>
      <c r="M444" s="11">
        <f>IF(MATCH_ENGINE!A444="","",GL_CLEAN!F444)</f>
        <v/>
      </c>
      <c r="N444" s="11">
        <f>IF(MATCH_ENGINE!A444="","",GL_CLEAN!G444)</f>
        <v/>
      </c>
      <c r="O444" s="11">
        <f>IF(MATCH_ENGINE!H444="","",INDEX(BANK_CLEAN!$C$2:$C$1001,MATCH_ENGINE!H444))</f>
        <v/>
      </c>
      <c r="P444" s="11" t="inlineStr"/>
    </row>
    <row r="445">
      <c r="A445" s="11">
        <f>IF(MATCH_ENGINE!A445="","",MATCH_ENGINE!N445)</f>
        <v/>
      </c>
      <c r="B445" s="11">
        <f>IF(MATCH_ENGINE!A445="","",MATCH_ENGINE!C445)</f>
        <v/>
      </c>
      <c r="C445" s="10">
        <f>IF(MATCH_ENGINE!A445="","",MATCH_ENGINE!B445)</f>
        <v/>
      </c>
      <c r="D445" s="16">
        <f>IF(MATCH_ENGINE!A445="","",MATCH_ENGINE!D445)</f>
        <v/>
      </c>
      <c r="E445" s="11">
        <f>IF(MATCH_ENGINE!A445="","",MATCH_ENGINE!F445)</f>
        <v/>
      </c>
      <c r="F445" s="10">
        <f>IF(MATCH_ENGINE!A445="","",MATCH_ENGINE!I445)</f>
        <v/>
      </c>
      <c r="G445" s="16">
        <f>IF(MATCH_ENGINE!H445="","",IF(MATCH_ENGINE!F445="IN",MATCH_ENGINE!J445,""))</f>
        <v/>
      </c>
      <c r="H445" s="16">
        <f>IF(MATCH_ENGINE!H445="","",IF(MATCH_ENGINE!F445="OUT",MATCH_ENGINE!J445,""))</f>
        <v/>
      </c>
      <c r="I445" s="16">
        <f>IF(MATCH_ENGINE!H445="","",MATCH_ENGINE!J445)</f>
        <v/>
      </c>
      <c r="J445" s="12">
        <f>IF(MATCH_ENGINE!A445="","",MATCH_ENGINE!K445)</f>
        <v/>
      </c>
      <c r="K445" s="11">
        <f>IF(MATCH_ENGINE!A445="","",MATCH_ENGINE!L445)</f>
        <v/>
      </c>
      <c r="L445" s="17">
        <f>IF(MATCH_ENGINE!A445="","",MATCH_ENGINE!M445)</f>
        <v/>
      </c>
      <c r="M445" s="11">
        <f>IF(MATCH_ENGINE!A445="","",GL_CLEAN!F445)</f>
        <v/>
      </c>
      <c r="N445" s="11">
        <f>IF(MATCH_ENGINE!A445="","",GL_CLEAN!G445)</f>
        <v/>
      </c>
      <c r="O445" s="11">
        <f>IF(MATCH_ENGINE!H445="","",INDEX(BANK_CLEAN!$C$2:$C$1001,MATCH_ENGINE!H445))</f>
        <v/>
      </c>
      <c r="P445" s="11" t="inlineStr"/>
    </row>
    <row r="446">
      <c r="A446" s="11">
        <f>IF(MATCH_ENGINE!A446="","",MATCH_ENGINE!N446)</f>
        <v/>
      </c>
      <c r="B446" s="11">
        <f>IF(MATCH_ENGINE!A446="","",MATCH_ENGINE!C446)</f>
        <v/>
      </c>
      <c r="C446" s="10">
        <f>IF(MATCH_ENGINE!A446="","",MATCH_ENGINE!B446)</f>
        <v/>
      </c>
      <c r="D446" s="16">
        <f>IF(MATCH_ENGINE!A446="","",MATCH_ENGINE!D446)</f>
        <v/>
      </c>
      <c r="E446" s="11">
        <f>IF(MATCH_ENGINE!A446="","",MATCH_ENGINE!F446)</f>
        <v/>
      </c>
      <c r="F446" s="10">
        <f>IF(MATCH_ENGINE!A446="","",MATCH_ENGINE!I446)</f>
        <v/>
      </c>
      <c r="G446" s="16">
        <f>IF(MATCH_ENGINE!H446="","",IF(MATCH_ENGINE!F446="IN",MATCH_ENGINE!J446,""))</f>
        <v/>
      </c>
      <c r="H446" s="16">
        <f>IF(MATCH_ENGINE!H446="","",IF(MATCH_ENGINE!F446="OUT",MATCH_ENGINE!J446,""))</f>
        <v/>
      </c>
      <c r="I446" s="16">
        <f>IF(MATCH_ENGINE!H446="","",MATCH_ENGINE!J446)</f>
        <v/>
      </c>
      <c r="J446" s="12">
        <f>IF(MATCH_ENGINE!A446="","",MATCH_ENGINE!K446)</f>
        <v/>
      </c>
      <c r="K446" s="11">
        <f>IF(MATCH_ENGINE!A446="","",MATCH_ENGINE!L446)</f>
        <v/>
      </c>
      <c r="L446" s="17">
        <f>IF(MATCH_ENGINE!A446="","",MATCH_ENGINE!M446)</f>
        <v/>
      </c>
      <c r="M446" s="11">
        <f>IF(MATCH_ENGINE!A446="","",GL_CLEAN!F446)</f>
        <v/>
      </c>
      <c r="N446" s="11">
        <f>IF(MATCH_ENGINE!A446="","",GL_CLEAN!G446)</f>
        <v/>
      </c>
      <c r="O446" s="11">
        <f>IF(MATCH_ENGINE!H446="","",INDEX(BANK_CLEAN!$C$2:$C$1001,MATCH_ENGINE!H446))</f>
        <v/>
      </c>
      <c r="P446" s="11" t="inlineStr"/>
    </row>
    <row r="447">
      <c r="A447" s="11">
        <f>IF(MATCH_ENGINE!A447="","",MATCH_ENGINE!N447)</f>
        <v/>
      </c>
      <c r="B447" s="11">
        <f>IF(MATCH_ENGINE!A447="","",MATCH_ENGINE!C447)</f>
        <v/>
      </c>
      <c r="C447" s="10">
        <f>IF(MATCH_ENGINE!A447="","",MATCH_ENGINE!B447)</f>
        <v/>
      </c>
      <c r="D447" s="16">
        <f>IF(MATCH_ENGINE!A447="","",MATCH_ENGINE!D447)</f>
        <v/>
      </c>
      <c r="E447" s="11">
        <f>IF(MATCH_ENGINE!A447="","",MATCH_ENGINE!F447)</f>
        <v/>
      </c>
      <c r="F447" s="10">
        <f>IF(MATCH_ENGINE!A447="","",MATCH_ENGINE!I447)</f>
        <v/>
      </c>
      <c r="G447" s="16">
        <f>IF(MATCH_ENGINE!H447="","",IF(MATCH_ENGINE!F447="IN",MATCH_ENGINE!J447,""))</f>
        <v/>
      </c>
      <c r="H447" s="16">
        <f>IF(MATCH_ENGINE!H447="","",IF(MATCH_ENGINE!F447="OUT",MATCH_ENGINE!J447,""))</f>
        <v/>
      </c>
      <c r="I447" s="16">
        <f>IF(MATCH_ENGINE!H447="","",MATCH_ENGINE!J447)</f>
        <v/>
      </c>
      <c r="J447" s="12">
        <f>IF(MATCH_ENGINE!A447="","",MATCH_ENGINE!K447)</f>
        <v/>
      </c>
      <c r="K447" s="11">
        <f>IF(MATCH_ENGINE!A447="","",MATCH_ENGINE!L447)</f>
        <v/>
      </c>
      <c r="L447" s="17">
        <f>IF(MATCH_ENGINE!A447="","",MATCH_ENGINE!M447)</f>
        <v/>
      </c>
      <c r="M447" s="11">
        <f>IF(MATCH_ENGINE!A447="","",GL_CLEAN!F447)</f>
        <v/>
      </c>
      <c r="N447" s="11">
        <f>IF(MATCH_ENGINE!A447="","",GL_CLEAN!G447)</f>
        <v/>
      </c>
      <c r="O447" s="11">
        <f>IF(MATCH_ENGINE!H447="","",INDEX(BANK_CLEAN!$C$2:$C$1001,MATCH_ENGINE!H447))</f>
        <v/>
      </c>
      <c r="P447" s="11" t="inlineStr"/>
    </row>
    <row r="448">
      <c r="A448" s="11">
        <f>IF(MATCH_ENGINE!A448="","",MATCH_ENGINE!N448)</f>
        <v/>
      </c>
      <c r="B448" s="11">
        <f>IF(MATCH_ENGINE!A448="","",MATCH_ENGINE!C448)</f>
        <v/>
      </c>
      <c r="C448" s="10">
        <f>IF(MATCH_ENGINE!A448="","",MATCH_ENGINE!B448)</f>
        <v/>
      </c>
      <c r="D448" s="16">
        <f>IF(MATCH_ENGINE!A448="","",MATCH_ENGINE!D448)</f>
        <v/>
      </c>
      <c r="E448" s="11">
        <f>IF(MATCH_ENGINE!A448="","",MATCH_ENGINE!F448)</f>
        <v/>
      </c>
      <c r="F448" s="10">
        <f>IF(MATCH_ENGINE!A448="","",MATCH_ENGINE!I448)</f>
        <v/>
      </c>
      <c r="G448" s="16">
        <f>IF(MATCH_ENGINE!H448="","",IF(MATCH_ENGINE!F448="IN",MATCH_ENGINE!J448,""))</f>
        <v/>
      </c>
      <c r="H448" s="16">
        <f>IF(MATCH_ENGINE!H448="","",IF(MATCH_ENGINE!F448="OUT",MATCH_ENGINE!J448,""))</f>
        <v/>
      </c>
      <c r="I448" s="16">
        <f>IF(MATCH_ENGINE!H448="","",MATCH_ENGINE!J448)</f>
        <v/>
      </c>
      <c r="J448" s="12">
        <f>IF(MATCH_ENGINE!A448="","",MATCH_ENGINE!K448)</f>
        <v/>
      </c>
      <c r="K448" s="11">
        <f>IF(MATCH_ENGINE!A448="","",MATCH_ENGINE!L448)</f>
        <v/>
      </c>
      <c r="L448" s="17">
        <f>IF(MATCH_ENGINE!A448="","",MATCH_ENGINE!M448)</f>
        <v/>
      </c>
      <c r="M448" s="11">
        <f>IF(MATCH_ENGINE!A448="","",GL_CLEAN!F448)</f>
        <v/>
      </c>
      <c r="N448" s="11">
        <f>IF(MATCH_ENGINE!A448="","",GL_CLEAN!G448)</f>
        <v/>
      </c>
      <c r="O448" s="11">
        <f>IF(MATCH_ENGINE!H448="","",INDEX(BANK_CLEAN!$C$2:$C$1001,MATCH_ENGINE!H448))</f>
        <v/>
      </c>
      <c r="P448" s="11" t="inlineStr"/>
    </row>
    <row r="449">
      <c r="A449" s="11">
        <f>IF(MATCH_ENGINE!A449="","",MATCH_ENGINE!N449)</f>
        <v/>
      </c>
      <c r="B449" s="11">
        <f>IF(MATCH_ENGINE!A449="","",MATCH_ENGINE!C449)</f>
        <v/>
      </c>
      <c r="C449" s="10">
        <f>IF(MATCH_ENGINE!A449="","",MATCH_ENGINE!B449)</f>
        <v/>
      </c>
      <c r="D449" s="16">
        <f>IF(MATCH_ENGINE!A449="","",MATCH_ENGINE!D449)</f>
        <v/>
      </c>
      <c r="E449" s="11">
        <f>IF(MATCH_ENGINE!A449="","",MATCH_ENGINE!F449)</f>
        <v/>
      </c>
      <c r="F449" s="10">
        <f>IF(MATCH_ENGINE!A449="","",MATCH_ENGINE!I449)</f>
        <v/>
      </c>
      <c r="G449" s="16">
        <f>IF(MATCH_ENGINE!H449="","",IF(MATCH_ENGINE!F449="IN",MATCH_ENGINE!J449,""))</f>
        <v/>
      </c>
      <c r="H449" s="16">
        <f>IF(MATCH_ENGINE!H449="","",IF(MATCH_ENGINE!F449="OUT",MATCH_ENGINE!J449,""))</f>
        <v/>
      </c>
      <c r="I449" s="16">
        <f>IF(MATCH_ENGINE!H449="","",MATCH_ENGINE!J449)</f>
        <v/>
      </c>
      <c r="J449" s="12">
        <f>IF(MATCH_ENGINE!A449="","",MATCH_ENGINE!K449)</f>
        <v/>
      </c>
      <c r="K449" s="11">
        <f>IF(MATCH_ENGINE!A449="","",MATCH_ENGINE!L449)</f>
        <v/>
      </c>
      <c r="L449" s="17">
        <f>IF(MATCH_ENGINE!A449="","",MATCH_ENGINE!M449)</f>
        <v/>
      </c>
      <c r="M449" s="11">
        <f>IF(MATCH_ENGINE!A449="","",GL_CLEAN!F449)</f>
        <v/>
      </c>
      <c r="N449" s="11">
        <f>IF(MATCH_ENGINE!A449="","",GL_CLEAN!G449)</f>
        <v/>
      </c>
      <c r="O449" s="11">
        <f>IF(MATCH_ENGINE!H449="","",INDEX(BANK_CLEAN!$C$2:$C$1001,MATCH_ENGINE!H449))</f>
        <v/>
      </c>
      <c r="P449" s="11" t="inlineStr"/>
    </row>
    <row r="450">
      <c r="A450" s="11">
        <f>IF(MATCH_ENGINE!A450="","",MATCH_ENGINE!N450)</f>
        <v/>
      </c>
      <c r="B450" s="11">
        <f>IF(MATCH_ENGINE!A450="","",MATCH_ENGINE!C450)</f>
        <v/>
      </c>
      <c r="C450" s="10">
        <f>IF(MATCH_ENGINE!A450="","",MATCH_ENGINE!B450)</f>
        <v/>
      </c>
      <c r="D450" s="16">
        <f>IF(MATCH_ENGINE!A450="","",MATCH_ENGINE!D450)</f>
        <v/>
      </c>
      <c r="E450" s="11">
        <f>IF(MATCH_ENGINE!A450="","",MATCH_ENGINE!F450)</f>
        <v/>
      </c>
      <c r="F450" s="10">
        <f>IF(MATCH_ENGINE!A450="","",MATCH_ENGINE!I450)</f>
        <v/>
      </c>
      <c r="G450" s="16">
        <f>IF(MATCH_ENGINE!H450="","",IF(MATCH_ENGINE!F450="IN",MATCH_ENGINE!J450,""))</f>
        <v/>
      </c>
      <c r="H450" s="16">
        <f>IF(MATCH_ENGINE!H450="","",IF(MATCH_ENGINE!F450="OUT",MATCH_ENGINE!J450,""))</f>
        <v/>
      </c>
      <c r="I450" s="16">
        <f>IF(MATCH_ENGINE!H450="","",MATCH_ENGINE!J450)</f>
        <v/>
      </c>
      <c r="J450" s="12">
        <f>IF(MATCH_ENGINE!A450="","",MATCH_ENGINE!K450)</f>
        <v/>
      </c>
      <c r="K450" s="11">
        <f>IF(MATCH_ENGINE!A450="","",MATCH_ENGINE!L450)</f>
        <v/>
      </c>
      <c r="L450" s="17">
        <f>IF(MATCH_ENGINE!A450="","",MATCH_ENGINE!M450)</f>
        <v/>
      </c>
      <c r="M450" s="11">
        <f>IF(MATCH_ENGINE!A450="","",GL_CLEAN!F450)</f>
        <v/>
      </c>
      <c r="N450" s="11">
        <f>IF(MATCH_ENGINE!A450="","",GL_CLEAN!G450)</f>
        <v/>
      </c>
      <c r="O450" s="11">
        <f>IF(MATCH_ENGINE!H450="","",INDEX(BANK_CLEAN!$C$2:$C$1001,MATCH_ENGINE!H450))</f>
        <v/>
      </c>
      <c r="P450" s="11" t="inlineStr"/>
    </row>
    <row r="451">
      <c r="A451" s="11">
        <f>IF(MATCH_ENGINE!A451="","",MATCH_ENGINE!N451)</f>
        <v/>
      </c>
      <c r="B451" s="11">
        <f>IF(MATCH_ENGINE!A451="","",MATCH_ENGINE!C451)</f>
        <v/>
      </c>
      <c r="C451" s="10">
        <f>IF(MATCH_ENGINE!A451="","",MATCH_ENGINE!B451)</f>
        <v/>
      </c>
      <c r="D451" s="16">
        <f>IF(MATCH_ENGINE!A451="","",MATCH_ENGINE!D451)</f>
        <v/>
      </c>
      <c r="E451" s="11">
        <f>IF(MATCH_ENGINE!A451="","",MATCH_ENGINE!F451)</f>
        <v/>
      </c>
      <c r="F451" s="10">
        <f>IF(MATCH_ENGINE!A451="","",MATCH_ENGINE!I451)</f>
        <v/>
      </c>
      <c r="G451" s="16">
        <f>IF(MATCH_ENGINE!H451="","",IF(MATCH_ENGINE!F451="IN",MATCH_ENGINE!J451,""))</f>
        <v/>
      </c>
      <c r="H451" s="16">
        <f>IF(MATCH_ENGINE!H451="","",IF(MATCH_ENGINE!F451="OUT",MATCH_ENGINE!J451,""))</f>
        <v/>
      </c>
      <c r="I451" s="16">
        <f>IF(MATCH_ENGINE!H451="","",MATCH_ENGINE!J451)</f>
        <v/>
      </c>
      <c r="J451" s="12">
        <f>IF(MATCH_ENGINE!A451="","",MATCH_ENGINE!K451)</f>
        <v/>
      </c>
      <c r="K451" s="11">
        <f>IF(MATCH_ENGINE!A451="","",MATCH_ENGINE!L451)</f>
        <v/>
      </c>
      <c r="L451" s="17">
        <f>IF(MATCH_ENGINE!A451="","",MATCH_ENGINE!M451)</f>
        <v/>
      </c>
      <c r="M451" s="11">
        <f>IF(MATCH_ENGINE!A451="","",GL_CLEAN!F451)</f>
        <v/>
      </c>
      <c r="N451" s="11">
        <f>IF(MATCH_ENGINE!A451="","",GL_CLEAN!G451)</f>
        <v/>
      </c>
      <c r="O451" s="11">
        <f>IF(MATCH_ENGINE!H451="","",INDEX(BANK_CLEAN!$C$2:$C$1001,MATCH_ENGINE!H451))</f>
        <v/>
      </c>
      <c r="P451" s="11" t="inlineStr"/>
    </row>
    <row r="452">
      <c r="A452" s="11">
        <f>IF(MATCH_ENGINE!A452="","",MATCH_ENGINE!N452)</f>
        <v/>
      </c>
      <c r="B452" s="11">
        <f>IF(MATCH_ENGINE!A452="","",MATCH_ENGINE!C452)</f>
        <v/>
      </c>
      <c r="C452" s="10">
        <f>IF(MATCH_ENGINE!A452="","",MATCH_ENGINE!B452)</f>
        <v/>
      </c>
      <c r="D452" s="16">
        <f>IF(MATCH_ENGINE!A452="","",MATCH_ENGINE!D452)</f>
        <v/>
      </c>
      <c r="E452" s="11">
        <f>IF(MATCH_ENGINE!A452="","",MATCH_ENGINE!F452)</f>
        <v/>
      </c>
      <c r="F452" s="10">
        <f>IF(MATCH_ENGINE!A452="","",MATCH_ENGINE!I452)</f>
        <v/>
      </c>
      <c r="G452" s="16">
        <f>IF(MATCH_ENGINE!H452="","",IF(MATCH_ENGINE!F452="IN",MATCH_ENGINE!J452,""))</f>
        <v/>
      </c>
      <c r="H452" s="16">
        <f>IF(MATCH_ENGINE!H452="","",IF(MATCH_ENGINE!F452="OUT",MATCH_ENGINE!J452,""))</f>
        <v/>
      </c>
      <c r="I452" s="16">
        <f>IF(MATCH_ENGINE!H452="","",MATCH_ENGINE!J452)</f>
        <v/>
      </c>
      <c r="J452" s="12">
        <f>IF(MATCH_ENGINE!A452="","",MATCH_ENGINE!K452)</f>
        <v/>
      </c>
      <c r="K452" s="11">
        <f>IF(MATCH_ENGINE!A452="","",MATCH_ENGINE!L452)</f>
        <v/>
      </c>
      <c r="L452" s="17">
        <f>IF(MATCH_ENGINE!A452="","",MATCH_ENGINE!M452)</f>
        <v/>
      </c>
      <c r="M452" s="11">
        <f>IF(MATCH_ENGINE!A452="","",GL_CLEAN!F452)</f>
        <v/>
      </c>
      <c r="N452" s="11">
        <f>IF(MATCH_ENGINE!A452="","",GL_CLEAN!G452)</f>
        <v/>
      </c>
      <c r="O452" s="11">
        <f>IF(MATCH_ENGINE!H452="","",INDEX(BANK_CLEAN!$C$2:$C$1001,MATCH_ENGINE!H452))</f>
        <v/>
      </c>
      <c r="P452" s="11" t="inlineStr"/>
    </row>
    <row r="453">
      <c r="A453" s="11">
        <f>IF(MATCH_ENGINE!A453="","",MATCH_ENGINE!N453)</f>
        <v/>
      </c>
      <c r="B453" s="11">
        <f>IF(MATCH_ENGINE!A453="","",MATCH_ENGINE!C453)</f>
        <v/>
      </c>
      <c r="C453" s="10">
        <f>IF(MATCH_ENGINE!A453="","",MATCH_ENGINE!B453)</f>
        <v/>
      </c>
      <c r="D453" s="16">
        <f>IF(MATCH_ENGINE!A453="","",MATCH_ENGINE!D453)</f>
        <v/>
      </c>
      <c r="E453" s="11">
        <f>IF(MATCH_ENGINE!A453="","",MATCH_ENGINE!F453)</f>
        <v/>
      </c>
      <c r="F453" s="10">
        <f>IF(MATCH_ENGINE!A453="","",MATCH_ENGINE!I453)</f>
        <v/>
      </c>
      <c r="G453" s="16">
        <f>IF(MATCH_ENGINE!H453="","",IF(MATCH_ENGINE!F453="IN",MATCH_ENGINE!J453,""))</f>
        <v/>
      </c>
      <c r="H453" s="16">
        <f>IF(MATCH_ENGINE!H453="","",IF(MATCH_ENGINE!F453="OUT",MATCH_ENGINE!J453,""))</f>
        <v/>
      </c>
      <c r="I453" s="16">
        <f>IF(MATCH_ENGINE!H453="","",MATCH_ENGINE!J453)</f>
        <v/>
      </c>
      <c r="J453" s="12">
        <f>IF(MATCH_ENGINE!A453="","",MATCH_ENGINE!K453)</f>
        <v/>
      </c>
      <c r="K453" s="11">
        <f>IF(MATCH_ENGINE!A453="","",MATCH_ENGINE!L453)</f>
        <v/>
      </c>
      <c r="L453" s="17">
        <f>IF(MATCH_ENGINE!A453="","",MATCH_ENGINE!M453)</f>
        <v/>
      </c>
      <c r="M453" s="11">
        <f>IF(MATCH_ENGINE!A453="","",GL_CLEAN!F453)</f>
        <v/>
      </c>
      <c r="N453" s="11">
        <f>IF(MATCH_ENGINE!A453="","",GL_CLEAN!G453)</f>
        <v/>
      </c>
      <c r="O453" s="11">
        <f>IF(MATCH_ENGINE!H453="","",INDEX(BANK_CLEAN!$C$2:$C$1001,MATCH_ENGINE!H453))</f>
        <v/>
      </c>
      <c r="P453" s="11" t="inlineStr"/>
    </row>
    <row r="454">
      <c r="A454" s="11">
        <f>IF(MATCH_ENGINE!A454="","",MATCH_ENGINE!N454)</f>
        <v/>
      </c>
      <c r="B454" s="11">
        <f>IF(MATCH_ENGINE!A454="","",MATCH_ENGINE!C454)</f>
        <v/>
      </c>
      <c r="C454" s="10">
        <f>IF(MATCH_ENGINE!A454="","",MATCH_ENGINE!B454)</f>
        <v/>
      </c>
      <c r="D454" s="16">
        <f>IF(MATCH_ENGINE!A454="","",MATCH_ENGINE!D454)</f>
        <v/>
      </c>
      <c r="E454" s="11">
        <f>IF(MATCH_ENGINE!A454="","",MATCH_ENGINE!F454)</f>
        <v/>
      </c>
      <c r="F454" s="10">
        <f>IF(MATCH_ENGINE!A454="","",MATCH_ENGINE!I454)</f>
        <v/>
      </c>
      <c r="G454" s="16">
        <f>IF(MATCH_ENGINE!H454="","",IF(MATCH_ENGINE!F454="IN",MATCH_ENGINE!J454,""))</f>
        <v/>
      </c>
      <c r="H454" s="16">
        <f>IF(MATCH_ENGINE!H454="","",IF(MATCH_ENGINE!F454="OUT",MATCH_ENGINE!J454,""))</f>
        <v/>
      </c>
      <c r="I454" s="16">
        <f>IF(MATCH_ENGINE!H454="","",MATCH_ENGINE!J454)</f>
        <v/>
      </c>
      <c r="J454" s="12">
        <f>IF(MATCH_ENGINE!A454="","",MATCH_ENGINE!K454)</f>
        <v/>
      </c>
      <c r="K454" s="11">
        <f>IF(MATCH_ENGINE!A454="","",MATCH_ENGINE!L454)</f>
        <v/>
      </c>
      <c r="L454" s="17">
        <f>IF(MATCH_ENGINE!A454="","",MATCH_ENGINE!M454)</f>
        <v/>
      </c>
      <c r="M454" s="11">
        <f>IF(MATCH_ENGINE!A454="","",GL_CLEAN!F454)</f>
        <v/>
      </c>
      <c r="N454" s="11">
        <f>IF(MATCH_ENGINE!A454="","",GL_CLEAN!G454)</f>
        <v/>
      </c>
      <c r="O454" s="11">
        <f>IF(MATCH_ENGINE!H454="","",INDEX(BANK_CLEAN!$C$2:$C$1001,MATCH_ENGINE!H454))</f>
        <v/>
      </c>
      <c r="P454" s="11" t="inlineStr"/>
    </row>
    <row r="455">
      <c r="A455" s="11">
        <f>IF(MATCH_ENGINE!A455="","",MATCH_ENGINE!N455)</f>
        <v/>
      </c>
      <c r="B455" s="11">
        <f>IF(MATCH_ENGINE!A455="","",MATCH_ENGINE!C455)</f>
        <v/>
      </c>
      <c r="C455" s="10">
        <f>IF(MATCH_ENGINE!A455="","",MATCH_ENGINE!B455)</f>
        <v/>
      </c>
      <c r="D455" s="16">
        <f>IF(MATCH_ENGINE!A455="","",MATCH_ENGINE!D455)</f>
        <v/>
      </c>
      <c r="E455" s="11">
        <f>IF(MATCH_ENGINE!A455="","",MATCH_ENGINE!F455)</f>
        <v/>
      </c>
      <c r="F455" s="10">
        <f>IF(MATCH_ENGINE!A455="","",MATCH_ENGINE!I455)</f>
        <v/>
      </c>
      <c r="G455" s="16">
        <f>IF(MATCH_ENGINE!H455="","",IF(MATCH_ENGINE!F455="IN",MATCH_ENGINE!J455,""))</f>
        <v/>
      </c>
      <c r="H455" s="16">
        <f>IF(MATCH_ENGINE!H455="","",IF(MATCH_ENGINE!F455="OUT",MATCH_ENGINE!J455,""))</f>
        <v/>
      </c>
      <c r="I455" s="16">
        <f>IF(MATCH_ENGINE!H455="","",MATCH_ENGINE!J455)</f>
        <v/>
      </c>
      <c r="J455" s="12">
        <f>IF(MATCH_ENGINE!A455="","",MATCH_ENGINE!K455)</f>
        <v/>
      </c>
      <c r="K455" s="11">
        <f>IF(MATCH_ENGINE!A455="","",MATCH_ENGINE!L455)</f>
        <v/>
      </c>
      <c r="L455" s="17">
        <f>IF(MATCH_ENGINE!A455="","",MATCH_ENGINE!M455)</f>
        <v/>
      </c>
      <c r="M455" s="11">
        <f>IF(MATCH_ENGINE!A455="","",GL_CLEAN!F455)</f>
        <v/>
      </c>
      <c r="N455" s="11">
        <f>IF(MATCH_ENGINE!A455="","",GL_CLEAN!G455)</f>
        <v/>
      </c>
      <c r="O455" s="11">
        <f>IF(MATCH_ENGINE!H455="","",INDEX(BANK_CLEAN!$C$2:$C$1001,MATCH_ENGINE!H455))</f>
        <v/>
      </c>
      <c r="P455" s="11" t="inlineStr"/>
    </row>
    <row r="456">
      <c r="A456" s="11">
        <f>IF(MATCH_ENGINE!A456="","",MATCH_ENGINE!N456)</f>
        <v/>
      </c>
      <c r="B456" s="11">
        <f>IF(MATCH_ENGINE!A456="","",MATCH_ENGINE!C456)</f>
        <v/>
      </c>
      <c r="C456" s="10">
        <f>IF(MATCH_ENGINE!A456="","",MATCH_ENGINE!B456)</f>
        <v/>
      </c>
      <c r="D456" s="16">
        <f>IF(MATCH_ENGINE!A456="","",MATCH_ENGINE!D456)</f>
        <v/>
      </c>
      <c r="E456" s="11">
        <f>IF(MATCH_ENGINE!A456="","",MATCH_ENGINE!F456)</f>
        <v/>
      </c>
      <c r="F456" s="10">
        <f>IF(MATCH_ENGINE!A456="","",MATCH_ENGINE!I456)</f>
        <v/>
      </c>
      <c r="G456" s="16">
        <f>IF(MATCH_ENGINE!H456="","",IF(MATCH_ENGINE!F456="IN",MATCH_ENGINE!J456,""))</f>
        <v/>
      </c>
      <c r="H456" s="16">
        <f>IF(MATCH_ENGINE!H456="","",IF(MATCH_ENGINE!F456="OUT",MATCH_ENGINE!J456,""))</f>
        <v/>
      </c>
      <c r="I456" s="16">
        <f>IF(MATCH_ENGINE!H456="","",MATCH_ENGINE!J456)</f>
        <v/>
      </c>
      <c r="J456" s="12">
        <f>IF(MATCH_ENGINE!A456="","",MATCH_ENGINE!K456)</f>
        <v/>
      </c>
      <c r="K456" s="11">
        <f>IF(MATCH_ENGINE!A456="","",MATCH_ENGINE!L456)</f>
        <v/>
      </c>
      <c r="L456" s="17">
        <f>IF(MATCH_ENGINE!A456="","",MATCH_ENGINE!M456)</f>
        <v/>
      </c>
      <c r="M456" s="11">
        <f>IF(MATCH_ENGINE!A456="","",GL_CLEAN!F456)</f>
        <v/>
      </c>
      <c r="N456" s="11">
        <f>IF(MATCH_ENGINE!A456="","",GL_CLEAN!G456)</f>
        <v/>
      </c>
      <c r="O456" s="11">
        <f>IF(MATCH_ENGINE!H456="","",INDEX(BANK_CLEAN!$C$2:$C$1001,MATCH_ENGINE!H456))</f>
        <v/>
      </c>
      <c r="P456" s="11" t="inlineStr"/>
    </row>
    <row r="457">
      <c r="A457" s="11">
        <f>IF(MATCH_ENGINE!A457="","",MATCH_ENGINE!N457)</f>
        <v/>
      </c>
      <c r="B457" s="11">
        <f>IF(MATCH_ENGINE!A457="","",MATCH_ENGINE!C457)</f>
        <v/>
      </c>
      <c r="C457" s="10">
        <f>IF(MATCH_ENGINE!A457="","",MATCH_ENGINE!B457)</f>
        <v/>
      </c>
      <c r="D457" s="16">
        <f>IF(MATCH_ENGINE!A457="","",MATCH_ENGINE!D457)</f>
        <v/>
      </c>
      <c r="E457" s="11">
        <f>IF(MATCH_ENGINE!A457="","",MATCH_ENGINE!F457)</f>
        <v/>
      </c>
      <c r="F457" s="10">
        <f>IF(MATCH_ENGINE!A457="","",MATCH_ENGINE!I457)</f>
        <v/>
      </c>
      <c r="G457" s="16">
        <f>IF(MATCH_ENGINE!H457="","",IF(MATCH_ENGINE!F457="IN",MATCH_ENGINE!J457,""))</f>
        <v/>
      </c>
      <c r="H457" s="16">
        <f>IF(MATCH_ENGINE!H457="","",IF(MATCH_ENGINE!F457="OUT",MATCH_ENGINE!J457,""))</f>
        <v/>
      </c>
      <c r="I457" s="16">
        <f>IF(MATCH_ENGINE!H457="","",MATCH_ENGINE!J457)</f>
        <v/>
      </c>
      <c r="J457" s="12">
        <f>IF(MATCH_ENGINE!A457="","",MATCH_ENGINE!K457)</f>
        <v/>
      </c>
      <c r="K457" s="11">
        <f>IF(MATCH_ENGINE!A457="","",MATCH_ENGINE!L457)</f>
        <v/>
      </c>
      <c r="L457" s="17">
        <f>IF(MATCH_ENGINE!A457="","",MATCH_ENGINE!M457)</f>
        <v/>
      </c>
      <c r="M457" s="11">
        <f>IF(MATCH_ENGINE!A457="","",GL_CLEAN!F457)</f>
        <v/>
      </c>
      <c r="N457" s="11">
        <f>IF(MATCH_ENGINE!A457="","",GL_CLEAN!G457)</f>
        <v/>
      </c>
      <c r="O457" s="11">
        <f>IF(MATCH_ENGINE!H457="","",INDEX(BANK_CLEAN!$C$2:$C$1001,MATCH_ENGINE!H457))</f>
        <v/>
      </c>
      <c r="P457" s="11" t="inlineStr"/>
    </row>
    <row r="458">
      <c r="A458" s="11">
        <f>IF(MATCH_ENGINE!A458="","",MATCH_ENGINE!N458)</f>
        <v/>
      </c>
      <c r="B458" s="11">
        <f>IF(MATCH_ENGINE!A458="","",MATCH_ENGINE!C458)</f>
        <v/>
      </c>
      <c r="C458" s="10">
        <f>IF(MATCH_ENGINE!A458="","",MATCH_ENGINE!B458)</f>
        <v/>
      </c>
      <c r="D458" s="16">
        <f>IF(MATCH_ENGINE!A458="","",MATCH_ENGINE!D458)</f>
        <v/>
      </c>
      <c r="E458" s="11">
        <f>IF(MATCH_ENGINE!A458="","",MATCH_ENGINE!F458)</f>
        <v/>
      </c>
      <c r="F458" s="10">
        <f>IF(MATCH_ENGINE!A458="","",MATCH_ENGINE!I458)</f>
        <v/>
      </c>
      <c r="G458" s="16">
        <f>IF(MATCH_ENGINE!H458="","",IF(MATCH_ENGINE!F458="IN",MATCH_ENGINE!J458,""))</f>
        <v/>
      </c>
      <c r="H458" s="16">
        <f>IF(MATCH_ENGINE!H458="","",IF(MATCH_ENGINE!F458="OUT",MATCH_ENGINE!J458,""))</f>
        <v/>
      </c>
      <c r="I458" s="16">
        <f>IF(MATCH_ENGINE!H458="","",MATCH_ENGINE!J458)</f>
        <v/>
      </c>
      <c r="J458" s="12">
        <f>IF(MATCH_ENGINE!A458="","",MATCH_ENGINE!K458)</f>
        <v/>
      </c>
      <c r="K458" s="11">
        <f>IF(MATCH_ENGINE!A458="","",MATCH_ENGINE!L458)</f>
        <v/>
      </c>
      <c r="L458" s="17">
        <f>IF(MATCH_ENGINE!A458="","",MATCH_ENGINE!M458)</f>
        <v/>
      </c>
      <c r="M458" s="11">
        <f>IF(MATCH_ENGINE!A458="","",GL_CLEAN!F458)</f>
        <v/>
      </c>
      <c r="N458" s="11">
        <f>IF(MATCH_ENGINE!A458="","",GL_CLEAN!G458)</f>
        <v/>
      </c>
      <c r="O458" s="11">
        <f>IF(MATCH_ENGINE!H458="","",INDEX(BANK_CLEAN!$C$2:$C$1001,MATCH_ENGINE!H458))</f>
        <v/>
      </c>
      <c r="P458" s="11" t="inlineStr"/>
    </row>
    <row r="459">
      <c r="A459" s="11">
        <f>IF(MATCH_ENGINE!A459="","",MATCH_ENGINE!N459)</f>
        <v/>
      </c>
      <c r="B459" s="11">
        <f>IF(MATCH_ENGINE!A459="","",MATCH_ENGINE!C459)</f>
        <v/>
      </c>
      <c r="C459" s="10">
        <f>IF(MATCH_ENGINE!A459="","",MATCH_ENGINE!B459)</f>
        <v/>
      </c>
      <c r="D459" s="16">
        <f>IF(MATCH_ENGINE!A459="","",MATCH_ENGINE!D459)</f>
        <v/>
      </c>
      <c r="E459" s="11">
        <f>IF(MATCH_ENGINE!A459="","",MATCH_ENGINE!F459)</f>
        <v/>
      </c>
      <c r="F459" s="10">
        <f>IF(MATCH_ENGINE!A459="","",MATCH_ENGINE!I459)</f>
        <v/>
      </c>
      <c r="G459" s="16">
        <f>IF(MATCH_ENGINE!H459="","",IF(MATCH_ENGINE!F459="IN",MATCH_ENGINE!J459,""))</f>
        <v/>
      </c>
      <c r="H459" s="16">
        <f>IF(MATCH_ENGINE!H459="","",IF(MATCH_ENGINE!F459="OUT",MATCH_ENGINE!J459,""))</f>
        <v/>
      </c>
      <c r="I459" s="16">
        <f>IF(MATCH_ENGINE!H459="","",MATCH_ENGINE!J459)</f>
        <v/>
      </c>
      <c r="J459" s="12">
        <f>IF(MATCH_ENGINE!A459="","",MATCH_ENGINE!K459)</f>
        <v/>
      </c>
      <c r="K459" s="11">
        <f>IF(MATCH_ENGINE!A459="","",MATCH_ENGINE!L459)</f>
        <v/>
      </c>
      <c r="L459" s="17">
        <f>IF(MATCH_ENGINE!A459="","",MATCH_ENGINE!M459)</f>
        <v/>
      </c>
      <c r="M459" s="11">
        <f>IF(MATCH_ENGINE!A459="","",GL_CLEAN!F459)</f>
        <v/>
      </c>
      <c r="N459" s="11">
        <f>IF(MATCH_ENGINE!A459="","",GL_CLEAN!G459)</f>
        <v/>
      </c>
      <c r="O459" s="11">
        <f>IF(MATCH_ENGINE!H459="","",INDEX(BANK_CLEAN!$C$2:$C$1001,MATCH_ENGINE!H459))</f>
        <v/>
      </c>
      <c r="P459" s="11" t="inlineStr"/>
    </row>
    <row r="460">
      <c r="A460" s="11">
        <f>IF(MATCH_ENGINE!A460="","",MATCH_ENGINE!N460)</f>
        <v/>
      </c>
      <c r="B460" s="11">
        <f>IF(MATCH_ENGINE!A460="","",MATCH_ENGINE!C460)</f>
        <v/>
      </c>
      <c r="C460" s="10">
        <f>IF(MATCH_ENGINE!A460="","",MATCH_ENGINE!B460)</f>
        <v/>
      </c>
      <c r="D460" s="16">
        <f>IF(MATCH_ENGINE!A460="","",MATCH_ENGINE!D460)</f>
        <v/>
      </c>
      <c r="E460" s="11">
        <f>IF(MATCH_ENGINE!A460="","",MATCH_ENGINE!F460)</f>
        <v/>
      </c>
      <c r="F460" s="10">
        <f>IF(MATCH_ENGINE!A460="","",MATCH_ENGINE!I460)</f>
        <v/>
      </c>
      <c r="G460" s="16">
        <f>IF(MATCH_ENGINE!H460="","",IF(MATCH_ENGINE!F460="IN",MATCH_ENGINE!J460,""))</f>
        <v/>
      </c>
      <c r="H460" s="16">
        <f>IF(MATCH_ENGINE!H460="","",IF(MATCH_ENGINE!F460="OUT",MATCH_ENGINE!J460,""))</f>
        <v/>
      </c>
      <c r="I460" s="16">
        <f>IF(MATCH_ENGINE!H460="","",MATCH_ENGINE!J460)</f>
        <v/>
      </c>
      <c r="J460" s="12">
        <f>IF(MATCH_ENGINE!A460="","",MATCH_ENGINE!K460)</f>
        <v/>
      </c>
      <c r="K460" s="11">
        <f>IF(MATCH_ENGINE!A460="","",MATCH_ENGINE!L460)</f>
        <v/>
      </c>
      <c r="L460" s="17">
        <f>IF(MATCH_ENGINE!A460="","",MATCH_ENGINE!M460)</f>
        <v/>
      </c>
      <c r="M460" s="11">
        <f>IF(MATCH_ENGINE!A460="","",GL_CLEAN!F460)</f>
        <v/>
      </c>
      <c r="N460" s="11">
        <f>IF(MATCH_ENGINE!A460="","",GL_CLEAN!G460)</f>
        <v/>
      </c>
      <c r="O460" s="11">
        <f>IF(MATCH_ENGINE!H460="","",INDEX(BANK_CLEAN!$C$2:$C$1001,MATCH_ENGINE!H460))</f>
        <v/>
      </c>
      <c r="P460" s="11" t="inlineStr"/>
    </row>
    <row r="461">
      <c r="A461" s="11">
        <f>IF(MATCH_ENGINE!A461="","",MATCH_ENGINE!N461)</f>
        <v/>
      </c>
      <c r="B461" s="11">
        <f>IF(MATCH_ENGINE!A461="","",MATCH_ENGINE!C461)</f>
        <v/>
      </c>
      <c r="C461" s="10">
        <f>IF(MATCH_ENGINE!A461="","",MATCH_ENGINE!B461)</f>
        <v/>
      </c>
      <c r="D461" s="16">
        <f>IF(MATCH_ENGINE!A461="","",MATCH_ENGINE!D461)</f>
        <v/>
      </c>
      <c r="E461" s="11">
        <f>IF(MATCH_ENGINE!A461="","",MATCH_ENGINE!F461)</f>
        <v/>
      </c>
      <c r="F461" s="10">
        <f>IF(MATCH_ENGINE!A461="","",MATCH_ENGINE!I461)</f>
        <v/>
      </c>
      <c r="G461" s="16">
        <f>IF(MATCH_ENGINE!H461="","",IF(MATCH_ENGINE!F461="IN",MATCH_ENGINE!J461,""))</f>
        <v/>
      </c>
      <c r="H461" s="16">
        <f>IF(MATCH_ENGINE!H461="","",IF(MATCH_ENGINE!F461="OUT",MATCH_ENGINE!J461,""))</f>
        <v/>
      </c>
      <c r="I461" s="16">
        <f>IF(MATCH_ENGINE!H461="","",MATCH_ENGINE!J461)</f>
        <v/>
      </c>
      <c r="J461" s="12">
        <f>IF(MATCH_ENGINE!A461="","",MATCH_ENGINE!K461)</f>
        <v/>
      </c>
      <c r="K461" s="11">
        <f>IF(MATCH_ENGINE!A461="","",MATCH_ENGINE!L461)</f>
        <v/>
      </c>
      <c r="L461" s="17">
        <f>IF(MATCH_ENGINE!A461="","",MATCH_ENGINE!M461)</f>
        <v/>
      </c>
      <c r="M461" s="11">
        <f>IF(MATCH_ENGINE!A461="","",GL_CLEAN!F461)</f>
        <v/>
      </c>
      <c r="N461" s="11">
        <f>IF(MATCH_ENGINE!A461="","",GL_CLEAN!G461)</f>
        <v/>
      </c>
      <c r="O461" s="11">
        <f>IF(MATCH_ENGINE!H461="","",INDEX(BANK_CLEAN!$C$2:$C$1001,MATCH_ENGINE!H461))</f>
        <v/>
      </c>
      <c r="P461" s="11" t="inlineStr"/>
    </row>
    <row r="462">
      <c r="A462" s="11">
        <f>IF(MATCH_ENGINE!A462="","",MATCH_ENGINE!N462)</f>
        <v/>
      </c>
      <c r="B462" s="11">
        <f>IF(MATCH_ENGINE!A462="","",MATCH_ENGINE!C462)</f>
        <v/>
      </c>
      <c r="C462" s="10">
        <f>IF(MATCH_ENGINE!A462="","",MATCH_ENGINE!B462)</f>
        <v/>
      </c>
      <c r="D462" s="16">
        <f>IF(MATCH_ENGINE!A462="","",MATCH_ENGINE!D462)</f>
        <v/>
      </c>
      <c r="E462" s="11">
        <f>IF(MATCH_ENGINE!A462="","",MATCH_ENGINE!F462)</f>
        <v/>
      </c>
      <c r="F462" s="10">
        <f>IF(MATCH_ENGINE!A462="","",MATCH_ENGINE!I462)</f>
        <v/>
      </c>
      <c r="G462" s="16">
        <f>IF(MATCH_ENGINE!H462="","",IF(MATCH_ENGINE!F462="IN",MATCH_ENGINE!J462,""))</f>
        <v/>
      </c>
      <c r="H462" s="16">
        <f>IF(MATCH_ENGINE!H462="","",IF(MATCH_ENGINE!F462="OUT",MATCH_ENGINE!J462,""))</f>
        <v/>
      </c>
      <c r="I462" s="16">
        <f>IF(MATCH_ENGINE!H462="","",MATCH_ENGINE!J462)</f>
        <v/>
      </c>
      <c r="J462" s="12">
        <f>IF(MATCH_ENGINE!A462="","",MATCH_ENGINE!K462)</f>
        <v/>
      </c>
      <c r="K462" s="11">
        <f>IF(MATCH_ENGINE!A462="","",MATCH_ENGINE!L462)</f>
        <v/>
      </c>
      <c r="L462" s="17">
        <f>IF(MATCH_ENGINE!A462="","",MATCH_ENGINE!M462)</f>
        <v/>
      </c>
      <c r="M462" s="11">
        <f>IF(MATCH_ENGINE!A462="","",GL_CLEAN!F462)</f>
        <v/>
      </c>
      <c r="N462" s="11">
        <f>IF(MATCH_ENGINE!A462="","",GL_CLEAN!G462)</f>
        <v/>
      </c>
      <c r="O462" s="11">
        <f>IF(MATCH_ENGINE!H462="","",INDEX(BANK_CLEAN!$C$2:$C$1001,MATCH_ENGINE!H462))</f>
        <v/>
      </c>
      <c r="P462" s="11" t="inlineStr"/>
    </row>
    <row r="463">
      <c r="A463" s="11">
        <f>IF(MATCH_ENGINE!A463="","",MATCH_ENGINE!N463)</f>
        <v/>
      </c>
      <c r="B463" s="11">
        <f>IF(MATCH_ENGINE!A463="","",MATCH_ENGINE!C463)</f>
        <v/>
      </c>
      <c r="C463" s="10">
        <f>IF(MATCH_ENGINE!A463="","",MATCH_ENGINE!B463)</f>
        <v/>
      </c>
      <c r="D463" s="16">
        <f>IF(MATCH_ENGINE!A463="","",MATCH_ENGINE!D463)</f>
        <v/>
      </c>
      <c r="E463" s="11">
        <f>IF(MATCH_ENGINE!A463="","",MATCH_ENGINE!F463)</f>
        <v/>
      </c>
      <c r="F463" s="10">
        <f>IF(MATCH_ENGINE!A463="","",MATCH_ENGINE!I463)</f>
        <v/>
      </c>
      <c r="G463" s="16">
        <f>IF(MATCH_ENGINE!H463="","",IF(MATCH_ENGINE!F463="IN",MATCH_ENGINE!J463,""))</f>
        <v/>
      </c>
      <c r="H463" s="16">
        <f>IF(MATCH_ENGINE!H463="","",IF(MATCH_ENGINE!F463="OUT",MATCH_ENGINE!J463,""))</f>
        <v/>
      </c>
      <c r="I463" s="16">
        <f>IF(MATCH_ENGINE!H463="","",MATCH_ENGINE!J463)</f>
        <v/>
      </c>
      <c r="J463" s="12">
        <f>IF(MATCH_ENGINE!A463="","",MATCH_ENGINE!K463)</f>
        <v/>
      </c>
      <c r="K463" s="11">
        <f>IF(MATCH_ENGINE!A463="","",MATCH_ENGINE!L463)</f>
        <v/>
      </c>
      <c r="L463" s="17">
        <f>IF(MATCH_ENGINE!A463="","",MATCH_ENGINE!M463)</f>
        <v/>
      </c>
      <c r="M463" s="11">
        <f>IF(MATCH_ENGINE!A463="","",GL_CLEAN!F463)</f>
        <v/>
      </c>
      <c r="N463" s="11">
        <f>IF(MATCH_ENGINE!A463="","",GL_CLEAN!G463)</f>
        <v/>
      </c>
      <c r="O463" s="11">
        <f>IF(MATCH_ENGINE!H463="","",INDEX(BANK_CLEAN!$C$2:$C$1001,MATCH_ENGINE!H463))</f>
        <v/>
      </c>
      <c r="P463" s="11" t="inlineStr"/>
    </row>
    <row r="464">
      <c r="A464" s="11">
        <f>IF(MATCH_ENGINE!A464="","",MATCH_ENGINE!N464)</f>
        <v/>
      </c>
      <c r="B464" s="11">
        <f>IF(MATCH_ENGINE!A464="","",MATCH_ENGINE!C464)</f>
        <v/>
      </c>
      <c r="C464" s="10">
        <f>IF(MATCH_ENGINE!A464="","",MATCH_ENGINE!B464)</f>
        <v/>
      </c>
      <c r="D464" s="16">
        <f>IF(MATCH_ENGINE!A464="","",MATCH_ENGINE!D464)</f>
        <v/>
      </c>
      <c r="E464" s="11">
        <f>IF(MATCH_ENGINE!A464="","",MATCH_ENGINE!F464)</f>
        <v/>
      </c>
      <c r="F464" s="10">
        <f>IF(MATCH_ENGINE!A464="","",MATCH_ENGINE!I464)</f>
        <v/>
      </c>
      <c r="G464" s="16">
        <f>IF(MATCH_ENGINE!H464="","",IF(MATCH_ENGINE!F464="IN",MATCH_ENGINE!J464,""))</f>
        <v/>
      </c>
      <c r="H464" s="16">
        <f>IF(MATCH_ENGINE!H464="","",IF(MATCH_ENGINE!F464="OUT",MATCH_ENGINE!J464,""))</f>
        <v/>
      </c>
      <c r="I464" s="16">
        <f>IF(MATCH_ENGINE!H464="","",MATCH_ENGINE!J464)</f>
        <v/>
      </c>
      <c r="J464" s="12">
        <f>IF(MATCH_ENGINE!A464="","",MATCH_ENGINE!K464)</f>
        <v/>
      </c>
      <c r="K464" s="11">
        <f>IF(MATCH_ENGINE!A464="","",MATCH_ENGINE!L464)</f>
        <v/>
      </c>
      <c r="L464" s="17">
        <f>IF(MATCH_ENGINE!A464="","",MATCH_ENGINE!M464)</f>
        <v/>
      </c>
      <c r="M464" s="11">
        <f>IF(MATCH_ENGINE!A464="","",GL_CLEAN!F464)</f>
        <v/>
      </c>
      <c r="N464" s="11">
        <f>IF(MATCH_ENGINE!A464="","",GL_CLEAN!G464)</f>
        <v/>
      </c>
      <c r="O464" s="11">
        <f>IF(MATCH_ENGINE!H464="","",INDEX(BANK_CLEAN!$C$2:$C$1001,MATCH_ENGINE!H464))</f>
        <v/>
      </c>
      <c r="P464" s="11" t="inlineStr"/>
    </row>
    <row r="465">
      <c r="A465" s="11">
        <f>IF(MATCH_ENGINE!A465="","",MATCH_ENGINE!N465)</f>
        <v/>
      </c>
      <c r="B465" s="11">
        <f>IF(MATCH_ENGINE!A465="","",MATCH_ENGINE!C465)</f>
        <v/>
      </c>
      <c r="C465" s="10">
        <f>IF(MATCH_ENGINE!A465="","",MATCH_ENGINE!B465)</f>
        <v/>
      </c>
      <c r="D465" s="16">
        <f>IF(MATCH_ENGINE!A465="","",MATCH_ENGINE!D465)</f>
        <v/>
      </c>
      <c r="E465" s="11">
        <f>IF(MATCH_ENGINE!A465="","",MATCH_ENGINE!F465)</f>
        <v/>
      </c>
      <c r="F465" s="10">
        <f>IF(MATCH_ENGINE!A465="","",MATCH_ENGINE!I465)</f>
        <v/>
      </c>
      <c r="G465" s="16">
        <f>IF(MATCH_ENGINE!H465="","",IF(MATCH_ENGINE!F465="IN",MATCH_ENGINE!J465,""))</f>
        <v/>
      </c>
      <c r="H465" s="16">
        <f>IF(MATCH_ENGINE!H465="","",IF(MATCH_ENGINE!F465="OUT",MATCH_ENGINE!J465,""))</f>
        <v/>
      </c>
      <c r="I465" s="16">
        <f>IF(MATCH_ENGINE!H465="","",MATCH_ENGINE!J465)</f>
        <v/>
      </c>
      <c r="J465" s="12">
        <f>IF(MATCH_ENGINE!A465="","",MATCH_ENGINE!K465)</f>
        <v/>
      </c>
      <c r="K465" s="11">
        <f>IF(MATCH_ENGINE!A465="","",MATCH_ENGINE!L465)</f>
        <v/>
      </c>
      <c r="L465" s="17">
        <f>IF(MATCH_ENGINE!A465="","",MATCH_ENGINE!M465)</f>
        <v/>
      </c>
      <c r="M465" s="11">
        <f>IF(MATCH_ENGINE!A465="","",GL_CLEAN!F465)</f>
        <v/>
      </c>
      <c r="N465" s="11">
        <f>IF(MATCH_ENGINE!A465="","",GL_CLEAN!G465)</f>
        <v/>
      </c>
      <c r="O465" s="11">
        <f>IF(MATCH_ENGINE!H465="","",INDEX(BANK_CLEAN!$C$2:$C$1001,MATCH_ENGINE!H465))</f>
        <v/>
      </c>
      <c r="P465" s="11" t="inlineStr"/>
    </row>
    <row r="466">
      <c r="A466" s="11">
        <f>IF(MATCH_ENGINE!A466="","",MATCH_ENGINE!N466)</f>
        <v/>
      </c>
      <c r="B466" s="11">
        <f>IF(MATCH_ENGINE!A466="","",MATCH_ENGINE!C466)</f>
        <v/>
      </c>
      <c r="C466" s="10">
        <f>IF(MATCH_ENGINE!A466="","",MATCH_ENGINE!B466)</f>
        <v/>
      </c>
      <c r="D466" s="16">
        <f>IF(MATCH_ENGINE!A466="","",MATCH_ENGINE!D466)</f>
        <v/>
      </c>
      <c r="E466" s="11">
        <f>IF(MATCH_ENGINE!A466="","",MATCH_ENGINE!F466)</f>
        <v/>
      </c>
      <c r="F466" s="10">
        <f>IF(MATCH_ENGINE!A466="","",MATCH_ENGINE!I466)</f>
        <v/>
      </c>
      <c r="G466" s="16">
        <f>IF(MATCH_ENGINE!H466="","",IF(MATCH_ENGINE!F466="IN",MATCH_ENGINE!J466,""))</f>
        <v/>
      </c>
      <c r="H466" s="16">
        <f>IF(MATCH_ENGINE!H466="","",IF(MATCH_ENGINE!F466="OUT",MATCH_ENGINE!J466,""))</f>
        <v/>
      </c>
      <c r="I466" s="16">
        <f>IF(MATCH_ENGINE!H466="","",MATCH_ENGINE!J466)</f>
        <v/>
      </c>
      <c r="J466" s="12">
        <f>IF(MATCH_ENGINE!A466="","",MATCH_ENGINE!K466)</f>
        <v/>
      </c>
      <c r="K466" s="11">
        <f>IF(MATCH_ENGINE!A466="","",MATCH_ENGINE!L466)</f>
        <v/>
      </c>
      <c r="L466" s="17">
        <f>IF(MATCH_ENGINE!A466="","",MATCH_ENGINE!M466)</f>
        <v/>
      </c>
      <c r="M466" s="11">
        <f>IF(MATCH_ENGINE!A466="","",GL_CLEAN!F466)</f>
        <v/>
      </c>
      <c r="N466" s="11">
        <f>IF(MATCH_ENGINE!A466="","",GL_CLEAN!G466)</f>
        <v/>
      </c>
      <c r="O466" s="11">
        <f>IF(MATCH_ENGINE!H466="","",INDEX(BANK_CLEAN!$C$2:$C$1001,MATCH_ENGINE!H466))</f>
        <v/>
      </c>
      <c r="P466" s="11" t="inlineStr"/>
    </row>
    <row r="467">
      <c r="A467" s="11">
        <f>IF(MATCH_ENGINE!A467="","",MATCH_ENGINE!N467)</f>
        <v/>
      </c>
      <c r="B467" s="11">
        <f>IF(MATCH_ENGINE!A467="","",MATCH_ENGINE!C467)</f>
        <v/>
      </c>
      <c r="C467" s="10">
        <f>IF(MATCH_ENGINE!A467="","",MATCH_ENGINE!B467)</f>
        <v/>
      </c>
      <c r="D467" s="16">
        <f>IF(MATCH_ENGINE!A467="","",MATCH_ENGINE!D467)</f>
        <v/>
      </c>
      <c r="E467" s="11">
        <f>IF(MATCH_ENGINE!A467="","",MATCH_ENGINE!F467)</f>
        <v/>
      </c>
      <c r="F467" s="10">
        <f>IF(MATCH_ENGINE!A467="","",MATCH_ENGINE!I467)</f>
        <v/>
      </c>
      <c r="G467" s="16">
        <f>IF(MATCH_ENGINE!H467="","",IF(MATCH_ENGINE!F467="IN",MATCH_ENGINE!J467,""))</f>
        <v/>
      </c>
      <c r="H467" s="16">
        <f>IF(MATCH_ENGINE!H467="","",IF(MATCH_ENGINE!F467="OUT",MATCH_ENGINE!J467,""))</f>
        <v/>
      </c>
      <c r="I467" s="16">
        <f>IF(MATCH_ENGINE!H467="","",MATCH_ENGINE!J467)</f>
        <v/>
      </c>
      <c r="J467" s="12">
        <f>IF(MATCH_ENGINE!A467="","",MATCH_ENGINE!K467)</f>
        <v/>
      </c>
      <c r="K467" s="11">
        <f>IF(MATCH_ENGINE!A467="","",MATCH_ENGINE!L467)</f>
        <v/>
      </c>
      <c r="L467" s="17">
        <f>IF(MATCH_ENGINE!A467="","",MATCH_ENGINE!M467)</f>
        <v/>
      </c>
      <c r="M467" s="11">
        <f>IF(MATCH_ENGINE!A467="","",GL_CLEAN!F467)</f>
        <v/>
      </c>
      <c r="N467" s="11">
        <f>IF(MATCH_ENGINE!A467="","",GL_CLEAN!G467)</f>
        <v/>
      </c>
      <c r="O467" s="11">
        <f>IF(MATCH_ENGINE!H467="","",INDEX(BANK_CLEAN!$C$2:$C$1001,MATCH_ENGINE!H467))</f>
        <v/>
      </c>
      <c r="P467" s="11" t="inlineStr"/>
    </row>
    <row r="468">
      <c r="A468" s="11">
        <f>IF(MATCH_ENGINE!A468="","",MATCH_ENGINE!N468)</f>
        <v/>
      </c>
      <c r="B468" s="11">
        <f>IF(MATCH_ENGINE!A468="","",MATCH_ENGINE!C468)</f>
        <v/>
      </c>
      <c r="C468" s="10">
        <f>IF(MATCH_ENGINE!A468="","",MATCH_ENGINE!B468)</f>
        <v/>
      </c>
      <c r="D468" s="16">
        <f>IF(MATCH_ENGINE!A468="","",MATCH_ENGINE!D468)</f>
        <v/>
      </c>
      <c r="E468" s="11">
        <f>IF(MATCH_ENGINE!A468="","",MATCH_ENGINE!F468)</f>
        <v/>
      </c>
      <c r="F468" s="10">
        <f>IF(MATCH_ENGINE!A468="","",MATCH_ENGINE!I468)</f>
        <v/>
      </c>
      <c r="G468" s="16">
        <f>IF(MATCH_ENGINE!H468="","",IF(MATCH_ENGINE!F468="IN",MATCH_ENGINE!J468,""))</f>
        <v/>
      </c>
      <c r="H468" s="16">
        <f>IF(MATCH_ENGINE!H468="","",IF(MATCH_ENGINE!F468="OUT",MATCH_ENGINE!J468,""))</f>
        <v/>
      </c>
      <c r="I468" s="16">
        <f>IF(MATCH_ENGINE!H468="","",MATCH_ENGINE!J468)</f>
        <v/>
      </c>
      <c r="J468" s="12">
        <f>IF(MATCH_ENGINE!A468="","",MATCH_ENGINE!K468)</f>
        <v/>
      </c>
      <c r="K468" s="11">
        <f>IF(MATCH_ENGINE!A468="","",MATCH_ENGINE!L468)</f>
        <v/>
      </c>
      <c r="L468" s="17">
        <f>IF(MATCH_ENGINE!A468="","",MATCH_ENGINE!M468)</f>
        <v/>
      </c>
      <c r="M468" s="11">
        <f>IF(MATCH_ENGINE!A468="","",GL_CLEAN!F468)</f>
        <v/>
      </c>
      <c r="N468" s="11">
        <f>IF(MATCH_ENGINE!A468="","",GL_CLEAN!G468)</f>
        <v/>
      </c>
      <c r="O468" s="11">
        <f>IF(MATCH_ENGINE!H468="","",INDEX(BANK_CLEAN!$C$2:$C$1001,MATCH_ENGINE!H468))</f>
        <v/>
      </c>
      <c r="P468" s="11" t="inlineStr"/>
    </row>
    <row r="469">
      <c r="A469" s="11">
        <f>IF(MATCH_ENGINE!A469="","",MATCH_ENGINE!N469)</f>
        <v/>
      </c>
      <c r="B469" s="11">
        <f>IF(MATCH_ENGINE!A469="","",MATCH_ENGINE!C469)</f>
        <v/>
      </c>
      <c r="C469" s="10">
        <f>IF(MATCH_ENGINE!A469="","",MATCH_ENGINE!B469)</f>
        <v/>
      </c>
      <c r="D469" s="16">
        <f>IF(MATCH_ENGINE!A469="","",MATCH_ENGINE!D469)</f>
        <v/>
      </c>
      <c r="E469" s="11">
        <f>IF(MATCH_ENGINE!A469="","",MATCH_ENGINE!F469)</f>
        <v/>
      </c>
      <c r="F469" s="10">
        <f>IF(MATCH_ENGINE!A469="","",MATCH_ENGINE!I469)</f>
        <v/>
      </c>
      <c r="G469" s="16">
        <f>IF(MATCH_ENGINE!H469="","",IF(MATCH_ENGINE!F469="IN",MATCH_ENGINE!J469,""))</f>
        <v/>
      </c>
      <c r="H469" s="16">
        <f>IF(MATCH_ENGINE!H469="","",IF(MATCH_ENGINE!F469="OUT",MATCH_ENGINE!J469,""))</f>
        <v/>
      </c>
      <c r="I469" s="16">
        <f>IF(MATCH_ENGINE!H469="","",MATCH_ENGINE!J469)</f>
        <v/>
      </c>
      <c r="J469" s="12">
        <f>IF(MATCH_ENGINE!A469="","",MATCH_ENGINE!K469)</f>
        <v/>
      </c>
      <c r="K469" s="11">
        <f>IF(MATCH_ENGINE!A469="","",MATCH_ENGINE!L469)</f>
        <v/>
      </c>
      <c r="L469" s="17">
        <f>IF(MATCH_ENGINE!A469="","",MATCH_ENGINE!M469)</f>
        <v/>
      </c>
      <c r="M469" s="11">
        <f>IF(MATCH_ENGINE!A469="","",GL_CLEAN!F469)</f>
        <v/>
      </c>
      <c r="N469" s="11">
        <f>IF(MATCH_ENGINE!A469="","",GL_CLEAN!G469)</f>
        <v/>
      </c>
      <c r="O469" s="11">
        <f>IF(MATCH_ENGINE!H469="","",INDEX(BANK_CLEAN!$C$2:$C$1001,MATCH_ENGINE!H469))</f>
        <v/>
      </c>
      <c r="P469" s="11" t="inlineStr"/>
    </row>
    <row r="470">
      <c r="A470" s="11">
        <f>IF(MATCH_ENGINE!A470="","",MATCH_ENGINE!N470)</f>
        <v/>
      </c>
      <c r="B470" s="11">
        <f>IF(MATCH_ENGINE!A470="","",MATCH_ENGINE!C470)</f>
        <v/>
      </c>
      <c r="C470" s="10">
        <f>IF(MATCH_ENGINE!A470="","",MATCH_ENGINE!B470)</f>
        <v/>
      </c>
      <c r="D470" s="16">
        <f>IF(MATCH_ENGINE!A470="","",MATCH_ENGINE!D470)</f>
        <v/>
      </c>
      <c r="E470" s="11">
        <f>IF(MATCH_ENGINE!A470="","",MATCH_ENGINE!F470)</f>
        <v/>
      </c>
      <c r="F470" s="10">
        <f>IF(MATCH_ENGINE!A470="","",MATCH_ENGINE!I470)</f>
        <v/>
      </c>
      <c r="G470" s="16">
        <f>IF(MATCH_ENGINE!H470="","",IF(MATCH_ENGINE!F470="IN",MATCH_ENGINE!J470,""))</f>
        <v/>
      </c>
      <c r="H470" s="16">
        <f>IF(MATCH_ENGINE!H470="","",IF(MATCH_ENGINE!F470="OUT",MATCH_ENGINE!J470,""))</f>
        <v/>
      </c>
      <c r="I470" s="16">
        <f>IF(MATCH_ENGINE!H470="","",MATCH_ENGINE!J470)</f>
        <v/>
      </c>
      <c r="J470" s="12">
        <f>IF(MATCH_ENGINE!A470="","",MATCH_ENGINE!K470)</f>
        <v/>
      </c>
      <c r="K470" s="11">
        <f>IF(MATCH_ENGINE!A470="","",MATCH_ENGINE!L470)</f>
        <v/>
      </c>
      <c r="L470" s="17">
        <f>IF(MATCH_ENGINE!A470="","",MATCH_ENGINE!M470)</f>
        <v/>
      </c>
      <c r="M470" s="11">
        <f>IF(MATCH_ENGINE!A470="","",GL_CLEAN!F470)</f>
        <v/>
      </c>
      <c r="N470" s="11">
        <f>IF(MATCH_ENGINE!A470="","",GL_CLEAN!G470)</f>
        <v/>
      </c>
      <c r="O470" s="11">
        <f>IF(MATCH_ENGINE!H470="","",INDEX(BANK_CLEAN!$C$2:$C$1001,MATCH_ENGINE!H470))</f>
        <v/>
      </c>
      <c r="P470" s="11" t="inlineStr"/>
    </row>
    <row r="471">
      <c r="A471" s="11">
        <f>IF(MATCH_ENGINE!A471="","",MATCH_ENGINE!N471)</f>
        <v/>
      </c>
      <c r="B471" s="11">
        <f>IF(MATCH_ENGINE!A471="","",MATCH_ENGINE!C471)</f>
        <v/>
      </c>
      <c r="C471" s="10">
        <f>IF(MATCH_ENGINE!A471="","",MATCH_ENGINE!B471)</f>
        <v/>
      </c>
      <c r="D471" s="16">
        <f>IF(MATCH_ENGINE!A471="","",MATCH_ENGINE!D471)</f>
        <v/>
      </c>
      <c r="E471" s="11">
        <f>IF(MATCH_ENGINE!A471="","",MATCH_ENGINE!F471)</f>
        <v/>
      </c>
      <c r="F471" s="10">
        <f>IF(MATCH_ENGINE!A471="","",MATCH_ENGINE!I471)</f>
        <v/>
      </c>
      <c r="G471" s="16">
        <f>IF(MATCH_ENGINE!H471="","",IF(MATCH_ENGINE!F471="IN",MATCH_ENGINE!J471,""))</f>
        <v/>
      </c>
      <c r="H471" s="16">
        <f>IF(MATCH_ENGINE!H471="","",IF(MATCH_ENGINE!F471="OUT",MATCH_ENGINE!J471,""))</f>
        <v/>
      </c>
      <c r="I471" s="16">
        <f>IF(MATCH_ENGINE!H471="","",MATCH_ENGINE!J471)</f>
        <v/>
      </c>
      <c r="J471" s="12">
        <f>IF(MATCH_ENGINE!A471="","",MATCH_ENGINE!K471)</f>
        <v/>
      </c>
      <c r="K471" s="11">
        <f>IF(MATCH_ENGINE!A471="","",MATCH_ENGINE!L471)</f>
        <v/>
      </c>
      <c r="L471" s="17">
        <f>IF(MATCH_ENGINE!A471="","",MATCH_ENGINE!M471)</f>
        <v/>
      </c>
      <c r="M471" s="11">
        <f>IF(MATCH_ENGINE!A471="","",GL_CLEAN!F471)</f>
        <v/>
      </c>
      <c r="N471" s="11">
        <f>IF(MATCH_ENGINE!A471="","",GL_CLEAN!G471)</f>
        <v/>
      </c>
      <c r="O471" s="11">
        <f>IF(MATCH_ENGINE!H471="","",INDEX(BANK_CLEAN!$C$2:$C$1001,MATCH_ENGINE!H471))</f>
        <v/>
      </c>
      <c r="P471" s="11" t="inlineStr"/>
    </row>
    <row r="472">
      <c r="A472" s="11">
        <f>IF(MATCH_ENGINE!A472="","",MATCH_ENGINE!N472)</f>
        <v/>
      </c>
      <c r="B472" s="11">
        <f>IF(MATCH_ENGINE!A472="","",MATCH_ENGINE!C472)</f>
        <v/>
      </c>
      <c r="C472" s="10">
        <f>IF(MATCH_ENGINE!A472="","",MATCH_ENGINE!B472)</f>
        <v/>
      </c>
      <c r="D472" s="16">
        <f>IF(MATCH_ENGINE!A472="","",MATCH_ENGINE!D472)</f>
        <v/>
      </c>
      <c r="E472" s="11">
        <f>IF(MATCH_ENGINE!A472="","",MATCH_ENGINE!F472)</f>
        <v/>
      </c>
      <c r="F472" s="10">
        <f>IF(MATCH_ENGINE!A472="","",MATCH_ENGINE!I472)</f>
        <v/>
      </c>
      <c r="G472" s="16">
        <f>IF(MATCH_ENGINE!H472="","",IF(MATCH_ENGINE!F472="IN",MATCH_ENGINE!J472,""))</f>
        <v/>
      </c>
      <c r="H472" s="16">
        <f>IF(MATCH_ENGINE!H472="","",IF(MATCH_ENGINE!F472="OUT",MATCH_ENGINE!J472,""))</f>
        <v/>
      </c>
      <c r="I472" s="16">
        <f>IF(MATCH_ENGINE!H472="","",MATCH_ENGINE!J472)</f>
        <v/>
      </c>
      <c r="J472" s="12">
        <f>IF(MATCH_ENGINE!A472="","",MATCH_ENGINE!K472)</f>
        <v/>
      </c>
      <c r="K472" s="11">
        <f>IF(MATCH_ENGINE!A472="","",MATCH_ENGINE!L472)</f>
        <v/>
      </c>
      <c r="L472" s="17">
        <f>IF(MATCH_ENGINE!A472="","",MATCH_ENGINE!M472)</f>
        <v/>
      </c>
      <c r="M472" s="11">
        <f>IF(MATCH_ENGINE!A472="","",GL_CLEAN!F472)</f>
        <v/>
      </c>
      <c r="N472" s="11">
        <f>IF(MATCH_ENGINE!A472="","",GL_CLEAN!G472)</f>
        <v/>
      </c>
      <c r="O472" s="11">
        <f>IF(MATCH_ENGINE!H472="","",INDEX(BANK_CLEAN!$C$2:$C$1001,MATCH_ENGINE!H472))</f>
        <v/>
      </c>
      <c r="P472" s="11" t="inlineStr"/>
    </row>
    <row r="473">
      <c r="A473" s="11">
        <f>IF(MATCH_ENGINE!A473="","",MATCH_ENGINE!N473)</f>
        <v/>
      </c>
      <c r="B473" s="11">
        <f>IF(MATCH_ENGINE!A473="","",MATCH_ENGINE!C473)</f>
        <v/>
      </c>
      <c r="C473" s="10">
        <f>IF(MATCH_ENGINE!A473="","",MATCH_ENGINE!B473)</f>
        <v/>
      </c>
      <c r="D473" s="16">
        <f>IF(MATCH_ENGINE!A473="","",MATCH_ENGINE!D473)</f>
        <v/>
      </c>
      <c r="E473" s="11">
        <f>IF(MATCH_ENGINE!A473="","",MATCH_ENGINE!F473)</f>
        <v/>
      </c>
      <c r="F473" s="10">
        <f>IF(MATCH_ENGINE!A473="","",MATCH_ENGINE!I473)</f>
        <v/>
      </c>
      <c r="G473" s="16">
        <f>IF(MATCH_ENGINE!H473="","",IF(MATCH_ENGINE!F473="IN",MATCH_ENGINE!J473,""))</f>
        <v/>
      </c>
      <c r="H473" s="16">
        <f>IF(MATCH_ENGINE!H473="","",IF(MATCH_ENGINE!F473="OUT",MATCH_ENGINE!J473,""))</f>
        <v/>
      </c>
      <c r="I473" s="16">
        <f>IF(MATCH_ENGINE!H473="","",MATCH_ENGINE!J473)</f>
        <v/>
      </c>
      <c r="J473" s="12">
        <f>IF(MATCH_ENGINE!A473="","",MATCH_ENGINE!K473)</f>
        <v/>
      </c>
      <c r="K473" s="11">
        <f>IF(MATCH_ENGINE!A473="","",MATCH_ENGINE!L473)</f>
        <v/>
      </c>
      <c r="L473" s="17">
        <f>IF(MATCH_ENGINE!A473="","",MATCH_ENGINE!M473)</f>
        <v/>
      </c>
      <c r="M473" s="11">
        <f>IF(MATCH_ENGINE!A473="","",GL_CLEAN!F473)</f>
        <v/>
      </c>
      <c r="N473" s="11">
        <f>IF(MATCH_ENGINE!A473="","",GL_CLEAN!G473)</f>
        <v/>
      </c>
      <c r="O473" s="11">
        <f>IF(MATCH_ENGINE!H473="","",INDEX(BANK_CLEAN!$C$2:$C$1001,MATCH_ENGINE!H473))</f>
        <v/>
      </c>
      <c r="P473" s="11" t="inlineStr"/>
    </row>
    <row r="474">
      <c r="A474" s="11">
        <f>IF(MATCH_ENGINE!A474="","",MATCH_ENGINE!N474)</f>
        <v/>
      </c>
      <c r="B474" s="11">
        <f>IF(MATCH_ENGINE!A474="","",MATCH_ENGINE!C474)</f>
        <v/>
      </c>
      <c r="C474" s="10">
        <f>IF(MATCH_ENGINE!A474="","",MATCH_ENGINE!B474)</f>
        <v/>
      </c>
      <c r="D474" s="16">
        <f>IF(MATCH_ENGINE!A474="","",MATCH_ENGINE!D474)</f>
        <v/>
      </c>
      <c r="E474" s="11">
        <f>IF(MATCH_ENGINE!A474="","",MATCH_ENGINE!F474)</f>
        <v/>
      </c>
      <c r="F474" s="10">
        <f>IF(MATCH_ENGINE!A474="","",MATCH_ENGINE!I474)</f>
        <v/>
      </c>
      <c r="G474" s="16">
        <f>IF(MATCH_ENGINE!H474="","",IF(MATCH_ENGINE!F474="IN",MATCH_ENGINE!J474,""))</f>
        <v/>
      </c>
      <c r="H474" s="16">
        <f>IF(MATCH_ENGINE!H474="","",IF(MATCH_ENGINE!F474="OUT",MATCH_ENGINE!J474,""))</f>
        <v/>
      </c>
      <c r="I474" s="16">
        <f>IF(MATCH_ENGINE!H474="","",MATCH_ENGINE!J474)</f>
        <v/>
      </c>
      <c r="J474" s="12">
        <f>IF(MATCH_ENGINE!A474="","",MATCH_ENGINE!K474)</f>
        <v/>
      </c>
      <c r="K474" s="11">
        <f>IF(MATCH_ENGINE!A474="","",MATCH_ENGINE!L474)</f>
        <v/>
      </c>
      <c r="L474" s="17">
        <f>IF(MATCH_ENGINE!A474="","",MATCH_ENGINE!M474)</f>
        <v/>
      </c>
      <c r="M474" s="11">
        <f>IF(MATCH_ENGINE!A474="","",GL_CLEAN!F474)</f>
        <v/>
      </c>
      <c r="N474" s="11">
        <f>IF(MATCH_ENGINE!A474="","",GL_CLEAN!G474)</f>
        <v/>
      </c>
      <c r="O474" s="11">
        <f>IF(MATCH_ENGINE!H474="","",INDEX(BANK_CLEAN!$C$2:$C$1001,MATCH_ENGINE!H474))</f>
        <v/>
      </c>
      <c r="P474" s="11" t="inlineStr"/>
    </row>
    <row r="475">
      <c r="A475" s="11">
        <f>IF(MATCH_ENGINE!A475="","",MATCH_ENGINE!N475)</f>
        <v/>
      </c>
      <c r="B475" s="11">
        <f>IF(MATCH_ENGINE!A475="","",MATCH_ENGINE!C475)</f>
        <v/>
      </c>
      <c r="C475" s="10">
        <f>IF(MATCH_ENGINE!A475="","",MATCH_ENGINE!B475)</f>
        <v/>
      </c>
      <c r="D475" s="16">
        <f>IF(MATCH_ENGINE!A475="","",MATCH_ENGINE!D475)</f>
        <v/>
      </c>
      <c r="E475" s="11">
        <f>IF(MATCH_ENGINE!A475="","",MATCH_ENGINE!F475)</f>
        <v/>
      </c>
      <c r="F475" s="10">
        <f>IF(MATCH_ENGINE!A475="","",MATCH_ENGINE!I475)</f>
        <v/>
      </c>
      <c r="G475" s="16">
        <f>IF(MATCH_ENGINE!H475="","",IF(MATCH_ENGINE!F475="IN",MATCH_ENGINE!J475,""))</f>
        <v/>
      </c>
      <c r="H475" s="16">
        <f>IF(MATCH_ENGINE!H475="","",IF(MATCH_ENGINE!F475="OUT",MATCH_ENGINE!J475,""))</f>
        <v/>
      </c>
      <c r="I475" s="16">
        <f>IF(MATCH_ENGINE!H475="","",MATCH_ENGINE!J475)</f>
        <v/>
      </c>
      <c r="J475" s="12">
        <f>IF(MATCH_ENGINE!A475="","",MATCH_ENGINE!K475)</f>
        <v/>
      </c>
      <c r="K475" s="11">
        <f>IF(MATCH_ENGINE!A475="","",MATCH_ENGINE!L475)</f>
        <v/>
      </c>
      <c r="L475" s="17">
        <f>IF(MATCH_ENGINE!A475="","",MATCH_ENGINE!M475)</f>
        <v/>
      </c>
      <c r="M475" s="11">
        <f>IF(MATCH_ENGINE!A475="","",GL_CLEAN!F475)</f>
        <v/>
      </c>
      <c r="N475" s="11">
        <f>IF(MATCH_ENGINE!A475="","",GL_CLEAN!G475)</f>
        <v/>
      </c>
      <c r="O475" s="11">
        <f>IF(MATCH_ENGINE!H475="","",INDEX(BANK_CLEAN!$C$2:$C$1001,MATCH_ENGINE!H475))</f>
        <v/>
      </c>
      <c r="P475" s="11" t="inlineStr"/>
    </row>
    <row r="476">
      <c r="A476" s="11">
        <f>IF(MATCH_ENGINE!A476="","",MATCH_ENGINE!N476)</f>
        <v/>
      </c>
      <c r="B476" s="11">
        <f>IF(MATCH_ENGINE!A476="","",MATCH_ENGINE!C476)</f>
        <v/>
      </c>
      <c r="C476" s="10">
        <f>IF(MATCH_ENGINE!A476="","",MATCH_ENGINE!B476)</f>
        <v/>
      </c>
      <c r="D476" s="16">
        <f>IF(MATCH_ENGINE!A476="","",MATCH_ENGINE!D476)</f>
        <v/>
      </c>
      <c r="E476" s="11">
        <f>IF(MATCH_ENGINE!A476="","",MATCH_ENGINE!F476)</f>
        <v/>
      </c>
      <c r="F476" s="10">
        <f>IF(MATCH_ENGINE!A476="","",MATCH_ENGINE!I476)</f>
        <v/>
      </c>
      <c r="G476" s="16">
        <f>IF(MATCH_ENGINE!H476="","",IF(MATCH_ENGINE!F476="IN",MATCH_ENGINE!J476,""))</f>
        <v/>
      </c>
      <c r="H476" s="16">
        <f>IF(MATCH_ENGINE!H476="","",IF(MATCH_ENGINE!F476="OUT",MATCH_ENGINE!J476,""))</f>
        <v/>
      </c>
      <c r="I476" s="16">
        <f>IF(MATCH_ENGINE!H476="","",MATCH_ENGINE!J476)</f>
        <v/>
      </c>
      <c r="J476" s="12">
        <f>IF(MATCH_ENGINE!A476="","",MATCH_ENGINE!K476)</f>
        <v/>
      </c>
      <c r="K476" s="11">
        <f>IF(MATCH_ENGINE!A476="","",MATCH_ENGINE!L476)</f>
        <v/>
      </c>
      <c r="L476" s="17">
        <f>IF(MATCH_ENGINE!A476="","",MATCH_ENGINE!M476)</f>
        <v/>
      </c>
      <c r="M476" s="11">
        <f>IF(MATCH_ENGINE!A476="","",GL_CLEAN!F476)</f>
        <v/>
      </c>
      <c r="N476" s="11">
        <f>IF(MATCH_ENGINE!A476="","",GL_CLEAN!G476)</f>
        <v/>
      </c>
      <c r="O476" s="11">
        <f>IF(MATCH_ENGINE!H476="","",INDEX(BANK_CLEAN!$C$2:$C$1001,MATCH_ENGINE!H476))</f>
        <v/>
      </c>
      <c r="P476" s="11" t="inlineStr"/>
    </row>
    <row r="477">
      <c r="A477" s="11">
        <f>IF(MATCH_ENGINE!A477="","",MATCH_ENGINE!N477)</f>
        <v/>
      </c>
      <c r="B477" s="11">
        <f>IF(MATCH_ENGINE!A477="","",MATCH_ENGINE!C477)</f>
        <v/>
      </c>
      <c r="C477" s="10">
        <f>IF(MATCH_ENGINE!A477="","",MATCH_ENGINE!B477)</f>
        <v/>
      </c>
      <c r="D477" s="16">
        <f>IF(MATCH_ENGINE!A477="","",MATCH_ENGINE!D477)</f>
        <v/>
      </c>
      <c r="E477" s="11">
        <f>IF(MATCH_ENGINE!A477="","",MATCH_ENGINE!F477)</f>
        <v/>
      </c>
      <c r="F477" s="10">
        <f>IF(MATCH_ENGINE!A477="","",MATCH_ENGINE!I477)</f>
        <v/>
      </c>
      <c r="G477" s="16">
        <f>IF(MATCH_ENGINE!H477="","",IF(MATCH_ENGINE!F477="IN",MATCH_ENGINE!J477,""))</f>
        <v/>
      </c>
      <c r="H477" s="16">
        <f>IF(MATCH_ENGINE!H477="","",IF(MATCH_ENGINE!F477="OUT",MATCH_ENGINE!J477,""))</f>
        <v/>
      </c>
      <c r="I477" s="16">
        <f>IF(MATCH_ENGINE!H477="","",MATCH_ENGINE!J477)</f>
        <v/>
      </c>
      <c r="J477" s="12">
        <f>IF(MATCH_ENGINE!A477="","",MATCH_ENGINE!K477)</f>
        <v/>
      </c>
      <c r="K477" s="11">
        <f>IF(MATCH_ENGINE!A477="","",MATCH_ENGINE!L477)</f>
        <v/>
      </c>
      <c r="L477" s="17">
        <f>IF(MATCH_ENGINE!A477="","",MATCH_ENGINE!M477)</f>
        <v/>
      </c>
      <c r="M477" s="11">
        <f>IF(MATCH_ENGINE!A477="","",GL_CLEAN!F477)</f>
        <v/>
      </c>
      <c r="N477" s="11">
        <f>IF(MATCH_ENGINE!A477="","",GL_CLEAN!G477)</f>
        <v/>
      </c>
      <c r="O477" s="11">
        <f>IF(MATCH_ENGINE!H477="","",INDEX(BANK_CLEAN!$C$2:$C$1001,MATCH_ENGINE!H477))</f>
        <v/>
      </c>
      <c r="P477" s="11" t="inlineStr"/>
    </row>
    <row r="478">
      <c r="A478" s="11">
        <f>IF(MATCH_ENGINE!A478="","",MATCH_ENGINE!N478)</f>
        <v/>
      </c>
      <c r="B478" s="11">
        <f>IF(MATCH_ENGINE!A478="","",MATCH_ENGINE!C478)</f>
        <v/>
      </c>
      <c r="C478" s="10">
        <f>IF(MATCH_ENGINE!A478="","",MATCH_ENGINE!B478)</f>
        <v/>
      </c>
      <c r="D478" s="16">
        <f>IF(MATCH_ENGINE!A478="","",MATCH_ENGINE!D478)</f>
        <v/>
      </c>
      <c r="E478" s="11">
        <f>IF(MATCH_ENGINE!A478="","",MATCH_ENGINE!F478)</f>
        <v/>
      </c>
      <c r="F478" s="10">
        <f>IF(MATCH_ENGINE!A478="","",MATCH_ENGINE!I478)</f>
        <v/>
      </c>
      <c r="G478" s="16">
        <f>IF(MATCH_ENGINE!H478="","",IF(MATCH_ENGINE!F478="IN",MATCH_ENGINE!J478,""))</f>
        <v/>
      </c>
      <c r="H478" s="16">
        <f>IF(MATCH_ENGINE!H478="","",IF(MATCH_ENGINE!F478="OUT",MATCH_ENGINE!J478,""))</f>
        <v/>
      </c>
      <c r="I478" s="16">
        <f>IF(MATCH_ENGINE!H478="","",MATCH_ENGINE!J478)</f>
        <v/>
      </c>
      <c r="J478" s="12">
        <f>IF(MATCH_ENGINE!A478="","",MATCH_ENGINE!K478)</f>
        <v/>
      </c>
      <c r="K478" s="11">
        <f>IF(MATCH_ENGINE!A478="","",MATCH_ENGINE!L478)</f>
        <v/>
      </c>
      <c r="L478" s="17">
        <f>IF(MATCH_ENGINE!A478="","",MATCH_ENGINE!M478)</f>
        <v/>
      </c>
      <c r="M478" s="11">
        <f>IF(MATCH_ENGINE!A478="","",GL_CLEAN!F478)</f>
        <v/>
      </c>
      <c r="N478" s="11">
        <f>IF(MATCH_ENGINE!A478="","",GL_CLEAN!G478)</f>
        <v/>
      </c>
      <c r="O478" s="11">
        <f>IF(MATCH_ENGINE!H478="","",INDEX(BANK_CLEAN!$C$2:$C$1001,MATCH_ENGINE!H478))</f>
        <v/>
      </c>
      <c r="P478" s="11" t="inlineStr"/>
    </row>
    <row r="479">
      <c r="A479" s="11">
        <f>IF(MATCH_ENGINE!A479="","",MATCH_ENGINE!N479)</f>
        <v/>
      </c>
      <c r="B479" s="11">
        <f>IF(MATCH_ENGINE!A479="","",MATCH_ENGINE!C479)</f>
        <v/>
      </c>
      <c r="C479" s="10">
        <f>IF(MATCH_ENGINE!A479="","",MATCH_ENGINE!B479)</f>
        <v/>
      </c>
      <c r="D479" s="16">
        <f>IF(MATCH_ENGINE!A479="","",MATCH_ENGINE!D479)</f>
        <v/>
      </c>
      <c r="E479" s="11">
        <f>IF(MATCH_ENGINE!A479="","",MATCH_ENGINE!F479)</f>
        <v/>
      </c>
      <c r="F479" s="10">
        <f>IF(MATCH_ENGINE!A479="","",MATCH_ENGINE!I479)</f>
        <v/>
      </c>
      <c r="G479" s="16">
        <f>IF(MATCH_ENGINE!H479="","",IF(MATCH_ENGINE!F479="IN",MATCH_ENGINE!J479,""))</f>
        <v/>
      </c>
      <c r="H479" s="16">
        <f>IF(MATCH_ENGINE!H479="","",IF(MATCH_ENGINE!F479="OUT",MATCH_ENGINE!J479,""))</f>
        <v/>
      </c>
      <c r="I479" s="16">
        <f>IF(MATCH_ENGINE!H479="","",MATCH_ENGINE!J479)</f>
        <v/>
      </c>
      <c r="J479" s="12">
        <f>IF(MATCH_ENGINE!A479="","",MATCH_ENGINE!K479)</f>
        <v/>
      </c>
      <c r="K479" s="11">
        <f>IF(MATCH_ENGINE!A479="","",MATCH_ENGINE!L479)</f>
        <v/>
      </c>
      <c r="L479" s="17">
        <f>IF(MATCH_ENGINE!A479="","",MATCH_ENGINE!M479)</f>
        <v/>
      </c>
      <c r="M479" s="11">
        <f>IF(MATCH_ENGINE!A479="","",GL_CLEAN!F479)</f>
        <v/>
      </c>
      <c r="N479" s="11">
        <f>IF(MATCH_ENGINE!A479="","",GL_CLEAN!G479)</f>
        <v/>
      </c>
      <c r="O479" s="11">
        <f>IF(MATCH_ENGINE!H479="","",INDEX(BANK_CLEAN!$C$2:$C$1001,MATCH_ENGINE!H479))</f>
        <v/>
      </c>
      <c r="P479" s="11" t="inlineStr"/>
    </row>
    <row r="480">
      <c r="A480" s="11">
        <f>IF(MATCH_ENGINE!A480="","",MATCH_ENGINE!N480)</f>
        <v/>
      </c>
      <c r="B480" s="11">
        <f>IF(MATCH_ENGINE!A480="","",MATCH_ENGINE!C480)</f>
        <v/>
      </c>
      <c r="C480" s="10">
        <f>IF(MATCH_ENGINE!A480="","",MATCH_ENGINE!B480)</f>
        <v/>
      </c>
      <c r="D480" s="16">
        <f>IF(MATCH_ENGINE!A480="","",MATCH_ENGINE!D480)</f>
        <v/>
      </c>
      <c r="E480" s="11">
        <f>IF(MATCH_ENGINE!A480="","",MATCH_ENGINE!F480)</f>
        <v/>
      </c>
      <c r="F480" s="10">
        <f>IF(MATCH_ENGINE!A480="","",MATCH_ENGINE!I480)</f>
        <v/>
      </c>
      <c r="G480" s="16">
        <f>IF(MATCH_ENGINE!H480="","",IF(MATCH_ENGINE!F480="IN",MATCH_ENGINE!J480,""))</f>
        <v/>
      </c>
      <c r="H480" s="16">
        <f>IF(MATCH_ENGINE!H480="","",IF(MATCH_ENGINE!F480="OUT",MATCH_ENGINE!J480,""))</f>
        <v/>
      </c>
      <c r="I480" s="16">
        <f>IF(MATCH_ENGINE!H480="","",MATCH_ENGINE!J480)</f>
        <v/>
      </c>
      <c r="J480" s="12">
        <f>IF(MATCH_ENGINE!A480="","",MATCH_ENGINE!K480)</f>
        <v/>
      </c>
      <c r="K480" s="11">
        <f>IF(MATCH_ENGINE!A480="","",MATCH_ENGINE!L480)</f>
        <v/>
      </c>
      <c r="L480" s="17">
        <f>IF(MATCH_ENGINE!A480="","",MATCH_ENGINE!M480)</f>
        <v/>
      </c>
      <c r="M480" s="11">
        <f>IF(MATCH_ENGINE!A480="","",GL_CLEAN!F480)</f>
        <v/>
      </c>
      <c r="N480" s="11">
        <f>IF(MATCH_ENGINE!A480="","",GL_CLEAN!G480)</f>
        <v/>
      </c>
      <c r="O480" s="11">
        <f>IF(MATCH_ENGINE!H480="","",INDEX(BANK_CLEAN!$C$2:$C$1001,MATCH_ENGINE!H480))</f>
        <v/>
      </c>
      <c r="P480" s="11" t="inlineStr"/>
    </row>
    <row r="481">
      <c r="A481" s="11">
        <f>IF(MATCH_ENGINE!A481="","",MATCH_ENGINE!N481)</f>
        <v/>
      </c>
      <c r="B481" s="11">
        <f>IF(MATCH_ENGINE!A481="","",MATCH_ENGINE!C481)</f>
        <v/>
      </c>
      <c r="C481" s="10">
        <f>IF(MATCH_ENGINE!A481="","",MATCH_ENGINE!B481)</f>
        <v/>
      </c>
      <c r="D481" s="16">
        <f>IF(MATCH_ENGINE!A481="","",MATCH_ENGINE!D481)</f>
        <v/>
      </c>
      <c r="E481" s="11">
        <f>IF(MATCH_ENGINE!A481="","",MATCH_ENGINE!F481)</f>
        <v/>
      </c>
      <c r="F481" s="10">
        <f>IF(MATCH_ENGINE!A481="","",MATCH_ENGINE!I481)</f>
        <v/>
      </c>
      <c r="G481" s="16">
        <f>IF(MATCH_ENGINE!H481="","",IF(MATCH_ENGINE!F481="IN",MATCH_ENGINE!J481,""))</f>
        <v/>
      </c>
      <c r="H481" s="16">
        <f>IF(MATCH_ENGINE!H481="","",IF(MATCH_ENGINE!F481="OUT",MATCH_ENGINE!J481,""))</f>
        <v/>
      </c>
      <c r="I481" s="16">
        <f>IF(MATCH_ENGINE!H481="","",MATCH_ENGINE!J481)</f>
        <v/>
      </c>
      <c r="J481" s="12">
        <f>IF(MATCH_ENGINE!A481="","",MATCH_ENGINE!K481)</f>
        <v/>
      </c>
      <c r="K481" s="11">
        <f>IF(MATCH_ENGINE!A481="","",MATCH_ENGINE!L481)</f>
        <v/>
      </c>
      <c r="L481" s="17">
        <f>IF(MATCH_ENGINE!A481="","",MATCH_ENGINE!M481)</f>
        <v/>
      </c>
      <c r="M481" s="11">
        <f>IF(MATCH_ENGINE!A481="","",GL_CLEAN!F481)</f>
        <v/>
      </c>
      <c r="N481" s="11">
        <f>IF(MATCH_ENGINE!A481="","",GL_CLEAN!G481)</f>
        <v/>
      </c>
      <c r="O481" s="11">
        <f>IF(MATCH_ENGINE!H481="","",INDEX(BANK_CLEAN!$C$2:$C$1001,MATCH_ENGINE!H481))</f>
        <v/>
      </c>
      <c r="P481" s="11" t="inlineStr"/>
    </row>
    <row r="482">
      <c r="A482" s="11">
        <f>IF(MATCH_ENGINE!A482="","",MATCH_ENGINE!N482)</f>
        <v/>
      </c>
      <c r="B482" s="11">
        <f>IF(MATCH_ENGINE!A482="","",MATCH_ENGINE!C482)</f>
        <v/>
      </c>
      <c r="C482" s="10">
        <f>IF(MATCH_ENGINE!A482="","",MATCH_ENGINE!B482)</f>
        <v/>
      </c>
      <c r="D482" s="16">
        <f>IF(MATCH_ENGINE!A482="","",MATCH_ENGINE!D482)</f>
        <v/>
      </c>
      <c r="E482" s="11">
        <f>IF(MATCH_ENGINE!A482="","",MATCH_ENGINE!F482)</f>
        <v/>
      </c>
      <c r="F482" s="10">
        <f>IF(MATCH_ENGINE!A482="","",MATCH_ENGINE!I482)</f>
        <v/>
      </c>
      <c r="G482" s="16">
        <f>IF(MATCH_ENGINE!H482="","",IF(MATCH_ENGINE!F482="IN",MATCH_ENGINE!J482,""))</f>
        <v/>
      </c>
      <c r="H482" s="16">
        <f>IF(MATCH_ENGINE!H482="","",IF(MATCH_ENGINE!F482="OUT",MATCH_ENGINE!J482,""))</f>
        <v/>
      </c>
      <c r="I482" s="16">
        <f>IF(MATCH_ENGINE!H482="","",MATCH_ENGINE!J482)</f>
        <v/>
      </c>
      <c r="J482" s="12">
        <f>IF(MATCH_ENGINE!A482="","",MATCH_ENGINE!K482)</f>
        <v/>
      </c>
      <c r="K482" s="11">
        <f>IF(MATCH_ENGINE!A482="","",MATCH_ENGINE!L482)</f>
        <v/>
      </c>
      <c r="L482" s="17">
        <f>IF(MATCH_ENGINE!A482="","",MATCH_ENGINE!M482)</f>
        <v/>
      </c>
      <c r="M482" s="11">
        <f>IF(MATCH_ENGINE!A482="","",GL_CLEAN!F482)</f>
        <v/>
      </c>
      <c r="N482" s="11">
        <f>IF(MATCH_ENGINE!A482="","",GL_CLEAN!G482)</f>
        <v/>
      </c>
      <c r="O482" s="11">
        <f>IF(MATCH_ENGINE!H482="","",INDEX(BANK_CLEAN!$C$2:$C$1001,MATCH_ENGINE!H482))</f>
        <v/>
      </c>
      <c r="P482" s="11" t="inlineStr"/>
    </row>
    <row r="483">
      <c r="A483" s="11">
        <f>IF(MATCH_ENGINE!A483="","",MATCH_ENGINE!N483)</f>
        <v/>
      </c>
      <c r="B483" s="11">
        <f>IF(MATCH_ENGINE!A483="","",MATCH_ENGINE!C483)</f>
        <v/>
      </c>
      <c r="C483" s="10">
        <f>IF(MATCH_ENGINE!A483="","",MATCH_ENGINE!B483)</f>
        <v/>
      </c>
      <c r="D483" s="16">
        <f>IF(MATCH_ENGINE!A483="","",MATCH_ENGINE!D483)</f>
        <v/>
      </c>
      <c r="E483" s="11">
        <f>IF(MATCH_ENGINE!A483="","",MATCH_ENGINE!F483)</f>
        <v/>
      </c>
      <c r="F483" s="10">
        <f>IF(MATCH_ENGINE!A483="","",MATCH_ENGINE!I483)</f>
        <v/>
      </c>
      <c r="G483" s="16">
        <f>IF(MATCH_ENGINE!H483="","",IF(MATCH_ENGINE!F483="IN",MATCH_ENGINE!J483,""))</f>
        <v/>
      </c>
      <c r="H483" s="16">
        <f>IF(MATCH_ENGINE!H483="","",IF(MATCH_ENGINE!F483="OUT",MATCH_ENGINE!J483,""))</f>
        <v/>
      </c>
      <c r="I483" s="16">
        <f>IF(MATCH_ENGINE!H483="","",MATCH_ENGINE!J483)</f>
        <v/>
      </c>
      <c r="J483" s="12">
        <f>IF(MATCH_ENGINE!A483="","",MATCH_ENGINE!K483)</f>
        <v/>
      </c>
      <c r="K483" s="11">
        <f>IF(MATCH_ENGINE!A483="","",MATCH_ENGINE!L483)</f>
        <v/>
      </c>
      <c r="L483" s="17">
        <f>IF(MATCH_ENGINE!A483="","",MATCH_ENGINE!M483)</f>
        <v/>
      </c>
      <c r="M483" s="11">
        <f>IF(MATCH_ENGINE!A483="","",GL_CLEAN!F483)</f>
        <v/>
      </c>
      <c r="N483" s="11">
        <f>IF(MATCH_ENGINE!A483="","",GL_CLEAN!G483)</f>
        <v/>
      </c>
      <c r="O483" s="11">
        <f>IF(MATCH_ENGINE!H483="","",INDEX(BANK_CLEAN!$C$2:$C$1001,MATCH_ENGINE!H483))</f>
        <v/>
      </c>
      <c r="P483" s="11" t="inlineStr"/>
    </row>
    <row r="484">
      <c r="A484" s="11">
        <f>IF(MATCH_ENGINE!A484="","",MATCH_ENGINE!N484)</f>
        <v/>
      </c>
      <c r="B484" s="11">
        <f>IF(MATCH_ENGINE!A484="","",MATCH_ENGINE!C484)</f>
        <v/>
      </c>
      <c r="C484" s="10">
        <f>IF(MATCH_ENGINE!A484="","",MATCH_ENGINE!B484)</f>
        <v/>
      </c>
      <c r="D484" s="16">
        <f>IF(MATCH_ENGINE!A484="","",MATCH_ENGINE!D484)</f>
        <v/>
      </c>
      <c r="E484" s="11">
        <f>IF(MATCH_ENGINE!A484="","",MATCH_ENGINE!F484)</f>
        <v/>
      </c>
      <c r="F484" s="10">
        <f>IF(MATCH_ENGINE!A484="","",MATCH_ENGINE!I484)</f>
        <v/>
      </c>
      <c r="G484" s="16">
        <f>IF(MATCH_ENGINE!H484="","",IF(MATCH_ENGINE!F484="IN",MATCH_ENGINE!J484,""))</f>
        <v/>
      </c>
      <c r="H484" s="16">
        <f>IF(MATCH_ENGINE!H484="","",IF(MATCH_ENGINE!F484="OUT",MATCH_ENGINE!J484,""))</f>
        <v/>
      </c>
      <c r="I484" s="16">
        <f>IF(MATCH_ENGINE!H484="","",MATCH_ENGINE!J484)</f>
        <v/>
      </c>
      <c r="J484" s="12">
        <f>IF(MATCH_ENGINE!A484="","",MATCH_ENGINE!K484)</f>
        <v/>
      </c>
      <c r="K484" s="11">
        <f>IF(MATCH_ENGINE!A484="","",MATCH_ENGINE!L484)</f>
        <v/>
      </c>
      <c r="L484" s="17">
        <f>IF(MATCH_ENGINE!A484="","",MATCH_ENGINE!M484)</f>
        <v/>
      </c>
      <c r="M484" s="11">
        <f>IF(MATCH_ENGINE!A484="","",GL_CLEAN!F484)</f>
        <v/>
      </c>
      <c r="N484" s="11">
        <f>IF(MATCH_ENGINE!A484="","",GL_CLEAN!G484)</f>
        <v/>
      </c>
      <c r="O484" s="11">
        <f>IF(MATCH_ENGINE!H484="","",INDEX(BANK_CLEAN!$C$2:$C$1001,MATCH_ENGINE!H484))</f>
        <v/>
      </c>
      <c r="P484" s="11" t="inlineStr"/>
    </row>
    <row r="485">
      <c r="A485" s="11">
        <f>IF(MATCH_ENGINE!A485="","",MATCH_ENGINE!N485)</f>
        <v/>
      </c>
      <c r="B485" s="11">
        <f>IF(MATCH_ENGINE!A485="","",MATCH_ENGINE!C485)</f>
        <v/>
      </c>
      <c r="C485" s="10">
        <f>IF(MATCH_ENGINE!A485="","",MATCH_ENGINE!B485)</f>
        <v/>
      </c>
      <c r="D485" s="16">
        <f>IF(MATCH_ENGINE!A485="","",MATCH_ENGINE!D485)</f>
        <v/>
      </c>
      <c r="E485" s="11">
        <f>IF(MATCH_ENGINE!A485="","",MATCH_ENGINE!F485)</f>
        <v/>
      </c>
      <c r="F485" s="10">
        <f>IF(MATCH_ENGINE!A485="","",MATCH_ENGINE!I485)</f>
        <v/>
      </c>
      <c r="G485" s="16">
        <f>IF(MATCH_ENGINE!H485="","",IF(MATCH_ENGINE!F485="IN",MATCH_ENGINE!J485,""))</f>
        <v/>
      </c>
      <c r="H485" s="16">
        <f>IF(MATCH_ENGINE!H485="","",IF(MATCH_ENGINE!F485="OUT",MATCH_ENGINE!J485,""))</f>
        <v/>
      </c>
      <c r="I485" s="16">
        <f>IF(MATCH_ENGINE!H485="","",MATCH_ENGINE!J485)</f>
        <v/>
      </c>
      <c r="J485" s="12">
        <f>IF(MATCH_ENGINE!A485="","",MATCH_ENGINE!K485)</f>
        <v/>
      </c>
      <c r="K485" s="11">
        <f>IF(MATCH_ENGINE!A485="","",MATCH_ENGINE!L485)</f>
        <v/>
      </c>
      <c r="L485" s="17">
        <f>IF(MATCH_ENGINE!A485="","",MATCH_ENGINE!M485)</f>
        <v/>
      </c>
      <c r="M485" s="11">
        <f>IF(MATCH_ENGINE!A485="","",GL_CLEAN!F485)</f>
        <v/>
      </c>
      <c r="N485" s="11">
        <f>IF(MATCH_ENGINE!A485="","",GL_CLEAN!G485)</f>
        <v/>
      </c>
      <c r="O485" s="11">
        <f>IF(MATCH_ENGINE!H485="","",INDEX(BANK_CLEAN!$C$2:$C$1001,MATCH_ENGINE!H485))</f>
        <v/>
      </c>
      <c r="P485" s="11" t="inlineStr"/>
    </row>
    <row r="486">
      <c r="A486" s="11">
        <f>IF(MATCH_ENGINE!A486="","",MATCH_ENGINE!N486)</f>
        <v/>
      </c>
      <c r="B486" s="11">
        <f>IF(MATCH_ENGINE!A486="","",MATCH_ENGINE!C486)</f>
        <v/>
      </c>
      <c r="C486" s="10">
        <f>IF(MATCH_ENGINE!A486="","",MATCH_ENGINE!B486)</f>
        <v/>
      </c>
      <c r="D486" s="16">
        <f>IF(MATCH_ENGINE!A486="","",MATCH_ENGINE!D486)</f>
        <v/>
      </c>
      <c r="E486" s="11">
        <f>IF(MATCH_ENGINE!A486="","",MATCH_ENGINE!F486)</f>
        <v/>
      </c>
      <c r="F486" s="10">
        <f>IF(MATCH_ENGINE!A486="","",MATCH_ENGINE!I486)</f>
        <v/>
      </c>
      <c r="G486" s="16">
        <f>IF(MATCH_ENGINE!H486="","",IF(MATCH_ENGINE!F486="IN",MATCH_ENGINE!J486,""))</f>
        <v/>
      </c>
      <c r="H486" s="16">
        <f>IF(MATCH_ENGINE!H486="","",IF(MATCH_ENGINE!F486="OUT",MATCH_ENGINE!J486,""))</f>
        <v/>
      </c>
      <c r="I486" s="16">
        <f>IF(MATCH_ENGINE!H486="","",MATCH_ENGINE!J486)</f>
        <v/>
      </c>
      <c r="J486" s="12">
        <f>IF(MATCH_ENGINE!A486="","",MATCH_ENGINE!K486)</f>
        <v/>
      </c>
      <c r="K486" s="11">
        <f>IF(MATCH_ENGINE!A486="","",MATCH_ENGINE!L486)</f>
        <v/>
      </c>
      <c r="L486" s="17">
        <f>IF(MATCH_ENGINE!A486="","",MATCH_ENGINE!M486)</f>
        <v/>
      </c>
      <c r="M486" s="11">
        <f>IF(MATCH_ENGINE!A486="","",GL_CLEAN!F486)</f>
        <v/>
      </c>
      <c r="N486" s="11">
        <f>IF(MATCH_ENGINE!A486="","",GL_CLEAN!G486)</f>
        <v/>
      </c>
      <c r="O486" s="11">
        <f>IF(MATCH_ENGINE!H486="","",INDEX(BANK_CLEAN!$C$2:$C$1001,MATCH_ENGINE!H486))</f>
        <v/>
      </c>
      <c r="P486" s="11" t="inlineStr"/>
    </row>
    <row r="487">
      <c r="A487" s="11">
        <f>IF(MATCH_ENGINE!A487="","",MATCH_ENGINE!N487)</f>
        <v/>
      </c>
      <c r="B487" s="11">
        <f>IF(MATCH_ENGINE!A487="","",MATCH_ENGINE!C487)</f>
        <v/>
      </c>
      <c r="C487" s="10">
        <f>IF(MATCH_ENGINE!A487="","",MATCH_ENGINE!B487)</f>
        <v/>
      </c>
      <c r="D487" s="16">
        <f>IF(MATCH_ENGINE!A487="","",MATCH_ENGINE!D487)</f>
        <v/>
      </c>
      <c r="E487" s="11">
        <f>IF(MATCH_ENGINE!A487="","",MATCH_ENGINE!F487)</f>
        <v/>
      </c>
      <c r="F487" s="10">
        <f>IF(MATCH_ENGINE!A487="","",MATCH_ENGINE!I487)</f>
        <v/>
      </c>
      <c r="G487" s="16">
        <f>IF(MATCH_ENGINE!H487="","",IF(MATCH_ENGINE!F487="IN",MATCH_ENGINE!J487,""))</f>
        <v/>
      </c>
      <c r="H487" s="16">
        <f>IF(MATCH_ENGINE!H487="","",IF(MATCH_ENGINE!F487="OUT",MATCH_ENGINE!J487,""))</f>
        <v/>
      </c>
      <c r="I487" s="16">
        <f>IF(MATCH_ENGINE!H487="","",MATCH_ENGINE!J487)</f>
        <v/>
      </c>
      <c r="J487" s="12">
        <f>IF(MATCH_ENGINE!A487="","",MATCH_ENGINE!K487)</f>
        <v/>
      </c>
      <c r="K487" s="11">
        <f>IF(MATCH_ENGINE!A487="","",MATCH_ENGINE!L487)</f>
        <v/>
      </c>
      <c r="L487" s="17">
        <f>IF(MATCH_ENGINE!A487="","",MATCH_ENGINE!M487)</f>
        <v/>
      </c>
      <c r="M487" s="11">
        <f>IF(MATCH_ENGINE!A487="","",GL_CLEAN!F487)</f>
        <v/>
      </c>
      <c r="N487" s="11">
        <f>IF(MATCH_ENGINE!A487="","",GL_CLEAN!G487)</f>
        <v/>
      </c>
      <c r="O487" s="11">
        <f>IF(MATCH_ENGINE!H487="","",INDEX(BANK_CLEAN!$C$2:$C$1001,MATCH_ENGINE!H487))</f>
        <v/>
      </c>
      <c r="P487" s="11" t="inlineStr"/>
    </row>
    <row r="488">
      <c r="A488" s="11">
        <f>IF(MATCH_ENGINE!A488="","",MATCH_ENGINE!N488)</f>
        <v/>
      </c>
      <c r="B488" s="11">
        <f>IF(MATCH_ENGINE!A488="","",MATCH_ENGINE!C488)</f>
        <v/>
      </c>
      <c r="C488" s="10">
        <f>IF(MATCH_ENGINE!A488="","",MATCH_ENGINE!B488)</f>
        <v/>
      </c>
      <c r="D488" s="16">
        <f>IF(MATCH_ENGINE!A488="","",MATCH_ENGINE!D488)</f>
        <v/>
      </c>
      <c r="E488" s="11">
        <f>IF(MATCH_ENGINE!A488="","",MATCH_ENGINE!F488)</f>
        <v/>
      </c>
      <c r="F488" s="10">
        <f>IF(MATCH_ENGINE!A488="","",MATCH_ENGINE!I488)</f>
        <v/>
      </c>
      <c r="G488" s="16">
        <f>IF(MATCH_ENGINE!H488="","",IF(MATCH_ENGINE!F488="IN",MATCH_ENGINE!J488,""))</f>
        <v/>
      </c>
      <c r="H488" s="16">
        <f>IF(MATCH_ENGINE!H488="","",IF(MATCH_ENGINE!F488="OUT",MATCH_ENGINE!J488,""))</f>
        <v/>
      </c>
      <c r="I488" s="16">
        <f>IF(MATCH_ENGINE!H488="","",MATCH_ENGINE!J488)</f>
        <v/>
      </c>
      <c r="J488" s="12">
        <f>IF(MATCH_ENGINE!A488="","",MATCH_ENGINE!K488)</f>
        <v/>
      </c>
      <c r="K488" s="11">
        <f>IF(MATCH_ENGINE!A488="","",MATCH_ENGINE!L488)</f>
        <v/>
      </c>
      <c r="L488" s="17">
        <f>IF(MATCH_ENGINE!A488="","",MATCH_ENGINE!M488)</f>
        <v/>
      </c>
      <c r="M488" s="11">
        <f>IF(MATCH_ENGINE!A488="","",GL_CLEAN!F488)</f>
        <v/>
      </c>
      <c r="N488" s="11">
        <f>IF(MATCH_ENGINE!A488="","",GL_CLEAN!G488)</f>
        <v/>
      </c>
      <c r="O488" s="11">
        <f>IF(MATCH_ENGINE!H488="","",INDEX(BANK_CLEAN!$C$2:$C$1001,MATCH_ENGINE!H488))</f>
        <v/>
      </c>
      <c r="P488" s="11" t="inlineStr"/>
    </row>
    <row r="489">
      <c r="A489" s="11">
        <f>IF(MATCH_ENGINE!A489="","",MATCH_ENGINE!N489)</f>
        <v/>
      </c>
      <c r="B489" s="11">
        <f>IF(MATCH_ENGINE!A489="","",MATCH_ENGINE!C489)</f>
        <v/>
      </c>
      <c r="C489" s="10">
        <f>IF(MATCH_ENGINE!A489="","",MATCH_ENGINE!B489)</f>
        <v/>
      </c>
      <c r="D489" s="16">
        <f>IF(MATCH_ENGINE!A489="","",MATCH_ENGINE!D489)</f>
        <v/>
      </c>
      <c r="E489" s="11">
        <f>IF(MATCH_ENGINE!A489="","",MATCH_ENGINE!F489)</f>
        <v/>
      </c>
      <c r="F489" s="10">
        <f>IF(MATCH_ENGINE!A489="","",MATCH_ENGINE!I489)</f>
        <v/>
      </c>
      <c r="G489" s="16">
        <f>IF(MATCH_ENGINE!H489="","",IF(MATCH_ENGINE!F489="IN",MATCH_ENGINE!J489,""))</f>
        <v/>
      </c>
      <c r="H489" s="16">
        <f>IF(MATCH_ENGINE!H489="","",IF(MATCH_ENGINE!F489="OUT",MATCH_ENGINE!J489,""))</f>
        <v/>
      </c>
      <c r="I489" s="16">
        <f>IF(MATCH_ENGINE!H489="","",MATCH_ENGINE!J489)</f>
        <v/>
      </c>
      <c r="J489" s="12">
        <f>IF(MATCH_ENGINE!A489="","",MATCH_ENGINE!K489)</f>
        <v/>
      </c>
      <c r="K489" s="11">
        <f>IF(MATCH_ENGINE!A489="","",MATCH_ENGINE!L489)</f>
        <v/>
      </c>
      <c r="L489" s="17">
        <f>IF(MATCH_ENGINE!A489="","",MATCH_ENGINE!M489)</f>
        <v/>
      </c>
      <c r="M489" s="11">
        <f>IF(MATCH_ENGINE!A489="","",GL_CLEAN!F489)</f>
        <v/>
      </c>
      <c r="N489" s="11">
        <f>IF(MATCH_ENGINE!A489="","",GL_CLEAN!G489)</f>
        <v/>
      </c>
      <c r="O489" s="11">
        <f>IF(MATCH_ENGINE!H489="","",INDEX(BANK_CLEAN!$C$2:$C$1001,MATCH_ENGINE!H489))</f>
        <v/>
      </c>
      <c r="P489" s="11" t="inlineStr"/>
    </row>
    <row r="490">
      <c r="A490" s="11">
        <f>IF(MATCH_ENGINE!A490="","",MATCH_ENGINE!N490)</f>
        <v/>
      </c>
      <c r="B490" s="11">
        <f>IF(MATCH_ENGINE!A490="","",MATCH_ENGINE!C490)</f>
        <v/>
      </c>
      <c r="C490" s="10">
        <f>IF(MATCH_ENGINE!A490="","",MATCH_ENGINE!B490)</f>
        <v/>
      </c>
      <c r="D490" s="16">
        <f>IF(MATCH_ENGINE!A490="","",MATCH_ENGINE!D490)</f>
        <v/>
      </c>
      <c r="E490" s="11">
        <f>IF(MATCH_ENGINE!A490="","",MATCH_ENGINE!F490)</f>
        <v/>
      </c>
      <c r="F490" s="10">
        <f>IF(MATCH_ENGINE!A490="","",MATCH_ENGINE!I490)</f>
        <v/>
      </c>
      <c r="G490" s="16">
        <f>IF(MATCH_ENGINE!H490="","",IF(MATCH_ENGINE!F490="IN",MATCH_ENGINE!J490,""))</f>
        <v/>
      </c>
      <c r="H490" s="16">
        <f>IF(MATCH_ENGINE!H490="","",IF(MATCH_ENGINE!F490="OUT",MATCH_ENGINE!J490,""))</f>
        <v/>
      </c>
      <c r="I490" s="16">
        <f>IF(MATCH_ENGINE!H490="","",MATCH_ENGINE!J490)</f>
        <v/>
      </c>
      <c r="J490" s="12">
        <f>IF(MATCH_ENGINE!A490="","",MATCH_ENGINE!K490)</f>
        <v/>
      </c>
      <c r="K490" s="11">
        <f>IF(MATCH_ENGINE!A490="","",MATCH_ENGINE!L490)</f>
        <v/>
      </c>
      <c r="L490" s="17">
        <f>IF(MATCH_ENGINE!A490="","",MATCH_ENGINE!M490)</f>
        <v/>
      </c>
      <c r="M490" s="11">
        <f>IF(MATCH_ENGINE!A490="","",GL_CLEAN!F490)</f>
        <v/>
      </c>
      <c r="N490" s="11">
        <f>IF(MATCH_ENGINE!A490="","",GL_CLEAN!G490)</f>
        <v/>
      </c>
      <c r="O490" s="11">
        <f>IF(MATCH_ENGINE!H490="","",INDEX(BANK_CLEAN!$C$2:$C$1001,MATCH_ENGINE!H490))</f>
        <v/>
      </c>
      <c r="P490" s="11" t="inlineStr"/>
    </row>
    <row r="491">
      <c r="A491" s="11">
        <f>IF(MATCH_ENGINE!A491="","",MATCH_ENGINE!N491)</f>
        <v/>
      </c>
      <c r="B491" s="11">
        <f>IF(MATCH_ENGINE!A491="","",MATCH_ENGINE!C491)</f>
        <v/>
      </c>
      <c r="C491" s="10">
        <f>IF(MATCH_ENGINE!A491="","",MATCH_ENGINE!B491)</f>
        <v/>
      </c>
      <c r="D491" s="16">
        <f>IF(MATCH_ENGINE!A491="","",MATCH_ENGINE!D491)</f>
        <v/>
      </c>
      <c r="E491" s="11">
        <f>IF(MATCH_ENGINE!A491="","",MATCH_ENGINE!F491)</f>
        <v/>
      </c>
      <c r="F491" s="10">
        <f>IF(MATCH_ENGINE!A491="","",MATCH_ENGINE!I491)</f>
        <v/>
      </c>
      <c r="G491" s="16">
        <f>IF(MATCH_ENGINE!H491="","",IF(MATCH_ENGINE!F491="IN",MATCH_ENGINE!J491,""))</f>
        <v/>
      </c>
      <c r="H491" s="16">
        <f>IF(MATCH_ENGINE!H491="","",IF(MATCH_ENGINE!F491="OUT",MATCH_ENGINE!J491,""))</f>
        <v/>
      </c>
      <c r="I491" s="16">
        <f>IF(MATCH_ENGINE!H491="","",MATCH_ENGINE!J491)</f>
        <v/>
      </c>
      <c r="J491" s="12">
        <f>IF(MATCH_ENGINE!A491="","",MATCH_ENGINE!K491)</f>
        <v/>
      </c>
      <c r="K491" s="11">
        <f>IF(MATCH_ENGINE!A491="","",MATCH_ENGINE!L491)</f>
        <v/>
      </c>
      <c r="L491" s="17">
        <f>IF(MATCH_ENGINE!A491="","",MATCH_ENGINE!M491)</f>
        <v/>
      </c>
      <c r="M491" s="11">
        <f>IF(MATCH_ENGINE!A491="","",GL_CLEAN!F491)</f>
        <v/>
      </c>
      <c r="N491" s="11">
        <f>IF(MATCH_ENGINE!A491="","",GL_CLEAN!G491)</f>
        <v/>
      </c>
      <c r="O491" s="11">
        <f>IF(MATCH_ENGINE!H491="","",INDEX(BANK_CLEAN!$C$2:$C$1001,MATCH_ENGINE!H491))</f>
        <v/>
      </c>
      <c r="P491" s="11" t="inlineStr"/>
    </row>
    <row r="492">
      <c r="A492" s="11">
        <f>IF(MATCH_ENGINE!A492="","",MATCH_ENGINE!N492)</f>
        <v/>
      </c>
      <c r="B492" s="11">
        <f>IF(MATCH_ENGINE!A492="","",MATCH_ENGINE!C492)</f>
        <v/>
      </c>
      <c r="C492" s="10">
        <f>IF(MATCH_ENGINE!A492="","",MATCH_ENGINE!B492)</f>
        <v/>
      </c>
      <c r="D492" s="16">
        <f>IF(MATCH_ENGINE!A492="","",MATCH_ENGINE!D492)</f>
        <v/>
      </c>
      <c r="E492" s="11">
        <f>IF(MATCH_ENGINE!A492="","",MATCH_ENGINE!F492)</f>
        <v/>
      </c>
      <c r="F492" s="10">
        <f>IF(MATCH_ENGINE!A492="","",MATCH_ENGINE!I492)</f>
        <v/>
      </c>
      <c r="G492" s="16">
        <f>IF(MATCH_ENGINE!H492="","",IF(MATCH_ENGINE!F492="IN",MATCH_ENGINE!J492,""))</f>
        <v/>
      </c>
      <c r="H492" s="16">
        <f>IF(MATCH_ENGINE!H492="","",IF(MATCH_ENGINE!F492="OUT",MATCH_ENGINE!J492,""))</f>
        <v/>
      </c>
      <c r="I492" s="16">
        <f>IF(MATCH_ENGINE!H492="","",MATCH_ENGINE!J492)</f>
        <v/>
      </c>
      <c r="J492" s="12">
        <f>IF(MATCH_ENGINE!A492="","",MATCH_ENGINE!K492)</f>
        <v/>
      </c>
      <c r="K492" s="11">
        <f>IF(MATCH_ENGINE!A492="","",MATCH_ENGINE!L492)</f>
        <v/>
      </c>
      <c r="L492" s="17">
        <f>IF(MATCH_ENGINE!A492="","",MATCH_ENGINE!M492)</f>
        <v/>
      </c>
      <c r="M492" s="11">
        <f>IF(MATCH_ENGINE!A492="","",GL_CLEAN!F492)</f>
        <v/>
      </c>
      <c r="N492" s="11">
        <f>IF(MATCH_ENGINE!A492="","",GL_CLEAN!G492)</f>
        <v/>
      </c>
      <c r="O492" s="11">
        <f>IF(MATCH_ENGINE!H492="","",INDEX(BANK_CLEAN!$C$2:$C$1001,MATCH_ENGINE!H492))</f>
        <v/>
      </c>
      <c r="P492" s="11" t="inlineStr"/>
    </row>
    <row r="493">
      <c r="A493" s="11">
        <f>IF(MATCH_ENGINE!A493="","",MATCH_ENGINE!N493)</f>
        <v/>
      </c>
      <c r="B493" s="11">
        <f>IF(MATCH_ENGINE!A493="","",MATCH_ENGINE!C493)</f>
        <v/>
      </c>
      <c r="C493" s="10">
        <f>IF(MATCH_ENGINE!A493="","",MATCH_ENGINE!B493)</f>
        <v/>
      </c>
      <c r="D493" s="16">
        <f>IF(MATCH_ENGINE!A493="","",MATCH_ENGINE!D493)</f>
        <v/>
      </c>
      <c r="E493" s="11">
        <f>IF(MATCH_ENGINE!A493="","",MATCH_ENGINE!F493)</f>
        <v/>
      </c>
      <c r="F493" s="10">
        <f>IF(MATCH_ENGINE!A493="","",MATCH_ENGINE!I493)</f>
        <v/>
      </c>
      <c r="G493" s="16">
        <f>IF(MATCH_ENGINE!H493="","",IF(MATCH_ENGINE!F493="IN",MATCH_ENGINE!J493,""))</f>
        <v/>
      </c>
      <c r="H493" s="16">
        <f>IF(MATCH_ENGINE!H493="","",IF(MATCH_ENGINE!F493="OUT",MATCH_ENGINE!J493,""))</f>
        <v/>
      </c>
      <c r="I493" s="16">
        <f>IF(MATCH_ENGINE!H493="","",MATCH_ENGINE!J493)</f>
        <v/>
      </c>
      <c r="J493" s="12">
        <f>IF(MATCH_ENGINE!A493="","",MATCH_ENGINE!K493)</f>
        <v/>
      </c>
      <c r="K493" s="11">
        <f>IF(MATCH_ENGINE!A493="","",MATCH_ENGINE!L493)</f>
        <v/>
      </c>
      <c r="L493" s="17">
        <f>IF(MATCH_ENGINE!A493="","",MATCH_ENGINE!M493)</f>
        <v/>
      </c>
      <c r="M493" s="11">
        <f>IF(MATCH_ENGINE!A493="","",GL_CLEAN!F493)</f>
        <v/>
      </c>
      <c r="N493" s="11">
        <f>IF(MATCH_ENGINE!A493="","",GL_CLEAN!G493)</f>
        <v/>
      </c>
      <c r="O493" s="11">
        <f>IF(MATCH_ENGINE!H493="","",INDEX(BANK_CLEAN!$C$2:$C$1001,MATCH_ENGINE!H493))</f>
        <v/>
      </c>
      <c r="P493" s="11" t="inlineStr"/>
    </row>
    <row r="494">
      <c r="A494" s="11">
        <f>IF(MATCH_ENGINE!A494="","",MATCH_ENGINE!N494)</f>
        <v/>
      </c>
      <c r="B494" s="11">
        <f>IF(MATCH_ENGINE!A494="","",MATCH_ENGINE!C494)</f>
        <v/>
      </c>
      <c r="C494" s="10">
        <f>IF(MATCH_ENGINE!A494="","",MATCH_ENGINE!B494)</f>
        <v/>
      </c>
      <c r="D494" s="16">
        <f>IF(MATCH_ENGINE!A494="","",MATCH_ENGINE!D494)</f>
        <v/>
      </c>
      <c r="E494" s="11">
        <f>IF(MATCH_ENGINE!A494="","",MATCH_ENGINE!F494)</f>
        <v/>
      </c>
      <c r="F494" s="10">
        <f>IF(MATCH_ENGINE!A494="","",MATCH_ENGINE!I494)</f>
        <v/>
      </c>
      <c r="G494" s="16">
        <f>IF(MATCH_ENGINE!H494="","",IF(MATCH_ENGINE!F494="IN",MATCH_ENGINE!J494,""))</f>
        <v/>
      </c>
      <c r="H494" s="16">
        <f>IF(MATCH_ENGINE!H494="","",IF(MATCH_ENGINE!F494="OUT",MATCH_ENGINE!J494,""))</f>
        <v/>
      </c>
      <c r="I494" s="16">
        <f>IF(MATCH_ENGINE!H494="","",MATCH_ENGINE!J494)</f>
        <v/>
      </c>
      <c r="J494" s="12">
        <f>IF(MATCH_ENGINE!A494="","",MATCH_ENGINE!K494)</f>
        <v/>
      </c>
      <c r="K494" s="11">
        <f>IF(MATCH_ENGINE!A494="","",MATCH_ENGINE!L494)</f>
        <v/>
      </c>
      <c r="L494" s="17">
        <f>IF(MATCH_ENGINE!A494="","",MATCH_ENGINE!M494)</f>
        <v/>
      </c>
      <c r="M494" s="11">
        <f>IF(MATCH_ENGINE!A494="","",GL_CLEAN!F494)</f>
        <v/>
      </c>
      <c r="N494" s="11">
        <f>IF(MATCH_ENGINE!A494="","",GL_CLEAN!G494)</f>
        <v/>
      </c>
      <c r="O494" s="11">
        <f>IF(MATCH_ENGINE!H494="","",INDEX(BANK_CLEAN!$C$2:$C$1001,MATCH_ENGINE!H494))</f>
        <v/>
      </c>
      <c r="P494" s="11" t="inlineStr"/>
    </row>
    <row r="495">
      <c r="A495" s="11">
        <f>IF(MATCH_ENGINE!A495="","",MATCH_ENGINE!N495)</f>
        <v/>
      </c>
      <c r="B495" s="11">
        <f>IF(MATCH_ENGINE!A495="","",MATCH_ENGINE!C495)</f>
        <v/>
      </c>
      <c r="C495" s="10">
        <f>IF(MATCH_ENGINE!A495="","",MATCH_ENGINE!B495)</f>
        <v/>
      </c>
      <c r="D495" s="16">
        <f>IF(MATCH_ENGINE!A495="","",MATCH_ENGINE!D495)</f>
        <v/>
      </c>
      <c r="E495" s="11">
        <f>IF(MATCH_ENGINE!A495="","",MATCH_ENGINE!F495)</f>
        <v/>
      </c>
      <c r="F495" s="10">
        <f>IF(MATCH_ENGINE!A495="","",MATCH_ENGINE!I495)</f>
        <v/>
      </c>
      <c r="G495" s="16">
        <f>IF(MATCH_ENGINE!H495="","",IF(MATCH_ENGINE!F495="IN",MATCH_ENGINE!J495,""))</f>
        <v/>
      </c>
      <c r="H495" s="16">
        <f>IF(MATCH_ENGINE!H495="","",IF(MATCH_ENGINE!F495="OUT",MATCH_ENGINE!J495,""))</f>
        <v/>
      </c>
      <c r="I495" s="16">
        <f>IF(MATCH_ENGINE!H495="","",MATCH_ENGINE!J495)</f>
        <v/>
      </c>
      <c r="J495" s="12">
        <f>IF(MATCH_ENGINE!A495="","",MATCH_ENGINE!K495)</f>
        <v/>
      </c>
      <c r="K495" s="11">
        <f>IF(MATCH_ENGINE!A495="","",MATCH_ENGINE!L495)</f>
        <v/>
      </c>
      <c r="L495" s="17">
        <f>IF(MATCH_ENGINE!A495="","",MATCH_ENGINE!M495)</f>
        <v/>
      </c>
      <c r="M495" s="11">
        <f>IF(MATCH_ENGINE!A495="","",GL_CLEAN!F495)</f>
        <v/>
      </c>
      <c r="N495" s="11">
        <f>IF(MATCH_ENGINE!A495="","",GL_CLEAN!G495)</f>
        <v/>
      </c>
      <c r="O495" s="11">
        <f>IF(MATCH_ENGINE!H495="","",INDEX(BANK_CLEAN!$C$2:$C$1001,MATCH_ENGINE!H495))</f>
        <v/>
      </c>
      <c r="P495" s="11" t="inlineStr"/>
    </row>
    <row r="496">
      <c r="A496" s="11">
        <f>IF(MATCH_ENGINE!A496="","",MATCH_ENGINE!N496)</f>
        <v/>
      </c>
      <c r="B496" s="11">
        <f>IF(MATCH_ENGINE!A496="","",MATCH_ENGINE!C496)</f>
        <v/>
      </c>
      <c r="C496" s="10">
        <f>IF(MATCH_ENGINE!A496="","",MATCH_ENGINE!B496)</f>
        <v/>
      </c>
      <c r="D496" s="16">
        <f>IF(MATCH_ENGINE!A496="","",MATCH_ENGINE!D496)</f>
        <v/>
      </c>
      <c r="E496" s="11">
        <f>IF(MATCH_ENGINE!A496="","",MATCH_ENGINE!F496)</f>
        <v/>
      </c>
      <c r="F496" s="10">
        <f>IF(MATCH_ENGINE!A496="","",MATCH_ENGINE!I496)</f>
        <v/>
      </c>
      <c r="G496" s="16">
        <f>IF(MATCH_ENGINE!H496="","",IF(MATCH_ENGINE!F496="IN",MATCH_ENGINE!J496,""))</f>
        <v/>
      </c>
      <c r="H496" s="16">
        <f>IF(MATCH_ENGINE!H496="","",IF(MATCH_ENGINE!F496="OUT",MATCH_ENGINE!J496,""))</f>
        <v/>
      </c>
      <c r="I496" s="16">
        <f>IF(MATCH_ENGINE!H496="","",MATCH_ENGINE!J496)</f>
        <v/>
      </c>
      <c r="J496" s="12">
        <f>IF(MATCH_ENGINE!A496="","",MATCH_ENGINE!K496)</f>
        <v/>
      </c>
      <c r="K496" s="11">
        <f>IF(MATCH_ENGINE!A496="","",MATCH_ENGINE!L496)</f>
        <v/>
      </c>
      <c r="L496" s="17">
        <f>IF(MATCH_ENGINE!A496="","",MATCH_ENGINE!M496)</f>
        <v/>
      </c>
      <c r="M496" s="11">
        <f>IF(MATCH_ENGINE!A496="","",GL_CLEAN!F496)</f>
        <v/>
      </c>
      <c r="N496" s="11">
        <f>IF(MATCH_ENGINE!A496="","",GL_CLEAN!G496)</f>
        <v/>
      </c>
      <c r="O496" s="11">
        <f>IF(MATCH_ENGINE!H496="","",INDEX(BANK_CLEAN!$C$2:$C$1001,MATCH_ENGINE!H496))</f>
        <v/>
      </c>
      <c r="P496" s="11" t="inlineStr"/>
    </row>
    <row r="497">
      <c r="A497" s="11">
        <f>IF(MATCH_ENGINE!A497="","",MATCH_ENGINE!N497)</f>
        <v/>
      </c>
      <c r="B497" s="11">
        <f>IF(MATCH_ENGINE!A497="","",MATCH_ENGINE!C497)</f>
        <v/>
      </c>
      <c r="C497" s="10">
        <f>IF(MATCH_ENGINE!A497="","",MATCH_ENGINE!B497)</f>
        <v/>
      </c>
      <c r="D497" s="16">
        <f>IF(MATCH_ENGINE!A497="","",MATCH_ENGINE!D497)</f>
        <v/>
      </c>
      <c r="E497" s="11">
        <f>IF(MATCH_ENGINE!A497="","",MATCH_ENGINE!F497)</f>
        <v/>
      </c>
      <c r="F497" s="10">
        <f>IF(MATCH_ENGINE!A497="","",MATCH_ENGINE!I497)</f>
        <v/>
      </c>
      <c r="G497" s="16">
        <f>IF(MATCH_ENGINE!H497="","",IF(MATCH_ENGINE!F497="IN",MATCH_ENGINE!J497,""))</f>
        <v/>
      </c>
      <c r="H497" s="16">
        <f>IF(MATCH_ENGINE!H497="","",IF(MATCH_ENGINE!F497="OUT",MATCH_ENGINE!J497,""))</f>
        <v/>
      </c>
      <c r="I497" s="16">
        <f>IF(MATCH_ENGINE!H497="","",MATCH_ENGINE!J497)</f>
        <v/>
      </c>
      <c r="J497" s="12">
        <f>IF(MATCH_ENGINE!A497="","",MATCH_ENGINE!K497)</f>
        <v/>
      </c>
      <c r="K497" s="11">
        <f>IF(MATCH_ENGINE!A497="","",MATCH_ENGINE!L497)</f>
        <v/>
      </c>
      <c r="L497" s="17">
        <f>IF(MATCH_ENGINE!A497="","",MATCH_ENGINE!M497)</f>
        <v/>
      </c>
      <c r="M497" s="11">
        <f>IF(MATCH_ENGINE!A497="","",GL_CLEAN!F497)</f>
        <v/>
      </c>
      <c r="N497" s="11">
        <f>IF(MATCH_ENGINE!A497="","",GL_CLEAN!G497)</f>
        <v/>
      </c>
      <c r="O497" s="11">
        <f>IF(MATCH_ENGINE!H497="","",INDEX(BANK_CLEAN!$C$2:$C$1001,MATCH_ENGINE!H497))</f>
        <v/>
      </c>
      <c r="P497" s="11" t="inlineStr"/>
    </row>
    <row r="498">
      <c r="A498" s="11">
        <f>IF(MATCH_ENGINE!A498="","",MATCH_ENGINE!N498)</f>
        <v/>
      </c>
      <c r="B498" s="11">
        <f>IF(MATCH_ENGINE!A498="","",MATCH_ENGINE!C498)</f>
        <v/>
      </c>
      <c r="C498" s="10">
        <f>IF(MATCH_ENGINE!A498="","",MATCH_ENGINE!B498)</f>
        <v/>
      </c>
      <c r="D498" s="16">
        <f>IF(MATCH_ENGINE!A498="","",MATCH_ENGINE!D498)</f>
        <v/>
      </c>
      <c r="E498" s="11">
        <f>IF(MATCH_ENGINE!A498="","",MATCH_ENGINE!F498)</f>
        <v/>
      </c>
      <c r="F498" s="10">
        <f>IF(MATCH_ENGINE!A498="","",MATCH_ENGINE!I498)</f>
        <v/>
      </c>
      <c r="G498" s="16">
        <f>IF(MATCH_ENGINE!H498="","",IF(MATCH_ENGINE!F498="IN",MATCH_ENGINE!J498,""))</f>
        <v/>
      </c>
      <c r="H498" s="16">
        <f>IF(MATCH_ENGINE!H498="","",IF(MATCH_ENGINE!F498="OUT",MATCH_ENGINE!J498,""))</f>
        <v/>
      </c>
      <c r="I498" s="16">
        <f>IF(MATCH_ENGINE!H498="","",MATCH_ENGINE!J498)</f>
        <v/>
      </c>
      <c r="J498" s="12">
        <f>IF(MATCH_ENGINE!A498="","",MATCH_ENGINE!K498)</f>
        <v/>
      </c>
      <c r="K498" s="11">
        <f>IF(MATCH_ENGINE!A498="","",MATCH_ENGINE!L498)</f>
        <v/>
      </c>
      <c r="L498" s="17">
        <f>IF(MATCH_ENGINE!A498="","",MATCH_ENGINE!M498)</f>
        <v/>
      </c>
      <c r="M498" s="11">
        <f>IF(MATCH_ENGINE!A498="","",GL_CLEAN!F498)</f>
        <v/>
      </c>
      <c r="N498" s="11">
        <f>IF(MATCH_ENGINE!A498="","",GL_CLEAN!G498)</f>
        <v/>
      </c>
      <c r="O498" s="11">
        <f>IF(MATCH_ENGINE!H498="","",INDEX(BANK_CLEAN!$C$2:$C$1001,MATCH_ENGINE!H498))</f>
        <v/>
      </c>
      <c r="P498" s="11" t="inlineStr"/>
    </row>
    <row r="499">
      <c r="A499" s="11">
        <f>IF(MATCH_ENGINE!A499="","",MATCH_ENGINE!N499)</f>
        <v/>
      </c>
      <c r="B499" s="11">
        <f>IF(MATCH_ENGINE!A499="","",MATCH_ENGINE!C499)</f>
        <v/>
      </c>
      <c r="C499" s="10">
        <f>IF(MATCH_ENGINE!A499="","",MATCH_ENGINE!B499)</f>
        <v/>
      </c>
      <c r="D499" s="16">
        <f>IF(MATCH_ENGINE!A499="","",MATCH_ENGINE!D499)</f>
        <v/>
      </c>
      <c r="E499" s="11">
        <f>IF(MATCH_ENGINE!A499="","",MATCH_ENGINE!F499)</f>
        <v/>
      </c>
      <c r="F499" s="10">
        <f>IF(MATCH_ENGINE!A499="","",MATCH_ENGINE!I499)</f>
        <v/>
      </c>
      <c r="G499" s="16">
        <f>IF(MATCH_ENGINE!H499="","",IF(MATCH_ENGINE!F499="IN",MATCH_ENGINE!J499,""))</f>
        <v/>
      </c>
      <c r="H499" s="16">
        <f>IF(MATCH_ENGINE!H499="","",IF(MATCH_ENGINE!F499="OUT",MATCH_ENGINE!J499,""))</f>
        <v/>
      </c>
      <c r="I499" s="16">
        <f>IF(MATCH_ENGINE!H499="","",MATCH_ENGINE!J499)</f>
        <v/>
      </c>
      <c r="J499" s="12">
        <f>IF(MATCH_ENGINE!A499="","",MATCH_ENGINE!K499)</f>
        <v/>
      </c>
      <c r="K499" s="11">
        <f>IF(MATCH_ENGINE!A499="","",MATCH_ENGINE!L499)</f>
        <v/>
      </c>
      <c r="L499" s="17">
        <f>IF(MATCH_ENGINE!A499="","",MATCH_ENGINE!M499)</f>
        <v/>
      </c>
      <c r="M499" s="11">
        <f>IF(MATCH_ENGINE!A499="","",GL_CLEAN!F499)</f>
        <v/>
      </c>
      <c r="N499" s="11">
        <f>IF(MATCH_ENGINE!A499="","",GL_CLEAN!G499)</f>
        <v/>
      </c>
      <c r="O499" s="11">
        <f>IF(MATCH_ENGINE!H499="","",INDEX(BANK_CLEAN!$C$2:$C$1001,MATCH_ENGINE!H499))</f>
        <v/>
      </c>
      <c r="P499" s="11" t="inlineStr"/>
    </row>
    <row r="500">
      <c r="A500" s="11">
        <f>IF(MATCH_ENGINE!A500="","",MATCH_ENGINE!N500)</f>
        <v/>
      </c>
      <c r="B500" s="11">
        <f>IF(MATCH_ENGINE!A500="","",MATCH_ENGINE!C500)</f>
        <v/>
      </c>
      <c r="C500" s="10">
        <f>IF(MATCH_ENGINE!A500="","",MATCH_ENGINE!B500)</f>
        <v/>
      </c>
      <c r="D500" s="16">
        <f>IF(MATCH_ENGINE!A500="","",MATCH_ENGINE!D500)</f>
        <v/>
      </c>
      <c r="E500" s="11">
        <f>IF(MATCH_ENGINE!A500="","",MATCH_ENGINE!F500)</f>
        <v/>
      </c>
      <c r="F500" s="10">
        <f>IF(MATCH_ENGINE!A500="","",MATCH_ENGINE!I500)</f>
        <v/>
      </c>
      <c r="G500" s="16">
        <f>IF(MATCH_ENGINE!H500="","",IF(MATCH_ENGINE!F500="IN",MATCH_ENGINE!J500,""))</f>
        <v/>
      </c>
      <c r="H500" s="16">
        <f>IF(MATCH_ENGINE!H500="","",IF(MATCH_ENGINE!F500="OUT",MATCH_ENGINE!J500,""))</f>
        <v/>
      </c>
      <c r="I500" s="16">
        <f>IF(MATCH_ENGINE!H500="","",MATCH_ENGINE!J500)</f>
        <v/>
      </c>
      <c r="J500" s="12">
        <f>IF(MATCH_ENGINE!A500="","",MATCH_ENGINE!K500)</f>
        <v/>
      </c>
      <c r="K500" s="11">
        <f>IF(MATCH_ENGINE!A500="","",MATCH_ENGINE!L500)</f>
        <v/>
      </c>
      <c r="L500" s="17">
        <f>IF(MATCH_ENGINE!A500="","",MATCH_ENGINE!M500)</f>
        <v/>
      </c>
      <c r="M500" s="11">
        <f>IF(MATCH_ENGINE!A500="","",GL_CLEAN!F500)</f>
        <v/>
      </c>
      <c r="N500" s="11">
        <f>IF(MATCH_ENGINE!A500="","",GL_CLEAN!G500)</f>
        <v/>
      </c>
      <c r="O500" s="11">
        <f>IF(MATCH_ENGINE!H500="","",INDEX(BANK_CLEAN!$C$2:$C$1001,MATCH_ENGINE!H500))</f>
        <v/>
      </c>
      <c r="P500" s="11" t="inlineStr"/>
    </row>
    <row r="501">
      <c r="A501" s="11">
        <f>IF(MATCH_ENGINE!A501="","",MATCH_ENGINE!N501)</f>
        <v/>
      </c>
      <c r="B501" s="11">
        <f>IF(MATCH_ENGINE!A501="","",MATCH_ENGINE!C501)</f>
        <v/>
      </c>
      <c r="C501" s="10">
        <f>IF(MATCH_ENGINE!A501="","",MATCH_ENGINE!B501)</f>
        <v/>
      </c>
      <c r="D501" s="16">
        <f>IF(MATCH_ENGINE!A501="","",MATCH_ENGINE!D501)</f>
        <v/>
      </c>
      <c r="E501" s="11">
        <f>IF(MATCH_ENGINE!A501="","",MATCH_ENGINE!F501)</f>
        <v/>
      </c>
      <c r="F501" s="10">
        <f>IF(MATCH_ENGINE!A501="","",MATCH_ENGINE!I501)</f>
        <v/>
      </c>
      <c r="G501" s="16">
        <f>IF(MATCH_ENGINE!H501="","",IF(MATCH_ENGINE!F501="IN",MATCH_ENGINE!J501,""))</f>
        <v/>
      </c>
      <c r="H501" s="16">
        <f>IF(MATCH_ENGINE!H501="","",IF(MATCH_ENGINE!F501="OUT",MATCH_ENGINE!J501,""))</f>
        <v/>
      </c>
      <c r="I501" s="16">
        <f>IF(MATCH_ENGINE!H501="","",MATCH_ENGINE!J501)</f>
        <v/>
      </c>
      <c r="J501" s="12">
        <f>IF(MATCH_ENGINE!A501="","",MATCH_ENGINE!K501)</f>
        <v/>
      </c>
      <c r="K501" s="11">
        <f>IF(MATCH_ENGINE!A501="","",MATCH_ENGINE!L501)</f>
        <v/>
      </c>
      <c r="L501" s="17">
        <f>IF(MATCH_ENGINE!A501="","",MATCH_ENGINE!M501)</f>
        <v/>
      </c>
      <c r="M501" s="11">
        <f>IF(MATCH_ENGINE!A501="","",GL_CLEAN!F501)</f>
        <v/>
      </c>
      <c r="N501" s="11">
        <f>IF(MATCH_ENGINE!A501="","",GL_CLEAN!G501)</f>
        <v/>
      </c>
      <c r="O501" s="11">
        <f>IF(MATCH_ENGINE!H501="","",INDEX(BANK_CLEAN!$C$2:$C$1001,MATCH_ENGINE!H501))</f>
        <v/>
      </c>
      <c r="P501" s="11" t="inlineStr"/>
    </row>
    <row r="502">
      <c r="A502" s="11">
        <f>IF(MATCH_ENGINE!A502="","",MATCH_ENGINE!N502)</f>
        <v/>
      </c>
      <c r="B502" s="11">
        <f>IF(MATCH_ENGINE!A502="","",MATCH_ENGINE!C502)</f>
        <v/>
      </c>
      <c r="C502" s="10">
        <f>IF(MATCH_ENGINE!A502="","",MATCH_ENGINE!B502)</f>
        <v/>
      </c>
      <c r="D502" s="16">
        <f>IF(MATCH_ENGINE!A502="","",MATCH_ENGINE!D502)</f>
        <v/>
      </c>
      <c r="E502" s="11">
        <f>IF(MATCH_ENGINE!A502="","",MATCH_ENGINE!F502)</f>
        <v/>
      </c>
      <c r="F502" s="10">
        <f>IF(MATCH_ENGINE!A502="","",MATCH_ENGINE!I502)</f>
        <v/>
      </c>
      <c r="G502" s="16">
        <f>IF(MATCH_ENGINE!H502="","",IF(MATCH_ENGINE!F502="IN",MATCH_ENGINE!J502,""))</f>
        <v/>
      </c>
      <c r="H502" s="16">
        <f>IF(MATCH_ENGINE!H502="","",IF(MATCH_ENGINE!F502="OUT",MATCH_ENGINE!J502,""))</f>
        <v/>
      </c>
      <c r="I502" s="16">
        <f>IF(MATCH_ENGINE!H502="","",MATCH_ENGINE!J502)</f>
        <v/>
      </c>
      <c r="J502" s="12">
        <f>IF(MATCH_ENGINE!A502="","",MATCH_ENGINE!K502)</f>
        <v/>
      </c>
      <c r="K502" s="11">
        <f>IF(MATCH_ENGINE!A502="","",MATCH_ENGINE!L502)</f>
        <v/>
      </c>
      <c r="L502" s="17">
        <f>IF(MATCH_ENGINE!A502="","",MATCH_ENGINE!M502)</f>
        <v/>
      </c>
      <c r="M502" s="11">
        <f>IF(MATCH_ENGINE!A502="","",GL_CLEAN!F502)</f>
        <v/>
      </c>
      <c r="N502" s="11">
        <f>IF(MATCH_ENGINE!A502="","",GL_CLEAN!G502)</f>
        <v/>
      </c>
      <c r="O502" s="11">
        <f>IF(MATCH_ENGINE!H502="","",INDEX(BANK_CLEAN!$C$2:$C$1001,MATCH_ENGINE!H502))</f>
        <v/>
      </c>
      <c r="P502" s="11" t="inlineStr"/>
    </row>
    <row r="503">
      <c r="A503" s="11">
        <f>IF(MATCH_ENGINE!A503="","",MATCH_ENGINE!N503)</f>
        <v/>
      </c>
      <c r="B503" s="11">
        <f>IF(MATCH_ENGINE!A503="","",MATCH_ENGINE!C503)</f>
        <v/>
      </c>
      <c r="C503" s="10">
        <f>IF(MATCH_ENGINE!A503="","",MATCH_ENGINE!B503)</f>
        <v/>
      </c>
      <c r="D503" s="16">
        <f>IF(MATCH_ENGINE!A503="","",MATCH_ENGINE!D503)</f>
        <v/>
      </c>
      <c r="E503" s="11">
        <f>IF(MATCH_ENGINE!A503="","",MATCH_ENGINE!F503)</f>
        <v/>
      </c>
      <c r="F503" s="10">
        <f>IF(MATCH_ENGINE!A503="","",MATCH_ENGINE!I503)</f>
        <v/>
      </c>
      <c r="G503" s="16">
        <f>IF(MATCH_ENGINE!H503="","",IF(MATCH_ENGINE!F503="IN",MATCH_ENGINE!J503,""))</f>
        <v/>
      </c>
      <c r="H503" s="16">
        <f>IF(MATCH_ENGINE!H503="","",IF(MATCH_ENGINE!F503="OUT",MATCH_ENGINE!J503,""))</f>
        <v/>
      </c>
      <c r="I503" s="16">
        <f>IF(MATCH_ENGINE!H503="","",MATCH_ENGINE!J503)</f>
        <v/>
      </c>
      <c r="J503" s="12">
        <f>IF(MATCH_ENGINE!A503="","",MATCH_ENGINE!K503)</f>
        <v/>
      </c>
      <c r="K503" s="11">
        <f>IF(MATCH_ENGINE!A503="","",MATCH_ENGINE!L503)</f>
        <v/>
      </c>
      <c r="L503" s="17">
        <f>IF(MATCH_ENGINE!A503="","",MATCH_ENGINE!M503)</f>
        <v/>
      </c>
      <c r="M503" s="11">
        <f>IF(MATCH_ENGINE!A503="","",GL_CLEAN!F503)</f>
        <v/>
      </c>
      <c r="N503" s="11">
        <f>IF(MATCH_ENGINE!A503="","",GL_CLEAN!G503)</f>
        <v/>
      </c>
      <c r="O503" s="11">
        <f>IF(MATCH_ENGINE!H503="","",INDEX(BANK_CLEAN!$C$2:$C$1001,MATCH_ENGINE!H503))</f>
        <v/>
      </c>
      <c r="P503" s="11" t="inlineStr"/>
    </row>
    <row r="504">
      <c r="A504" s="11">
        <f>IF(MATCH_ENGINE!A504="","",MATCH_ENGINE!N504)</f>
        <v/>
      </c>
      <c r="B504" s="11">
        <f>IF(MATCH_ENGINE!A504="","",MATCH_ENGINE!C504)</f>
        <v/>
      </c>
      <c r="C504" s="10">
        <f>IF(MATCH_ENGINE!A504="","",MATCH_ENGINE!B504)</f>
        <v/>
      </c>
      <c r="D504" s="16">
        <f>IF(MATCH_ENGINE!A504="","",MATCH_ENGINE!D504)</f>
        <v/>
      </c>
      <c r="E504" s="11">
        <f>IF(MATCH_ENGINE!A504="","",MATCH_ENGINE!F504)</f>
        <v/>
      </c>
      <c r="F504" s="10">
        <f>IF(MATCH_ENGINE!A504="","",MATCH_ENGINE!I504)</f>
        <v/>
      </c>
      <c r="G504" s="16">
        <f>IF(MATCH_ENGINE!H504="","",IF(MATCH_ENGINE!F504="IN",MATCH_ENGINE!J504,""))</f>
        <v/>
      </c>
      <c r="H504" s="16">
        <f>IF(MATCH_ENGINE!H504="","",IF(MATCH_ENGINE!F504="OUT",MATCH_ENGINE!J504,""))</f>
        <v/>
      </c>
      <c r="I504" s="16">
        <f>IF(MATCH_ENGINE!H504="","",MATCH_ENGINE!J504)</f>
        <v/>
      </c>
      <c r="J504" s="12">
        <f>IF(MATCH_ENGINE!A504="","",MATCH_ENGINE!K504)</f>
        <v/>
      </c>
      <c r="K504" s="11">
        <f>IF(MATCH_ENGINE!A504="","",MATCH_ENGINE!L504)</f>
        <v/>
      </c>
      <c r="L504" s="17">
        <f>IF(MATCH_ENGINE!A504="","",MATCH_ENGINE!M504)</f>
        <v/>
      </c>
      <c r="M504" s="11">
        <f>IF(MATCH_ENGINE!A504="","",GL_CLEAN!F504)</f>
        <v/>
      </c>
      <c r="N504" s="11">
        <f>IF(MATCH_ENGINE!A504="","",GL_CLEAN!G504)</f>
        <v/>
      </c>
      <c r="O504" s="11">
        <f>IF(MATCH_ENGINE!H504="","",INDEX(BANK_CLEAN!$C$2:$C$1001,MATCH_ENGINE!H504))</f>
        <v/>
      </c>
      <c r="P504" s="11" t="inlineStr"/>
    </row>
    <row r="505">
      <c r="A505" s="11">
        <f>IF(MATCH_ENGINE!A505="","",MATCH_ENGINE!N505)</f>
        <v/>
      </c>
      <c r="B505" s="11">
        <f>IF(MATCH_ENGINE!A505="","",MATCH_ENGINE!C505)</f>
        <v/>
      </c>
      <c r="C505" s="10">
        <f>IF(MATCH_ENGINE!A505="","",MATCH_ENGINE!B505)</f>
        <v/>
      </c>
      <c r="D505" s="16">
        <f>IF(MATCH_ENGINE!A505="","",MATCH_ENGINE!D505)</f>
        <v/>
      </c>
      <c r="E505" s="11">
        <f>IF(MATCH_ENGINE!A505="","",MATCH_ENGINE!F505)</f>
        <v/>
      </c>
      <c r="F505" s="10">
        <f>IF(MATCH_ENGINE!A505="","",MATCH_ENGINE!I505)</f>
        <v/>
      </c>
      <c r="G505" s="16">
        <f>IF(MATCH_ENGINE!H505="","",IF(MATCH_ENGINE!F505="IN",MATCH_ENGINE!J505,""))</f>
        <v/>
      </c>
      <c r="H505" s="16">
        <f>IF(MATCH_ENGINE!H505="","",IF(MATCH_ENGINE!F505="OUT",MATCH_ENGINE!J505,""))</f>
        <v/>
      </c>
      <c r="I505" s="16">
        <f>IF(MATCH_ENGINE!H505="","",MATCH_ENGINE!J505)</f>
        <v/>
      </c>
      <c r="J505" s="12">
        <f>IF(MATCH_ENGINE!A505="","",MATCH_ENGINE!K505)</f>
        <v/>
      </c>
      <c r="K505" s="11">
        <f>IF(MATCH_ENGINE!A505="","",MATCH_ENGINE!L505)</f>
        <v/>
      </c>
      <c r="L505" s="17">
        <f>IF(MATCH_ENGINE!A505="","",MATCH_ENGINE!M505)</f>
        <v/>
      </c>
      <c r="M505" s="11">
        <f>IF(MATCH_ENGINE!A505="","",GL_CLEAN!F505)</f>
        <v/>
      </c>
      <c r="N505" s="11">
        <f>IF(MATCH_ENGINE!A505="","",GL_CLEAN!G505)</f>
        <v/>
      </c>
      <c r="O505" s="11">
        <f>IF(MATCH_ENGINE!H505="","",INDEX(BANK_CLEAN!$C$2:$C$1001,MATCH_ENGINE!H505))</f>
        <v/>
      </c>
      <c r="P505" s="11" t="inlineStr"/>
    </row>
    <row r="506">
      <c r="A506" s="11">
        <f>IF(MATCH_ENGINE!A506="","",MATCH_ENGINE!N506)</f>
        <v/>
      </c>
      <c r="B506" s="11">
        <f>IF(MATCH_ENGINE!A506="","",MATCH_ENGINE!C506)</f>
        <v/>
      </c>
      <c r="C506" s="10">
        <f>IF(MATCH_ENGINE!A506="","",MATCH_ENGINE!B506)</f>
        <v/>
      </c>
      <c r="D506" s="16">
        <f>IF(MATCH_ENGINE!A506="","",MATCH_ENGINE!D506)</f>
        <v/>
      </c>
      <c r="E506" s="11">
        <f>IF(MATCH_ENGINE!A506="","",MATCH_ENGINE!F506)</f>
        <v/>
      </c>
      <c r="F506" s="10">
        <f>IF(MATCH_ENGINE!A506="","",MATCH_ENGINE!I506)</f>
        <v/>
      </c>
      <c r="G506" s="16">
        <f>IF(MATCH_ENGINE!H506="","",IF(MATCH_ENGINE!F506="IN",MATCH_ENGINE!J506,""))</f>
        <v/>
      </c>
      <c r="H506" s="16">
        <f>IF(MATCH_ENGINE!H506="","",IF(MATCH_ENGINE!F506="OUT",MATCH_ENGINE!J506,""))</f>
        <v/>
      </c>
      <c r="I506" s="16">
        <f>IF(MATCH_ENGINE!H506="","",MATCH_ENGINE!J506)</f>
        <v/>
      </c>
      <c r="J506" s="12">
        <f>IF(MATCH_ENGINE!A506="","",MATCH_ENGINE!K506)</f>
        <v/>
      </c>
      <c r="K506" s="11">
        <f>IF(MATCH_ENGINE!A506="","",MATCH_ENGINE!L506)</f>
        <v/>
      </c>
      <c r="L506" s="17">
        <f>IF(MATCH_ENGINE!A506="","",MATCH_ENGINE!M506)</f>
        <v/>
      </c>
      <c r="M506" s="11">
        <f>IF(MATCH_ENGINE!A506="","",GL_CLEAN!F506)</f>
        <v/>
      </c>
      <c r="N506" s="11">
        <f>IF(MATCH_ENGINE!A506="","",GL_CLEAN!G506)</f>
        <v/>
      </c>
      <c r="O506" s="11">
        <f>IF(MATCH_ENGINE!H506="","",INDEX(BANK_CLEAN!$C$2:$C$1001,MATCH_ENGINE!H506))</f>
        <v/>
      </c>
      <c r="P506" s="11" t="inlineStr"/>
    </row>
    <row r="507">
      <c r="A507" s="11">
        <f>IF(MATCH_ENGINE!A507="","",MATCH_ENGINE!N507)</f>
        <v/>
      </c>
      <c r="B507" s="11">
        <f>IF(MATCH_ENGINE!A507="","",MATCH_ENGINE!C507)</f>
        <v/>
      </c>
      <c r="C507" s="10">
        <f>IF(MATCH_ENGINE!A507="","",MATCH_ENGINE!B507)</f>
        <v/>
      </c>
      <c r="D507" s="16">
        <f>IF(MATCH_ENGINE!A507="","",MATCH_ENGINE!D507)</f>
        <v/>
      </c>
      <c r="E507" s="11">
        <f>IF(MATCH_ENGINE!A507="","",MATCH_ENGINE!F507)</f>
        <v/>
      </c>
      <c r="F507" s="10">
        <f>IF(MATCH_ENGINE!A507="","",MATCH_ENGINE!I507)</f>
        <v/>
      </c>
      <c r="G507" s="16">
        <f>IF(MATCH_ENGINE!H507="","",IF(MATCH_ENGINE!F507="IN",MATCH_ENGINE!J507,""))</f>
        <v/>
      </c>
      <c r="H507" s="16">
        <f>IF(MATCH_ENGINE!H507="","",IF(MATCH_ENGINE!F507="OUT",MATCH_ENGINE!J507,""))</f>
        <v/>
      </c>
      <c r="I507" s="16">
        <f>IF(MATCH_ENGINE!H507="","",MATCH_ENGINE!J507)</f>
        <v/>
      </c>
      <c r="J507" s="12">
        <f>IF(MATCH_ENGINE!A507="","",MATCH_ENGINE!K507)</f>
        <v/>
      </c>
      <c r="K507" s="11">
        <f>IF(MATCH_ENGINE!A507="","",MATCH_ENGINE!L507)</f>
        <v/>
      </c>
      <c r="L507" s="17">
        <f>IF(MATCH_ENGINE!A507="","",MATCH_ENGINE!M507)</f>
        <v/>
      </c>
      <c r="M507" s="11">
        <f>IF(MATCH_ENGINE!A507="","",GL_CLEAN!F507)</f>
        <v/>
      </c>
      <c r="N507" s="11">
        <f>IF(MATCH_ENGINE!A507="","",GL_CLEAN!G507)</f>
        <v/>
      </c>
      <c r="O507" s="11">
        <f>IF(MATCH_ENGINE!H507="","",INDEX(BANK_CLEAN!$C$2:$C$1001,MATCH_ENGINE!H507))</f>
        <v/>
      </c>
      <c r="P507" s="11" t="inlineStr"/>
    </row>
    <row r="508">
      <c r="A508" s="11">
        <f>IF(MATCH_ENGINE!A508="","",MATCH_ENGINE!N508)</f>
        <v/>
      </c>
      <c r="B508" s="11">
        <f>IF(MATCH_ENGINE!A508="","",MATCH_ENGINE!C508)</f>
        <v/>
      </c>
      <c r="C508" s="10">
        <f>IF(MATCH_ENGINE!A508="","",MATCH_ENGINE!B508)</f>
        <v/>
      </c>
      <c r="D508" s="16">
        <f>IF(MATCH_ENGINE!A508="","",MATCH_ENGINE!D508)</f>
        <v/>
      </c>
      <c r="E508" s="11">
        <f>IF(MATCH_ENGINE!A508="","",MATCH_ENGINE!F508)</f>
        <v/>
      </c>
      <c r="F508" s="10">
        <f>IF(MATCH_ENGINE!A508="","",MATCH_ENGINE!I508)</f>
        <v/>
      </c>
      <c r="G508" s="16">
        <f>IF(MATCH_ENGINE!H508="","",IF(MATCH_ENGINE!F508="IN",MATCH_ENGINE!J508,""))</f>
        <v/>
      </c>
      <c r="H508" s="16">
        <f>IF(MATCH_ENGINE!H508="","",IF(MATCH_ENGINE!F508="OUT",MATCH_ENGINE!J508,""))</f>
        <v/>
      </c>
      <c r="I508" s="16">
        <f>IF(MATCH_ENGINE!H508="","",MATCH_ENGINE!J508)</f>
        <v/>
      </c>
      <c r="J508" s="12">
        <f>IF(MATCH_ENGINE!A508="","",MATCH_ENGINE!K508)</f>
        <v/>
      </c>
      <c r="K508" s="11">
        <f>IF(MATCH_ENGINE!A508="","",MATCH_ENGINE!L508)</f>
        <v/>
      </c>
      <c r="L508" s="17">
        <f>IF(MATCH_ENGINE!A508="","",MATCH_ENGINE!M508)</f>
        <v/>
      </c>
      <c r="M508" s="11">
        <f>IF(MATCH_ENGINE!A508="","",GL_CLEAN!F508)</f>
        <v/>
      </c>
      <c r="N508" s="11">
        <f>IF(MATCH_ENGINE!A508="","",GL_CLEAN!G508)</f>
        <v/>
      </c>
      <c r="O508" s="11">
        <f>IF(MATCH_ENGINE!H508="","",INDEX(BANK_CLEAN!$C$2:$C$1001,MATCH_ENGINE!H508))</f>
        <v/>
      </c>
      <c r="P508" s="11" t="inlineStr"/>
    </row>
    <row r="509">
      <c r="A509" s="11">
        <f>IF(MATCH_ENGINE!A509="","",MATCH_ENGINE!N509)</f>
        <v/>
      </c>
      <c r="B509" s="11">
        <f>IF(MATCH_ENGINE!A509="","",MATCH_ENGINE!C509)</f>
        <v/>
      </c>
      <c r="C509" s="10">
        <f>IF(MATCH_ENGINE!A509="","",MATCH_ENGINE!B509)</f>
        <v/>
      </c>
      <c r="D509" s="16">
        <f>IF(MATCH_ENGINE!A509="","",MATCH_ENGINE!D509)</f>
        <v/>
      </c>
      <c r="E509" s="11">
        <f>IF(MATCH_ENGINE!A509="","",MATCH_ENGINE!F509)</f>
        <v/>
      </c>
      <c r="F509" s="10">
        <f>IF(MATCH_ENGINE!A509="","",MATCH_ENGINE!I509)</f>
        <v/>
      </c>
      <c r="G509" s="16">
        <f>IF(MATCH_ENGINE!H509="","",IF(MATCH_ENGINE!F509="IN",MATCH_ENGINE!J509,""))</f>
        <v/>
      </c>
      <c r="H509" s="16">
        <f>IF(MATCH_ENGINE!H509="","",IF(MATCH_ENGINE!F509="OUT",MATCH_ENGINE!J509,""))</f>
        <v/>
      </c>
      <c r="I509" s="16">
        <f>IF(MATCH_ENGINE!H509="","",MATCH_ENGINE!J509)</f>
        <v/>
      </c>
      <c r="J509" s="12">
        <f>IF(MATCH_ENGINE!A509="","",MATCH_ENGINE!K509)</f>
        <v/>
      </c>
      <c r="K509" s="11">
        <f>IF(MATCH_ENGINE!A509="","",MATCH_ENGINE!L509)</f>
        <v/>
      </c>
      <c r="L509" s="17">
        <f>IF(MATCH_ENGINE!A509="","",MATCH_ENGINE!M509)</f>
        <v/>
      </c>
      <c r="M509" s="11">
        <f>IF(MATCH_ENGINE!A509="","",GL_CLEAN!F509)</f>
        <v/>
      </c>
      <c r="N509" s="11">
        <f>IF(MATCH_ENGINE!A509="","",GL_CLEAN!G509)</f>
        <v/>
      </c>
      <c r="O509" s="11">
        <f>IF(MATCH_ENGINE!H509="","",INDEX(BANK_CLEAN!$C$2:$C$1001,MATCH_ENGINE!H509))</f>
        <v/>
      </c>
      <c r="P509" s="11" t="inlineStr"/>
    </row>
    <row r="510">
      <c r="A510" s="11">
        <f>IF(MATCH_ENGINE!A510="","",MATCH_ENGINE!N510)</f>
        <v/>
      </c>
      <c r="B510" s="11">
        <f>IF(MATCH_ENGINE!A510="","",MATCH_ENGINE!C510)</f>
        <v/>
      </c>
      <c r="C510" s="10">
        <f>IF(MATCH_ENGINE!A510="","",MATCH_ENGINE!B510)</f>
        <v/>
      </c>
      <c r="D510" s="16">
        <f>IF(MATCH_ENGINE!A510="","",MATCH_ENGINE!D510)</f>
        <v/>
      </c>
      <c r="E510" s="11">
        <f>IF(MATCH_ENGINE!A510="","",MATCH_ENGINE!F510)</f>
        <v/>
      </c>
      <c r="F510" s="10">
        <f>IF(MATCH_ENGINE!A510="","",MATCH_ENGINE!I510)</f>
        <v/>
      </c>
      <c r="G510" s="16">
        <f>IF(MATCH_ENGINE!H510="","",IF(MATCH_ENGINE!F510="IN",MATCH_ENGINE!J510,""))</f>
        <v/>
      </c>
      <c r="H510" s="16">
        <f>IF(MATCH_ENGINE!H510="","",IF(MATCH_ENGINE!F510="OUT",MATCH_ENGINE!J510,""))</f>
        <v/>
      </c>
      <c r="I510" s="16">
        <f>IF(MATCH_ENGINE!H510="","",MATCH_ENGINE!J510)</f>
        <v/>
      </c>
      <c r="J510" s="12">
        <f>IF(MATCH_ENGINE!A510="","",MATCH_ENGINE!K510)</f>
        <v/>
      </c>
      <c r="K510" s="11">
        <f>IF(MATCH_ENGINE!A510="","",MATCH_ENGINE!L510)</f>
        <v/>
      </c>
      <c r="L510" s="17">
        <f>IF(MATCH_ENGINE!A510="","",MATCH_ENGINE!M510)</f>
        <v/>
      </c>
      <c r="M510" s="11">
        <f>IF(MATCH_ENGINE!A510="","",GL_CLEAN!F510)</f>
        <v/>
      </c>
      <c r="N510" s="11">
        <f>IF(MATCH_ENGINE!A510="","",GL_CLEAN!G510)</f>
        <v/>
      </c>
      <c r="O510" s="11">
        <f>IF(MATCH_ENGINE!H510="","",INDEX(BANK_CLEAN!$C$2:$C$1001,MATCH_ENGINE!H510))</f>
        <v/>
      </c>
      <c r="P510" s="11" t="inlineStr"/>
    </row>
    <row r="511">
      <c r="A511" s="11">
        <f>IF(MATCH_ENGINE!A511="","",MATCH_ENGINE!N511)</f>
        <v/>
      </c>
      <c r="B511" s="11">
        <f>IF(MATCH_ENGINE!A511="","",MATCH_ENGINE!C511)</f>
        <v/>
      </c>
      <c r="C511" s="10">
        <f>IF(MATCH_ENGINE!A511="","",MATCH_ENGINE!B511)</f>
        <v/>
      </c>
      <c r="D511" s="16">
        <f>IF(MATCH_ENGINE!A511="","",MATCH_ENGINE!D511)</f>
        <v/>
      </c>
      <c r="E511" s="11">
        <f>IF(MATCH_ENGINE!A511="","",MATCH_ENGINE!F511)</f>
        <v/>
      </c>
      <c r="F511" s="10">
        <f>IF(MATCH_ENGINE!A511="","",MATCH_ENGINE!I511)</f>
        <v/>
      </c>
      <c r="G511" s="16">
        <f>IF(MATCH_ENGINE!H511="","",IF(MATCH_ENGINE!F511="IN",MATCH_ENGINE!J511,""))</f>
        <v/>
      </c>
      <c r="H511" s="16">
        <f>IF(MATCH_ENGINE!H511="","",IF(MATCH_ENGINE!F511="OUT",MATCH_ENGINE!J511,""))</f>
        <v/>
      </c>
      <c r="I511" s="16">
        <f>IF(MATCH_ENGINE!H511="","",MATCH_ENGINE!J511)</f>
        <v/>
      </c>
      <c r="J511" s="12">
        <f>IF(MATCH_ENGINE!A511="","",MATCH_ENGINE!K511)</f>
        <v/>
      </c>
      <c r="K511" s="11">
        <f>IF(MATCH_ENGINE!A511="","",MATCH_ENGINE!L511)</f>
        <v/>
      </c>
      <c r="L511" s="17">
        <f>IF(MATCH_ENGINE!A511="","",MATCH_ENGINE!M511)</f>
        <v/>
      </c>
      <c r="M511" s="11">
        <f>IF(MATCH_ENGINE!A511="","",GL_CLEAN!F511)</f>
        <v/>
      </c>
      <c r="N511" s="11">
        <f>IF(MATCH_ENGINE!A511="","",GL_CLEAN!G511)</f>
        <v/>
      </c>
      <c r="O511" s="11">
        <f>IF(MATCH_ENGINE!H511="","",INDEX(BANK_CLEAN!$C$2:$C$1001,MATCH_ENGINE!H511))</f>
        <v/>
      </c>
      <c r="P511" s="11" t="inlineStr"/>
    </row>
    <row r="512">
      <c r="A512" s="11">
        <f>IF(MATCH_ENGINE!A512="","",MATCH_ENGINE!N512)</f>
        <v/>
      </c>
      <c r="B512" s="11">
        <f>IF(MATCH_ENGINE!A512="","",MATCH_ENGINE!C512)</f>
        <v/>
      </c>
      <c r="C512" s="10">
        <f>IF(MATCH_ENGINE!A512="","",MATCH_ENGINE!B512)</f>
        <v/>
      </c>
      <c r="D512" s="16">
        <f>IF(MATCH_ENGINE!A512="","",MATCH_ENGINE!D512)</f>
        <v/>
      </c>
      <c r="E512" s="11">
        <f>IF(MATCH_ENGINE!A512="","",MATCH_ENGINE!F512)</f>
        <v/>
      </c>
      <c r="F512" s="10">
        <f>IF(MATCH_ENGINE!A512="","",MATCH_ENGINE!I512)</f>
        <v/>
      </c>
      <c r="G512" s="16">
        <f>IF(MATCH_ENGINE!H512="","",IF(MATCH_ENGINE!F512="IN",MATCH_ENGINE!J512,""))</f>
        <v/>
      </c>
      <c r="H512" s="16">
        <f>IF(MATCH_ENGINE!H512="","",IF(MATCH_ENGINE!F512="OUT",MATCH_ENGINE!J512,""))</f>
        <v/>
      </c>
      <c r="I512" s="16">
        <f>IF(MATCH_ENGINE!H512="","",MATCH_ENGINE!J512)</f>
        <v/>
      </c>
      <c r="J512" s="12">
        <f>IF(MATCH_ENGINE!A512="","",MATCH_ENGINE!K512)</f>
        <v/>
      </c>
      <c r="K512" s="11">
        <f>IF(MATCH_ENGINE!A512="","",MATCH_ENGINE!L512)</f>
        <v/>
      </c>
      <c r="L512" s="17">
        <f>IF(MATCH_ENGINE!A512="","",MATCH_ENGINE!M512)</f>
        <v/>
      </c>
      <c r="M512" s="11">
        <f>IF(MATCH_ENGINE!A512="","",GL_CLEAN!F512)</f>
        <v/>
      </c>
      <c r="N512" s="11">
        <f>IF(MATCH_ENGINE!A512="","",GL_CLEAN!G512)</f>
        <v/>
      </c>
      <c r="O512" s="11">
        <f>IF(MATCH_ENGINE!H512="","",INDEX(BANK_CLEAN!$C$2:$C$1001,MATCH_ENGINE!H512))</f>
        <v/>
      </c>
      <c r="P512" s="11" t="inlineStr"/>
    </row>
    <row r="513">
      <c r="A513" s="11">
        <f>IF(MATCH_ENGINE!A513="","",MATCH_ENGINE!N513)</f>
        <v/>
      </c>
      <c r="B513" s="11">
        <f>IF(MATCH_ENGINE!A513="","",MATCH_ENGINE!C513)</f>
        <v/>
      </c>
      <c r="C513" s="10">
        <f>IF(MATCH_ENGINE!A513="","",MATCH_ENGINE!B513)</f>
        <v/>
      </c>
      <c r="D513" s="16">
        <f>IF(MATCH_ENGINE!A513="","",MATCH_ENGINE!D513)</f>
        <v/>
      </c>
      <c r="E513" s="11">
        <f>IF(MATCH_ENGINE!A513="","",MATCH_ENGINE!F513)</f>
        <v/>
      </c>
      <c r="F513" s="10">
        <f>IF(MATCH_ENGINE!A513="","",MATCH_ENGINE!I513)</f>
        <v/>
      </c>
      <c r="G513" s="16">
        <f>IF(MATCH_ENGINE!H513="","",IF(MATCH_ENGINE!F513="IN",MATCH_ENGINE!J513,""))</f>
        <v/>
      </c>
      <c r="H513" s="16">
        <f>IF(MATCH_ENGINE!H513="","",IF(MATCH_ENGINE!F513="OUT",MATCH_ENGINE!J513,""))</f>
        <v/>
      </c>
      <c r="I513" s="16">
        <f>IF(MATCH_ENGINE!H513="","",MATCH_ENGINE!J513)</f>
        <v/>
      </c>
      <c r="J513" s="12">
        <f>IF(MATCH_ENGINE!A513="","",MATCH_ENGINE!K513)</f>
        <v/>
      </c>
      <c r="K513" s="11">
        <f>IF(MATCH_ENGINE!A513="","",MATCH_ENGINE!L513)</f>
        <v/>
      </c>
      <c r="L513" s="17">
        <f>IF(MATCH_ENGINE!A513="","",MATCH_ENGINE!M513)</f>
        <v/>
      </c>
      <c r="M513" s="11">
        <f>IF(MATCH_ENGINE!A513="","",GL_CLEAN!F513)</f>
        <v/>
      </c>
      <c r="N513" s="11">
        <f>IF(MATCH_ENGINE!A513="","",GL_CLEAN!G513)</f>
        <v/>
      </c>
      <c r="O513" s="11">
        <f>IF(MATCH_ENGINE!H513="","",INDEX(BANK_CLEAN!$C$2:$C$1001,MATCH_ENGINE!H513))</f>
        <v/>
      </c>
      <c r="P513" s="11" t="inlineStr"/>
    </row>
    <row r="514">
      <c r="A514" s="11">
        <f>IF(MATCH_ENGINE!A514="","",MATCH_ENGINE!N514)</f>
        <v/>
      </c>
      <c r="B514" s="11">
        <f>IF(MATCH_ENGINE!A514="","",MATCH_ENGINE!C514)</f>
        <v/>
      </c>
      <c r="C514" s="10">
        <f>IF(MATCH_ENGINE!A514="","",MATCH_ENGINE!B514)</f>
        <v/>
      </c>
      <c r="D514" s="16">
        <f>IF(MATCH_ENGINE!A514="","",MATCH_ENGINE!D514)</f>
        <v/>
      </c>
      <c r="E514" s="11">
        <f>IF(MATCH_ENGINE!A514="","",MATCH_ENGINE!F514)</f>
        <v/>
      </c>
      <c r="F514" s="10">
        <f>IF(MATCH_ENGINE!A514="","",MATCH_ENGINE!I514)</f>
        <v/>
      </c>
      <c r="G514" s="16">
        <f>IF(MATCH_ENGINE!H514="","",IF(MATCH_ENGINE!F514="IN",MATCH_ENGINE!J514,""))</f>
        <v/>
      </c>
      <c r="H514" s="16">
        <f>IF(MATCH_ENGINE!H514="","",IF(MATCH_ENGINE!F514="OUT",MATCH_ENGINE!J514,""))</f>
        <v/>
      </c>
      <c r="I514" s="16">
        <f>IF(MATCH_ENGINE!H514="","",MATCH_ENGINE!J514)</f>
        <v/>
      </c>
      <c r="J514" s="12">
        <f>IF(MATCH_ENGINE!A514="","",MATCH_ENGINE!K514)</f>
        <v/>
      </c>
      <c r="K514" s="11">
        <f>IF(MATCH_ENGINE!A514="","",MATCH_ENGINE!L514)</f>
        <v/>
      </c>
      <c r="L514" s="17">
        <f>IF(MATCH_ENGINE!A514="","",MATCH_ENGINE!M514)</f>
        <v/>
      </c>
      <c r="M514" s="11">
        <f>IF(MATCH_ENGINE!A514="","",GL_CLEAN!F514)</f>
        <v/>
      </c>
      <c r="N514" s="11">
        <f>IF(MATCH_ENGINE!A514="","",GL_CLEAN!G514)</f>
        <v/>
      </c>
      <c r="O514" s="11">
        <f>IF(MATCH_ENGINE!H514="","",INDEX(BANK_CLEAN!$C$2:$C$1001,MATCH_ENGINE!H514))</f>
        <v/>
      </c>
      <c r="P514" s="11" t="inlineStr"/>
    </row>
    <row r="515">
      <c r="A515" s="11">
        <f>IF(MATCH_ENGINE!A515="","",MATCH_ENGINE!N515)</f>
        <v/>
      </c>
      <c r="B515" s="11">
        <f>IF(MATCH_ENGINE!A515="","",MATCH_ENGINE!C515)</f>
        <v/>
      </c>
      <c r="C515" s="10">
        <f>IF(MATCH_ENGINE!A515="","",MATCH_ENGINE!B515)</f>
        <v/>
      </c>
      <c r="D515" s="16">
        <f>IF(MATCH_ENGINE!A515="","",MATCH_ENGINE!D515)</f>
        <v/>
      </c>
      <c r="E515" s="11">
        <f>IF(MATCH_ENGINE!A515="","",MATCH_ENGINE!F515)</f>
        <v/>
      </c>
      <c r="F515" s="10">
        <f>IF(MATCH_ENGINE!A515="","",MATCH_ENGINE!I515)</f>
        <v/>
      </c>
      <c r="G515" s="16">
        <f>IF(MATCH_ENGINE!H515="","",IF(MATCH_ENGINE!F515="IN",MATCH_ENGINE!J515,""))</f>
        <v/>
      </c>
      <c r="H515" s="16">
        <f>IF(MATCH_ENGINE!H515="","",IF(MATCH_ENGINE!F515="OUT",MATCH_ENGINE!J515,""))</f>
        <v/>
      </c>
      <c r="I515" s="16">
        <f>IF(MATCH_ENGINE!H515="","",MATCH_ENGINE!J515)</f>
        <v/>
      </c>
      <c r="J515" s="12">
        <f>IF(MATCH_ENGINE!A515="","",MATCH_ENGINE!K515)</f>
        <v/>
      </c>
      <c r="K515" s="11">
        <f>IF(MATCH_ENGINE!A515="","",MATCH_ENGINE!L515)</f>
        <v/>
      </c>
      <c r="L515" s="17">
        <f>IF(MATCH_ENGINE!A515="","",MATCH_ENGINE!M515)</f>
        <v/>
      </c>
      <c r="M515" s="11">
        <f>IF(MATCH_ENGINE!A515="","",GL_CLEAN!F515)</f>
        <v/>
      </c>
      <c r="N515" s="11">
        <f>IF(MATCH_ENGINE!A515="","",GL_CLEAN!G515)</f>
        <v/>
      </c>
      <c r="O515" s="11">
        <f>IF(MATCH_ENGINE!H515="","",INDEX(BANK_CLEAN!$C$2:$C$1001,MATCH_ENGINE!H515))</f>
        <v/>
      </c>
      <c r="P515" s="11" t="inlineStr"/>
    </row>
    <row r="516">
      <c r="A516" s="11">
        <f>IF(MATCH_ENGINE!A516="","",MATCH_ENGINE!N516)</f>
        <v/>
      </c>
      <c r="B516" s="11">
        <f>IF(MATCH_ENGINE!A516="","",MATCH_ENGINE!C516)</f>
        <v/>
      </c>
      <c r="C516" s="10">
        <f>IF(MATCH_ENGINE!A516="","",MATCH_ENGINE!B516)</f>
        <v/>
      </c>
      <c r="D516" s="16">
        <f>IF(MATCH_ENGINE!A516="","",MATCH_ENGINE!D516)</f>
        <v/>
      </c>
      <c r="E516" s="11">
        <f>IF(MATCH_ENGINE!A516="","",MATCH_ENGINE!F516)</f>
        <v/>
      </c>
      <c r="F516" s="10">
        <f>IF(MATCH_ENGINE!A516="","",MATCH_ENGINE!I516)</f>
        <v/>
      </c>
      <c r="G516" s="16">
        <f>IF(MATCH_ENGINE!H516="","",IF(MATCH_ENGINE!F516="IN",MATCH_ENGINE!J516,""))</f>
        <v/>
      </c>
      <c r="H516" s="16">
        <f>IF(MATCH_ENGINE!H516="","",IF(MATCH_ENGINE!F516="OUT",MATCH_ENGINE!J516,""))</f>
        <v/>
      </c>
      <c r="I516" s="16">
        <f>IF(MATCH_ENGINE!H516="","",MATCH_ENGINE!J516)</f>
        <v/>
      </c>
      <c r="J516" s="12">
        <f>IF(MATCH_ENGINE!A516="","",MATCH_ENGINE!K516)</f>
        <v/>
      </c>
      <c r="K516" s="11">
        <f>IF(MATCH_ENGINE!A516="","",MATCH_ENGINE!L516)</f>
        <v/>
      </c>
      <c r="L516" s="17">
        <f>IF(MATCH_ENGINE!A516="","",MATCH_ENGINE!M516)</f>
        <v/>
      </c>
      <c r="M516" s="11">
        <f>IF(MATCH_ENGINE!A516="","",GL_CLEAN!F516)</f>
        <v/>
      </c>
      <c r="N516" s="11">
        <f>IF(MATCH_ENGINE!A516="","",GL_CLEAN!G516)</f>
        <v/>
      </c>
      <c r="O516" s="11">
        <f>IF(MATCH_ENGINE!H516="","",INDEX(BANK_CLEAN!$C$2:$C$1001,MATCH_ENGINE!H516))</f>
        <v/>
      </c>
      <c r="P516" s="11" t="inlineStr"/>
    </row>
    <row r="517">
      <c r="A517" s="11">
        <f>IF(MATCH_ENGINE!A517="","",MATCH_ENGINE!N517)</f>
        <v/>
      </c>
      <c r="B517" s="11">
        <f>IF(MATCH_ENGINE!A517="","",MATCH_ENGINE!C517)</f>
        <v/>
      </c>
      <c r="C517" s="10">
        <f>IF(MATCH_ENGINE!A517="","",MATCH_ENGINE!B517)</f>
        <v/>
      </c>
      <c r="D517" s="16">
        <f>IF(MATCH_ENGINE!A517="","",MATCH_ENGINE!D517)</f>
        <v/>
      </c>
      <c r="E517" s="11">
        <f>IF(MATCH_ENGINE!A517="","",MATCH_ENGINE!F517)</f>
        <v/>
      </c>
      <c r="F517" s="10">
        <f>IF(MATCH_ENGINE!A517="","",MATCH_ENGINE!I517)</f>
        <v/>
      </c>
      <c r="G517" s="16">
        <f>IF(MATCH_ENGINE!H517="","",IF(MATCH_ENGINE!F517="IN",MATCH_ENGINE!J517,""))</f>
        <v/>
      </c>
      <c r="H517" s="16">
        <f>IF(MATCH_ENGINE!H517="","",IF(MATCH_ENGINE!F517="OUT",MATCH_ENGINE!J517,""))</f>
        <v/>
      </c>
      <c r="I517" s="16">
        <f>IF(MATCH_ENGINE!H517="","",MATCH_ENGINE!J517)</f>
        <v/>
      </c>
      <c r="J517" s="12">
        <f>IF(MATCH_ENGINE!A517="","",MATCH_ENGINE!K517)</f>
        <v/>
      </c>
      <c r="K517" s="11">
        <f>IF(MATCH_ENGINE!A517="","",MATCH_ENGINE!L517)</f>
        <v/>
      </c>
      <c r="L517" s="17">
        <f>IF(MATCH_ENGINE!A517="","",MATCH_ENGINE!M517)</f>
        <v/>
      </c>
      <c r="M517" s="11">
        <f>IF(MATCH_ENGINE!A517="","",GL_CLEAN!F517)</f>
        <v/>
      </c>
      <c r="N517" s="11">
        <f>IF(MATCH_ENGINE!A517="","",GL_CLEAN!G517)</f>
        <v/>
      </c>
      <c r="O517" s="11">
        <f>IF(MATCH_ENGINE!H517="","",INDEX(BANK_CLEAN!$C$2:$C$1001,MATCH_ENGINE!H517))</f>
        <v/>
      </c>
      <c r="P517" s="11" t="inlineStr"/>
    </row>
    <row r="518">
      <c r="A518" s="11">
        <f>IF(MATCH_ENGINE!A518="","",MATCH_ENGINE!N518)</f>
        <v/>
      </c>
      <c r="B518" s="11">
        <f>IF(MATCH_ENGINE!A518="","",MATCH_ENGINE!C518)</f>
        <v/>
      </c>
      <c r="C518" s="10">
        <f>IF(MATCH_ENGINE!A518="","",MATCH_ENGINE!B518)</f>
        <v/>
      </c>
      <c r="D518" s="16">
        <f>IF(MATCH_ENGINE!A518="","",MATCH_ENGINE!D518)</f>
        <v/>
      </c>
      <c r="E518" s="11">
        <f>IF(MATCH_ENGINE!A518="","",MATCH_ENGINE!F518)</f>
        <v/>
      </c>
      <c r="F518" s="10">
        <f>IF(MATCH_ENGINE!A518="","",MATCH_ENGINE!I518)</f>
        <v/>
      </c>
      <c r="G518" s="16">
        <f>IF(MATCH_ENGINE!H518="","",IF(MATCH_ENGINE!F518="IN",MATCH_ENGINE!J518,""))</f>
        <v/>
      </c>
      <c r="H518" s="16">
        <f>IF(MATCH_ENGINE!H518="","",IF(MATCH_ENGINE!F518="OUT",MATCH_ENGINE!J518,""))</f>
        <v/>
      </c>
      <c r="I518" s="16">
        <f>IF(MATCH_ENGINE!H518="","",MATCH_ENGINE!J518)</f>
        <v/>
      </c>
      <c r="J518" s="12">
        <f>IF(MATCH_ENGINE!A518="","",MATCH_ENGINE!K518)</f>
        <v/>
      </c>
      <c r="K518" s="11">
        <f>IF(MATCH_ENGINE!A518="","",MATCH_ENGINE!L518)</f>
        <v/>
      </c>
      <c r="L518" s="17">
        <f>IF(MATCH_ENGINE!A518="","",MATCH_ENGINE!M518)</f>
        <v/>
      </c>
      <c r="M518" s="11">
        <f>IF(MATCH_ENGINE!A518="","",GL_CLEAN!F518)</f>
        <v/>
      </c>
      <c r="N518" s="11">
        <f>IF(MATCH_ENGINE!A518="","",GL_CLEAN!G518)</f>
        <v/>
      </c>
      <c r="O518" s="11">
        <f>IF(MATCH_ENGINE!H518="","",INDEX(BANK_CLEAN!$C$2:$C$1001,MATCH_ENGINE!H518))</f>
        <v/>
      </c>
      <c r="P518" s="11" t="inlineStr"/>
    </row>
    <row r="519">
      <c r="A519" s="11">
        <f>IF(MATCH_ENGINE!A519="","",MATCH_ENGINE!N519)</f>
        <v/>
      </c>
      <c r="B519" s="11">
        <f>IF(MATCH_ENGINE!A519="","",MATCH_ENGINE!C519)</f>
        <v/>
      </c>
      <c r="C519" s="10">
        <f>IF(MATCH_ENGINE!A519="","",MATCH_ENGINE!B519)</f>
        <v/>
      </c>
      <c r="D519" s="16">
        <f>IF(MATCH_ENGINE!A519="","",MATCH_ENGINE!D519)</f>
        <v/>
      </c>
      <c r="E519" s="11">
        <f>IF(MATCH_ENGINE!A519="","",MATCH_ENGINE!F519)</f>
        <v/>
      </c>
      <c r="F519" s="10">
        <f>IF(MATCH_ENGINE!A519="","",MATCH_ENGINE!I519)</f>
        <v/>
      </c>
      <c r="G519" s="16">
        <f>IF(MATCH_ENGINE!H519="","",IF(MATCH_ENGINE!F519="IN",MATCH_ENGINE!J519,""))</f>
        <v/>
      </c>
      <c r="H519" s="16">
        <f>IF(MATCH_ENGINE!H519="","",IF(MATCH_ENGINE!F519="OUT",MATCH_ENGINE!J519,""))</f>
        <v/>
      </c>
      <c r="I519" s="16">
        <f>IF(MATCH_ENGINE!H519="","",MATCH_ENGINE!J519)</f>
        <v/>
      </c>
      <c r="J519" s="12">
        <f>IF(MATCH_ENGINE!A519="","",MATCH_ENGINE!K519)</f>
        <v/>
      </c>
      <c r="K519" s="11">
        <f>IF(MATCH_ENGINE!A519="","",MATCH_ENGINE!L519)</f>
        <v/>
      </c>
      <c r="L519" s="17">
        <f>IF(MATCH_ENGINE!A519="","",MATCH_ENGINE!M519)</f>
        <v/>
      </c>
      <c r="M519" s="11">
        <f>IF(MATCH_ENGINE!A519="","",GL_CLEAN!F519)</f>
        <v/>
      </c>
      <c r="N519" s="11">
        <f>IF(MATCH_ENGINE!A519="","",GL_CLEAN!G519)</f>
        <v/>
      </c>
      <c r="O519" s="11">
        <f>IF(MATCH_ENGINE!H519="","",INDEX(BANK_CLEAN!$C$2:$C$1001,MATCH_ENGINE!H519))</f>
        <v/>
      </c>
      <c r="P519" s="11" t="inlineStr"/>
    </row>
    <row r="520">
      <c r="A520" s="11">
        <f>IF(MATCH_ENGINE!A520="","",MATCH_ENGINE!N520)</f>
        <v/>
      </c>
      <c r="B520" s="11">
        <f>IF(MATCH_ENGINE!A520="","",MATCH_ENGINE!C520)</f>
        <v/>
      </c>
      <c r="C520" s="10">
        <f>IF(MATCH_ENGINE!A520="","",MATCH_ENGINE!B520)</f>
        <v/>
      </c>
      <c r="D520" s="16">
        <f>IF(MATCH_ENGINE!A520="","",MATCH_ENGINE!D520)</f>
        <v/>
      </c>
      <c r="E520" s="11">
        <f>IF(MATCH_ENGINE!A520="","",MATCH_ENGINE!F520)</f>
        <v/>
      </c>
      <c r="F520" s="10">
        <f>IF(MATCH_ENGINE!A520="","",MATCH_ENGINE!I520)</f>
        <v/>
      </c>
      <c r="G520" s="16">
        <f>IF(MATCH_ENGINE!H520="","",IF(MATCH_ENGINE!F520="IN",MATCH_ENGINE!J520,""))</f>
        <v/>
      </c>
      <c r="H520" s="16">
        <f>IF(MATCH_ENGINE!H520="","",IF(MATCH_ENGINE!F520="OUT",MATCH_ENGINE!J520,""))</f>
        <v/>
      </c>
      <c r="I520" s="16">
        <f>IF(MATCH_ENGINE!H520="","",MATCH_ENGINE!J520)</f>
        <v/>
      </c>
      <c r="J520" s="12">
        <f>IF(MATCH_ENGINE!A520="","",MATCH_ENGINE!K520)</f>
        <v/>
      </c>
      <c r="K520" s="11">
        <f>IF(MATCH_ENGINE!A520="","",MATCH_ENGINE!L520)</f>
        <v/>
      </c>
      <c r="L520" s="17">
        <f>IF(MATCH_ENGINE!A520="","",MATCH_ENGINE!M520)</f>
        <v/>
      </c>
      <c r="M520" s="11">
        <f>IF(MATCH_ENGINE!A520="","",GL_CLEAN!F520)</f>
        <v/>
      </c>
      <c r="N520" s="11">
        <f>IF(MATCH_ENGINE!A520="","",GL_CLEAN!G520)</f>
        <v/>
      </c>
      <c r="O520" s="11">
        <f>IF(MATCH_ENGINE!H520="","",INDEX(BANK_CLEAN!$C$2:$C$1001,MATCH_ENGINE!H520))</f>
        <v/>
      </c>
      <c r="P520" s="11" t="inlineStr"/>
    </row>
    <row r="521">
      <c r="A521" s="11">
        <f>IF(MATCH_ENGINE!A521="","",MATCH_ENGINE!N521)</f>
        <v/>
      </c>
      <c r="B521" s="11">
        <f>IF(MATCH_ENGINE!A521="","",MATCH_ENGINE!C521)</f>
        <v/>
      </c>
      <c r="C521" s="10">
        <f>IF(MATCH_ENGINE!A521="","",MATCH_ENGINE!B521)</f>
        <v/>
      </c>
      <c r="D521" s="16">
        <f>IF(MATCH_ENGINE!A521="","",MATCH_ENGINE!D521)</f>
        <v/>
      </c>
      <c r="E521" s="11">
        <f>IF(MATCH_ENGINE!A521="","",MATCH_ENGINE!F521)</f>
        <v/>
      </c>
      <c r="F521" s="10">
        <f>IF(MATCH_ENGINE!A521="","",MATCH_ENGINE!I521)</f>
        <v/>
      </c>
      <c r="G521" s="16">
        <f>IF(MATCH_ENGINE!H521="","",IF(MATCH_ENGINE!F521="IN",MATCH_ENGINE!J521,""))</f>
        <v/>
      </c>
      <c r="H521" s="16">
        <f>IF(MATCH_ENGINE!H521="","",IF(MATCH_ENGINE!F521="OUT",MATCH_ENGINE!J521,""))</f>
        <v/>
      </c>
      <c r="I521" s="16">
        <f>IF(MATCH_ENGINE!H521="","",MATCH_ENGINE!J521)</f>
        <v/>
      </c>
      <c r="J521" s="12">
        <f>IF(MATCH_ENGINE!A521="","",MATCH_ENGINE!K521)</f>
        <v/>
      </c>
      <c r="K521" s="11">
        <f>IF(MATCH_ENGINE!A521="","",MATCH_ENGINE!L521)</f>
        <v/>
      </c>
      <c r="L521" s="17">
        <f>IF(MATCH_ENGINE!A521="","",MATCH_ENGINE!M521)</f>
        <v/>
      </c>
      <c r="M521" s="11">
        <f>IF(MATCH_ENGINE!A521="","",GL_CLEAN!F521)</f>
        <v/>
      </c>
      <c r="N521" s="11">
        <f>IF(MATCH_ENGINE!A521="","",GL_CLEAN!G521)</f>
        <v/>
      </c>
      <c r="O521" s="11">
        <f>IF(MATCH_ENGINE!H521="","",INDEX(BANK_CLEAN!$C$2:$C$1001,MATCH_ENGINE!H521))</f>
        <v/>
      </c>
      <c r="P521" s="11" t="inlineStr"/>
    </row>
    <row r="522">
      <c r="A522" s="11">
        <f>IF(MATCH_ENGINE!A522="","",MATCH_ENGINE!N522)</f>
        <v/>
      </c>
      <c r="B522" s="11">
        <f>IF(MATCH_ENGINE!A522="","",MATCH_ENGINE!C522)</f>
        <v/>
      </c>
      <c r="C522" s="10">
        <f>IF(MATCH_ENGINE!A522="","",MATCH_ENGINE!B522)</f>
        <v/>
      </c>
      <c r="D522" s="16">
        <f>IF(MATCH_ENGINE!A522="","",MATCH_ENGINE!D522)</f>
        <v/>
      </c>
      <c r="E522" s="11">
        <f>IF(MATCH_ENGINE!A522="","",MATCH_ENGINE!F522)</f>
        <v/>
      </c>
      <c r="F522" s="10">
        <f>IF(MATCH_ENGINE!A522="","",MATCH_ENGINE!I522)</f>
        <v/>
      </c>
      <c r="G522" s="16">
        <f>IF(MATCH_ENGINE!H522="","",IF(MATCH_ENGINE!F522="IN",MATCH_ENGINE!J522,""))</f>
        <v/>
      </c>
      <c r="H522" s="16">
        <f>IF(MATCH_ENGINE!H522="","",IF(MATCH_ENGINE!F522="OUT",MATCH_ENGINE!J522,""))</f>
        <v/>
      </c>
      <c r="I522" s="16">
        <f>IF(MATCH_ENGINE!H522="","",MATCH_ENGINE!J522)</f>
        <v/>
      </c>
      <c r="J522" s="12">
        <f>IF(MATCH_ENGINE!A522="","",MATCH_ENGINE!K522)</f>
        <v/>
      </c>
      <c r="K522" s="11">
        <f>IF(MATCH_ENGINE!A522="","",MATCH_ENGINE!L522)</f>
        <v/>
      </c>
      <c r="L522" s="17">
        <f>IF(MATCH_ENGINE!A522="","",MATCH_ENGINE!M522)</f>
        <v/>
      </c>
      <c r="M522" s="11">
        <f>IF(MATCH_ENGINE!A522="","",GL_CLEAN!F522)</f>
        <v/>
      </c>
      <c r="N522" s="11">
        <f>IF(MATCH_ENGINE!A522="","",GL_CLEAN!G522)</f>
        <v/>
      </c>
      <c r="O522" s="11">
        <f>IF(MATCH_ENGINE!H522="","",INDEX(BANK_CLEAN!$C$2:$C$1001,MATCH_ENGINE!H522))</f>
        <v/>
      </c>
      <c r="P522" s="11" t="inlineStr"/>
    </row>
    <row r="523">
      <c r="A523" s="11">
        <f>IF(MATCH_ENGINE!A523="","",MATCH_ENGINE!N523)</f>
        <v/>
      </c>
      <c r="B523" s="11">
        <f>IF(MATCH_ENGINE!A523="","",MATCH_ENGINE!C523)</f>
        <v/>
      </c>
      <c r="C523" s="10">
        <f>IF(MATCH_ENGINE!A523="","",MATCH_ENGINE!B523)</f>
        <v/>
      </c>
      <c r="D523" s="16">
        <f>IF(MATCH_ENGINE!A523="","",MATCH_ENGINE!D523)</f>
        <v/>
      </c>
      <c r="E523" s="11">
        <f>IF(MATCH_ENGINE!A523="","",MATCH_ENGINE!F523)</f>
        <v/>
      </c>
      <c r="F523" s="10">
        <f>IF(MATCH_ENGINE!A523="","",MATCH_ENGINE!I523)</f>
        <v/>
      </c>
      <c r="G523" s="16">
        <f>IF(MATCH_ENGINE!H523="","",IF(MATCH_ENGINE!F523="IN",MATCH_ENGINE!J523,""))</f>
        <v/>
      </c>
      <c r="H523" s="16">
        <f>IF(MATCH_ENGINE!H523="","",IF(MATCH_ENGINE!F523="OUT",MATCH_ENGINE!J523,""))</f>
        <v/>
      </c>
      <c r="I523" s="16">
        <f>IF(MATCH_ENGINE!H523="","",MATCH_ENGINE!J523)</f>
        <v/>
      </c>
      <c r="J523" s="12">
        <f>IF(MATCH_ENGINE!A523="","",MATCH_ENGINE!K523)</f>
        <v/>
      </c>
      <c r="K523" s="11">
        <f>IF(MATCH_ENGINE!A523="","",MATCH_ENGINE!L523)</f>
        <v/>
      </c>
      <c r="L523" s="17">
        <f>IF(MATCH_ENGINE!A523="","",MATCH_ENGINE!M523)</f>
        <v/>
      </c>
      <c r="M523" s="11">
        <f>IF(MATCH_ENGINE!A523="","",GL_CLEAN!F523)</f>
        <v/>
      </c>
      <c r="N523" s="11">
        <f>IF(MATCH_ENGINE!A523="","",GL_CLEAN!G523)</f>
        <v/>
      </c>
      <c r="O523" s="11">
        <f>IF(MATCH_ENGINE!H523="","",INDEX(BANK_CLEAN!$C$2:$C$1001,MATCH_ENGINE!H523))</f>
        <v/>
      </c>
      <c r="P523" s="11" t="inlineStr"/>
    </row>
    <row r="524">
      <c r="A524" s="11">
        <f>IF(MATCH_ENGINE!A524="","",MATCH_ENGINE!N524)</f>
        <v/>
      </c>
      <c r="B524" s="11">
        <f>IF(MATCH_ENGINE!A524="","",MATCH_ENGINE!C524)</f>
        <v/>
      </c>
      <c r="C524" s="10">
        <f>IF(MATCH_ENGINE!A524="","",MATCH_ENGINE!B524)</f>
        <v/>
      </c>
      <c r="D524" s="16">
        <f>IF(MATCH_ENGINE!A524="","",MATCH_ENGINE!D524)</f>
        <v/>
      </c>
      <c r="E524" s="11">
        <f>IF(MATCH_ENGINE!A524="","",MATCH_ENGINE!F524)</f>
        <v/>
      </c>
      <c r="F524" s="10">
        <f>IF(MATCH_ENGINE!A524="","",MATCH_ENGINE!I524)</f>
        <v/>
      </c>
      <c r="G524" s="16">
        <f>IF(MATCH_ENGINE!H524="","",IF(MATCH_ENGINE!F524="IN",MATCH_ENGINE!J524,""))</f>
        <v/>
      </c>
      <c r="H524" s="16">
        <f>IF(MATCH_ENGINE!H524="","",IF(MATCH_ENGINE!F524="OUT",MATCH_ENGINE!J524,""))</f>
        <v/>
      </c>
      <c r="I524" s="16">
        <f>IF(MATCH_ENGINE!H524="","",MATCH_ENGINE!J524)</f>
        <v/>
      </c>
      <c r="J524" s="12">
        <f>IF(MATCH_ENGINE!A524="","",MATCH_ENGINE!K524)</f>
        <v/>
      </c>
      <c r="K524" s="11">
        <f>IF(MATCH_ENGINE!A524="","",MATCH_ENGINE!L524)</f>
        <v/>
      </c>
      <c r="L524" s="17">
        <f>IF(MATCH_ENGINE!A524="","",MATCH_ENGINE!M524)</f>
        <v/>
      </c>
      <c r="M524" s="11">
        <f>IF(MATCH_ENGINE!A524="","",GL_CLEAN!F524)</f>
        <v/>
      </c>
      <c r="N524" s="11">
        <f>IF(MATCH_ENGINE!A524="","",GL_CLEAN!G524)</f>
        <v/>
      </c>
      <c r="O524" s="11">
        <f>IF(MATCH_ENGINE!H524="","",INDEX(BANK_CLEAN!$C$2:$C$1001,MATCH_ENGINE!H524))</f>
        <v/>
      </c>
      <c r="P524" s="11" t="inlineStr"/>
    </row>
    <row r="525">
      <c r="A525" s="11">
        <f>IF(MATCH_ENGINE!A525="","",MATCH_ENGINE!N525)</f>
        <v/>
      </c>
      <c r="B525" s="11">
        <f>IF(MATCH_ENGINE!A525="","",MATCH_ENGINE!C525)</f>
        <v/>
      </c>
      <c r="C525" s="10">
        <f>IF(MATCH_ENGINE!A525="","",MATCH_ENGINE!B525)</f>
        <v/>
      </c>
      <c r="D525" s="16">
        <f>IF(MATCH_ENGINE!A525="","",MATCH_ENGINE!D525)</f>
        <v/>
      </c>
      <c r="E525" s="11">
        <f>IF(MATCH_ENGINE!A525="","",MATCH_ENGINE!F525)</f>
        <v/>
      </c>
      <c r="F525" s="10">
        <f>IF(MATCH_ENGINE!A525="","",MATCH_ENGINE!I525)</f>
        <v/>
      </c>
      <c r="G525" s="16">
        <f>IF(MATCH_ENGINE!H525="","",IF(MATCH_ENGINE!F525="IN",MATCH_ENGINE!J525,""))</f>
        <v/>
      </c>
      <c r="H525" s="16">
        <f>IF(MATCH_ENGINE!H525="","",IF(MATCH_ENGINE!F525="OUT",MATCH_ENGINE!J525,""))</f>
        <v/>
      </c>
      <c r="I525" s="16">
        <f>IF(MATCH_ENGINE!H525="","",MATCH_ENGINE!J525)</f>
        <v/>
      </c>
      <c r="J525" s="12">
        <f>IF(MATCH_ENGINE!A525="","",MATCH_ENGINE!K525)</f>
        <v/>
      </c>
      <c r="K525" s="11">
        <f>IF(MATCH_ENGINE!A525="","",MATCH_ENGINE!L525)</f>
        <v/>
      </c>
      <c r="L525" s="17">
        <f>IF(MATCH_ENGINE!A525="","",MATCH_ENGINE!M525)</f>
        <v/>
      </c>
      <c r="M525" s="11">
        <f>IF(MATCH_ENGINE!A525="","",GL_CLEAN!F525)</f>
        <v/>
      </c>
      <c r="N525" s="11">
        <f>IF(MATCH_ENGINE!A525="","",GL_CLEAN!G525)</f>
        <v/>
      </c>
      <c r="O525" s="11">
        <f>IF(MATCH_ENGINE!H525="","",INDEX(BANK_CLEAN!$C$2:$C$1001,MATCH_ENGINE!H525))</f>
        <v/>
      </c>
      <c r="P525" s="11" t="inlineStr"/>
    </row>
    <row r="526">
      <c r="A526" s="11">
        <f>IF(MATCH_ENGINE!A526="","",MATCH_ENGINE!N526)</f>
        <v/>
      </c>
      <c r="B526" s="11">
        <f>IF(MATCH_ENGINE!A526="","",MATCH_ENGINE!C526)</f>
        <v/>
      </c>
      <c r="C526" s="10">
        <f>IF(MATCH_ENGINE!A526="","",MATCH_ENGINE!B526)</f>
        <v/>
      </c>
      <c r="D526" s="16">
        <f>IF(MATCH_ENGINE!A526="","",MATCH_ENGINE!D526)</f>
        <v/>
      </c>
      <c r="E526" s="11">
        <f>IF(MATCH_ENGINE!A526="","",MATCH_ENGINE!F526)</f>
        <v/>
      </c>
      <c r="F526" s="10">
        <f>IF(MATCH_ENGINE!A526="","",MATCH_ENGINE!I526)</f>
        <v/>
      </c>
      <c r="G526" s="16">
        <f>IF(MATCH_ENGINE!H526="","",IF(MATCH_ENGINE!F526="IN",MATCH_ENGINE!J526,""))</f>
        <v/>
      </c>
      <c r="H526" s="16">
        <f>IF(MATCH_ENGINE!H526="","",IF(MATCH_ENGINE!F526="OUT",MATCH_ENGINE!J526,""))</f>
        <v/>
      </c>
      <c r="I526" s="16">
        <f>IF(MATCH_ENGINE!H526="","",MATCH_ENGINE!J526)</f>
        <v/>
      </c>
      <c r="J526" s="12">
        <f>IF(MATCH_ENGINE!A526="","",MATCH_ENGINE!K526)</f>
        <v/>
      </c>
      <c r="K526" s="11">
        <f>IF(MATCH_ENGINE!A526="","",MATCH_ENGINE!L526)</f>
        <v/>
      </c>
      <c r="L526" s="17">
        <f>IF(MATCH_ENGINE!A526="","",MATCH_ENGINE!M526)</f>
        <v/>
      </c>
      <c r="M526" s="11">
        <f>IF(MATCH_ENGINE!A526="","",GL_CLEAN!F526)</f>
        <v/>
      </c>
      <c r="N526" s="11">
        <f>IF(MATCH_ENGINE!A526="","",GL_CLEAN!G526)</f>
        <v/>
      </c>
      <c r="O526" s="11">
        <f>IF(MATCH_ENGINE!H526="","",INDEX(BANK_CLEAN!$C$2:$C$1001,MATCH_ENGINE!H526))</f>
        <v/>
      </c>
      <c r="P526" s="11" t="inlineStr"/>
    </row>
    <row r="527">
      <c r="A527" s="11">
        <f>IF(MATCH_ENGINE!A527="","",MATCH_ENGINE!N527)</f>
        <v/>
      </c>
      <c r="B527" s="11">
        <f>IF(MATCH_ENGINE!A527="","",MATCH_ENGINE!C527)</f>
        <v/>
      </c>
      <c r="C527" s="10">
        <f>IF(MATCH_ENGINE!A527="","",MATCH_ENGINE!B527)</f>
        <v/>
      </c>
      <c r="D527" s="16">
        <f>IF(MATCH_ENGINE!A527="","",MATCH_ENGINE!D527)</f>
        <v/>
      </c>
      <c r="E527" s="11">
        <f>IF(MATCH_ENGINE!A527="","",MATCH_ENGINE!F527)</f>
        <v/>
      </c>
      <c r="F527" s="10">
        <f>IF(MATCH_ENGINE!A527="","",MATCH_ENGINE!I527)</f>
        <v/>
      </c>
      <c r="G527" s="16">
        <f>IF(MATCH_ENGINE!H527="","",IF(MATCH_ENGINE!F527="IN",MATCH_ENGINE!J527,""))</f>
        <v/>
      </c>
      <c r="H527" s="16">
        <f>IF(MATCH_ENGINE!H527="","",IF(MATCH_ENGINE!F527="OUT",MATCH_ENGINE!J527,""))</f>
        <v/>
      </c>
      <c r="I527" s="16">
        <f>IF(MATCH_ENGINE!H527="","",MATCH_ENGINE!J527)</f>
        <v/>
      </c>
      <c r="J527" s="12">
        <f>IF(MATCH_ENGINE!A527="","",MATCH_ENGINE!K527)</f>
        <v/>
      </c>
      <c r="K527" s="11">
        <f>IF(MATCH_ENGINE!A527="","",MATCH_ENGINE!L527)</f>
        <v/>
      </c>
      <c r="L527" s="17">
        <f>IF(MATCH_ENGINE!A527="","",MATCH_ENGINE!M527)</f>
        <v/>
      </c>
      <c r="M527" s="11">
        <f>IF(MATCH_ENGINE!A527="","",GL_CLEAN!F527)</f>
        <v/>
      </c>
      <c r="N527" s="11">
        <f>IF(MATCH_ENGINE!A527="","",GL_CLEAN!G527)</f>
        <v/>
      </c>
      <c r="O527" s="11">
        <f>IF(MATCH_ENGINE!H527="","",INDEX(BANK_CLEAN!$C$2:$C$1001,MATCH_ENGINE!H527))</f>
        <v/>
      </c>
      <c r="P527" s="11" t="inlineStr"/>
    </row>
    <row r="528">
      <c r="A528" s="11">
        <f>IF(MATCH_ENGINE!A528="","",MATCH_ENGINE!N528)</f>
        <v/>
      </c>
      <c r="B528" s="11">
        <f>IF(MATCH_ENGINE!A528="","",MATCH_ENGINE!C528)</f>
        <v/>
      </c>
      <c r="C528" s="10">
        <f>IF(MATCH_ENGINE!A528="","",MATCH_ENGINE!B528)</f>
        <v/>
      </c>
      <c r="D528" s="16">
        <f>IF(MATCH_ENGINE!A528="","",MATCH_ENGINE!D528)</f>
        <v/>
      </c>
      <c r="E528" s="11">
        <f>IF(MATCH_ENGINE!A528="","",MATCH_ENGINE!F528)</f>
        <v/>
      </c>
      <c r="F528" s="10">
        <f>IF(MATCH_ENGINE!A528="","",MATCH_ENGINE!I528)</f>
        <v/>
      </c>
      <c r="G528" s="16">
        <f>IF(MATCH_ENGINE!H528="","",IF(MATCH_ENGINE!F528="IN",MATCH_ENGINE!J528,""))</f>
        <v/>
      </c>
      <c r="H528" s="16">
        <f>IF(MATCH_ENGINE!H528="","",IF(MATCH_ENGINE!F528="OUT",MATCH_ENGINE!J528,""))</f>
        <v/>
      </c>
      <c r="I528" s="16">
        <f>IF(MATCH_ENGINE!H528="","",MATCH_ENGINE!J528)</f>
        <v/>
      </c>
      <c r="J528" s="12">
        <f>IF(MATCH_ENGINE!A528="","",MATCH_ENGINE!K528)</f>
        <v/>
      </c>
      <c r="K528" s="11">
        <f>IF(MATCH_ENGINE!A528="","",MATCH_ENGINE!L528)</f>
        <v/>
      </c>
      <c r="L528" s="17">
        <f>IF(MATCH_ENGINE!A528="","",MATCH_ENGINE!M528)</f>
        <v/>
      </c>
      <c r="M528" s="11">
        <f>IF(MATCH_ENGINE!A528="","",GL_CLEAN!F528)</f>
        <v/>
      </c>
      <c r="N528" s="11">
        <f>IF(MATCH_ENGINE!A528="","",GL_CLEAN!G528)</f>
        <v/>
      </c>
      <c r="O528" s="11">
        <f>IF(MATCH_ENGINE!H528="","",INDEX(BANK_CLEAN!$C$2:$C$1001,MATCH_ENGINE!H528))</f>
        <v/>
      </c>
      <c r="P528" s="11" t="inlineStr"/>
    </row>
    <row r="529">
      <c r="A529" s="11">
        <f>IF(MATCH_ENGINE!A529="","",MATCH_ENGINE!N529)</f>
        <v/>
      </c>
      <c r="B529" s="11">
        <f>IF(MATCH_ENGINE!A529="","",MATCH_ENGINE!C529)</f>
        <v/>
      </c>
      <c r="C529" s="10">
        <f>IF(MATCH_ENGINE!A529="","",MATCH_ENGINE!B529)</f>
        <v/>
      </c>
      <c r="D529" s="16">
        <f>IF(MATCH_ENGINE!A529="","",MATCH_ENGINE!D529)</f>
        <v/>
      </c>
      <c r="E529" s="11">
        <f>IF(MATCH_ENGINE!A529="","",MATCH_ENGINE!F529)</f>
        <v/>
      </c>
      <c r="F529" s="10">
        <f>IF(MATCH_ENGINE!A529="","",MATCH_ENGINE!I529)</f>
        <v/>
      </c>
      <c r="G529" s="16">
        <f>IF(MATCH_ENGINE!H529="","",IF(MATCH_ENGINE!F529="IN",MATCH_ENGINE!J529,""))</f>
        <v/>
      </c>
      <c r="H529" s="16">
        <f>IF(MATCH_ENGINE!H529="","",IF(MATCH_ENGINE!F529="OUT",MATCH_ENGINE!J529,""))</f>
        <v/>
      </c>
      <c r="I529" s="16">
        <f>IF(MATCH_ENGINE!H529="","",MATCH_ENGINE!J529)</f>
        <v/>
      </c>
      <c r="J529" s="12">
        <f>IF(MATCH_ENGINE!A529="","",MATCH_ENGINE!K529)</f>
        <v/>
      </c>
      <c r="K529" s="11">
        <f>IF(MATCH_ENGINE!A529="","",MATCH_ENGINE!L529)</f>
        <v/>
      </c>
      <c r="L529" s="17">
        <f>IF(MATCH_ENGINE!A529="","",MATCH_ENGINE!M529)</f>
        <v/>
      </c>
      <c r="M529" s="11">
        <f>IF(MATCH_ENGINE!A529="","",GL_CLEAN!F529)</f>
        <v/>
      </c>
      <c r="N529" s="11">
        <f>IF(MATCH_ENGINE!A529="","",GL_CLEAN!G529)</f>
        <v/>
      </c>
      <c r="O529" s="11">
        <f>IF(MATCH_ENGINE!H529="","",INDEX(BANK_CLEAN!$C$2:$C$1001,MATCH_ENGINE!H529))</f>
        <v/>
      </c>
      <c r="P529" s="11" t="inlineStr"/>
    </row>
    <row r="530">
      <c r="A530" s="11">
        <f>IF(MATCH_ENGINE!A530="","",MATCH_ENGINE!N530)</f>
        <v/>
      </c>
      <c r="B530" s="11">
        <f>IF(MATCH_ENGINE!A530="","",MATCH_ENGINE!C530)</f>
        <v/>
      </c>
      <c r="C530" s="10">
        <f>IF(MATCH_ENGINE!A530="","",MATCH_ENGINE!B530)</f>
        <v/>
      </c>
      <c r="D530" s="16">
        <f>IF(MATCH_ENGINE!A530="","",MATCH_ENGINE!D530)</f>
        <v/>
      </c>
      <c r="E530" s="11">
        <f>IF(MATCH_ENGINE!A530="","",MATCH_ENGINE!F530)</f>
        <v/>
      </c>
      <c r="F530" s="10">
        <f>IF(MATCH_ENGINE!A530="","",MATCH_ENGINE!I530)</f>
        <v/>
      </c>
      <c r="G530" s="16">
        <f>IF(MATCH_ENGINE!H530="","",IF(MATCH_ENGINE!F530="IN",MATCH_ENGINE!J530,""))</f>
        <v/>
      </c>
      <c r="H530" s="16">
        <f>IF(MATCH_ENGINE!H530="","",IF(MATCH_ENGINE!F530="OUT",MATCH_ENGINE!J530,""))</f>
        <v/>
      </c>
      <c r="I530" s="16">
        <f>IF(MATCH_ENGINE!H530="","",MATCH_ENGINE!J530)</f>
        <v/>
      </c>
      <c r="J530" s="12">
        <f>IF(MATCH_ENGINE!A530="","",MATCH_ENGINE!K530)</f>
        <v/>
      </c>
      <c r="K530" s="11">
        <f>IF(MATCH_ENGINE!A530="","",MATCH_ENGINE!L530)</f>
        <v/>
      </c>
      <c r="L530" s="17">
        <f>IF(MATCH_ENGINE!A530="","",MATCH_ENGINE!M530)</f>
        <v/>
      </c>
      <c r="M530" s="11">
        <f>IF(MATCH_ENGINE!A530="","",GL_CLEAN!F530)</f>
        <v/>
      </c>
      <c r="N530" s="11">
        <f>IF(MATCH_ENGINE!A530="","",GL_CLEAN!G530)</f>
        <v/>
      </c>
      <c r="O530" s="11">
        <f>IF(MATCH_ENGINE!H530="","",INDEX(BANK_CLEAN!$C$2:$C$1001,MATCH_ENGINE!H530))</f>
        <v/>
      </c>
      <c r="P530" s="11" t="inlineStr"/>
    </row>
    <row r="531">
      <c r="A531" s="11">
        <f>IF(MATCH_ENGINE!A531="","",MATCH_ENGINE!N531)</f>
        <v/>
      </c>
      <c r="B531" s="11">
        <f>IF(MATCH_ENGINE!A531="","",MATCH_ENGINE!C531)</f>
        <v/>
      </c>
      <c r="C531" s="10">
        <f>IF(MATCH_ENGINE!A531="","",MATCH_ENGINE!B531)</f>
        <v/>
      </c>
      <c r="D531" s="16">
        <f>IF(MATCH_ENGINE!A531="","",MATCH_ENGINE!D531)</f>
        <v/>
      </c>
      <c r="E531" s="11">
        <f>IF(MATCH_ENGINE!A531="","",MATCH_ENGINE!F531)</f>
        <v/>
      </c>
      <c r="F531" s="10">
        <f>IF(MATCH_ENGINE!A531="","",MATCH_ENGINE!I531)</f>
        <v/>
      </c>
      <c r="G531" s="16">
        <f>IF(MATCH_ENGINE!H531="","",IF(MATCH_ENGINE!F531="IN",MATCH_ENGINE!J531,""))</f>
        <v/>
      </c>
      <c r="H531" s="16">
        <f>IF(MATCH_ENGINE!H531="","",IF(MATCH_ENGINE!F531="OUT",MATCH_ENGINE!J531,""))</f>
        <v/>
      </c>
      <c r="I531" s="16">
        <f>IF(MATCH_ENGINE!H531="","",MATCH_ENGINE!J531)</f>
        <v/>
      </c>
      <c r="J531" s="12">
        <f>IF(MATCH_ENGINE!A531="","",MATCH_ENGINE!K531)</f>
        <v/>
      </c>
      <c r="K531" s="11">
        <f>IF(MATCH_ENGINE!A531="","",MATCH_ENGINE!L531)</f>
        <v/>
      </c>
      <c r="L531" s="17">
        <f>IF(MATCH_ENGINE!A531="","",MATCH_ENGINE!M531)</f>
        <v/>
      </c>
      <c r="M531" s="11">
        <f>IF(MATCH_ENGINE!A531="","",GL_CLEAN!F531)</f>
        <v/>
      </c>
      <c r="N531" s="11">
        <f>IF(MATCH_ENGINE!A531="","",GL_CLEAN!G531)</f>
        <v/>
      </c>
      <c r="O531" s="11">
        <f>IF(MATCH_ENGINE!H531="","",INDEX(BANK_CLEAN!$C$2:$C$1001,MATCH_ENGINE!H531))</f>
        <v/>
      </c>
      <c r="P531" s="11" t="inlineStr"/>
    </row>
    <row r="532">
      <c r="A532" s="11">
        <f>IF(MATCH_ENGINE!A532="","",MATCH_ENGINE!N532)</f>
        <v/>
      </c>
      <c r="B532" s="11">
        <f>IF(MATCH_ENGINE!A532="","",MATCH_ENGINE!C532)</f>
        <v/>
      </c>
      <c r="C532" s="10">
        <f>IF(MATCH_ENGINE!A532="","",MATCH_ENGINE!B532)</f>
        <v/>
      </c>
      <c r="D532" s="16">
        <f>IF(MATCH_ENGINE!A532="","",MATCH_ENGINE!D532)</f>
        <v/>
      </c>
      <c r="E532" s="11">
        <f>IF(MATCH_ENGINE!A532="","",MATCH_ENGINE!F532)</f>
        <v/>
      </c>
      <c r="F532" s="10">
        <f>IF(MATCH_ENGINE!A532="","",MATCH_ENGINE!I532)</f>
        <v/>
      </c>
      <c r="G532" s="16">
        <f>IF(MATCH_ENGINE!H532="","",IF(MATCH_ENGINE!F532="IN",MATCH_ENGINE!J532,""))</f>
        <v/>
      </c>
      <c r="H532" s="16">
        <f>IF(MATCH_ENGINE!H532="","",IF(MATCH_ENGINE!F532="OUT",MATCH_ENGINE!J532,""))</f>
        <v/>
      </c>
      <c r="I532" s="16">
        <f>IF(MATCH_ENGINE!H532="","",MATCH_ENGINE!J532)</f>
        <v/>
      </c>
      <c r="J532" s="12">
        <f>IF(MATCH_ENGINE!A532="","",MATCH_ENGINE!K532)</f>
        <v/>
      </c>
      <c r="K532" s="11">
        <f>IF(MATCH_ENGINE!A532="","",MATCH_ENGINE!L532)</f>
        <v/>
      </c>
      <c r="L532" s="17">
        <f>IF(MATCH_ENGINE!A532="","",MATCH_ENGINE!M532)</f>
        <v/>
      </c>
      <c r="M532" s="11">
        <f>IF(MATCH_ENGINE!A532="","",GL_CLEAN!F532)</f>
        <v/>
      </c>
      <c r="N532" s="11">
        <f>IF(MATCH_ENGINE!A532="","",GL_CLEAN!G532)</f>
        <v/>
      </c>
      <c r="O532" s="11">
        <f>IF(MATCH_ENGINE!H532="","",INDEX(BANK_CLEAN!$C$2:$C$1001,MATCH_ENGINE!H532))</f>
        <v/>
      </c>
      <c r="P532" s="11" t="inlineStr"/>
    </row>
    <row r="533">
      <c r="A533" s="11">
        <f>IF(MATCH_ENGINE!A533="","",MATCH_ENGINE!N533)</f>
        <v/>
      </c>
      <c r="B533" s="11">
        <f>IF(MATCH_ENGINE!A533="","",MATCH_ENGINE!C533)</f>
        <v/>
      </c>
      <c r="C533" s="10">
        <f>IF(MATCH_ENGINE!A533="","",MATCH_ENGINE!B533)</f>
        <v/>
      </c>
      <c r="D533" s="16">
        <f>IF(MATCH_ENGINE!A533="","",MATCH_ENGINE!D533)</f>
        <v/>
      </c>
      <c r="E533" s="11">
        <f>IF(MATCH_ENGINE!A533="","",MATCH_ENGINE!F533)</f>
        <v/>
      </c>
      <c r="F533" s="10">
        <f>IF(MATCH_ENGINE!A533="","",MATCH_ENGINE!I533)</f>
        <v/>
      </c>
      <c r="G533" s="16">
        <f>IF(MATCH_ENGINE!H533="","",IF(MATCH_ENGINE!F533="IN",MATCH_ENGINE!J533,""))</f>
        <v/>
      </c>
      <c r="H533" s="16">
        <f>IF(MATCH_ENGINE!H533="","",IF(MATCH_ENGINE!F533="OUT",MATCH_ENGINE!J533,""))</f>
        <v/>
      </c>
      <c r="I533" s="16">
        <f>IF(MATCH_ENGINE!H533="","",MATCH_ENGINE!J533)</f>
        <v/>
      </c>
      <c r="J533" s="12">
        <f>IF(MATCH_ENGINE!A533="","",MATCH_ENGINE!K533)</f>
        <v/>
      </c>
      <c r="K533" s="11">
        <f>IF(MATCH_ENGINE!A533="","",MATCH_ENGINE!L533)</f>
        <v/>
      </c>
      <c r="L533" s="17">
        <f>IF(MATCH_ENGINE!A533="","",MATCH_ENGINE!M533)</f>
        <v/>
      </c>
      <c r="M533" s="11">
        <f>IF(MATCH_ENGINE!A533="","",GL_CLEAN!F533)</f>
        <v/>
      </c>
      <c r="N533" s="11">
        <f>IF(MATCH_ENGINE!A533="","",GL_CLEAN!G533)</f>
        <v/>
      </c>
      <c r="O533" s="11">
        <f>IF(MATCH_ENGINE!H533="","",INDEX(BANK_CLEAN!$C$2:$C$1001,MATCH_ENGINE!H533))</f>
        <v/>
      </c>
      <c r="P533" s="11" t="inlineStr"/>
    </row>
    <row r="534">
      <c r="A534" s="11">
        <f>IF(MATCH_ENGINE!A534="","",MATCH_ENGINE!N534)</f>
        <v/>
      </c>
      <c r="B534" s="11">
        <f>IF(MATCH_ENGINE!A534="","",MATCH_ENGINE!C534)</f>
        <v/>
      </c>
      <c r="C534" s="10">
        <f>IF(MATCH_ENGINE!A534="","",MATCH_ENGINE!B534)</f>
        <v/>
      </c>
      <c r="D534" s="16">
        <f>IF(MATCH_ENGINE!A534="","",MATCH_ENGINE!D534)</f>
        <v/>
      </c>
      <c r="E534" s="11">
        <f>IF(MATCH_ENGINE!A534="","",MATCH_ENGINE!F534)</f>
        <v/>
      </c>
      <c r="F534" s="10">
        <f>IF(MATCH_ENGINE!A534="","",MATCH_ENGINE!I534)</f>
        <v/>
      </c>
      <c r="G534" s="16">
        <f>IF(MATCH_ENGINE!H534="","",IF(MATCH_ENGINE!F534="IN",MATCH_ENGINE!J534,""))</f>
        <v/>
      </c>
      <c r="H534" s="16">
        <f>IF(MATCH_ENGINE!H534="","",IF(MATCH_ENGINE!F534="OUT",MATCH_ENGINE!J534,""))</f>
        <v/>
      </c>
      <c r="I534" s="16">
        <f>IF(MATCH_ENGINE!H534="","",MATCH_ENGINE!J534)</f>
        <v/>
      </c>
      <c r="J534" s="12">
        <f>IF(MATCH_ENGINE!A534="","",MATCH_ENGINE!K534)</f>
        <v/>
      </c>
      <c r="K534" s="11">
        <f>IF(MATCH_ENGINE!A534="","",MATCH_ENGINE!L534)</f>
        <v/>
      </c>
      <c r="L534" s="17">
        <f>IF(MATCH_ENGINE!A534="","",MATCH_ENGINE!M534)</f>
        <v/>
      </c>
      <c r="M534" s="11">
        <f>IF(MATCH_ENGINE!A534="","",GL_CLEAN!F534)</f>
        <v/>
      </c>
      <c r="N534" s="11">
        <f>IF(MATCH_ENGINE!A534="","",GL_CLEAN!G534)</f>
        <v/>
      </c>
      <c r="O534" s="11">
        <f>IF(MATCH_ENGINE!H534="","",INDEX(BANK_CLEAN!$C$2:$C$1001,MATCH_ENGINE!H534))</f>
        <v/>
      </c>
      <c r="P534" s="11" t="inlineStr"/>
    </row>
    <row r="535">
      <c r="A535" s="11">
        <f>IF(MATCH_ENGINE!A535="","",MATCH_ENGINE!N535)</f>
        <v/>
      </c>
      <c r="B535" s="11">
        <f>IF(MATCH_ENGINE!A535="","",MATCH_ENGINE!C535)</f>
        <v/>
      </c>
      <c r="C535" s="10">
        <f>IF(MATCH_ENGINE!A535="","",MATCH_ENGINE!B535)</f>
        <v/>
      </c>
      <c r="D535" s="16">
        <f>IF(MATCH_ENGINE!A535="","",MATCH_ENGINE!D535)</f>
        <v/>
      </c>
      <c r="E535" s="11">
        <f>IF(MATCH_ENGINE!A535="","",MATCH_ENGINE!F535)</f>
        <v/>
      </c>
      <c r="F535" s="10">
        <f>IF(MATCH_ENGINE!A535="","",MATCH_ENGINE!I535)</f>
        <v/>
      </c>
      <c r="G535" s="16">
        <f>IF(MATCH_ENGINE!H535="","",IF(MATCH_ENGINE!F535="IN",MATCH_ENGINE!J535,""))</f>
        <v/>
      </c>
      <c r="H535" s="16">
        <f>IF(MATCH_ENGINE!H535="","",IF(MATCH_ENGINE!F535="OUT",MATCH_ENGINE!J535,""))</f>
        <v/>
      </c>
      <c r="I535" s="16">
        <f>IF(MATCH_ENGINE!H535="","",MATCH_ENGINE!J535)</f>
        <v/>
      </c>
      <c r="J535" s="12">
        <f>IF(MATCH_ENGINE!A535="","",MATCH_ENGINE!K535)</f>
        <v/>
      </c>
      <c r="K535" s="11">
        <f>IF(MATCH_ENGINE!A535="","",MATCH_ENGINE!L535)</f>
        <v/>
      </c>
      <c r="L535" s="17">
        <f>IF(MATCH_ENGINE!A535="","",MATCH_ENGINE!M535)</f>
        <v/>
      </c>
      <c r="M535" s="11">
        <f>IF(MATCH_ENGINE!A535="","",GL_CLEAN!F535)</f>
        <v/>
      </c>
      <c r="N535" s="11">
        <f>IF(MATCH_ENGINE!A535="","",GL_CLEAN!G535)</f>
        <v/>
      </c>
      <c r="O535" s="11">
        <f>IF(MATCH_ENGINE!H535="","",INDEX(BANK_CLEAN!$C$2:$C$1001,MATCH_ENGINE!H535))</f>
        <v/>
      </c>
      <c r="P535" s="11" t="inlineStr"/>
    </row>
    <row r="536">
      <c r="A536" s="11">
        <f>IF(MATCH_ENGINE!A536="","",MATCH_ENGINE!N536)</f>
        <v/>
      </c>
      <c r="B536" s="11">
        <f>IF(MATCH_ENGINE!A536="","",MATCH_ENGINE!C536)</f>
        <v/>
      </c>
      <c r="C536" s="10">
        <f>IF(MATCH_ENGINE!A536="","",MATCH_ENGINE!B536)</f>
        <v/>
      </c>
      <c r="D536" s="16">
        <f>IF(MATCH_ENGINE!A536="","",MATCH_ENGINE!D536)</f>
        <v/>
      </c>
      <c r="E536" s="11">
        <f>IF(MATCH_ENGINE!A536="","",MATCH_ENGINE!F536)</f>
        <v/>
      </c>
      <c r="F536" s="10">
        <f>IF(MATCH_ENGINE!A536="","",MATCH_ENGINE!I536)</f>
        <v/>
      </c>
      <c r="G536" s="16">
        <f>IF(MATCH_ENGINE!H536="","",IF(MATCH_ENGINE!F536="IN",MATCH_ENGINE!J536,""))</f>
        <v/>
      </c>
      <c r="H536" s="16">
        <f>IF(MATCH_ENGINE!H536="","",IF(MATCH_ENGINE!F536="OUT",MATCH_ENGINE!J536,""))</f>
        <v/>
      </c>
      <c r="I536" s="16">
        <f>IF(MATCH_ENGINE!H536="","",MATCH_ENGINE!J536)</f>
        <v/>
      </c>
      <c r="J536" s="12">
        <f>IF(MATCH_ENGINE!A536="","",MATCH_ENGINE!K536)</f>
        <v/>
      </c>
      <c r="K536" s="11">
        <f>IF(MATCH_ENGINE!A536="","",MATCH_ENGINE!L536)</f>
        <v/>
      </c>
      <c r="L536" s="17">
        <f>IF(MATCH_ENGINE!A536="","",MATCH_ENGINE!M536)</f>
        <v/>
      </c>
      <c r="M536" s="11">
        <f>IF(MATCH_ENGINE!A536="","",GL_CLEAN!F536)</f>
        <v/>
      </c>
      <c r="N536" s="11">
        <f>IF(MATCH_ENGINE!A536="","",GL_CLEAN!G536)</f>
        <v/>
      </c>
      <c r="O536" s="11">
        <f>IF(MATCH_ENGINE!H536="","",INDEX(BANK_CLEAN!$C$2:$C$1001,MATCH_ENGINE!H536))</f>
        <v/>
      </c>
      <c r="P536" s="11" t="inlineStr"/>
    </row>
    <row r="537">
      <c r="A537" s="11">
        <f>IF(MATCH_ENGINE!A537="","",MATCH_ENGINE!N537)</f>
        <v/>
      </c>
      <c r="B537" s="11">
        <f>IF(MATCH_ENGINE!A537="","",MATCH_ENGINE!C537)</f>
        <v/>
      </c>
      <c r="C537" s="10">
        <f>IF(MATCH_ENGINE!A537="","",MATCH_ENGINE!B537)</f>
        <v/>
      </c>
      <c r="D537" s="16">
        <f>IF(MATCH_ENGINE!A537="","",MATCH_ENGINE!D537)</f>
        <v/>
      </c>
      <c r="E537" s="11">
        <f>IF(MATCH_ENGINE!A537="","",MATCH_ENGINE!F537)</f>
        <v/>
      </c>
      <c r="F537" s="10">
        <f>IF(MATCH_ENGINE!A537="","",MATCH_ENGINE!I537)</f>
        <v/>
      </c>
      <c r="G537" s="16">
        <f>IF(MATCH_ENGINE!H537="","",IF(MATCH_ENGINE!F537="IN",MATCH_ENGINE!J537,""))</f>
        <v/>
      </c>
      <c r="H537" s="16">
        <f>IF(MATCH_ENGINE!H537="","",IF(MATCH_ENGINE!F537="OUT",MATCH_ENGINE!J537,""))</f>
        <v/>
      </c>
      <c r="I537" s="16">
        <f>IF(MATCH_ENGINE!H537="","",MATCH_ENGINE!J537)</f>
        <v/>
      </c>
      <c r="J537" s="12">
        <f>IF(MATCH_ENGINE!A537="","",MATCH_ENGINE!K537)</f>
        <v/>
      </c>
      <c r="K537" s="11">
        <f>IF(MATCH_ENGINE!A537="","",MATCH_ENGINE!L537)</f>
        <v/>
      </c>
      <c r="L537" s="17">
        <f>IF(MATCH_ENGINE!A537="","",MATCH_ENGINE!M537)</f>
        <v/>
      </c>
      <c r="M537" s="11">
        <f>IF(MATCH_ENGINE!A537="","",GL_CLEAN!F537)</f>
        <v/>
      </c>
      <c r="N537" s="11">
        <f>IF(MATCH_ENGINE!A537="","",GL_CLEAN!G537)</f>
        <v/>
      </c>
      <c r="O537" s="11">
        <f>IF(MATCH_ENGINE!H537="","",INDEX(BANK_CLEAN!$C$2:$C$1001,MATCH_ENGINE!H537))</f>
        <v/>
      </c>
      <c r="P537" s="11" t="inlineStr"/>
    </row>
    <row r="538">
      <c r="A538" s="11">
        <f>IF(MATCH_ENGINE!A538="","",MATCH_ENGINE!N538)</f>
        <v/>
      </c>
      <c r="B538" s="11">
        <f>IF(MATCH_ENGINE!A538="","",MATCH_ENGINE!C538)</f>
        <v/>
      </c>
      <c r="C538" s="10">
        <f>IF(MATCH_ENGINE!A538="","",MATCH_ENGINE!B538)</f>
        <v/>
      </c>
      <c r="D538" s="16">
        <f>IF(MATCH_ENGINE!A538="","",MATCH_ENGINE!D538)</f>
        <v/>
      </c>
      <c r="E538" s="11">
        <f>IF(MATCH_ENGINE!A538="","",MATCH_ENGINE!F538)</f>
        <v/>
      </c>
      <c r="F538" s="10">
        <f>IF(MATCH_ENGINE!A538="","",MATCH_ENGINE!I538)</f>
        <v/>
      </c>
      <c r="G538" s="16">
        <f>IF(MATCH_ENGINE!H538="","",IF(MATCH_ENGINE!F538="IN",MATCH_ENGINE!J538,""))</f>
        <v/>
      </c>
      <c r="H538" s="16">
        <f>IF(MATCH_ENGINE!H538="","",IF(MATCH_ENGINE!F538="OUT",MATCH_ENGINE!J538,""))</f>
        <v/>
      </c>
      <c r="I538" s="16">
        <f>IF(MATCH_ENGINE!H538="","",MATCH_ENGINE!J538)</f>
        <v/>
      </c>
      <c r="J538" s="12">
        <f>IF(MATCH_ENGINE!A538="","",MATCH_ENGINE!K538)</f>
        <v/>
      </c>
      <c r="K538" s="11">
        <f>IF(MATCH_ENGINE!A538="","",MATCH_ENGINE!L538)</f>
        <v/>
      </c>
      <c r="L538" s="17">
        <f>IF(MATCH_ENGINE!A538="","",MATCH_ENGINE!M538)</f>
        <v/>
      </c>
      <c r="M538" s="11">
        <f>IF(MATCH_ENGINE!A538="","",GL_CLEAN!F538)</f>
        <v/>
      </c>
      <c r="N538" s="11">
        <f>IF(MATCH_ENGINE!A538="","",GL_CLEAN!G538)</f>
        <v/>
      </c>
      <c r="O538" s="11">
        <f>IF(MATCH_ENGINE!H538="","",INDEX(BANK_CLEAN!$C$2:$C$1001,MATCH_ENGINE!H538))</f>
        <v/>
      </c>
      <c r="P538" s="11" t="inlineStr"/>
    </row>
    <row r="539">
      <c r="A539" s="11">
        <f>IF(MATCH_ENGINE!A539="","",MATCH_ENGINE!N539)</f>
        <v/>
      </c>
      <c r="B539" s="11">
        <f>IF(MATCH_ENGINE!A539="","",MATCH_ENGINE!C539)</f>
        <v/>
      </c>
      <c r="C539" s="10">
        <f>IF(MATCH_ENGINE!A539="","",MATCH_ENGINE!B539)</f>
        <v/>
      </c>
      <c r="D539" s="16">
        <f>IF(MATCH_ENGINE!A539="","",MATCH_ENGINE!D539)</f>
        <v/>
      </c>
      <c r="E539" s="11">
        <f>IF(MATCH_ENGINE!A539="","",MATCH_ENGINE!F539)</f>
        <v/>
      </c>
      <c r="F539" s="10">
        <f>IF(MATCH_ENGINE!A539="","",MATCH_ENGINE!I539)</f>
        <v/>
      </c>
      <c r="G539" s="16">
        <f>IF(MATCH_ENGINE!H539="","",IF(MATCH_ENGINE!F539="IN",MATCH_ENGINE!J539,""))</f>
        <v/>
      </c>
      <c r="H539" s="16">
        <f>IF(MATCH_ENGINE!H539="","",IF(MATCH_ENGINE!F539="OUT",MATCH_ENGINE!J539,""))</f>
        <v/>
      </c>
      <c r="I539" s="16">
        <f>IF(MATCH_ENGINE!H539="","",MATCH_ENGINE!J539)</f>
        <v/>
      </c>
      <c r="J539" s="12">
        <f>IF(MATCH_ENGINE!A539="","",MATCH_ENGINE!K539)</f>
        <v/>
      </c>
      <c r="K539" s="11">
        <f>IF(MATCH_ENGINE!A539="","",MATCH_ENGINE!L539)</f>
        <v/>
      </c>
      <c r="L539" s="17">
        <f>IF(MATCH_ENGINE!A539="","",MATCH_ENGINE!M539)</f>
        <v/>
      </c>
      <c r="M539" s="11">
        <f>IF(MATCH_ENGINE!A539="","",GL_CLEAN!F539)</f>
        <v/>
      </c>
      <c r="N539" s="11">
        <f>IF(MATCH_ENGINE!A539="","",GL_CLEAN!G539)</f>
        <v/>
      </c>
      <c r="O539" s="11">
        <f>IF(MATCH_ENGINE!H539="","",INDEX(BANK_CLEAN!$C$2:$C$1001,MATCH_ENGINE!H539))</f>
        <v/>
      </c>
      <c r="P539" s="11" t="inlineStr"/>
    </row>
    <row r="540">
      <c r="A540" s="11">
        <f>IF(MATCH_ENGINE!A540="","",MATCH_ENGINE!N540)</f>
        <v/>
      </c>
      <c r="B540" s="11">
        <f>IF(MATCH_ENGINE!A540="","",MATCH_ENGINE!C540)</f>
        <v/>
      </c>
      <c r="C540" s="10">
        <f>IF(MATCH_ENGINE!A540="","",MATCH_ENGINE!B540)</f>
        <v/>
      </c>
      <c r="D540" s="16">
        <f>IF(MATCH_ENGINE!A540="","",MATCH_ENGINE!D540)</f>
        <v/>
      </c>
      <c r="E540" s="11">
        <f>IF(MATCH_ENGINE!A540="","",MATCH_ENGINE!F540)</f>
        <v/>
      </c>
      <c r="F540" s="10">
        <f>IF(MATCH_ENGINE!A540="","",MATCH_ENGINE!I540)</f>
        <v/>
      </c>
      <c r="G540" s="16">
        <f>IF(MATCH_ENGINE!H540="","",IF(MATCH_ENGINE!F540="IN",MATCH_ENGINE!J540,""))</f>
        <v/>
      </c>
      <c r="H540" s="16">
        <f>IF(MATCH_ENGINE!H540="","",IF(MATCH_ENGINE!F540="OUT",MATCH_ENGINE!J540,""))</f>
        <v/>
      </c>
      <c r="I540" s="16">
        <f>IF(MATCH_ENGINE!H540="","",MATCH_ENGINE!J540)</f>
        <v/>
      </c>
      <c r="J540" s="12">
        <f>IF(MATCH_ENGINE!A540="","",MATCH_ENGINE!K540)</f>
        <v/>
      </c>
      <c r="K540" s="11">
        <f>IF(MATCH_ENGINE!A540="","",MATCH_ENGINE!L540)</f>
        <v/>
      </c>
      <c r="L540" s="17">
        <f>IF(MATCH_ENGINE!A540="","",MATCH_ENGINE!M540)</f>
        <v/>
      </c>
      <c r="M540" s="11">
        <f>IF(MATCH_ENGINE!A540="","",GL_CLEAN!F540)</f>
        <v/>
      </c>
      <c r="N540" s="11">
        <f>IF(MATCH_ENGINE!A540="","",GL_CLEAN!G540)</f>
        <v/>
      </c>
      <c r="O540" s="11">
        <f>IF(MATCH_ENGINE!H540="","",INDEX(BANK_CLEAN!$C$2:$C$1001,MATCH_ENGINE!H540))</f>
        <v/>
      </c>
      <c r="P540" s="11" t="inlineStr"/>
    </row>
    <row r="541">
      <c r="A541" s="11">
        <f>IF(MATCH_ENGINE!A541="","",MATCH_ENGINE!N541)</f>
        <v/>
      </c>
      <c r="B541" s="11">
        <f>IF(MATCH_ENGINE!A541="","",MATCH_ENGINE!C541)</f>
        <v/>
      </c>
      <c r="C541" s="10">
        <f>IF(MATCH_ENGINE!A541="","",MATCH_ENGINE!B541)</f>
        <v/>
      </c>
      <c r="D541" s="16">
        <f>IF(MATCH_ENGINE!A541="","",MATCH_ENGINE!D541)</f>
        <v/>
      </c>
      <c r="E541" s="11">
        <f>IF(MATCH_ENGINE!A541="","",MATCH_ENGINE!F541)</f>
        <v/>
      </c>
      <c r="F541" s="10">
        <f>IF(MATCH_ENGINE!A541="","",MATCH_ENGINE!I541)</f>
        <v/>
      </c>
      <c r="G541" s="16">
        <f>IF(MATCH_ENGINE!H541="","",IF(MATCH_ENGINE!F541="IN",MATCH_ENGINE!J541,""))</f>
        <v/>
      </c>
      <c r="H541" s="16">
        <f>IF(MATCH_ENGINE!H541="","",IF(MATCH_ENGINE!F541="OUT",MATCH_ENGINE!J541,""))</f>
        <v/>
      </c>
      <c r="I541" s="16">
        <f>IF(MATCH_ENGINE!H541="","",MATCH_ENGINE!J541)</f>
        <v/>
      </c>
      <c r="J541" s="12">
        <f>IF(MATCH_ENGINE!A541="","",MATCH_ENGINE!K541)</f>
        <v/>
      </c>
      <c r="K541" s="11">
        <f>IF(MATCH_ENGINE!A541="","",MATCH_ENGINE!L541)</f>
        <v/>
      </c>
      <c r="L541" s="17">
        <f>IF(MATCH_ENGINE!A541="","",MATCH_ENGINE!M541)</f>
        <v/>
      </c>
      <c r="M541" s="11">
        <f>IF(MATCH_ENGINE!A541="","",GL_CLEAN!F541)</f>
        <v/>
      </c>
      <c r="N541" s="11">
        <f>IF(MATCH_ENGINE!A541="","",GL_CLEAN!G541)</f>
        <v/>
      </c>
      <c r="O541" s="11">
        <f>IF(MATCH_ENGINE!H541="","",INDEX(BANK_CLEAN!$C$2:$C$1001,MATCH_ENGINE!H541))</f>
        <v/>
      </c>
      <c r="P541" s="11" t="inlineStr"/>
    </row>
    <row r="542">
      <c r="A542" s="11">
        <f>IF(MATCH_ENGINE!A542="","",MATCH_ENGINE!N542)</f>
        <v/>
      </c>
      <c r="B542" s="11">
        <f>IF(MATCH_ENGINE!A542="","",MATCH_ENGINE!C542)</f>
        <v/>
      </c>
      <c r="C542" s="10">
        <f>IF(MATCH_ENGINE!A542="","",MATCH_ENGINE!B542)</f>
        <v/>
      </c>
      <c r="D542" s="16">
        <f>IF(MATCH_ENGINE!A542="","",MATCH_ENGINE!D542)</f>
        <v/>
      </c>
      <c r="E542" s="11">
        <f>IF(MATCH_ENGINE!A542="","",MATCH_ENGINE!F542)</f>
        <v/>
      </c>
      <c r="F542" s="10">
        <f>IF(MATCH_ENGINE!A542="","",MATCH_ENGINE!I542)</f>
        <v/>
      </c>
      <c r="G542" s="16">
        <f>IF(MATCH_ENGINE!H542="","",IF(MATCH_ENGINE!F542="IN",MATCH_ENGINE!J542,""))</f>
        <v/>
      </c>
      <c r="H542" s="16">
        <f>IF(MATCH_ENGINE!H542="","",IF(MATCH_ENGINE!F542="OUT",MATCH_ENGINE!J542,""))</f>
        <v/>
      </c>
      <c r="I542" s="16">
        <f>IF(MATCH_ENGINE!H542="","",MATCH_ENGINE!J542)</f>
        <v/>
      </c>
      <c r="J542" s="12">
        <f>IF(MATCH_ENGINE!A542="","",MATCH_ENGINE!K542)</f>
        <v/>
      </c>
      <c r="K542" s="11">
        <f>IF(MATCH_ENGINE!A542="","",MATCH_ENGINE!L542)</f>
        <v/>
      </c>
      <c r="L542" s="17">
        <f>IF(MATCH_ENGINE!A542="","",MATCH_ENGINE!M542)</f>
        <v/>
      </c>
      <c r="M542" s="11">
        <f>IF(MATCH_ENGINE!A542="","",GL_CLEAN!F542)</f>
        <v/>
      </c>
      <c r="N542" s="11">
        <f>IF(MATCH_ENGINE!A542="","",GL_CLEAN!G542)</f>
        <v/>
      </c>
      <c r="O542" s="11">
        <f>IF(MATCH_ENGINE!H542="","",INDEX(BANK_CLEAN!$C$2:$C$1001,MATCH_ENGINE!H542))</f>
        <v/>
      </c>
      <c r="P542" s="11" t="inlineStr"/>
    </row>
    <row r="543">
      <c r="A543" s="11">
        <f>IF(MATCH_ENGINE!A543="","",MATCH_ENGINE!N543)</f>
        <v/>
      </c>
      <c r="B543" s="11">
        <f>IF(MATCH_ENGINE!A543="","",MATCH_ENGINE!C543)</f>
        <v/>
      </c>
      <c r="C543" s="10">
        <f>IF(MATCH_ENGINE!A543="","",MATCH_ENGINE!B543)</f>
        <v/>
      </c>
      <c r="D543" s="16">
        <f>IF(MATCH_ENGINE!A543="","",MATCH_ENGINE!D543)</f>
        <v/>
      </c>
      <c r="E543" s="11">
        <f>IF(MATCH_ENGINE!A543="","",MATCH_ENGINE!F543)</f>
        <v/>
      </c>
      <c r="F543" s="10">
        <f>IF(MATCH_ENGINE!A543="","",MATCH_ENGINE!I543)</f>
        <v/>
      </c>
      <c r="G543" s="16">
        <f>IF(MATCH_ENGINE!H543="","",IF(MATCH_ENGINE!F543="IN",MATCH_ENGINE!J543,""))</f>
        <v/>
      </c>
      <c r="H543" s="16">
        <f>IF(MATCH_ENGINE!H543="","",IF(MATCH_ENGINE!F543="OUT",MATCH_ENGINE!J543,""))</f>
        <v/>
      </c>
      <c r="I543" s="16">
        <f>IF(MATCH_ENGINE!H543="","",MATCH_ENGINE!J543)</f>
        <v/>
      </c>
      <c r="J543" s="12">
        <f>IF(MATCH_ENGINE!A543="","",MATCH_ENGINE!K543)</f>
        <v/>
      </c>
      <c r="K543" s="11">
        <f>IF(MATCH_ENGINE!A543="","",MATCH_ENGINE!L543)</f>
        <v/>
      </c>
      <c r="L543" s="17">
        <f>IF(MATCH_ENGINE!A543="","",MATCH_ENGINE!M543)</f>
        <v/>
      </c>
      <c r="M543" s="11">
        <f>IF(MATCH_ENGINE!A543="","",GL_CLEAN!F543)</f>
        <v/>
      </c>
      <c r="N543" s="11">
        <f>IF(MATCH_ENGINE!A543="","",GL_CLEAN!G543)</f>
        <v/>
      </c>
      <c r="O543" s="11">
        <f>IF(MATCH_ENGINE!H543="","",INDEX(BANK_CLEAN!$C$2:$C$1001,MATCH_ENGINE!H543))</f>
        <v/>
      </c>
      <c r="P543" s="11" t="inlineStr"/>
    </row>
    <row r="544">
      <c r="A544" s="11">
        <f>IF(MATCH_ENGINE!A544="","",MATCH_ENGINE!N544)</f>
        <v/>
      </c>
      <c r="B544" s="11">
        <f>IF(MATCH_ENGINE!A544="","",MATCH_ENGINE!C544)</f>
        <v/>
      </c>
      <c r="C544" s="10">
        <f>IF(MATCH_ENGINE!A544="","",MATCH_ENGINE!B544)</f>
        <v/>
      </c>
      <c r="D544" s="16">
        <f>IF(MATCH_ENGINE!A544="","",MATCH_ENGINE!D544)</f>
        <v/>
      </c>
      <c r="E544" s="11">
        <f>IF(MATCH_ENGINE!A544="","",MATCH_ENGINE!F544)</f>
        <v/>
      </c>
      <c r="F544" s="10">
        <f>IF(MATCH_ENGINE!A544="","",MATCH_ENGINE!I544)</f>
        <v/>
      </c>
      <c r="G544" s="16">
        <f>IF(MATCH_ENGINE!H544="","",IF(MATCH_ENGINE!F544="IN",MATCH_ENGINE!J544,""))</f>
        <v/>
      </c>
      <c r="H544" s="16">
        <f>IF(MATCH_ENGINE!H544="","",IF(MATCH_ENGINE!F544="OUT",MATCH_ENGINE!J544,""))</f>
        <v/>
      </c>
      <c r="I544" s="16">
        <f>IF(MATCH_ENGINE!H544="","",MATCH_ENGINE!J544)</f>
        <v/>
      </c>
      <c r="J544" s="12">
        <f>IF(MATCH_ENGINE!A544="","",MATCH_ENGINE!K544)</f>
        <v/>
      </c>
      <c r="K544" s="11">
        <f>IF(MATCH_ENGINE!A544="","",MATCH_ENGINE!L544)</f>
        <v/>
      </c>
      <c r="L544" s="17">
        <f>IF(MATCH_ENGINE!A544="","",MATCH_ENGINE!M544)</f>
        <v/>
      </c>
      <c r="M544" s="11">
        <f>IF(MATCH_ENGINE!A544="","",GL_CLEAN!F544)</f>
        <v/>
      </c>
      <c r="N544" s="11">
        <f>IF(MATCH_ENGINE!A544="","",GL_CLEAN!G544)</f>
        <v/>
      </c>
      <c r="O544" s="11">
        <f>IF(MATCH_ENGINE!H544="","",INDEX(BANK_CLEAN!$C$2:$C$1001,MATCH_ENGINE!H544))</f>
        <v/>
      </c>
      <c r="P544" s="11" t="inlineStr"/>
    </row>
    <row r="545">
      <c r="A545" s="11">
        <f>IF(MATCH_ENGINE!A545="","",MATCH_ENGINE!N545)</f>
        <v/>
      </c>
      <c r="B545" s="11">
        <f>IF(MATCH_ENGINE!A545="","",MATCH_ENGINE!C545)</f>
        <v/>
      </c>
      <c r="C545" s="10">
        <f>IF(MATCH_ENGINE!A545="","",MATCH_ENGINE!B545)</f>
        <v/>
      </c>
      <c r="D545" s="16">
        <f>IF(MATCH_ENGINE!A545="","",MATCH_ENGINE!D545)</f>
        <v/>
      </c>
      <c r="E545" s="11">
        <f>IF(MATCH_ENGINE!A545="","",MATCH_ENGINE!F545)</f>
        <v/>
      </c>
      <c r="F545" s="10">
        <f>IF(MATCH_ENGINE!A545="","",MATCH_ENGINE!I545)</f>
        <v/>
      </c>
      <c r="G545" s="16">
        <f>IF(MATCH_ENGINE!H545="","",IF(MATCH_ENGINE!F545="IN",MATCH_ENGINE!J545,""))</f>
        <v/>
      </c>
      <c r="H545" s="16">
        <f>IF(MATCH_ENGINE!H545="","",IF(MATCH_ENGINE!F545="OUT",MATCH_ENGINE!J545,""))</f>
        <v/>
      </c>
      <c r="I545" s="16">
        <f>IF(MATCH_ENGINE!H545="","",MATCH_ENGINE!J545)</f>
        <v/>
      </c>
      <c r="J545" s="12">
        <f>IF(MATCH_ENGINE!A545="","",MATCH_ENGINE!K545)</f>
        <v/>
      </c>
      <c r="K545" s="11">
        <f>IF(MATCH_ENGINE!A545="","",MATCH_ENGINE!L545)</f>
        <v/>
      </c>
      <c r="L545" s="17">
        <f>IF(MATCH_ENGINE!A545="","",MATCH_ENGINE!M545)</f>
        <v/>
      </c>
      <c r="M545" s="11">
        <f>IF(MATCH_ENGINE!A545="","",GL_CLEAN!F545)</f>
        <v/>
      </c>
      <c r="N545" s="11">
        <f>IF(MATCH_ENGINE!A545="","",GL_CLEAN!G545)</f>
        <v/>
      </c>
      <c r="O545" s="11">
        <f>IF(MATCH_ENGINE!H545="","",INDEX(BANK_CLEAN!$C$2:$C$1001,MATCH_ENGINE!H545))</f>
        <v/>
      </c>
      <c r="P545" s="11" t="inlineStr"/>
    </row>
    <row r="546">
      <c r="A546" s="11">
        <f>IF(MATCH_ENGINE!A546="","",MATCH_ENGINE!N546)</f>
        <v/>
      </c>
      <c r="B546" s="11">
        <f>IF(MATCH_ENGINE!A546="","",MATCH_ENGINE!C546)</f>
        <v/>
      </c>
      <c r="C546" s="10">
        <f>IF(MATCH_ENGINE!A546="","",MATCH_ENGINE!B546)</f>
        <v/>
      </c>
      <c r="D546" s="16">
        <f>IF(MATCH_ENGINE!A546="","",MATCH_ENGINE!D546)</f>
        <v/>
      </c>
      <c r="E546" s="11">
        <f>IF(MATCH_ENGINE!A546="","",MATCH_ENGINE!F546)</f>
        <v/>
      </c>
      <c r="F546" s="10">
        <f>IF(MATCH_ENGINE!A546="","",MATCH_ENGINE!I546)</f>
        <v/>
      </c>
      <c r="G546" s="16">
        <f>IF(MATCH_ENGINE!H546="","",IF(MATCH_ENGINE!F546="IN",MATCH_ENGINE!J546,""))</f>
        <v/>
      </c>
      <c r="H546" s="16">
        <f>IF(MATCH_ENGINE!H546="","",IF(MATCH_ENGINE!F546="OUT",MATCH_ENGINE!J546,""))</f>
        <v/>
      </c>
      <c r="I546" s="16">
        <f>IF(MATCH_ENGINE!H546="","",MATCH_ENGINE!J546)</f>
        <v/>
      </c>
      <c r="J546" s="12">
        <f>IF(MATCH_ENGINE!A546="","",MATCH_ENGINE!K546)</f>
        <v/>
      </c>
      <c r="K546" s="11">
        <f>IF(MATCH_ENGINE!A546="","",MATCH_ENGINE!L546)</f>
        <v/>
      </c>
      <c r="L546" s="17">
        <f>IF(MATCH_ENGINE!A546="","",MATCH_ENGINE!M546)</f>
        <v/>
      </c>
      <c r="M546" s="11">
        <f>IF(MATCH_ENGINE!A546="","",GL_CLEAN!F546)</f>
        <v/>
      </c>
      <c r="N546" s="11">
        <f>IF(MATCH_ENGINE!A546="","",GL_CLEAN!G546)</f>
        <v/>
      </c>
      <c r="O546" s="11">
        <f>IF(MATCH_ENGINE!H546="","",INDEX(BANK_CLEAN!$C$2:$C$1001,MATCH_ENGINE!H546))</f>
        <v/>
      </c>
      <c r="P546" s="11" t="inlineStr"/>
    </row>
    <row r="547">
      <c r="A547" s="11">
        <f>IF(MATCH_ENGINE!A547="","",MATCH_ENGINE!N547)</f>
        <v/>
      </c>
      <c r="B547" s="11">
        <f>IF(MATCH_ENGINE!A547="","",MATCH_ENGINE!C547)</f>
        <v/>
      </c>
      <c r="C547" s="10">
        <f>IF(MATCH_ENGINE!A547="","",MATCH_ENGINE!B547)</f>
        <v/>
      </c>
      <c r="D547" s="16">
        <f>IF(MATCH_ENGINE!A547="","",MATCH_ENGINE!D547)</f>
        <v/>
      </c>
      <c r="E547" s="11">
        <f>IF(MATCH_ENGINE!A547="","",MATCH_ENGINE!F547)</f>
        <v/>
      </c>
      <c r="F547" s="10">
        <f>IF(MATCH_ENGINE!A547="","",MATCH_ENGINE!I547)</f>
        <v/>
      </c>
      <c r="G547" s="16">
        <f>IF(MATCH_ENGINE!H547="","",IF(MATCH_ENGINE!F547="IN",MATCH_ENGINE!J547,""))</f>
        <v/>
      </c>
      <c r="H547" s="16">
        <f>IF(MATCH_ENGINE!H547="","",IF(MATCH_ENGINE!F547="OUT",MATCH_ENGINE!J547,""))</f>
        <v/>
      </c>
      <c r="I547" s="16">
        <f>IF(MATCH_ENGINE!H547="","",MATCH_ENGINE!J547)</f>
        <v/>
      </c>
      <c r="J547" s="12">
        <f>IF(MATCH_ENGINE!A547="","",MATCH_ENGINE!K547)</f>
        <v/>
      </c>
      <c r="K547" s="11">
        <f>IF(MATCH_ENGINE!A547="","",MATCH_ENGINE!L547)</f>
        <v/>
      </c>
      <c r="L547" s="17">
        <f>IF(MATCH_ENGINE!A547="","",MATCH_ENGINE!M547)</f>
        <v/>
      </c>
      <c r="M547" s="11">
        <f>IF(MATCH_ENGINE!A547="","",GL_CLEAN!F547)</f>
        <v/>
      </c>
      <c r="N547" s="11">
        <f>IF(MATCH_ENGINE!A547="","",GL_CLEAN!G547)</f>
        <v/>
      </c>
      <c r="O547" s="11">
        <f>IF(MATCH_ENGINE!H547="","",INDEX(BANK_CLEAN!$C$2:$C$1001,MATCH_ENGINE!H547))</f>
        <v/>
      </c>
      <c r="P547" s="11" t="inlineStr"/>
    </row>
    <row r="548">
      <c r="A548" s="11">
        <f>IF(MATCH_ENGINE!A548="","",MATCH_ENGINE!N548)</f>
        <v/>
      </c>
      <c r="B548" s="11">
        <f>IF(MATCH_ENGINE!A548="","",MATCH_ENGINE!C548)</f>
        <v/>
      </c>
      <c r="C548" s="10">
        <f>IF(MATCH_ENGINE!A548="","",MATCH_ENGINE!B548)</f>
        <v/>
      </c>
      <c r="D548" s="16">
        <f>IF(MATCH_ENGINE!A548="","",MATCH_ENGINE!D548)</f>
        <v/>
      </c>
      <c r="E548" s="11">
        <f>IF(MATCH_ENGINE!A548="","",MATCH_ENGINE!F548)</f>
        <v/>
      </c>
      <c r="F548" s="10">
        <f>IF(MATCH_ENGINE!A548="","",MATCH_ENGINE!I548)</f>
        <v/>
      </c>
      <c r="G548" s="16">
        <f>IF(MATCH_ENGINE!H548="","",IF(MATCH_ENGINE!F548="IN",MATCH_ENGINE!J548,""))</f>
        <v/>
      </c>
      <c r="H548" s="16">
        <f>IF(MATCH_ENGINE!H548="","",IF(MATCH_ENGINE!F548="OUT",MATCH_ENGINE!J548,""))</f>
        <v/>
      </c>
      <c r="I548" s="16">
        <f>IF(MATCH_ENGINE!H548="","",MATCH_ENGINE!J548)</f>
        <v/>
      </c>
      <c r="J548" s="12">
        <f>IF(MATCH_ENGINE!A548="","",MATCH_ENGINE!K548)</f>
        <v/>
      </c>
      <c r="K548" s="11">
        <f>IF(MATCH_ENGINE!A548="","",MATCH_ENGINE!L548)</f>
        <v/>
      </c>
      <c r="L548" s="17">
        <f>IF(MATCH_ENGINE!A548="","",MATCH_ENGINE!M548)</f>
        <v/>
      </c>
      <c r="M548" s="11">
        <f>IF(MATCH_ENGINE!A548="","",GL_CLEAN!F548)</f>
        <v/>
      </c>
      <c r="N548" s="11">
        <f>IF(MATCH_ENGINE!A548="","",GL_CLEAN!G548)</f>
        <v/>
      </c>
      <c r="O548" s="11">
        <f>IF(MATCH_ENGINE!H548="","",INDEX(BANK_CLEAN!$C$2:$C$1001,MATCH_ENGINE!H548))</f>
        <v/>
      </c>
      <c r="P548" s="11" t="inlineStr"/>
    </row>
    <row r="549">
      <c r="A549" s="11">
        <f>IF(MATCH_ENGINE!A549="","",MATCH_ENGINE!N549)</f>
        <v/>
      </c>
      <c r="B549" s="11">
        <f>IF(MATCH_ENGINE!A549="","",MATCH_ENGINE!C549)</f>
        <v/>
      </c>
      <c r="C549" s="10">
        <f>IF(MATCH_ENGINE!A549="","",MATCH_ENGINE!B549)</f>
        <v/>
      </c>
      <c r="D549" s="16">
        <f>IF(MATCH_ENGINE!A549="","",MATCH_ENGINE!D549)</f>
        <v/>
      </c>
      <c r="E549" s="11">
        <f>IF(MATCH_ENGINE!A549="","",MATCH_ENGINE!F549)</f>
        <v/>
      </c>
      <c r="F549" s="10">
        <f>IF(MATCH_ENGINE!A549="","",MATCH_ENGINE!I549)</f>
        <v/>
      </c>
      <c r="G549" s="16">
        <f>IF(MATCH_ENGINE!H549="","",IF(MATCH_ENGINE!F549="IN",MATCH_ENGINE!J549,""))</f>
        <v/>
      </c>
      <c r="H549" s="16">
        <f>IF(MATCH_ENGINE!H549="","",IF(MATCH_ENGINE!F549="OUT",MATCH_ENGINE!J549,""))</f>
        <v/>
      </c>
      <c r="I549" s="16">
        <f>IF(MATCH_ENGINE!H549="","",MATCH_ENGINE!J549)</f>
        <v/>
      </c>
      <c r="J549" s="12">
        <f>IF(MATCH_ENGINE!A549="","",MATCH_ENGINE!K549)</f>
        <v/>
      </c>
      <c r="K549" s="11">
        <f>IF(MATCH_ENGINE!A549="","",MATCH_ENGINE!L549)</f>
        <v/>
      </c>
      <c r="L549" s="17">
        <f>IF(MATCH_ENGINE!A549="","",MATCH_ENGINE!M549)</f>
        <v/>
      </c>
      <c r="M549" s="11">
        <f>IF(MATCH_ENGINE!A549="","",GL_CLEAN!F549)</f>
        <v/>
      </c>
      <c r="N549" s="11">
        <f>IF(MATCH_ENGINE!A549="","",GL_CLEAN!G549)</f>
        <v/>
      </c>
      <c r="O549" s="11">
        <f>IF(MATCH_ENGINE!H549="","",INDEX(BANK_CLEAN!$C$2:$C$1001,MATCH_ENGINE!H549))</f>
        <v/>
      </c>
      <c r="P549" s="11" t="inlineStr"/>
    </row>
    <row r="550">
      <c r="A550" s="11">
        <f>IF(MATCH_ENGINE!A550="","",MATCH_ENGINE!N550)</f>
        <v/>
      </c>
      <c r="B550" s="11">
        <f>IF(MATCH_ENGINE!A550="","",MATCH_ENGINE!C550)</f>
        <v/>
      </c>
      <c r="C550" s="10">
        <f>IF(MATCH_ENGINE!A550="","",MATCH_ENGINE!B550)</f>
        <v/>
      </c>
      <c r="D550" s="16">
        <f>IF(MATCH_ENGINE!A550="","",MATCH_ENGINE!D550)</f>
        <v/>
      </c>
      <c r="E550" s="11">
        <f>IF(MATCH_ENGINE!A550="","",MATCH_ENGINE!F550)</f>
        <v/>
      </c>
      <c r="F550" s="10">
        <f>IF(MATCH_ENGINE!A550="","",MATCH_ENGINE!I550)</f>
        <v/>
      </c>
      <c r="G550" s="16">
        <f>IF(MATCH_ENGINE!H550="","",IF(MATCH_ENGINE!F550="IN",MATCH_ENGINE!J550,""))</f>
        <v/>
      </c>
      <c r="H550" s="16">
        <f>IF(MATCH_ENGINE!H550="","",IF(MATCH_ENGINE!F550="OUT",MATCH_ENGINE!J550,""))</f>
        <v/>
      </c>
      <c r="I550" s="16">
        <f>IF(MATCH_ENGINE!H550="","",MATCH_ENGINE!J550)</f>
        <v/>
      </c>
      <c r="J550" s="12">
        <f>IF(MATCH_ENGINE!A550="","",MATCH_ENGINE!K550)</f>
        <v/>
      </c>
      <c r="K550" s="11">
        <f>IF(MATCH_ENGINE!A550="","",MATCH_ENGINE!L550)</f>
        <v/>
      </c>
      <c r="L550" s="17">
        <f>IF(MATCH_ENGINE!A550="","",MATCH_ENGINE!M550)</f>
        <v/>
      </c>
      <c r="M550" s="11">
        <f>IF(MATCH_ENGINE!A550="","",GL_CLEAN!F550)</f>
        <v/>
      </c>
      <c r="N550" s="11">
        <f>IF(MATCH_ENGINE!A550="","",GL_CLEAN!G550)</f>
        <v/>
      </c>
      <c r="O550" s="11">
        <f>IF(MATCH_ENGINE!H550="","",INDEX(BANK_CLEAN!$C$2:$C$1001,MATCH_ENGINE!H550))</f>
        <v/>
      </c>
      <c r="P550" s="11" t="inlineStr"/>
    </row>
    <row r="551">
      <c r="A551" s="11">
        <f>IF(MATCH_ENGINE!A551="","",MATCH_ENGINE!N551)</f>
        <v/>
      </c>
      <c r="B551" s="11">
        <f>IF(MATCH_ENGINE!A551="","",MATCH_ENGINE!C551)</f>
        <v/>
      </c>
      <c r="C551" s="10">
        <f>IF(MATCH_ENGINE!A551="","",MATCH_ENGINE!B551)</f>
        <v/>
      </c>
      <c r="D551" s="16">
        <f>IF(MATCH_ENGINE!A551="","",MATCH_ENGINE!D551)</f>
        <v/>
      </c>
      <c r="E551" s="11">
        <f>IF(MATCH_ENGINE!A551="","",MATCH_ENGINE!F551)</f>
        <v/>
      </c>
      <c r="F551" s="10">
        <f>IF(MATCH_ENGINE!A551="","",MATCH_ENGINE!I551)</f>
        <v/>
      </c>
      <c r="G551" s="16">
        <f>IF(MATCH_ENGINE!H551="","",IF(MATCH_ENGINE!F551="IN",MATCH_ENGINE!J551,""))</f>
        <v/>
      </c>
      <c r="H551" s="16">
        <f>IF(MATCH_ENGINE!H551="","",IF(MATCH_ENGINE!F551="OUT",MATCH_ENGINE!J551,""))</f>
        <v/>
      </c>
      <c r="I551" s="16">
        <f>IF(MATCH_ENGINE!H551="","",MATCH_ENGINE!J551)</f>
        <v/>
      </c>
      <c r="J551" s="12">
        <f>IF(MATCH_ENGINE!A551="","",MATCH_ENGINE!K551)</f>
        <v/>
      </c>
      <c r="K551" s="11">
        <f>IF(MATCH_ENGINE!A551="","",MATCH_ENGINE!L551)</f>
        <v/>
      </c>
      <c r="L551" s="17">
        <f>IF(MATCH_ENGINE!A551="","",MATCH_ENGINE!M551)</f>
        <v/>
      </c>
      <c r="M551" s="11">
        <f>IF(MATCH_ENGINE!A551="","",GL_CLEAN!F551)</f>
        <v/>
      </c>
      <c r="N551" s="11">
        <f>IF(MATCH_ENGINE!A551="","",GL_CLEAN!G551)</f>
        <v/>
      </c>
      <c r="O551" s="11">
        <f>IF(MATCH_ENGINE!H551="","",INDEX(BANK_CLEAN!$C$2:$C$1001,MATCH_ENGINE!H551))</f>
        <v/>
      </c>
      <c r="P551" s="11" t="inlineStr"/>
    </row>
    <row r="552">
      <c r="A552" s="11">
        <f>IF(MATCH_ENGINE!A552="","",MATCH_ENGINE!N552)</f>
        <v/>
      </c>
      <c r="B552" s="11">
        <f>IF(MATCH_ENGINE!A552="","",MATCH_ENGINE!C552)</f>
        <v/>
      </c>
      <c r="C552" s="10">
        <f>IF(MATCH_ENGINE!A552="","",MATCH_ENGINE!B552)</f>
        <v/>
      </c>
      <c r="D552" s="16">
        <f>IF(MATCH_ENGINE!A552="","",MATCH_ENGINE!D552)</f>
        <v/>
      </c>
      <c r="E552" s="11">
        <f>IF(MATCH_ENGINE!A552="","",MATCH_ENGINE!F552)</f>
        <v/>
      </c>
      <c r="F552" s="10">
        <f>IF(MATCH_ENGINE!A552="","",MATCH_ENGINE!I552)</f>
        <v/>
      </c>
      <c r="G552" s="16">
        <f>IF(MATCH_ENGINE!H552="","",IF(MATCH_ENGINE!F552="IN",MATCH_ENGINE!J552,""))</f>
        <v/>
      </c>
      <c r="H552" s="16">
        <f>IF(MATCH_ENGINE!H552="","",IF(MATCH_ENGINE!F552="OUT",MATCH_ENGINE!J552,""))</f>
        <v/>
      </c>
      <c r="I552" s="16">
        <f>IF(MATCH_ENGINE!H552="","",MATCH_ENGINE!J552)</f>
        <v/>
      </c>
      <c r="J552" s="12">
        <f>IF(MATCH_ENGINE!A552="","",MATCH_ENGINE!K552)</f>
        <v/>
      </c>
      <c r="K552" s="11">
        <f>IF(MATCH_ENGINE!A552="","",MATCH_ENGINE!L552)</f>
        <v/>
      </c>
      <c r="L552" s="17">
        <f>IF(MATCH_ENGINE!A552="","",MATCH_ENGINE!M552)</f>
        <v/>
      </c>
      <c r="M552" s="11">
        <f>IF(MATCH_ENGINE!A552="","",GL_CLEAN!F552)</f>
        <v/>
      </c>
      <c r="N552" s="11">
        <f>IF(MATCH_ENGINE!A552="","",GL_CLEAN!G552)</f>
        <v/>
      </c>
      <c r="O552" s="11">
        <f>IF(MATCH_ENGINE!H552="","",INDEX(BANK_CLEAN!$C$2:$C$1001,MATCH_ENGINE!H552))</f>
        <v/>
      </c>
      <c r="P552" s="11" t="inlineStr"/>
    </row>
    <row r="553">
      <c r="A553" s="11">
        <f>IF(MATCH_ENGINE!A553="","",MATCH_ENGINE!N553)</f>
        <v/>
      </c>
      <c r="B553" s="11">
        <f>IF(MATCH_ENGINE!A553="","",MATCH_ENGINE!C553)</f>
        <v/>
      </c>
      <c r="C553" s="10">
        <f>IF(MATCH_ENGINE!A553="","",MATCH_ENGINE!B553)</f>
        <v/>
      </c>
      <c r="D553" s="16">
        <f>IF(MATCH_ENGINE!A553="","",MATCH_ENGINE!D553)</f>
        <v/>
      </c>
      <c r="E553" s="11">
        <f>IF(MATCH_ENGINE!A553="","",MATCH_ENGINE!F553)</f>
        <v/>
      </c>
      <c r="F553" s="10">
        <f>IF(MATCH_ENGINE!A553="","",MATCH_ENGINE!I553)</f>
        <v/>
      </c>
      <c r="G553" s="16">
        <f>IF(MATCH_ENGINE!H553="","",IF(MATCH_ENGINE!F553="IN",MATCH_ENGINE!J553,""))</f>
        <v/>
      </c>
      <c r="H553" s="16">
        <f>IF(MATCH_ENGINE!H553="","",IF(MATCH_ENGINE!F553="OUT",MATCH_ENGINE!J553,""))</f>
        <v/>
      </c>
      <c r="I553" s="16">
        <f>IF(MATCH_ENGINE!H553="","",MATCH_ENGINE!J553)</f>
        <v/>
      </c>
      <c r="J553" s="12">
        <f>IF(MATCH_ENGINE!A553="","",MATCH_ENGINE!K553)</f>
        <v/>
      </c>
      <c r="K553" s="11">
        <f>IF(MATCH_ENGINE!A553="","",MATCH_ENGINE!L553)</f>
        <v/>
      </c>
      <c r="L553" s="17">
        <f>IF(MATCH_ENGINE!A553="","",MATCH_ENGINE!M553)</f>
        <v/>
      </c>
      <c r="M553" s="11">
        <f>IF(MATCH_ENGINE!A553="","",GL_CLEAN!F553)</f>
        <v/>
      </c>
      <c r="N553" s="11">
        <f>IF(MATCH_ENGINE!A553="","",GL_CLEAN!G553)</f>
        <v/>
      </c>
      <c r="O553" s="11">
        <f>IF(MATCH_ENGINE!H553="","",INDEX(BANK_CLEAN!$C$2:$C$1001,MATCH_ENGINE!H553))</f>
        <v/>
      </c>
      <c r="P553" s="11" t="inlineStr"/>
    </row>
    <row r="554">
      <c r="A554" s="11">
        <f>IF(MATCH_ENGINE!A554="","",MATCH_ENGINE!N554)</f>
        <v/>
      </c>
      <c r="B554" s="11">
        <f>IF(MATCH_ENGINE!A554="","",MATCH_ENGINE!C554)</f>
        <v/>
      </c>
      <c r="C554" s="10">
        <f>IF(MATCH_ENGINE!A554="","",MATCH_ENGINE!B554)</f>
        <v/>
      </c>
      <c r="D554" s="16">
        <f>IF(MATCH_ENGINE!A554="","",MATCH_ENGINE!D554)</f>
        <v/>
      </c>
      <c r="E554" s="11">
        <f>IF(MATCH_ENGINE!A554="","",MATCH_ENGINE!F554)</f>
        <v/>
      </c>
      <c r="F554" s="10">
        <f>IF(MATCH_ENGINE!A554="","",MATCH_ENGINE!I554)</f>
        <v/>
      </c>
      <c r="G554" s="16">
        <f>IF(MATCH_ENGINE!H554="","",IF(MATCH_ENGINE!F554="IN",MATCH_ENGINE!J554,""))</f>
        <v/>
      </c>
      <c r="H554" s="16">
        <f>IF(MATCH_ENGINE!H554="","",IF(MATCH_ENGINE!F554="OUT",MATCH_ENGINE!J554,""))</f>
        <v/>
      </c>
      <c r="I554" s="16">
        <f>IF(MATCH_ENGINE!H554="","",MATCH_ENGINE!J554)</f>
        <v/>
      </c>
      <c r="J554" s="12">
        <f>IF(MATCH_ENGINE!A554="","",MATCH_ENGINE!K554)</f>
        <v/>
      </c>
      <c r="K554" s="11">
        <f>IF(MATCH_ENGINE!A554="","",MATCH_ENGINE!L554)</f>
        <v/>
      </c>
      <c r="L554" s="17">
        <f>IF(MATCH_ENGINE!A554="","",MATCH_ENGINE!M554)</f>
        <v/>
      </c>
      <c r="M554" s="11">
        <f>IF(MATCH_ENGINE!A554="","",GL_CLEAN!F554)</f>
        <v/>
      </c>
      <c r="N554" s="11">
        <f>IF(MATCH_ENGINE!A554="","",GL_CLEAN!G554)</f>
        <v/>
      </c>
      <c r="O554" s="11">
        <f>IF(MATCH_ENGINE!H554="","",INDEX(BANK_CLEAN!$C$2:$C$1001,MATCH_ENGINE!H554))</f>
        <v/>
      </c>
      <c r="P554" s="11" t="inlineStr"/>
    </row>
    <row r="555">
      <c r="A555" s="11">
        <f>IF(MATCH_ENGINE!A555="","",MATCH_ENGINE!N555)</f>
        <v/>
      </c>
      <c r="B555" s="11">
        <f>IF(MATCH_ENGINE!A555="","",MATCH_ENGINE!C555)</f>
        <v/>
      </c>
      <c r="C555" s="10">
        <f>IF(MATCH_ENGINE!A555="","",MATCH_ENGINE!B555)</f>
        <v/>
      </c>
      <c r="D555" s="16">
        <f>IF(MATCH_ENGINE!A555="","",MATCH_ENGINE!D555)</f>
        <v/>
      </c>
      <c r="E555" s="11">
        <f>IF(MATCH_ENGINE!A555="","",MATCH_ENGINE!F555)</f>
        <v/>
      </c>
      <c r="F555" s="10">
        <f>IF(MATCH_ENGINE!A555="","",MATCH_ENGINE!I555)</f>
        <v/>
      </c>
      <c r="G555" s="16">
        <f>IF(MATCH_ENGINE!H555="","",IF(MATCH_ENGINE!F555="IN",MATCH_ENGINE!J555,""))</f>
        <v/>
      </c>
      <c r="H555" s="16">
        <f>IF(MATCH_ENGINE!H555="","",IF(MATCH_ENGINE!F555="OUT",MATCH_ENGINE!J555,""))</f>
        <v/>
      </c>
      <c r="I555" s="16">
        <f>IF(MATCH_ENGINE!H555="","",MATCH_ENGINE!J555)</f>
        <v/>
      </c>
      <c r="J555" s="12">
        <f>IF(MATCH_ENGINE!A555="","",MATCH_ENGINE!K555)</f>
        <v/>
      </c>
      <c r="K555" s="11">
        <f>IF(MATCH_ENGINE!A555="","",MATCH_ENGINE!L555)</f>
        <v/>
      </c>
      <c r="L555" s="17">
        <f>IF(MATCH_ENGINE!A555="","",MATCH_ENGINE!M555)</f>
        <v/>
      </c>
      <c r="M555" s="11">
        <f>IF(MATCH_ENGINE!A555="","",GL_CLEAN!F555)</f>
        <v/>
      </c>
      <c r="N555" s="11">
        <f>IF(MATCH_ENGINE!A555="","",GL_CLEAN!G555)</f>
        <v/>
      </c>
      <c r="O555" s="11">
        <f>IF(MATCH_ENGINE!H555="","",INDEX(BANK_CLEAN!$C$2:$C$1001,MATCH_ENGINE!H555))</f>
        <v/>
      </c>
      <c r="P555" s="11" t="inlineStr"/>
    </row>
    <row r="556">
      <c r="A556" s="11">
        <f>IF(MATCH_ENGINE!A556="","",MATCH_ENGINE!N556)</f>
        <v/>
      </c>
      <c r="B556" s="11">
        <f>IF(MATCH_ENGINE!A556="","",MATCH_ENGINE!C556)</f>
        <v/>
      </c>
      <c r="C556" s="10">
        <f>IF(MATCH_ENGINE!A556="","",MATCH_ENGINE!B556)</f>
        <v/>
      </c>
      <c r="D556" s="16">
        <f>IF(MATCH_ENGINE!A556="","",MATCH_ENGINE!D556)</f>
        <v/>
      </c>
      <c r="E556" s="11">
        <f>IF(MATCH_ENGINE!A556="","",MATCH_ENGINE!F556)</f>
        <v/>
      </c>
      <c r="F556" s="10">
        <f>IF(MATCH_ENGINE!A556="","",MATCH_ENGINE!I556)</f>
        <v/>
      </c>
      <c r="G556" s="16">
        <f>IF(MATCH_ENGINE!H556="","",IF(MATCH_ENGINE!F556="IN",MATCH_ENGINE!J556,""))</f>
        <v/>
      </c>
      <c r="H556" s="16">
        <f>IF(MATCH_ENGINE!H556="","",IF(MATCH_ENGINE!F556="OUT",MATCH_ENGINE!J556,""))</f>
        <v/>
      </c>
      <c r="I556" s="16">
        <f>IF(MATCH_ENGINE!H556="","",MATCH_ENGINE!J556)</f>
        <v/>
      </c>
      <c r="J556" s="12">
        <f>IF(MATCH_ENGINE!A556="","",MATCH_ENGINE!K556)</f>
        <v/>
      </c>
      <c r="K556" s="11">
        <f>IF(MATCH_ENGINE!A556="","",MATCH_ENGINE!L556)</f>
        <v/>
      </c>
      <c r="L556" s="17">
        <f>IF(MATCH_ENGINE!A556="","",MATCH_ENGINE!M556)</f>
        <v/>
      </c>
      <c r="M556" s="11">
        <f>IF(MATCH_ENGINE!A556="","",GL_CLEAN!F556)</f>
        <v/>
      </c>
      <c r="N556" s="11">
        <f>IF(MATCH_ENGINE!A556="","",GL_CLEAN!G556)</f>
        <v/>
      </c>
      <c r="O556" s="11">
        <f>IF(MATCH_ENGINE!H556="","",INDEX(BANK_CLEAN!$C$2:$C$1001,MATCH_ENGINE!H556))</f>
        <v/>
      </c>
      <c r="P556" s="11" t="inlineStr"/>
    </row>
    <row r="557">
      <c r="A557" s="11">
        <f>IF(MATCH_ENGINE!A557="","",MATCH_ENGINE!N557)</f>
        <v/>
      </c>
      <c r="B557" s="11">
        <f>IF(MATCH_ENGINE!A557="","",MATCH_ENGINE!C557)</f>
        <v/>
      </c>
      <c r="C557" s="10">
        <f>IF(MATCH_ENGINE!A557="","",MATCH_ENGINE!B557)</f>
        <v/>
      </c>
      <c r="D557" s="16">
        <f>IF(MATCH_ENGINE!A557="","",MATCH_ENGINE!D557)</f>
        <v/>
      </c>
      <c r="E557" s="11">
        <f>IF(MATCH_ENGINE!A557="","",MATCH_ENGINE!F557)</f>
        <v/>
      </c>
      <c r="F557" s="10">
        <f>IF(MATCH_ENGINE!A557="","",MATCH_ENGINE!I557)</f>
        <v/>
      </c>
      <c r="G557" s="16">
        <f>IF(MATCH_ENGINE!H557="","",IF(MATCH_ENGINE!F557="IN",MATCH_ENGINE!J557,""))</f>
        <v/>
      </c>
      <c r="H557" s="16">
        <f>IF(MATCH_ENGINE!H557="","",IF(MATCH_ENGINE!F557="OUT",MATCH_ENGINE!J557,""))</f>
        <v/>
      </c>
      <c r="I557" s="16">
        <f>IF(MATCH_ENGINE!H557="","",MATCH_ENGINE!J557)</f>
        <v/>
      </c>
      <c r="J557" s="12">
        <f>IF(MATCH_ENGINE!A557="","",MATCH_ENGINE!K557)</f>
        <v/>
      </c>
      <c r="K557" s="11">
        <f>IF(MATCH_ENGINE!A557="","",MATCH_ENGINE!L557)</f>
        <v/>
      </c>
      <c r="L557" s="17">
        <f>IF(MATCH_ENGINE!A557="","",MATCH_ENGINE!M557)</f>
        <v/>
      </c>
      <c r="M557" s="11">
        <f>IF(MATCH_ENGINE!A557="","",GL_CLEAN!F557)</f>
        <v/>
      </c>
      <c r="N557" s="11">
        <f>IF(MATCH_ENGINE!A557="","",GL_CLEAN!G557)</f>
        <v/>
      </c>
      <c r="O557" s="11">
        <f>IF(MATCH_ENGINE!H557="","",INDEX(BANK_CLEAN!$C$2:$C$1001,MATCH_ENGINE!H557))</f>
        <v/>
      </c>
      <c r="P557" s="11" t="inlineStr"/>
    </row>
    <row r="558">
      <c r="A558" s="11">
        <f>IF(MATCH_ENGINE!A558="","",MATCH_ENGINE!N558)</f>
        <v/>
      </c>
      <c r="B558" s="11">
        <f>IF(MATCH_ENGINE!A558="","",MATCH_ENGINE!C558)</f>
        <v/>
      </c>
      <c r="C558" s="10">
        <f>IF(MATCH_ENGINE!A558="","",MATCH_ENGINE!B558)</f>
        <v/>
      </c>
      <c r="D558" s="16">
        <f>IF(MATCH_ENGINE!A558="","",MATCH_ENGINE!D558)</f>
        <v/>
      </c>
      <c r="E558" s="11">
        <f>IF(MATCH_ENGINE!A558="","",MATCH_ENGINE!F558)</f>
        <v/>
      </c>
      <c r="F558" s="10">
        <f>IF(MATCH_ENGINE!A558="","",MATCH_ENGINE!I558)</f>
        <v/>
      </c>
      <c r="G558" s="16">
        <f>IF(MATCH_ENGINE!H558="","",IF(MATCH_ENGINE!F558="IN",MATCH_ENGINE!J558,""))</f>
        <v/>
      </c>
      <c r="H558" s="16">
        <f>IF(MATCH_ENGINE!H558="","",IF(MATCH_ENGINE!F558="OUT",MATCH_ENGINE!J558,""))</f>
        <v/>
      </c>
      <c r="I558" s="16">
        <f>IF(MATCH_ENGINE!H558="","",MATCH_ENGINE!J558)</f>
        <v/>
      </c>
      <c r="J558" s="12">
        <f>IF(MATCH_ENGINE!A558="","",MATCH_ENGINE!K558)</f>
        <v/>
      </c>
      <c r="K558" s="11">
        <f>IF(MATCH_ENGINE!A558="","",MATCH_ENGINE!L558)</f>
        <v/>
      </c>
      <c r="L558" s="17">
        <f>IF(MATCH_ENGINE!A558="","",MATCH_ENGINE!M558)</f>
        <v/>
      </c>
      <c r="M558" s="11">
        <f>IF(MATCH_ENGINE!A558="","",GL_CLEAN!F558)</f>
        <v/>
      </c>
      <c r="N558" s="11">
        <f>IF(MATCH_ENGINE!A558="","",GL_CLEAN!G558)</f>
        <v/>
      </c>
      <c r="O558" s="11">
        <f>IF(MATCH_ENGINE!H558="","",INDEX(BANK_CLEAN!$C$2:$C$1001,MATCH_ENGINE!H558))</f>
        <v/>
      </c>
      <c r="P558" s="11" t="inlineStr"/>
    </row>
    <row r="559">
      <c r="A559" s="11">
        <f>IF(MATCH_ENGINE!A559="","",MATCH_ENGINE!N559)</f>
        <v/>
      </c>
      <c r="B559" s="11">
        <f>IF(MATCH_ENGINE!A559="","",MATCH_ENGINE!C559)</f>
        <v/>
      </c>
      <c r="C559" s="10">
        <f>IF(MATCH_ENGINE!A559="","",MATCH_ENGINE!B559)</f>
        <v/>
      </c>
      <c r="D559" s="16">
        <f>IF(MATCH_ENGINE!A559="","",MATCH_ENGINE!D559)</f>
        <v/>
      </c>
      <c r="E559" s="11">
        <f>IF(MATCH_ENGINE!A559="","",MATCH_ENGINE!F559)</f>
        <v/>
      </c>
      <c r="F559" s="10">
        <f>IF(MATCH_ENGINE!A559="","",MATCH_ENGINE!I559)</f>
        <v/>
      </c>
      <c r="G559" s="16">
        <f>IF(MATCH_ENGINE!H559="","",IF(MATCH_ENGINE!F559="IN",MATCH_ENGINE!J559,""))</f>
        <v/>
      </c>
      <c r="H559" s="16">
        <f>IF(MATCH_ENGINE!H559="","",IF(MATCH_ENGINE!F559="OUT",MATCH_ENGINE!J559,""))</f>
        <v/>
      </c>
      <c r="I559" s="16">
        <f>IF(MATCH_ENGINE!H559="","",MATCH_ENGINE!J559)</f>
        <v/>
      </c>
      <c r="J559" s="12">
        <f>IF(MATCH_ENGINE!A559="","",MATCH_ENGINE!K559)</f>
        <v/>
      </c>
      <c r="K559" s="11">
        <f>IF(MATCH_ENGINE!A559="","",MATCH_ENGINE!L559)</f>
        <v/>
      </c>
      <c r="L559" s="17">
        <f>IF(MATCH_ENGINE!A559="","",MATCH_ENGINE!M559)</f>
        <v/>
      </c>
      <c r="M559" s="11">
        <f>IF(MATCH_ENGINE!A559="","",GL_CLEAN!F559)</f>
        <v/>
      </c>
      <c r="N559" s="11">
        <f>IF(MATCH_ENGINE!A559="","",GL_CLEAN!G559)</f>
        <v/>
      </c>
      <c r="O559" s="11">
        <f>IF(MATCH_ENGINE!H559="","",INDEX(BANK_CLEAN!$C$2:$C$1001,MATCH_ENGINE!H559))</f>
        <v/>
      </c>
      <c r="P559" s="11" t="inlineStr"/>
    </row>
    <row r="560">
      <c r="A560" s="11">
        <f>IF(MATCH_ENGINE!A560="","",MATCH_ENGINE!N560)</f>
        <v/>
      </c>
      <c r="B560" s="11">
        <f>IF(MATCH_ENGINE!A560="","",MATCH_ENGINE!C560)</f>
        <v/>
      </c>
      <c r="C560" s="10">
        <f>IF(MATCH_ENGINE!A560="","",MATCH_ENGINE!B560)</f>
        <v/>
      </c>
      <c r="D560" s="16">
        <f>IF(MATCH_ENGINE!A560="","",MATCH_ENGINE!D560)</f>
        <v/>
      </c>
      <c r="E560" s="11">
        <f>IF(MATCH_ENGINE!A560="","",MATCH_ENGINE!F560)</f>
        <v/>
      </c>
      <c r="F560" s="10">
        <f>IF(MATCH_ENGINE!A560="","",MATCH_ENGINE!I560)</f>
        <v/>
      </c>
      <c r="G560" s="16">
        <f>IF(MATCH_ENGINE!H560="","",IF(MATCH_ENGINE!F560="IN",MATCH_ENGINE!J560,""))</f>
        <v/>
      </c>
      <c r="H560" s="16">
        <f>IF(MATCH_ENGINE!H560="","",IF(MATCH_ENGINE!F560="OUT",MATCH_ENGINE!J560,""))</f>
        <v/>
      </c>
      <c r="I560" s="16">
        <f>IF(MATCH_ENGINE!H560="","",MATCH_ENGINE!J560)</f>
        <v/>
      </c>
      <c r="J560" s="12">
        <f>IF(MATCH_ENGINE!A560="","",MATCH_ENGINE!K560)</f>
        <v/>
      </c>
      <c r="K560" s="11">
        <f>IF(MATCH_ENGINE!A560="","",MATCH_ENGINE!L560)</f>
        <v/>
      </c>
      <c r="L560" s="17">
        <f>IF(MATCH_ENGINE!A560="","",MATCH_ENGINE!M560)</f>
        <v/>
      </c>
      <c r="M560" s="11">
        <f>IF(MATCH_ENGINE!A560="","",GL_CLEAN!F560)</f>
        <v/>
      </c>
      <c r="N560" s="11">
        <f>IF(MATCH_ENGINE!A560="","",GL_CLEAN!G560)</f>
        <v/>
      </c>
      <c r="O560" s="11">
        <f>IF(MATCH_ENGINE!H560="","",INDEX(BANK_CLEAN!$C$2:$C$1001,MATCH_ENGINE!H560))</f>
        <v/>
      </c>
      <c r="P560" s="11" t="inlineStr"/>
    </row>
    <row r="561">
      <c r="A561" s="11">
        <f>IF(MATCH_ENGINE!A561="","",MATCH_ENGINE!N561)</f>
        <v/>
      </c>
      <c r="B561" s="11">
        <f>IF(MATCH_ENGINE!A561="","",MATCH_ENGINE!C561)</f>
        <v/>
      </c>
      <c r="C561" s="10">
        <f>IF(MATCH_ENGINE!A561="","",MATCH_ENGINE!B561)</f>
        <v/>
      </c>
      <c r="D561" s="16">
        <f>IF(MATCH_ENGINE!A561="","",MATCH_ENGINE!D561)</f>
        <v/>
      </c>
      <c r="E561" s="11">
        <f>IF(MATCH_ENGINE!A561="","",MATCH_ENGINE!F561)</f>
        <v/>
      </c>
      <c r="F561" s="10">
        <f>IF(MATCH_ENGINE!A561="","",MATCH_ENGINE!I561)</f>
        <v/>
      </c>
      <c r="G561" s="16">
        <f>IF(MATCH_ENGINE!H561="","",IF(MATCH_ENGINE!F561="IN",MATCH_ENGINE!J561,""))</f>
        <v/>
      </c>
      <c r="H561" s="16">
        <f>IF(MATCH_ENGINE!H561="","",IF(MATCH_ENGINE!F561="OUT",MATCH_ENGINE!J561,""))</f>
        <v/>
      </c>
      <c r="I561" s="16">
        <f>IF(MATCH_ENGINE!H561="","",MATCH_ENGINE!J561)</f>
        <v/>
      </c>
      <c r="J561" s="12">
        <f>IF(MATCH_ENGINE!A561="","",MATCH_ENGINE!K561)</f>
        <v/>
      </c>
      <c r="K561" s="11">
        <f>IF(MATCH_ENGINE!A561="","",MATCH_ENGINE!L561)</f>
        <v/>
      </c>
      <c r="L561" s="17">
        <f>IF(MATCH_ENGINE!A561="","",MATCH_ENGINE!M561)</f>
        <v/>
      </c>
      <c r="M561" s="11">
        <f>IF(MATCH_ENGINE!A561="","",GL_CLEAN!F561)</f>
        <v/>
      </c>
      <c r="N561" s="11">
        <f>IF(MATCH_ENGINE!A561="","",GL_CLEAN!G561)</f>
        <v/>
      </c>
      <c r="O561" s="11">
        <f>IF(MATCH_ENGINE!H561="","",INDEX(BANK_CLEAN!$C$2:$C$1001,MATCH_ENGINE!H561))</f>
        <v/>
      </c>
      <c r="P561" s="11" t="inlineStr"/>
    </row>
    <row r="562">
      <c r="A562" s="11">
        <f>IF(MATCH_ENGINE!A562="","",MATCH_ENGINE!N562)</f>
        <v/>
      </c>
      <c r="B562" s="11">
        <f>IF(MATCH_ENGINE!A562="","",MATCH_ENGINE!C562)</f>
        <v/>
      </c>
      <c r="C562" s="10">
        <f>IF(MATCH_ENGINE!A562="","",MATCH_ENGINE!B562)</f>
        <v/>
      </c>
      <c r="D562" s="16">
        <f>IF(MATCH_ENGINE!A562="","",MATCH_ENGINE!D562)</f>
        <v/>
      </c>
      <c r="E562" s="11">
        <f>IF(MATCH_ENGINE!A562="","",MATCH_ENGINE!F562)</f>
        <v/>
      </c>
      <c r="F562" s="10">
        <f>IF(MATCH_ENGINE!A562="","",MATCH_ENGINE!I562)</f>
        <v/>
      </c>
      <c r="G562" s="16">
        <f>IF(MATCH_ENGINE!H562="","",IF(MATCH_ENGINE!F562="IN",MATCH_ENGINE!J562,""))</f>
        <v/>
      </c>
      <c r="H562" s="16">
        <f>IF(MATCH_ENGINE!H562="","",IF(MATCH_ENGINE!F562="OUT",MATCH_ENGINE!J562,""))</f>
        <v/>
      </c>
      <c r="I562" s="16">
        <f>IF(MATCH_ENGINE!H562="","",MATCH_ENGINE!J562)</f>
        <v/>
      </c>
      <c r="J562" s="12">
        <f>IF(MATCH_ENGINE!A562="","",MATCH_ENGINE!K562)</f>
        <v/>
      </c>
      <c r="K562" s="11">
        <f>IF(MATCH_ENGINE!A562="","",MATCH_ENGINE!L562)</f>
        <v/>
      </c>
      <c r="L562" s="17">
        <f>IF(MATCH_ENGINE!A562="","",MATCH_ENGINE!M562)</f>
        <v/>
      </c>
      <c r="M562" s="11">
        <f>IF(MATCH_ENGINE!A562="","",GL_CLEAN!F562)</f>
        <v/>
      </c>
      <c r="N562" s="11">
        <f>IF(MATCH_ENGINE!A562="","",GL_CLEAN!G562)</f>
        <v/>
      </c>
      <c r="O562" s="11">
        <f>IF(MATCH_ENGINE!H562="","",INDEX(BANK_CLEAN!$C$2:$C$1001,MATCH_ENGINE!H562))</f>
        <v/>
      </c>
      <c r="P562" s="11" t="inlineStr"/>
    </row>
    <row r="563">
      <c r="A563" s="11">
        <f>IF(MATCH_ENGINE!A563="","",MATCH_ENGINE!N563)</f>
        <v/>
      </c>
      <c r="B563" s="11">
        <f>IF(MATCH_ENGINE!A563="","",MATCH_ENGINE!C563)</f>
        <v/>
      </c>
      <c r="C563" s="10">
        <f>IF(MATCH_ENGINE!A563="","",MATCH_ENGINE!B563)</f>
        <v/>
      </c>
      <c r="D563" s="16">
        <f>IF(MATCH_ENGINE!A563="","",MATCH_ENGINE!D563)</f>
        <v/>
      </c>
      <c r="E563" s="11">
        <f>IF(MATCH_ENGINE!A563="","",MATCH_ENGINE!F563)</f>
        <v/>
      </c>
      <c r="F563" s="10">
        <f>IF(MATCH_ENGINE!A563="","",MATCH_ENGINE!I563)</f>
        <v/>
      </c>
      <c r="G563" s="16">
        <f>IF(MATCH_ENGINE!H563="","",IF(MATCH_ENGINE!F563="IN",MATCH_ENGINE!J563,""))</f>
        <v/>
      </c>
      <c r="H563" s="16">
        <f>IF(MATCH_ENGINE!H563="","",IF(MATCH_ENGINE!F563="OUT",MATCH_ENGINE!J563,""))</f>
        <v/>
      </c>
      <c r="I563" s="16">
        <f>IF(MATCH_ENGINE!H563="","",MATCH_ENGINE!J563)</f>
        <v/>
      </c>
      <c r="J563" s="12">
        <f>IF(MATCH_ENGINE!A563="","",MATCH_ENGINE!K563)</f>
        <v/>
      </c>
      <c r="K563" s="11">
        <f>IF(MATCH_ENGINE!A563="","",MATCH_ENGINE!L563)</f>
        <v/>
      </c>
      <c r="L563" s="17">
        <f>IF(MATCH_ENGINE!A563="","",MATCH_ENGINE!M563)</f>
        <v/>
      </c>
      <c r="M563" s="11">
        <f>IF(MATCH_ENGINE!A563="","",GL_CLEAN!F563)</f>
        <v/>
      </c>
      <c r="N563" s="11">
        <f>IF(MATCH_ENGINE!A563="","",GL_CLEAN!G563)</f>
        <v/>
      </c>
      <c r="O563" s="11">
        <f>IF(MATCH_ENGINE!H563="","",INDEX(BANK_CLEAN!$C$2:$C$1001,MATCH_ENGINE!H563))</f>
        <v/>
      </c>
      <c r="P563" s="11" t="inlineStr"/>
    </row>
    <row r="564">
      <c r="A564" s="11">
        <f>IF(MATCH_ENGINE!A564="","",MATCH_ENGINE!N564)</f>
        <v/>
      </c>
      <c r="B564" s="11">
        <f>IF(MATCH_ENGINE!A564="","",MATCH_ENGINE!C564)</f>
        <v/>
      </c>
      <c r="C564" s="10">
        <f>IF(MATCH_ENGINE!A564="","",MATCH_ENGINE!B564)</f>
        <v/>
      </c>
      <c r="D564" s="16">
        <f>IF(MATCH_ENGINE!A564="","",MATCH_ENGINE!D564)</f>
        <v/>
      </c>
      <c r="E564" s="11">
        <f>IF(MATCH_ENGINE!A564="","",MATCH_ENGINE!F564)</f>
        <v/>
      </c>
      <c r="F564" s="10">
        <f>IF(MATCH_ENGINE!A564="","",MATCH_ENGINE!I564)</f>
        <v/>
      </c>
      <c r="G564" s="16">
        <f>IF(MATCH_ENGINE!H564="","",IF(MATCH_ENGINE!F564="IN",MATCH_ENGINE!J564,""))</f>
        <v/>
      </c>
      <c r="H564" s="16">
        <f>IF(MATCH_ENGINE!H564="","",IF(MATCH_ENGINE!F564="OUT",MATCH_ENGINE!J564,""))</f>
        <v/>
      </c>
      <c r="I564" s="16">
        <f>IF(MATCH_ENGINE!H564="","",MATCH_ENGINE!J564)</f>
        <v/>
      </c>
      <c r="J564" s="12">
        <f>IF(MATCH_ENGINE!A564="","",MATCH_ENGINE!K564)</f>
        <v/>
      </c>
      <c r="K564" s="11">
        <f>IF(MATCH_ENGINE!A564="","",MATCH_ENGINE!L564)</f>
        <v/>
      </c>
      <c r="L564" s="17">
        <f>IF(MATCH_ENGINE!A564="","",MATCH_ENGINE!M564)</f>
        <v/>
      </c>
      <c r="M564" s="11">
        <f>IF(MATCH_ENGINE!A564="","",GL_CLEAN!F564)</f>
        <v/>
      </c>
      <c r="N564" s="11">
        <f>IF(MATCH_ENGINE!A564="","",GL_CLEAN!G564)</f>
        <v/>
      </c>
      <c r="O564" s="11">
        <f>IF(MATCH_ENGINE!H564="","",INDEX(BANK_CLEAN!$C$2:$C$1001,MATCH_ENGINE!H564))</f>
        <v/>
      </c>
      <c r="P564" s="11" t="inlineStr"/>
    </row>
    <row r="565">
      <c r="A565" s="11">
        <f>IF(MATCH_ENGINE!A565="","",MATCH_ENGINE!N565)</f>
        <v/>
      </c>
      <c r="B565" s="11">
        <f>IF(MATCH_ENGINE!A565="","",MATCH_ENGINE!C565)</f>
        <v/>
      </c>
      <c r="C565" s="10">
        <f>IF(MATCH_ENGINE!A565="","",MATCH_ENGINE!B565)</f>
        <v/>
      </c>
      <c r="D565" s="16">
        <f>IF(MATCH_ENGINE!A565="","",MATCH_ENGINE!D565)</f>
        <v/>
      </c>
      <c r="E565" s="11">
        <f>IF(MATCH_ENGINE!A565="","",MATCH_ENGINE!F565)</f>
        <v/>
      </c>
      <c r="F565" s="10">
        <f>IF(MATCH_ENGINE!A565="","",MATCH_ENGINE!I565)</f>
        <v/>
      </c>
      <c r="G565" s="16">
        <f>IF(MATCH_ENGINE!H565="","",IF(MATCH_ENGINE!F565="IN",MATCH_ENGINE!J565,""))</f>
        <v/>
      </c>
      <c r="H565" s="16">
        <f>IF(MATCH_ENGINE!H565="","",IF(MATCH_ENGINE!F565="OUT",MATCH_ENGINE!J565,""))</f>
        <v/>
      </c>
      <c r="I565" s="16">
        <f>IF(MATCH_ENGINE!H565="","",MATCH_ENGINE!J565)</f>
        <v/>
      </c>
      <c r="J565" s="12">
        <f>IF(MATCH_ENGINE!A565="","",MATCH_ENGINE!K565)</f>
        <v/>
      </c>
      <c r="K565" s="11">
        <f>IF(MATCH_ENGINE!A565="","",MATCH_ENGINE!L565)</f>
        <v/>
      </c>
      <c r="L565" s="17">
        <f>IF(MATCH_ENGINE!A565="","",MATCH_ENGINE!M565)</f>
        <v/>
      </c>
      <c r="M565" s="11">
        <f>IF(MATCH_ENGINE!A565="","",GL_CLEAN!F565)</f>
        <v/>
      </c>
      <c r="N565" s="11">
        <f>IF(MATCH_ENGINE!A565="","",GL_CLEAN!G565)</f>
        <v/>
      </c>
      <c r="O565" s="11">
        <f>IF(MATCH_ENGINE!H565="","",INDEX(BANK_CLEAN!$C$2:$C$1001,MATCH_ENGINE!H565))</f>
        <v/>
      </c>
      <c r="P565" s="11" t="inlineStr"/>
    </row>
    <row r="566">
      <c r="A566" s="11">
        <f>IF(MATCH_ENGINE!A566="","",MATCH_ENGINE!N566)</f>
        <v/>
      </c>
      <c r="B566" s="11">
        <f>IF(MATCH_ENGINE!A566="","",MATCH_ENGINE!C566)</f>
        <v/>
      </c>
      <c r="C566" s="10">
        <f>IF(MATCH_ENGINE!A566="","",MATCH_ENGINE!B566)</f>
        <v/>
      </c>
      <c r="D566" s="16">
        <f>IF(MATCH_ENGINE!A566="","",MATCH_ENGINE!D566)</f>
        <v/>
      </c>
      <c r="E566" s="11">
        <f>IF(MATCH_ENGINE!A566="","",MATCH_ENGINE!F566)</f>
        <v/>
      </c>
      <c r="F566" s="10">
        <f>IF(MATCH_ENGINE!A566="","",MATCH_ENGINE!I566)</f>
        <v/>
      </c>
      <c r="G566" s="16">
        <f>IF(MATCH_ENGINE!H566="","",IF(MATCH_ENGINE!F566="IN",MATCH_ENGINE!J566,""))</f>
        <v/>
      </c>
      <c r="H566" s="16">
        <f>IF(MATCH_ENGINE!H566="","",IF(MATCH_ENGINE!F566="OUT",MATCH_ENGINE!J566,""))</f>
        <v/>
      </c>
      <c r="I566" s="16">
        <f>IF(MATCH_ENGINE!H566="","",MATCH_ENGINE!J566)</f>
        <v/>
      </c>
      <c r="J566" s="12">
        <f>IF(MATCH_ENGINE!A566="","",MATCH_ENGINE!K566)</f>
        <v/>
      </c>
      <c r="K566" s="11">
        <f>IF(MATCH_ENGINE!A566="","",MATCH_ENGINE!L566)</f>
        <v/>
      </c>
      <c r="L566" s="17">
        <f>IF(MATCH_ENGINE!A566="","",MATCH_ENGINE!M566)</f>
        <v/>
      </c>
      <c r="M566" s="11">
        <f>IF(MATCH_ENGINE!A566="","",GL_CLEAN!F566)</f>
        <v/>
      </c>
      <c r="N566" s="11">
        <f>IF(MATCH_ENGINE!A566="","",GL_CLEAN!G566)</f>
        <v/>
      </c>
      <c r="O566" s="11">
        <f>IF(MATCH_ENGINE!H566="","",INDEX(BANK_CLEAN!$C$2:$C$1001,MATCH_ENGINE!H566))</f>
        <v/>
      </c>
      <c r="P566" s="11" t="inlineStr"/>
    </row>
    <row r="567">
      <c r="A567" s="11">
        <f>IF(MATCH_ENGINE!A567="","",MATCH_ENGINE!N567)</f>
        <v/>
      </c>
      <c r="B567" s="11">
        <f>IF(MATCH_ENGINE!A567="","",MATCH_ENGINE!C567)</f>
        <v/>
      </c>
      <c r="C567" s="10">
        <f>IF(MATCH_ENGINE!A567="","",MATCH_ENGINE!B567)</f>
        <v/>
      </c>
      <c r="D567" s="16">
        <f>IF(MATCH_ENGINE!A567="","",MATCH_ENGINE!D567)</f>
        <v/>
      </c>
      <c r="E567" s="11">
        <f>IF(MATCH_ENGINE!A567="","",MATCH_ENGINE!F567)</f>
        <v/>
      </c>
      <c r="F567" s="10">
        <f>IF(MATCH_ENGINE!A567="","",MATCH_ENGINE!I567)</f>
        <v/>
      </c>
      <c r="G567" s="16">
        <f>IF(MATCH_ENGINE!H567="","",IF(MATCH_ENGINE!F567="IN",MATCH_ENGINE!J567,""))</f>
        <v/>
      </c>
      <c r="H567" s="16">
        <f>IF(MATCH_ENGINE!H567="","",IF(MATCH_ENGINE!F567="OUT",MATCH_ENGINE!J567,""))</f>
        <v/>
      </c>
      <c r="I567" s="16">
        <f>IF(MATCH_ENGINE!H567="","",MATCH_ENGINE!J567)</f>
        <v/>
      </c>
      <c r="J567" s="12">
        <f>IF(MATCH_ENGINE!A567="","",MATCH_ENGINE!K567)</f>
        <v/>
      </c>
      <c r="K567" s="11">
        <f>IF(MATCH_ENGINE!A567="","",MATCH_ENGINE!L567)</f>
        <v/>
      </c>
      <c r="L567" s="17">
        <f>IF(MATCH_ENGINE!A567="","",MATCH_ENGINE!M567)</f>
        <v/>
      </c>
      <c r="M567" s="11">
        <f>IF(MATCH_ENGINE!A567="","",GL_CLEAN!F567)</f>
        <v/>
      </c>
      <c r="N567" s="11">
        <f>IF(MATCH_ENGINE!A567="","",GL_CLEAN!G567)</f>
        <v/>
      </c>
      <c r="O567" s="11">
        <f>IF(MATCH_ENGINE!H567="","",INDEX(BANK_CLEAN!$C$2:$C$1001,MATCH_ENGINE!H567))</f>
        <v/>
      </c>
      <c r="P567" s="11" t="inlineStr"/>
    </row>
    <row r="568">
      <c r="A568" s="11">
        <f>IF(MATCH_ENGINE!A568="","",MATCH_ENGINE!N568)</f>
        <v/>
      </c>
      <c r="B568" s="11">
        <f>IF(MATCH_ENGINE!A568="","",MATCH_ENGINE!C568)</f>
        <v/>
      </c>
      <c r="C568" s="10">
        <f>IF(MATCH_ENGINE!A568="","",MATCH_ENGINE!B568)</f>
        <v/>
      </c>
      <c r="D568" s="16">
        <f>IF(MATCH_ENGINE!A568="","",MATCH_ENGINE!D568)</f>
        <v/>
      </c>
      <c r="E568" s="11">
        <f>IF(MATCH_ENGINE!A568="","",MATCH_ENGINE!F568)</f>
        <v/>
      </c>
      <c r="F568" s="10">
        <f>IF(MATCH_ENGINE!A568="","",MATCH_ENGINE!I568)</f>
        <v/>
      </c>
      <c r="G568" s="16">
        <f>IF(MATCH_ENGINE!H568="","",IF(MATCH_ENGINE!F568="IN",MATCH_ENGINE!J568,""))</f>
        <v/>
      </c>
      <c r="H568" s="16">
        <f>IF(MATCH_ENGINE!H568="","",IF(MATCH_ENGINE!F568="OUT",MATCH_ENGINE!J568,""))</f>
        <v/>
      </c>
      <c r="I568" s="16">
        <f>IF(MATCH_ENGINE!H568="","",MATCH_ENGINE!J568)</f>
        <v/>
      </c>
      <c r="J568" s="12">
        <f>IF(MATCH_ENGINE!A568="","",MATCH_ENGINE!K568)</f>
        <v/>
      </c>
      <c r="K568" s="11">
        <f>IF(MATCH_ENGINE!A568="","",MATCH_ENGINE!L568)</f>
        <v/>
      </c>
      <c r="L568" s="17">
        <f>IF(MATCH_ENGINE!A568="","",MATCH_ENGINE!M568)</f>
        <v/>
      </c>
      <c r="M568" s="11">
        <f>IF(MATCH_ENGINE!A568="","",GL_CLEAN!F568)</f>
        <v/>
      </c>
      <c r="N568" s="11">
        <f>IF(MATCH_ENGINE!A568="","",GL_CLEAN!G568)</f>
        <v/>
      </c>
      <c r="O568" s="11">
        <f>IF(MATCH_ENGINE!H568="","",INDEX(BANK_CLEAN!$C$2:$C$1001,MATCH_ENGINE!H568))</f>
        <v/>
      </c>
      <c r="P568" s="11" t="inlineStr"/>
    </row>
    <row r="569">
      <c r="A569" s="11">
        <f>IF(MATCH_ENGINE!A569="","",MATCH_ENGINE!N569)</f>
        <v/>
      </c>
      <c r="B569" s="11">
        <f>IF(MATCH_ENGINE!A569="","",MATCH_ENGINE!C569)</f>
        <v/>
      </c>
      <c r="C569" s="10">
        <f>IF(MATCH_ENGINE!A569="","",MATCH_ENGINE!B569)</f>
        <v/>
      </c>
      <c r="D569" s="16">
        <f>IF(MATCH_ENGINE!A569="","",MATCH_ENGINE!D569)</f>
        <v/>
      </c>
      <c r="E569" s="11">
        <f>IF(MATCH_ENGINE!A569="","",MATCH_ENGINE!F569)</f>
        <v/>
      </c>
      <c r="F569" s="10">
        <f>IF(MATCH_ENGINE!A569="","",MATCH_ENGINE!I569)</f>
        <v/>
      </c>
      <c r="G569" s="16">
        <f>IF(MATCH_ENGINE!H569="","",IF(MATCH_ENGINE!F569="IN",MATCH_ENGINE!J569,""))</f>
        <v/>
      </c>
      <c r="H569" s="16">
        <f>IF(MATCH_ENGINE!H569="","",IF(MATCH_ENGINE!F569="OUT",MATCH_ENGINE!J569,""))</f>
        <v/>
      </c>
      <c r="I569" s="16">
        <f>IF(MATCH_ENGINE!H569="","",MATCH_ENGINE!J569)</f>
        <v/>
      </c>
      <c r="J569" s="12">
        <f>IF(MATCH_ENGINE!A569="","",MATCH_ENGINE!K569)</f>
        <v/>
      </c>
      <c r="K569" s="11">
        <f>IF(MATCH_ENGINE!A569="","",MATCH_ENGINE!L569)</f>
        <v/>
      </c>
      <c r="L569" s="17">
        <f>IF(MATCH_ENGINE!A569="","",MATCH_ENGINE!M569)</f>
        <v/>
      </c>
      <c r="M569" s="11">
        <f>IF(MATCH_ENGINE!A569="","",GL_CLEAN!F569)</f>
        <v/>
      </c>
      <c r="N569" s="11">
        <f>IF(MATCH_ENGINE!A569="","",GL_CLEAN!G569)</f>
        <v/>
      </c>
      <c r="O569" s="11">
        <f>IF(MATCH_ENGINE!H569="","",INDEX(BANK_CLEAN!$C$2:$C$1001,MATCH_ENGINE!H569))</f>
        <v/>
      </c>
      <c r="P569" s="11" t="inlineStr"/>
    </row>
    <row r="570">
      <c r="A570" s="11">
        <f>IF(MATCH_ENGINE!A570="","",MATCH_ENGINE!N570)</f>
        <v/>
      </c>
      <c r="B570" s="11">
        <f>IF(MATCH_ENGINE!A570="","",MATCH_ENGINE!C570)</f>
        <v/>
      </c>
      <c r="C570" s="10">
        <f>IF(MATCH_ENGINE!A570="","",MATCH_ENGINE!B570)</f>
        <v/>
      </c>
      <c r="D570" s="16">
        <f>IF(MATCH_ENGINE!A570="","",MATCH_ENGINE!D570)</f>
        <v/>
      </c>
      <c r="E570" s="11">
        <f>IF(MATCH_ENGINE!A570="","",MATCH_ENGINE!F570)</f>
        <v/>
      </c>
      <c r="F570" s="10">
        <f>IF(MATCH_ENGINE!A570="","",MATCH_ENGINE!I570)</f>
        <v/>
      </c>
      <c r="G570" s="16">
        <f>IF(MATCH_ENGINE!H570="","",IF(MATCH_ENGINE!F570="IN",MATCH_ENGINE!J570,""))</f>
        <v/>
      </c>
      <c r="H570" s="16">
        <f>IF(MATCH_ENGINE!H570="","",IF(MATCH_ENGINE!F570="OUT",MATCH_ENGINE!J570,""))</f>
        <v/>
      </c>
      <c r="I570" s="16">
        <f>IF(MATCH_ENGINE!H570="","",MATCH_ENGINE!J570)</f>
        <v/>
      </c>
      <c r="J570" s="12">
        <f>IF(MATCH_ENGINE!A570="","",MATCH_ENGINE!K570)</f>
        <v/>
      </c>
      <c r="K570" s="11">
        <f>IF(MATCH_ENGINE!A570="","",MATCH_ENGINE!L570)</f>
        <v/>
      </c>
      <c r="L570" s="17">
        <f>IF(MATCH_ENGINE!A570="","",MATCH_ENGINE!M570)</f>
        <v/>
      </c>
      <c r="M570" s="11">
        <f>IF(MATCH_ENGINE!A570="","",GL_CLEAN!F570)</f>
        <v/>
      </c>
      <c r="N570" s="11">
        <f>IF(MATCH_ENGINE!A570="","",GL_CLEAN!G570)</f>
        <v/>
      </c>
      <c r="O570" s="11">
        <f>IF(MATCH_ENGINE!H570="","",INDEX(BANK_CLEAN!$C$2:$C$1001,MATCH_ENGINE!H570))</f>
        <v/>
      </c>
      <c r="P570" s="11" t="inlineStr"/>
    </row>
    <row r="571">
      <c r="A571" s="11">
        <f>IF(MATCH_ENGINE!A571="","",MATCH_ENGINE!N571)</f>
        <v/>
      </c>
      <c r="B571" s="11">
        <f>IF(MATCH_ENGINE!A571="","",MATCH_ENGINE!C571)</f>
        <v/>
      </c>
      <c r="C571" s="10">
        <f>IF(MATCH_ENGINE!A571="","",MATCH_ENGINE!B571)</f>
        <v/>
      </c>
      <c r="D571" s="16">
        <f>IF(MATCH_ENGINE!A571="","",MATCH_ENGINE!D571)</f>
        <v/>
      </c>
      <c r="E571" s="11">
        <f>IF(MATCH_ENGINE!A571="","",MATCH_ENGINE!F571)</f>
        <v/>
      </c>
      <c r="F571" s="10">
        <f>IF(MATCH_ENGINE!A571="","",MATCH_ENGINE!I571)</f>
        <v/>
      </c>
      <c r="G571" s="16">
        <f>IF(MATCH_ENGINE!H571="","",IF(MATCH_ENGINE!F571="IN",MATCH_ENGINE!J571,""))</f>
        <v/>
      </c>
      <c r="H571" s="16">
        <f>IF(MATCH_ENGINE!H571="","",IF(MATCH_ENGINE!F571="OUT",MATCH_ENGINE!J571,""))</f>
        <v/>
      </c>
      <c r="I571" s="16">
        <f>IF(MATCH_ENGINE!H571="","",MATCH_ENGINE!J571)</f>
        <v/>
      </c>
      <c r="J571" s="12">
        <f>IF(MATCH_ENGINE!A571="","",MATCH_ENGINE!K571)</f>
        <v/>
      </c>
      <c r="K571" s="11">
        <f>IF(MATCH_ENGINE!A571="","",MATCH_ENGINE!L571)</f>
        <v/>
      </c>
      <c r="L571" s="17">
        <f>IF(MATCH_ENGINE!A571="","",MATCH_ENGINE!M571)</f>
        <v/>
      </c>
      <c r="M571" s="11">
        <f>IF(MATCH_ENGINE!A571="","",GL_CLEAN!F571)</f>
        <v/>
      </c>
      <c r="N571" s="11">
        <f>IF(MATCH_ENGINE!A571="","",GL_CLEAN!G571)</f>
        <v/>
      </c>
      <c r="O571" s="11">
        <f>IF(MATCH_ENGINE!H571="","",INDEX(BANK_CLEAN!$C$2:$C$1001,MATCH_ENGINE!H571))</f>
        <v/>
      </c>
      <c r="P571" s="11" t="inlineStr"/>
    </row>
    <row r="572">
      <c r="A572" s="11">
        <f>IF(MATCH_ENGINE!A572="","",MATCH_ENGINE!N572)</f>
        <v/>
      </c>
      <c r="B572" s="11">
        <f>IF(MATCH_ENGINE!A572="","",MATCH_ENGINE!C572)</f>
        <v/>
      </c>
      <c r="C572" s="10">
        <f>IF(MATCH_ENGINE!A572="","",MATCH_ENGINE!B572)</f>
        <v/>
      </c>
      <c r="D572" s="16">
        <f>IF(MATCH_ENGINE!A572="","",MATCH_ENGINE!D572)</f>
        <v/>
      </c>
      <c r="E572" s="11">
        <f>IF(MATCH_ENGINE!A572="","",MATCH_ENGINE!F572)</f>
        <v/>
      </c>
      <c r="F572" s="10">
        <f>IF(MATCH_ENGINE!A572="","",MATCH_ENGINE!I572)</f>
        <v/>
      </c>
      <c r="G572" s="16">
        <f>IF(MATCH_ENGINE!H572="","",IF(MATCH_ENGINE!F572="IN",MATCH_ENGINE!J572,""))</f>
        <v/>
      </c>
      <c r="H572" s="16">
        <f>IF(MATCH_ENGINE!H572="","",IF(MATCH_ENGINE!F572="OUT",MATCH_ENGINE!J572,""))</f>
        <v/>
      </c>
      <c r="I572" s="16">
        <f>IF(MATCH_ENGINE!H572="","",MATCH_ENGINE!J572)</f>
        <v/>
      </c>
      <c r="J572" s="12">
        <f>IF(MATCH_ENGINE!A572="","",MATCH_ENGINE!K572)</f>
        <v/>
      </c>
      <c r="K572" s="11">
        <f>IF(MATCH_ENGINE!A572="","",MATCH_ENGINE!L572)</f>
        <v/>
      </c>
      <c r="L572" s="17">
        <f>IF(MATCH_ENGINE!A572="","",MATCH_ENGINE!M572)</f>
        <v/>
      </c>
      <c r="M572" s="11">
        <f>IF(MATCH_ENGINE!A572="","",GL_CLEAN!F572)</f>
        <v/>
      </c>
      <c r="N572" s="11">
        <f>IF(MATCH_ENGINE!A572="","",GL_CLEAN!G572)</f>
        <v/>
      </c>
      <c r="O572" s="11">
        <f>IF(MATCH_ENGINE!H572="","",INDEX(BANK_CLEAN!$C$2:$C$1001,MATCH_ENGINE!H572))</f>
        <v/>
      </c>
      <c r="P572" s="11" t="inlineStr"/>
    </row>
    <row r="573">
      <c r="A573" s="11">
        <f>IF(MATCH_ENGINE!A573="","",MATCH_ENGINE!N573)</f>
        <v/>
      </c>
      <c r="B573" s="11">
        <f>IF(MATCH_ENGINE!A573="","",MATCH_ENGINE!C573)</f>
        <v/>
      </c>
      <c r="C573" s="10">
        <f>IF(MATCH_ENGINE!A573="","",MATCH_ENGINE!B573)</f>
        <v/>
      </c>
      <c r="D573" s="16">
        <f>IF(MATCH_ENGINE!A573="","",MATCH_ENGINE!D573)</f>
        <v/>
      </c>
      <c r="E573" s="11">
        <f>IF(MATCH_ENGINE!A573="","",MATCH_ENGINE!F573)</f>
        <v/>
      </c>
      <c r="F573" s="10">
        <f>IF(MATCH_ENGINE!A573="","",MATCH_ENGINE!I573)</f>
        <v/>
      </c>
      <c r="G573" s="16">
        <f>IF(MATCH_ENGINE!H573="","",IF(MATCH_ENGINE!F573="IN",MATCH_ENGINE!J573,""))</f>
        <v/>
      </c>
      <c r="H573" s="16">
        <f>IF(MATCH_ENGINE!H573="","",IF(MATCH_ENGINE!F573="OUT",MATCH_ENGINE!J573,""))</f>
        <v/>
      </c>
      <c r="I573" s="16">
        <f>IF(MATCH_ENGINE!H573="","",MATCH_ENGINE!J573)</f>
        <v/>
      </c>
      <c r="J573" s="12">
        <f>IF(MATCH_ENGINE!A573="","",MATCH_ENGINE!K573)</f>
        <v/>
      </c>
      <c r="K573" s="11">
        <f>IF(MATCH_ENGINE!A573="","",MATCH_ENGINE!L573)</f>
        <v/>
      </c>
      <c r="L573" s="17">
        <f>IF(MATCH_ENGINE!A573="","",MATCH_ENGINE!M573)</f>
        <v/>
      </c>
      <c r="M573" s="11">
        <f>IF(MATCH_ENGINE!A573="","",GL_CLEAN!F573)</f>
        <v/>
      </c>
      <c r="N573" s="11">
        <f>IF(MATCH_ENGINE!A573="","",GL_CLEAN!G573)</f>
        <v/>
      </c>
      <c r="O573" s="11">
        <f>IF(MATCH_ENGINE!H573="","",INDEX(BANK_CLEAN!$C$2:$C$1001,MATCH_ENGINE!H573))</f>
        <v/>
      </c>
      <c r="P573" s="11" t="inlineStr"/>
    </row>
    <row r="574">
      <c r="A574" s="11">
        <f>IF(MATCH_ENGINE!A574="","",MATCH_ENGINE!N574)</f>
        <v/>
      </c>
      <c r="B574" s="11">
        <f>IF(MATCH_ENGINE!A574="","",MATCH_ENGINE!C574)</f>
        <v/>
      </c>
      <c r="C574" s="10">
        <f>IF(MATCH_ENGINE!A574="","",MATCH_ENGINE!B574)</f>
        <v/>
      </c>
      <c r="D574" s="16">
        <f>IF(MATCH_ENGINE!A574="","",MATCH_ENGINE!D574)</f>
        <v/>
      </c>
      <c r="E574" s="11">
        <f>IF(MATCH_ENGINE!A574="","",MATCH_ENGINE!F574)</f>
        <v/>
      </c>
      <c r="F574" s="10">
        <f>IF(MATCH_ENGINE!A574="","",MATCH_ENGINE!I574)</f>
        <v/>
      </c>
      <c r="G574" s="16">
        <f>IF(MATCH_ENGINE!H574="","",IF(MATCH_ENGINE!F574="IN",MATCH_ENGINE!J574,""))</f>
        <v/>
      </c>
      <c r="H574" s="16">
        <f>IF(MATCH_ENGINE!H574="","",IF(MATCH_ENGINE!F574="OUT",MATCH_ENGINE!J574,""))</f>
        <v/>
      </c>
      <c r="I574" s="16">
        <f>IF(MATCH_ENGINE!H574="","",MATCH_ENGINE!J574)</f>
        <v/>
      </c>
      <c r="J574" s="12">
        <f>IF(MATCH_ENGINE!A574="","",MATCH_ENGINE!K574)</f>
        <v/>
      </c>
      <c r="K574" s="11">
        <f>IF(MATCH_ENGINE!A574="","",MATCH_ENGINE!L574)</f>
        <v/>
      </c>
      <c r="L574" s="17">
        <f>IF(MATCH_ENGINE!A574="","",MATCH_ENGINE!M574)</f>
        <v/>
      </c>
      <c r="M574" s="11">
        <f>IF(MATCH_ENGINE!A574="","",GL_CLEAN!F574)</f>
        <v/>
      </c>
      <c r="N574" s="11">
        <f>IF(MATCH_ENGINE!A574="","",GL_CLEAN!G574)</f>
        <v/>
      </c>
      <c r="O574" s="11">
        <f>IF(MATCH_ENGINE!H574="","",INDEX(BANK_CLEAN!$C$2:$C$1001,MATCH_ENGINE!H574))</f>
        <v/>
      </c>
      <c r="P574" s="11" t="inlineStr"/>
    </row>
    <row r="575">
      <c r="A575" s="11">
        <f>IF(MATCH_ENGINE!A575="","",MATCH_ENGINE!N575)</f>
        <v/>
      </c>
      <c r="B575" s="11">
        <f>IF(MATCH_ENGINE!A575="","",MATCH_ENGINE!C575)</f>
        <v/>
      </c>
      <c r="C575" s="10">
        <f>IF(MATCH_ENGINE!A575="","",MATCH_ENGINE!B575)</f>
        <v/>
      </c>
      <c r="D575" s="16">
        <f>IF(MATCH_ENGINE!A575="","",MATCH_ENGINE!D575)</f>
        <v/>
      </c>
      <c r="E575" s="11">
        <f>IF(MATCH_ENGINE!A575="","",MATCH_ENGINE!F575)</f>
        <v/>
      </c>
      <c r="F575" s="10">
        <f>IF(MATCH_ENGINE!A575="","",MATCH_ENGINE!I575)</f>
        <v/>
      </c>
      <c r="G575" s="16">
        <f>IF(MATCH_ENGINE!H575="","",IF(MATCH_ENGINE!F575="IN",MATCH_ENGINE!J575,""))</f>
        <v/>
      </c>
      <c r="H575" s="16">
        <f>IF(MATCH_ENGINE!H575="","",IF(MATCH_ENGINE!F575="OUT",MATCH_ENGINE!J575,""))</f>
        <v/>
      </c>
      <c r="I575" s="16">
        <f>IF(MATCH_ENGINE!H575="","",MATCH_ENGINE!J575)</f>
        <v/>
      </c>
      <c r="J575" s="12">
        <f>IF(MATCH_ENGINE!A575="","",MATCH_ENGINE!K575)</f>
        <v/>
      </c>
      <c r="K575" s="11">
        <f>IF(MATCH_ENGINE!A575="","",MATCH_ENGINE!L575)</f>
        <v/>
      </c>
      <c r="L575" s="17">
        <f>IF(MATCH_ENGINE!A575="","",MATCH_ENGINE!M575)</f>
        <v/>
      </c>
      <c r="M575" s="11">
        <f>IF(MATCH_ENGINE!A575="","",GL_CLEAN!F575)</f>
        <v/>
      </c>
      <c r="N575" s="11">
        <f>IF(MATCH_ENGINE!A575="","",GL_CLEAN!G575)</f>
        <v/>
      </c>
      <c r="O575" s="11">
        <f>IF(MATCH_ENGINE!H575="","",INDEX(BANK_CLEAN!$C$2:$C$1001,MATCH_ENGINE!H575))</f>
        <v/>
      </c>
      <c r="P575" s="11" t="inlineStr"/>
    </row>
    <row r="576">
      <c r="A576" s="11">
        <f>IF(MATCH_ENGINE!A576="","",MATCH_ENGINE!N576)</f>
        <v/>
      </c>
      <c r="B576" s="11">
        <f>IF(MATCH_ENGINE!A576="","",MATCH_ENGINE!C576)</f>
        <v/>
      </c>
      <c r="C576" s="10">
        <f>IF(MATCH_ENGINE!A576="","",MATCH_ENGINE!B576)</f>
        <v/>
      </c>
      <c r="D576" s="16">
        <f>IF(MATCH_ENGINE!A576="","",MATCH_ENGINE!D576)</f>
        <v/>
      </c>
      <c r="E576" s="11">
        <f>IF(MATCH_ENGINE!A576="","",MATCH_ENGINE!F576)</f>
        <v/>
      </c>
      <c r="F576" s="10">
        <f>IF(MATCH_ENGINE!A576="","",MATCH_ENGINE!I576)</f>
        <v/>
      </c>
      <c r="G576" s="16">
        <f>IF(MATCH_ENGINE!H576="","",IF(MATCH_ENGINE!F576="IN",MATCH_ENGINE!J576,""))</f>
        <v/>
      </c>
      <c r="H576" s="16">
        <f>IF(MATCH_ENGINE!H576="","",IF(MATCH_ENGINE!F576="OUT",MATCH_ENGINE!J576,""))</f>
        <v/>
      </c>
      <c r="I576" s="16">
        <f>IF(MATCH_ENGINE!H576="","",MATCH_ENGINE!J576)</f>
        <v/>
      </c>
      <c r="J576" s="12">
        <f>IF(MATCH_ENGINE!A576="","",MATCH_ENGINE!K576)</f>
        <v/>
      </c>
      <c r="K576" s="11">
        <f>IF(MATCH_ENGINE!A576="","",MATCH_ENGINE!L576)</f>
        <v/>
      </c>
      <c r="L576" s="17">
        <f>IF(MATCH_ENGINE!A576="","",MATCH_ENGINE!M576)</f>
        <v/>
      </c>
      <c r="M576" s="11">
        <f>IF(MATCH_ENGINE!A576="","",GL_CLEAN!F576)</f>
        <v/>
      </c>
      <c r="N576" s="11">
        <f>IF(MATCH_ENGINE!A576="","",GL_CLEAN!G576)</f>
        <v/>
      </c>
      <c r="O576" s="11">
        <f>IF(MATCH_ENGINE!H576="","",INDEX(BANK_CLEAN!$C$2:$C$1001,MATCH_ENGINE!H576))</f>
        <v/>
      </c>
      <c r="P576" s="11" t="inlineStr"/>
    </row>
    <row r="577">
      <c r="A577" s="11">
        <f>IF(MATCH_ENGINE!A577="","",MATCH_ENGINE!N577)</f>
        <v/>
      </c>
      <c r="B577" s="11">
        <f>IF(MATCH_ENGINE!A577="","",MATCH_ENGINE!C577)</f>
        <v/>
      </c>
      <c r="C577" s="10">
        <f>IF(MATCH_ENGINE!A577="","",MATCH_ENGINE!B577)</f>
        <v/>
      </c>
      <c r="D577" s="16">
        <f>IF(MATCH_ENGINE!A577="","",MATCH_ENGINE!D577)</f>
        <v/>
      </c>
      <c r="E577" s="11">
        <f>IF(MATCH_ENGINE!A577="","",MATCH_ENGINE!F577)</f>
        <v/>
      </c>
      <c r="F577" s="10">
        <f>IF(MATCH_ENGINE!A577="","",MATCH_ENGINE!I577)</f>
        <v/>
      </c>
      <c r="G577" s="16">
        <f>IF(MATCH_ENGINE!H577="","",IF(MATCH_ENGINE!F577="IN",MATCH_ENGINE!J577,""))</f>
        <v/>
      </c>
      <c r="H577" s="16">
        <f>IF(MATCH_ENGINE!H577="","",IF(MATCH_ENGINE!F577="OUT",MATCH_ENGINE!J577,""))</f>
        <v/>
      </c>
      <c r="I577" s="16">
        <f>IF(MATCH_ENGINE!H577="","",MATCH_ENGINE!J577)</f>
        <v/>
      </c>
      <c r="J577" s="12">
        <f>IF(MATCH_ENGINE!A577="","",MATCH_ENGINE!K577)</f>
        <v/>
      </c>
      <c r="K577" s="11">
        <f>IF(MATCH_ENGINE!A577="","",MATCH_ENGINE!L577)</f>
        <v/>
      </c>
      <c r="L577" s="17">
        <f>IF(MATCH_ENGINE!A577="","",MATCH_ENGINE!M577)</f>
        <v/>
      </c>
      <c r="M577" s="11">
        <f>IF(MATCH_ENGINE!A577="","",GL_CLEAN!F577)</f>
        <v/>
      </c>
      <c r="N577" s="11">
        <f>IF(MATCH_ENGINE!A577="","",GL_CLEAN!G577)</f>
        <v/>
      </c>
      <c r="O577" s="11">
        <f>IF(MATCH_ENGINE!H577="","",INDEX(BANK_CLEAN!$C$2:$C$1001,MATCH_ENGINE!H577))</f>
        <v/>
      </c>
      <c r="P577" s="11" t="inlineStr"/>
    </row>
    <row r="578">
      <c r="A578" s="11">
        <f>IF(MATCH_ENGINE!A578="","",MATCH_ENGINE!N578)</f>
        <v/>
      </c>
      <c r="B578" s="11">
        <f>IF(MATCH_ENGINE!A578="","",MATCH_ENGINE!C578)</f>
        <v/>
      </c>
      <c r="C578" s="10">
        <f>IF(MATCH_ENGINE!A578="","",MATCH_ENGINE!B578)</f>
        <v/>
      </c>
      <c r="D578" s="16">
        <f>IF(MATCH_ENGINE!A578="","",MATCH_ENGINE!D578)</f>
        <v/>
      </c>
      <c r="E578" s="11">
        <f>IF(MATCH_ENGINE!A578="","",MATCH_ENGINE!F578)</f>
        <v/>
      </c>
      <c r="F578" s="10">
        <f>IF(MATCH_ENGINE!A578="","",MATCH_ENGINE!I578)</f>
        <v/>
      </c>
      <c r="G578" s="16">
        <f>IF(MATCH_ENGINE!H578="","",IF(MATCH_ENGINE!F578="IN",MATCH_ENGINE!J578,""))</f>
        <v/>
      </c>
      <c r="H578" s="16">
        <f>IF(MATCH_ENGINE!H578="","",IF(MATCH_ENGINE!F578="OUT",MATCH_ENGINE!J578,""))</f>
        <v/>
      </c>
      <c r="I578" s="16">
        <f>IF(MATCH_ENGINE!H578="","",MATCH_ENGINE!J578)</f>
        <v/>
      </c>
      <c r="J578" s="12">
        <f>IF(MATCH_ENGINE!A578="","",MATCH_ENGINE!K578)</f>
        <v/>
      </c>
      <c r="K578" s="11">
        <f>IF(MATCH_ENGINE!A578="","",MATCH_ENGINE!L578)</f>
        <v/>
      </c>
      <c r="L578" s="17">
        <f>IF(MATCH_ENGINE!A578="","",MATCH_ENGINE!M578)</f>
        <v/>
      </c>
      <c r="M578" s="11">
        <f>IF(MATCH_ENGINE!A578="","",GL_CLEAN!F578)</f>
        <v/>
      </c>
      <c r="N578" s="11">
        <f>IF(MATCH_ENGINE!A578="","",GL_CLEAN!G578)</f>
        <v/>
      </c>
      <c r="O578" s="11">
        <f>IF(MATCH_ENGINE!H578="","",INDEX(BANK_CLEAN!$C$2:$C$1001,MATCH_ENGINE!H578))</f>
        <v/>
      </c>
      <c r="P578" s="11" t="inlineStr"/>
    </row>
    <row r="579">
      <c r="A579" s="11">
        <f>IF(MATCH_ENGINE!A579="","",MATCH_ENGINE!N579)</f>
        <v/>
      </c>
      <c r="B579" s="11">
        <f>IF(MATCH_ENGINE!A579="","",MATCH_ENGINE!C579)</f>
        <v/>
      </c>
      <c r="C579" s="10">
        <f>IF(MATCH_ENGINE!A579="","",MATCH_ENGINE!B579)</f>
        <v/>
      </c>
      <c r="D579" s="16">
        <f>IF(MATCH_ENGINE!A579="","",MATCH_ENGINE!D579)</f>
        <v/>
      </c>
      <c r="E579" s="11">
        <f>IF(MATCH_ENGINE!A579="","",MATCH_ENGINE!F579)</f>
        <v/>
      </c>
      <c r="F579" s="10">
        <f>IF(MATCH_ENGINE!A579="","",MATCH_ENGINE!I579)</f>
        <v/>
      </c>
      <c r="G579" s="16">
        <f>IF(MATCH_ENGINE!H579="","",IF(MATCH_ENGINE!F579="IN",MATCH_ENGINE!J579,""))</f>
        <v/>
      </c>
      <c r="H579" s="16">
        <f>IF(MATCH_ENGINE!H579="","",IF(MATCH_ENGINE!F579="OUT",MATCH_ENGINE!J579,""))</f>
        <v/>
      </c>
      <c r="I579" s="16">
        <f>IF(MATCH_ENGINE!H579="","",MATCH_ENGINE!J579)</f>
        <v/>
      </c>
      <c r="J579" s="12">
        <f>IF(MATCH_ENGINE!A579="","",MATCH_ENGINE!K579)</f>
        <v/>
      </c>
      <c r="K579" s="11">
        <f>IF(MATCH_ENGINE!A579="","",MATCH_ENGINE!L579)</f>
        <v/>
      </c>
      <c r="L579" s="17">
        <f>IF(MATCH_ENGINE!A579="","",MATCH_ENGINE!M579)</f>
        <v/>
      </c>
      <c r="M579" s="11">
        <f>IF(MATCH_ENGINE!A579="","",GL_CLEAN!F579)</f>
        <v/>
      </c>
      <c r="N579" s="11">
        <f>IF(MATCH_ENGINE!A579="","",GL_CLEAN!G579)</f>
        <v/>
      </c>
      <c r="O579" s="11">
        <f>IF(MATCH_ENGINE!H579="","",INDEX(BANK_CLEAN!$C$2:$C$1001,MATCH_ENGINE!H579))</f>
        <v/>
      </c>
      <c r="P579" s="11" t="inlineStr"/>
    </row>
    <row r="580">
      <c r="A580" s="11">
        <f>IF(MATCH_ENGINE!A580="","",MATCH_ENGINE!N580)</f>
        <v/>
      </c>
      <c r="B580" s="11">
        <f>IF(MATCH_ENGINE!A580="","",MATCH_ENGINE!C580)</f>
        <v/>
      </c>
      <c r="C580" s="10">
        <f>IF(MATCH_ENGINE!A580="","",MATCH_ENGINE!B580)</f>
        <v/>
      </c>
      <c r="D580" s="16">
        <f>IF(MATCH_ENGINE!A580="","",MATCH_ENGINE!D580)</f>
        <v/>
      </c>
      <c r="E580" s="11">
        <f>IF(MATCH_ENGINE!A580="","",MATCH_ENGINE!F580)</f>
        <v/>
      </c>
      <c r="F580" s="10">
        <f>IF(MATCH_ENGINE!A580="","",MATCH_ENGINE!I580)</f>
        <v/>
      </c>
      <c r="G580" s="16">
        <f>IF(MATCH_ENGINE!H580="","",IF(MATCH_ENGINE!F580="IN",MATCH_ENGINE!J580,""))</f>
        <v/>
      </c>
      <c r="H580" s="16">
        <f>IF(MATCH_ENGINE!H580="","",IF(MATCH_ENGINE!F580="OUT",MATCH_ENGINE!J580,""))</f>
        <v/>
      </c>
      <c r="I580" s="16">
        <f>IF(MATCH_ENGINE!H580="","",MATCH_ENGINE!J580)</f>
        <v/>
      </c>
      <c r="J580" s="12">
        <f>IF(MATCH_ENGINE!A580="","",MATCH_ENGINE!K580)</f>
        <v/>
      </c>
      <c r="K580" s="11">
        <f>IF(MATCH_ENGINE!A580="","",MATCH_ENGINE!L580)</f>
        <v/>
      </c>
      <c r="L580" s="17">
        <f>IF(MATCH_ENGINE!A580="","",MATCH_ENGINE!M580)</f>
        <v/>
      </c>
      <c r="M580" s="11">
        <f>IF(MATCH_ENGINE!A580="","",GL_CLEAN!F580)</f>
        <v/>
      </c>
      <c r="N580" s="11">
        <f>IF(MATCH_ENGINE!A580="","",GL_CLEAN!G580)</f>
        <v/>
      </c>
      <c r="O580" s="11">
        <f>IF(MATCH_ENGINE!H580="","",INDEX(BANK_CLEAN!$C$2:$C$1001,MATCH_ENGINE!H580))</f>
        <v/>
      </c>
      <c r="P580" s="11" t="inlineStr"/>
    </row>
    <row r="581">
      <c r="A581" s="11">
        <f>IF(MATCH_ENGINE!A581="","",MATCH_ENGINE!N581)</f>
        <v/>
      </c>
      <c r="B581" s="11">
        <f>IF(MATCH_ENGINE!A581="","",MATCH_ENGINE!C581)</f>
        <v/>
      </c>
      <c r="C581" s="10">
        <f>IF(MATCH_ENGINE!A581="","",MATCH_ENGINE!B581)</f>
        <v/>
      </c>
      <c r="D581" s="16">
        <f>IF(MATCH_ENGINE!A581="","",MATCH_ENGINE!D581)</f>
        <v/>
      </c>
      <c r="E581" s="11">
        <f>IF(MATCH_ENGINE!A581="","",MATCH_ENGINE!F581)</f>
        <v/>
      </c>
      <c r="F581" s="10">
        <f>IF(MATCH_ENGINE!A581="","",MATCH_ENGINE!I581)</f>
        <v/>
      </c>
      <c r="G581" s="16">
        <f>IF(MATCH_ENGINE!H581="","",IF(MATCH_ENGINE!F581="IN",MATCH_ENGINE!J581,""))</f>
        <v/>
      </c>
      <c r="H581" s="16">
        <f>IF(MATCH_ENGINE!H581="","",IF(MATCH_ENGINE!F581="OUT",MATCH_ENGINE!J581,""))</f>
        <v/>
      </c>
      <c r="I581" s="16">
        <f>IF(MATCH_ENGINE!H581="","",MATCH_ENGINE!J581)</f>
        <v/>
      </c>
      <c r="J581" s="12">
        <f>IF(MATCH_ENGINE!A581="","",MATCH_ENGINE!K581)</f>
        <v/>
      </c>
      <c r="K581" s="11">
        <f>IF(MATCH_ENGINE!A581="","",MATCH_ENGINE!L581)</f>
        <v/>
      </c>
      <c r="L581" s="17">
        <f>IF(MATCH_ENGINE!A581="","",MATCH_ENGINE!M581)</f>
        <v/>
      </c>
      <c r="M581" s="11">
        <f>IF(MATCH_ENGINE!A581="","",GL_CLEAN!F581)</f>
        <v/>
      </c>
      <c r="N581" s="11">
        <f>IF(MATCH_ENGINE!A581="","",GL_CLEAN!G581)</f>
        <v/>
      </c>
      <c r="O581" s="11">
        <f>IF(MATCH_ENGINE!H581="","",INDEX(BANK_CLEAN!$C$2:$C$1001,MATCH_ENGINE!H581))</f>
        <v/>
      </c>
      <c r="P581" s="11" t="inlineStr"/>
    </row>
    <row r="582">
      <c r="A582" s="11">
        <f>IF(MATCH_ENGINE!A582="","",MATCH_ENGINE!N582)</f>
        <v/>
      </c>
      <c r="B582" s="11">
        <f>IF(MATCH_ENGINE!A582="","",MATCH_ENGINE!C582)</f>
        <v/>
      </c>
      <c r="C582" s="10">
        <f>IF(MATCH_ENGINE!A582="","",MATCH_ENGINE!B582)</f>
        <v/>
      </c>
      <c r="D582" s="16">
        <f>IF(MATCH_ENGINE!A582="","",MATCH_ENGINE!D582)</f>
        <v/>
      </c>
      <c r="E582" s="11">
        <f>IF(MATCH_ENGINE!A582="","",MATCH_ENGINE!F582)</f>
        <v/>
      </c>
      <c r="F582" s="10">
        <f>IF(MATCH_ENGINE!A582="","",MATCH_ENGINE!I582)</f>
        <v/>
      </c>
      <c r="G582" s="16">
        <f>IF(MATCH_ENGINE!H582="","",IF(MATCH_ENGINE!F582="IN",MATCH_ENGINE!J582,""))</f>
        <v/>
      </c>
      <c r="H582" s="16">
        <f>IF(MATCH_ENGINE!H582="","",IF(MATCH_ENGINE!F582="OUT",MATCH_ENGINE!J582,""))</f>
        <v/>
      </c>
      <c r="I582" s="16">
        <f>IF(MATCH_ENGINE!H582="","",MATCH_ENGINE!J582)</f>
        <v/>
      </c>
      <c r="J582" s="12">
        <f>IF(MATCH_ENGINE!A582="","",MATCH_ENGINE!K582)</f>
        <v/>
      </c>
      <c r="K582" s="11">
        <f>IF(MATCH_ENGINE!A582="","",MATCH_ENGINE!L582)</f>
        <v/>
      </c>
      <c r="L582" s="17">
        <f>IF(MATCH_ENGINE!A582="","",MATCH_ENGINE!M582)</f>
        <v/>
      </c>
      <c r="M582" s="11">
        <f>IF(MATCH_ENGINE!A582="","",GL_CLEAN!F582)</f>
        <v/>
      </c>
      <c r="N582" s="11">
        <f>IF(MATCH_ENGINE!A582="","",GL_CLEAN!G582)</f>
        <v/>
      </c>
      <c r="O582" s="11">
        <f>IF(MATCH_ENGINE!H582="","",INDEX(BANK_CLEAN!$C$2:$C$1001,MATCH_ENGINE!H582))</f>
        <v/>
      </c>
      <c r="P582" s="11" t="inlineStr"/>
    </row>
    <row r="583">
      <c r="A583" s="11">
        <f>IF(MATCH_ENGINE!A583="","",MATCH_ENGINE!N583)</f>
        <v/>
      </c>
      <c r="B583" s="11">
        <f>IF(MATCH_ENGINE!A583="","",MATCH_ENGINE!C583)</f>
        <v/>
      </c>
      <c r="C583" s="10">
        <f>IF(MATCH_ENGINE!A583="","",MATCH_ENGINE!B583)</f>
        <v/>
      </c>
      <c r="D583" s="16">
        <f>IF(MATCH_ENGINE!A583="","",MATCH_ENGINE!D583)</f>
        <v/>
      </c>
      <c r="E583" s="11">
        <f>IF(MATCH_ENGINE!A583="","",MATCH_ENGINE!F583)</f>
        <v/>
      </c>
      <c r="F583" s="10">
        <f>IF(MATCH_ENGINE!A583="","",MATCH_ENGINE!I583)</f>
        <v/>
      </c>
      <c r="G583" s="16">
        <f>IF(MATCH_ENGINE!H583="","",IF(MATCH_ENGINE!F583="IN",MATCH_ENGINE!J583,""))</f>
        <v/>
      </c>
      <c r="H583" s="16">
        <f>IF(MATCH_ENGINE!H583="","",IF(MATCH_ENGINE!F583="OUT",MATCH_ENGINE!J583,""))</f>
        <v/>
      </c>
      <c r="I583" s="16">
        <f>IF(MATCH_ENGINE!H583="","",MATCH_ENGINE!J583)</f>
        <v/>
      </c>
      <c r="J583" s="12">
        <f>IF(MATCH_ENGINE!A583="","",MATCH_ENGINE!K583)</f>
        <v/>
      </c>
      <c r="K583" s="11">
        <f>IF(MATCH_ENGINE!A583="","",MATCH_ENGINE!L583)</f>
        <v/>
      </c>
      <c r="L583" s="17">
        <f>IF(MATCH_ENGINE!A583="","",MATCH_ENGINE!M583)</f>
        <v/>
      </c>
      <c r="M583" s="11">
        <f>IF(MATCH_ENGINE!A583="","",GL_CLEAN!F583)</f>
        <v/>
      </c>
      <c r="N583" s="11">
        <f>IF(MATCH_ENGINE!A583="","",GL_CLEAN!G583)</f>
        <v/>
      </c>
      <c r="O583" s="11">
        <f>IF(MATCH_ENGINE!H583="","",INDEX(BANK_CLEAN!$C$2:$C$1001,MATCH_ENGINE!H583))</f>
        <v/>
      </c>
      <c r="P583" s="11" t="inlineStr"/>
    </row>
    <row r="584">
      <c r="A584" s="11">
        <f>IF(MATCH_ENGINE!A584="","",MATCH_ENGINE!N584)</f>
        <v/>
      </c>
      <c r="B584" s="11">
        <f>IF(MATCH_ENGINE!A584="","",MATCH_ENGINE!C584)</f>
        <v/>
      </c>
      <c r="C584" s="10">
        <f>IF(MATCH_ENGINE!A584="","",MATCH_ENGINE!B584)</f>
        <v/>
      </c>
      <c r="D584" s="16">
        <f>IF(MATCH_ENGINE!A584="","",MATCH_ENGINE!D584)</f>
        <v/>
      </c>
      <c r="E584" s="11">
        <f>IF(MATCH_ENGINE!A584="","",MATCH_ENGINE!F584)</f>
        <v/>
      </c>
      <c r="F584" s="10">
        <f>IF(MATCH_ENGINE!A584="","",MATCH_ENGINE!I584)</f>
        <v/>
      </c>
      <c r="G584" s="16">
        <f>IF(MATCH_ENGINE!H584="","",IF(MATCH_ENGINE!F584="IN",MATCH_ENGINE!J584,""))</f>
        <v/>
      </c>
      <c r="H584" s="16">
        <f>IF(MATCH_ENGINE!H584="","",IF(MATCH_ENGINE!F584="OUT",MATCH_ENGINE!J584,""))</f>
        <v/>
      </c>
      <c r="I584" s="16">
        <f>IF(MATCH_ENGINE!H584="","",MATCH_ENGINE!J584)</f>
        <v/>
      </c>
      <c r="J584" s="12">
        <f>IF(MATCH_ENGINE!A584="","",MATCH_ENGINE!K584)</f>
        <v/>
      </c>
      <c r="K584" s="11">
        <f>IF(MATCH_ENGINE!A584="","",MATCH_ENGINE!L584)</f>
        <v/>
      </c>
      <c r="L584" s="17">
        <f>IF(MATCH_ENGINE!A584="","",MATCH_ENGINE!M584)</f>
        <v/>
      </c>
      <c r="M584" s="11">
        <f>IF(MATCH_ENGINE!A584="","",GL_CLEAN!F584)</f>
        <v/>
      </c>
      <c r="N584" s="11">
        <f>IF(MATCH_ENGINE!A584="","",GL_CLEAN!G584)</f>
        <v/>
      </c>
      <c r="O584" s="11">
        <f>IF(MATCH_ENGINE!H584="","",INDEX(BANK_CLEAN!$C$2:$C$1001,MATCH_ENGINE!H584))</f>
        <v/>
      </c>
      <c r="P584" s="11" t="inlineStr"/>
    </row>
    <row r="585">
      <c r="A585" s="11">
        <f>IF(MATCH_ENGINE!A585="","",MATCH_ENGINE!N585)</f>
        <v/>
      </c>
      <c r="B585" s="11">
        <f>IF(MATCH_ENGINE!A585="","",MATCH_ENGINE!C585)</f>
        <v/>
      </c>
      <c r="C585" s="10">
        <f>IF(MATCH_ENGINE!A585="","",MATCH_ENGINE!B585)</f>
        <v/>
      </c>
      <c r="D585" s="16">
        <f>IF(MATCH_ENGINE!A585="","",MATCH_ENGINE!D585)</f>
        <v/>
      </c>
      <c r="E585" s="11">
        <f>IF(MATCH_ENGINE!A585="","",MATCH_ENGINE!F585)</f>
        <v/>
      </c>
      <c r="F585" s="10">
        <f>IF(MATCH_ENGINE!A585="","",MATCH_ENGINE!I585)</f>
        <v/>
      </c>
      <c r="G585" s="16">
        <f>IF(MATCH_ENGINE!H585="","",IF(MATCH_ENGINE!F585="IN",MATCH_ENGINE!J585,""))</f>
        <v/>
      </c>
      <c r="H585" s="16">
        <f>IF(MATCH_ENGINE!H585="","",IF(MATCH_ENGINE!F585="OUT",MATCH_ENGINE!J585,""))</f>
        <v/>
      </c>
      <c r="I585" s="16">
        <f>IF(MATCH_ENGINE!H585="","",MATCH_ENGINE!J585)</f>
        <v/>
      </c>
      <c r="J585" s="12">
        <f>IF(MATCH_ENGINE!A585="","",MATCH_ENGINE!K585)</f>
        <v/>
      </c>
      <c r="K585" s="11">
        <f>IF(MATCH_ENGINE!A585="","",MATCH_ENGINE!L585)</f>
        <v/>
      </c>
      <c r="L585" s="17">
        <f>IF(MATCH_ENGINE!A585="","",MATCH_ENGINE!M585)</f>
        <v/>
      </c>
      <c r="M585" s="11">
        <f>IF(MATCH_ENGINE!A585="","",GL_CLEAN!F585)</f>
        <v/>
      </c>
      <c r="N585" s="11">
        <f>IF(MATCH_ENGINE!A585="","",GL_CLEAN!G585)</f>
        <v/>
      </c>
      <c r="O585" s="11">
        <f>IF(MATCH_ENGINE!H585="","",INDEX(BANK_CLEAN!$C$2:$C$1001,MATCH_ENGINE!H585))</f>
        <v/>
      </c>
      <c r="P585" s="11" t="inlineStr"/>
    </row>
    <row r="586">
      <c r="A586" s="11">
        <f>IF(MATCH_ENGINE!A586="","",MATCH_ENGINE!N586)</f>
        <v/>
      </c>
      <c r="B586" s="11">
        <f>IF(MATCH_ENGINE!A586="","",MATCH_ENGINE!C586)</f>
        <v/>
      </c>
      <c r="C586" s="10">
        <f>IF(MATCH_ENGINE!A586="","",MATCH_ENGINE!B586)</f>
        <v/>
      </c>
      <c r="D586" s="16">
        <f>IF(MATCH_ENGINE!A586="","",MATCH_ENGINE!D586)</f>
        <v/>
      </c>
      <c r="E586" s="11">
        <f>IF(MATCH_ENGINE!A586="","",MATCH_ENGINE!F586)</f>
        <v/>
      </c>
      <c r="F586" s="10">
        <f>IF(MATCH_ENGINE!A586="","",MATCH_ENGINE!I586)</f>
        <v/>
      </c>
      <c r="G586" s="16">
        <f>IF(MATCH_ENGINE!H586="","",IF(MATCH_ENGINE!F586="IN",MATCH_ENGINE!J586,""))</f>
        <v/>
      </c>
      <c r="H586" s="16">
        <f>IF(MATCH_ENGINE!H586="","",IF(MATCH_ENGINE!F586="OUT",MATCH_ENGINE!J586,""))</f>
        <v/>
      </c>
      <c r="I586" s="16">
        <f>IF(MATCH_ENGINE!H586="","",MATCH_ENGINE!J586)</f>
        <v/>
      </c>
      <c r="J586" s="12">
        <f>IF(MATCH_ENGINE!A586="","",MATCH_ENGINE!K586)</f>
        <v/>
      </c>
      <c r="K586" s="11">
        <f>IF(MATCH_ENGINE!A586="","",MATCH_ENGINE!L586)</f>
        <v/>
      </c>
      <c r="L586" s="17">
        <f>IF(MATCH_ENGINE!A586="","",MATCH_ENGINE!M586)</f>
        <v/>
      </c>
      <c r="M586" s="11">
        <f>IF(MATCH_ENGINE!A586="","",GL_CLEAN!F586)</f>
        <v/>
      </c>
      <c r="N586" s="11">
        <f>IF(MATCH_ENGINE!A586="","",GL_CLEAN!G586)</f>
        <v/>
      </c>
      <c r="O586" s="11">
        <f>IF(MATCH_ENGINE!H586="","",INDEX(BANK_CLEAN!$C$2:$C$1001,MATCH_ENGINE!H586))</f>
        <v/>
      </c>
      <c r="P586" s="11" t="inlineStr"/>
    </row>
    <row r="587">
      <c r="A587" s="11">
        <f>IF(MATCH_ENGINE!A587="","",MATCH_ENGINE!N587)</f>
        <v/>
      </c>
      <c r="B587" s="11">
        <f>IF(MATCH_ENGINE!A587="","",MATCH_ENGINE!C587)</f>
        <v/>
      </c>
      <c r="C587" s="10">
        <f>IF(MATCH_ENGINE!A587="","",MATCH_ENGINE!B587)</f>
        <v/>
      </c>
      <c r="D587" s="16">
        <f>IF(MATCH_ENGINE!A587="","",MATCH_ENGINE!D587)</f>
        <v/>
      </c>
      <c r="E587" s="11">
        <f>IF(MATCH_ENGINE!A587="","",MATCH_ENGINE!F587)</f>
        <v/>
      </c>
      <c r="F587" s="10">
        <f>IF(MATCH_ENGINE!A587="","",MATCH_ENGINE!I587)</f>
        <v/>
      </c>
      <c r="G587" s="16">
        <f>IF(MATCH_ENGINE!H587="","",IF(MATCH_ENGINE!F587="IN",MATCH_ENGINE!J587,""))</f>
        <v/>
      </c>
      <c r="H587" s="16">
        <f>IF(MATCH_ENGINE!H587="","",IF(MATCH_ENGINE!F587="OUT",MATCH_ENGINE!J587,""))</f>
        <v/>
      </c>
      <c r="I587" s="16">
        <f>IF(MATCH_ENGINE!H587="","",MATCH_ENGINE!J587)</f>
        <v/>
      </c>
      <c r="J587" s="12">
        <f>IF(MATCH_ENGINE!A587="","",MATCH_ENGINE!K587)</f>
        <v/>
      </c>
      <c r="K587" s="11">
        <f>IF(MATCH_ENGINE!A587="","",MATCH_ENGINE!L587)</f>
        <v/>
      </c>
      <c r="L587" s="17">
        <f>IF(MATCH_ENGINE!A587="","",MATCH_ENGINE!M587)</f>
        <v/>
      </c>
      <c r="M587" s="11">
        <f>IF(MATCH_ENGINE!A587="","",GL_CLEAN!F587)</f>
        <v/>
      </c>
      <c r="N587" s="11">
        <f>IF(MATCH_ENGINE!A587="","",GL_CLEAN!G587)</f>
        <v/>
      </c>
      <c r="O587" s="11">
        <f>IF(MATCH_ENGINE!H587="","",INDEX(BANK_CLEAN!$C$2:$C$1001,MATCH_ENGINE!H587))</f>
        <v/>
      </c>
      <c r="P587" s="11" t="inlineStr"/>
    </row>
    <row r="588">
      <c r="A588" s="11">
        <f>IF(MATCH_ENGINE!A588="","",MATCH_ENGINE!N588)</f>
        <v/>
      </c>
      <c r="B588" s="11">
        <f>IF(MATCH_ENGINE!A588="","",MATCH_ENGINE!C588)</f>
        <v/>
      </c>
      <c r="C588" s="10">
        <f>IF(MATCH_ENGINE!A588="","",MATCH_ENGINE!B588)</f>
        <v/>
      </c>
      <c r="D588" s="16">
        <f>IF(MATCH_ENGINE!A588="","",MATCH_ENGINE!D588)</f>
        <v/>
      </c>
      <c r="E588" s="11">
        <f>IF(MATCH_ENGINE!A588="","",MATCH_ENGINE!F588)</f>
        <v/>
      </c>
      <c r="F588" s="10">
        <f>IF(MATCH_ENGINE!A588="","",MATCH_ENGINE!I588)</f>
        <v/>
      </c>
      <c r="G588" s="16">
        <f>IF(MATCH_ENGINE!H588="","",IF(MATCH_ENGINE!F588="IN",MATCH_ENGINE!J588,""))</f>
        <v/>
      </c>
      <c r="H588" s="16">
        <f>IF(MATCH_ENGINE!H588="","",IF(MATCH_ENGINE!F588="OUT",MATCH_ENGINE!J588,""))</f>
        <v/>
      </c>
      <c r="I588" s="16">
        <f>IF(MATCH_ENGINE!H588="","",MATCH_ENGINE!J588)</f>
        <v/>
      </c>
      <c r="J588" s="12">
        <f>IF(MATCH_ENGINE!A588="","",MATCH_ENGINE!K588)</f>
        <v/>
      </c>
      <c r="K588" s="11">
        <f>IF(MATCH_ENGINE!A588="","",MATCH_ENGINE!L588)</f>
        <v/>
      </c>
      <c r="L588" s="17">
        <f>IF(MATCH_ENGINE!A588="","",MATCH_ENGINE!M588)</f>
        <v/>
      </c>
      <c r="M588" s="11">
        <f>IF(MATCH_ENGINE!A588="","",GL_CLEAN!F588)</f>
        <v/>
      </c>
      <c r="N588" s="11">
        <f>IF(MATCH_ENGINE!A588="","",GL_CLEAN!G588)</f>
        <v/>
      </c>
      <c r="O588" s="11">
        <f>IF(MATCH_ENGINE!H588="","",INDEX(BANK_CLEAN!$C$2:$C$1001,MATCH_ENGINE!H588))</f>
        <v/>
      </c>
      <c r="P588" s="11" t="inlineStr"/>
    </row>
    <row r="589">
      <c r="A589" s="11">
        <f>IF(MATCH_ENGINE!A589="","",MATCH_ENGINE!N589)</f>
        <v/>
      </c>
      <c r="B589" s="11">
        <f>IF(MATCH_ENGINE!A589="","",MATCH_ENGINE!C589)</f>
        <v/>
      </c>
      <c r="C589" s="10">
        <f>IF(MATCH_ENGINE!A589="","",MATCH_ENGINE!B589)</f>
        <v/>
      </c>
      <c r="D589" s="16">
        <f>IF(MATCH_ENGINE!A589="","",MATCH_ENGINE!D589)</f>
        <v/>
      </c>
      <c r="E589" s="11">
        <f>IF(MATCH_ENGINE!A589="","",MATCH_ENGINE!F589)</f>
        <v/>
      </c>
      <c r="F589" s="10">
        <f>IF(MATCH_ENGINE!A589="","",MATCH_ENGINE!I589)</f>
        <v/>
      </c>
      <c r="G589" s="16">
        <f>IF(MATCH_ENGINE!H589="","",IF(MATCH_ENGINE!F589="IN",MATCH_ENGINE!J589,""))</f>
        <v/>
      </c>
      <c r="H589" s="16">
        <f>IF(MATCH_ENGINE!H589="","",IF(MATCH_ENGINE!F589="OUT",MATCH_ENGINE!J589,""))</f>
        <v/>
      </c>
      <c r="I589" s="16">
        <f>IF(MATCH_ENGINE!H589="","",MATCH_ENGINE!J589)</f>
        <v/>
      </c>
      <c r="J589" s="12">
        <f>IF(MATCH_ENGINE!A589="","",MATCH_ENGINE!K589)</f>
        <v/>
      </c>
      <c r="K589" s="11">
        <f>IF(MATCH_ENGINE!A589="","",MATCH_ENGINE!L589)</f>
        <v/>
      </c>
      <c r="L589" s="17">
        <f>IF(MATCH_ENGINE!A589="","",MATCH_ENGINE!M589)</f>
        <v/>
      </c>
      <c r="M589" s="11">
        <f>IF(MATCH_ENGINE!A589="","",GL_CLEAN!F589)</f>
        <v/>
      </c>
      <c r="N589" s="11">
        <f>IF(MATCH_ENGINE!A589="","",GL_CLEAN!G589)</f>
        <v/>
      </c>
      <c r="O589" s="11">
        <f>IF(MATCH_ENGINE!H589="","",INDEX(BANK_CLEAN!$C$2:$C$1001,MATCH_ENGINE!H589))</f>
        <v/>
      </c>
      <c r="P589" s="11" t="inlineStr"/>
    </row>
    <row r="590">
      <c r="A590" s="11">
        <f>IF(MATCH_ENGINE!A590="","",MATCH_ENGINE!N590)</f>
        <v/>
      </c>
      <c r="B590" s="11">
        <f>IF(MATCH_ENGINE!A590="","",MATCH_ENGINE!C590)</f>
        <v/>
      </c>
      <c r="C590" s="10">
        <f>IF(MATCH_ENGINE!A590="","",MATCH_ENGINE!B590)</f>
        <v/>
      </c>
      <c r="D590" s="16">
        <f>IF(MATCH_ENGINE!A590="","",MATCH_ENGINE!D590)</f>
        <v/>
      </c>
      <c r="E590" s="11">
        <f>IF(MATCH_ENGINE!A590="","",MATCH_ENGINE!F590)</f>
        <v/>
      </c>
      <c r="F590" s="10">
        <f>IF(MATCH_ENGINE!A590="","",MATCH_ENGINE!I590)</f>
        <v/>
      </c>
      <c r="G590" s="16">
        <f>IF(MATCH_ENGINE!H590="","",IF(MATCH_ENGINE!F590="IN",MATCH_ENGINE!J590,""))</f>
        <v/>
      </c>
      <c r="H590" s="16">
        <f>IF(MATCH_ENGINE!H590="","",IF(MATCH_ENGINE!F590="OUT",MATCH_ENGINE!J590,""))</f>
        <v/>
      </c>
      <c r="I590" s="16">
        <f>IF(MATCH_ENGINE!H590="","",MATCH_ENGINE!J590)</f>
        <v/>
      </c>
      <c r="J590" s="12">
        <f>IF(MATCH_ENGINE!A590="","",MATCH_ENGINE!K590)</f>
        <v/>
      </c>
      <c r="K590" s="11">
        <f>IF(MATCH_ENGINE!A590="","",MATCH_ENGINE!L590)</f>
        <v/>
      </c>
      <c r="L590" s="17">
        <f>IF(MATCH_ENGINE!A590="","",MATCH_ENGINE!M590)</f>
        <v/>
      </c>
      <c r="M590" s="11">
        <f>IF(MATCH_ENGINE!A590="","",GL_CLEAN!F590)</f>
        <v/>
      </c>
      <c r="N590" s="11">
        <f>IF(MATCH_ENGINE!A590="","",GL_CLEAN!G590)</f>
        <v/>
      </c>
      <c r="O590" s="11">
        <f>IF(MATCH_ENGINE!H590="","",INDEX(BANK_CLEAN!$C$2:$C$1001,MATCH_ENGINE!H590))</f>
        <v/>
      </c>
      <c r="P590" s="11" t="inlineStr"/>
    </row>
    <row r="591">
      <c r="A591" s="11">
        <f>IF(MATCH_ENGINE!A591="","",MATCH_ENGINE!N591)</f>
        <v/>
      </c>
      <c r="B591" s="11">
        <f>IF(MATCH_ENGINE!A591="","",MATCH_ENGINE!C591)</f>
        <v/>
      </c>
      <c r="C591" s="10">
        <f>IF(MATCH_ENGINE!A591="","",MATCH_ENGINE!B591)</f>
        <v/>
      </c>
      <c r="D591" s="16">
        <f>IF(MATCH_ENGINE!A591="","",MATCH_ENGINE!D591)</f>
        <v/>
      </c>
      <c r="E591" s="11">
        <f>IF(MATCH_ENGINE!A591="","",MATCH_ENGINE!F591)</f>
        <v/>
      </c>
      <c r="F591" s="10">
        <f>IF(MATCH_ENGINE!A591="","",MATCH_ENGINE!I591)</f>
        <v/>
      </c>
      <c r="G591" s="16">
        <f>IF(MATCH_ENGINE!H591="","",IF(MATCH_ENGINE!F591="IN",MATCH_ENGINE!J591,""))</f>
        <v/>
      </c>
      <c r="H591" s="16">
        <f>IF(MATCH_ENGINE!H591="","",IF(MATCH_ENGINE!F591="OUT",MATCH_ENGINE!J591,""))</f>
        <v/>
      </c>
      <c r="I591" s="16">
        <f>IF(MATCH_ENGINE!H591="","",MATCH_ENGINE!J591)</f>
        <v/>
      </c>
      <c r="J591" s="12">
        <f>IF(MATCH_ENGINE!A591="","",MATCH_ENGINE!K591)</f>
        <v/>
      </c>
      <c r="K591" s="11">
        <f>IF(MATCH_ENGINE!A591="","",MATCH_ENGINE!L591)</f>
        <v/>
      </c>
      <c r="L591" s="17">
        <f>IF(MATCH_ENGINE!A591="","",MATCH_ENGINE!M591)</f>
        <v/>
      </c>
      <c r="M591" s="11">
        <f>IF(MATCH_ENGINE!A591="","",GL_CLEAN!F591)</f>
        <v/>
      </c>
      <c r="N591" s="11">
        <f>IF(MATCH_ENGINE!A591="","",GL_CLEAN!G591)</f>
        <v/>
      </c>
      <c r="O591" s="11">
        <f>IF(MATCH_ENGINE!H591="","",INDEX(BANK_CLEAN!$C$2:$C$1001,MATCH_ENGINE!H591))</f>
        <v/>
      </c>
      <c r="P591" s="11" t="inlineStr"/>
    </row>
    <row r="592">
      <c r="A592" s="11">
        <f>IF(MATCH_ENGINE!A592="","",MATCH_ENGINE!N592)</f>
        <v/>
      </c>
      <c r="B592" s="11">
        <f>IF(MATCH_ENGINE!A592="","",MATCH_ENGINE!C592)</f>
        <v/>
      </c>
      <c r="C592" s="10">
        <f>IF(MATCH_ENGINE!A592="","",MATCH_ENGINE!B592)</f>
        <v/>
      </c>
      <c r="D592" s="16">
        <f>IF(MATCH_ENGINE!A592="","",MATCH_ENGINE!D592)</f>
        <v/>
      </c>
      <c r="E592" s="11">
        <f>IF(MATCH_ENGINE!A592="","",MATCH_ENGINE!F592)</f>
        <v/>
      </c>
      <c r="F592" s="10">
        <f>IF(MATCH_ENGINE!A592="","",MATCH_ENGINE!I592)</f>
        <v/>
      </c>
      <c r="G592" s="16">
        <f>IF(MATCH_ENGINE!H592="","",IF(MATCH_ENGINE!F592="IN",MATCH_ENGINE!J592,""))</f>
        <v/>
      </c>
      <c r="H592" s="16">
        <f>IF(MATCH_ENGINE!H592="","",IF(MATCH_ENGINE!F592="OUT",MATCH_ENGINE!J592,""))</f>
        <v/>
      </c>
      <c r="I592" s="16">
        <f>IF(MATCH_ENGINE!H592="","",MATCH_ENGINE!J592)</f>
        <v/>
      </c>
      <c r="J592" s="12">
        <f>IF(MATCH_ENGINE!A592="","",MATCH_ENGINE!K592)</f>
        <v/>
      </c>
      <c r="K592" s="11">
        <f>IF(MATCH_ENGINE!A592="","",MATCH_ENGINE!L592)</f>
        <v/>
      </c>
      <c r="L592" s="17">
        <f>IF(MATCH_ENGINE!A592="","",MATCH_ENGINE!M592)</f>
        <v/>
      </c>
      <c r="M592" s="11">
        <f>IF(MATCH_ENGINE!A592="","",GL_CLEAN!F592)</f>
        <v/>
      </c>
      <c r="N592" s="11">
        <f>IF(MATCH_ENGINE!A592="","",GL_CLEAN!G592)</f>
        <v/>
      </c>
      <c r="O592" s="11">
        <f>IF(MATCH_ENGINE!H592="","",INDEX(BANK_CLEAN!$C$2:$C$1001,MATCH_ENGINE!H592))</f>
        <v/>
      </c>
      <c r="P592" s="11" t="inlineStr"/>
    </row>
    <row r="593">
      <c r="A593" s="11">
        <f>IF(MATCH_ENGINE!A593="","",MATCH_ENGINE!N593)</f>
        <v/>
      </c>
      <c r="B593" s="11">
        <f>IF(MATCH_ENGINE!A593="","",MATCH_ENGINE!C593)</f>
        <v/>
      </c>
      <c r="C593" s="10">
        <f>IF(MATCH_ENGINE!A593="","",MATCH_ENGINE!B593)</f>
        <v/>
      </c>
      <c r="D593" s="16">
        <f>IF(MATCH_ENGINE!A593="","",MATCH_ENGINE!D593)</f>
        <v/>
      </c>
      <c r="E593" s="11">
        <f>IF(MATCH_ENGINE!A593="","",MATCH_ENGINE!F593)</f>
        <v/>
      </c>
      <c r="F593" s="10">
        <f>IF(MATCH_ENGINE!A593="","",MATCH_ENGINE!I593)</f>
        <v/>
      </c>
      <c r="G593" s="16">
        <f>IF(MATCH_ENGINE!H593="","",IF(MATCH_ENGINE!F593="IN",MATCH_ENGINE!J593,""))</f>
        <v/>
      </c>
      <c r="H593" s="16">
        <f>IF(MATCH_ENGINE!H593="","",IF(MATCH_ENGINE!F593="OUT",MATCH_ENGINE!J593,""))</f>
        <v/>
      </c>
      <c r="I593" s="16">
        <f>IF(MATCH_ENGINE!H593="","",MATCH_ENGINE!J593)</f>
        <v/>
      </c>
      <c r="J593" s="12">
        <f>IF(MATCH_ENGINE!A593="","",MATCH_ENGINE!K593)</f>
        <v/>
      </c>
      <c r="K593" s="11">
        <f>IF(MATCH_ENGINE!A593="","",MATCH_ENGINE!L593)</f>
        <v/>
      </c>
      <c r="L593" s="17">
        <f>IF(MATCH_ENGINE!A593="","",MATCH_ENGINE!M593)</f>
        <v/>
      </c>
      <c r="M593" s="11">
        <f>IF(MATCH_ENGINE!A593="","",GL_CLEAN!F593)</f>
        <v/>
      </c>
      <c r="N593" s="11">
        <f>IF(MATCH_ENGINE!A593="","",GL_CLEAN!G593)</f>
        <v/>
      </c>
      <c r="O593" s="11">
        <f>IF(MATCH_ENGINE!H593="","",INDEX(BANK_CLEAN!$C$2:$C$1001,MATCH_ENGINE!H593))</f>
        <v/>
      </c>
      <c r="P593" s="11" t="inlineStr"/>
    </row>
    <row r="594">
      <c r="A594" s="11">
        <f>IF(MATCH_ENGINE!A594="","",MATCH_ENGINE!N594)</f>
        <v/>
      </c>
      <c r="B594" s="11">
        <f>IF(MATCH_ENGINE!A594="","",MATCH_ENGINE!C594)</f>
        <v/>
      </c>
      <c r="C594" s="10">
        <f>IF(MATCH_ENGINE!A594="","",MATCH_ENGINE!B594)</f>
        <v/>
      </c>
      <c r="D594" s="16">
        <f>IF(MATCH_ENGINE!A594="","",MATCH_ENGINE!D594)</f>
        <v/>
      </c>
      <c r="E594" s="11">
        <f>IF(MATCH_ENGINE!A594="","",MATCH_ENGINE!F594)</f>
        <v/>
      </c>
      <c r="F594" s="10">
        <f>IF(MATCH_ENGINE!A594="","",MATCH_ENGINE!I594)</f>
        <v/>
      </c>
      <c r="G594" s="16">
        <f>IF(MATCH_ENGINE!H594="","",IF(MATCH_ENGINE!F594="IN",MATCH_ENGINE!J594,""))</f>
        <v/>
      </c>
      <c r="H594" s="16">
        <f>IF(MATCH_ENGINE!H594="","",IF(MATCH_ENGINE!F594="OUT",MATCH_ENGINE!J594,""))</f>
        <v/>
      </c>
      <c r="I594" s="16">
        <f>IF(MATCH_ENGINE!H594="","",MATCH_ENGINE!J594)</f>
        <v/>
      </c>
      <c r="J594" s="12">
        <f>IF(MATCH_ENGINE!A594="","",MATCH_ENGINE!K594)</f>
        <v/>
      </c>
      <c r="K594" s="11">
        <f>IF(MATCH_ENGINE!A594="","",MATCH_ENGINE!L594)</f>
        <v/>
      </c>
      <c r="L594" s="17">
        <f>IF(MATCH_ENGINE!A594="","",MATCH_ENGINE!M594)</f>
        <v/>
      </c>
      <c r="M594" s="11">
        <f>IF(MATCH_ENGINE!A594="","",GL_CLEAN!F594)</f>
        <v/>
      </c>
      <c r="N594" s="11">
        <f>IF(MATCH_ENGINE!A594="","",GL_CLEAN!G594)</f>
        <v/>
      </c>
      <c r="O594" s="11">
        <f>IF(MATCH_ENGINE!H594="","",INDEX(BANK_CLEAN!$C$2:$C$1001,MATCH_ENGINE!H594))</f>
        <v/>
      </c>
      <c r="P594" s="11" t="inlineStr"/>
    </row>
    <row r="595">
      <c r="A595" s="11">
        <f>IF(MATCH_ENGINE!A595="","",MATCH_ENGINE!N595)</f>
        <v/>
      </c>
      <c r="B595" s="11">
        <f>IF(MATCH_ENGINE!A595="","",MATCH_ENGINE!C595)</f>
        <v/>
      </c>
      <c r="C595" s="10">
        <f>IF(MATCH_ENGINE!A595="","",MATCH_ENGINE!B595)</f>
        <v/>
      </c>
      <c r="D595" s="16">
        <f>IF(MATCH_ENGINE!A595="","",MATCH_ENGINE!D595)</f>
        <v/>
      </c>
      <c r="E595" s="11">
        <f>IF(MATCH_ENGINE!A595="","",MATCH_ENGINE!F595)</f>
        <v/>
      </c>
      <c r="F595" s="10">
        <f>IF(MATCH_ENGINE!A595="","",MATCH_ENGINE!I595)</f>
        <v/>
      </c>
      <c r="G595" s="16">
        <f>IF(MATCH_ENGINE!H595="","",IF(MATCH_ENGINE!F595="IN",MATCH_ENGINE!J595,""))</f>
        <v/>
      </c>
      <c r="H595" s="16">
        <f>IF(MATCH_ENGINE!H595="","",IF(MATCH_ENGINE!F595="OUT",MATCH_ENGINE!J595,""))</f>
        <v/>
      </c>
      <c r="I595" s="16">
        <f>IF(MATCH_ENGINE!H595="","",MATCH_ENGINE!J595)</f>
        <v/>
      </c>
      <c r="J595" s="12">
        <f>IF(MATCH_ENGINE!A595="","",MATCH_ENGINE!K595)</f>
        <v/>
      </c>
      <c r="K595" s="11">
        <f>IF(MATCH_ENGINE!A595="","",MATCH_ENGINE!L595)</f>
        <v/>
      </c>
      <c r="L595" s="17">
        <f>IF(MATCH_ENGINE!A595="","",MATCH_ENGINE!M595)</f>
        <v/>
      </c>
      <c r="M595" s="11">
        <f>IF(MATCH_ENGINE!A595="","",GL_CLEAN!F595)</f>
        <v/>
      </c>
      <c r="N595" s="11">
        <f>IF(MATCH_ENGINE!A595="","",GL_CLEAN!G595)</f>
        <v/>
      </c>
      <c r="O595" s="11">
        <f>IF(MATCH_ENGINE!H595="","",INDEX(BANK_CLEAN!$C$2:$C$1001,MATCH_ENGINE!H595))</f>
        <v/>
      </c>
      <c r="P595" s="11" t="inlineStr"/>
    </row>
    <row r="596">
      <c r="A596" s="11">
        <f>IF(MATCH_ENGINE!A596="","",MATCH_ENGINE!N596)</f>
        <v/>
      </c>
      <c r="B596" s="11">
        <f>IF(MATCH_ENGINE!A596="","",MATCH_ENGINE!C596)</f>
        <v/>
      </c>
      <c r="C596" s="10">
        <f>IF(MATCH_ENGINE!A596="","",MATCH_ENGINE!B596)</f>
        <v/>
      </c>
      <c r="D596" s="16">
        <f>IF(MATCH_ENGINE!A596="","",MATCH_ENGINE!D596)</f>
        <v/>
      </c>
      <c r="E596" s="11">
        <f>IF(MATCH_ENGINE!A596="","",MATCH_ENGINE!F596)</f>
        <v/>
      </c>
      <c r="F596" s="10">
        <f>IF(MATCH_ENGINE!A596="","",MATCH_ENGINE!I596)</f>
        <v/>
      </c>
      <c r="G596" s="16">
        <f>IF(MATCH_ENGINE!H596="","",IF(MATCH_ENGINE!F596="IN",MATCH_ENGINE!J596,""))</f>
        <v/>
      </c>
      <c r="H596" s="16">
        <f>IF(MATCH_ENGINE!H596="","",IF(MATCH_ENGINE!F596="OUT",MATCH_ENGINE!J596,""))</f>
        <v/>
      </c>
      <c r="I596" s="16">
        <f>IF(MATCH_ENGINE!H596="","",MATCH_ENGINE!J596)</f>
        <v/>
      </c>
      <c r="J596" s="12">
        <f>IF(MATCH_ENGINE!A596="","",MATCH_ENGINE!K596)</f>
        <v/>
      </c>
      <c r="K596" s="11">
        <f>IF(MATCH_ENGINE!A596="","",MATCH_ENGINE!L596)</f>
        <v/>
      </c>
      <c r="L596" s="17">
        <f>IF(MATCH_ENGINE!A596="","",MATCH_ENGINE!M596)</f>
        <v/>
      </c>
      <c r="M596" s="11">
        <f>IF(MATCH_ENGINE!A596="","",GL_CLEAN!F596)</f>
        <v/>
      </c>
      <c r="N596" s="11">
        <f>IF(MATCH_ENGINE!A596="","",GL_CLEAN!G596)</f>
        <v/>
      </c>
      <c r="O596" s="11">
        <f>IF(MATCH_ENGINE!H596="","",INDEX(BANK_CLEAN!$C$2:$C$1001,MATCH_ENGINE!H596))</f>
        <v/>
      </c>
      <c r="P596" s="11" t="inlineStr"/>
    </row>
    <row r="597">
      <c r="A597" s="11">
        <f>IF(MATCH_ENGINE!A597="","",MATCH_ENGINE!N597)</f>
        <v/>
      </c>
      <c r="B597" s="11">
        <f>IF(MATCH_ENGINE!A597="","",MATCH_ENGINE!C597)</f>
        <v/>
      </c>
      <c r="C597" s="10">
        <f>IF(MATCH_ENGINE!A597="","",MATCH_ENGINE!B597)</f>
        <v/>
      </c>
      <c r="D597" s="16">
        <f>IF(MATCH_ENGINE!A597="","",MATCH_ENGINE!D597)</f>
        <v/>
      </c>
      <c r="E597" s="11">
        <f>IF(MATCH_ENGINE!A597="","",MATCH_ENGINE!F597)</f>
        <v/>
      </c>
      <c r="F597" s="10">
        <f>IF(MATCH_ENGINE!A597="","",MATCH_ENGINE!I597)</f>
        <v/>
      </c>
      <c r="G597" s="16">
        <f>IF(MATCH_ENGINE!H597="","",IF(MATCH_ENGINE!F597="IN",MATCH_ENGINE!J597,""))</f>
        <v/>
      </c>
      <c r="H597" s="16">
        <f>IF(MATCH_ENGINE!H597="","",IF(MATCH_ENGINE!F597="OUT",MATCH_ENGINE!J597,""))</f>
        <v/>
      </c>
      <c r="I597" s="16">
        <f>IF(MATCH_ENGINE!H597="","",MATCH_ENGINE!J597)</f>
        <v/>
      </c>
      <c r="J597" s="12">
        <f>IF(MATCH_ENGINE!A597="","",MATCH_ENGINE!K597)</f>
        <v/>
      </c>
      <c r="K597" s="11">
        <f>IF(MATCH_ENGINE!A597="","",MATCH_ENGINE!L597)</f>
        <v/>
      </c>
      <c r="L597" s="17">
        <f>IF(MATCH_ENGINE!A597="","",MATCH_ENGINE!M597)</f>
        <v/>
      </c>
      <c r="M597" s="11">
        <f>IF(MATCH_ENGINE!A597="","",GL_CLEAN!F597)</f>
        <v/>
      </c>
      <c r="N597" s="11">
        <f>IF(MATCH_ENGINE!A597="","",GL_CLEAN!G597)</f>
        <v/>
      </c>
      <c r="O597" s="11">
        <f>IF(MATCH_ENGINE!H597="","",INDEX(BANK_CLEAN!$C$2:$C$1001,MATCH_ENGINE!H597))</f>
        <v/>
      </c>
      <c r="P597" s="11" t="inlineStr"/>
    </row>
    <row r="598">
      <c r="A598" s="11">
        <f>IF(MATCH_ENGINE!A598="","",MATCH_ENGINE!N598)</f>
        <v/>
      </c>
      <c r="B598" s="11">
        <f>IF(MATCH_ENGINE!A598="","",MATCH_ENGINE!C598)</f>
        <v/>
      </c>
      <c r="C598" s="10">
        <f>IF(MATCH_ENGINE!A598="","",MATCH_ENGINE!B598)</f>
        <v/>
      </c>
      <c r="D598" s="16">
        <f>IF(MATCH_ENGINE!A598="","",MATCH_ENGINE!D598)</f>
        <v/>
      </c>
      <c r="E598" s="11">
        <f>IF(MATCH_ENGINE!A598="","",MATCH_ENGINE!F598)</f>
        <v/>
      </c>
      <c r="F598" s="10">
        <f>IF(MATCH_ENGINE!A598="","",MATCH_ENGINE!I598)</f>
        <v/>
      </c>
      <c r="G598" s="16">
        <f>IF(MATCH_ENGINE!H598="","",IF(MATCH_ENGINE!F598="IN",MATCH_ENGINE!J598,""))</f>
        <v/>
      </c>
      <c r="H598" s="16">
        <f>IF(MATCH_ENGINE!H598="","",IF(MATCH_ENGINE!F598="OUT",MATCH_ENGINE!J598,""))</f>
        <v/>
      </c>
      <c r="I598" s="16">
        <f>IF(MATCH_ENGINE!H598="","",MATCH_ENGINE!J598)</f>
        <v/>
      </c>
      <c r="J598" s="12">
        <f>IF(MATCH_ENGINE!A598="","",MATCH_ENGINE!K598)</f>
        <v/>
      </c>
      <c r="K598" s="11">
        <f>IF(MATCH_ENGINE!A598="","",MATCH_ENGINE!L598)</f>
        <v/>
      </c>
      <c r="L598" s="17">
        <f>IF(MATCH_ENGINE!A598="","",MATCH_ENGINE!M598)</f>
        <v/>
      </c>
      <c r="M598" s="11">
        <f>IF(MATCH_ENGINE!A598="","",GL_CLEAN!F598)</f>
        <v/>
      </c>
      <c r="N598" s="11">
        <f>IF(MATCH_ENGINE!A598="","",GL_CLEAN!G598)</f>
        <v/>
      </c>
      <c r="O598" s="11">
        <f>IF(MATCH_ENGINE!H598="","",INDEX(BANK_CLEAN!$C$2:$C$1001,MATCH_ENGINE!H598))</f>
        <v/>
      </c>
      <c r="P598" s="11" t="inlineStr"/>
    </row>
    <row r="599">
      <c r="A599" s="11">
        <f>IF(MATCH_ENGINE!A599="","",MATCH_ENGINE!N599)</f>
        <v/>
      </c>
      <c r="B599" s="11">
        <f>IF(MATCH_ENGINE!A599="","",MATCH_ENGINE!C599)</f>
        <v/>
      </c>
      <c r="C599" s="10">
        <f>IF(MATCH_ENGINE!A599="","",MATCH_ENGINE!B599)</f>
        <v/>
      </c>
      <c r="D599" s="16">
        <f>IF(MATCH_ENGINE!A599="","",MATCH_ENGINE!D599)</f>
        <v/>
      </c>
      <c r="E599" s="11">
        <f>IF(MATCH_ENGINE!A599="","",MATCH_ENGINE!F599)</f>
        <v/>
      </c>
      <c r="F599" s="10">
        <f>IF(MATCH_ENGINE!A599="","",MATCH_ENGINE!I599)</f>
        <v/>
      </c>
      <c r="G599" s="16">
        <f>IF(MATCH_ENGINE!H599="","",IF(MATCH_ENGINE!F599="IN",MATCH_ENGINE!J599,""))</f>
        <v/>
      </c>
      <c r="H599" s="16">
        <f>IF(MATCH_ENGINE!H599="","",IF(MATCH_ENGINE!F599="OUT",MATCH_ENGINE!J599,""))</f>
        <v/>
      </c>
      <c r="I599" s="16">
        <f>IF(MATCH_ENGINE!H599="","",MATCH_ENGINE!J599)</f>
        <v/>
      </c>
      <c r="J599" s="12">
        <f>IF(MATCH_ENGINE!A599="","",MATCH_ENGINE!K599)</f>
        <v/>
      </c>
      <c r="K599" s="11">
        <f>IF(MATCH_ENGINE!A599="","",MATCH_ENGINE!L599)</f>
        <v/>
      </c>
      <c r="L599" s="17">
        <f>IF(MATCH_ENGINE!A599="","",MATCH_ENGINE!M599)</f>
        <v/>
      </c>
      <c r="M599" s="11">
        <f>IF(MATCH_ENGINE!A599="","",GL_CLEAN!F599)</f>
        <v/>
      </c>
      <c r="N599" s="11">
        <f>IF(MATCH_ENGINE!A599="","",GL_CLEAN!G599)</f>
        <v/>
      </c>
      <c r="O599" s="11">
        <f>IF(MATCH_ENGINE!H599="","",INDEX(BANK_CLEAN!$C$2:$C$1001,MATCH_ENGINE!H599))</f>
        <v/>
      </c>
      <c r="P599" s="11" t="inlineStr"/>
    </row>
    <row r="600">
      <c r="A600" s="11">
        <f>IF(MATCH_ENGINE!A600="","",MATCH_ENGINE!N600)</f>
        <v/>
      </c>
      <c r="B600" s="11">
        <f>IF(MATCH_ENGINE!A600="","",MATCH_ENGINE!C600)</f>
        <v/>
      </c>
      <c r="C600" s="10">
        <f>IF(MATCH_ENGINE!A600="","",MATCH_ENGINE!B600)</f>
        <v/>
      </c>
      <c r="D600" s="16">
        <f>IF(MATCH_ENGINE!A600="","",MATCH_ENGINE!D600)</f>
        <v/>
      </c>
      <c r="E600" s="11">
        <f>IF(MATCH_ENGINE!A600="","",MATCH_ENGINE!F600)</f>
        <v/>
      </c>
      <c r="F600" s="10">
        <f>IF(MATCH_ENGINE!A600="","",MATCH_ENGINE!I600)</f>
        <v/>
      </c>
      <c r="G600" s="16">
        <f>IF(MATCH_ENGINE!H600="","",IF(MATCH_ENGINE!F600="IN",MATCH_ENGINE!J600,""))</f>
        <v/>
      </c>
      <c r="H600" s="16">
        <f>IF(MATCH_ENGINE!H600="","",IF(MATCH_ENGINE!F600="OUT",MATCH_ENGINE!J600,""))</f>
        <v/>
      </c>
      <c r="I600" s="16">
        <f>IF(MATCH_ENGINE!H600="","",MATCH_ENGINE!J600)</f>
        <v/>
      </c>
      <c r="J600" s="12">
        <f>IF(MATCH_ENGINE!A600="","",MATCH_ENGINE!K600)</f>
        <v/>
      </c>
      <c r="K600" s="11">
        <f>IF(MATCH_ENGINE!A600="","",MATCH_ENGINE!L600)</f>
        <v/>
      </c>
      <c r="L600" s="17">
        <f>IF(MATCH_ENGINE!A600="","",MATCH_ENGINE!M600)</f>
        <v/>
      </c>
      <c r="M600" s="11">
        <f>IF(MATCH_ENGINE!A600="","",GL_CLEAN!F600)</f>
        <v/>
      </c>
      <c r="N600" s="11">
        <f>IF(MATCH_ENGINE!A600="","",GL_CLEAN!G600)</f>
        <v/>
      </c>
      <c r="O600" s="11">
        <f>IF(MATCH_ENGINE!H600="","",INDEX(BANK_CLEAN!$C$2:$C$1001,MATCH_ENGINE!H600))</f>
        <v/>
      </c>
      <c r="P600" s="11" t="inlineStr"/>
    </row>
    <row r="601">
      <c r="A601" s="11">
        <f>IF(MATCH_ENGINE!A601="","",MATCH_ENGINE!N601)</f>
        <v/>
      </c>
      <c r="B601" s="11">
        <f>IF(MATCH_ENGINE!A601="","",MATCH_ENGINE!C601)</f>
        <v/>
      </c>
      <c r="C601" s="10">
        <f>IF(MATCH_ENGINE!A601="","",MATCH_ENGINE!B601)</f>
        <v/>
      </c>
      <c r="D601" s="16">
        <f>IF(MATCH_ENGINE!A601="","",MATCH_ENGINE!D601)</f>
        <v/>
      </c>
      <c r="E601" s="11">
        <f>IF(MATCH_ENGINE!A601="","",MATCH_ENGINE!F601)</f>
        <v/>
      </c>
      <c r="F601" s="10">
        <f>IF(MATCH_ENGINE!A601="","",MATCH_ENGINE!I601)</f>
        <v/>
      </c>
      <c r="G601" s="16">
        <f>IF(MATCH_ENGINE!H601="","",IF(MATCH_ENGINE!F601="IN",MATCH_ENGINE!J601,""))</f>
        <v/>
      </c>
      <c r="H601" s="16">
        <f>IF(MATCH_ENGINE!H601="","",IF(MATCH_ENGINE!F601="OUT",MATCH_ENGINE!J601,""))</f>
        <v/>
      </c>
      <c r="I601" s="16">
        <f>IF(MATCH_ENGINE!H601="","",MATCH_ENGINE!J601)</f>
        <v/>
      </c>
      <c r="J601" s="12">
        <f>IF(MATCH_ENGINE!A601="","",MATCH_ENGINE!K601)</f>
        <v/>
      </c>
      <c r="K601" s="11">
        <f>IF(MATCH_ENGINE!A601="","",MATCH_ENGINE!L601)</f>
        <v/>
      </c>
      <c r="L601" s="17">
        <f>IF(MATCH_ENGINE!A601="","",MATCH_ENGINE!M601)</f>
        <v/>
      </c>
      <c r="M601" s="11">
        <f>IF(MATCH_ENGINE!A601="","",GL_CLEAN!F601)</f>
        <v/>
      </c>
      <c r="N601" s="11">
        <f>IF(MATCH_ENGINE!A601="","",GL_CLEAN!G601)</f>
        <v/>
      </c>
      <c r="O601" s="11">
        <f>IF(MATCH_ENGINE!H601="","",INDEX(BANK_CLEAN!$C$2:$C$1001,MATCH_ENGINE!H601))</f>
        <v/>
      </c>
      <c r="P601" s="11" t="inlineStr"/>
    </row>
    <row r="602">
      <c r="A602" s="11">
        <f>IF(MATCH_ENGINE!A602="","",MATCH_ENGINE!N602)</f>
        <v/>
      </c>
      <c r="B602" s="11">
        <f>IF(MATCH_ENGINE!A602="","",MATCH_ENGINE!C602)</f>
        <v/>
      </c>
      <c r="C602" s="10">
        <f>IF(MATCH_ENGINE!A602="","",MATCH_ENGINE!B602)</f>
        <v/>
      </c>
      <c r="D602" s="16">
        <f>IF(MATCH_ENGINE!A602="","",MATCH_ENGINE!D602)</f>
        <v/>
      </c>
      <c r="E602" s="11">
        <f>IF(MATCH_ENGINE!A602="","",MATCH_ENGINE!F602)</f>
        <v/>
      </c>
      <c r="F602" s="10">
        <f>IF(MATCH_ENGINE!A602="","",MATCH_ENGINE!I602)</f>
        <v/>
      </c>
      <c r="G602" s="16">
        <f>IF(MATCH_ENGINE!H602="","",IF(MATCH_ENGINE!F602="IN",MATCH_ENGINE!J602,""))</f>
        <v/>
      </c>
      <c r="H602" s="16">
        <f>IF(MATCH_ENGINE!H602="","",IF(MATCH_ENGINE!F602="OUT",MATCH_ENGINE!J602,""))</f>
        <v/>
      </c>
      <c r="I602" s="16">
        <f>IF(MATCH_ENGINE!H602="","",MATCH_ENGINE!J602)</f>
        <v/>
      </c>
      <c r="J602" s="12">
        <f>IF(MATCH_ENGINE!A602="","",MATCH_ENGINE!K602)</f>
        <v/>
      </c>
      <c r="K602" s="11">
        <f>IF(MATCH_ENGINE!A602="","",MATCH_ENGINE!L602)</f>
        <v/>
      </c>
      <c r="L602" s="17">
        <f>IF(MATCH_ENGINE!A602="","",MATCH_ENGINE!M602)</f>
        <v/>
      </c>
      <c r="M602" s="11">
        <f>IF(MATCH_ENGINE!A602="","",GL_CLEAN!F602)</f>
        <v/>
      </c>
      <c r="N602" s="11">
        <f>IF(MATCH_ENGINE!A602="","",GL_CLEAN!G602)</f>
        <v/>
      </c>
      <c r="O602" s="11">
        <f>IF(MATCH_ENGINE!H602="","",INDEX(BANK_CLEAN!$C$2:$C$1001,MATCH_ENGINE!H602))</f>
        <v/>
      </c>
      <c r="P602" s="11" t="inlineStr"/>
    </row>
    <row r="603">
      <c r="A603" s="11">
        <f>IF(MATCH_ENGINE!A603="","",MATCH_ENGINE!N603)</f>
        <v/>
      </c>
      <c r="B603" s="11">
        <f>IF(MATCH_ENGINE!A603="","",MATCH_ENGINE!C603)</f>
        <v/>
      </c>
      <c r="C603" s="10">
        <f>IF(MATCH_ENGINE!A603="","",MATCH_ENGINE!B603)</f>
        <v/>
      </c>
      <c r="D603" s="16">
        <f>IF(MATCH_ENGINE!A603="","",MATCH_ENGINE!D603)</f>
        <v/>
      </c>
      <c r="E603" s="11">
        <f>IF(MATCH_ENGINE!A603="","",MATCH_ENGINE!F603)</f>
        <v/>
      </c>
      <c r="F603" s="10">
        <f>IF(MATCH_ENGINE!A603="","",MATCH_ENGINE!I603)</f>
        <v/>
      </c>
      <c r="G603" s="16">
        <f>IF(MATCH_ENGINE!H603="","",IF(MATCH_ENGINE!F603="IN",MATCH_ENGINE!J603,""))</f>
        <v/>
      </c>
      <c r="H603" s="16">
        <f>IF(MATCH_ENGINE!H603="","",IF(MATCH_ENGINE!F603="OUT",MATCH_ENGINE!J603,""))</f>
        <v/>
      </c>
      <c r="I603" s="16">
        <f>IF(MATCH_ENGINE!H603="","",MATCH_ENGINE!J603)</f>
        <v/>
      </c>
      <c r="J603" s="12">
        <f>IF(MATCH_ENGINE!A603="","",MATCH_ENGINE!K603)</f>
        <v/>
      </c>
      <c r="K603" s="11">
        <f>IF(MATCH_ENGINE!A603="","",MATCH_ENGINE!L603)</f>
        <v/>
      </c>
      <c r="L603" s="17">
        <f>IF(MATCH_ENGINE!A603="","",MATCH_ENGINE!M603)</f>
        <v/>
      </c>
      <c r="M603" s="11">
        <f>IF(MATCH_ENGINE!A603="","",GL_CLEAN!F603)</f>
        <v/>
      </c>
      <c r="N603" s="11">
        <f>IF(MATCH_ENGINE!A603="","",GL_CLEAN!G603)</f>
        <v/>
      </c>
      <c r="O603" s="11">
        <f>IF(MATCH_ENGINE!H603="","",INDEX(BANK_CLEAN!$C$2:$C$1001,MATCH_ENGINE!H603))</f>
        <v/>
      </c>
      <c r="P603" s="11" t="inlineStr"/>
    </row>
    <row r="604">
      <c r="A604" s="11">
        <f>IF(MATCH_ENGINE!A604="","",MATCH_ENGINE!N604)</f>
        <v/>
      </c>
      <c r="B604" s="11">
        <f>IF(MATCH_ENGINE!A604="","",MATCH_ENGINE!C604)</f>
        <v/>
      </c>
      <c r="C604" s="10">
        <f>IF(MATCH_ENGINE!A604="","",MATCH_ENGINE!B604)</f>
        <v/>
      </c>
      <c r="D604" s="16">
        <f>IF(MATCH_ENGINE!A604="","",MATCH_ENGINE!D604)</f>
        <v/>
      </c>
      <c r="E604" s="11">
        <f>IF(MATCH_ENGINE!A604="","",MATCH_ENGINE!F604)</f>
        <v/>
      </c>
      <c r="F604" s="10">
        <f>IF(MATCH_ENGINE!A604="","",MATCH_ENGINE!I604)</f>
        <v/>
      </c>
      <c r="G604" s="16">
        <f>IF(MATCH_ENGINE!H604="","",IF(MATCH_ENGINE!F604="IN",MATCH_ENGINE!J604,""))</f>
        <v/>
      </c>
      <c r="H604" s="16">
        <f>IF(MATCH_ENGINE!H604="","",IF(MATCH_ENGINE!F604="OUT",MATCH_ENGINE!J604,""))</f>
        <v/>
      </c>
      <c r="I604" s="16">
        <f>IF(MATCH_ENGINE!H604="","",MATCH_ENGINE!J604)</f>
        <v/>
      </c>
      <c r="J604" s="12">
        <f>IF(MATCH_ENGINE!A604="","",MATCH_ENGINE!K604)</f>
        <v/>
      </c>
      <c r="K604" s="11">
        <f>IF(MATCH_ENGINE!A604="","",MATCH_ENGINE!L604)</f>
        <v/>
      </c>
      <c r="L604" s="17">
        <f>IF(MATCH_ENGINE!A604="","",MATCH_ENGINE!M604)</f>
        <v/>
      </c>
      <c r="M604" s="11">
        <f>IF(MATCH_ENGINE!A604="","",GL_CLEAN!F604)</f>
        <v/>
      </c>
      <c r="N604" s="11">
        <f>IF(MATCH_ENGINE!A604="","",GL_CLEAN!G604)</f>
        <v/>
      </c>
      <c r="O604" s="11">
        <f>IF(MATCH_ENGINE!H604="","",INDEX(BANK_CLEAN!$C$2:$C$1001,MATCH_ENGINE!H604))</f>
        <v/>
      </c>
      <c r="P604" s="11" t="inlineStr"/>
    </row>
    <row r="605">
      <c r="A605" s="11">
        <f>IF(MATCH_ENGINE!A605="","",MATCH_ENGINE!N605)</f>
        <v/>
      </c>
      <c r="B605" s="11">
        <f>IF(MATCH_ENGINE!A605="","",MATCH_ENGINE!C605)</f>
        <v/>
      </c>
      <c r="C605" s="10">
        <f>IF(MATCH_ENGINE!A605="","",MATCH_ENGINE!B605)</f>
        <v/>
      </c>
      <c r="D605" s="16">
        <f>IF(MATCH_ENGINE!A605="","",MATCH_ENGINE!D605)</f>
        <v/>
      </c>
      <c r="E605" s="11">
        <f>IF(MATCH_ENGINE!A605="","",MATCH_ENGINE!F605)</f>
        <v/>
      </c>
      <c r="F605" s="10">
        <f>IF(MATCH_ENGINE!A605="","",MATCH_ENGINE!I605)</f>
        <v/>
      </c>
      <c r="G605" s="16">
        <f>IF(MATCH_ENGINE!H605="","",IF(MATCH_ENGINE!F605="IN",MATCH_ENGINE!J605,""))</f>
        <v/>
      </c>
      <c r="H605" s="16">
        <f>IF(MATCH_ENGINE!H605="","",IF(MATCH_ENGINE!F605="OUT",MATCH_ENGINE!J605,""))</f>
        <v/>
      </c>
      <c r="I605" s="16">
        <f>IF(MATCH_ENGINE!H605="","",MATCH_ENGINE!J605)</f>
        <v/>
      </c>
      <c r="J605" s="12">
        <f>IF(MATCH_ENGINE!A605="","",MATCH_ENGINE!K605)</f>
        <v/>
      </c>
      <c r="K605" s="11">
        <f>IF(MATCH_ENGINE!A605="","",MATCH_ENGINE!L605)</f>
        <v/>
      </c>
      <c r="L605" s="17">
        <f>IF(MATCH_ENGINE!A605="","",MATCH_ENGINE!M605)</f>
        <v/>
      </c>
      <c r="M605" s="11">
        <f>IF(MATCH_ENGINE!A605="","",GL_CLEAN!F605)</f>
        <v/>
      </c>
      <c r="N605" s="11">
        <f>IF(MATCH_ENGINE!A605="","",GL_CLEAN!G605)</f>
        <v/>
      </c>
      <c r="O605" s="11">
        <f>IF(MATCH_ENGINE!H605="","",INDEX(BANK_CLEAN!$C$2:$C$1001,MATCH_ENGINE!H605))</f>
        <v/>
      </c>
      <c r="P605" s="11" t="inlineStr"/>
    </row>
    <row r="606">
      <c r="A606" s="11">
        <f>IF(MATCH_ENGINE!A606="","",MATCH_ENGINE!N606)</f>
        <v/>
      </c>
      <c r="B606" s="11">
        <f>IF(MATCH_ENGINE!A606="","",MATCH_ENGINE!C606)</f>
        <v/>
      </c>
      <c r="C606" s="10">
        <f>IF(MATCH_ENGINE!A606="","",MATCH_ENGINE!B606)</f>
        <v/>
      </c>
      <c r="D606" s="16">
        <f>IF(MATCH_ENGINE!A606="","",MATCH_ENGINE!D606)</f>
        <v/>
      </c>
      <c r="E606" s="11">
        <f>IF(MATCH_ENGINE!A606="","",MATCH_ENGINE!F606)</f>
        <v/>
      </c>
      <c r="F606" s="10">
        <f>IF(MATCH_ENGINE!A606="","",MATCH_ENGINE!I606)</f>
        <v/>
      </c>
      <c r="G606" s="16">
        <f>IF(MATCH_ENGINE!H606="","",IF(MATCH_ENGINE!F606="IN",MATCH_ENGINE!J606,""))</f>
        <v/>
      </c>
      <c r="H606" s="16">
        <f>IF(MATCH_ENGINE!H606="","",IF(MATCH_ENGINE!F606="OUT",MATCH_ENGINE!J606,""))</f>
        <v/>
      </c>
      <c r="I606" s="16">
        <f>IF(MATCH_ENGINE!H606="","",MATCH_ENGINE!J606)</f>
        <v/>
      </c>
      <c r="J606" s="12">
        <f>IF(MATCH_ENGINE!A606="","",MATCH_ENGINE!K606)</f>
        <v/>
      </c>
      <c r="K606" s="11">
        <f>IF(MATCH_ENGINE!A606="","",MATCH_ENGINE!L606)</f>
        <v/>
      </c>
      <c r="L606" s="17">
        <f>IF(MATCH_ENGINE!A606="","",MATCH_ENGINE!M606)</f>
        <v/>
      </c>
      <c r="M606" s="11">
        <f>IF(MATCH_ENGINE!A606="","",GL_CLEAN!F606)</f>
        <v/>
      </c>
      <c r="N606" s="11">
        <f>IF(MATCH_ENGINE!A606="","",GL_CLEAN!G606)</f>
        <v/>
      </c>
      <c r="O606" s="11">
        <f>IF(MATCH_ENGINE!H606="","",INDEX(BANK_CLEAN!$C$2:$C$1001,MATCH_ENGINE!H606))</f>
        <v/>
      </c>
      <c r="P606" s="11" t="inlineStr"/>
    </row>
    <row r="607">
      <c r="A607" s="11">
        <f>IF(MATCH_ENGINE!A607="","",MATCH_ENGINE!N607)</f>
        <v/>
      </c>
      <c r="B607" s="11">
        <f>IF(MATCH_ENGINE!A607="","",MATCH_ENGINE!C607)</f>
        <v/>
      </c>
      <c r="C607" s="10">
        <f>IF(MATCH_ENGINE!A607="","",MATCH_ENGINE!B607)</f>
        <v/>
      </c>
      <c r="D607" s="16">
        <f>IF(MATCH_ENGINE!A607="","",MATCH_ENGINE!D607)</f>
        <v/>
      </c>
      <c r="E607" s="11">
        <f>IF(MATCH_ENGINE!A607="","",MATCH_ENGINE!F607)</f>
        <v/>
      </c>
      <c r="F607" s="10">
        <f>IF(MATCH_ENGINE!A607="","",MATCH_ENGINE!I607)</f>
        <v/>
      </c>
      <c r="G607" s="16">
        <f>IF(MATCH_ENGINE!H607="","",IF(MATCH_ENGINE!F607="IN",MATCH_ENGINE!J607,""))</f>
        <v/>
      </c>
      <c r="H607" s="16">
        <f>IF(MATCH_ENGINE!H607="","",IF(MATCH_ENGINE!F607="OUT",MATCH_ENGINE!J607,""))</f>
        <v/>
      </c>
      <c r="I607" s="16">
        <f>IF(MATCH_ENGINE!H607="","",MATCH_ENGINE!J607)</f>
        <v/>
      </c>
      <c r="J607" s="12">
        <f>IF(MATCH_ENGINE!A607="","",MATCH_ENGINE!K607)</f>
        <v/>
      </c>
      <c r="K607" s="11">
        <f>IF(MATCH_ENGINE!A607="","",MATCH_ENGINE!L607)</f>
        <v/>
      </c>
      <c r="L607" s="17">
        <f>IF(MATCH_ENGINE!A607="","",MATCH_ENGINE!M607)</f>
        <v/>
      </c>
      <c r="M607" s="11">
        <f>IF(MATCH_ENGINE!A607="","",GL_CLEAN!F607)</f>
        <v/>
      </c>
      <c r="N607" s="11">
        <f>IF(MATCH_ENGINE!A607="","",GL_CLEAN!G607)</f>
        <v/>
      </c>
      <c r="O607" s="11">
        <f>IF(MATCH_ENGINE!H607="","",INDEX(BANK_CLEAN!$C$2:$C$1001,MATCH_ENGINE!H607))</f>
        <v/>
      </c>
      <c r="P607" s="11" t="inlineStr"/>
    </row>
    <row r="608">
      <c r="A608" s="11">
        <f>IF(MATCH_ENGINE!A608="","",MATCH_ENGINE!N608)</f>
        <v/>
      </c>
      <c r="B608" s="11">
        <f>IF(MATCH_ENGINE!A608="","",MATCH_ENGINE!C608)</f>
        <v/>
      </c>
      <c r="C608" s="10">
        <f>IF(MATCH_ENGINE!A608="","",MATCH_ENGINE!B608)</f>
        <v/>
      </c>
      <c r="D608" s="16">
        <f>IF(MATCH_ENGINE!A608="","",MATCH_ENGINE!D608)</f>
        <v/>
      </c>
      <c r="E608" s="11">
        <f>IF(MATCH_ENGINE!A608="","",MATCH_ENGINE!F608)</f>
        <v/>
      </c>
      <c r="F608" s="10">
        <f>IF(MATCH_ENGINE!A608="","",MATCH_ENGINE!I608)</f>
        <v/>
      </c>
      <c r="G608" s="16">
        <f>IF(MATCH_ENGINE!H608="","",IF(MATCH_ENGINE!F608="IN",MATCH_ENGINE!J608,""))</f>
        <v/>
      </c>
      <c r="H608" s="16">
        <f>IF(MATCH_ENGINE!H608="","",IF(MATCH_ENGINE!F608="OUT",MATCH_ENGINE!J608,""))</f>
        <v/>
      </c>
      <c r="I608" s="16">
        <f>IF(MATCH_ENGINE!H608="","",MATCH_ENGINE!J608)</f>
        <v/>
      </c>
      <c r="J608" s="12">
        <f>IF(MATCH_ENGINE!A608="","",MATCH_ENGINE!K608)</f>
        <v/>
      </c>
      <c r="K608" s="11">
        <f>IF(MATCH_ENGINE!A608="","",MATCH_ENGINE!L608)</f>
        <v/>
      </c>
      <c r="L608" s="17">
        <f>IF(MATCH_ENGINE!A608="","",MATCH_ENGINE!M608)</f>
        <v/>
      </c>
      <c r="M608" s="11">
        <f>IF(MATCH_ENGINE!A608="","",GL_CLEAN!F608)</f>
        <v/>
      </c>
      <c r="N608" s="11">
        <f>IF(MATCH_ENGINE!A608="","",GL_CLEAN!G608)</f>
        <v/>
      </c>
      <c r="O608" s="11">
        <f>IF(MATCH_ENGINE!H608="","",INDEX(BANK_CLEAN!$C$2:$C$1001,MATCH_ENGINE!H608))</f>
        <v/>
      </c>
      <c r="P608" s="11" t="inlineStr"/>
    </row>
    <row r="609">
      <c r="A609" s="11">
        <f>IF(MATCH_ENGINE!A609="","",MATCH_ENGINE!N609)</f>
        <v/>
      </c>
      <c r="B609" s="11">
        <f>IF(MATCH_ENGINE!A609="","",MATCH_ENGINE!C609)</f>
        <v/>
      </c>
      <c r="C609" s="10">
        <f>IF(MATCH_ENGINE!A609="","",MATCH_ENGINE!B609)</f>
        <v/>
      </c>
      <c r="D609" s="16">
        <f>IF(MATCH_ENGINE!A609="","",MATCH_ENGINE!D609)</f>
        <v/>
      </c>
      <c r="E609" s="11">
        <f>IF(MATCH_ENGINE!A609="","",MATCH_ENGINE!F609)</f>
        <v/>
      </c>
      <c r="F609" s="10">
        <f>IF(MATCH_ENGINE!A609="","",MATCH_ENGINE!I609)</f>
        <v/>
      </c>
      <c r="G609" s="16">
        <f>IF(MATCH_ENGINE!H609="","",IF(MATCH_ENGINE!F609="IN",MATCH_ENGINE!J609,""))</f>
        <v/>
      </c>
      <c r="H609" s="16">
        <f>IF(MATCH_ENGINE!H609="","",IF(MATCH_ENGINE!F609="OUT",MATCH_ENGINE!J609,""))</f>
        <v/>
      </c>
      <c r="I609" s="16">
        <f>IF(MATCH_ENGINE!H609="","",MATCH_ENGINE!J609)</f>
        <v/>
      </c>
      <c r="J609" s="12">
        <f>IF(MATCH_ENGINE!A609="","",MATCH_ENGINE!K609)</f>
        <v/>
      </c>
      <c r="K609" s="11">
        <f>IF(MATCH_ENGINE!A609="","",MATCH_ENGINE!L609)</f>
        <v/>
      </c>
      <c r="L609" s="17">
        <f>IF(MATCH_ENGINE!A609="","",MATCH_ENGINE!M609)</f>
        <v/>
      </c>
      <c r="M609" s="11">
        <f>IF(MATCH_ENGINE!A609="","",GL_CLEAN!F609)</f>
        <v/>
      </c>
      <c r="N609" s="11">
        <f>IF(MATCH_ENGINE!A609="","",GL_CLEAN!G609)</f>
        <v/>
      </c>
      <c r="O609" s="11">
        <f>IF(MATCH_ENGINE!H609="","",INDEX(BANK_CLEAN!$C$2:$C$1001,MATCH_ENGINE!H609))</f>
        <v/>
      </c>
      <c r="P609" s="11" t="inlineStr"/>
    </row>
    <row r="610">
      <c r="A610" s="11">
        <f>IF(MATCH_ENGINE!A610="","",MATCH_ENGINE!N610)</f>
        <v/>
      </c>
      <c r="B610" s="11">
        <f>IF(MATCH_ENGINE!A610="","",MATCH_ENGINE!C610)</f>
        <v/>
      </c>
      <c r="C610" s="10">
        <f>IF(MATCH_ENGINE!A610="","",MATCH_ENGINE!B610)</f>
        <v/>
      </c>
      <c r="D610" s="16">
        <f>IF(MATCH_ENGINE!A610="","",MATCH_ENGINE!D610)</f>
        <v/>
      </c>
      <c r="E610" s="11">
        <f>IF(MATCH_ENGINE!A610="","",MATCH_ENGINE!F610)</f>
        <v/>
      </c>
      <c r="F610" s="10">
        <f>IF(MATCH_ENGINE!A610="","",MATCH_ENGINE!I610)</f>
        <v/>
      </c>
      <c r="G610" s="16">
        <f>IF(MATCH_ENGINE!H610="","",IF(MATCH_ENGINE!F610="IN",MATCH_ENGINE!J610,""))</f>
        <v/>
      </c>
      <c r="H610" s="16">
        <f>IF(MATCH_ENGINE!H610="","",IF(MATCH_ENGINE!F610="OUT",MATCH_ENGINE!J610,""))</f>
        <v/>
      </c>
      <c r="I610" s="16">
        <f>IF(MATCH_ENGINE!H610="","",MATCH_ENGINE!J610)</f>
        <v/>
      </c>
      <c r="J610" s="12">
        <f>IF(MATCH_ENGINE!A610="","",MATCH_ENGINE!K610)</f>
        <v/>
      </c>
      <c r="K610" s="11">
        <f>IF(MATCH_ENGINE!A610="","",MATCH_ENGINE!L610)</f>
        <v/>
      </c>
      <c r="L610" s="17">
        <f>IF(MATCH_ENGINE!A610="","",MATCH_ENGINE!M610)</f>
        <v/>
      </c>
      <c r="M610" s="11">
        <f>IF(MATCH_ENGINE!A610="","",GL_CLEAN!F610)</f>
        <v/>
      </c>
      <c r="N610" s="11">
        <f>IF(MATCH_ENGINE!A610="","",GL_CLEAN!G610)</f>
        <v/>
      </c>
      <c r="O610" s="11">
        <f>IF(MATCH_ENGINE!H610="","",INDEX(BANK_CLEAN!$C$2:$C$1001,MATCH_ENGINE!H610))</f>
        <v/>
      </c>
      <c r="P610" s="11" t="inlineStr"/>
    </row>
    <row r="611">
      <c r="A611" s="11">
        <f>IF(MATCH_ENGINE!A611="","",MATCH_ENGINE!N611)</f>
        <v/>
      </c>
      <c r="B611" s="11">
        <f>IF(MATCH_ENGINE!A611="","",MATCH_ENGINE!C611)</f>
        <v/>
      </c>
      <c r="C611" s="10">
        <f>IF(MATCH_ENGINE!A611="","",MATCH_ENGINE!B611)</f>
        <v/>
      </c>
      <c r="D611" s="16">
        <f>IF(MATCH_ENGINE!A611="","",MATCH_ENGINE!D611)</f>
        <v/>
      </c>
      <c r="E611" s="11">
        <f>IF(MATCH_ENGINE!A611="","",MATCH_ENGINE!F611)</f>
        <v/>
      </c>
      <c r="F611" s="10">
        <f>IF(MATCH_ENGINE!A611="","",MATCH_ENGINE!I611)</f>
        <v/>
      </c>
      <c r="G611" s="16">
        <f>IF(MATCH_ENGINE!H611="","",IF(MATCH_ENGINE!F611="IN",MATCH_ENGINE!J611,""))</f>
        <v/>
      </c>
      <c r="H611" s="16">
        <f>IF(MATCH_ENGINE!H611="","",IF(MATCH_ENGINE!F611="OUT",MATCH_ENGINE!J611,""))</f>
        <v/>
      </c>
      <c r="I611" s="16">
        <f>IF(MATCH_ENGINE!H611="","",MATCH_ENGINE!J611)</f>
        <v/>
      </c>
      <c r="J611" s="12">
        <f>IF(MATCH_ENGINE!A611="","",MATCH_ENGINE!K611)</f>
        <v/>
      </c>
      <c r="K611" s="11">
        <f>IF(MATCH_ENGINE!A611="","",MATCH_ENGINE!L611)</f>
        <v/>
      </c>
      <c r="L611" s="17">
        <f>IF(MATCH_ENGINE!A611="","",MATCH_ENGINE!M611)</f>
        <v/>
      </c>
      <c r="M611" s="11">
        <f>IF(MATCH_ENGINE!A611="","",GL_CLEAN!F611)</f>
        <v/>
      </c>
      <c r="N611" s="11">
        <f>IF(MATCH_ENGINE!A611="","",GL_CLEAN!G611)</f>
        <v/>
      </c>
      <c r="O611" s="11">
        <f>IF(MATCH_ENGINE!H611="","",INDEX(BANK_CLEAN!$C$2:$C$1001,MATCH_ENGINE!H611))</f>
        <v/>
      </c>
      <c r="P611" s="11" t="inlineStr"/>
    </row>
    <row r="612">
      <c r="A612" s="11">
        <f>IF(MATCH_ENGINE!A612="","",MATCH_ENGINE!N612)</f>
        <v/>
      </c>
      <c r="B612" s="11">
        <f>IF(MATCH_ENGINE!A612="","",MATCH_ENGINE!C612)</f>
        <v/>
      </c>
      <c r="C612" s="10">
        <f>IF(MATCH_ENGINE!A612="","",MATCH_ENGINE!B612)</f>
        <v/>
      </c>
      <c r="D612" s="16">
        <f>IF(MATCH_ENGINE!A612="","",MATCH_ENGINE!D612)</f>
        <v/>
      </c>
      <c r="E612" s="11">
        <f>IF(MATCH_ENGINE!A612="","",MATCH_ENGINE!F612)</f>
        <v/>
      </c>
      <c r="F612" s="10">
        <f>IF(MATCH_ENGINE!A612="","",MATCH_ENGINE!I612)</f>
        <v/>
      </c>
      <c r="G612" s="16">
        <f>IF(MATCH_ENGINE!H612="","",IF(MATCH_ENGINE!F612="IN",MATCH_ENGINE!J612,""))</f>
        <v/>
      </c>
      <c r="H612" s="16">
        <f>IF(MATCH_ENGINE!H612="","",IF(MATCH_ENGINE!F612="OUT",MATCH_ENGINE!J612,""))</f>
        <v/>
      </c>
      <c r="I612" s="16">
        <f>IF(MATCH_ENGINE!H612="","",MATCH_ENGINE!J612)</f>
        <v/>
      </c>
      <c r="J612" s="12">
        <f>IF(MATCH_ENGINE!A612="","",MATCH_ENGINE!K612)</f>
        <v/>
      </c>
      <c r="K612" s="11">
        <f>IF(MATCH_ENGINE!A612="","",MATCH_ENGINE!L612)</f>
        <v/>
      </c>
      <c r="L612" s="17">
        <f>IF(MATCH_ENGINE!A612="","",MATCH_ENGINE!M612)</f>
        <v/>
      </c>
      <c r="M612" s="11">
        <f>IF(MATCH_ENGINE!A612="","",GL_CLEAN!F612)</f>
        <v/>
      </c>
      <c r="N612" s="11">
        <f>IF(MATCH_ENGINE!A612="","",GL_CLEAN!G612)</f>
        <v/>
      </c>
      <c r="O612" s="11">
        <f>IF(MATCH_ENGINE!H612="","",INDEX(BANK_CLEAN!$C$2:$C$1001,MATCH_ENGINE!H612))</f>
        <v/>
      </c>
      <c r="P612" s="11" t="inlineStr"/>
    </row>
    <row r="613">
      <c r="A613" s="11">
        <f>IF(MATCH_ENGINE!A613="","",MATCH_ENGINE!N613)</f>
        <v/>
      </c>
      <c r="B613" s="11">
        <f>IF(MATCH_ENGINE!A613="","",MATCH_ENGINE!C613)</f>
        <v/>
      </c>
      <c r="C613" s="10">
        <f>IF(MATCH_ENGINE!A613="","",MATCH_ENGINE!B613)</f>
        <v/>
      </c>
      <c r="D613" s="16">
        <f>IF(MATCH_ENGINE!A613="","",MATCH_ENGINE!D613)</f>
        <v/>
      </c>
      <c r="E613" s="11">
        <f>IF(MATCH_ENGINE!A613="","",MATCH_ENGINE!F613)</f>
        <v/>
      </c>
      <c r="F613" s="10">
        <f>IF(MATCH_ENGINE!A613="","",MATCH_ENGINE!I613)</f>
        <v/>
      </c>
      <c r="G613" s="16">
        <f>IF(MATCH_ENGINE!H613="","",IF(MATCH_ENGINE!F613="IN",MATCH_ENGINE!J613,""))</f>
        <v/>
      </c>
      <c r="H613" s="16">
        <f>IF(MATCH_ENGINE!H613="","",IF(MATCH_ENGINE!F613="OUT",MATCH_ENGINE!J613,""))</f>
        <v/>
      </c>
      <c r="I613" s="16">
        <f>IF(MATCH_ENGINE!H613="","",MATCH_ENGINE!J613)</f>
        <v/>
      </c>
      <c r="J613" s="12">
        <f>IF(MATCH_ENGINE!A613="","",MATCH_ENGINE!K613)</f>
        <v/>
      </c>
      <c r="K613" s="11">
        <f>IF(MATCH_ENGINE!A613="","",MATCH_ENGINE!L613)</f>
        <v/>
      </c>
      <c r="L613" s="17">
        <f>IF(MATCH_ENGINE!A613="","",MATCH_ENGINE!M613)</f>
        <v/>
      </c>
      <c r="M613" s="11">
        <f>IF(MATCH_ENGINE!A613="","",GL_CLEAN!F613)</f>
        <v/>
      </c>
      <c r="N613" s="11">
        <f>IF(MATCH_ENGINE!A613="","",GL_CLEAN!G613)</f>
        <v/>
      </c>
      <c r="O613" s="11">
        <f>IF(MATCH_ENGINE!H613="","",INDEX(BANK_CLEAN!$C$2:$C$1001,MATCH_ENGINE!H613))</f>
        <v/>
      </c>
      <c r="P613" s="11" t="inlineStr"/>
    </row>
    <row r="614">
      <c r="A614" s="11">
        <f>IF(MATCH_ENGINE!A614="","",MATCH_ENGINE!N614)</f>
        <v/>
      </c>
      <c r="B614" s="11">
        <f>IF(MATCH_ENGINE!A614="","",MATCH_ENGINE!C614)</f>
        <v/>
      </c>
      <c r="C614" s="10">
        <f>IF(MATCH_ENGINE!A614="","",MATCH_ENGINE!B614)</f>
        <v/>
      </c>
      <c r="D614" s="16">
        <f>IF(MATCH_ENGINE!A614="","",MATCH_ENGINE!D614)</f>
        <v/>
      </c>
      <c r="E614" s="11">
        <f>IF(MATCH_ENGINE!A614="","",MATCH_ENGINE!F614)</f>
        <v/>
      </c>
      <c r="F614" s="10">
        <f>IF(MATCH_ENGINE!A614="","",MATCH_ENGINE!I614)</f>
        <v/>
      </c>
      <c r="G614" s="16">
        <f>IF(MATCH_ENGINE!H614="","",IF(MATCH_ENGINE!F614="IN",MATCH_ENGINE!J614,""))</f>
        <v/>
      </c>
      <c r="H614" s="16">
        <f>IF(MATCH_ENGINE!H614="","",IF(MATCH_ENGINE!F614="OUT",MATCH_ENGINE!J614,""))</f>
        <v/>
      </c>
      <c r="I614" s="16">
        <f>IF(MATCH_ENGINE!H614="","",MATCH_ENGINE!J614)</f>
        <v/>
      </c>
      <c r="J614" s="12">
        <f>IF(MATCH_ENGINE!A614="","",MATCH_ENGINE!K614)</f>
        <v/>
      </c>
      <c r="K614" s="11">
        <f>IF(MATCH_ENGINE!A614="","",MATCH_ENGINE!L614)</f>
        <v/>
      </c>
      <c r="L614" s="17">
        <f>IF(MATCH_ENGINE!A614="","",MATCH_ENGINE!M614)</f>
        <v/>
      </c>
      <c r="M614" s="11">
        <f>IF(MATCH_ENGINE!A614="","",GL_CLEAN!F614)</f>
        <v/>
      </c>
      <c r="N614" s="11">
        <f>IF(MATCH_ENGINE!A614="","",GL_CLEAN!G614)</f>
        <v/>
      </c>
      <c r="O614" s="11">
        <f>IF(MATCH_ENGINE!H614="","",INDEX(BANK_CLEAN!$C$2:$C$1001,MATCH_ENGINE!H614))</f>
        <v/>
      </c>
      <c r="P614" s="11" t="inlineStr"/>
    </row>
    <row r="615">
      <c r="A615" s="11">
        <f>IF(MATCH_ENGINE!A615="","",MATCH_ENGINE!N615)</f>
        <v/>
      </c>
      <c r="B615" s="11">
        <f>IF(MATCH_ENGINE!A615="","",MATCH_ENGINE!C615)</f>
        <v/>
      </c>
      <c r="C615" s="10">
        <f>IF(MATCH_ENGINE!A615="","",MATCH_ENGINE!B615)</f>
        <v/>
      </c>
      <c r="D615" s="16">
        <f>IF(MATCH_ENGINE!A615="","",MATCH_ENGINE!D615)</f>
        <v/>
      </c>
      <c r="E615" s="11">
        <f>IF(MATCH_ENGINE!A615="","",MATCH_ENGINE!F615)</f>
        <v/>
      </c>
      <c r="F615" s="10">
        <f>IF(MATCH_ENGINE!A615="","",MATCH_ENGINE!I615)</f>
        <v/>
      </c>
      <c r="G615" s="16">
        <f>IF(MATCH_ENGINE!H615="","",IF(MATCH_ENGINE!F615="IN",MATCH_ENGINE!J615,""))</f>
        <v/>
      </c>
      <c r="H615" s="16">
        <f>IF(MATCH_ENGINE!H615="","",IF(MATCH_ENGINE!F615="OUT",MATCH_ENGINE!J615,""))</f>
        <v/>
      </c>
      <c r="I615" s="16">
        <f>IF(MATCH_ENGINE!H615="","",MATCH_ENGINE!J615)</f>
        <v/>
      </c>
      <c r="J615" s="12">
        <f>IF(MATCH_ENGINE!A615="","",MATCH_ENGINE!K615)</f>
        <v/>
      </c>
      <c r="K615" s="11">
        <f>IF(MATCH_ENGINE!A615="","",MATCH_ENGINE!L615)</f>
        <v/>
      </c>
      <c r="L615" s="17">
        <f>IF(MATCH_ENGINE!A615="","",MATCH_ENGINE!M615)</f>
        <v/>
      </c>
      <c r="M615" s="11">
        <f>IF(MATCH_ENGINE!A615="","",GL_CLEAN!F615)</f>
        <v/>
      </c>
      <c r="N615" s="11">
        <f>IF(MATCH_ENGINE!A615="","",GL_CLEAN!G615)</f>
        <v/>
      </c>
      <c r="O615" s="11">
        <f>IF(MATCH_ENGINE!H615="","",INDEX(BANK_CLEAN!$C$2:$C$1001,MATCH_ENGINE!H615))</f>
        <v/>
      </c>
      <c r="P615" s="11" t="inlineStr"/>
    </row>
    <row r="616">
      <c r="A616" s="11">
        <f>IF(MATCH_ENGINE!A616="","",MATCH_ENGINE!N616)</f>
        <v/>
      </c>
      <c r="B616" s="11">
        <f>IF(MATCH_ENGINE!A616="","",MATCH_ENGINE!C616)</f>
        <v/>
      </c>
      <c r="C616" s="10">
        <f>IF(MATCH_ENGINE!A616="","",MATCH_ENGINE!B616)</f>
        <v/>
      </c>
      <c r="D616" s="16">
        <f>IF(MATCH_ENGINE!A616="","",MATCH_ENGINE!D616)</f>
        <v/>
      </c>
      <c r="E616" s="11">
        <f>IF(MATCH_ENGINE!A616="","",MATCH_ENGINE!F616)</f>
        <v/>
      </c>
      <c r="F616" s="10">
        <f>IF(MATCH_ENGINE!A616="","",MATCH_ENGINE!I616)</f>
        <v/>
      </c>
      <c r="G616" s="16">
        <f>IF(MATCH_ENGINE!H616="","",IF(MATCH_ENGINE!F616="IN",MATCH_ENGINE!J616,""))</f>
        <v/>
      </c>
      <c r="H616" s="16">
        <f>IF(MATCH_ENGINE!H616="","",IF(MATCH_ENGINE!F616="OUT",MATCH_ENGINE!J616,""))</f>
        <v/>
      </c>
      <c r="I616" s="16">
        <f>IF(MATCH_ENGINE!H616="","",MATCH_ENGINE!J616)</f>
        <v/>
      </c>
      <c r="J616" s="12">
        <f>IF(MATCH_ENGINE!A616="","",MATCH_ENGINE!K616)</f>
        <v/>
      </c>
      <c r="K616" s="11">
        <f>IF(MATCH_ENGINE!A616="","",MATCH_ENGINE!L616)</f>
        <v/>
      </c>
      <c r="L616" s="17">
        <f>IF(MATCH_ENGINE!A616="","",MATCH_ENGINE!M616)</f>
        <v/>
      </c>
      <c r="M616" s="11">
        <f>IF(MATCH_ENGINE!A616="","",GL_CLEAN!F616)</f>
        <v/>
      </c>
      <c r="N616" s="11">
        <f>IF(MATCH_ENGINE!A616="","",GL_CLEAN!G616)</f>
        <v/>
      </c>
      <c r="O616" s="11">
        <f>IF(MATCH_ENGINE!H616="","",INDEX(BANK_CLEAN!$C$2:$C$1001,MATCH_ENGINE!H616))</f>
        <v/>
      </c>
      <c r="P616" s="11" t="inlineStr"/>
    </row>
    <row r="617">
      <c r="A617" s="11">
        <f>IF(MATCH_ENGINE!A617="","",MATCH_ENGINE!N617)</f>
        <v/>
      </c>
      <c r="B617" s="11">
        <f>IF(MATCH_ENGINE!A617="","",MATCH_ENGINE!C617)</f>
        <v/>
      </c>
      <c r="C617" s="10">
        <f>IF(MATCH_ENGINE!A617="","",MATCH_ENGINE!B617)</f>
        <v/>
      </c>
      <c r="D617" s="16">
        <f>IF(MATCH_ENGINE!A617="","",MATCH_ENGINE!D617)</f>
        <v/>
      </c>
      <c r="E617" s="11">
        <f>IF(MATCH_ENGINE!A617="","",MATCH_ENGINE!F617)</f>
        <v/>
      </c>
      <c r="F617" s="10">
        <f>IF(MATCH_ENGINE!A617="","",MATCH_ENGINE!I617)</f>
        <v/>
      </c>
      <c r="G617" s="16">
        <f>IF(MATCH_ENGINE!H617="","",IF(MATCH_ENGINE!F617="IN",MATCH_ENGINE!J617,""))</f>
        <v/>
      </c>
      <c r="H617" s="16">
        <f>IF(MATCH_ENGINE!H617="","",IF(MATCH_ENGINE!F617="OUT",MATCH_ENGINE!J617,""))</f>
        <v/>
      </c>
      <c r="I617" s="16">
        <f>IF(MATCH_ENGINE!H617="","",MATCH_ENGINE!J617)</f>
        <v/>
      </c>
      <c r="J617" s="12">
        <f>IF(MATCH_ENGINE!A617="","",MATCH_ENGINE!K617)</f>
        <v/>
      </c>
      <c r="K617" s="11">
        <f>IF(MATCH_ENGINE!A617="","",MATCH_ENGINE!L617)</f>
        <v/>
      </c>
      <c r="L617" s="17">
        <f>IF(MATCH_ENGINE!A617="","",MATCH_ENGINE!M617)</f>
        <v/>
      </c>
      <c r="M617" s="11">
        <f>IF(MATCH_ENGINE!A617="","",GL_CLEAN!F617)</f>
        <v/>
      </c>
      <c r="N617" s="11">
        <f>IF(MATCH_ENGINE!A617="","",GL_CLEAN!G617)</f>
        <v/>
      </c>
      <c r="O617" s="11">
        <f>IF(MATCH_ENGINE!H617="","",INDEX(BANK_CLEAN!$C$2:$C$1001,MATCH_ENGINE!H617))</f>
        <v/>
      </c>
      <c r="P617" s="11" t="inlineStr"/>
    </row>
    <row r="618">
      <c r="A618" s="11">
        <f>IF(MATCH_ENGINE!A618="","",MATCH_ENGINE!N618)</f>
        <v/>
      </c>
      <c r="B618" s="11">
        <f>IF(MATCH_ENGINE!A618="","",MATCH_ENGINE!C618)</f>
        <v/>
      </c>
      <c r="C618" s="10">
        <f>IF(MATCH_ENGINE!A618="","",MATCH_ENGINE!B618)</f>
        <v/>
      </c>
      <c r="D618" s="16">
        <f>IF(MATCH_ENGINE!A618="","",MATCH_ENGINE!D618)</f>
        <v/>
      </c>
      <c r="E618" s="11">
        <f>IF(MATCH_ENGINE!A618="","",MATCH_ENGINE!F618)</f>
        <v/>
      </c>
      <c r="F618" s="10">
        <f>IF(MATCH_ENGINE!A618="","",MATCH_ENGINE!I618)</f>
        <v/>
      </c>
      <c r="G618" s="16">
        <f>IF(MATCH_ENGINE!H618="","",IF(MATCH_ENGINE!F618="IN",MATCH_ENGINE!J618,""))</f>
        <v/>
      </c>
      <c r="H618" s="16">
        <f>IF(MATCH_ENGINE!H618="","",IF(MATCH_ENGINE!F618="OUT",MATCH_ENGINE!J618,""))</f>
        <v/>
      </c>
      <c r="I618" s="16">
        <f>IF(MATCH_ENGINE!H618="","",MATCH_ENGINE!J618)</f>
        <v/>
      </c>
      <c r="J618" s="12">
        <f>IF(MATCH_ENGINE!A618="","",MATCH_ENGINE!K618)</f>
        <v/>
      </c>
      <c r="K618" s="11">
        <f>IF(MATCH_ENGINE!A618="","",MATCH_ENGINE!L618)</f>
        <v/>
      </c>
      <c r="L618" s="17">
        <f>IF(MATCH_ENGINE!A618="","",MATCH_ENGINE!M618)</f>
        <v/>
      </c>
      <c r="M618" s="11">
        <f>IF(MATCH_ENGINE!A618="","",GL_CLEAN!F618)</f>
        <v/>
      </c>
      <c r="N618" s="11">
        <f>IF(MATCH_ENGINE!A618="","",GL_CLEAN!G618)</f>
        <v/>
      </c>
      <c r="O618" s="11">
        <f>IF(MATCH_ENGINE!H618="","",INDEX(BANK_CLEAN!$C$2:$C$1001,MATCH_ENGINE!H618))</f>
        <v/>
      </c>
      <c r="P618" s="11" t="inlineStr"/>
    </row>
    <row r="619">
      <c r="A619" s="11">
        <f>IF(MATCH_ENGINE!A619="","",MATCH_ENGINE!N619)</f>
        <v/>
      </c>
      <c r="B619" s="11">
        <f>IF(MATCH_ENGINE!A619="","",MATCH_ENGINE!C619)</f>
        <v/>
      </c>
      <c r="C619" s="10">
        <f>IF(MATCH_ENGINE!A619="","",MATCH_ENGINE!B619)</f>
        <v/>
      </c>
      <c r="D619" s="16">
        <f>IF(MATCH_ENGINE!A619="","",MATCH_ENGINE!D619)</f>
        <v/>
      </c>
      <c r="E619" s="11">
        <f>IF(MATCH_ENGINE!A619="","",MATCH_ENGINE!F619)</f>
        <v/>
      </c>
      <c r="F619" s="10">
        <f>IF(MATCH_ENGINE!A619="","",MATCH_ENGINE!I619)</f>
        <v/>
      </c>
      <c r="G619" s="16">
        <f>IF(MATCH_ENGINE!H619="","",IF(MATCH_ENGINE!F619="IN",MATCH_ENGINE!J619,""))</f>
        <v/>
      </c>
      <c r="H619" s="16">
        <f>IF(MATCH_ENGINE!H619="","",IF(MATCH_ENGINE!F619="OUT",MATCH_ENGINE!J619,""))</f>
        <v/>
      </c>
      <c r="I619" s="16">
        <f>IF(MATCH_ENGINE!H619="","",MATCH_ENGINE!J619)</f>
        <v/>
      </c>
      <c r="J619" s="12">
        <f>IF(MATCH_ENGINE!A619="","",MATCH_ENGINE!K619)</f>
        <v/>
      </c>
      <c r="K619" s="11">
        <f>IF(MATCH_ENGINE!A619="","",MATCH_ENGINE!L619)</f>
        <v/>
      </c>
      <c r="L619" s="17">
        <f>IF(MATCH_ENGINE!A619="","",MATCH_ENGINE!M619)</f>
        <v/>
      </c>
      <c r="M619" s="11">
        <f>IF(MATCH_ENGINE!A619="","",GL_CLEAN!F619)</f>
        <v/>
      </c>
      <c r="N619" s="11">
        <f>IF(MATCH_ENGINE!A619="","",GL_CLEAN!G619)</f>
        <v/>
      </c>
      <c r="O619" s="11">
        <f>IF(MATCH_ENGINE!H619="","",INDEX(BANK_CLEAN!$C$2:$C$1001,MATCH_ENGINE!H619))</f>
        <v/>
      </c>
      <c r="P619" s="11" t="inlineStr"/>
    </row>
    <row r="620">
      <c r="A620" s="11">
        <f>IF(MATCH_ENGINE!A620="","",MATCH_ENGINE!N620)</f>
        <v/>
      </c>
      <c r="B620" s="11">
        <f>IF(MATCH_ENGINE!A620="","",MATCH_ENGINE!C620)</f>
        <v/>
      </c>
      <c r="C620" s="10">
        <f>IF(MATCH_ENGINE!A620="","",MATCH_ENGINE!B620)</f>
        <v/>
      </c>
      <c r="D620" s="16">
        <f>IF(MATCH_ENGINE!A620="","",MATCH_ENGINE!D620)</f>
        <v/>
      </c>
      <c r="E620" s="11">
        <f>IF(MATCH_ENGINE!A620="","",MATCH_ENGINE!F620)</f>
        <v/>
      </c>
      <c r="F620" s="10">
        <f>IF(MATCH_ENGINE!A620="","",MATCH_ENGINE!I620)</f>
        <v/>
      </c>
      <c r="G620" s="16">
        <f>IF(MATCH_ENGINE!H620="","",IF(MATCH_ENGINE!F620="IN",MATCH_ENGINE!J620,""))</f>
        <v/>
      </c>
      <c r="H620" s="16">
        <f>IF(MATCH_ENGINE!H620="","",IF(MATCH_ENGINE!F620="OUT",MATCH_ENGINE!J620,""))</f>
        <v/>
      </c>
      <c r="I620" s="16">
        <f>IF(MATCH_ENGINE!H620="","",MATCH_ENGINE!J620)</f>
        <v/>
      </c>
      <c r="J620" s="12">
        <f>IF(MATCH_ENGINE!A620="","",MATCH_ENGINE!K620)</f>
        <v/>
      </c>
      <c r="K620" s="11">
        <f>IF(MATCH_ENGINE!A620="","",MATCH_ENGINE!L620)</f>
        <v/>
      </c>
      <c r="L620" s="17">
        <f>IF(MATCH_ENGINE!A620="","",MATCH_ENGINE!M620)</f>
        <v/>
      </c>
      <c r="M620" s="11">
        <f>IF(MATCH_ENGINE!A620="","",GL_CLEAN!F620)</f>
        <v/>
      </c>
      <c r="N620" s="11">
        <f>IF(MATCH_ENGINE!A620="","",GL_CLEAN!G620)</f>
        <v/>
      </c>
      <c r="O620" s="11">
        <f>IF(MATCH_ENGINE!H620="","",INDEX(BANK_CLEAN!$C$2:$C$1001,MATCH_ENGINE!H620))</f>
        <v/>
      </c>
      <c r="P620" s="11" t="inlineStr"/>
    </row>
    <row r="621">
      <c r="A621" s="11">
        <f>IF(MATCH_ENGINE!A621="","",MATCH_ENGINE!N621)</f>
        <v/>
      </c>
      <c r="B621" s="11">
        <f>IF(MATCH_ENGINE!A621="","",MATCH_ENGINE!C621)</f>
        <v/>
      </c>
      <c r="C621" s="10">
        <f>IF(MATCH_ENGINE!A621="","",MATCH_ENGINE!B621)</f>
        <v/>
      </c>
      <c r="D621" s="16">
        <f>IF(MATCH_ENGINE!A621="","",MATCH_ENGINE!D621)</f>
        <v/>
      </c>
      <c r="E621" s="11">
        <f>IF(MATCH_ENGINE!A621="","",MATCH_ENGINE!F621)</f>
        <v/>
      </c>
      <c r="F621" s="10">
        <f>IF(MATCH_ENGINE!A621="","",MATCH_ENGINE!I621)</f>
        <v/>
      </c>
      <c r="G621" s="16">
        <f>IF(MATCH_ENGINE!H621="","",IF(MATCH_ENGINE!F621="IN",MATCH_ENGINE!J621,""))</f>
        <v/>
      </c>
      <c r="H621" s="16">
        <f>IF(MATCH_ENGINE!H621="","",IF(MATCH_ENGINE!F621="OUT",MATCH_ENGINE!J621,""))</f>
        <v/>
      </c>
      <c r="I621" s="16">
        <f>IF(MATCH_ENGINE!H621="","",MATCH_ENGINE!J621)</f>
        <v/>
      </c>
      <c r="J621" s="12">
        <f>IF(MATCH_ENGINE!A621="","",MATCH_ENGINE!K621)</f>
        <v/>
      </c>
      <c r="K621" s="11">
        <f>IF(MATCH_ENGINE!A621="","",MATCH_ENGINE!L621)</f>
        <v/>
      </c>
      <c r="L621" s="17">
        <f>IF(MATCH_ENGINE!A621="","",MATCH_ENGINE!M621)</f>
        <v/>
      </c>
      <c r="M621" s="11">
        <f>IF(MATCH_ENGINE!A621="","",GL_CLEAN!F621)</f>
        <v/>
      </c>
      <c r="N621" s="11">
        <f>IF(MATCH_ENGINE!A621="","",GL_CLEAN!G621)</f>
        <v/>
      </c>
      <c r="O621" s="11">
        <f>IF(MATCH_ENGINE!H621="","",INDEX(BANK_CLEAN!$C$2:$C$1001,MATCH_ENGINE!H621))</f>
        <v/>
      </c>
      <c r="P621" s="11" t="inlineStr"/>
    </row>
    <row r="622">
      <c r="A622" s="11">
        <f>IF(MATCH_ENGINE!A622="","",MATCH_ENGINE!N622)</f>
        <v/>
      </c>
      <c r="B622" s="11">
        <f>IF(MATCH_ENGINE!A622="","",MATCH_ENGINE!C622)</f>
        <v/>
      </c>
      <c r="C622" s="10">
        <f>IF(MATCH_ENGINE!A622="","",MATCH_ENGINE!B622)</f>
        <v/>
      </c>
      <c r="D622" s="16">
        <f>IF(MATCH_ENGINE!A622="","",MATCH_ENGINE!D622)</f>
        <v/>
      </c>
      <c r="E622" s="11">
        <f>IF(MATCH_ENGINE!A622="","",MATCH_ENGINE!F622)</f>
        <v/>
      </c>
      <c r="F622" s="10">
        <f>IF(MATCH_ENGINE!A622="","",MATCH_ENGINE!I622)</f>
        <v/>
      </c>
      <c r="G622" s="16">
        <f>IF(MATCH_ENGINE!H622="","",IF(MATCH_ENGINE!F622="IN",MATCH_ENGINE!J622,""))</f>
        <v/>
      </c>
      <c r="H622" s="16">
        <f>IF(MATCH_ENGINE!H622="","",IF(MATCH_ENGINE!F622="OUT",MATCH_ENGINE!J622,""))</f>
        <v/>
      </c>
      <c r="I622" s="16">
        <f>IF(MATCH_ENGINE!H622="","",MATCH_ENGINE!J622)</f>
        <v/>
      </c>
      <c r="J622" s="12">
        <f>IF(MATCH_ENGINE!A622="","",MATCH_ENGINE!K622)</f>
        <v/>
      </c>
      <c r="K622" s="11">
        <f>IF(MATCH_ENGINE!A622="","",MATCH_ENGINE!L622)</f>
        <v/>
      </c>
      <c r="L622" s="17">
        <f>IF(MATCH_ENGINE!A622="","",MATCH_ENGINE!M622)</f>
        <v/>
      </c>
      <c r="M622" s="11">
        <f>IF(MATCH_ENGINE!A622="","",GL_CLEAN!F622)</f>
        <v/>
      </c>
      <c r="N622" s="11">
        <f>IF(MATCH_ENGINE!A622="","",GL_CLEAN!G622)</f>
        <v/>
      </c>
      <c r="O622" s="11">
        <f>IF(MATCH_ENGINE!H622="","",INDEX(BANK_CLEAN!$C$2:$C$1001,MATCH_ENGINE!H622))</f>
        <v/>
      </c>
      <c r="P622" s="11" t="inlineStr"/>
    </row>
    <row r="623">
      <c r="A623" s="11">
        <f>IF(MATCH_ENGINE!A623="","",MATCH_ENGINE!N623)</f>
        <v/>
      </c>
      <c r="B623" s="11">
        <f>IF(MATCH_ENGINE!A623="","",MATCH_ENGINE!C623)</f>
        <v/>
      </c>
      <c r="C623" s="10">
        <f>IF(MATCH_ENGINE!A623="","",MATCH_ENGINE!B623)</f>
        <v/>
      </c>
      <c r="D623" s="16">
        <f>IF(MATCH_ENGINE!A623="","",MATCH_ENGINE!D623)</f>
        <v/>
      </c>
      <c r="E623" s="11">
        <f>IF(MATCH_ENGINE!A623="","",MATCH_ENGINE!F623)</f>
        <v/>
      </c>
      <c r="F623" s="10">
        <f>IF(MATCH_ENGINE!A623="","",MATCH_ENGINE!I623)</f>
        <v/>
      </c>
      <c r="G623" s="16">
        <f>IF(MATCH_ENGINE!H623="","",IF(MATCH_ENGINE!F623="IN",MATCH_ENGINE!J623,""))</f>
        <v/>
      </c>
      <c r="H623" s="16">
        <f>IF(MATCH_ENGINE!H623="","",IF(MATCH_ENGINE!F623="OUT",MATCH_ENGINE!J623,""))</f>
        <v/>
      </c>
      <c r="I623" s="16">
        <f>IF(MATCH_ENGINE!H623="","",MATCH_ENGINE!J623)</f>
        <v/>
      </c>
      <c r="J623" s="12">
        <f>IF(MATCH_ENGINE!A623="","",MATCH_ENGINE!K623)</f>
        <v/>
      </c>
      <c r="K623" s="11">
        <f>IF(MATCH_ENGINE!A623="","",MATCH_ENGINE!L623)</f>
        <v/>
      </c>
      <c r="L623" s="17">
        <f>IF(MATCH_ENGINE!A623="","",MATCH_ENGINE!M623)</f>
        <v/>
      </c>
      <c r="M623" s="11">
        <f>IF(MATCH_ENGINE!A623="","",GL_CLEAN!F623)</f>
        <v/>
      </c>
      <c r="N623" s="11">
        <f>IF(MATCH_ENGINE!A623="","",GL_CLEAN!G623)</f>
        <v/>
      </c>
      <c r="O623" s="11">
        <f>IF(MATCH_ENGINE!H623="","",INDEX(BANK_CLEAN!$C$2:$C$1001,MATCH_ENGINE!H623))</f>
        <v/>
      </c>
      <c r="P623" s="11" t="inlineStr"/>
    </row>
    <row r="624">
      <c r="A624" s="11">
        <f>IF(MATCH_ENGINE!A624="","",MATCH_ENGINE!N624)</f>
        <v/>
      </c>
      <c r="B624" s="11">
        <f>IF(MATCH_ENGINE!A624="","",MATCH_ENGINE!C624)</f>
        <v/>
      </c>
      <c r="C624" s="10">
        <f>IF(MATCH_ENGINE!A624="","",MATCH_ENGINE!B624)</f>
        <v/>
      </c>
      <c r="D624" s="16">
        <f>IF(MATCH_ENGINE!A624="","",MATCH_ENGINE!D624)</f>
        <v/>
      </c>
      <c r="E624" s="11">
        <f>IF(MATCH_ENGINE!A624="","",MATCH_ENGINE!F624)</f>
        <v/>
      </c>
      <c r="F624" s="10">
        <f>IF(MATCH_ENGINE!A624="","",MATCH_ENGINE!I624)</f>
        <v/>
      </c>
      <c r="G624" s="16">
        <f>IF(MATCH_ENGINE!H624="","",IF(MATCH_ENGINE!F624="IN",MATCH_ENGINE!J624,""))</f>
        <v/>
      </c>
      <c r="H624" s="16">
        <f>IF(MATCH_ENGINE!H624="","",IF(MATCH_ENGINE!F624="OUT",MATCH_ENGINE!J624,""))</f>
        <v/>
      </c>
      <c r="I624" s="16">
        <f>IF(MATCH_ENGINE!H624="","",MATCH_ENGINE!J624)</f>
        <v/>
      </c>
      <c r="J624" s="12">
        <f>IF(MATCH_ENGINE!A624="","",MATCH_ENGINE!K624)</f>
        <v/>
      </c>
      <c r="K624" s="11">
        <f>IF(MATCH_ENGINE!A624="","",MATCH_ENGINE!L624)</f>
        <v/>
      </c>
      <c r="L624" s="17">
        <f>IF(MATCH_ENGINE!A624="","",MATCH_ENGINE!M624)</f>
        <v/>
      </c>
      <c r="M624" s="11">
        <f>IF(MATCH_ENGINE!A624="","",GL_CLEAN!F624)</f>
        <v/>
      </c>
      <c r="N624" s="11">
        <f>IF(MATCH_ENGINE!A624="","",GL_CLEAN!G624)</f>
        <v/>
      </c>
      <c r="O624" s="11">
        <f>IF(MATCH_ENGINE!H624="","",INDEX(BANK_CLEAN!$C$2:$C$1001,MATCH_ENGINE!H624))</f>
        <v/>
      </c>
      <c r="P624" s="11" t="inlineStr"/>
    </row>
    <row r="625">
      <c r="A625" s="11">
        <f>IF(MATCH_ENGINE!A625="","",MATCH_ENGINE!N625)</f>
        <v/>
      </c>
      <c r="B625" s="11">
        <f>IF(MATCH_ENGINE!A625="","",MATCH_ENGINE!C625)</f>
        <v/>
      </c>
      <c r="C625" s="10">
        <f>IF(MATCH_ENGINE!A625="","",MATCH_ENGINE!B625)</f>
        <v/>
      </c>
      <c r="D625" s="16">
        <f>IF(MATCH_ENGINE!A625="","",MATCH_ENGINE!D625)</f>
        <v/>
      </c>
      <c r="E625" s="11">
        <f>IF(MATCH_ENGINE!A625="","",MATCH_ENGINE!F625)</f>
        <v/>
      </c>
      <c r="F625" s="10">
        <f>IF(MATCH_ENGINE!A625="","",MATCH_ENGINE!I625)</f>
        <v/>
      </c>
      <c r="G625" s="16">
        <f>IF(MATCH_ENGINE!H625="","",IF(MATCH_ENGINE!F625="IN",MATCH_ENGINE!J625,""))</f>
        <v/>
      </c>
      <c r="H625" s="16">
        <f>IF(MATCH_ENGINE!H625="","",IF(MATCH_ENGINE!F625="OUT",MATCH_ENGINE!J625,""))</f>
        <v/>
      </c>
      <c r="I625" s="16">
        <f>IF(MATCH_ENGINE!H625="","",MATCH_ENGINE!J625)</f>
        <v/>
      </c>
      <c r="J625" s="12">
        <f>IF(MATCH_ENGINE!A625="","",MATCH_ENGINE!K625)</f>
        <v/>
      </c>
      <c r="K625" s="11">
        <f>IF(MATCH_ENGINE!A625="","",MATCH_ENGINE!L625)</f>
        <v/>
      </c>
      <c r="L625" s="17">
        <f>IF(MATCH_ENGINE!A625="","",MATCH_ENGINE!M625)</f>
        <v/>
      </c>
      <c r="M625" s="11">
        <f>IF(MATCH_ENGINE!A625="","",GL_CLEAN!F625)</f>
        <v/>
      </c>
      <c r="N625" s="11">
        <f>IF(MATCH_ENGINE!A625="","",GL_CLEAN!G625)</f>
        <v/>
      </c>
      <c r="O625" s="11">
        <f>IF(MATCH_ENGINE!H625="","",INDEX(BANK_CLEAN!$C$2:$C$1001,MATCH_ENGINE!H625))</f>
        <v/>
      </c>
      <c r="P625" s="11" t="inlineStr"/>
    </row>
    <row r="626">
      <c r="A626" s="11">
        <f>IF(MATCH_ENGINE!A626="","",MATCH_ENGINE!N626)</f>
        <v/>
      </c>
      <c r="B626" s="11">
        <f>IF(MATCH_ENGINE!A626="","",MATCH_ENGINE!C626)</f>
        <v/>
      </c>
      <c r="C626" s="10">
        <f>IF(MATCH_ENGINE!A626="","",MATCH_ENGINE!B626)</f>
        <v/>
      </c>
      <c r="D626" s="16">
        <f>IF(MATCH_ENGINE!A626="","",MATCH_ENGINE!D626)</f>
        <v/>
      </c>
      <c r="E626" s="11">
        <f>IF(MATCH_ENGINE!A626="","",MATCH_ENGINE!F626)</f>
        <v/>
      </c>
      <c r="F626" s="10">
        <f>IF(MATCH_ENGINE!A626="","",MATCH_ENGINE!I626)</f>
        <v/>
      </c>
      <c r="G626" s="16">
        <f>IF(MATCH_ENGINE!H626="","",IF(MATCH_ENGINE!F626="IN",MATCH_ENGINE!J626,""))</f>
        <v/>
      </c>
      <c r="H626" s="16">
        <f>IF(MATCH_ENGINE!H626="","",IF(MATCH_ENGINE!F626="OUT",MATCH_ENGINE!J626,""))</f>
        <v/>
      </c>
      <c r="I626" s="16">
        <f>IF(MATCH_ENGINE!H626="","",MATCH_ENGINE!J626)</f>
        <v/>
      </c>
      <c r="J626" s="12">
        <f>IF(MATCH_ENGINE!A626="","",MATCH_ENGINE!K626)</f>
        <v/>
      </c>
      <c r="K626" s="11">
        <f>IF(MATCH_ENGINE!A626="","",MATCH_ENGINE!L626)</f>
        <v/>
      </c>
      <c r="L626" s="17">
        <f>IF(MATCH_ENGINE!A626="","",MATCH_ENGINE!M626)</f>
        <v/>
      </c>
      <c r="M626" s="11">
        <f>IF(MATCH_ENGINE!A626="","",GL_CLEAN!F626)</f>
        <v/>
      </c>
      <c r="N626" s="11">
        <f>IF(MATCH_ENGINE!A626="","",GL_CLEAN!G626)</f>
        <v/>
      </c>
      <c r="O626" s="11">
        <f>IF(MATCH_ENGINE!H626="","",INDEX(BANK_CLEAN!$C$2:$C$1001,MATCH_ENGINE!H626))</f>
        <v/>
      </c>
      <c r="P626" s="11" t="inlineStr"/>
    </row>
    <row r="627">
      <c r="A627" s="11">
        <f>IF(MATCH_ENGINE!A627="","",MATCH_ENGINE!N627)</f>
        <v/>
      </c>
      <c r="B627" s="11">
        <f>IF(MATCH_ENGINE!A627="","",MATCH_ENGINE!C627)</f>
        <v/>
      </c>
      <c r="C627" s="10">
        <f>IF(MATCH_ENGINE!A627="","",MATCH_ENGINE!B627)</f>
        <v/>
      </c>
      <c r="D627" s="16">
        <f>IF(MATCH_ENGINE!A627="","",MATCH_ENGINE!D627)</f>
        <v/>
      </c>
      <c r="E627" s="11">
        <f>IF(MATCH_ENGINE!A627="","",MATCH_ENGINE!F627)</f>
        <v/>
      </c>
      <c r="F627" s="10">
        <f>IF(MATCH_ENGINE!A627="","",MATCH_ENGINE!I627)</f>
        <v/>
      </c>
      <c r="G627" s="16">
        <f>IF(MATCH_ENGINE!H627="","",IF(MATCH_ENGINE!F627="IN",MATCH_ENGINE!J627,""))</f>
        <v/>
      </c>
      <c r="H627" s="16">
        <f>IF(MATCH_ENGINE!H627="","",IF(MATCH_ENGINE!F627="OUT",MATCH_ENGINE!J627,""))</f>
        <v/>
      </c>
      <c r="I627" s="16">
        <f>IF(MATCH_ENGINE!H627="","",MATCH_ENGINE!J627)</f>
        <v/>
      </c>
      <c r="J627" s="12">
        <f>IF(MATCH_ENGINE!A627="","",MATCH_ENGINE!K627)</f>
        <v/>
      </c>
      <c r="K627" s="11">
        <f>IF(MATCH_ENGINE!A627="","",MATCH_ENGINE!L627)</f>
        <v/>
      </c>
      <c r="L627" s="17">
        <f>IF(MATCH_ENGINE!A627="","",MATCH_ENGINE!M627)</f>
        <v/>
      </c>
      <c r="M627" s="11">
        <f>IF(MATCH_ENGINE!A627="","",GL_CLEAN!F627)</f>
        <v/>
      </c>
      <c r="N627" s="11">
        <f>IF(MATCH_ENGINE!A627="","",GL_CLEAN!G627)</f>
        <v/>
      </c>
      <c r="O627" s="11">
        <f>IF(MATCH_ENGINE!H627="","",INDEX(BANK_CLEAN!$C$2:$C$1001,MATCH_ENGINE!H627))</f>
        <v/>
      </c>
      <c r="P627" s="11" t="inlineStr"/>
    </row>
    <row r="628">
      <c r="A628" s="11">
        <f>IF(MATCH_ENGINE!A628="","",MATCH_ENGINE!N628)</f>
        <v/>
      </c>
      <c r="B628" s="11">
        <f>IF(MATCH_ENGINE!A628="","",MATCH_ENGINE!C628)</f>
        <v/>
      </c>
      <c r="C628" s="10">
        <f>IF(MATCH_ENGINE!A628="","",MATCH_ENGINE!B628)</f>
        <v/>
      </c>
      <c r="D628" s="16">
        <f>IF(MATCH_ENGINE!A628="","",MATCH_ENGINE!D628)</f>
        <v/>
      </c>
      <c r="E628" s="11">
        <f>IF(MATCH_ENGINE!A628="","",MATCH_ENGINE!F628)</f>
        <v/>
      </c>
      <c r="F628" s="10">
        <f>IF(MATCH_ENGINE!A628="","",MATCH_ENGINE!I628)</f>
        <v/>
      </c>
      <c r="G628" s="16">
        <f>IF(MATCH_ENGINE!H628="","",IF(MATCH_ENGINE!F628="IN",MATCH_ENGINE!J628,""))</f>
        <v/>
      </c>
      <c r="H628" s="16">
        <f>IF(MATCH_ENGINE!H628="","",IF(MATCH_ENGINE!F628="OUT",MATCH_ENGINE!J628,""))</f>
        <v/>
      </c>
      <c r="I628" s="16">
        <f>IF(MATCH_ENGINE!H628="","",MATCH_ENGINE!J628)</f>
        <v/>
      </c>
      <c r="J628" s="12">
        <f>IF(MATCH_ENGINE!A628="","",MATCH_ENGINE!K628)</f>
        <v/>
      </c>
      <c r="K628" s="11">
        <f>IF(MATCH_ENGINE!A628="","",MATCH_ENGINE!L628)</f>
        <v/>
      </c>
      <c r="L628" s="17">
        <f>IF(MATCH_ENGINE!A628="","",MATCH_ENGINE!M628)</f>
        <v/>
      </c>
      <c r="M628" s="11">
        <f>IF(MATCH_ENGINE!A628="","",GL_CLEAN!F628)</f>
        <v/>
      </c>
      <c r="N628" s="11">
        <f>IF(MATCH_ENGINE!A628="","",GL_CLEAN!G628)</f>
        <v/>
      </c>
      <c r="O628" s="11">
        <f>IF(MATCH_ENGINE!H628="","",INDEX(BANK_CLEAN!$C$2:$C$1001,MATCH_ENGINE!H628))</f>
        <v/>
      </c>
      <c r="P628" s="11" t="inlineStr"/>
    </row>
    <row r="629">
      <c r="A629" s="11">
        <f>IF(MATCH_ENGINE!A629="","",MATCH_ENGINE!N629)</f>
        <v/>
      </c>
      <c r="B629" s="11">
        <f>IF(MATCH_ENGINE!A629="","",MATCH_ENGINE!C629)</f>
        <v/>
      </c>
      <c r="C629" s="10">
        <f>IF(MATCH_ENGINE!A629="","",MATCH_ENGINE!B629)</f>
        <v/>
      </c>
      <c r="D629" s="16">
        <f>IF(MATCH_ENGINE!A629="","",MATCH_ENGINE!D629)</f>
        <v/>
      </c>
      <c r="E629" s="11">
        <f>IF(MATCH_ENGINE!A629="","",MATCH_ENGINE!F629)</f>
        <v/>
      </c>
      <c r="F629" s="10">
        <f>IF(MATCH_ENGINE!A629="","",MATCH_ENGINE!I629)</f>
        <v/>
      </c>
      <c r="G629" s="16">
        <f>IF(MATCH_ENGINE!H629="","",IF(MATCH_ENGINE!F629="IN",MATCH_ENGINE!J629,""))</f>
        <v/>
      </c>
      <c r="H629" s="16">
        <f>IF(MATCH_ENGINE!H629="","",IF(MATCH_ENGINE!F629="OUT",MATCH_ENGINE!J629,""))</f>
        <v/>
      </c>
      <c r="I629" s="16">
        <f>IF(MATCH_ENGINE!H629="","",MATCH_ENGINE!J629)</f>
        <v/>
      </c>
      <c r="J629" s="12">
        <f>IF(MATCH_ENGINE!A629="","",MATCH_ENGINE!K629)</f>
        <v/>
      </c>
      <c r="K629" s="11">
        <f>IF(MATCH_ENGINE!A629="","",MATCH_ENGINE!L629)</f>
        <v/>
      </c>
      <c r="L629" s="17">
        <f>IF(MATCH_ENGINE!A629="","",MATCH_ENGINE!M629)</f>
        <v/>
      </c>
      <c r="M629" s="11">
        <f>IF(MATCH_ENGINE!A629="","",GL_CLEAN!F629)</f>
        <v/>
      </c>
      <c r="N629" s="11">
        <f>IF(MATCH_ENGINE!A629="","",GL_CLEAN!G629)</f>
        <v/>
      </c>
      <c r="O629" s="11">
        <f>IF(MATCH_ENGINE!H629="","",INDEX(BANK_CLEAN!$C$2:$C$1001,MATCH_ENGINE!H629))</f>
        <v/>
      </c>
      <c r="P629" s="11" t="inlineStr"/>
    </row>
    <row r="630">
      <c r="A630" s="11">
        <f>IF(MATCH_ENGINE!A630="","",MATCH_ENGINE!N630)</f>
        <v/>
      </c>
      <c r="B630" s="11">
        <f>IF(MATCH_ENGINE!A630="","",MATCH_ENGINE!C630)</f>
        <v/>
      </c>
      <c r="C630" s="10">
        <f>IF(MATCH_ENGINE!A630="","",MATCH_ENGINE!B630)</f>
        <v/>
      </c>
      <c r="D630" s="16">
        <f>IF(MATCH_ENGINE!A630="","",MATCH_ENGINE!D630)</f>
        <v/>
      </c>
      <c r="E630" s="11">
        <f>IF(MATCH_ENGINE!A630="","",MATCH_ENGINE!F630)</f>
        <v/>
      </c>
      <c r="F630" s="10">
        <f>IF(MATCH_ENGINE!A630="","",MATCH_ENGINE!I630)</f>
        <v/>
      </c>
      <c r="G630" s="16">
        <f>IF(MATCH_ENGINE!H630="","",IF(MATCH_ENGINE!F630="IN",MATCH_ENGINE!J630,""))</f>
        <v/>
      </c>
      <c r="H630" s="16">
        <f>IF(MATCH_ENGINE!H630="","",IF(MATCH_ENGINE!F630="OUT",MATCH_ENGINE!J630,""))</f>
        <v/>
      </c>
      <c r="I630" s="16">
        <f>IF(MATCH_ENGINE!H630="","",MATCH_ENGINE!J630)</f>
        <v/>
      </c>
      <c r="J630" s="12">
        <f>IF(MATCH_ENGINE!A630="","",MATCH_ENGINE!K630)</f>
        <v/>
      </c>
      <c r="K630" s="11">
        <f>IF(MATCH_ENGINE!A630="","",MATCH_ENGINE!L630)</f>
        <v/>
      </c>
      <c r="L630" s="17">
        <f>IF(MATCH_ENGINE!A630="","",MATCH_ENGINE!M630)</f>
        <v/>
      </c>
      <c r="M630" s="11">
        <f>IF(MATCH_ENGINE!A630="","",GL_CLEAN!F630)</f>
        <v/>
      </c>
      <c r="N630" s="11">
        <f>IF(MATCH_ENGINE!A630="","",GL_CLEAN!G630)</f>
        <v/>
      </c>
      <c r="O630" s="11">
        <f>IF(MATCH_ENGINE!H630="","",INDEX(BANK_CLEAN!$C$2:$C$1001,MATCH_ENGINE!H630))</f>
        <v/>
      </c>
      <c r="P630" s="11" t="inlineStr"/>
    </row>
    <row r="631">
      <c r="A631" s="11">
        <f>IF(MATCH_ENGINE!A631="","",MATCH_ENGINE!N631)</f>
        <v/>
      </c>
      <c r="B631" s="11">
        <f>IF(MATCH_ENGINE!A631="","",MATCH_ENGINE!C631)</f>
        <v/>
      </c>
      <c r="C631" s="10">
        <f>IF(MATCH_ENGINE!A631="","",MATCH_ENGINE!B631)</f>
        <v/>
      </c>
      <c r="D631" s="16">
        <f>IF(MATCH_ENGINE!A631="","",MATCH_ENGINE!D631)</f>
        <v/>
      </c>
      <c r="E631" s="11">
        <f>IF(MATCH_ENGINE!A631="","",MATCH_ENGINE!F631)</f>
        <v/>
      </c>
      <c r="F631" s="10">
        <f>IF(MATCH_ENGINE!A631="","",MATCH_ENGINE!I631)</f>
        <v/>
      </c>
      <c r="G631" s="16">
        <f>IF(MATCH_ENGINE!H631="","",IF(MATCH_ENGINE!F631="IN",MATCH_ENGINE!J631,""))</f>
        <v/>
      </c>
      <c r="H631" s="16">
        <f>IF(MATCH_ENGINE!H631="","",IF(MATCH_ENGINE!F631="OUT",MATCH_ENGINE!J631,""))</f>
        <v/>
      </c>
      <c r="I631" s="16">
        <f>IF(MATCH_ENGINE!H631="","",MATCH_ENGINE!J631)</f>
        <v/>
      </c>
      <c r="J631" s="12">
        <f>IF(MATCH_ENGINE!A631="","",MATCH_ENGINE!K631)</f>
        <v/>
      </c>
      <c r="K631" s="11">
        <f>IF(MATCH_ENGINE!A631="","",MATCH_ENGINE!L631)</f>
        <v/>
      </c>
      <c r="L631" s="17">
        <f>IF(MATCH_ENGINE!A631="","",MATCH_ENGINE!M631)</f>
        <v/>
      </c>
      <c r="M631" s="11">
        <f>IF(MATCH_ENGINE!A631="","",GL_CLEAN!F631)</f>
        <v/>
      </c>
      <c r="N631" s="11">
        <f>IF(MATCH_ENGINE!A631="","",GL_CLEAN!G631)</f>
        <v/>
      </c>
      <c r="O631" s="11">
        <f>IF(MATCH_ENGINE!H631="","",INDEX(BANK_CLEAN!$C$2:$C$1001,MATCH_ENGINE!H631))</f>
        <v/>
      </c>
      <c r="P631" s="11" t="inlineStr"/>
    </row>
    <row r="632">
      <c r="A632" s="11">
        <f>IF(MATCH_ENGINE!A632="","",MATCH_ENGINE!N632)</f>
        <v/>
      </c>
      <c r="B632" s="11">
        <f>IF(MATCH_ENGINE!A632="","",MATCH_ENGINE!C632)</f>
        <v/>
      </c>
      <c r="C632" s="10">
        <f>IF(MATCH_ENGINE!A632="","",MATCH_ENGINE!B632)</f>
        <v/>
      </c>
      <c r="D632" s="16">
        <f>IF(MATCH_ENGINE!A632="","",MATCH_ENGINE!D632)</f>
        <v/>
      </c>
      <c r="E632" s="11">
        <f>IF(MATCH_ENGINE!A632="","",MATCH_ENGINE!F632)</f>
        <v/>
      </c>
      <c r="F632" s="10">
        <f>IF(MATCH_ENGINE!A632="","",MATCH_ENGINE!I632)</f>
        <v/>
      </c>
      <c r="G632" s="16">
        <f>IF(MATCH_ENGINE!H632="","",IF(MATCH_ENGINE!F632="IN",MATCH_ENGINE!J632,""))</f>
        <v/>
      </c>
      <c r="H632" s="16">
        <f>IF(MATCH_ENGINE!H632="","",IF(MATCH_ENGINE!F632="OUT",MATCH_ENGINE!J632,""))</f>
        <v/>
      </c>
      <c r="I632" s="16">
        <f>IF(MATCH_ENGINE!H632="","",MATCH_ENGINE!J632)</f>
        <v/>
      </c>
      <c r="J632" s="12">
        <f>IF(MATCH_ENGINE!A632="","",MATCH_ENGINE!K632)</f>
        <v/>
      </c>
      <c r="K632" s="11">
        <f>IF(MATCH_ENGINE!A632="","",MATCH_ENGINE!L632)</f>
        <v/>
      </c>
      <c r="L632" s="17">
        <f>IF(MATCH_ENGINE!A632="","",MATCH_ENGINE!M632)</f>
        <v/>
      </c>
      <c r="M632" s="11">
        <f>IF(MATCH_ENGINE!A632="","",GL_CLEAN!F632)</f>
        <v/>
      </c>
      <c r="N632" s="11">
        <f>IF(MATCH_ENGINE!A632="","",GL_CLEAN!G632)</f>
        <v/>
      </c>
      <c r="O632" s="11">
        <f>IF(MATCH_ENGINE!H632="","",INDEX(BANK_CLEAN!$C$2:$C$1001,MATCH_ENGINE!H632))</f>
        <v/>
      </c>
      <c r="P632" s="11" t="inlineStr"/>
    </row>
    <row r="633">
      <c r="A633" s="11">
        <f>IF(MATCH_ENGINE!A633="","",MATCH_ENGINE!N633)</f>
        <v/>
      </c>
      <c r="B633" s="11">
        <f>IF(MATCH_ENGINE!A633="","",MATCH_ENGINE!C633)</f>
        <v/>
      </c>
      <c r="C633" s="10">
        <f>IF(MATCH_ENGINE!A633="","",MATCH_ENGINE!B633)</f>
        <v/>
      </c>
      <c r="D633" s="16">
        <f>IF(MATCH_ENGINE!A633="","",MATCH_ENGINE!D633)</f>
        <v/>
      </c>
      <c r="E633" s="11">
        <f>IF(MATCH_ENGINE!A633="","",MATCH_ENGINE!F633)</f>
        <v/>
      </c>
      <c r="F633" s="10">
        <f>IF(MATCH_ENGINE!A633="","",MATCH_ENGINE!I633)</f>
        <v/>
      </c>
      <c r="G633" s="16">
        <f>IF(MATCH_ENGINE!H633="","",IF(MATCH_ENGINE!F633="IN",MATCH_ENGINE!J633,""))</f>
        <v/>
      </c>
      <c r="H633" s="16">
        <f>IF(MATCH_ENGINE!H633="","",IF(MATCH_ENGINE!F633="OUT",MATCH_ENGINE!J633,""))</f>
        <v/>
      </c>
      <c r="I633" s="16">
        <f>IF(MATCH_ENGINE!H633="","",MATCH_ENGINE!J633)</f>
        <v/>
      </c>
      <c r="J633" s="12">
        <f>IF(MATCH_ENGINE!A633="","",MATCH_ENGINE!K633)</f>
        <v/>
      </c>
      <c r="K633" s="11">
        <f>IF(MATCH_ENGINE!A633="","",MATCH_ENGINE!L633)</f>
        <v/>
      </c>
      <c r="L633" s="17">
        <f>IF(MATCH_ENGINE!A633="","",MATCH_ENGINE!M633)</f>
        <v/>
      </c>
      <c r="M633" s="11">
        <f>IF(MATCH_ENGINE!A633="","",GL_CLEAN!F633)</f>
        <v/>
      </c>
      <c r="N633" s="11">
        <f>IF(MATCH_ENGINE!A633="","",GL_CLEAN!G633)</f>
        <v/>
      </c>
      <c r="O633" s="11">
        <f>IF(MATCH_ENGINE!H633="","",INDEX(BANK_CLEAN!$C$2:$C$1001,MATCH_ENGINE!H633))</f>
        <v/>
      </c>
      <c r="P633" s="11" t="inlineStr"/>
    </row>
    <row r="634">
      <c r="A634" s="11">
        <f>IF(MATCH_ENGINE!A634="","",MATCH_ENGINE!N634)</f>
        <v/>
      </c>
      <c r="B634" s="11">
        <f>IF(MATCH_ENGINE!A634="","",MATCH_ENGINE!C634)</f>
        <v/>
      </c>
      <c r="C634" s="10">
        <f>IF(MATCH_ENGINE!A634="","",MATCH_ENGINE!B634)</f>
        <v/>
      </c>
      <c r="D634" s="16">
        <f>IF(MATCH_ENGINE!A634="","",MATCH_ENGINE!D634)</f>
        <v/>
      </c>
      <c r="E634" s="11">
        <f>IF(MATCH_ENGINE!A634="","",MATCH_ENGINE!F634)</f>
        <v/>
      </c>
      <c r="F634" s="10">
        <f>IF(MATCH_ENGINE!A634="","",MATCH_ENGINE!I634)</f>
        <v/>
      </c>
      <c r="G634" s="16">
        <f>IF(MATCH_ENGINE!H634="","",IF(MATCH_ENGINE!F634="IN",MATCH_ENGINE!J634,""))</f>
        <v/>
      </c>
      <c r="H634" s="16">
        <f>IF(MATCH_ENGINE!H634="","",IF(MATCH_ENGINE!F634="OUT",MATCH_ENGINE!J634,""))</f>
        <v/>
      </c>
      <c r="I634" s="16">
        <f>IF(MATCH_ENGINE!H634="","",MATCH_ENGINE!J634)</f>
        <v/>
      </c>
      <c r="J634" s="12">
        <f>IF(MATCH_ENGINE!A634="","",MATCH_ENGINE!K634)</f>
        <v/>
      </c>
      <c r="K634" s="11">
        <f>IF(MATCH_ENGINE!A634="","",MATCH_ENGINE!L634)</f>
        <v/>
      </c>
      <c r="L634" s="17">
        <f>IF(MATCH_ENGINE!A634="","",MATCH_ENGINE!M634)</f>
        <v/>
      </c>
      <c r="M634" s="11">
        <f>IF(MATCH_ENGINE!A634="","",GL_CLEAN!F634)</f>
        <v/>
      </c>
      <c r="N634" s="11">
        <f>IF(MATCH_ENGINE!A634="","",GL_CLEAN!G634)</f>
        <v/>
      </c>
      <c r="O634" s="11">
        <f>IF(MATCH_ENGINE!H634="","",INDEX(BANK_CLEAN!$C$2:$C$1001,MATCH_ENGINE!H634))</f>
        <v/>
      </c>
      <c r="P634" s="11" t="inlineStr"/>
    </row>
    <row r="635">
      <c r="A635" s="11">
        <f>IF(MATCH_ENGINE!A635="","",MATCH_ENGINE!N635)</f>
        <v/>
      </c>
      <c r="B635" s="11">
        <f>IF(MATCH_ENGINE!A635="","",MATCH_ENGINE!C635)</f>
        <v/>
      </c>
      <c r="C635" s="10">
        <f>IF(MATCH_ENGINE!A635="","",MATCH_ENGINE!B635)</f>
        <v/>
      </c>
      <c r="D635" s="16">
        <f>IF(MATCH_ENGINE!A635="","",MATCH_ENGINE!D635)</f>
        <v/>
      </c>
      <c r="E635" s="11">
        <f>IF(MATCH_ENGINE!A635="","",MATCH_ENGINE!F635)</f>
        <v/>
      </c>
      <c r="F635" s="10">
        <f>IF(MATCH_ENGINE!A635="","",MATCH_ENGINE!I635)</f>
        <v/>
      </c>
      <c r="G635" s="16">
        <f>IF(MATCH_ENGINE!H635="","",IF(MATCH_ENGINE!F635="IN",MATCH_ENGINE!J635,""))</f>
        <v/>
      </c>
      <c r="H635" s="16">
        <f>IF(MATCH_ENGINE!H635="","",IF(MATCH_ENGINE!F635="OUT",MATCH_ENGINE!J635,""))</f>
        <v/>
      </c>
      <c r="I635" s="16">
        <f>IF(MATCH_ENGINE!H635="","",MATCH_ENGINE!J635)</f>
        <v/>
      </c>
      <c r="J635" s="12">
        <f>IF(MATCH_ENGINE!A635="","",MATCH_ENGINE!K635)</f>
        <v/>
      </c>
      <c r="K635" s="11">
        <f>IF(MATCH_ENGINE!A635="","",MATCH_ENGINE!L635)</f>
        <v/>
      </c>
      <c r="L635" s="17">
        <f>IF(MATCH_ENGINE!A635="","",MATCH_ENGINE!M635)</f>
        <v/>
      </c>
      <c r="M635" s="11">
        <f>IF(MATCH_ENGINE!A635="","",GL_CLEAN!F635)</f>
        <v/>
      </c>
      <c r="N635" s="11">
        <f>IF(MATCH_ENGINE!A635="","",GL_CLEAN!G635)</f>
        <v/>
      </c>
      <c r="O635" s="11">
        <f>IF(MATCH_ENGINE!H635="","",INDEX(BANK_CLEAN!$C$2:$C$1001,MATCH_ENGINE!H635))</f>
        <v/>
      </c>
      <c r="P635" s="11" t="inlineStr"/>
    </row>
    <row r="636">
      <c r="A636" s="11">
        <f>IF(MATCH_ENGINE!A636="","",MATCH_ENGINE!N636)</f>
        <v/>
      </c>
      <c r="B636" s="11">
        <f>IF(MATCH_ENGINE!A636="","",MATCH_ENGINE!C636)</f>
        <v/>
      </c>
      <c r="C636" s="10">
        <f>IF(MATCH_ENGINE!A636="","",MATCH_ENGINE!B636)</f>
        <v/>
      </c>
      <c r="D636" s="16">
        <f>IF(MATCH_ENGINE!A636="","",MATCH_ENGINE!D636)</f>
        <v/>
      </c>
      <c r="E636" s="11">
        <f>IF(MATCH_ENGINE!A636="","",MATCH_ENGINE!F636)</f>
        <v/>
      </c>
      <c r="F636" s="10">
        <f>IF(MATCH_ENGINE!A636="","",MATCH_ENGINE!I636)</f>
        <v/>
      </c>
      <c r="G636" s="16">
        <f>IF(MATCH_ENGINE!H636="","",IF(MATCH_ENGINE!F636="IN",MATCH_ENGINE!J636,""))</f>
        <v/>
      </c>
      <c r="H636" s="16">
        <f>IF(MATCH_ENGINE!H636="","",IF(MATCH_ENGINE!F636="OUT",MATCH_ENGINE!J636,""))</f>
        <v/>
      </c>
      <c r="I636" s="16">
        <f>IF(MATCH_ENGINE!H636="","",MATCH_ENGINE!J636)</f>
        <v/>
      </c>
      <c r="J636" s="12">
        <f>IF(MATCH_ENGINE!A636="","",MATCH_ENGINE!K636)</f>
        <v/>
      </c>
      <c r="K636" s="11">
        <f>IF(MATCH_ENGINE!A636="","",MATCH_ENGINE!L636)</f>
        <v/>
      </c>
      <c r="L636" s="17">
        <f>IF(MATCH_ENGINE!A636="","",MATCH_ENGINE!M636)</f>
        <v/>
      </c>
      <c r="M636" s="11">
        <f>IF(MATCH_ENGINE!A636="","",GL_CLEAN!F636)</f>
        <v/>
      </c>
      <c r="N636" s="11">
        <f>IF(MATCH_ENGINE!A636="","",GL_CLEAN!G636)</f>
        <v/>
      </c>
      <c r="O636" s="11">
        <f>IF(MATCH_ENGINE!H636="","",INDEX(BANK_CLEAN!$C$2:$C$1001,MATCH_ENGINE!H636))</f>
        <v/>
      </c>
      <c r="P636" s="11" t="inlineStr"/>
    </row>
    <row r="637">
      <c r="A637" s="11">
        <f>IF(MATCH_ENGINE!A637="","",MATCH_ENGINE!N637)</f>
        <v/>
      </c>
      <c r="B637" s="11">
        <f>IF(MATCH_ENGINE!A637="","",MATCH_ENGINE!C637)</f>
        <v/>
      </c>
      <c r="C637" s="10">
        <f>IF(MATCH_ENGINE!A637="","",MATCH_ENGINE!B637)</f>
        <v/>
      </c>
      <c r="D637" s="16">
        <f>IF(MATCH_ENGINE!A637="","",MATCH_ENGINE!D637)</f>
        <v/>
      </c>
      <c r="E637" s="11">
        <f>IF(MATCH_ENGINE!A637="","",MATCH_ENGINE!F637)</f>
        <v/>
      </c>
      <c r="F637" s="10">
        <f>IF(MATCH_ENGINE!A637="","",MATCH_ENGINE!I637)</f>
        <v/>
      </c>
      <c r="G637" s="16">
        <f>IF(MATCH_ENGINE!H637="","",IF(MATCH_ENGINE!F637="IN",MATCH_ENGINE!J637,""))</f>
        <v/>
      </c>
      <c r="H637" s="16">
        <f>IF(MATCH_ENGINE!H637="","",IF(MATCH_ENGINE!F637="OUT",MATCH_ENGINE!J637,""))</f>
        <v/>
      </c>
      <c r="I637" s="16">
        <f>IF(MATCH_ENGINE!H637="","",MATCH_ENGINE!J637)</f>
        <v/>
      </c>
      <c r="J637" s="12">
        <f>IF(MATCH_ENGINE!A637="","",MATCH_ENGINE!K637)</f>
        <v/>
      </c>
      <c r="K637" s="11">
        <f>IF(MATCH_ENGINE!A637="","",MATCH_ENGINE!L637)</f>
        <v/>
      </c>
      <c r="L637" s="17">
        <f>IF(MATCH_ENGINE!A637="","",MATCH_ENGINE!M637)</f>
        <v/>
      </c>
      <c r="M637" s="11">
        <f>IF(MATCH_ENGINE!A637="","",GL_CLEAN!F637)</f>
        <v/>
      </c>
      <c r="N637" s="11">
        <f>IF(MATCH_ENGINE!A637="","",GL_CLEAN!G637)</f>
        <v/>
      </c>
      <c r="O637" s="11">
        <f>IF(MATCH_ENGINE!H637="","",INDEX(BANK_CLEAN!$C$2:$C$1001,MATCH_ENGINE!H637))</f>
        <v/>
      </c>
      <c r="P637" s="11" t="inlineStr"/>
    </row>
    <row r="638">
      <c r="A638" s="11">
        <f>IF(MATCH_ENGINE!A638="","",MATCH_ENGINE!N638)</f>
        <v/>
      </c>
      <c r="B638" s="11">
        <f>IF(MATCH_ENGINE!A638="","",MATCH_ENGINE!C638)</f>
        <v/>
      </c>
      <c r="C638" s="10">
        <f>IF(MATCH_ENGINE!A638="","",MATCH_ENGINE!B638)</f>
        <v/>
      </c>
      <c r="D638" s="16">
        <f>IF(MATCH_ENGINE!A638="","",MATCH_ENGINE!D638)</f>
        <v/>
      </c>
      <c r="E638" s="11">
        <f>IF(MATCH_ENGINE!A638="","",MATCH_ENGINE!F638)</f>
        <v/>
      </c>
      <c r="F638" s="10">
        <f>IF(MATCH_ENGINE!A638="","",MATCH_ENGINE!I638)</f>
        <v/>
      </c>
      <c r="G638" s="16">
        <f>IF(MATCH_ENGINE!H638="","",IF(MATCH_ENGINE!F638="IN",MATCH_ENGINE!J638,""))</f>
        <v/>
      </c>
      <c r="H638" s="16">
        <f>IF(MATCH_ENGINE!H638="","",IF(MATCH_ENGINE!F638="OUT",MATCH_ENGINE!J638,""))</f>
        <v/>
      </c>
      <c r="I638" s="16">
        <f>IF(MATCH_ENGINE!H638="","",MATCH_ENGINE!J638)</f>
        <v/>
      </c>
      <c r="J638" s="12">
        <f>IF(MATCH_ENGINE!A638="","",MATCH_ENGINE!K638)</f>
        <v/>
      </c>
      <c r="K638" s="11">
        <f>IF(MATCH_ENGINE!A638="","",MATCH_ENGINE!L638)</f>
        <v/>
      </c>
      <c r="L638" s="17">
        <f>IF(MATCH_ENGINE!A638="","",MATCH_ENGINE!M638)</f>
        <v/>
      </c>
      <c r="M638" s="11">
        <f>IF(MATCH_ENGINE!A638="","",GL_CLEAN!F638)</f>
        <v/>
      </c>
      <c r="N638" s="11">
        <f>IF(MATCH_ENGINE!A638="","",GL_CLEAN!G638)</f>
        <v/>
      </c>
      <c r="O638" s="11">
        <f>IF(MATCH_ENGINE!H638="","",INDEX(BANK_CLEAN!$C$2:$C$1001,MATCH_ENGINE!H638))</f>
        <v/>
      </c>
      <c r="P638" s="11" t="inlineStr"/>
    </row>
    <row r="639">
      <c r="A639" s="11">
        <f>IF(MATCH_ENGINE!A639="","",MATCH_ENGINE!N639)</f>
        <v/>
      </c>
      <c r="B639" s="11">
        <f>IF(MATCH_ENGINE!A639="","",MATCH_ENGINE!C639)</f>
        <v/>
      </c>
      <c r="C639" s="10">
        <f>IF(MATCH_ENGINE!A639="","",MATCH_ENGINE!B639)</f>
        <v/>
      </c>
      <c r="D639" s="16">
        <f>IF(MATCH_ENGINE!A639="","",MATCH_ENGINE!D639)</f>
        <v/>
      </c>
      <c r="E639" s="11">
        <f>IF(MATCH_ENGINE!A639="","",MATCH_ENGINE!F639)</f>
        <v/>
      </c>
      <c r="F639" s="10">
        <f>IF(MATCH_ENGINE!A639="","",MATCH_ENGINE!I639)</f>
        <v/>
      </c>
      <c r="G639" s="16">
        <f>IF(MATCH_ENGINE!H639="","",IF(MATCH_ENGINE!F639="IN",MATCH_ENGINE!J639,""))</f>
        <v/>
      </c>
      <c r="H639" s="16">
        <f>IF(MATCH_ENGINE!H639="","",IF(MATCH_ENGINE!F639="OUT",MATCH_ENGINE!J639,""))</f>
        <v/>
      </c>
      <c r="I639" s="16">
        <f>IF(MATCH_ENGINE!H639="","",MATCH_ENGINE!J639)</f>
        <v/>
      </c>
      <c r="J639" s="12">
        <f>IF(MATCH_ENGINE!A639="","",MATCH_ENGINE!K639)</f>
        <v/>
      </c>
      <c r="K639" s="11">
        <f>IF(MATCH_ENGINE!A639="","",MATCH_ENGINE!L639)</f>
        <v/>
      </c>
      <c r="L639" s="17">
        <f>IF(MATCH_ENGINE!A639="","",MATCH_ENGINE!M639)</f>
        <v/>
      </c>
      <c r="M639" s="11">
        <f>IF(MATCH_ENGINE!A639="","",GL_CLEAN!F639)</f>
        <v/>
      </c>
      <c r="N639" s="11">
        <f>IF(MATCH_ENGINE!A639="","",GL_CLEAN!G639)</f>
        <v/>
      </c>
      <c r="O639" s="11">
        <f>IF(MATCH_ENGINE!H639="","",INDEX(BANK_CLEAN!$C$2:$C$1001,MATCH_ENGINE!H639))</f>
        <v/>
      </c>
      <c r="P639" s="11" t="inlineStr"/>
    </row>
    <row r="640">
      <c r="A640" s="11">
        <f>IF(MATCH_ENGINE!A640="","",MATCH_ENGINE!N640)</f>
        <v/>
      </c>
      <c r="B640" s="11">
        <f>IF(MATCH_ENGINE!A640="","",MATCH_ENGINE!C640)</f>
        <v/>
      </c>
      <c r="C640" s="10">
        <f>IF(MATCH_ENGINE!A640="","",MATCH_ENGINE!B640)</f>
        <v/>
      </c>
      <c r="D640" s="16">
        <f>IF(MATCH_ENGINE!A640="","",MATCH_ENGINE!D640)</f>
        <v/>
      </c>
      <c r="E640" s="11">
        <f>IF(MATCH_ENGINE!A640="","",MATCH_ENGINE!F640)</f>
        <v/>
      </c>
      <c r="F640" s="10">
        <f>IF(MATCH_ENGINE!A640="","",MATCH_ENGINE!I640)</f>
        <v/>
      </c>
      <c r="G640" s="16">
        <f>IF(MATCH_ENGINE!H640="","",IF(MATCH_ENGINE!F640="IN",MATCH_ENGINE!J640,""))</f>
        <v/>
      </c>
      <c r="H640" s="16">
        <f>IF(MATCH_ENGINE!H640="","",IF(MATCH_ENGINE!F640="OUT",MATCH_ENGINE!J640,""))</f>
        <v/>
      </c>
      <c r="I640" s="16">
        <f>IF(MATCH_ENGINE!H640="","",MATCH_ENGINE!J640)</f>
        <v/>
      </c>
      <c r="J640" s="12">
        <f>IF(MATCH_ENGINE!A640="","",MATCH_ENGINE!K640)</f>
        <v/>
      </c>
      <c r="K640" s="11">
        <f>IF(MATCH_ENGINE!A640="","",MATCH_ENGINE!L640)</f>
        <v/>
      </c>
      <c r="L640" s="17">
        <f>IF(MATCH_ENGINE!A640="","",MATCH_ENGINE!M640)</f>
        <v/>
      </c>
      <c r="M640" s="11">
        <f>IF(MATCH_ENGINE!A640="","",GL_CLEAN!F640)</f>
        <v/>
      </c>
      <c r="N640" s="11">
        <f>IF(MATCH_ENGINE!A640="","",GL_CLEAN!G640)</f>
        <v/>
      </c>
      <c r="O640" s="11">
        <f>IF(MATCH_ENGINE!H640="","",INDEX(BANK_CLEAN!$C$2:$C$1001,MATCH_ENGINE!H640))</f>
        <v/>
      </c>
      <c r="P640" s="11" t="inlineStr"/>
    </row>
    <row r="641">
      <c r="A641" s="11">
        <f>IF(MATCH_ENGINE!A641="","",MATCH_ENGINE!N641)</f>
        <v/>
      </c>
      <c r="B641" s="11">
        <f>IF(MATCH_ENGINE!A641="","",MATCH_ENGINE!C641)</f>
        <v/>
      </c>
      <c r="C641" s="10">
        <f>IF(MATCH_ENGINE!A641="","",MATCH_ENGINE!B641)</f>
        <v/>
      </c>
      <c r="D641" s="16">
        <f>IF(MATCH_ENGINE!A641="","",MATCH_ENGINE!D641)</f>
        <v/>
      </c>
      <c r="E641" s="11">
        <f>IF(MATCH_ENGINE!A641="","",MATCH_ENGINE!F641)</f>
        <v/>
      </c>
      <c r="F641" s="10">
        <f>IF(MATCH_ENGINE!A641="","",MATCH_ENGINE!I641)</f>
        <v/>
      </c>
      <c r="G641" s="16">
        <f>IF(MATCH_ENGINE!H641="","",IF(MATCH_ENGINE!F641="IN",MATCH_ENGINE!J641,""))</f>
        <v/>
      </c>
      <c r="H641" s="16">
        <f>IF(MATCH_ENGINE!H641="","",IF(MATCH_ENGINE!F641="OUT",MATCH_ENGINE!J641,""))</f>
        <v/>
      </c>
      <c r="I641" s="16">
        <f>IF(MATCH_ENGINE!H641="","",MATCH_ENGINE!J641)</f>
        <v/>
      </c>
      <c r="J641" s="12">
        <f>IF(MATCH_ENGINE!A641="","",MATCH_ENGINE!K641)</f>
        <v/>
      </c>
      <c r="K641" s="11">
        <f>IF(MATCH_ENGINE!A641="","",MATCH_ENGINE!L641)</f>
        <v/>
      </c>
      <c r="L641" s="17">
        <f>IF(MATCH_ENGINE!A641="","",MATCH_ENGINE!M641)</f>
        <v/>
      </c>
      <c r="M641" s="11">
        <f>IF(MATCH_ENGINE!A641="","",GL_CLEAN!F641)</f>
        <v/>
      </c>
      <c r="N641" s="11">
        <f>IF(MATCH_ENGINE!A641="","",GL_CLEAN!G641)</f>
        <v/>
      </c>
      <c r="O641" s="11">
        <f>IF(MATCH_ENGINE!H641="","",INDEX(BANK_CLEAN!$C$2:$C$1001,MATCH_ENGINE!H641))</f>
        <v/>
      </c>
      <c r="P641" s="11" t="inlineStr"/>
    </row>
    <row r="642">
      <c r="A642" s="11">
        <f>IF(MATCH_ENGINE!A642="","",MATCH_ENGINE!N642)</f>
        <v/>
      </c>
      <c r="B642" s="11">
        <f>IF(MATCH_ENGINE!A642="","",MATCH_ENGINE!C642)</f>
        <v/>
      </c>
      <c r="C642" s="10">
        <f>IF(MATCH_ENGINE!A642="","",MATCH_ENGINE!B642)</f>
        <v/>
      </c>
      <c r="D642" s="16">
        <f>IF(MATCH_ENGINE!A642="","",MATCH_ENGINE!D642)</f>
        <v/>
      </c>
      <c r="E642" s="11">
        <f>IF(MATCH_ENGINE!A642="","",MATCH_ENGINE!F642)</f>
        <v/>
      </c>
      <c r="F642" s="10">
        <f>IF(MATCH_ENGINE!A642="","",MATCH_ENGINE!I642)</f>
        <v/>
      </c>
      <c r="G642" s="16">
        <f>IF(MATCH_ENGINE!H642="","",IF(MATCH_ENGINE!F642="IN",MATCH_ENGINE!J642,""))</f>
        <v/>
      </c>
      <c r="H642" s="16">
        <f>IF(MATCH_ENGINE!H642="","",IF(MATCH_ENGINE!F642="OUT",MATCH_ENGINE!J642,""))</f>
        <v/>
      </c>
      <c r="I642" s="16">
        <f>IF(MATCH_ENGINE!H642="","",MATCH_ENGINE!J642)</f>
        <v/>
      </c>
      <c r="J642" s="12">
        <f>IF(MATCH_ENGINE!A642="","",MATCH_ENGINE!K642)</f>
        <v/>
      </c>
      <c r="K642" s="11">
        <f>IF(MATCH_ENGINE!A642="","",MATCH_ENGINE!L642)</f>
        <v/>
      </c>
      <c r="L642" s="17">
        <f>IF(MATCH_ENGINE!A642="","",MATCH_ENGINE!M642)</f>
        <v/>
      </c>
      <c r="M642" s="11">
        <f>IF(MATCH_ENGINE!A642="","",GL_CLEAN!F642)</f>
        <v/>
      </c>
      <c r="N642" s="11">
        <f>IF(MATCH_ENGINE!A642="","",GL_CLEAN!G642)</f>
        <v/>
      </c>
      <c r="O642" s="11">
        <f>IF(MATCH_ENGINE!H642="","",INDEX(BANK_CLEAN!$C$2:$C$1001,MATCH_ENGINE!H642))</f>
        <v/>
      </c>
      <c r="P642" s="11" t="inlineStr"/>
    </row>
    <row r="643">
      <c r="A643" s="11">
        <f>IF(MATCH_ENGINE!A643="","",MATCH_ENGINE!N643)</f>
        <v/>
      </c>
      <c r="B643" s="11">
        <f>IF(MATCH_ENGINE!A643="","",MATCH_ENGINE!C643)</f>
        <v/>
      </c>
      <c r="C643" s="10">
        <f>IF(MATCH_ENGINE!A643="","",MATCH_ENGINE!B643)</f>
        <v/>
      </c>
      <c r="D643" s="16">
        <f>IF(MATCH_ENGINE!A643="","",MATCH_ENGINE!D643)</f>
        <v/>
      </c>
      <c r="E643" s="11">
        <f>IF(MATCH_ENGINE!A643="","",MATCH_ENGINE!F643)</f>
        <v/>
      </c>
      <c r="F643" s="10">
        <f>IF(MATCH_ENGINE!A643="","",MATCH_ENGINE!I643)</f>
        <v/>
      </c>
      <c r="G643" s="16">
        <f>IF(MATCH_ENGINE!H643="","",IF(MATCH_ENGINE!F643="IN",MATCH_ENGINE!J643,""))</f>
        <v/>
      </c>
      <c r="H643" s="16">
        <f>IF(MATCH_ENGINE!H643="","",IF(MATCH_ENGINE!F643="OUT",MATCH_ENGINE!J643,""))</f>
        <v/>
      </c>
      <c r="I643" s="16">
        <f>IF(MATCH_ENGINE!H643="","",MATCH_ENGINE!J643)</f>
        <v/>
      </c>
      <c r="J643" s="12">
        <f>IF(MATCH_ENGINE!A643="","",MATCH_ENGINE!K643)</f>
        <v/>
      </c>
      <c r="K643" s="11">
        <f>IF(MATCH_ENGINE!A643="","",MATCH_ENGINE!L643)</f>
        <v/>
      </c>
      <c r="L643" s="17">
        <f>IF(MATCH_ENGINE!A643="","",MATCH_ENGINE!M643)</f>
        <v/>
      </c>
      <c r="M643" s="11">
        <f>IF(MATCH_ENGINE!A643="","",GL_CLEAN!F643)</f>
        <v/>
      </c>
      <c r="N643" s="11">
        <f>IF(MATCH_ENGINE!A643="","",GL_CLEAN!G643)</f>
        <v/>
      </c>
      <c r="O643" s="11">
        <f>IF(MATCH_ENGINE!H643="","",INDEX(BANK_CLEAN!$C$2:$C$1001,MATCH_ENGINE!H643))</f>
        <v/>
      </c>
      <c r="P643" s="11" t="inlineStr"/>
    </row>
    <row r="644">
      <c r="A644" s="11">
        <f>IF(MATCH_ENGINE!A644="","",MATCH_ENGINE!N644)</f>
        <v/>
      </c>
      <c r="B644" s="11">
        <f>IF(MATCH_ENGINE!A644="","",MATCH_ENGINE!C644)</f>
        <v/>
      </c>
      <c r="C644" s="10">
        <f>IF(MATCH_ENGINE!A644="","",MATCH_ENGINE!B644)</f>
        <v/>
      </c>
      <c r="D644" s="16">
        <f>IF(MATCH_ENGINE!A644="","",MATCH_ENGINE!D644)</f>
        <v/>
      </c>
      <c r="E644" s="11">
        <f>IF(MATCH_ENGINE!A644="","",MATCH_ENGINE!F644)</f>
        <v/>
      </c>
      <c r="F644" s="10">
        <f>IF(MATCH_ENGINE!A644="","",MATCH_ENGINE!I644)</f>
        <v/>
      </c>
      <c r="G644" s="16">
        <f>IF(MATCH_ENGINE!H644="","",IF(MATCH_ENGINE!F644="IN",MATCH_ENGINE!J644,""))</f>
        <v/>
      </c>
      <c r="H644" s="16">
        <f>IF(MATCH_ENGINE!H644="","",IF(MATCH_ENGINE!F644="OUT",MATCH_ENGINE!J644,""))</f>
        <v/>
      </c>
      <c r="I644" s="16">
        <f>IF(MATCH_ENGINE!H644="","",MATCH_ENGINE!J644)</f>
        <v/>
      </c>
      <c r="J644" s="12">
        <f>IF(MATCH_ENGINE!A644="","",MATCH_ENGINE!K644)</f>
        <v/>
      </c>
      <c r="K644" s="11">
        <f>IF(MATCH_ENGINE!A644="","",MATCH_ENGINE!L644)</f>
        <v/>
      </c>
      <c r="L644" s="17">
        <f>IF(MATCH_ENGINE!A644="","",MATCH_ENGINE!M644)</f>
        <v/>
      </c>
      <c r="M644" s="11">
        <f>IF(MATCH_ENGINE!A644="","",GL_CLEAN!F644)</f>
        <v/>
      </c>
      <c r="N644" s="11">
        <f>IF(MATCH_ENGINE!A644="","",GL_CLEAN!G644)</f>
        <v/>
      </c>
      <c r="O644" s="11">
        <f>IF(MATCH_ENGINE!H644="","",INDEX(BANK_CLEAN!$C$2:$C$1001,MATCH_ENGINE!H644))</f>
        <v/>
      </c>
      <c r="P644" s="11" t="inlineStr"/>
    </row>
    <row r="645">
      <c r="A645" s="11">
        <f>IF(MATCH_ENGINE!A645="","",MATCH_ENGINE!N645)</f>
        <v/>
      </c>
      <c r="B645" s="11">
        <f>IF(MATCH_ENGINE!A645="","",MATCH_ENGINE!C645)</f>
        <v/>
      </c>
      <c r="C645" s="10">
        <f>IF(MATCH_ENGINE!A645="","",MATCH_ENGINE!B645)</f>
        <v/>
      </c>
      <c r="D645" s="16">
        <f>IF(MATCH_ENGINE!A645="","",MATCH_ENGINE!D645)</f>
        <v/>
      </c>
      <c r="E645" s="11">
        <f>IF(MATCH_ENGINE!A645="","",MATCH_ENGINE!F645)</f>
        <v/>
      </c>
      <c r="F645" s="10">
        <f>IF(MATCH_ENGINE!A645="","",MATCH_ENGINE!I645)</f>
        <v/>
      </c>
      <c r="G645" s="16">
        <f>IF(MATCH_ENGINE!H645="","",IF(MATCH_ENGINE!F645="IN",MATCH_ENGINE!J645,""))</f>
        <v/>
      </c>
      <c r="H645" s="16">
        <f>IF(MATCH_ENGINE!H645="","",IF(MATCH_ENGINE!F645="OUT",MATCH_ENGINE!J645,""))</f>
        <v/>
      </c>
      <c r="I645" s="16">
        <f>IF(MATCH_ENGINE!H645="","",MATCH_ENGINE!J645)</f>
        <v/>
      </c>
      <c r="J645" s="12">
        <f>IF(MATCH_ENGINE!A645="","",MATCH_ENGINE!K645)</f>
        <v/>
      </c>
      <c r="K645" s="11">
        <f>IF(MATCH_ENGINE!A645="","",MATCH_ENGINE!L645)</f>
        <v/>
      </c>
      <c r="L645" s="17">
        <f>IF(MATCH_ENGINE!A645="","",MATCH_ENGINE!M645)</f>
        <v/>
      </c>
      <c r="M645" s="11">
        <f>IF(MATCH_ENGINE!A645="","",GL_CLEAN!F645)</f>
        <v/>
      </c>
      <c r="N645" s="11">
        <f>IF(MATCH_ENGINE!A645="","",GL_CLEAN!G645)</f>
        <v/>
      </c>
      <c r="O645" s="11">
        <f>IF(MATCH_ENGINE!H645="","",INDEX(BANK_CLEAN!$C$2:$C$1001,MATCH_ENGINE!H645))</f>
        <v/>
      </c>
      <c r="P645" s="11" t="inlineStr"/>
    </row>
    <row r="646">
      <c r="A646" s="11">
        <f>IF(MATCH_ENGINE!A646="","",MATCH_ENGINE!N646)</f>
        <v/>
      </c>
      <c r="B646" s="11">
        <f>IF(MATCH_ENGINE!A646="","",MATCH_ENGINE!C646)</f>
        <v/>
      </c>
      <c r="C646" s="10">
        <f>IF(MATCH_ENGINE!A646="","",MATCH_ENGINE!B646)</f>
        <v/>
      </c>
      <c r="D646" s="16">
        <f>IF(MATCH_ENGINE!A646="","",MATCH_ENGINE!D646)</f>
        <v/>
      </c>
      <c r="E646" s="11">
        <f>IF(MATCH_ENGINE!A646="","",MATCH_ENGINE!F646)</f>
        <v/>
      </c>
      <c r="F646" s="10">
        <f>IF(MATCH_ENGINE!A646="","",MATCH_ENGINE!I646)</f>
        <v/>
      </c>
      <c r="G646" s="16">
        <f>IF(MATCH_ENGINE!H646="","",IF(MATCH_ENGINE!F646="IN",MATCH_ENGINE!J646,""))</f>
        <v/>
      </c>
      <c r="H646" s="16">
        <f>IF(MATCH_ENGINE!H646="","",IF(MATCH_ENGINE!F646="OUT",MATCH_ENGINE!J646,""))</f>
        <v/>
      </c>
      <c r="I646" s="16">
        <f>IF(MATCH_ENGINE!H646="","",MATCH_ENGINE!J646)</f>
        <v/>
      </c>
      <c r="J646" s="12">
        <f>IF(MATCH_ENGINE!A646="","",MATCH_ENGINE!K646)</f>
        <v/>
      </c>
      <c r="K646" s="11">
        <f>IF(MATCH_ENGINE!A646="","",MATCH_ENGINE!L646)</f>
        <v/>
      </c>
      <c r="L646" s="17">
        <f>IF(MATCH_ENGINE!A646="","",MATCH_ENGINE!M646)</f>
        <v/>
      </c>
      <c r="M646" s="11">
        <f>IF(MATCH_ENGINE!A646="","",GL_CLEAN!F646)</f>
        <v/>
      </c>
      <c r="N646" s="11">
        <f>IF(MATCH_ENGINE!A646="","",GL_CLEAN!G646)</f>
        <v/>
      </c>
      <c r="O646" s="11">
        <f>IF(MATCH_ENGINE!H646="","",INDEX(BANK_CLEAN!$C$2:$C$1001,MATCH_ENGINE!H646))</f>
        <v/>
      </c>
      <c r="P646" s="11" t="inlineStr"/>
    </row>
    <row r="647">
      <c r="A647" s="11">
        <f>IF(MATCH_ENGINE!A647="","",MATCH_ENGINE!N647)</f>
        <v/>
      </c>
      <c r="B647" s="11">
        <f>IF(MATCH_ENGINE!A647="","",MATCH_ENGINE!C647)</f>
        <v/>
      </c>
      <c r="C647" s="10">
        <f>IF(MATCH_ENGINE!A647="","",MATCH_ENGINE!B647)</f>
        <v/>
      </c>
      <c r="D647" s="16">
        <f>IF(MATCH_ENGINE!A647="","",MATCH_ENGINE!D647)</f>
        <v/>
      </c>
      <c r="E647" s="11">
        <f>IF(MATCH_ENGINE!A647="","",MATCH_ENGINE!F647)</f>
        <v/>
      </c>
      <c r="F647" s="10">
        <f>IF(MATCH_ENGINE!A647="","",MATCH_ENGINE!I647)</f>
        <v/>
      </c>
      <c r="G647" s="16">
        <f>IF(MATCH_ENGINE!H647="","",IF(MATCH_ENGINE!F647="IN",MATCH_ENGINE!J647,""))</f>
        <v/>
      </c>
      <c r="H647" s="16">
        <f>IF(MATCH_ENGINE!H647="","",IF(MATCH_ENGINE!F647="OUT",MATCH_ENGINE!J647,""))</f>
        <v/>
      </c>
      <c r="I647" s="16">
        <f>IF(MATCH_ENGINE!H647="","",MATCH_ENGINE!J647)</f>
        <v/>
      </c>
      <c r="J647" s="12">
        <f>IF(MATCH_ENGINE!A647="","",MATCH_ENGINE!K647)</f>
        <v/>
      </c>
      <c r="K647" s="11">
        <f>IF(MATCH_ENGINE!A647="","",MATCH_ENGINE!L647)</f>
        <v/>
      </c>
      <c r="L647" s="17">
        <f>IF(MATCH_ENGINE!A647="","",MATCH_ENGINE!M647)</f>
        <v/>
      </c>
      <c r="M647" s="11">
        <f>IF(MATCH_ENGINE!A647="","",GL_CLEAN!F647)</f>
        <v/>
      </c>
      <c r="N647" s="11">
        <f>IF(MATCH_ENGINE!A647="","",GL_CLEAN!G647)</f>
        <v/>
      </c>
      <c r="O647" s="11">
        <f>IF(MATCH_ENGINE!H647="","",INDEX(BANK_CLEAN!$C$2:$C$1001,MATCH_ENGINE!H647))</f>
        <v/>
      </c>
      <c r="P647" s="11" t="inlineStr"/>
    </row>
    <row r="648">
      <c r="A648" s="11">
        <f>IF(MATCH_ENGINE!A648="","",MATCH_ENGINE!N648)</f>
        <v/>
      </c>
      <c r="B648" s="11">
        <f>IF(MATCH_ENGINE!A648="","",MATCH_ENGINE!C648)</f>
        <v/>
      </c>
      <c r="C648" s="10">
        <f>IF(MATCH_ENGINE!A648="","",MATCH_ENGINE!B648)</f>
        <v/>
      </c>
      <c r="D648" s="16">
        <f>IF(MATCH_ENGINE!A648="","",MATCH_ENGINE!D648)</f>
        <v/>
      </c>
      <c r="E648" s="11">
        <f>IF(MATCH_ENGINE!A648="","",MATCH_ENGINE!F648)</f>
        <v/>
      </c>
      <c r="F648" s="10">
        <f>IF(MATCH_ENGINE!A648="","",MATCH_ENGINE!I648)</f>
        <v/>
      </c>
      <c r="G648" s="16">
        <f>IF(MATCH_ENGINE!H648="","",IF(MATCH_ENGINE!F648="IN",MATCH_ENGINE!J648,""))</f>
        <v/>
      </c>
      <c r="H648" s="16">
        <f>IF(MATCH_ENGINE!H648="","",IF(MATCH_ENGINE!F648="OUT",MATCH_ENGINE!J648,""))</f>
        <v/>
      </c>
      <c r="I648" s="16">
        <f>IF(MATCH_ENGINE!H648="","",MATCH_ENGINE!J648)</f>
        <v/>
      </c>
      <c r="J648" s="12">
        <f>IF(MATCH_ENGINE!A648="","",MATCH_ENGINE!K648)</f>
        <v/>
      </c>
      <c r="K648" s="11">
        <f>IF(MATCH_ENGINE!A648="","",MATCH_ENGINE!L648)</f>
        <v/>
      </c>
      <c r="L648" s="17">
        <f>IF(MATCH_ENGINE!A648="","",MATCH_ENGINE!M648)</f>
        <v/>
      </c>
      <c r="M648" s="11">
        <f>IF(MATCH_ENGINE!A648="","",GL_CLEAN!F648)</f>
        <v/>
      </c>
      <c r="N648" s="11">
        <f>IF(MATCH_ENGINE!A648="","",GL_CLEAN!G648)</f>
        <v/>
      </c>
      <c r="O648" s="11">
        <f>IF(MATCH_ENGINE!H648="","",INDEX(BANK_CLEAN!$C$2:$C$1001,MATCH_ENGINE!H648))</f>
        <v/>
      </c>
      <c r="P648" s="11" t="inlineStr"/>
    </row>
    <row r="649">
      <c r="A649" s="11">
        <f>IF(MATCH_ENGINE!A649="","",MATCH_ENGINE!N649)</f>
        <v/>
      </c>
      <c r="B649" s="11">
        <f>IF(MATCH_ENGINE!A649="","",MATCH_ENGINE!C649)</f>
        <v/>
      </c>
      <c r="C649" s="10">
        <f>IF(MATCH_ENGINE!A649="","",MATCH_ENGINE!B649)</f>
        <v/>
      </c>
      <c r="D649" s="16">
        <f>IF(MATCH_ENGINE!A649="","",MATCH_ENGINE!D649)</f>
        <v/>
      </c>
      <c r="E649" s="11">
        <f>IF(MATCH_ENGINE!A649="","",MATCH_ENGINE!F649)</f>
        <v/>
      </c>
      <c r="F649" s="10">
        <f>IF(MATCH_ENGINE!A649="","",MATCH_ENGINE!I649)</f>
        <v/>
      </c>
      <c r="G649" s="16">
        <f>IF(MATCH_ENGINE!H649="","",IF(MATCH_ENGINE!F649="IN",MATCH_ENGINE!J649,""))</f>
        <v/>
      </c>
      <c r="H649" s="16">
        <f>IF(MATCH_ENGINE!H649="","",IF(MATCH_ENGINE!F649="OUT",MATCH_ENGINE!J649,""))</f>
        <v/>
      </c>
      <c r="I649" s="16">
        <f>IF(MATCH_ENGINE!H649="","",MATCH_ENGINE!J649)</f>
        <v/>
      </c>
      <c r="J649" s="12">
        <f>IF(MATCH_ENGINE!A649="","",MATCH_ENGINE!K649)</f>
        <v/>
      </c>
      <c r="K649" s="11">
        <f>IF(MATCH_ENGINE!A649="","",MATCH_ENGINE!L649)</f>
        <v/>
      </c>
      <c r="L649" s="17">
        <f>IF(MATCH_ENGINE!A649="","",MATCH_ENGINE!M649)</f>
        <v/>
      </c>
      <c r="M649" s="11">
        <f>IF(MATCH_ENGINE!A649="","",GL_CLEAN!F649)</f>
        <v/>
      </c>
      <c r="N649" s="11">
        <f>IF(MATCH_ENGINE!A649="","",GL_CLEAN!G649)</f>
        <v/>
      </c>
      <c r="O649" s="11">
        <f>IF(MATCH_ENGINE!H649="","",INDEX(BANK_CLEAN!$C$2:$C$1001,MATCH_ENGINE!H649))</f>
        <v/>
      </c>
      <c r="P649" s="11" t="inlineStr"/>
    </row>
    <row r="650">
      <c r="A650" s="11">
        <f>IF(MATCH_ENGINE!A650="","",MATCH_ENGINE!N650)</f>
        <v/>
      </c>
      <c r="B650" s="11">
        <f>IF(MATCH_ENGINE!A650="","",MATCH_ENGINE!C650)</f>
        <v/>
      </c>
      <c r="C650" s="10">
        <f>IF(MATCH_ENGINE!A650="","",MATCH_ENGINE!B650)</f>
        <v/>
      </c>
      <c r="D650" s="16">
        <f>IF(MATCH_ENGINE!A650="","",MATCH_ENGINE!D650)</f>
        <v/>
      </c>
      <c r="E650" s="11">
        <f>IF(MATCH_ENGINE!A650="","",MATCH_ENGINE!F650)</f>
        <v/>
      </c>
      <c r="F650" s="10">
        <f>IF(MATCH_ENGINE!A650="","",MATCH_ENGINE!I650)</f>
        <v/>
      </c>
      <c r="G650" s="16">
        <f>IF(MATCH_ENGINE!H650="","",IF(MATCH_ENGINE!F650="IN",MATCH_ENGINE!J650,""))</f>
        <v/>
      </c>
      <c r="H650" s="16">
        <f>IF(MATCH_ENGINE!H650="","",IF(MATCH_ENGINE!F650="OUT",MATCH_ENGINE!J650,""))</f>
        <v/>
      </c>
      <c r="I650" s="16">
        <f>IF(MATCH_ENGINE!H650="","",MATCH_ENGINE!J650)</f>
        <v/>
      </c>
      <c r="J650" s="12">
        <f>IF(MATCH_ENGINE!A650="","",MATCH_ENGINE!K650)</f>
        <v/>
      </c>
      <c r="K650" s="11">
        <f>IF(MATCH_ENGINE!A650="","",MATCH_ENGINE!L650)</f>
        <v/>
      </c>
      <c r="L650" s="17">
        <f>IF(MATCH_ENGINE!A650="","",MATCH_ENGINE!M650)</f>
        <v/>
      </c>
      <c r="M650" s="11">
        <f>IF(MATCH_ENGINE!A650="","",GL_CLEAN!F650)</f>
        <v/>
      </c>
      <c r="N650" s="11">
        <f>IF(MATCH_ENGINE!A650="","",GL_CLEAN!G650)</f>
        <v/>
      </c>
      <c r="O650" s="11">
        <f>IF(MATCH_ENGINE!H650="","",INDEX(BANK_CLEAN!$C$2:$C$1001,MATCH_ENGINE!H650))</f>
        <v/>
      </c>
      <c r="P650" s="11" t="inlineStr"/>
    </row>
    <row r="651">
      <c r="A651" s="11">
        <f>IF(MATCH_ENGINE!A651="","",MATCH_ENGINE!N651)</f>
        <v/>
      </c>
      <c r="B651" s="11">
        <f>IF(MATCH_ENGINE!A651="","",MATCH_ENGINE!C651)</f>
        <v/>
      </c>
      <c r="C651" s="10">
        <f>IF(MATCH_ENGINE!A651="","",MATCH_ENGINE!B651)</f>
        <v/>
      </c>
      <c r="D651" s="16">
        <f>IF(MATCH_ENGINE!A651="","",MATCH_ENGINE!D651)</f>
        <v/>
      </c>
      <c r="E651" s="11">
        <f>IF(MATCH_ENGINE!A651="","",MATCH_ENGINE!F651)</f>
        <v/>
      </c>
      <c r="F651" s="10">
        <f>IF(MATCH_ENGINE!A651="","",MATCH_ENGINE!I651)</f>
        <v/>
      </c>
      <c r="G651" s="16">
        <f>IF(MATCH_ENGINE!H651="","",IF(MATCH_ENGINE!F651="IN",MATCH_ENGINE!J651,""))</f>
        <v/>
      </c>
      <c r="H651" s="16">
        <f>IF(MATCH_ENGINE!H651="","",IF(MATCH_ENGINE!F651="OUT",MATCH_ENGINE!J651,""))</f>
        <v/>
      </c>
      <c r="I651" s="16">
        <f>IF(MATCH_ENGINE!H651="","",MATCH_ENGINE!J651)</f>
        <v/>
      </c>
      <c r="J651" s="12">
        <f>IF(MATCH_ENGINE!A651="","",MATCH_ENGINE!K651)</f>
        <v/>
      </c>
      <c r="K651" s="11">
        <f>IF(MATCH_ENGINE!A651="","",MATCH_ENGINE!L651)</f>
        <v/>
      </c>
      <c r="L651" s="17">
        <f>IF(MATCH_ENGINE!A651="","",MATCH_ENGINE!M651)</f>
        <v/>
      </c>
      <c r="M651" s="11">
        <f>IF(MATCH_ENGINE!A651="","",GL_CLEAN!F651)</f>
        <v/>
      </c>
      <c r="N651" s="11">
        <f>IF(MATCH_ENGINE!A651="","",GL_CLEAN!G651)</f>
        <v/>
      </c>
      <c r="O651" s="11">
        <f>IF(MATCH_ENGINE!H651="","",INDEX(BANK_CLEAN!$C$2:$C$1001,MATCH_ENGINE!H651))</f>
        <v/>
      </c>
      <c r="P651" s="11" t="inlineStr"/>
    </row>
    <row r="652">
      <c r="A652" s="11">
        <f>IF(MATCH_ENGINE!A652="","",MATCH_ENGINE!N652)</f>
        <v/>
      </c>
      <c r="B652" s="11">
        <f>IF(MATCH_ENGINE!A652="","",MATCH_ENGINE!C652)</f>
        <v/>
      </c>
      <c r="C652" s="10">
        <f>IF(MATCH_ENGINE!A652="","",MATCH_ENGINE!B652)</f>
        <v/>
      </c>
      <c r="D652" s="16">
        <f>IF(MATCH_ENGINE!A652="","",MATCH_ENGINE!D652)</f>
        <v/>
      </c>
      <c r="E652" s="11">
        <f>IF(MATCH_ENGINE!A652="","",MATCH_ENGINE!F652)</f>
        <v/>
      </c>
      <c r="F652" s="10">
        <f>IF(MATCH_ENGINE!A652="","",MATCH_ENGINE!I652)</f>
        <v/>
      </c>
      <c r="G652" s="16">
        <f>IF(MATCH_ENGINE!H652="","",IF(MATCH_ENGINE!F652="IN",MATCH_ENGINE!J652,""))</f>
        <v/>
      </c>
      <c r="H652" s="16">
        <f>IF(MATCH_ENGINE!H652="","",IF(MATCH_ENGINE!F652="OUT",MATCH_ENGINE!J652,""))</f>
        <v/>
      </c>
      <c r="I652" s="16">
        <f>IF(MATCH_ENGINE!H652="","",MATCH_ENGINE!J652)</f>
        <v/>
      </c>
      <c r="J652" s="12">
        <f>IF(MATCH_ENGINE!A652="","",MATCH_ENGINE!K652)</f>
        <v/>
      </c>
      <c r="K652" s="11">
        <f>IF(MATCH_ENGINE!A652="","",MATCH_ENGINE!L652)</f>
        <v/>
      </c>
      <c r="L652" s="17">
        <f>IF(MATCH_ENGINE!A652="","",MATCH_ENGINE!M652)</f>
        <v/>
      </c>
      <c r="M652" s="11">
        <f>IF(MATCH_ENGINE!A652="","",GL_CLEAN!F652)</f>
        <v/>
      </c>
      <c r="N652" s="11">
        <f>IF(MATCH_ENGINE!A652="","",GL_CLEAN!G652)</f>
        <v/>
      </c>
      <c r="O652" s="11">
        <f>IF(MATCH_ENGINE!H652="","",INDEX(BANK_CLEAN!$C$2:$C$1001,MATCH_ENGINE!H652))</f>
        <v/>
      </c>
      <c r="P652" s="11" t="inlineStr"/>
    </row>
    <row r="653">
      <c r="A653" s="11">
        <f>IF(MATCH_ENGINE!A653="","",MATCH_ENGINE!N653)</f>
        <v/>
      </c>
      <c r="B653" s="11">
        <f>IF(MATCH_ENGINE!A653="","",MATCH_ENGINE!C653)</f>
        <v/>
      </c>
      <c r="C653" s="10">
        <f>IF(MATCH_ENGINE!A653="","",MATCH_ENGINE!B653)</f>
        <v/>
      </c>
      <c r="D653" s="16">
        <f>IF(MATCH_ENGINE!A653="","",MATCH_ENGINE!D653)</f>
        <v/>
      </c>
      <c r="E653" s="11">
        <f>IF(MATCH_ENGINE!A653="","",MATCH_ENGINE!F653)</f>
        <v/>
      </c>
      <c r="F653" s="10">
        <f>IF(MATCH_ENGINE!A653="","",MATCH_ENGINE!I653)</f>
        <v/>
      </c>
      <c r="G653" s="16">
        <f>IF(MATCH_ENGINE!H653="","",IF(MATCH_ENGINE!F653="IN",MATCH_ENGINE!J653,""))</f>
        <v/>
      </c>
      <c r="H653" s="16">
        <f>IF(MATCH_ENGINE!H653="","",IF(MATCH_ENGINE!F653="OUT",MATCH_ENGINE!J653,""))</f>
        <v/>
      </c>
      <c r="I653" s="16">
        <f>IF(MATCH_ENGINE!H653="","",MATCH_ENGINE!J653)</f>
        <v/>
      </c>
      <c r="J653" s="12">
        <f>IF(MATCH_ENGINE!A653="","",MATCH_ENGINE!K653)</f>
        <v/>
      </c>
      <c r="K653" s="11">
        <f>IF(MATCH_ENGINE!A653="","",MATCH_ENGINE!L653)</f>
        <v/>
      </c>
      <c r="L653" s="17">
        <f>IF(MATCH_ENGINE!A653="","",MATCH_ENGINE!M653)</f>
        <v/>
      </c>
      <c r="M653" s="11">
        <f>IF(MATCH_ENGINE!A653="","",GL_CLEAN!F653)</f>
        <v/>
      </c>
      <c r="N653" s="11">
        <f>IF(MATCH_ENGINE!A653="","",GL_CLEAN!G653)</f>
        <v/>
      </c>
      <c r="O653" s="11">
        <f>IF(MATCH_ENGINE!H653="","",INDEX(BANK_CLEAN!$C$2:$C$1001,MATCH_ENGINE!H653))</f>
        <v/>
      </c>
      <c r="P653" s="11" t="inlineStr"/>
    </row>
    <row r="654">
      <c r="A654" s="11">
        <f>IF(MATCH_ENGINE!A654="","",MATCH_ENGINE!N654)</f>
        <v/>
      </c>
      <c r="B654" s="11">
        <f>IF(MATCH_ENGINE!A654="","",MATCH_ENGINE!C654)</f>
        <v/>
      </c>
      <c r="C654" s="10">
        <f>IF(MATCH_ENGINE!A654="","",MATCH_ENGINE!B654)</f>
        <v/>
      </c>
      <c r="D654" s="16">
        <f>IF(MATCH_ENGINE!A654="","",MATCH_ENGINE!D654)</f>
        <v/>
      </c>
      <c r="E654" s="11">
        <f>IF(MATCH_ENGINE!A654="","",MATCH_ENGINE!F654)</f>
        <v/>
      </c>
      <c r="F654" s="10">
        <f>IF(MATCH_ENGINE!A654="","",MATCH_ENGINE!I654)</f>
        <v/>
      </c>
      <c r="G654" s="16">
        <f>IF(MATCH_ENGINE!H654="","",IF(MATCH_ENGINE!F654="IN",MATCH_ENGINE!J654,""))</f>
        <v/>
      </c>
      <c r="H654" s="16">
        <f>IF(MATCH_ENGINE!H654="","",IF(MATCH_ENGINE!F654="OUT",MATCH_ENGINE!J654,""))</f>
        <v/>
      </c>
      <c r="I654" s="16">
        <f>IF(MATCH_ENGINE!H654="","",MATCH_ENGINE!J654)</f>
        <v/>
      </c>
      <c r="J654" s="12">
        <f>IF(MATCH_ENGINE!A654="","",MATCH_ENGINE!K654)</f>
        <v/>
      </c>
      <c r="K654" s="11">
        <f>IF(MATCH_ENGINE!A654="","",MATCH_ENGINE!L654)</f>
        <v/>
      </c>
      <c r="L654" s="17">
        <f>IF(MATCH_ENGINE!A654="","",MATCH_ENGINE!M654)</f>
        <v/>
      </c>
      <c r="M654" s="11">
        <f>IF(MATCH_ENGINE!A654="","",GL_CLEAN!F654)</f>
        <v/>
      </c>
      <c r="N654" s="11">
        <f>IF(MATCH_ENGINE!A654="","",GL_CLEAN!G654)</f>
        <v/>
      </c>
      <c r="O654" s="11">
        <f>IF(MATCH_ENGINE!H654="","",INDEX(BANK_CLEAN!$C$2:$C$1001,MATCH_ENGINE!H654))</f>
        <v/>
      </c>
      <c r="P654" s="11" t="inlineStr"/>
    </row>
    <row r="655">
      <c r="A655" s="11">
        <f>IF(MATCH_ENGINE!A655="","",MATCH_ENGINE!N655)</f>
        <v/>
      </c>
      <c r="B655" s="11">
        <f>IF(MATCH_ENGINE!A655="","",MATCH_ENGINE!C655)</f>
        <v/>
      </c>
      <c r="C655" s="10">
        <f>IF(MATCH_ENGINE!A655="","",MATCH_ENGINE!B655)</f>
        <v/>
      </c>
      <c r="D655" s="16">
        <f>IF(MATCH_ENGINE!A655="","",MATCH_ENGINE!D655)</f>
        <v/>
      </c>
      <c r="E655" s="11">
        <f>IF(MATCH_ENGINE!A655="","",MATCH_ENGINE!F655)</f>
        <v/>
      </c>
      <c r="F655" s="10">
        <f>IF(MATCH_ENGINE!A655="","",MATCH_ENGINE!I655)</f>
        <v/>
      </c>
      <c r="G655" s="16">
        <f>IF(MATCH_ENGINE!H655="","",IF(MATCH_ENGINE!F655="IN",MATCH_ENGINE!J655,""))</f>
        <v/>
      </c>
      <c r="H655" s="16">
        <f>IF(MATCH_ENGINE!H655="","",IF(MATCH_ENGINE!F655="OUT",MATCH_ENGINE!J655,""))</f>
        <v/>
      </c>
      <c r="I655" s="16">
        <f>IF(MATCH_ENGINE!H655="","",MATCH_ENGINE!J655)</f>
        <v/>
      </c>
      <c r="J655" s="12">
        <f>IF(MATCH_ENGINE!A655="","",MATCH_ENGINE!K655)</f>
        <v/>
      </c>
      <c r="K655" s="11">
        <f>IF(MATCH_ENGINE!A655="","",MATCH_ENGINE!L655)</f>
        <v/>
      </c>
      <c r="L655" s="17">
        <f>IF(MATCH_ENGINE!A655="","",MATCH_ENGINE!M655)</f>
        <v/>
      </c>
      <c r="M655" s="11">
        <f>IF(MATCH_ENGINE!A655="","",GL_CLEAN!F655)</f>
        <v/>
      </c>
      <c r="N655" s="11">
        <f>IF(MATCH_ENGINE!A655="","",GL_CLEAN!G655)</f>
        <v/>
      </c>
      <c r="O655" s="11">
        <f>IF(MATCH_ENGINE!H655="","",INDEX(BANK_CLEAN!$C$2:$C$1001,MATCH_ENGINE!H655))</f>
        <v/>
      </c>
      <c r="P655" s="11" t="inlineStr"/>
    </row>
    <row r="656">
      <c r="A656" s="11">
        <f>IF(MATCH_ENGINE!A656="","",MATCH_ENGINE!N656)</f>
        <v/>
      </c>
      <c r="B656" s="11">
        <f>IF(MATCH_ENGINE!A656="","",MATCH_ENGINE!C656)</f>
        <v/>
      </c>
      <c r="C656" s="10">
        <f>IF(MATCH_ENGINE!A656="","",MATCH_ENGINE!B656)</f>
        <v/>
      </c>
      <c r="D656" s="16">
        <f>IF(MATCH_ENGINE!A656="","",MATCH_ENGINE!D656)</f>
        <v/>
      </c>
      <c r="E656" s="11">
        <f>IF(MATCH_ENGINE!A656="","",MATCH_ENGINE!F656)</f>
        <v/>
      </c>
      <c r="F656" s="10">
        <f>IF(MATCH_ENGINE!A656="","",MATCH_ENGINE!I656)</f>
        <v/>
      </c>
      <c r="G656" s="16">
        <f>IF(MATCH_ENGINE!H656="","",IF(MATCH_ENGINE!F656="IN",MATCH_ENGINE!J656,""))</f>
        <v/>
      </c>
      <c r="H656" s="16">
        <f>IF(MATCH_ENGINE!H656="","",IF(MATCH_ENGINE!F656="OUT",MATCH_ENGINE!J656,""))</f>
        <v/>
      </c>
      <c r="I656" s="16">
        <f>IF(MATCH_ENGINE!H656="","",MATCH_ENGINE!J656)</f>
        <v/>
      </c>
      <c r="J656" s="12">
        <f>IF(MATCH_ENGINE!A656="","",MATCH_ENGINE!K656)</f>
        <v/>
      </c>
      <c r="K656" s="11">
        <f>IF(MATCH_ENGINE!A656="","",MATCH_ENGINE!L656)</f>
        <v/>
      </c>
      <c r="L656" s="17">
        <f>IF(MATCH_ENGINE!A656="","",MATCH_ENGINE!M656)</f>
        <v/>
      </c>
      <c r="M656" s="11">
        <f>IF(MATCH_ENGINE!A656="","",GL_CLEAN!F656)</f>
        <v/>
      </c>
      <c r="N656" s="11">
        <f>IF(MATCH_ENGINE!A656="","",GL_CLEAN!G656)</f>
        <v/>
      </c>
      <c r="O656" s="11">
        <f>IF(MATCH_ENGINE!H656="","",INDEX(BANK_CLEAN!$C$2:$C$1001,MATCH_ENGINE!H656))</f>
        <v/>
      </c>
      <c r="P656" s="11" t="inlineStr"/>
    </row>
    <row r="657">
      <c r="A657" s="11">
        <f>IF(MATCH_ENGINE!A657="","",MATCH_ENGINE!N657)</f>
        <v/>
      </c>
      <c r="B657" s="11">
        <f>IF(MATCH_ENGINE!A657="","",MATCH_ENGINE!C657)</f>
        <v/>
      </c>
      <c r="C657" s="10">
        <f>IF(MATCH_ENGINE!A657="","",MATCH_ENGINE!B657)</f>
        <v/>
      </c>
      <c r="D657" s="16">
        <f>IF(MATCH_ENGINE!A657="","",MATCH_ENGINE!D657)</f>
        <v/>
      </c>
      <c r="E657" s="11">
        <f>IF(MATCH_ENGINE!A657="","",MATCH_ENGINE!F657)</f>
        <v/>
      </c>
      <c r="F657" s="10">
        <f>IF(MATCH_ENGINE!A657="","",MATCH_ENGINE!I657)</f>
        <v/>
      </c>
      <c r="G657" s="16">
        <f>IF(MATCH_ENGINE!H657="","",IF(MATCH_ENGINE!F657="IN",MATCH_ENGINE!J657,""))</f>
        <v/>
      </c>
      <c r="H657" s="16">
        <f>IF(MATCH_ENGINE!H657="","",IF(MATCH_ENGINE!F657="OUT",MATCH_ENGINE!J657,""))</f>
        <v/>
      </c>
      <c r="I657" s="16">
        <f>IF(MATCH_ENGINE!H657="","",MATCH_ENGINE!J657)</f>
        <v/>
      </c>
      <c r="J657" s="12">
        <f>IF(MATCH_ENGINE!A657="","",MATCH_ENGINE!K657)</f>
        <v/>
      </c>
      <c r="K657" s="11">
        <f>IF(MATCH_ENGINE!A657="","",MATCH_ENGINE!L657)</f>
        <v/>
      </c>
      <c r="L657" s="17">
        <f>IF(MATCH_ENGINE!A657="","",MATCH_ENGINE!M657)</f>
        <v/>
      </c>
      <c r="M657" s="11">
        <f>IF(MATCH_ENGINE!A657="","",GL_CLEAN!F657)</f>
        <v/>
      </c>
      <c r="N657" s="11">
        <f>IF(MATCH_ENGINE!A657="","",GL_CLEAN!G657)</f>
        <v/>
      </c>
      <c r="O657" s="11">
        <f>IF(MATCH_ENGINE!H657="","",INDEX(BANK_CLEAN!$C$2:$C$1001,MATCH_ENGINE!H657))</f>
        <v/>
      </c>
      <c r="P657" s="11" t="inlineStr"/>
    </row>
    <row r="658">
      <c r="A658" s="11">
        <f>IF(MATCH_ENGINE!A658="","",MATCH_ENGINE!N658)</f>
        <v/>
      </c>
      <c r="B658" s="11">
        <f>IF(MATCH_ENGINE!A658="","",MATCH_ENGINE!C658)</f>
        <v/>
      </c>
      <c r="C658" s="10">
        <f>IF(MATCH_ENGINE!A658="","",MATCH_ENGINE!B658)</f>
        <v/>
      </c>
      <c r="D658" s="16">
        <f>IF(MATCH_ENGINE!A658="","",MATCH_ENGINE!D658)</f>
        <v/>
      </c>
      <c r="E658" s="11">
        <f>IF(MATCH_ENGINE!A658="","",MATCH_ENGINE!F658)</f>
        <v/>
      </c>
      <c r="F658" s="10">
        <f>IF(MATCH_ENGINE!A658="","",MATCH_ENGINE!I658)</f>
        <v/>
      </c>
      <c r="G658" s="16">
        <f>IF(MATCH_ENGINE!H658="","",IF(MATCH_ENGINE!F658="IN",MATCH_ENGINE!J658,""))</f>
        <v/>
      </c>
      <c r="H658" s="16">
        <f>IF(MATCH_ENGINE!H658="","",IF(MATCH_ENGINE!F658="OUT",MATCH_ENGINE!J658,""))</f>
        <v/>
      </c>
      <c r="I658" s="16">
        <f>IF(MATCH_ENGINE!H658="","",MATCH_ENGINE!J658)</f>
        <v/>
      </c>
      <c r="J658" s="12">
        <f>IF(MATCH_ENGINE!A658="","",MATCH_ENGINE!K658)</f>
        <v/>
      </c>
      <c r="K658" s="11">
        <f>IF(MATCH_ENGINE!A658="","",MATCH_ENGINE!L658)</f>
        <v/>
      </c>
      <c r="L658" s="17">
        <f>IF(MATCH_ENGINE!A658="","",MATCH_ENGINE!M658)</f>
        <v/>
      </c>
      <c r="M658" s="11">
        <f>IF(MATCH_ENGINE!A658="","",GL_CLEAN!F658)</f>
        <v/>
      </c>
      <c r="N658" s="11">
        <f>IF(MATCH_ENGINE!A658="","",GL_CLEAN!G658)</f>
        <v/>
      </c>
      <c r="O658" s="11">
        <f>IF(MATCH_ENGINE!H658="","",INDEX(BANK_CLEAN!$C$2:$C$1001,MATCH_ENGINE!H658))</f>
        <v/>
      </c>
      <c r="P658" s="11" t="inlineStr"/>
    </row>
    <row r="659">
      <c r="A659" s="11">
        <f>IF(MATCH_ENGINE!A659="","",MATCH_ENGINE!N659)</f>
        <v/>
      </c>
      <c r="B659" s="11">
        <f>IF(MATCH_ENGINE!A659="","",MATCH_ENGINE!C659)</f>
        <v/>
      </c>
      <c r="C659" s="10">
        <f>IF(MATCH_ENGINE!A659="","",MATCH_ENGINE!B659)</f>
        <v/>
      </c>
      <c r="D659" s="16">
        <f>IF(MATCH_ENGINE!A659="","",MATCH_ENGINE!D659)</f>
        <v/>
      </c>
      <c r="E659" s="11">
        <f>IF(MATCH_ENGINE!A659="","",MATCH_ENGINE!F659)</f>
        <v/>
      </c>
      <c r="F659" s="10">
        <f>IF(MATCH_ENGINE!A659="","",MATCH_ENGINE!I659)</f>
        <v/>
      </c>
      <c r="G659" s="16">
        <f>IF(MATCH_ENGINE!H659="","",IF(MATCH_ENGINE!F659="IN",MATCH_ENGINE!J659,""))</f>
        <v/>
      </c>
      <c r="H659" s="16">
        <f>IF(MATCH_ENGINE!H659="","",IF(MATCH_ENGINE!F659="OUT",MATCH_ENGINE!J659,""))</f>
        <v/>
      </c>
      <c r="I659" s="16">
        <f>IF(MATCH_ENGINE!H659="","",MATCH_ENGINE!J659)</f>
        <v/>
      </c>
      <c r="J659" s="12">
        <f>IF(MATCH_ENGINE!A659="","",MATCH_ENGINE!K659)</f>
        <v/>
      </c>
      <c r="K659" s="11">
        <f>IF(MATCH_ENGINE!A659="","",MATCH_ENGINE!L659)</f>
        <v/>
      </c>
      <c r="L659" s="17">
        <f>IF(MATCH_ENGINE!A659="","",MATCH_ENGINE!M659)</f>
        <v/>
      </c>
      <c r="M659" s="11">
        <f>IF(MATCH_ENGINE!A659="","",GL_CLEAN!F659)</f>
        <v/>
      </c>
      <c r="N659" s="11">
        <f>IF(MATCH_ENGINE!A659="","",GL_CLEAN!G659)</f>
        <v/>
      </c>
      <c r="O659" s="11">
        <f>IF(MATCH_ENGINE!H659="","",INDEX(BANK_CLEAN!$C$2:$C$1001,MATCH_ENGINE!H659))</f>
        <v/>
      </c>
      <c r="P659" s="11" t="inlineStr"/>
    </row>
    <row r="660">
      <c r="A660" s="11">
        <f>IF(MATCH_ENGINE!A660="","",MATCH_ENGINE!N660)</f>
        <v/>
      </c>
      <c r="B660" s="11">
        <f>IF(MATCH_ENGINE!A660="","",MATCH_ENGINE!C660)</f>
        <v/>
      </c>
      <c r="C660" s="10">
        <f>IF(MATCH_ENGINE!A660="","",MATCH_ENGINE!B660)</f>
        <v/>
      </c>
      <c r="D660" s="16">
        <f>IF(MATCH_ENGINE!A660="","",MATCH_ENGINE!D660)</f>
        <v/>
      </c>
      <c r="E660" s="11">
        <f>IF(MATCH_ENGINE!A660="","",MATCH_ENGINE!F660)</f>
        <v/>
      </c>
      <c r="F660" s="10">
        <f>IF(MATCH_ENGINE!A660="","",MATCH_ENGINE!I660)</f>
        <v/>
      </c>
      <c r="G660" s="16">
        <f>IF(MATCH_ENGINE!H660="","",IF(MATCH_ENGINE!F660="IN",MATCH_ENGINE!J660,""))</f>
        <v/>
      </c>
      <c r="H660" s="16">
        <f>IF(MATCH_ENGINE!H660="","",IF(MATCH_ENGINE!F660="OUT",MATCH_ENGINE!J660,""))</f>
        <v/>
      </c>
      <c r="I660" s="16">
        <f>IF(MATCH_ENGINE!H660="","",MATCH_ENGINE!J660)</f>
        <v/>
      </c>
      <c r="J660" s="12">
        <f>IF(MATCH_ENGINE!A660="","",MATCH_ENGINE!K660)</f>
        <v/>
      </c>
      <c r="K660" s="11">
        <f>IF(MATCH_ENGINE!A660="","",MATCH_ENGINE!L660)</f>
        <v/>
      </c>
      <c r="L660" s="17">
        <f>IF(MATCH_ENGINE!A660="","",MATCH_ENGINE!M660)</f>
        <v/>
      </c>
      <c r="M660" s="11">
        <f>IF(MATCH_ENGINE!A660="","",GL_CLEAN!F660)</f>
        <v/>
      </c>
      <c r="N660" s="11">
        <f>IF(MATCH_ENGINE!A660="","",GL_CLEAN!G660)</f>
        <v/>
      </c>
      <c r="O660" s="11">
        <f>IF(MATCH_ENGINE!H660="","",INDEX(BANK_CLEAN!$C$2:$C$1001,MATCH_ENGINE!H660))</f>
        <v/>
      </c>
      <c r="P660" s="11" t="inlineStr"/>
    </row>
    <row r="661">
      <c r="A661" s="11">
        <f>IF(MATCH_ENGINE!A661="","",MATCH_ENGINE!N661)</f>
        <v/>
      </c>
      <c r="B661" s="11">
        <f>IF(MATCH_ENGINE!A661="","",MATCH_ENGINE!C661)</f>
        <v/>
      </c>
      <c r="C661" s="10">
        <f>IF(MATCH_ENGINE!A661="","",MATCH_ENGINE!B661)</f>
        <v/>
      </c>
      <c r="D661" s="16">
        <f>IF(MATCH_ENGINE!A661="","",MATCH_ENGINE!D661)</f>
        <v/>
      </c>
      <c r="E661" s="11">
        <f>IF(MATCH_ENGINE!A661="","",MATCH_ENGINE!F661)</f>
        <v/>
      </c>
      <c r="F661" s="10">
        <f>IF(MATCH_ENGINE!A661="","",MATCH_ENGINE!I661)</f>
        <v/>
      </c>
      <c r="G661" s="16">
        <f>IF(MATCH_ENGINE!H661="","",IF(MATCH_ENGINE!F661="IN",MATCH_ENGINE!J661,""))</f>
        <v/>
      </c>
      <c r="H661" s="16">
        <f>IF(MATCH_ENGINE!H661="","",IF(MATCH_ENGINE!F661="OUT",MATCH_ENGINE!J661,""))</f>
        <v/>
      </c>
      <c r="I661" s="16">
        <f>IF(MATCH_ENGINE!H661="","",MATCH_ENGINE!J661)</f>
        <v/>
      </c>
      <c r="J661" s="12">
        <f>IF(MATCH_ENGINE!A661="","",MATCH_ENGINE!K661)</f>
        <v/>
      </c>
      <c r="K661" s="11">
        <f>IF(MATCH_ENGINE!A661="","",MATCH_ENGINE!L661)</f>
        <v/>
      </c>
      <c r="L661" s="17">
        <f>IF(MATCH_ENGINE!A661="","",MATCH_ENGINE!M661)</f>
        <v/>
      </c>
      <c r="M661" s="11">
        <f>IF(MATCH_ENGINE!A661="","",GL_CLEAN!F661)</f>
        <v/>
      </c>
      <c r="N661" s="11">
        <f>IF(MATCH_ENGINE!A661="","",GL_CLEAN!G661)</f>
        <v/>
      </c>
      <c r="O661" s="11">
        <f>IF(MATCH_ENGINE!H661="","",INDEX(BANK_CLEAN!$C$2:$C$1001,MATCH_ENGINE!H661))</f>
        <v/>
      </c>
      <c r="P661" s="11" t="inlineStr"/>
    </row>
    <row r="662">
      <c r="A662" s="11">
        <f>IF(MATCH_ENGINE!A662="","",MATCH_ENGINE!N662)</f>
        <v/>
      </c>
      <c r="B662" s="11">
        <f>IF(MATCH_ENGINE!A662="","",MATCH_ENGINE!C662)</f>
        <v/>
      </c>
      <c r="C662" s="10">
        <f>IF(MATCH_ENGINE!A662="","",MATCH_ENGINE!B662)</f>
        <v/>
      </c>
      <c r="D662" s="16">
        <f>IF(MATCH_ENGINE!A662="","",MATCH_ENGINE!D662)</f>
        <v/>
      </c>
      <c r="E662" s="11">
        <f>IF(MATCH_ENGINE!A662="","",MATCH_ENGINE!F662)</f>
        <v/>
      </c>
      <c r="F662" s="10">
        <f>IF(MATCH_ENGINE!A662="","",MATCH_ENGINE!I662)</f>
        <v/>
      </c>
      <c r="G662" s="16">
        <f>IF(MATCH_ENGINE!H662="","",IF(MATCH_ENGINE!F662="IN",MATCH_ENGINE!J662,""))</f>
        <v/>
      </c>
      <c r="H662" s="16">
        <f>IF(MATCH_ENGINE!H662="","",IF(MATCH_ENGINE!F662="OUT",MATCH_ENGINE!J662,""))</f>
        <v/>
      </c>
      <c r="I662" s="16">
        <f>IF(MATCH_ENGINE!H662="","",MATCH_ENGINE!J662)</f>
        <v/>
      </c>
      <c r="J662" s="12">
        <f>IF(MATCH_ENGINE!A662="","",MATCH_ENGINE!K662)</f>
        <v/>
      </c>
      <c r="K662" s="11">
        <f>IF(MATCH_ENGINE!A662="","",MATCH_ENGINE!L662)</f>
        <v/>
      </c>
      <c r="L662" s="17">
        <f>IF(MATCH_ENGINE!A662="","",MATCH_ENGINE!M662)</f>
        <v/>
      </c>
      <c r="M662" s="11">
        <f>IF(MATCH_ENGINE!A662="","",GL_CLEAN!F662)</f>
        <v/>
      </c>
      <c r="N662" s="11">
        <f>IF(MATCH_ENGINE!A662="","",GL_CLEAN!G662)</f>
        <v/>
      </c>
      <c r="O662" s="11">
        <f>IF(MATCH_ENGINE!H662="","",INDEX(BANK_CLEAN!$C$2:$C$1001,MATCH_ENGINE!H662))</f>
        <v/>
      </c>
      <c r="P662" s="11" t="inlineStr"/>
    </row>
    <row r="663">
      <c r="A663" s="11">
        <f>IF(MATCH_ENGINE!A663="","",MATCH_ENGINE!N663)</f>
        <v/>
      </c>
      <c r="B663" s="11">
        <f>IF(MATCH_ENGINE!A663="","",MATCH_ENGINE!C663)</f>
        <v/>
      </c>
      <c r="C663" s="10">
        <f>IF(MATCH_ENGINE!A663="","",MATCH_ENGINE!B663)</f>
        <v/>
      </c>
      <c r="D663" s="16">
        <f>IF(MATCH_ENGINE!A663="","",MATCH_ENGINE!D663)</f>
        <v/>
      </c>
      <c r="E663" s="11">
        <f>IF(MATCH_ENGINE!A663="","",MATCH_ENGINE!F663)</f>
        <v/>
      </c>
      <c r="F663" s="10">
        <f>IF(MATCH_ENGINE!A663="","",MATCH_ENGINE!I663)</f>
        <v/>
      </c>
      <c r="G663" s="16">
        <f>IF(MATCH_ENGINE!H663="","",IF(MATCH_ENGINE!F663="IN",MATCH_ENGINE!J663,""))</f>
        <v/>
      </c>
      <c r="H663" s="16">
        <f>IF(MATCH_ENGINE!H663="","",IF(MATCH_ENGINE!F663="OUT",MATCH_ENGINE!J663,""))</f>
        <v/>
      </c>
      <c r="I663" s="16">
        <f>IF(MATCH_ENGINE!H663="","",MATCH_ENGINE!J663)</f>
        <v/>
      </c>
      <c r="J663" s="12">
        <f>IF(MATCH_ENGINE!A663="","",MATCH_ENGINE!K663)</f>
        <v/>
      </c>
      <c r="K663" s="11">
        <f>IF(MATCH_ENGINE!A663="","",MATCH_ENGINE!L663)</f>
        <v/>
      </c>
      <c r="L663" s="17">
        <f>IF(MATCH_ENGINE!A663="","",MATCH_ENGINE!M663)</f>
        <v/>
      </c>
      <c r="M663" s="11">
        <f>IF(MATCH_ENGINE!A663="","",GL_CLEAN!F663)</f>
        <v/>
      </c>
      <c r="N663" s="11">
        <f>IF(MATCH_ENGINE!A663="","",GL_CLEAN!G663)</f>
        <v/>
      </c>
      <c r="O663" s="11">
        <f>IF(MATCH_ENGINE!H663="","",INDEX(BANK_CLEAN!$C$2:$C$1001,MATCH_ENGINE!H663))</f>
        <v/>
      </c>
      <c r="P663" s="11" t="inlineStr"/>
    </row>
    <row r="664">
      <c r="A664" s="11">
        <f>IF(MATCH_ENGINE!A664="","",MATCH_ENGINE!N664)</f>
        <v/>
      </c>
      <c r="B664" s="11">
        <f>IF(MATCH_ENGINE!A664="","",MATCH_ENGINE!C664)</f>
        <v/>
      </c>
      <c r="C664" s="10">
        <f>IF(MATCH_ENGINE!A664="","",MATCH_ENGINE!B664)</f>
        <v/>
      </c>
      <c r="D664" s="16">
        <f>IF(MATCH_ENGINE!A664="","",MATCH_ENGINE!D664)</f>
        <v/>
      </c>
      <c r="E664" s="11">
        <f>IF(MATCH_ENGINE!A664="","",MATCH_ENGINE!F664)</f>
        <v/>
      </c>
      <c r="F664" s="10">
        <f>IF(MATCH_ENGINE!A664="","",MATCH_ENGINE!I664)</f>
        <v/>
      </c>
      <c r="G664" s="16">
        <f>IF(MATCH_ENGINE!H664="","",IF(MATCH_ENGINE!F664="IN",MATCH_ENGINE!J664,""))</f>
        <v/>
      </c>
      <c r="H664" s="16">
        <f>IF(MATCH_ENGINE!H664="","",IF(MATCH_ENGINE!F664="OUT",MATCH_ENGINE!J664,""))</f>
        <v/>
      </c>
      <c r="I664" s="16">
        <f>IF(MATCH_ENGINE!H664="","",MATCH_ENGINE!J664)</f>
        <v/>
      </c>
      <c r="J664" s="12">
        <f>IF(MATCH_ENGINE!A664="","",MATCH_ENGINE!K664)</f>
        <v/>
      </c>
      <c r="K664" s="11">
        <f>IF(MATCH_ENGINE!A664="","",MATCH_ENGINE!L664)</f>
        <v/>
      </c>
      <c r="L664" s="17">
        <f>IF(MATCH_ENGINE!A664="","",MATCH_ENGINE!M664)</f>
        <v/>
      </c>
      <c r="M664" s="11">
        <f>IF(MATCH_ENGINE!A664="","",GL_CLEAN!F664)</f>
        <v/>
      </c>
      <c r="N664" s="11">
        <f>IF(MATCH_ENGINE!A664="","",GL_CLEAN!G664)</f>
        <v/>
      </c>
      <c r="O664" s="11">
        <f>IF(MATCH_ENGINE!H664="","",INDEX(BANK_CLEAN!$C$2:$C$1001,MATCH_ENGINE!H664))</f>
        <v/>
      </c>
      <c r="P664" s="11" t="inlineStr"/>
    </row>
    <row r="665">
      <c r="A665" s="11">
        <f>IF(MATCH_ENGINE!A665="","",MATCH_ENGINE!N665)</f>
        <v/>
      </c>
      <c r="B665" s="11">
        <f>IF(MATCH_ENGINE!A665="","",MATCH_ENGINE!C665)</f>
        <v/>
      </c>
      <c r="C665" s="10">
        <f>IF(MATCH_ENGINE!A665="","",MATCH_ENGINE!B665)</f>
        <v/>
      </c>
      <c r="D665" s="16">
        <f>IF(MATCH_ENGINE!A665="","",MATCH_ENGINE!D665)</f>
        <v/>
      </c>
      <c r="E665" s="11">
        <f>IF(MATCH_ENGINE!A665="","",MATCH_ENGINE!F665)</f>
        <v/>
      </c>
      <c r="F665" s="10">
        <f>IF(MATCH_ENGINE!A665="","",MATCH_ENGINE!I665)</f>
        <v/>
      </c>
      <c r="G665" s="16">
        <f>IF(MATCH_ENGINE!H665="","",IF(MATCH_ENGINE!F665="IN",MATCH_ENGINE!J665,""))</f>
        <v/>
      </c>
      <c r="H665" s="16">
        <f>IF(MATCH_ENGINE!H665="","",IF(MATCH_ENGINE!F665="OUT",MATCH_ENGINE!J665,""))</f>
        <v/>
      </c>
      <c r="I665" s="16">
        <f>IF(MATCH_ENGINE!H665="","",MATCH_ENGINE!J665)</f>
        <v/>
      </c>
      <c r="J665" s="12">
        <f>IF(MATCH_ENGINE!A665="","",MATCH_ENGINE!K665)</f>
        <v/>
      </c>
      <c r="K665" s="11">
        <f>IF(MATCH_ENGINE!A665="","",MATCH_ENGINE!L665)</f>
        <v/>
      </c>
      <c r="L665" s="17">
        <f>IF(MATCH_ENGINE!A665="","",MATCH_ENGINE!M665)</f>
        <v/>
      </c>
      <c r="M665" s="11">
        <f>IF(MATCH_ENGINE!A665="","",GL_CLEAN!F665)</f>
        <v/>
      </c>
      <c r="N665" s="11">
        <f>IF(MATCH_ENGINE!A665="","",GL_CLEAN!G665)</f>
        <v/>
      </c>
      <c r="O665" s="11">
        <f>IF(MATCH_ENGINE!H665="","",INDEX(BANK_CLEAN!$C$2:$C$1001,MATCH_ENGINE!H665))</f>
        <v/>
      </c>
      <c r="P665" s="11" t="inlineStr"/>
    </row>
    <row r="666">
      <c r="A666" s="11">
        <f>IF(MATCH_ENGINE!A666="","",MATCH_ENGINE!N666)</f>
        <v/>
      </c>
      <c r="B666" s="11">
        <f>IF(MATCH_ENGINE!A666="","",MATCH_ENGINE!C666)</f>
        <v/>
      </c>
      <c r="C666" s="10">
        <f>IF(MATCH_ENGINE!A666="","",MATCH_ENGINE!B666)</f>
        <v/>
      </c>
      <c r="D666" s="16">
        <f>IF(MATCH_ENGINE!A666="","",MATCH_ENGINE!D666)</f>
        <v/>
      </c>
      <c r="E666" s="11">
        <f>IF(MATCH_ENGINE!A666="","",MATCH_ENGINE!F666)</f>
        <v/>
      </c>
      <c r="F666" s="10">
        <f>IF(MATCH_ENGINE!A666="","",MATCH_ENGINE!I666)</f>
        <v/>
      </c>
      <c r="G666" s="16">
        <f>IF(MATCH_ENGINE!H666="","",IF(MATCH_ENGINE!F666="IN",MATCH_ENGINE!J666,""))</f>
        <v/>
      </c>
      <c r="H666" s="16">
        <f>IF(MATCH_ENGINE!H666="","",IF(MATCH_ENGINE!F666="OUT",MATCH_ENGINE!J666,""))</f>
        <v/>
      </c>
      <c r="I666" s="16">
        <f>IF(MATCH_ENGINE!H666="","",MATCH_ENGINE!J666)</f>
        <v/>
      </c>
      <c r="J666" s="12">
        <f>IF(MATCH_ENGINE!A666="","",MATCH_ENGINE!K666)</f>
        <v/>
      </c>
      <c r="K666" s="11">
        <f>IF(MATCH_ENGINE!A666="","",MATCH_ENGINE!L666)</f>
        <v/>
      </c>
      <c r="L666" s="17">
        <f>IF(MATCH_ENGINE!A666="","",MATCH_ENGINE!M666)</f>
        <v/>
      </c>
      <c r="M666" s="11">
        <f>IF(MATCH_ENGINE!A666="","",GL_CLEAN!F666)</f>
        <v/>
      </c>
      <c r="N666" s="11">
        <f>IF(MATCH_ENGINE!A666="","",GL_CLEAN!G666)</f>
        <v/>
      </c>
      <c r="O666" s="11">
        <f>IF(MATCH_ENGINE!H666="","",INDEX(BANK_CLEAN!$C$2:$C$1001,MATCH_ENGINE!H666))</f>
        <v/>
      </c>
      <c r="P666" s="11" t="inlineStr"/>
    </row>
    <row r="667">
      <c r="A667" s="11">
        <f>IF(MATCH_ENGINE!A667="","",MATCH_ENGINE!N667)</f>
        <v/>
      </c>
      <c r="B667" s="11">
        <f>IF(MATCH_ENGINE!A667="","",MATCH_ENGINE!C667)</f>
        <v/>
      </c>
      <c r="C667" s="10">
        <f>IF(MATCH_ENGINE!A667="","",MATCH_ENGINE!B667)</f>
        <v/>
      </c>
      <c r="D667" s="16">
        <f>IF(MATCH_ENGINE!A667="","",MATCH_ENGINE!D667)</f>
        <v/>
      </c>
      <c r="E667" s="11">
        <f>IF(MATCH_ENGINE!A667="","",MATCH_ENGINE!F667)</f>
        <v/>
      </c>
      <c r="F667" s="10">
        <f>IF(MATCH_ENGINE!A667="","",MATCH_ENGINE!I667)</f>
        <v/>
      </c>
      <c r="G667" s="16">
        <f>IF(MATCH_ENGINE!H667="","",IF(MATCH_ENGINE!F667="IN",MATCH_ENGINE!J667,""))</f>
        <v/>
      </c>
      <c r="H667" s="16">
        <f>IF(MATCH_ENGINE!H667="","",IF(MATCH_ENGINE!F667="OUT",MATCH_ENGINE!J667,""))</f>
        <v/>
      </c>
      <c r="I667" s="16">
        <f>IF(MATCH_ENGINE!H667="","",MATCH_ENGINE!J667)</f>
        <v/>
      </c>
      <c r="J667" s="12">
        <f>IF(MATCH_ENGINE!A667="","",MATCH_ENGINE!K667)</f>
        <v/>
      </c>
      <c r="K667" s="11">
        <f>IF(MATCH_ENGINE!A667="","",MATCH_ENGINE!L667)</f>
        <v/>
      </c>
      <c r="L667" s="17">
        <f>IF(MATCH_ENGINE!A667="","",MATCH_ENGINE!M667)</f>
        <v/>
      </c>
      <c r="M667" s="11">
        <f>IF(MATCH_ENGINE!A667="","",GL_CLEAN!F667)</f>
        <v/>
      </c>
      <c r="N667" s="11">
        <f>IF(MATCH_ENGINE!A667="","",GL_CLEAN!G667)</f>
        <v/>
      </c>
      <c r="O667" s="11">
        <f>IF(MATCH_ENGINE!H667="","",INDEX(BANK_CLEAN!$C$2:$C$1001,MATCH_ENGINE!H667))</f>
        <v/>
      </c>
      <c r="P667" s="11" t="inlineStr"/>
    </row>
    <row r="668">
      <c r="A668" s="11">
        <f>IF(MATCH_ENGINE!A668="","",MATCH_ENGINE!N668)</f>
        <v/>
      </c>
      <c r="B668" s="11">
        <f>IF(MATCH_ENGINE!A668="","",MATCH_ENGINE!C668)</f>
        <v/>
      </c>
      <c r="C668" s="10">
        <f>IF(MATCH_ENGINE!A668="","",MATCH_ENGINE!B668)</f>
        <v/>
      </c>
      <c r="D668" s="16">
        <f>IF(MATCH_ENGINE!A668="","",MATCH_ENGINE!D668)</f>
        <v/>
      </c>
      <c r="E668" s="11">
        <f>IF(MATCH_ENGINE!A668="","",MATCH_ENGINE!F668)</f>
        <v/>
      </c>
      <c r="F668" s="10">
        <f>IF(MATCH_ENGINE!A668="","",MATCH_ENGINE!I668)</f>
        <v/>
      </c>
      <c r="G668" s="16">
        <f>IF(MATCH_ENGINE!H668="","",IF(MATCH_ENGINE!F668="IN",MATCH_ENGINE!J668,""))</f>
        <v/>
      </c>
      <c r="H668" s="16">
        <f>IF(MATCH_ENGINE!H668="","",IF(MATCH_ENGINE!F668="OUT",MATCH_ENGINE!J668,""))</f>
        <v/>
      </c>
      <c r="I668" s="16">
        <f>IF(MATCH_ENGINE!H668="","",MATCH_ENGINE!J668)</f>
        <v/>
      </c>
      <c r="J668" s="12">
        <f>IF(MATCH_ENGINE!A668="","",MATCH_ENGINE!K668)</f>
        <v/>
      </c>
      <c r="K668" s="11">
        <f>IF(MATCH_ENGINE!A668="","",MATCH_ENGINE!L668)</f>
        <v/>
      </c>
      <c r="L668" s="17">
        <f>IF(MATCH_ENGINE!A668="","",MATCH_ENGINE!M668)</f>
        <v/>
      </c>
      <c r="M668" s="11">
        <f>IF(MATCH_ENGINE!A668="","",GL_CLEAN!F668)</f>
        <v/>
      </c>
      <c r="N668" s="11">
        <f>IF(MATCH_ENGINE!A668="","",GL_CLEAN!G668)</f>
        <v/>
      </c>
      <c r="O668" s="11">
        <f>IF(MATCH_ENGINE!H668="","",INDEX(BANK_CLEAN!$C$2:$C$1001,MATCH_ENGINE!H668))</f>
        <v/>
      </c>
      <c r="P668" s="11" t="inlineStr"/>
    </row>
    <row r="669">
      <c r="A669" s="11">
        <f>IF(MATCH_ENGINE!A669="","",MATCH_ENGINE!N669)</f>
        <v/>
      </c>
      <c r="B669" s="11">
        <f>IF(MATCH_ENGINE!A669="","",MATCH_ENGINE!C669)</f>
        <v/>
      </c>
      <c r="C669" s="10">
        <f>IF(MATCH_ENGINE!A669="","",MATCH_ENGINE!B669)</f>
        <v/>
      </c>
      <c r="D669" s="16">
        <f>IF(MATCH_ENGINE!A669="","",MATCH_ENGINE!D669)</f>
        <v/>
      </c>
      <c r="E669" s="11">
        <f>IF(MATCH_ENGINE!A669="","",MATCH_ENGINE!F669)</f>
        <v/>
      </c>
      <c r="F669" s="10">
        <f>IF(MATCH_ENGINE!A669="","",MATCH_ENGINE!I669)</f>
        <v/>
      </c>
      <c r="G669" s="16">
        <f>IF(MATCH_ENGINE!H669="","",IF(MATCH_ENGINE!F669="IN",MATCH_ENGINE!J669,""))</f>
        <v/>
      </c>
      <c r="H669" s="16">
        <f>IF(MATCH_ENGINE!H669="","",IF(MATCH_ENGINE!F669="OUT",MATCH_ENGINE!J669,""))</f>
        <v/>
      </c>
      <c r="I669" s="16">
        <f>IF(MATCH_ENGINE!H669="","",MATCH_ENGINE!J669)</f>
        <v/>
      </c>
      <c r="J669" s="12">
        <f>IF(MATCH_ENGINE!A669="","",MATCH_ENGINE!K669)</f>
        <v/>
      </c>
      <c r="K669" s="11">
        <f>IF(MATCH_ENGINE!A669="","",MATCH_ENGINE!L669)</f>
        <v/>
      </c>
      <c r="L669" s="17">
        <f>IF(MATCH_ENGINE!A669="","",MATCH_ENGINE!M669)</f>
        <v/>
      </c>
      <c r="M669" s="11">
        <f>IF(MATCH_ENGINE!A669="","",GL_CLEAN!F669)</f>
        <v/>
      </c>
      <c r="N669" s="11">
        <f>IF(MATCH_ENGINE!A669="","",GL_CLEAN!G669)</f>
        <v/>
      </c>
      <c r="O669" s="11">
        <f>IF(MATCH_ENGINE!H669="","",INDEX(BANK_CLEAN!$C$2:$C$1001,MATCH_ENGINE!H669))</f>
        <v/>
      </c>
      <c r="P669" s="11" t="inlineStr"/>
    </row>
    <row r="670">
      <c r="A670" s="11">
        <f>IF(MATCH_ENGINE!A670="","",MATCH_ENGINE!N670)</f>
        <v/>
      </c>
      <c r="B670" s="11">
        <f>IF(MATCH_ENGINE!A670="","",MATCH_ENGINE!C670)</f>
        <v/>
      </c>
      <c r="C670" s="10">
        <f>IF(MATCH_ENGINE!A670="","",MATCH_ENGINE!B670)</f>
        <v/>
      </c>
      <c r="D670" s="16">
        <f>IF(MATCH_ENGINE!A670="","",MATCH_ENGINE!D670)</f>
        <v/>
      </c>
      <c r="E670" s="11">
        <f>IF(MATCH_ENGINE!A670="","",MATCH_ENGINE!F670)</f>
        <v/>
      </c>
      <c r="F670" s="10">
        <f>IF(MATCH_ENGINE!A670="","",MATCH_ENGINE!I670)</f>
        <v/>
      </c>
      <c r="G670" s="16">
        <f>IF(MATCH_ENGINE!H670="","",IF(MATCH_ENGINE!F670="IN",MATCH_ENGINE!J670,""))</f>
        <v/>
      </c>
      <c r="H670" s="16">
        <f>IF(MATCH_ENGINE!H670="","",IF(MATCH_ENGINE!F670="OUT",MATCH_ENGINE!J670,""))</f>
        <v/>
      </c>
      <c r="I670" s="16">
        <f>IF(MATCH_ENGINE!H670="","",MATCH_ENGINE!J670)</f>
        <v/>
      </c>
      <c r="J670" s="12">
        <f>IF(MATCH_ENGINE!A670="","",MATCH_ENGINE!K670)</f>
        <v/>
      </c>
      <c r="K670" s="11">
        <f>IF(MATCH_ENGINE!A670="","",MATCH_ENGINE!L670)</f>
        <v/>
      </c>
      <c r="L670" s="17">
        <f>IF(MATCH_ENGINE!A670="","",MATCH_ENGINE!M670)</f>
        <v/>
      </c>
      <c r="M670" s="11">
        <f>IF(MATCH_ENGINE!A670="","",GL_CLEAN!F670)</f>
        <v/>
      </c>
      <c r="N670" s="11">
        <f>IF(MATCH_ENGINE!A670="","",GL_CLEAN!G670)</f>
        <v/>
      </c>
      <c r="O670" s="11">
        <f>IF(MATCH_ENGINE!H670="","",INDEX(BANK_CLEAN!$C$2:$C$1001,MATCH_ENGINE!H670))</f>
        <v/>
      </c>
      <c r="P670" s="11" t="inlineStr"/>
    </row>
    <row r="671">
      <c r="A671" s="11">
        <f>IF(MATCH_ENGINE!A671="","",MATCH_ENGINE!N671)</f>
        <v/>
      </c>
      <c r="B671" s="11">
        <f>IF(MATCH_ENGINE!A671="","",MATCH_ENGINE!C671)</f>
        <v/>
      </c>
      <c r="C671" s="10">
        <f>IF(MATCH_ENGINE!A671="","",MATCH_ENGINE!B671)</f>
        <v/>
      </c>
      <c r="D671" s="16">
        <f>IF(MATCH_ENGINE!A671="","",MATCH_ENGINE!D671)</f>
        <v/>
      </c>
      <c r="E671" s="11">
        <f>IF(MATCH_ENGINE!A671="","",MATCH_ENGINE!F671)</f>
        <v/>
      </c>
      <c r="F671" s="10">
        <f>IF(MATCH_ENGINE!A671="","",MATCH_ENGINE!I671)</f>
        <v/>
      </c>
      <c r="G671" s="16">
        <f>IF(MATCH_ENGINE!H671="","",IF(MATCH_ENGINE!F671="IN",MATCH_ENGINE!J671,""))</f>
        <v/>
      </c>
      <c r="H671" s="16">
        <f>IF(MATCH_ENGINE!H671="","",IF(MATCH_ENGINE!F671="OUT",MATCH_ENGINE!J671,""))</f>
        <v/>
      </c>
      <c r="I671" s="16">
        <f>IF(MATCH_ENGINE!H671="","",MATCH_ENGINE!J671)</f>
        <v/>
      </c>
      <c r="J671" s="12">
        <f>IF(MATCH_ENGINE!A671="","",MATCH_ENGINE!K671)</f>
        <v/>
      </c>
      <c r="K671" s="11">
        <f>IF(MATCH_ENGINE!A671="","",MATCH_ENGINE!L671)</f>
        <v/>
      </c>
      <c r="L671" s="17">
        <f>IF(MATCH_ENGINE!A671="","",MATCH_ENGINE!M671)</f>
        <v/>
      </c>
      <c r="M671" s="11">
        <f>IF(MATCH_ENGINE!A671="","",GL_CLEAN!F671)</f>
        <v/>
      </c>
      <c r="N671" s="11">
        <f>IF(MATCH_ENGINE!A671="","",GL_CLEAN!G671)</f>
        <v/>
      </c>
      <c r="O671" s="11">
        <f>IF(MATCH_ENGINE!H671="","",INDEX(BANK_CLEAN!$C$2:$C$1001,MATCH_ENGINE!H671))</f>
        <v/>
      </c>
      <c r="P671" s="11" t="inlineStr"/>
    </row>
    <row r="672">
      <c r="A672" s="11">
        <f>IF(MATCH_ENGINE!A672="","",MATCH_ENGINE!N672)</f>
        <v/>
      </c>
      <c r="B672" s="11">
        <f>IF(MATCH_ENGINE!A672="","",MATCH_ENGINE!C672)</f>
        <v/>
      </c>
      <c r="C672" s="10">
        <f>IF(MATCH_ENGINE!A672="","",MATCH_ENGINE!B672)</f>
        <v/>
      </c>
      <c r="D672" s="16">
        <f>IF(MATCH_ENGINE!A672="","",MATCH_ENGINE!D672)</f>
        <v/>
      </c>
      <c r="E672" s="11">
        <f>IF(MATCH_ENGINE!A672="","",MATCH_ENGINE!F672)</f>
        <v/>
      </c>
      <c r="F672" s="10">
        <f>IF(MATCH_ENGINE!A672="","",MATCH_ENGINE!I672)</f>
        <v/>
      </c>
      <c r="G672" s="16">
        <f>IF(MATCH_ENGINE!H672="","",IF(MATCH_ENGINE!F672="IN",MATCH_ENGINE!J672,""))</f>
        <v/>
      </c>
      <c r="H672" s="16">
        <f>IF(MATCH_ENGINE!H672="","",IF(MATCH_ENGINE!F672="OUT",MATCH_ENGINE!J672,""))</f>
        <v/>
      </c>
      <c r="I672" s="16">
        <f>IF(MATCH_ENGINE!H672="","",MATCH_ENGINE!J672)</f>
        <v/>
      </c>
      <c r="J672" s="12">
        <f>IF(MATCH_ENGINE!A672="","",MATCH_ENGINE!K672)</f>
        <v/>
      </c>
      <c r="K672" s="11">
        <f>IF(MATCH_ENGINE!A672="","",MATCH_ENGINE!L672)</f>
        <v/>
      </c>
      <c r="L672" s="17">
        <f>IF(MATCH_ENGINE!A672="","",MATCH_ENGINE!M672)</f>
        <v/>
      </c>
      <c r="M672" s="11">
        <f>IF(MATCH_ENGINE!A672="","",GL_CLEAN!F672)</f>
        <v/>
      </c>
      <c r="N672" s="11">
        <f>IF(MATCH_ENGINE!A672="","",GL_CLEAN!G672)</f>
        <v/>
      </c>
      <c r="O672" s="11">
        <f>IF(MATCH_ENGINE!H672="","",INDEX(BANK_CLEAN!$C$2:$C$1001,MATCH_ENGINE!H672))</f>
        <v/>
      </c>
      <c r="P672" s="11" t="inlineStr"/>
    </row>
    <row r="673">
      <c r="A673" s="11">
        <f>IF(MATCH_ENGINE!A673="","",MATCH_ENGINE!N673)</f>
        <v/>
      </c>
      <c r="B673" s="11">
        <f>IF(MATCH_ENGINE!A673="","",MATCH_ENGINE!C673)</f>
        <v/>
      </c>
      <c r="C673" s="10">
        <f>IF(MATCH_ENGINE!A673="","",MATCH_ENGINE!B673)</f>
        <v/>
      </c>
      <c r="D673" s="16">
        <f>IF(MATCH_ENGINE!A673="","",MATCH_ENGINE!D673)</f>
        <v/>
      </c>
      <c r="E673" s="11">
        <f>IF(MATCH_ENGINE!A673="","",MATCH_ENGINE!F673)</f>
        <v/>
      </c>
      <c r="F673" s="10">
        <f>IF(MATCH_ENGINE!A673="","",MATCH_ENGINE!I673)</f>
        <v/>
      </c>
      <c r="G673" s="16">
        <f>IF(MATCH_ENGINE!H673="","",IF(MATCH_ENGINE!F673="IN",MATCH_ENGINE!J673,""))</f>
        <v/>
      </c>
      <c r="H673" s="16">
        <f>IF(MATCH_ENGINE!H673="","",IF(MATCH_ENGINE!F673="OUT",MATCH_ENGINE!J673,""))</f>
        <v/>
      </c>
      <c r="I673" s="16">
        <f>IF(MATCH_ENGINE!H673="","",MATCH_ENGINE!J673)</f>
        <v/>
      </c>
      <c r="J673" s="12">
        <f>IF(MATCH_ENGINE!A673="","",MATCH_ENGINE!K673)</f>
        <v/>
      </c>
      <c r="K673" s="11">
        <f>IF(MATCH_ENGINE!A673="","",MATCH_ENGINE!L673)</f>
        <v/>
      </c>
      <c r="L673" s="17">
        <f>IF(MATCH_ENGINE!A673="","",MATCH_ENGINE!M673)</f>
        <v/>
      </c>
      <c r="M673" s="11">
        <f>IF(MATCH_ENGINE!A673="","",GL_CLEAN!F673)</f>
        <v/>
      </c>
      <c r="N673" s="11">
        <f>IF(MATCH_ENGINE!A673="","",GL_CLEAN!G673)</f>
        <v/>
      </c>
      <c r="O673" s="11">
        <f>IF(MATCH_ENGINE!H673="","",INDEX(BANK_CLEAN!$C$2:$C$1001,MATCH_ENGINE!H673))</f>
        <v/>
      </c>
      <c r="P673" s="11" t="inlineStr"/>
    </row>
    <row r="674">
      <c r="A674" s="11">
        <f>IF(MATCH_ENGINE!A674="","",MATCH_ENGINE!N674)</f>
        <v/>
      </c>
      <c r="B674" s="11">
        <f>IF(MATCH_ENGINE!A674="","",MATCH_ENGINE!C674)</f>
        <v/>
      </c>
      <c r="C674" s="10">
        <f>IF(MATCH_ENGINE!A674="","",MATCH_ENGINE!B674)</f>
        <v/>
      </c>
      <c r="D674" s="16">
        <f>IF(MATCH_ENGINE!A674="","",MATCH_ENGINE!D674)</f>
        <v/>
      </c>
      <c r="E674" s="11">
        <f>IF(MATCH_ENGINE!A674="","",MATCH_ENGINE!F674)</f>
        <v/>
      </c>
      <c r="F674" s="10">
        <f>IF(MATCH_ENGINE!A674="","",MATCH_ENGINE!I674)</f>
        <v/>
      </c>
      <c r="G674" s="16">
        <f>IF(MATCH_ENGINE!H674="","",IF(MATCH_ENGINE!F674="IN",MATCH_ENGINE!J674,""))</f>
        <v/>
      </c>
      <c r="H674" s="16">
        <f>IF(MATCH_ENGINE!H674="","",IF(MATCH_ENGINE!F674="OUT",MATCH_ENGINE!J674,""))</f>
        <v/>
      </c>
      <c r="I674" s="16">
        <f>IF(MATCH_ENGINE!H674="","",MATCH_ENGINE!J674)</f>
        <v/>
      </c>
      <c r="J674" s="12">
        <f>IF(MATCH_ENGINE!A674="","",MATCH_ENGINE!K674)</f>
        <v/>
      </c>
      <c r="K674" s="11">
        <f>IF(MATCH_ENGINE!A674="","",MATCH_ENGINE!L674)</f>
        <v/>
      </c>
      <c r="L674" s="17">
        <f>IF(MATCH_ENGINE!A674="","",MATCH_ENGINE!M674)</f>
        <v/>
      </c>
      <c r="M674" s="11">
        <f>IF(MATCH_ENGINE!A674="","",GL_CLEAN!F674)</f>
        <v/>
      </c>
      <c r="N674" s="11">
        <f>IF(MATCH_ENGINE!A674="","",GL_CLEAN!G674)</f>
        <v/>
      </c>
      <c r="O674" s="11">
        <f>IF(MATCH_ENGINE!H674="","",INDEX(BANK_CLEAN!$C$2:$C$1001,MATCH_ENGINE!H674))</f>
        <v/>
      </c>
      <c r="P674" s="11" t="inlineStr"/>
    </row>
    <row r="675">
      <c r="A675" s="11">
        <f>IF(MATCH_ENGINE!A675="","",MATCH_ENGINE!N675)</f>
        <v/>
      </c>
      <c r="B675" s="11">
        <f>IF(MATCH_ENGINE!A675="","",MATCH_ENGINE!C675)</f>
        <v/>
      </c>
      <c r="C675" s="10">
        <f>IF(MATCH_ENGINE!A675="","",MATCH_ENGINE!B675)</f>
        <v/>
      </c>
      <c r="D675" s="16">
        <f>IF(MATCH_ENGINE!A675="","",MATCH_ENGINE!D675)</f>
        <v/>
      </c>
      <c r="E675" s="11">
        <f>IF(MATCH_ENGINE!A675="","",MATCH_ENGINE!F675)</f>
        <v/>
      </c>
      <c r="F675" s="10">
        <f>IF(MATCH_ENGINE!A675="","",MATCH_ENGINE!I675)</f>
        <v/>
      </c>
      <c r="G675" s="16">
        <f>IF(MATCH_ENGINE!H675="","",IF(MATCH_ENGINE!F675="IN",MATCH_ENGINE!J675,""))</f>
        <v/>
      </c>
      <c r="H675" s="16">
        <f>IF(MATCH_ENGINE!H675="","",IF(MATCH_ENGINE!F675="OUT",MATCH_ENGINE!J675,""))</f>
        <v/>
      </c>
      <c r="I675" s="16">
        <f>IF(MATCH_ENGINE!H675="","",MATCH_ENGINE!J675)</f>
        <v/>
      </c>
      <c r="J675" s="12">
        <f>IF(MATCH_ENGINE!A675="","",MATCH_ENGINE!K675)</f>
        <v/>
      </c>
      <c r="K675" s="11">
        <f>IF(MATCH_ENGINE!A675="","",MATCH_ENGINE!L675)</f>
        <v/>
      </c>
      <c r="L675" s="17">
        <f>IF(MATCH_ENGINE!A675="","",MATCH_ENGINE!M675)</f>
        <v/>
      </c>
      <c r="M675" s="11">
        <f>IF(MATCH_ENGINE!A675="","",GL_CLEAN!F675)</f>
        <v/>
      </c>
      <c r="N675" s="11">
        <f>IF(MATCH_ENGINE!A675="","",GL_CLEAN!G675)</f>
        <v/>
      </c>
      <c r="O675" s="11">
        <f>IF(MATCH_ENGINE!H675="","",INDEX(BANK_CLEAN!$C$2:$C$1001,MATCH_ENGINE!H675))</f>
        <v/>
      </c>
      <c r="P675" s="11" t="inlineStr"/>
    </row>
    <row r="676">
      <c r="A676" s="11">
        <f>IF(MATCH_ENGINE!A676="","",MATCH_ENGINE!N676)</f>
        <v/>
      </c>
      <c r="B676" s="11">
        <f>IF(MATCH_ENGINE!A676="","",MATCH_ENGINE!C676)</f>
        <v/>
      </c>
      <c r="C676" s="10">
        <f>IF(MATCH_ENGINE!A676="","",MATCH_ENGINE!B676)</f>
        <v/>
      </c>
      <c r="D676" s="16">
        <f>IF(MATCH_ENGINE!A676="","",MATCH_ENGINE!D676)</f>
        <v/>
      </c>
      <c r="E676" s="11">
        <f>IF(MATCH_ENGINE!A676="","",MATCH_ENGINE!F676)</f>
        <v/>
      </c>
      <c r="F676" s="10">
        <f>IF(MATCH_ENGINE!A676="","",MATCH_ENGINE!I676)</f>
        <v/>
      </c>
      <c r="G676" s="16">
        <f>IF(MATCH_ENGINE!H676="","",IF(MATCH_ENGINE!F676="IN",MATCH_ENGINE!J676,""))</f>
        <v/>
      </c>
      <c r="H676" s="16">
        <f>IF(MATCH_ENGINE!H676="","",IF(MATCH_ENGINE!F676="OUT",MATCH_ENGINE!J676,""))</f>
        <v/>
      </c>
      <c r="I676" s="16">
        <f>IF(MATCH_ENGINE!H676="","",MATCH_ENGINE!J676)</f>
        <v/>
      </c>
      <c r="J676" s="12">
        <f>IF(MATCH_ENGINE!A676="","",MATCH_ENGINE!K676)</f>
        <v/>
      </c>
      <c r="K676" s="11">
        <f>IF(MATCH_ENGINE!A676="","",MATCH_ENGINE!L676)</f>
        <v/>
      </c>
      <c r="L676" s="17">
        <f>IF(MATCH_ENGINE!A676="","",MATCH_ENGINE!M676)</f>
        <v/>
      </c>
      <c r="M676" s="11">
        <f>IF(MATCH_ENGINE!A676="","",GL_CLEAN!F676)</f>
        <v/>
      </c>
      <c r="N676" s="11">
        <f>IF(MATCH_ENGINE!A676="","",GL_CLEAN!G676)</f>
        <v/>
      </c>
      <c r="O676" s="11">
        <f>IF(MATCH_ENGINE!H676="","",INDEX(BANK_CLEAN!$C$2:$C$1001,MATCH_ENGINE!H676))</f>
        <v/>
      </c>
      <c r="P676" s="11" t="inlineStr"/>
    </row>
    <row r="677">
      <c r="A677" s="11">
        <f>IF(MATCH_ENGINE!A677="","",MATCH_ENGINE!N677)</f>
        <v/>
      </c>
      <c r="B677" s="11">
        <f>IF(MATCH_ENGINE!A677="","",MATCH_ENGINE!C677)</f>
        <v/>
      </c>
      <c r="C677" s="10">
        <f>IF(MATCH_ENGINE!A677="","",MATCH_ENGINE!B677)</f>
        <v/>
      </c>
      <c r="D677" s="16">
        <f>IF(MATCH_ENGINE!A677="","",MATCH_ENGINE!D677)</f>
        <v/>
      </c>
      <c r="E677" s="11">
        <f>IF(MATCH_ENGINE!A677="","",MATCH_ENGINE!F677)</f>
        <v/>
      </c>
      <c r="F677" s="10">
        <f>IF(MATCH_ENGINE!A677="","",MATCH_ENGINE!I677)</f>
        <v/>
      </c>
      <c r="G677" s="16">
        <f>IF(MATCH_ENGINE!H677="","",IF(MATCH_ENGINE!F677="IN",MATCH_ENGINE!J677,""))</f>
        <v/>
      </c>
      <c r="H677" s="16">
        <f>IF(MATCH_ENGINE!H677="","",IF(MATCH_ENGINE!F677="OUT",MATCH_ENGINE!J677,""))</f>
        <v/>
      </c>
      <c r="I677" s="16">
        <f>IF(MATCH_ENGINE!H677="","",MATCH_ENGINE!J677)</f>
        <v/>
      </c>
      <c r="J677" s="12">
        <f>IF(MATCH_ENGINE!A677="","",MATCH_ENGINE!K677)</f>
        <v/>
      </c>
      <c r="K677" s="11">
        <f>IF(MATCH_ENGINE!A677="","",MATCH_ENGINE!L677)</f>
        <v/>
      </c>
      <c r="L677" s="17">
        <f>IF(MATCH_ENGINE!A677="","",MATCH_ENGINE!M677)</f>
        <v/>
      </c>
      <c r="M677" s="11">
        <f>IF(MATCH_ENGINE!A677="","",GL_CLEAN!F677)</f>
        <v/>
      </c>
      <c r="N677" s="11">
        <f>IF(MATCH_ENGINE!A677="","",GL_CLEAN!G677)</f>
        <v/>
      </c>
      <c r="O677" s="11">
        <f>IF(MATCH_ENGINE!H677="","",INDEX(BANK_CLEAN!$C$2:$C$1001,MATCH_ENGINE!H677))</f>
        <v/>
      </c>
      <c r="P677" s="11" t="inlineStr"/>
    </row>
    <row r="678">
      <c r="A678" s="11">
        <f>IF(MATCH_ENGINE!A678="","",MATCH_ENGINE!N678)</f>
        <v/>
      </c>
      <c r="B678" s="11">
        <f>IF(MATCH_ENGINE!A678="","",MATCH_ENGINE!C678)</f>
        <v/>
      </c>
      <c r="C678" s="10">
        <f>IF(MATCH_ENGINE!A678="","",MATCH_ENGINE!B678)</f>
        <v/>
      </c>
      <c r="D678" s="16">
        <f>IF(MATCH_ENGINE!A678="","",MATCH_ENGINE!D678)</f>
        <v/>
      </c>
      <c r="E678" s="11">
        <f>IF(MATCH_ENGINE!A678="","",MATCH_ENGINE!F678)</f>
        <v/>
      </c>
      <c r="F678" s="10">
        <f>IF(MATCH_ENGINE!A678="","",MATCH_ENGINE!I678)</f>
        <v/>
      </c>
      <c r="G678" s="16">
        <f>IF(MATCH_ENGINE!H678="","",IF(MATCH_ENGINE!F678="IN",MATCH_ENGINE!J678,""))</f>
        <v/>
      </c>
      <c r="H678" s="16">
        <f>IF(MATCH_ENGINE!H678="","",IF(MATCH_ENGINE!F678="OUT",MATCH_ENGINE!J678,""))</f>
        <v/>
      </c>
      <c r="I678" s="16">
        <f>IF(MATCH_ENGINE!H678="","",MATCH_ENGINE!J678)</f>
        <v/>
      </c>
      <c r="J678" s="12">
        <f>IF(MATCH_ENGINE!A678="","",MATCH_ENGINE!K678)</f>
        <v/>
      </c>
      <c r="K678" s="11">
        <f>IF(MATCH_ENGINE!A678="","",MATCH_ENGINE!L678)</f>
        <v/>
      </c>
      <c r="L678" s="17">
        <f>IF(MATCH_ENGINE!A678="","",MATCH_ENGINE!M678)</f>
        <v/>
      </c>
      <c r="M678" s="11">
        <f>IF(MATCH_ENGINE!A678="","",GL_CLEAN!F678)</f>
        <v/>
      </c>
      <c r="N678" s="11">
        <f>IF(MATCH_ENGINE!A678="","",GL_CLEAN!G678)</f>
        <v/>
      </c>
      <c r="O678" s="11">
        <f>IF(MATCH_ENGINE!H678="","",INDEX(BANK_CLEAN!$C$2:$C$1001,MATCH_ENGINE!H678))</f>
        <v/>
      </c>
      <c r="P678" s="11" t="inlineStr"/>
    </row>
    <row r="679">
      <c r="A679" s="11">
        <f>IF(MATCH_ENGINE!A679="","",MATCH_ENGINE!N679)</f>
        <v/>
      </c>
      <c r="B679" s="11">
        <f>IF(MATCH_ENGINE!A679="","",MATCH_ENGINE!C679)</f>
        <v/>
      </c>
      <c r="C679" s="10">
        <f>IF(MATCH_ENGINE!A679="","",MATCH_ENGINE!B679)</f>
        <v/>
      </c>
      <c r="D679" s="16">
        <f>IF(MATCH_ENGINE!A679="","",MATCH_ENGINE!D679)</f>
        <v/>
      </c>
      <c r="E679" s="11">
        <f>IF(MATCH_ENGINE!A679="","",MATCH_ENGINE!F679)</f>
        <v/>
      </c>
      <c r="F679" s="10">
        <f>IF(MATCH_ENGINE!A679="","",MATCH_ENGINE!I679)</f>
        <v/>
      </c>
      <c r="G679" s="16">
        <f>IF(MATCH_ENGINE!H679="","",IF(MATCH_ENGINE!F679="IN",MATCH_ENGINE!J679,""))</f>
        <v/>
      </c>
      <c r="H679" s="16">
        <f>IF(MATCH_ENGINE!H679="","",IF(MATCH_ENGINE!F679="OUT",MATCH_ENGINE!J679,""))</f>
        <v/>
      </c>
      <c r="I679" s="16">
        <f>IF(MATCH_ENGINE!H679="","",MATCH_ENGINE!J679)</f>
        <v/>
      </c>
      <c r="J679" s="12">
        <f>IF(MATCH_ENGINE!A679="","",MATCH_ENGINE!K679)</f>
        <v/>
      </c>
      <c r="K679" s="11">
        <f>IF(MATCH_ENGINE!A679="","",MATCH_ENGINE!L679)</f>
        <v/>
      </c>
      <c r="L679" s="17">
        <f>IF(MATCH_ENGINE!A679="","",MATCH_ENGINE!M679)</f>
        <v/>
      </c>
      <c r="M679" s="11">
        <f>IF(MATCH_ENGINE!A679="","",GL_CLEAN!F679)</f>
        <v/>
      </c>
      <c r="N679" s="11">
        <f>IF(MATCH_ENGINE!A679="","",GL_CLEAN!G679)</f>
        <v/>
      </c>
      <c r="O679" s="11">
        <f>IF(MATCH_ENGINE!H679="","",INDEX(BANK_CLEAN!$C$2:$C$1001,MATCH_ENGINE!H679))</f>
        <v/>
      </c>
      <c r="P679" s="11" t="inlineStr"/>
    </row>
    <row r="680">
      <c r="A680" s="11">
        <f>IF(MATCH_ENGINE!A680="","",MATCH_ENGINE!N680)</f>
        <v/>
      </c>
      <c r="B680" s="11">
        <f>IF(MATCH_ENGINE!A680="","",MATCH_ENGINE!C680)</f>
        <v/>
      </c>
      <c r="C680" s="10">
        <f>IF(MATCH_ENGINE!A680="","",MATCH_ENGINE!B680)</f>
        <v/>
      </c>
      <c r="D680" s="16">
        <f>IF(MATCH_ENGINE!A680="","",MATCH_ENGINE!D680)</f>
        <v/>
      </c>
      <c r="E680" s="11">
        <f>IF(MATCH_ENGINE!A680="","",MATCH_ENGINE!F680)</f>
        <v/>
      </c>
      <c r="F680" s="10">
        <f>IF(MATCH_ENGINE!A680="","",MATCH_ENGINE!I680)</f>
        <v/>
      </c>
      <c r="G680" s="16">
        <f>IF(MATCH_ENGINE!H680="","",IF(MATCH_ENGINE!F680="IN",MATCH_ENGINE!J680,""))</f>
        <v/>
      </c>
      <c r="H680" s="16">
        <f>IF(MATCH_ENGINE!H680="","",IF(MATCH_ENGINE!F680="OUT",MATCH_ENGINE!J680,""))</f>
        <v/>
      </c>
      <c r="I680" s="16">
        <f>IF(MATCH_ENGINE!H680="","",MATCH_ENGINE!J680)</f>
        <v/>
      </c>
      <c r="J680" s="12">
        <f>IF(MATCH_ENGINE!A680="","",MATCH_ENGINE!K680)</f>
        <v/>
      </c>
      <c r="K680" s="11">
        <f>IF(MATCH_ENGINE!A680="","",MATCH_ENGINE!L680)</f>
        <v/>
      </c>
      <c r="L680" s="17">
        <f>IF(MATCH_ENGINE!A680="","",MATCH_ENGINE!M680)</f>
        <v/>
      </c>
      <c r="M680" s="11">
        <f>IF(MATCH_ENGINE!A680="","",GL_CLEAN!F680)</f>
        <v/>
      </c>
      <c r="N680" s="11">
        <f>IF(MATCH_ENGINE!A680="","",GL_CLEAN!G680)</f>
        <v/>
      </c>
      <c r="O680" s="11">
        <f>IF(MATCH_ENGINE!H680="","",INDEX(BANK_CLEAN!$C$2:$C$1001,MATCH_ENGINE!H680))</f>
        <v/>
      </c>
      <c r="P680" s="11" t="inlineStr"/>
    </row>
    <row r="681">
      <c r="A681" s="11">
        <f>IF(MATCH_ENGINE!A681="","",MATCH_ENGINE!N681)</f>
        <v/>
      </c>
      <c r="B681" s="11">
        <f>IF(MATCH_ENGINE!A681="","",MATCH_ENGINE!C681)</f>
        <v/>
      </c>
      <c r="C681" s="10">
        <f>IF(MATCH_ENGINE!A681="","",MATCH_ENGINE!B681)</f>
        <v/>
      </c>
      <c r="D681" s="16">
        <f>IF(MATCH_ENGINE!A681="","",MATCH_ENGINE!D681)</f>
        <v/>
      </c>
      <c r="E681" s="11">
        <f>IF(MATCH_ENGINE!A681="","",MATCH_ENGINE!F681)</f>
        <v/>
      </c>
      <c r="F681" s="10">
        <f>IF(MATCH_ENGINE!A681="","",MATCH_ENGINE!I681)</f>
        <v/>
      </c>
      <c r="G681" s="16">
        <f>IF(MATCH_ENGINE!H681="","",IF(MATCH_ENGINE!F681="IN",MATCH_ENGINE!J681,""))</f>
        <v/>
      </c>
      <c r="H681" s="16">
        <f>IF(MATCH_ENGINE!H681="","",IF(MATCH_ENGINE!F681="OUT",MATCH_ENGINE!J681,""))</f>
        <v/>
      </c>
      <c r="I681" s="16">
        <f>IF(MATCH_ENGINE!H681="","",MATCH_ENGINE!J681)</f>
        <v/>
      </c>
      <c r="J681" s="12">
        <f>IF(MATCH_ENGINE!A681="","",MATCH_ENGINE!K681)</f>
        <v/>
      </c>
      <c r="K681" s="11">
        <f>IF(MATCH_ENGINE!A681="","",MATCH_ENGINE!L681)</f>
        <v/>
      </c>
      <c r="L681" s="17">
        <f>IF(MATCH_ENGINE!A681="","",MATCH_ENGINE!M681)</f>
        <v/>
      </c>
      <c r="M681" s="11">
        <f>IF(MATCH_ENGINE!A681="","",GL_CLEAN!F681)</f>
        <v/>
      </c>
      <c r="N681" s="11">
        <f>IF(MATCH_ENGINE!A681="","",GL_CLEAN!G681)</f>
        <v/>
      </c>
      <c r="O681" s="11">
        <f>IF(MATCH_ENGINE!H681="","",INDEX(BANK_CLEAN!$C$2:$C$1001,MATCH_ENGINE!H681))</f>
        <v/>
      </c>
      <c r="P681" s="11" t="inlineStr"/>
    </row>
    <row r="682">
      <c r="A682" s="11">
        <f>IF(MATCH_ENGINE!A682="","",MATCH_ENGINE!N682)</f>
        <v/>
      </c>
      <c r="B682" s="11">
        <f>IF(MATCH_ENGINE!A682="","",MATCH_ENGINE!C682)</f>
        <v/>
      </c>
      <c r="C682" s="10">
        <f>IF(MATCH_ENGINE!A682="","",MATCH_ENGINE!B682)</f>
        <v/>
      </c>
      <c r="D682" s="16">
        <f>IF(MATCH_ENGINE!A682="","",MATCH_ENGINE!D682)</f>
        <v/>
      </c>
      <c r="E682" s="11">
        <f>IF(MATCH_ENGINE!A682="","",MATCH_ENGINE!F682)</f>
        <v/>
      </c>
      <c r="F682" s="10">
        <f>IF(MATCH_ENGINE!A682="","",MATCH_ENGINE!I682)</f>
        <v/>
      </c>
      <c r="G682" s="16">
        <f>IF(MATCH_ENGINE!H682="","",IF(MATCH_ENGINE!F682="IN",MATCH_ENGINE!J682,""))</f>
        <v/>
      </c>
      <c r="H682" s="16">
        <f>IF(MATCH_ENGINE!H682="","",IF(MATCH_ENGINE!F682="OUT",MATCH_ENGINE!J682,""))</f>
        <v/>
      </c>
      <c r="I682" s="16">
        <f>IF(MATCH_ENGINE!H682="","",MATCH_ENGINE!J682)</f>
        <v/>
      </c>
      <c r="J682" s="12">
        <f>IF(MATCH_ENGINE!A682="","",MATCH_ENGINE!K682)</f>
        <v/>
      </c>
      <c r="K682" s="11">
        <f>IF(MATCH_ENGINE!A682="","",MATCH_ENGINE!L682)</f>
        <v/>
      </c>
      <c r="L682" s="17">
        <f>IF(MATCH_ENGINE!A682="","",MATCH_ENGINE!M682)</f>
        <v/>
      </c>
      <c r="M682" s="11">
        <f>IF(MATCH_ENGINE!A682="","",GL_CLEAN!F682)</f>
        <v/>
      </c>
      <c r="N682" s="11">
        <f>IF(MATCH_ENGINE!A682="","",GL_CLEAN!G682)</f>
        <v/>
      </c>
      <c r="O682" s="11">
        <f>IF(MATCH_ENGINE!H682="","",INDEX(BANK_CLEAN!$C$2:$C$1001,MATCH_ENGINE!H682))</f>
        <v/>
      </c>
      <c r="P682" s="11" t="inlineStr"/>
    </row>
    <row r="683">
      <c r="A683" s="11">
        <f>IF(MATCH_ENGINE!A683="","",MATCH_ENGINE!N683)</f>
        <v/>
      </c>
      <c r="B683" s="11">
        <f>IF(MATCH_ENGINE!A683="","",MATCH_ENGINE!C683)</f>
        <v/>
      </c>
      <c r="C683" s="10">
        <f>IF(MATCH_ENGINE!A683="","",MATCH_ENGINE!B683)</f>
        <v/>
      </c>
      <c r="D683" s="16">
        <f>IF(MATCH_ENGINE!A683="","",MATCH_ENGINE!D683)</f>
        <v/>
      </c>
      <c r="E683" s="11">
        <f>IF(MATCH_ENGINE!A683="","",MATCH_ENGINE!F683)</f>
        <v/>
      </c>
      <c r="F683" s="10">
        <f>IF(MATCH_ENGINE!A683="","",MATCH_ENGINE!I683)</f>
        <v/>
      </c>
      <c r="G683" s="16">
        <f>IF(MATCH_ENGINE!H683="","",IF(MATCH_ENGINE!F683="IN",MATCH_ENGINE!J683,""))</f>
        <v/>
      </c>
      <c r="H683" s="16">
        <f>IF(MATCH_ENGINE!H683="","",IF(MATCH_ENGINE!F683="OUT",MATCH_ENGINE!J683,""))</f>
        <v/>
      </c>
      <c r="I683" s="16">
        <f>IF(MATCH_ENGINE!H683="","",MATCH_ENGINE!J683)</f>
        <v/>
      </c>
      <c r="J683" s="12">
        <f>IF(MATCH_ENGINE!A683="","",MATCH_ENGINE!K683)</f>
        <v/>
      </c>
      <c r="K683" s="11">
        <f>IF(MATCH_ENGINE!A683="","",MATCH_ENGINE!L683)</f>
        <v/>
      </c>
      <c r="L683" s="17">
        <f>IF(MATCH_ENGINE!A683="","",MATCH_ENGINE!M683)</f>
        <v/>
      </c>
      <c r="M683" s="11">
        <f>IF(MATCH_ENGINE!A683="","",GL_CLEAN!F683)</f>
        <v/>
      </c>
      <c r="N683" s="11">
        <f>IF(MATCH_ENGINE!A683="","",GL_CLEAN!G683)</f>
        <v/>
      </c>
      <c r="O683" s="11">
        <f>IF(MATCH_ENGINE!H683="","",INDEX(BANK_CLEAN!$C$2:$C$1001,MATCH_ENGINE!H683))</f>
        <v/>
      </c>
      <c r="P683" s="11" t="inlineStr"/>
    </row>
    <row r="684">
      <c r="A684" s="11">
        <f>IF(MATCH_ENGINE!A684="","",MATCH_ENGINE!N684)</f>
        <v/>
      </c>
      <c r="B684" s="11">
        <f>IF(MATCH_ENGINE!A684="","",MATCH_ENGINE!C684)</f>
        <v/>
      </c>
      <c r="C684" s="10">
        <f>IF(MATCH_ENGINE!A684="","",MATCH_ENGINE!B684)</f>
        <v/>
      </c>
      <c r="D684" s="16">
        <f>IF(MATCH_ENGINE!A684="","",MATCH_ENGINE!D684)</f>
        <v/>
      </c>
      <c r="E684" s="11">
        <f>IF(MATCH_ENGINE!A684="","",MATCH_ENGINE!F684)</f>
        <v/>
      </c>
      <c r="F684" s="10">
        <f>IF(MATCH_ENGINE!A684="","",MATCH_ENGINE!I684)</f>
        <v/>
      </c>
      <c r="G684" s="16">
        <f>IF(MATCH_ENGINE!H684="","",IF(MATCH_ENGINE!F684="IN",MATCH_ENGINE!J684,""))</f>
        <v/>
      </c>
      <c r="H684" s="16">
        <f>IF(MATCH_ENGINE!H684="","",IF(MATCH_ENGINE!F684="OUT",MATCH_ENGINE!J684,""))</f>
        <v/>
      </c>
      <c r="I684" s="16">
        <f>IF(MATCH_ENGINE!H684="","",MATCH_ENGINE!J684)</f>
        <v/>
      </c>
      <c r="J684" s="12">
        <f>IF(MATCH_ENGINE!A684="","",MATCH_ENGINE!K684)</f>
        <v/>
      </c>
      <c r="K684" s="11">
        <f>IF(MATCH_ENGINE!A684="","",MATCH_ENGINE!L684)</f>
        <v/>
      </c>
      <c r="L684" s="17">
        <f>IF(MATCH_ENGINE!A684="","",MATCH_ENGINE!M684)</f>
        <v/>
      </c>
      <c r="M684" s="11">
        <f>IF(MATCH_ENGINE!A684="","",GL_CLEAN!F684)</f>
        <v/>
      </c>
      <c r="N684" s="11">
        <f>IF(MATCH_ENGINE!A684="","",GL_CLEAN!G684)</f>
        <v/>
      </c>
      <c r="O684" s="11">
        <f>IF(MATCH_ENGINE!H684="","",INDEX(BANK_CLEAN!$C$2:$C$1001,MATCH_ENGINE!H684))</f>
        <v/>
      </c>
      <c r="P684" s="11" t="inlineStr"/>
    </row>
    <row r="685">
      <c r="A685" s="11">
        <f>IF(MATCH_ENGINE!A685="","",MATCH_ENGINE!N685)</f>
        <v/>
      </c>
      <c r="B685" s="11">
        <f>IF(MATCH_ENGINE!A685="","",MATCH_ENGINE!C685)</f>
        <v/>
      </c>
      <c r="C685" s="10">
        <f>IF(MATCH_ENGINE!A685="","",MATCH_ENGINE!B685)</f>
        <v/>
      </c>
      <c r="D685" s="16">
        <f>IF(MATCH_ENGINE!A685="","",MATCH_ENGINE!D685)</f>
        <v/>
      </c>
      <c r="E685" s="11">
        <f>IF(MATCH_ENGINE!A685="","",MATCH_ENGINE!F685)</f>
        <v/>
      </c>
      <c r="F685" s="10">
        <f>IF(MATCH_ENGINE!A685="","",MATCH_ENGINE!I685)</f>
        <v/>
      </c>
      <c r="G685" s="16">
        <f>IF(MATCH_ENGINE!H685="","",IF(MATCH_ENGINE!F685="IN",MATCH_ENGINE!J685,""))</f>
        <v/>
      </c>
      <c r="H685" s="16">
        <f>IF(MATCH_ENGINE!H685="","",IF(MATCH_ENGINE!F685="OUT",MATCH_ENGINE!J685,""))</f>
        <v/>
      </c>
      <c r="I685" s="16">
        <f>IF(MATCH_ENGINE!H685="","",MATCH_ENGINE!J685)</f>
        <v/>
      </c>
      <c r="J685" s="12">
        <f>IF(MATCH_ENGINE!A685="","",MATCH_ENGINE!K685)</f>
        <v/>
      </c>
      <c r="K685" s="11">
        <f>IF(MATCH_ENGINE!A685="","",MATCH_ENGINE!L685)</f>
        <v/>
      </c>
      <c r="L685" s="17">
        <f>IF(MATCH_ENGINE!A685="","",MATCH_ENGINE!M685)</f>
        <v/>
      </c>
      <c r="M685" s="11">
        <f>IF(MATCH_ENGINE!A685="","",GL_CLEAN!F685)</f>
        <v/>
      </c>
      <c r="N685" s="11">
        <f>IF(MATCH_ENGINE!A685="","",GL_CLEAN!G685)</f>
        <v/>
      </c>
      <c r="O685" s="11">
        <f>IF(MATCH_ENGINE!H685="","",INDEX(BANK_CLEAN!$C$2:$C$1001,MATCH_ENGINE!H685))</f>
        <v/>
      </c>
      <c r="P685" s="11" t="inlineStr"/>
    </row>
    <row r="686">
      <c r="A686" s="11">
        <f>IF(MATCH_ENGINE!A686="","",MATCH_ENGINE!N686)</f>
        <v/>
      </c>
      <c r="B686" s="11">
        <f>IF(MATCH_ENGINE!A686="","",MATCH_ENGINE!C686)</f>
        <v/>
      </c>
      <c r="C686" s="10">
        <f>IF(MATCH_ENGINE!A686="","",MATCH_ENGINE!B686)</f>
        <v/>
      </c>
      <c r="D686" s="16">
        <f>IF(MATCH_ENGINE!A686="","",MATCH_ENGINE!D686)</f>
        <v/>
      </c>
      <c r="E686" s="11">
        <f>IF(MATCH_ENGINE!A686="","",MATCH_ENGINE!F686)</f>
        <v/>
      </c>
      <c r="F686" s="10">
        <f>IF(MATCH_ENGINE!A686="","",MATCH_ENGINE!I686)</f>
        <v/>
      </c>
      <c r="G686" s="16">
        <f>IF(MATCH_ENGINE!H686="","",IF(MATCH_ENGINE!F686="IN",MATCH_ENGINE!J686,""))</f>
        <v/>
      </c>
      <c r="H686" s="16">
        <f>IF(MATCH_ENGINE!H686="","",IF(MATCH_ENGINE!F686="OUT",MATCH_ENGINE!J686,""))</f>
        <v/>
      </c>
      <c r="I686" s="16">
        <f>IF(MATCH_ENGINE!H686="","",MATCH_ENGINE!J686)</f>
        <v/>
      </c>
      <c r="J686" s="12">
        <f>IF(MATCH_ENGINE!A686="","",MATCH_ENGINE!K686)</f>
        <v/>
      </c>
      <c r="K686" s="11">
        <f>IF(MATCH_ENGINE!A686="","",MATCH_ENGINE!L686)</f>
        <v/>
      </c>
      <c r="L686" s="17">
        <f>IF(MATCH_ENGINE!A686="","",MATCH_ENGINE!M686)</f>
        <v/>
      </c>
      <c r="M686" s="11">
        <f>IF(MATCH_ENGINE!A686="","",GL_CLEAN!F686)</f>
        <v/>
      </c>
      <c r="N686" s="11">
        <f>IF(MATCH_ENGINE!A686="","",GL_CLEAN!G686)</f>
        <v/>
      </c>
      <c r="O686" s="11">
        <f>IF(MATCH_ENGINE!H686="","",INDEX(BANK_CLEAN!$C$2:$C$1001,MATCH_ENGINE!H686))</f>
        <v/>
      </c>
      <c r="P686" s="11" t="inlineStr"/>
    </row>
    <row r="687">
      <c r="A687" s="11">
        <f>IF(MATCH_ENGINE!A687="","",MATCH_ENGINE!N687)</f>
        <v/>
      </c>
      <c r="B687" s="11">
        <f>IF(MATCH_ENGINE!A687="","",MATCH_ENGINE!C687)</f>
        <v/>
      </c>
      <c r="C687" s="10">
        <f>IF(MATCH_ENGINE!A687="","",MATCH_ENGINE!B687)</f>
        <v/>
      </c>
      <c r="D687" s="16">
        <f>IF(MATCH_ENGINE!A687="","",MATCH_ENGINE!D687)</f>
        <v/>
      </c>
      <c r="E687" s="11">
        <f>IF(MATCH_ENGINE!A687="","",MATCH_ENGINE!F687)</f>
        <v/>
      </c>
      <c r="F687" s="10">
        <f>IF(MATCH_ENGINE!A687="","",MATCH_ENGINE!I687)</f>
        <v/>
      </c>
      <c r="G687" s="16">
        <f>IF(MATCH_ENGINE!H687="","",IF(MATCH_ENGINE!F687="IN",MATCH_ENGINE!J687,""))</f>
        <v/>
      </c>
      <c r="H687" s="16">
        <f>IF(MATCH_ENGINE!H687="","",IF(MATCH_ENGINE!F687="OUT",MATCH_ENGINE!J687,""))</f>
        <v/>
      </c>
      <c r="I687" s="16">
        <f>IF(MATCH_ENGINE!H687="","",MATCH_ENGINE!J687)</f>
        <v/>
      </c>
      <c r="J687" s="12">
        <f>IF(MATCH_ENGINE!A687="","",MATCH_ENGINE!K687)</f>
        <v/>
      </c>
      <c r="K687" s="11">
        <f>IF(MATCH_ENGINE!A687="","",MATCH_ENGINE!L687)</f>
        <v/>
      </c>
      <c r="L687" s="17">
        <f>IF(MATCH_ENGINE!A687="","",MATCH_ENGINE!M687)</f>
        <v/>
      </c>
      <c r="M687" s="11">
        <f>IF(MATCH_ENGINE!A687="","",GL_CLEAN!F687)</f>
        <v/>
      </c>
      <c r="N687" s="11">
        <f>IF(MATCH_ENGINE!A687="","",GL_CLEAN!G687)</f>
        <v/>
      </c>
      <c r="O687" s="11">
        <f>IF(MATCH_ENGINE!H687="","",INDEX(BANK_CLEAN!$C$2:$C$1001,MATCH_ENGINE!H687))</f>
        <v/>
      </c>
      <c r="P687" s="11" t="inlineStr"/>
    </row>
    <row r="688">
      <c r="A688" s="11">
        <f>IF(MATCH_ENGINE!A688="","",MATCH_ENGINE!N688)</f>
        <v/>
      </c>
      <c r="B688" s="11">
        <f>IF(MATCH_ENGINE!A688="","",MATCH_ENGINE!C688)</f>
        <v/>
      </c>
      <c r="C688" s="10">
        <f>IF(MATCH_ENGINE!A688="","",MATCH_ENGINE!B688)</f>
        <v/>
      </c>
      <c r="D688" s="16">
        <f>IF(MATCH_ENGINE!A688="","",MATCH_ENGINE!D688)</f>
        <v/>
      </c>
      <c r="E688" s="11">
        <f>IF(MATCH_ENGINE!A688="","",MATCH_ENGINE!F688)</f>
        <v/>
      </c>
      <c r="F688" s="10">
        <f>IF(MATCH_ENGINE!A688="","",MATCH_ENGINE!I688)</f>
        <v/>
      </c>
      <c r="G688" s="16">
        <f>IF(MATCH_ENGINE!H688="","",IF(MATCH_ENGINE!F688="IN",MATCH_ENGINE!J688,""))</f>
        <v/>
      </c>
      <c r="H688" s="16">
        <f>IF(MATCH_ENGINE!H688="","",IF(MATCH_ENGINE!F688="OUT",MATCH_ENGINE!J688,""))</f>
        <v/>
      </c>
      <c r="I688" s="16">
        <f>IF(MATCH_ENGINE!H688="","",MATCH_ENGINE!J688)</f>
        <v/>
      </c>
      <c r="J688" s="12">
        <f>IF(MATCH_ENGINE!A688="","",MATCH_ENGINE!K688)</f>
        <v/>
      </c>
      <c r="K688" s="11">
        <f>IF(MATCH_ENGINE!A688="","",MATCH_ENGINE!L688)</f>
        <v/>
      </c>
      <c r="L688" s="17">
        <f>IF(MATCH_ENGINE!A688="","",MATCH_ENGINE!M688)</f>
        <v/>
      </c>
      <c r="M688" s="11">
        <f>IF(MATCH_ENGINE!A688="","",GL_CLEAN!F688)</f>
        <v/>
      </c>
      <c r="N688" s="11">
        <f>IF(MATCH_ENGINE!A688="","",GL_CLEAN!G688)</f>
        <v/>
      </c>
      <c r="O688" s="11">
        <f>IF(MATCH_ENGINE!H688="","",INDEX(BANK_CLEAN!$C$2:$C$1001,MATCH_ENGINE!H688))</f>
        <v/>
      </c>
      <c r="P688" s="11" t="inlineStr"/>
    </row>
    <row r="689">
      <c r="A689" s="11">
        <f>IF(MATCH_ENGINE!A689="","",MATCH_ENGINE!N689)</f>
        <v/>
      </c>
      <c r="B689" s="11">
        <f>IF(MATCH_ENGINE!A689="","",MATCH_ENGINE!C689)</f>
        <v/>
      </c>
      <c r="C689" s="10">
        <f>IF(MATCH_ENGINE!A689="","",MATCH_ENGINE!B689)</f>
        <v/>
      </c>
      <c r="D689" s="16">
        <f>IF(MATCH_ENGINE!A689="","",MATCH_ENGINE!D689)</f>
        <v/>
      </c>
      <c r="E689" s="11">
        <f>IF(MATCH_ENGINE!A689="","",MATCH_ENGINE!F689)</f>
        <v/>
      </c>
      <c r="F689" s="10">
        <f>IF(MATCH_ENGINE!A689="","",MATCH_ENGINE!I689)</f>
        <v/>
      </c>
      <c r="G689" s="16">
        <f>IF(MATCH_ENGINE!H689="","",IF(MATCH_ENGINE!F689="IN",MATCH_ENGINE!J689,""))</f>
        <v/>
      </c>
      <c r="H689" s="16">
        <f>IF(MATCH_ENGINE!H689="","",IF(MATCH_ENGINE!F689="OUT",MATCH_ENGINE!J689,""))</f>
        <v/>
      </c>
      <c r="I689" s="16">
        <f>IF(MATCH_ENGINE!H689="","",MATCH_ENGINE!J689)</f>
        <v/>
      </c>
      <c r="J689" s="12">
        <f>IF(MATCH_ENGINE!A689="","",MATCH_ENGINE!K689)</f>
        <v/>
      </c>
      <c r="K689" s="11">
        <f>IF(MATCH_ENGINE!A689="","",MATCH_ENGINE!L689)</f>
        <v/>
      </c>
      <c r="L689" s="17">
        <f>IF(MATCH_ENGINE!A689="","",MATCH_ENGINE!M689)</f>
        <v/>
      </c>
      <c r="M689" s="11">
        <f>IF(MATCH_ENGINE!A689="","",GL_CLEAN!F689)</f>
        <v/>
      </c>
      <c r="N689" s="11">
        <f>IF(MATCH_ENGINE!A689="","",GL_CLEAN!G689)</f>
        <v/>
      </c>
      <c r="O689" s="11">
        <f>IF(MATCH_ENGINE!H689="","",INDEX(BANK_CLEAN!$C$2:$C$1001,MATCH_ENGINE!H689))</f>
        <v/>
      </c>
      <c r="P689" s="11" t="inlineStr"/>
    </row>
    <row r="690">
      <c r="A690" s="11">
        <f>IF(MATCH_ENGINE!A690="","",MATCH_ENGINE!N690)</f>
        <v/>
      </c>
      <c r="B690" s="11">
        <f>IF(MATCH_ENGINE!A690="","",MATCH_ENGINE!C690)</f>
        <v/>
      </c>
      <c r="C690" s="10">
        <f>IF(MATCH_ENGINE!A690="","",MATCH_ENGINE!B690)</f>
        <v/>
      </c>
      <c r="D690" s="16">
        <f>IF(MATCH_ENGINE!A690="","",MATCH_ENGINE!D690)</f>
        <v/>
      </c>
      <c r="E690" s="11">
        <f>IF(MATCH_ENGINE!A690="","",MATCH_ENGINE!F690)</f>
        <v/>
      </c>
      <c r="F690" s="10">
        <f>IF(MATCH_ENGINE!A690="","",MATCH_ENGINE!I690)</f>
        <v/>
      </c>
      <c r="G690" s="16">
        <f>IF(MATCH_ENGINE!H690="","",IF(MATCH_ENGINE!F690="IN",MATCH_ENGINE!J690,""))</f>
        <v/>
      </c>
      <c r="H690" s="16">
        <f>IF(MATCH_ENGINE!H690="","",IF(MATCH_ENGINE!F690="OUT",MATCH_ENGINE!J690,""))</f>
        <v/>
      </c>
      <c r="I690" s="16">
        <f>IF(MATCH_ENGINE!H690="","",MATCH_ENGINE!J690)</f>
        <v/>
      </c>
      <c r="J690" s="12">
        <f>IF(MATCH_ENGINE!A690="","",MATCH_ENGINE!K690)</f>
        <v/>
      </c>
      <c r="K690" s="11">
        <f>IF(MATCH_ENGINE!A690="","",MATCH_ENGINE!L690)</f>
        <v/>
      </c>
      <c r="L690" s="17">
        <f>IF(MATCH_ENGINE!A690="","",MATCH_ENGINE!M690)</f>
        <v/>
      </c>
      <c r="M690" s="11">
        <f>IF(MATCH_ENGINE!A690="","",GL_CLEAN!F690)</f>
        <v/>
      </c>
      <c r="N690" s="11">
        <f>IF(MATCH_ENGINE!A690="","",GL_CLEAN!G690)</f>
        <v/>
      </c>
      <c r="O690" s="11">
        <f>IF(MATCH_ENGINE!H690="","",INDEX(BANK_CLEAN!$C$2:$C$1001,MATCH_ENGINE!H690))</f>
        <v/>
      </c>
      <c r="P690" s="11" t="inlineStr"/>
    </row>
    <row r="691">
      <c r="A691" s="11">
        <f>IF(MATCH_ENGINE!A691="","",MATCH_ENGINE!N691)</f>
        <v/>
      </c>
      <c r="B691" s="11">
        <f>IF(MATCH_ENGINE!A691="","",MATCH_ENGINE!C691)</f>
        <v/>
      </c>
      <c r="C691" s="10">
        <f>IF(MATCH_ENGINE!A691="","",MATCH_ENGINE!B691)</f>
        <v/>
      </c>
      <c r="D691" s="16">
        <f>IF(MATCH_ENGINE!A691="","",MATCH_ENGINE!D691)</f>
        <v/>
      </c>
      <c r="E691" s="11">
        <f>IF(MATCH_ENGINE!A691="","",MATCH_ENGINE!F691)</f>
        <v/>
      </c>
      <c r="F691" s="10">
        <f>IF(MATCH_ENGINE!A691="","",MATCH_ENGINE!I691)</f>
        <v/>
      </c>
      <c r="G691" s="16">
        <f>IF(MATCH_ENGINE!H691="","",IF(MATCH_ENGINE!F691="IN",MATCH_ENGINE!J691,""))</f>
        <v/>
      </c>
      <c r="H691" s="16">
        <f>IF(MATCH_ENGINE!H691="","",IF(MATCH_ENGINE!F691="OUT",MATCH_ENGINE!J691,""))</f>
        <v/>
      </c>
      <c r="I691" s="16">
        <f>IF(MATCH_ENGINE!H691="","",MATCH_ENGINE!J691)</f>
        <v/>
      </c>
      <c r="J691" s="12">
        <f>IF(MATCH_ENGINE!A691="","",MATCH_ENGINE!K691)</f>
        <v/>
      </c>
      <c r="K691" s="11">
        <f>IF(MATCH_ENGINE!A691="","",MATCH_ENGINE!L691)</f>
        <v/>
      </c>
      <c r="L691" s="17">
        <f>IF(MATCH_ENGINE!A691="","",MATCH_ENGINE!M691)</f>
        <v/>
      </c>
      <c r="M691" s="11">
        <f>IF(MATCH_ENGINE!A691="","",GL_CLEAN!F691)</f>
        <v/>
      </c>
      <c r="N691" s="11">
        <f>IF(MATCH_ENGINE!A691="","",GL_CLEAN!G691)</f>
        <v/>
      </c>
      <c r="O691" s="11">
        <f>IF(MATCH_ENGINE!H691="","",INDEX(BANK_CLEAN!$C$2:$C$1001,MATCH_ENGINE!H691))</f>
        <v/>
      </c>
      <c r="P691" s="11" t="inlineStr"/>
    </row>
    <row r="692">
      <c r="A692" s="11">
        <f>IF(MATCH_ENGINE!A692="","",MATCH_ENGINE!N692)</f>
        <v/>
      </c>
      <c r="B692" s="11">
        <f>IF(MATCH_ENGINE!A692="","",MATCH_ENGINE!C692)</f>
        <v/>
      </c>
      <c r="C692" s="10">
        <f>IF(MATCH_ENGINE!A692="","",MATCH_ENGINE!B692)</f>
        <v/>
      </c>
      <c r="D692" s="16">
        <f>IF(MATCH_ENGINE!A692="","",MATCH_ENGINE!D692)</f>
        <v/>
      </c>
      <c r="E692" s="11">
        <f>IF(MATCH_ENGINE!A692="","",MATCH_ENGINE!F692)</f>
        <v/>
      </c>
      <c r="F692" s="10">
        <f>IF(MATCH_ENGINE!A692="","",MATCH_ENGINE!I692)</f>
        <v/>
      </c>
      <c r="G692" s="16">
        <f>IF(MATCH_ENGINE!H692="","",IF(MATCH_ENGINE!F692="IN",MATCH_ENGINE!J692,""))</f>
        <v/>
      </c>
      <c r="H692" s="16">
        <f>IF(MATCH_ENGINE!H692="","",IF(MATCH_ENGINE!F692="OUT",MATCH_ENGINE!J692,""))</f>
        <v/>
      </c>
      <c r="I692" s="16">
        <f>IF(MATCH_ENGINE!H692="","",MATCH_ENGINE!J692)</f>
        <v/>
      </c>
      <c r="J692" s="12">
        <f>IF(MATCH_ENGINE!A692="","",MATCH_ENGINE!K692)</f>
        <v/>
      </c>
      <c r="K692" s="11">
        <f>IF(MATCH_ENGINE!A692="","",MATCH_ENGINE!L692)</f>
        <v/>
      </c>
      <c r="L692" s="17">
        <f>IF(MATCH_ENGINE!A692="","",MATCH_ENGINE!M692)</f>
        <v/>
      </c>
      <c r="M692" s="11">
        <f>IF(MATCH_ENGINE!A692="","",GL_CLEAN!F692)</f>
        <v/>
      </c>
      <c r="N692" s="11">
        <f>IF(MATCH_ENGINE!A692="","",GL_CLEAN!G692)</f>
        <v/>
      </c>
      <c r="O692" s="11">
        <f>IF(MATCH_ENGINE!H692="","",INDEX(BANK_CLEAN!$C$2:$C$1001,MATCH_ENGINE!H692))</f>
        <v/>
      </c>
      <c r="P692" s="11" t="inlineStr"/>
    </row>
    <row r="693">
      <c r="A693" s="11">
        <f>IF(MATCH_ENGINE!A693="","",MATCH_ENGINE!N693)</f>
        <v/>
      </c>
      <c r="B693" s="11">
        <f>IF(MATCH_ENGINE!A693="","",MATCH_ENGINE!C693)</f>
        <v/>
      </c>
      <c r="C693" s="10">
        <f>IF(MATCH_ENGINE!A693="","",MATCH_ENGINE!B693)</f>
        <v/>
      </c>
      <c r="D693" s="16">
        <f>IF(MATCH_ENGINE!A693="","",MATCH_ENGINE!D693)</f>
        <v/>
      </c>
      <c r="E693" s="11">
        <f>IF(MATCH_ENGINE!A693="","",MATCH_ENGINE!F693)</f>
        <v/>
      </c>
      <c r="F693" s="10">
        <f>IF(MATCH_ENGINE!A693="","",MATCH_ENGINE!I693)</f>
        <v/>
      </c>
      <c r="G693" s="16">
        <f>IF(MATCH_ENGINE!H693="","",IF(MATCH_ENGINE!F693="IN",MATCH_ENGINE!J693,""))</f>
        <v/>
      </c>
      <c r="H693" s="16">
        <f>IF(MATCH_ENGINE!H693="","",IF(MATCH_ENGINE!F693="OUT",MATCH_ENGINE!J693,""))</f>
        <v/>
      </c>
      <c r="I693" s="16">
        <f>IF(MATCH_ENGINE!H693="","",MATCH_ENGINE!J693)</f>
        <v/>
      </c>
      <c r="J693" s="12">
        <f>IF(MATCH_ENGINE!A693="","",MATCH_ENGINE!K693)</f>
        <v/>
      </c>
      <c r="K693" s="11">
        <f>IF(MATCH_ENGINE!A693="","",MATCH_ENGINE!L693)</f>
        <v/>
      </c>
      <c r="L693" s="17">
        <f>IF(MATCH_ENGINE!A693="","",MATCH_ENGINE!M693)</f>
        <v/>
      </c>
      <c r="M693" s="11">
        <f>IF(MATCH_ENGINE!A693="","",GL_CLEAN!F693)</f>
        <v/>
      </c>
      <c r="N693" s="11">
        <f>IF(MATCH_ENGINE!A693="","",GL_CLEAN!G693)</f>
        <v/>
      </c>
      <c r="O693" s="11">
        <f>IF(MATCH_ENGINE!H693="","",INDEX(BANK_CLEAN!$C$2:$C$1001,MATCH_ENGINE!H693))</f>
        <v/>
      </c>
      <c r="P693" s="11" t="inlineStr"/>
    </row>
    <row r="694">
      <c r="A694" s="11">
        <f>IF(MATCH_ENGINE!A694="","",MATCH_ENGINE!N694)</f>
        <v/>
      </c>
      <c r="B694" s="11">
        <f>IF(MATCH_ENGINE!A694="","",MATCH_ENGINE!C694)</f>
        <v/>
      </c>
      <c r="C694" s="10">
        <f>IF(MATCH_ENGINE!A694="","",MATCH_ENGINE!B694)</f>
        <v/>
      </c>
      <c r="D694" s="16">
        <f>IF(MATCH_ENGINE!A694="","",MATCH_ENGINE!D694)</f>
        <v/>
      </c>
      <c r="E694" s="11">
        <f>IF(MATCH_ENGINE!A694="","",MATCH_ENGINE!F694)</f>
        <v/>
      </c>
      <c r="F694" s="10">
        <f>IF(MATCH_ENGINE!A694="","",MATCH_ENGINE!I694)</f>
        <v/>
      </c>
      <c r="G694" s="16">
        <f>IF(MATCH_ENGINE!H694="","",IF(MATCH_ENGINE!F694="IN",MATCH_ENGINE!J694,""))</f>
        <v/>
      </c>
      <c r="H694" s="16">
        <f>IF(MATCH_ENGINE!H694="","",IF(MATCH_ENGINE!F694="OUT",MATCH_ENGINE!J694,""))</f>
        <v/>
      </c>
      <c r="I694" s="16">
        <f>IF(MATCH_ENGINE!H694="","",MATCH_ENGINE!J694)</f>
        <v/>
      </c>
      <c r="J694" s="12">
        <f>IF(MATCH_ENGINE!A694="","",MATCH_ENGINE!K694)</f>
        <v/>
      </c>
      <c r="K694" s="11">
        <f>IF(MATCH_ENGINE!A694="","",MATCH_ENGINE!L694)</f>
        <v/>
      </c>
      <c r="L694" s="17">
        <f>IF(MATCH_ENGINE!A694="","",MATCH_ENGINE!M694)</f>
        <v/>
      </c>
      <c r="M694" s="11">
        <f>IF(MATCH_ENGINE!A694="","",GL_CLEAN!F694)</f>
        <v/>
      </c>
      <c r="N694" s="11">
        <f>IF(MATCH_ENGINE!A694="","",GL_CLEAN!G694)</f>
        <v/>
      </c>
      <c r="O694" s="11">
        <f>IF(MATCH_ENGINE!H694="","",INDEX(BANK_CLEAN!$C$2:$C$1001,MATCH_ENGINE!H694))</f>
        <v/>
      </c>
      <c r="P694" s="11" t="inlineStr"/>
    </row>
    <row r="695">
      <c r="A695" s="11">
        <f>IF(MATCH_ENGINE!A695="","",MATCH_ENGINE!N695)</f>
        <v/>
      </c>
      <c r="B695" s="11">
        <f>IF(MATCH_ENGINE!A695="","",MATCH_ENGINE!C695)</f>
        <v/>
      </c>
      <c r="C695" s="10">
        <f>IF(MATCH_ENGINE!A695="","",MATCH_ENGINE!B695)</f>
        <v/>
      </c>
      <c r="D695" s="16">
        <f>IF(MATCH_ENGINE!A695="","",MATCH_ENGINE!D695)</f>
        <v/>
      </c>
      <c r="E695" s="11">
        <f>IF(MATCH_ENGINE!A695="","",MATCH_ENGINE!F695)</f>
        <v/>
      </c>
      <c r="F695" s="10">
        <f>IF(MATCH_ENGINE!A695="","",MATCH_ENGINE!I695)</f>
        <v/>
      </c>
      <c r="G695" s="16">
        <f>IF(MATCH_ENGINE!H695="","",IF(MATCH_ENGINE!F695="IN",MATCH_ENGINE!J695,""))</f>
        <v/>
      </c>
      <c r="H695" s="16">
        <f>IF(MATCH_ENGINE!H695="","",IF(MATCH_ENGINE!F695="OUT",MATCH_ENGINE!J695,""))</f>
        <v/>
      </c>
      <c r="I695" s="16">
        <f>IF(MATCH_ENGINE!H695="","",MATCH_ENGINE!J695)</f>
        <v/>
      </c>
      <c r="J695" s="12">
        <f>IF(MATCH_ENGINE!A695="","",MATCH_ENGINE!K695)</f>
        <v/>
      </c>
      <c r="K695" s="11">
        <f>IF(MATCH_ENGINE!A695="","",MATCH_ENGINE!L695)</f>
        <v/>
      </c>
      <c r="L695" s="17">
        <f>IF(MATCH_ENGINE!A695="","",MATCH_ENGINE!M695)</f>
        <v/>
      </c>
      <c r="M695" s="11">
        <f>IF(MATCH_ENGINE!A695="","",GL_CLEAN!F695)</f>
        <v/>
      </c>
      <c r="N695" s="11">
        <f>IF(MATCH_ENGINE!A695="","",GL_CLEAN!G695)</f>
        <v/>
      </c>
      <c r="O695" s="11">
        <f>IF(MATCH_ENGINE!H695="","",INDEX(BANK_CLEAN!$C$2:$C$1001,MATCH_ENGINE!H695))</f>
        <v/>
      </c>
      <c r="P695" s="11" t="inlineStr"/>
    </row>
    <row r="696">
      <c r="A696" s="11">
        <f>IF(MATCH_ENGINE!A696="","",MATCH_ENGINE!N696)</f>
        <v/>
      </c>
      <c r="B696" s="11">
        <f>IF(MATCH_ENGINE!A696="","",MATCH_ENGINE!C696)</f>
        <v/>
      </c>
      <c r="C696" s="10">
        <f>IF(MATCH_ENGINE!A696="","",MATCH_ENGINE!B696)</f>
        <v/>
      </c>
      <c r="D696" s="16">
        <f>IF(MATCH_ENGINE!A696="","",MATCH_ENGINE!D696)</f>
        <v/>
      </c>
      <c r="E696" s="11">
        <f>IF(MATCH_ENGINE!A696="","",MATCH_ENGINE!F696)</f>
        <v/>
      </c>
      <c r="F696" s="10">
        <f>IF(MATCH_ENGINE!A696="","",MATCH_ENGINE!I696)</f>
        <v/>
      </c>
      <c r="G696" s="16">
        <f>IF(MATCH_ENGINE!H696="","",IF(MATCH_ENGINE!F696="IN",MATCH_ENGINE!J696,""))</f>
        <v/>
      </c>
      <c r="H696" s="16">
        <f>IF(MATCH_ENGINE!H696="","",IF(MATCH_ENGINE!F696="OUT",MATCH_ENGINE!J696,""))</f>
        <v/>
      </c>
      <c r="I696" s="16">
        <f>IF(MATCH_ENGINE!H696="","",MATCH_ENGINE!J696)</f>
        <v/>
      </c>
      <c r="J696" s="12">
        <f>IF(MATCH_ENGINE!A696="","",MATCH_ENGINE!K696)</f>
        <v/>
      </c>
      <c r="K696" s="11">
        <f>IF(MATCH_ENGINE!A696="","",MATCH_ENGINE!L696)</f>
        <v/>
      </c>
      <c r="L696" s="17">
        <f>IF(MATCH_ENGINE!A696="","",MATCH_ENGINE!M696)</f>
        <v/>
      </c>
      <c r="M696" s="11">
        <f>IF(MATCH_ENGINE!A696="","",GL_CLEAN!F696)</f>
        <v/>
      </c>
      <c r="N696" s="11">
        <f>IF(MATCH_ENGINE!A696="","",GL_CLEAN!G696)</f>
        <v/>
      </c>
      <c r="O696" s="11">
        <f>IF(MATCH_ENGINE!H696="","",INDEX(BANK_CLEAN!$C$2:$C$1001,MATCH_ENGINE!H696))</f>
        <v/>
      </c>
      <c r="P696" s="11" t="inlineStr"/>
    </row>
    <row r="697">
      <c r="A697" s="11">
        <f>IF(MATCH_ENGINE!A697="","",MATCH_ENGINE!N697)</f>
        <v/>
      </c>
      <c r="B697" s="11">
        <f>IF(MATCH_ENGINE!A697="","",MATCH_ENGINE!C697)</f>
        <v/>
      </c>
      <c r="C697" s="10">
        <f>IF(MATCH_ENGINE!A697="","",MATCH_ENGINE!B697)</f>
        <v/>
      </c>
      <c r="D697" s="16">
        <f>IF(MATCH_ENGINE!A697="","",MATCH_ENGINE!D697)</f>
        <v/>
      </c>
      <c r="E697" s="11">
        <f>IF(MATCH_ENGINE!A697="","",MATCH_ENGINE!F697)</f>
        <v/>
      </c>
      <c r="F697" s="10">
        <f>IF(MATCH_ENGINE!A697="","",MATCH_ENGINE!I697)</f>
        <v/>
      </c>
      <c r="G697" s="16">
        <f>IF(MATCH_ENGINE!H697="","",IF(MATCH_ENGINE!F697="IN",MATCH_ENGINE!J697,""))</f>
        <v/>
      </c>
      <c r="H697" s="16">
        <f>IF(MATCH_ENGINE!H697="","",IF(MATCH_ENGINE!F697="OUT",MATCH_ENGINE!J697,""))</f>
        <v/>
      </c>
      <c r="I697" s="16">
        <f>IF(MATCH_ENGINE!H697="","",MATCH_ENGINE!J697)</f>
        <v/>
      </c>
      <c r="J697" s="12">
        <f>IF(MATCH_ENGINE!A697="","",MATCH_ENGINE!K697)</f>
        <v/>
      </c>
      <c r="K697" s="11">
        <f>IF(MATCH_ENGINE!A697="","",MATCH_ENGINE!L697)</f>
        <v/>
      </c>
      <c r="L697" s="17">
        <f>IF(MATCH_ENGINE!A697="","",MATCH_ENGINE!M697)</f>
        <v/>
      </c>
      <c r="M697" s="11">
        <f>IF(MATCH_ENGINE!A697="","",GL_CLEAN!F697)</f>
        <v/>
      </c>
      <c r="N697" s="11">
        <f>IF(MATCH_ENGINE!A697="","",GL_CLEAN!G697)</f>
        <v/>
      </c>
      <c r="O697" s="11">
        <f>IF(MATCH_ENGINE!H697="","",INDEX(BANK_CLEAN!$C$2:$C$1001,MATCH_ENGINE!H697))</f>
        <v/>
      </c>
      <c r="P697" s="11" t="inlineStr"/>
    </row>
    <row r="698">
      <c r="A698" s="11">
        <f>IF(MATCH_ENGINE!A698="","",MATCH_ENGINE!N698)</f>
        <v/>
      </c>
      <c r="B698" s="11">
        <f>IF(MATCH_ENGINE!A698="","",MATCH_ENGINE!C698)</f>
        <v/>
      </c>
      <c r="C698" s="10">
        <f>IF(MATCH_ENGINE!A698="","",MATCH_ENGINE!B698)</f>
        <v/>
      </c>
      <c r="D698" s="16">
        <f>IF(MATCH_ENGINE!A698="","",MATCH_ENGINE!D698)</f>
        <v/>
      </c>
      <c r="E698" s="11">
        <f>IF(MATCH_ENGINE!A698="","",MATCH_ENGINE!F698)</f>
        <v/>
      </c>
      <c r="F698" s="10">
        <f>IF(MATCH_ENGINE!A698="","",MATCH_ENGINE!I698)</f>
        <v/>
      </c>
      <c r="G698" s="16">
        <f>IF(MATCH_ENGINE!H698="","",IF(MATCH_ENGINE!F698="IN",MATCH_ENGINE!J698,""))</f>
        <v/>
      </c>
      <c r="H698" s="16">
        <f>IF(MATCH_ENGINE!H698="","",IF(MATCH_ENGINE!F698="OUT",MATCH_ENGINE!J698,""))</f>
        <v/>
      </c>
      <c r="I698" s="16">
        <f>IF(MATCH_ENGINE!H698="","",MATCH_ENGINE!J698)</f>
        <v/>
      </c>
      <c r="J698" s="12">
        <f>IF(MATCH_ENGINE!A698="","",MATCH_ENGINE!K698)</f>
        <v/>
      </c>
      <c r="K698" s="11">
        <f>IF(MATCH_ENGINE!A698="","",MATCH_ENGINE!L698)</f>
        <v/>
      </c>
      <c r="L698" s="17">
        <f>IF(MATCH_ENGINE!A698="","",MATCH_ENGINE!M698)</f>
        <v/>
      </c>
      <c r="M698" s="11">
        <f>IF(MATCH_ENGINE!A698="","",GL_CLEAN!F698)</f>
        <v/>
      </c>
      <c r="N698" s="11">
        <f>IF(MATCH_ENGINE!A698="","",GL_CLEAN!G698)</f>
        <v/>
      </c>
      <c r="O698" s="11">
        <f>IF(MATCH_ENGINE!H698="","",INDEX(BANK_CLEAN!$C$2:$C$1001,MATCH_ENGINE!H698))</f>
        <v/>
      </c>
      <c r="P698" s="11" t="inlineStr"/>
    </row>
    <row r="699">
      <c r="A699" s="11">
        <f>IF(MATCH_ENGINE!A699="","",MATCH_ENGINE!N699)</f>
        <v/>
      </c>
      <c r="B699" s="11">
        <f>IF(MATCH_ENGINE!A699="","",MATCH_ENGINE!C699)</f>
        <v/>
      </c>
      <c r="C699" s="10">
        <f>IF(MATCH_ENGINE!A699="","",MATCH_ENGINE!B699)</f>
        <v/>
      </c>
      <c r="D699" s="16">
        <f>IF(MATCH_ENGINE!A699="","",MATCH_ENGINE!D699)</f>
        <v/>
      </c>
      <c r="E699" s="11">
        <f>IF(MATCH_ENGINE!A699="","",MATCH_ENGINE!F699)</f>
        <v/>
      </c>
      <c r="F699" s="10">
        <f>IF(MATCH_ENGINE!A699="","",MATCH_ENGINE!I699)</f>
        <v/>
      </c>
      <c r="G699" s="16">
        <f>IF(MATCH_ENGINE!H699="","",IF(MATCH_ENGINE!F699="IN",MATCH_ENGINE!J699,""))</f>
        <v/>
      </c>
      <c r="H699" s="16">
        <f>IF(MATCH_ENGINE!H699="","",IF(MATCH_ENGINE!F699="OUT",MATCH_ENGINE!J699,""))</f>
        <v/>
      </c>
      <c r="I699" s="16">
        <f>IF(MATCH_ENGINE!H699="","",MATCH_ENGINE!J699)</f>
        <v/>
      </c>
      <c r="J699" s="12">
        <f>IF(MATCH_ENGINE!A699="","",MATCH_ENGINE!K699)</f>
        <v/>
      </c>
      <c r="K699" s="11">
        <f>IF(MATCH_ENGINE!A699="","",MATCH_ENGINE!L699)</f>
        <v/>
      </c>
      <c r="L699" s="17">
        <f>IF(MATCH_ENGINE!A699="","",MATCH_ENGINE!M699)</f>
        <v/>
      </c>
      <c r="M699" s="11">
        <f>IF(MATCH_ENGINE!A699="","",GL_CLEAN!F699)</f>
        <v/>
      </c>
      <c r="N699" s="11">
        <f>IF(MATCH_ENGINE!A699="","",GL_CLEAN!G699)</f>
        <v/>
      </c>
      <c r="O699" s="11">
        <f>IF(MATCH_ENGINE!H699="","",INDEX(BANK_CLEAN!$C$2:$C$1001,MATCH_ENGINE!H699))</f>
        <v/>
      </c>
      <c r="P699" s="11" t="inlineStr"/>
    </row>
    <row r="700">
      <c r="A700" s="11">
        <f>IF(MATCH_ENGINE!A700="","",MATCH_ENGINE!N700)</f>
        <v/>
      </c>
      <c r="B700" s="11">
        <f>IF(MATCH_ENGINE!A700="","",MATCH_ENGINE!C700)</f>
        <v/>
      </c>
      <c r="C700" s="10">
        <f>IF(MATCH_ENGINE!A700="","",MATCH_ENGINE!B700)</f>
        <v/>
      </c>
      <c r="D700" s="16">
        <f>IF(MATCH_ENGINE!A700="","",MATCH_ENGINE!D700)</f>
        <v/>
      </c>
      <c r="E700" s="11">
        <f>IF(MATCH_ENGINE!A700="","",MATCH_ENGINE!F700)</f>
        <v/>
      </c>
      <c r="F700" s="10">
        <f>IF(MATCH_ENGINE!A700="","",MATCH_ENGINE!I700)</f>
        <v/>
      </c>
      <c r="G700" s="16">
        <f>IF(MATCH_ENGINE!H700="","",IF(MATCH_ENGINE!F700="IN",MATCH_ENGINE!J700,""))</f>
        <v/>
      </c>
      <c r="H700" s="16">
        <f>IF(MATCH_ENGINE!H700="","",IF(MATCH_ENGINE!F700="OUT",MATCH_ENGINE!J700,""))</f>
        <v/>
      </c>
      <c r="I700" s="16">
        <f>IF(MATCH_ENGINE!H700="","",MATCH_ENGINE!J700)</f>
        <v/>
      </c>
      <c r="J700" s="12">
        <f>IF(MATCH_ENGINE!A700="","",MATCH_ENGINE!K700)</f>
        <v/>
      </c>
      <c r="K700" s="11">
        <f>IF(MATCH_ENGINE!A700="","",MATCH_ENGINE!L700)</f>
        <v/>
      </c>
      <c r="L700" s="17">
        <f>IF(MATCH_ENGINE!A700="","",MATCH_ENGINE!M700)</f>
        <v/>
      </c>
      <c r="M700" s="11">
        <f>IF(MATCH_ENGINE!A700="","",GL_CLEAN!F700)</f>
        <v/>
      </c>
      <c r="N700" s="11">
        <f>IF(MATCH_ENGINE!A700="","",GL_CLEAN!G700)</f>
        <v/>
      </c>
      <c r="O700" s="11">
        <f>IF(MATCH_ENGINE!H700="","",INDEX(BANK_CLEAN!$C$2:$C$1001,MATCH_ENGINE!H700))</f>
        <v/>
      </c>
      <c r="P700" s="11" t="inlineStr"/>
    </row>
    <row r="701">
      <c r="A701" s="11">
        <f>IF(MATCH_ENGINE!A701="","",MATCH_ENGINE!N701)</f>
        <v/>
      </c>
      <c r="B701" s="11">
        <f>IF(MATCH_ENGINE!A701="","",MATCH_ENGINE!C701)</f>
        <v/>
      </c>
      <c r="C701" s="10">
        <f>IF(MATCH_ENGINE!A701="","",MATCH_ENGINE!B701)</f>
        <v/>
      </c>
      <c r="D701" s="16">
        <f>IF(MATCH_ENGINE!A701="","",MATCH_ENGINE!D701)</f>
        <v/>
      </c>
      <c r="E701" s="11">
        <f>IF(MATCH_ENGINE!A701="","",MATCH_ENGINE!F701)</f>
        <v/>
      </c>
      <c r="F701" s="10">
        <f>IF(MATCH_ENGINE!A701="","",MATCH_ENGINE!I701)</f>
        <v/>
      </c>
      <c r="G701" s="16">
        <f>IF(MATCH_ENGINE!H701="","",IF(MATCH_ENGINE!F701="IN",MATCH_ENGINE!J701,""))</f>
        <v/>
      </c>
      <c r="H701" s="16">
        <f>IF(MATCH_ENGINE!H701="","",IF(MATCH_ENGINE!F701="OUT",MATCH_ENGINE!J701,""))</f>
        <v/>
      </c>
      <c r="I701" s="16">
        <f>IF(MATCH_ENGINE!H701="","",MATCH_ENGINE!J701)</f>
        <v/>
      </c>
      <c r="J701" s="12">
        <f>IF(MATCH_ENGINE!A701="","",MATCH_ENGINE!K701)</f>
        <v/>
      </c>
      <c r="K701" s="11">
        <f>IF(MATCH_ENGINE!A701="","",MATCH_ENGINE!L701)</f>
        <v/>
      </c>
      <c r="L701" s="17">
        <f>IF(MATCH_ENGINE!A701="","",MATCH_ENGINE!M701)</f>
        <v/>
      </c>
      <c r="M701" s="11">
        <f>IF(MATCH_ENGINE!A701="","",GL_CLEAN!F701)</f>
        <v/>
      </c>
      <c r="N701" s="11">
        <f>IF(MATCH_ENGINE!A701="","",GL_CLEAN!G701)</f>
        <v/>
      </c>
      <c r="O701" s="11">
        <f>IF(MATCH_ENGINE!H701="","",INDEX(BANK_CLEAN!$C$2:$C$1001,MATCH_ENGINE!H701))</f>
        <v/>
      </c>
      <c r="P701" s="11" t="inlineStr"/>
    </row>
    <row r="702">
      <c r="A702" s="11">
        <f>IF(MATCH_ENGINE!A702="","",MATCH_ENGINE!N702)</f>
        <v/>
      </c>
      <c r="B702" s="11">
        <f>IF(MATCH_ENGINE!A702="","",MATCH_ENGINE!C702)</f>
        <v/>
      </c>
      <c r="C702" s="10">
        <f>IF(MATCH_ENGINE!A702="","",MATCH_ENGINE!B702)</f>
        <v/>
      </c>
      <c r="D702" s="16">
        <f>IF(MATCH_ENGINE!A702="","",MATCH_ENGINE!D702)</f>
        <v/>
      </c>
      <c r="E702" s="11">
        <f>IF(MATCH_ENGINE!A702="","",MATCH_ENGINE!F702)</f>
        <v/>
      </c>
      <c r="F702" s="10">
        <f>IF(MATCH_ENGINE!A702="","",MATCH_ENGINE!I702)</f>
        <v/>
      </c>
      <c r="G702" s="16">
        <f>IF(MATCH_ENGINE!H702="","",IF(MATCH_ENGINE!F702="IN",MATCH_ENGINE!J702,""))</f>
        <v/>
      </c>
      <c r="H702" s="16">
        <f>IF(MATCH_ENGINE!H702="","",IF(MATCH_ENGINE!F702="OUT",MATCH_ENGINE!J702,""))</f>
        <v/>
      </c>
      <c r="I702" s="16">
        <f>IF(MATCH_ENGINE!H702="","",MATCH_ENGINE!J702)</f>
        <v/>
      </c>
      <c r="J702" s="12">
        <f>IF(MATCH_ENGINE!A702="","",MATCH_ENGINE!K702)</f>
        <v/>
      </c>
      <c r="K702" s="11">
        <f>IF(MATCH_ENGINE!A702="","",MATCH_ENGINE!L702)</f>
        <v/>
      </c>
      <c r="L702" s="17">
        <f>IF(MATCH_ENGINE!A702="","",MATCH_ENGINE!M702)</f>
        <v/>
      </c>
      <c r="M702" s="11">
        <f>IF(MATCH_ENGINE!A702="","",GL_CLEAN!F702)</f>
        <v/>
      </c>
      <c r="N702" s="11">
        <f>IF(MATCH_ENGINE!A702="","",GL_CLEAN!G702)</f>
        <v/>
      </c>
      <c r="O702" s="11">
        <f>IF(MATCH_ENGINE!H702="","",INDEX(BANK_CLEAN!$C$2:$C$1001,MATCH_ENGINE!H702))</f>
        <v/>
      </c>
      <c r="P702" s="11" t="inlineStr"/>
    </row>
    <row r="703">
      <c r="A703" s="11">
        <f>IF(MATCH_ENGINE!A703="","",MATCH_ENGINE!N703)</f>
        <v/>
      </c>
      <c r="B703" s="11">
        <f>IF(MATCH_ENGINE!A703="","",MATCH_ENGINE!C703)</f>
        <v/>
      </c>
      <c r="C703" s="10">
        <f>IF(MATCH_ENGINE!A703="","",MATCH_ENGINE!B703)</f>
        <v/>
      </c>
      <c r="D703" s="16">
        <f>IF(MATCH_ENGINE!A703="","",MATCH_ENGINE!D703)</f>
        <v/>
      </c>
      <c r="E703" s="11">
        <f>IF(MATCH_ENGINE!A703="","",MATCH_ENGINE!F703)</f>
        <v/>
      </c>
      <c r="F703" s="10">
        <f>IF(MATCH_ENGINE!A703="","",MATCH_ENGINE!I703)</f>
        <v/>
      </c>
      <c r="G703" s="16">
        <f>IF(MATCH_ENGINE!H703="","",IF(MATCH_ENGINE!F703="IN",MATCH_ENGINE!J703,""))</f>
        <v/>
      </c>
      <c r="H703" s="16">
        <f>IF(MATCH_ENGINE!H703="","",IF(MATCH_ENGINE!F703="OUT",MATCH_ENGINE!J703,""))</f>
        <v/>
      </c>
      <c r="I703" s="16">
        <f>IF(MATCH_ENGINE!H703="","",MATCH_ENGINE!J703)</f>
        <v/>
      </c>
      <c r="J703" s="12">
        <f>IF(MATCH_ENGINE!A703="","",MATCH_ENGINE!K703)</f>
        <v/>
      </c>
      <c r="K703" s="11">
        <f>IF(MATCH_ENGINE!A703="","",MATCH_ENGINE!L703)</f>
        <v/>
      </c>
      <c r="L703" s="17">
        <f>IF(MATCH_ENGINE!A703="","",MATCH_ENGINE!M703)</f>
        <v/>
      </c>
      <c r="M703" s="11">
        <f>IF(MATCH_ENGINE!A703="","",GL_CLEAN!F703)</f>
        <v/>
      </c>
      <c r="N703" s="11">
        <f>IF(MATCH_ENGINE!A703="","",GL_CLEAN!G703)</f>
        <v/>
      </c>
      <c r="O703" s="11">
        <f>IF(MATCH_ENGINE!H703="","",INDEX(BANK_CLEAN!$C$2:$C$1001,MATCH_ENGINE!H703))</f>
        <v/>
      </c>
      <c r="P703" s="11" t="inlineStr"/>
    </row>
    <row r="704">
      <c r="A704" s="11">
        <f>IF(MATCH_ENGINE!A704="","",MATCH_ENGINE!N704)</f>
        <v/>
      </c>
      <c r="B704" s="11">
        <f>IF(MATCH_ENGINE!A704="","",MATCH_ENGINE!C704)</f>
        <v/>
      </c>
      <c r="C704" s="10">
        <f>IF(MATCH_ENGINE!A704="","",MATCH_ENGINE!B704)</f>
        <v/>
      </c>
      <c r="D704" s="16">
        <f>IF(MATCH_ENGINE!A704="","",MATCH_ENGINE!D704)</f>
        <v/>
      </c>
      <c r="E704" s="11">
        <f>IF(MATCH_ENGINE!A704="","",MATCH_ENGINE!F704)</f>
        <v/>
      </c>
      <c r="F704" s="10">
        <f>IF(MATCH_ENGINE!A704="","",MATCH_ENGINE!I704)</f>
        <v/>
      </c>
      <c r="G704" s="16">
        <f>IF(MATCH_ENGINE!H704="","",IF(MATCH_ENGINE!F704="IN",MATCH_ENGINE!J704,""))</f>
        <v/>
      </c>
      <c r="H704" s="16">
        <f>IF(MATCH_ENGINE!H704="","",IF(MATCH_ENGINE!F704="OUT",MATCH_ENGINE!J704,""))</f>
        <v/>
      </c>
      <c r="I704" s="16">
        <f>IF(MATCH_ENGINE!H704="","",MATCH_ENGINE!J704)</f>
        <v/>
      </c>
      <c r="J704" s="12">
        <f>IF(MATCH_ENGINE!A704="","",MATCH_ENGINE!K704)</f>
        <v/>
      </c>
      <c r="K704" s="11">
        <f>IF(MATCH_ENGINE!A704="","",MATCH_ENGINE!L704)</f>
        <v/>
      </c>
      <c r="L704" s="17">
        <f>IF(MATCH_ENGINE!A704="","",MATCH_ENGINE!M704)</f>
        <v/>
      </c>
      <c r="M704" s="11">
        <f>IF(MATCH_ENGINE!A704="","",GL_CLEAN!F704)</f>
        <v/>
      </c>
      <c r="N704" s="11">
        <f>IF(MATCH_ENGINE!A704="","",GL_CLEAN!G704)</f>
        <v/>
      </c>
      <c r="O704" s="11">
        <f>IF(MATCH_ENGINE!H704="","",INDEX(BANK_CLEAN!$C$2:$C$1001,MATCH_ENGINE!H704))</f>
        <v/>
      </c>
      <c r="P704" s="11" t="inlineStr"/>
    </row>
    <row r="705">
      <c r="A705" s="11">
        <f>IF(MATCH_ENGINE!A705="","",MATCH_ENGINE!N705)</f>
        <v/>
      </c>
      <c r="B705" s="11">
        <f>IF(MATCH_ENGINE!A705="","",MATCH_ENGINE!C705)</f>
        <v/>
      </c>
      <c r="C705" s="10">
        <f>IF(MATCH_ENGINE!A705="","",MATCH_ENGINE!B705)</f>
        <v/>
      </c>
      <c r="D705" s="16">
        <f>IF(MATCH_ENGINE!A705="","",MATCH_ENGINE!D705)</f>
        <v/>
      </c>
      <c r="E705" s="11">
        <f>IF(MATCH_ENGINE!A705="","",MATCH_ENGINE!F705)</f>
        <v/>
      </c>
      <c r="F705" s="10">
        <f>IF(MATCH_ENGINE!A705="","",MATCH_ENGINE!I705)</f>
        <v/>
      </c>
      <c r="G705" s="16">
        <f>IF(MATCH_ENGINE!H705="","",IF(MATCH_ENGINE!F705="IN",MATCH_ENGINE!J705,""))</f>
        <v/>
      </c>
      <c r="H705" s="16">
        <f>IF(MATCH_ENGINE!H705="","",IF(MATCH_ENGINE!F705="OUT",MATCH_ENGINE!J705,""))</f>
        <v/>
      </c>
      <c r="I705" s="16">
        <f>IF(MATCH_ENGINE!H705="","",MATCH_ENGINE!J705)</f>
        <v/>
      </c>
      <c r="J705" s="12">
        <f>IF(MATCH_ENGINE!A705="","",MATCH_ENGINE!K705)</f>
        <v/>
      </c>
      <c r="K705" s="11">
        <f>IF(MATCH_ENGINE!A705="","",MATCH_ENGINE!L705)</f>
        <v/>
      </c>
      <c r="L705" s="17">
        <f>IF(MATCH_ENGINE!A705="","",MATCH_ENGINE!M705)</f>
        <v/>
      </c>
      <c r="M705" s="11">
        <f>IF(MATCH_ENGINE!A705="","",GL_CLEAN!F705)</f>
        <v/>
      </c>
      <c r="N705" s="11">
        <f>IF(MATCH_ENGINE!A705="","",GL_CLEAN!G705)</f>
        <v/>
      </c>
      <c r="O705" s="11">
        <f>IF(MATCH_ENGINE!H705="","",INDEX(BANK_CLEAN!$C$2:$C$1001,MATCH_ENGINE!H705))</f>
        <v/>
      </c>
      <c r="P705" s="11" t="inlineStr"/>
    </row>
    <row r="706">
      <c r="A706" s="11">
        <f>IF(MATCH_ENGINE!A706="","",MATCH_ENGINE!N706)</f>
        <v/>
      </c>
      <c r="B706" s="11">
        <f>IF(MATCH_ENGINE!A706="","",MATCH_ENGINE!C706)</f>
        <v/>
      </c>
      <c r="C706" s="10">
        <f>IF(MATCH_ENGINE!A706="","",MATCH_ENGINE!B706)</f>
        <v/>
      </c>
      <c r="D706" s="16">
        <f>IF(MATCH_ENGINE!A706="","",MATCH_ENGINE!D706)</f>
        <v/>
      </c>
      <c r="E706" s="11">
        <f>IF(MATCH_ENGINE!A706="","",MATCH_ENGINE!F706)</f>
        <v/>
      </c>
      <c r="F706" s="10">
        <f>IF(MATCH_ENGINE!A706="","",MATCH_ENGINE!I706)</f>
        <v/>
      </c>
      <c r="G706" s="16">
        <f>IF(MATCH_ENGINE!H706="","",IF(MATCH_ENGINE!F706="IN",MATCH_ENGINE!J706,""))</f>
        <v/>
      </c>
      <c r="H706" s="16">
        <f>IF(MATCH_ENGINE!H706="","",IF(MATCH_ENGINE!F706="OUT",MATCH_ENGINE!J706,""))</f>
        <v/>
      </c>
      <c r="I706" s="16">
        <f>IF(MATCH_ENGINE!H706="","",MATCH_ENGINE!J706)</f>
        <v/>
      </c>
      <c r="J706" s="12">
        <f>IF(MATCH_ENGINE!A706="","",MATCH_ENGINE!K706)</f>
        <v/>
      </c>
      <c r="K706" s="11">
        <f>IF(MATCH_ENGINE!A706="","",MATCH_ENGINE!L706)</f>
        <v/>
      </c>
      <c r="L706" s="17">
        <f>IF(MATCH_ENGINE!A706="","",MATCH_ENGINE!M706)</f>
        <v/>
      </c>
      <c r="M706" s="11">
        <f>IF(MATCH_ENGINE!A706="","",GL_CLEAN!F706)</f>
        <v/>
      </c>
      <c r="N706" s="11">
        <f>IF(MATCH_ENGINE!A706="","",GL_CLEAN!G706)</f>
        <v/>
      </c>
      <c r="O706" s="11">
        <f>IF(MATCH_ENGINE!H706="","",INDEX(BANK_CLEAN!$C$2:$C$1001,MATCH_ENGINE!H706))</f>
        <v/>
      </c>
      <c r="P706" s="11" t="inlineStr"/>
    </row>
    <row r="707">
      <c r="A707" s="11">
        <f>IF(MATCH_ENGINE!A707="","",MATCH_ENGINE!N707)</f>
        <v/>
      </c>
      <c r="B707" s="11">
        <f>IF(MATCH_ENGINE!A707="","",MATCH_ENGINE!C707)</f>
        <v/>
      </c>
      <c r="C707" s="10">
        <f>IF(MATCH_ENGINE!A707="","",MATCH_ENGINE!B707)</f>
        <v/>
      </c>
      <c r="D707" s="16">
        <f>IF(MATCH_ENGINE!A707="","",MATCH_ENGINE!D707)</f>
        <v/>
      </c>
      <c r="E707" s="11">
        <f>IF(MATCH_ENGINE!A707="","",MATCH_ENGINE!F707)</f>
        <v/>
      </c>
      <c r="F707" s="10">
        <f>IF(MATCH_ENGINE!A707="","",MATCH_ENGINE!I707)</f>
        <v/>
      </c>
      <c r="G707" s="16">
        <f>IF(MATCH_ENGINE!H707="","",IF(MATCH_ENGINE!F707="IN",MATCH_ENGINE!J707,""))</f>
        <v/>
      </c>
      <c r="H707" s="16">
        <f>IF(MATCH_ENGINE!H707="","",IF(MATCH_ENGINE!F707="OUT",MATCH_ENGINE!J707,""))</f>
        <v/>
      </c>
      <c r="I707" s="16">
        <f>IF(MATCH_ENGINE!H707="","",MATCH_ENGINE!J707)</f>
        <v/>
      </c>
      <c r="J707" s="12">
        <f>IF(MATCH_ENGINE!A707="","",MATCH_ENGINE!K707)</f>
        <v/>
      </c>
      <c r="K707" s="11">
        <f>IF(MATCH_ENGINE!A707="","",MATCH_ENGINE!L707)</f>
        <v/>
      </c>
      <c r="L707" s="17">
        <f>IF(MATCH_ENGINE!A707="","",MATCH_ENGINE!M707)</f>
        <v/>
      </c>
      <c r="M707" s="11">
        <f>IF(MATCH_ENGINE!A707="","",GL_CLEAN!F707)</f>
        <v/>
      </c>
      <c r="N707" s="11">
        <f>IF(MATCH_ENGINE!A707="","",GL_CLEAN!G707)</f>
        <v/>
      </c>
      <c r="O707" s="11">
        <f>IF(MATCH_ENGINE!H707="","",INDEX(BANK_CLEAN!$C$2:$C$1001,MATCH_ENGINE!H707))</f>
        <v/>
      </c>
      <c r="P707" s="11" t="inlineStr"/>
    </row>
    <row r="708">
      <c r="A708" s="11">
        <f>IF(MATCH_ENGINE!A708="","",MATCH_ENGINE!N708)</f>
        <v/>
      </c>
      <c r="B708" s="11">
        <f>IF(MATCH_ENGINE!A708="","",MATCH_ENGINE!C708)</f>
        <v/>
      </c>
      <c r="C708" s="10">
        <f>IF(MATCH_ENGINE!A708="","",MATCH_ENGINE!B708)</f>
        <v/>
      </c>
      <c r="D708" s="16">
        <f>IF(MATCH_ENGINE!A708="","",MATCH_ENGINE!D708)</f>
        <v/>
      </c>
      <c r="E708" s="11">
        <f>IF(MATCH_ENGINE!A708="","",MATCH_ENGINE!F708)</f>
        <v/>
      </c>
      <c r="F708" s="10">
        <f>IF(MATCH_ENGINE!A708="","",MATCH_ENGINE!I708)</f>
        <v/>
      </c>
      <c r="G708" s="16">
        <f>IF(MATCH_ENGINE!H708="","",IF(MATCH_ENGINE!F708="IN",MATCH_ENGINE!J708,""))</f>
        <v/>
      </c>
      <c r="H708" s="16">
        <f>IF(MATCH_ENGINE!H708="","",IF(MATCH_ENGINE!F708="OUT",MATCH_ENGINE!J708,""))</f>
        <v/>
      </c>
      <c r="I708" s="16">
        <f>IF(MATCH_ENGINE!H708="","",MATCH_ENGINE!J708)</f>
        <v/>
      </c>
      <c r="J708" s="12">
        <f>IF(MATCH_ENGINE!A708="","",MATCH_ENGINE!K708)</f>
        <v/>
      </c>
      <c r="K708" s="11">
        <f>IF(MATCH_ENGINE!A708="","",MATCH_ENGINE!L708)</f>
        <v/>
      </c>
      <c r="L708" s="17">
        <f>IF(MATCH_ENGINE!A708="","",MATCH_ENGINE!M708)</f>
        <v/>
      </c>
      <c r="M708" s="11">
        <f>IF(MATCH_ENGINE!A708="","",GL_CLEAN!F708)</f>
        <v/>
      </c>
      <c r="N708" s="11">
        <f>IF(MATCH_ENGINE!A708="","",GL_CLEAN!G708)</f>
        <v/>
      </c>
      <c r="O708" s="11">
        <f>IF(MATCH_ENGINE!H708="","",INDEX(BANK_CLEAN!$C$2:$C$1001,MATCH_ENGINE!H708))</f>
        <v/>
      </c>
      <c r="P708" s="11" t="inlineStr"/>
    </row>
    <row r="709">
      <c r="A709" s="11">
        <f>IF(MATCH_ENGINE!A709="","",MATCH_ENGINE!N709)</f>
        <v/>
      </c>
      <c r="B709" s="11">
        <f>IF(MATCH_ENGINE!A709="","",MATCH_ENGINE!C709)</f>
        <v/>
      </c>
      <c r="C709" s="10">
        <f>IF(MATCH_ENGINE!A709="","",MATCH_ENGINE!B709)</f>
        <v/>
      </c>
      <c r="D709" s="16">
        <f>IF(MATCH_ENGINE!A709="","",MATCH_ENGINE!D709)</f>
        <v/>
      </c>
      <c r="E709" s="11">
        <f>IF(MATCH_ENGINE!A709="","",MATCH_ENGINE!F709)</f>
        <v/>
      </c>
      <c r="F709" s="10">
        <f>IF(MATCH_ENGINE!A709="","",MATCH_ENGINE!I709)</f>
        <v/>
      </c>
      <c r="G709" s="16">
        <f>IF(MATCH_ENGINE!H709="","",IF(MATCH_ENGINE!F709="IN",MATCH_ENGINE!J709,""))</f>
        <v/>
      </c>
      <c r="H709" s="16">
        <f>IF(MATCH_ENGINE!H709="","",IF(MATCH_ENGINE!F709="OUT",MATCH_ENGINE!J709,""))</f>
        <v/>
      </c>
      <c r="I709" s="16">
        <f>IF(MATCH_ENGINE!H709="","",MATCH_ENGINE!J709)</f>
        <v/>
      </c>
      <c r="J709" s="12">
        <f>IF(MATCH_ENGINE!A709="","",MATCH_ENGINE!K709)</f>
        <v/>
      </c>
      <c r="K709" s="11">
        <f>IF(MATCH_ENGINE!A709="","",MATCH_ENGINE!L709)</f>
        <v/>
      </c>
      <c r="L709" s="17">
        <f>IF(MATCH_ENGINE!A709="","",MATCH_ENGINE!M709)</f>
        <v/>
      </c>
      <c r="M709" s="11">
        <f>IF(MATCH_ENGINE!A709="","",GL_CLEAN!F709)</f>
        <v/>
      </c>
      <c r="N709" s="11">
        <f>IF(MATCH_ENGINE!A709="","",GL_CLEAN!G709)</f>
        <v/>
      </c>
      <c r="O709" s="11">
        <f>IF(MATCH_ENGINE!H709="","",INDEX(BANK_CLEAN!$C$2:$C$1001,MATCH_ENGINE!H709))</f>
        <v/>
      </c>
      <c r="P709" s="11" t="inlineStr"/>
    </row>
    <row r="710">
      <c r="A710" s="11">
        <f>IF(MATCH_ENGINE!A710="","",MATCH_ENGINE!N710)</f>
        <v/>
      </c>
      <c r="B710" s="11">
        <f>IF(MATCH_ENGINE!A710="","",MATCH_ENGINE!C710)</f>
        <v/>
      </c>
      <c r="C710" s="10">
        <f>IF(MATCH_ENGINE!A710="","",MATCH_ENGINE!B710)</f>
        <v/>
      </c>
      <c r="D710" s="16">
        <f>IF(MATCH_ENGINE!A710="","",MATCH_ENGINE!D710)</f>
        <v/>
      </c>
      <c r="E710" s="11">
        <f>IF(MATCH_ENGINE!A710="","",MATCH_ENGINE!F710)</f>
        <v/>
      </c>
      <c r="F710" s="10">
        <f>IF(MATCH_ENGINE!A710="","",MATCH_ENGINE!I710)</f>
        <v/>
      </c>
      <c r="G710" s="16">
        <f>IF(MATCH_ENGINE!H710="","",IF(MATCH_ENGINE!F710="IN",MATCH_ENGINE!J710,""))</f>
        <v/>
      </c>
      <c r="H710" s="16">
        <f>IF(MATCH_ENGINE!H710="","",IF(MATCH_ENGINE!F710="OUT",MATCH_ENGINE!J710,""))</f>
        <v/>
      </c>
      <c r="I710" s="16">
        <f>IF(MATCH_ENGINE!H710="","",MATCH_ENGINE!J710)</f>
        <v/>
      </c>
      <c r="J710" s="12">
        <f>IF(MATCH_ENGINE!A710="","",MATCH_ENGINE!K710)</f>
        <v/>
      </c>
      <c r="K710" s="11">
        <f>IF(MATCH_ENGINE!A710="","",MATCH_ENGINE!L710)</f>
        <v/>
      </c>
      <c r="L710" s="17">
        <f>IF(MATCH_ENGINE!A710="","",MATCH_ENGINE!M710)</f>
        <v/>
      </c>
      <c r="M710" s="11">
        <f>IF(MATCH_ENGINE!A710="","",GL_CLEAN!F710)</f>
        <v/>
      </c>
      <c r="N710" s="11">
        <f>IF(MATCH_ENGINE!A710="","",GL_CLEAN!G710)</f>
        <v/>
      </c>
      <c r="O710" s="11">
        <f>IF(MATCH_ENGINE!H710="","",INDEX(BANK_CLEAN!$C$2:$C$1001,MATCH_ENGINE!H710))</f>
        <v/>
      </c>
      <c r="P710" s="11" t="inlineStr"/>
    </row>
    <row r="711">
      <c r="A711" s="11">
        <f>IF(MATCH_ENGINE!A711="","",MATCH_ENGINE!N711)</f>
        <v/>
      </c>
      <c r="B711" s="11">
        <f>IF(MATCH_ENGINE!A711="","",MATCH_ENGINE!C711)</f>
        <v/>
      </c>
      <c r="C711" s="10">
        <f>IF(MATCH_ENGINE!A711="","",MATCH_ENGINE!B711)</f>
        <v/>
      </c>
      <c r="D711" s="16">
        <f>IF(MATCH_ENGINE!A711="","",MATCH_ENGINE!D711)</f>
        <v/>
      </c>
      <c r="E711" s="11">
        <f>IF(MATCH_ENGINE!A711="","",MATCH_ENGINE!F711)</f>
        <v/>
      </c>
      <c r="F711" s="10">
        <f>IF(MATCH_ENGINE!A711="","",MATCH_ENGINE!I711)</f>
        <v/>
      </c>
      <c r="G711" s="16">
        <f>IF(MATCH_ENGINE!H711="","",IF(MATCH_ENGINE!F711="IN",MATCH_ENGINE!J711,""))</f>
        <v/>
      </c>
      <c r="H711" s="16">
        <f>IF(MATCH_ENGINE!H711="","",IF(MATCH_ENGINE!F711="OUT",MATCH_ENGINE!J711,""))</f>
        <v/>
      </c>
      <c r="I711" s="16">
        <f>IF(MATCH_ENGINE!H711="","",MATCH_ENGINE!J711)</f>
        <v/>
      </c>
      <c r="J711" s="12">
        <f>IF(MATCH_ENGINE!A711="","",MATCH_ENGINE!K711)</f>
        <v/>
      </c>
      <c r="K711" s="11">
        <f>IF(MATCH_ENGINE!A711="","",MATCH_ENGINE!L711)</f>
        <v/>
      </c>
      <c r="L711" s="17">
        <f>IF(MATCH_ENGINE!A711="","",MATCH_ENGINE!M711)</f>
        <v/>
      </c>
      <c r="M711" s="11">
        <f>IF(MATCH_ENGINE!A711="","",GL_CLEAN!F711)</f>
        <v/>
      </c>
      <c r="N711" s="11">
        <f>IF(MATCH_ENGINE!A711="","",GL_CLEAN!G711)</f>
        <v/>
      </c>
      <c r="O711" s="11">
        <f>IF(MATCH_ENGINE!H711="","",INDEX(BANK_CLEAN!$C$2:$C$1001,MATCH_ENGINE!H711))</f>
        <v/>
      </c>
      <c r="P711" s="11" t="inlineStr"/>
    </row>
    <row r="712">
      <c r="A712" s="11">
        <f>IF(MATCH_ENGINE!A712="","",MATCH_ENGINE!N712)</f>
        <v/>
      </c>
      <c r="B712" s="11">
        <f>IF(MATCH_ENGINE!A712="","",MATCH_ENGINE!C712)</f>
        <v/>
      </c>
      <c r="C712" s="10">
        <f>IF(MATCH_ENGINE!A712="","",MATCH_ENGINE!B712)</f>
        <v/>
      </c>
      <c r="D712" s="16">
        <f>IF(MATCH_ENGINE!A712="","",MATCH_ENGINE!D712)</f>
        <v/>
      </c>
      <c r="E712" s="11">
        <f>IF(MATCH_ENGINE!A712="","",MATCH_ENGINE!F712)</f>
        <v/>
      </c>
      <c r="F712" s="10">
        <f>IF(MATCH_ENGINE!A712="","",MATCH_ENGINE!I712)</f>
        <v/>
      </c>
      <c r="G712" s="16">
        <f>IF(MATCH_ENGINE!H712="","",IF(MATCH_ENGINE!F712="IN",MATCH_ENGINE!J712,""))</f>
        <v/>
      </c>
      <c r="H712" s="16">
        <f>IF(MATCH_ENGINE!H712="","",IF(MATCH_ENGINE!F712="OUT",MATCH_ENGINE!J712,""))</f>
        <v/>
      </c>
      <c r="I712" s="16">
        <f>IF(MATCH_ENGINE!H712="","",MATCH_ENGINE!J712)</f>
        <v/>
      </c>
      <c r="J712" s="12">
        <f>IF(MATCH_ENGINE!A712="","",MATCH_ENGINE!K712)</f>
        <v/>
      </c>
      <c r="K712" s="11">
        <f>IF(MATCH_ENGINE!A712="","",MATCH_ENGINE!L712)</f>
        <v/>
      </c>
      <c r="L712" s="17">
        <f>IF(MATCH_ENGINE!A712="","",MATCH_ENGINE!M712)</f>
        <v/>
      </c>
      <c r="M712" s="11">
        <f>IF(MATCH_ENGINE!A712="","",GL_CLEAN!F712)</f>
        <v/>
      </c>
      <c r="N712" s="11">
        <f>IF(MATCH_ENGINE!A712="","",GL_CLEAN!G712)</f>
        <v/>
      </c>
      <c r="O712" s="11">
        <f>IF(MATCH_ENGINE!H712="","",INDEX(BANK_CLEAN!$C$2:$C$1001,MATCH_ENGINE!H712))</f>
        <v/>
      </c>
      <c r="P712" s="11" t="inlineStr"/>
    </row>
    <row r="713">
      <c r="A713" s="11">
        <f>IF(MATCH_ENGINE!A713="","",MATCH_ENGINE!N713)</f>
        <v/>
      </c>
      <c r="B713" s="11">
        <f>IF(MATCH_ENGINE!A713="","",MATCH_ENGINE!C713)</f>
        <v/>
      </c>
      <c r="C713" s="10">
        <f>IF(MATCH_ENGINE!A713="","",MATCH_ENGINE!B713)</f>
        <v/>
      </c>
      <c r="D713" s="16">
        <f>IF(MATCH_ENGINE!A713="","",MATCH_ENGINE!D713)</f>
        <v/>
      </c>
      <c r="E713" s="11">
        <f>IF(MATCH_ENGINE!A713="","",MATCH_ENGINE!F713)</f>
        <v/>
      </c>
      <c r="F713" s="10">
        <f>IF(MATCH_ENGINE!A713="","",MATCH_ENGINE!I713)</f>
        <v/>
      </c>
      <c r="G713" s="16">
        <f>IF(MATCH_ENGINE!H713="","",IF(MATCH_ENGINE!F713="IN",MATCH_ENGINE!J713,""))</f>
        <v/>
      </c>
      <c r="H713" s="16">
        <f>IF(MATCH_ENGINE!H713="","",IF(MATCH_ENGINE!F713="OUT",MATCH_ENGINE!J713,""))</f>
        <v/>
      </c>
      <c r="I713" s="16">
        <f>IF(MATCH_ENGINE!H713="","",MATCH_ENGINE!J713)</f>
        <v/>
      </c>
      <c r="J713" s="12">
        <f>IF(MATCH_ENGINE!A713="","",MATCH_ENGINE!K713)</f>
        <v/>
      </c>
      <c r="K713" s="11">
        <f>IF(MATCH_ENGINE!A713="","",MATCH_ENGINE!L713)</f>
        <v/>
      </c>
      <c r="L713" s="17">
        <f>IF(MATCH_ENGINE!A713="","",MATCH_ENGINE!M713)</f>
        <v/>
      </c>
      <c r="M713" s="11">
        <f>IF(MATCH_ENGINE!A713="","",GL_CLEAN!F713)</f>
        <v/>
      </c>
      <c r="N713" s="11">
        <f>IF(MATCH_ENGINE!A713="","",GL_CLEAN!G713)</f>
        <v/>
      </c>
      <c r="O713" s="11">
        <f>IF(MATCH_ENGINE!H713="","",INDEX(BANK_CLEAN!$C$2:$C$1001,MATCH_ENGINE!H713))</f>
        <v/>
      </c>
      <c r="P713" s="11" t="inlineStr"/>
    </row>
    <row r="714">
      <c r="A714" s="11">
        <f>IF(MATCH_ENGINE!A714="","",MATCH_ENGINE!N714)</f>
        <v/>
      </c>
      <c r="B714" s="11">
        <f>IF(MATCH_ENGINE!A714="","",MATCH_ENGINE!C714)</f>
        <v/>
      </c>
      <c r="C714" s="10">
        <f>IF(MATCH_ENGINE!A714="","",MATCH_ENGINE!B714)</f>
        <v/>
      </c>
      <c r="D714" s="16">
        <f>IF(MATCH_ENGINE!A714="","",MATCH_ENGINE!D714)</f>
        <v/>
      </c>
      <c r="E714" s="11">
        <f>IF(MATCH_ENGINE!A714="","",MATCH_ENGINE!F714)</f>
        <v/>
      </c>
      <c r="F714" s="10">
        <f>IF(MATCH_ENGINE!A714="","",MATCH_ENGINE!I714)</f>
        <v/>
      </c>
      <c r="G714" s="16">
        <f>IF(MATCH_ENGINE!H714="","",IF(MATCH_ENGINE!F714="IN",MATCH_ENGINE!J714,""))</f>
        <v/>
      </c>
      <c r="H714" s="16">
        <f>IF(MATCH_ENGINE!H714="","",IF(MATCH_ENGINE!F714="OUT",MATCH_ENGINE!J714,""))</f>
        <v/>
      </c>
      <c r="I714" s="16">
        <f>IF(MATCH_ENGINE!H714="","",MATCH_ENGINE!J714)</f>
        <v/>
      </c>
      <c r="J714" s="12">
        <f>IF(MATCH_ENGINE!A714="","",MATCH_ENGINE!K714)</f>
        <v/>
      </c>
      <c r="K714" s="11">
        <f>IF(MATCH_ENGINE!A714="","",MATCH_ENGINE!L714)</f>
        <v/>
      </c>
      <c r="L714" s="17">
        <f>IF(MATCH_ENGINE!A714="","",MATCH_ENGINE!M714)</f>
        <v/>
      </c>
      <c r="M714" s="11">
        <f>IF(MATCH_ENGINE!A714="","",GL_CLEAN!F714)</f>
        <v/>
      </c>
      <c r="N714" s="11">
        <f>IF(MATCH_ENGINE!A714="","",GL_CLEAN!G714)</f>
        <v/>
      </c>
      <c r="O714" s="11">
        <f>IF(MATCH_ENGINE!H714="","",INDEX(BANK_CLEAN!$C$2:$C$1001,MATCH_ENGINE!H714))</f>
        <v/>
      </c>
      <c r="P714" s="11" t="inlineStr"/>
    </row>
    <row r="715">
      <c r="A715" s="11">
        <f>IF(MATCH_ENGINE!A715="","",MATCH_ENGINE!N715)</f>
        <v/>
      </c>
      <c r="B715" s="11">
        <f>IF(MATCH_ENGINE!A715="","",MATCH_ENGINE!C715)</f>
        <v/>
      </c>
      <c r="C715" s="10">
        <f>IF(MATCH_ENGINE!A715="","",MATCH_ENGINE!B715)</f>
        <v/>
      </c>
      <c r="D715" s="16">
        <f>IF(MATCH_ENGINE!A715="","",MATCH_ENGINE!D715)</f>
        <v/>
      </c>
      <c r="E715" s="11">
        <f>IF(MATCH_ENGINE!A715="","",MATCH_ENGINE!F715)</f>
        <v/>
      </c>
      <c r="F715" s="10">
        <f>IF(MATCH_ENGINE!A715="","",MATCH_ENGINE!I715)</f>
        <v/>
      </c>
      <c r="G715" s="16">
        <f>IF(MATCH_ENGINE!H715="","",IF(MATCH_ENGINE!F715="IN",MATCH_ENGINE!J715,""))</f>
        <v/>
      </c>
      <c r="H715" s="16">
        <f>IF(MATCH_ENGINE!H715="","",IF(MATCH_ENGINE!F715="OUT",MATCH_ENGINE!J715,""))</f>
        <v/>
      </c>
      <c r="I715" s="16">
        <f>IF(MATCH_ENGINE!H715="","",MATCH_ENGINE!J715)</f>
        <v/>
      </c>
      <c r="J715" s="12">
        <f>IF(MATCH_ENGINE!A715="","",MATCH_ENGINE!K715)</f>
        <v/>
      </c>
      <c r="K715" s="11">
        <f>IF(MATCH_ENGINE!A715="","",MATCH_ENGINE!L715)</f>
        <v/>
      </c>
      <c r="L715" s="17">
        <f>IF(MATCH_ENGINE!A715="","",MATCH_ENGINE!M715)</f>
        <v/>
      </c>
      <c r="M715" s="11">
        <f>IF(MATCH_ENGINE!A715="","",GL_CLEAN!F715)</f>
        <v/>
      </c>
      <c r="N715" s="11">
        <f>IF(MATCH_ENGINE!A715="","",GL_CLEAN!G715)</f>
        <v/>
      </c>
      <c r="O715" s="11">
        <f>IF(MATCH_ENGINE!H715="","",INDEX(BANK_CLEAN!$C$2:$C$1001,MATCH_ENGINE!H715))</f>
        <v/>
      </c>
      <c r="P715" s="11" t="inlineStr"/>
    </row>
    <row r="716">
      <c r="A716" s="11">
        <f>IF(MATCH_ENGINE!A716="","",MATCH_ENGINE!N716)</f>
        <v/>
      </c>
      <c r="B716" s="11">
        <f>IF(MATCH_ENGINE!A716="","",MATCH_ENGINE!C716)</f>
        <v/>
      </c>
      <c r="C716" s="10">
        <f>IF(MATCH_ENGINE!A716="","",MATCH_ENGINE!B716)</f>
        <v/>
      </c>
      <c r="D716" s="16">
        <f>IF(MATCH_ENGINE!A716="","",MATCH_ENGINE!D716)</f>
        <v/>
      </c>
      <c r="E716" s="11">
        <f>IF(MATCH_ENGINE!A716="","",MATCH_ENGINE!F716)</f>
        <v/>
      </c>
      <c r="F716" s="10">
        <f>IF(MATCH_ENGINE!A716="","",MATCH_ENGINE!I716)</f>
        <v/>
      </c>
      <c r="G716" s="16">
        <f>IF(MATCH_ENGINE!H716="","",IF(MATCH_ENGINE!F716="IN",MATCH_ENGINE!J716,""))</f>
        <v/>
      </c>
      <c r="H716" s="16">
        <f>IF(MATCH_ENGINE!H716="","",IF(MATCH_ENGINE!F716="OUT",MATCH_ENGINE!J716,""))</f>
        <v/>
      </c>
      <c r="I716" s="16">
        <f>IF(MATCH_ENGINE!H716="","",MATCH_ENGINE!J716)</f>
        <v/>
      </c>
      <c r="J716" s="12">
        <f>IF(MATCH_ENGINE!A716="","",MATCH_ENGINE!K716)</f>
        <v/>
      </c>
      <c r="K716" s="11">
        <f>IF(MATCH_ENGINE!A716="","",MATCH_ENGINE!L716)</f>
        <v/>
      </c>
      <c r="L716" s="17">
        <f>IF(MATCH_ENGINE!A716="","",MATCH_ENGINE!M716)</f>
        <v/>
      </c>
      <c r="M716" s="11">
        <f>IF(MATCH_ENGINE!A716="","",GL_CLEAN!F716)</f>
        <v/>
      </c>
      <c r="N716" s="11">
        <f>IF(MATCH_ENGINE!A716="","",GL_CLEAN!G716)</f>
        <v/>
      </c>
      <c r="O716" s="11">
        <f>IF(MATCH_ENGINE!H716="","",INDEX(BANK_CLEAN!$C$2:$C$1001,MATCH_ENGINE!H716))</f>
        <v/>
      </c>
      <c r="P716" s="11" t="inlineStr"/>
    </row>
    <row r="717">
      <c r="A717" s="11">
        <f>IF(MATCH_ENGINE!A717="","",MATCH_ENGINE!N717)</f>
        <v/>
      </c>
      <c r="B717" s="11">
        <f>IF(MATCH_ENGINE!A717="","",MATCH_ENGINE!C717)</f>
        <v/>
      </c>
      <c r="C717" s="10">
        <f>IF(MATCH_ENGINE!A717="","",MATCH_ENGINE!B717)</f>
        <v/>
      </c>
      <c r="D717" s="16">
        <f>IF(MATCH_ENGINE!A717="","",MATCH_ENGINE!D717)</f>
        <v/>
      </c>
      <c r="E717" s="11">
        <f>IF(MATCH_ENGINE!A717="","",MATCH_ENGINE!F717)</f>
        <v/>
      </c>
      <c r="F717" s="10">
        <f>IF(MATCH_ENGINE!A717="","",MATCH_ENGINE!I717)</f>
        <v/>
      </c>
      <c r="G717" s="16">
        <f>IF(MATCH_ENGINE!H717="","",IF(MATCH_ENGINE!F717="IN",MATCH_ENGINE!J717,""))</f>
        <v/>
      </c>
      <c r="H717" s="16">
        <f>IF(MATCH_ENGINE!H717="","",IF(MATCH_ENGINE!F717="OUT",MATCH_ENGINE!J717,""))</f>
        <v/>
      </c>
      <c r="I717" s="16">
        <f>IF(MATCH_ENGINE!H717="","",MATCH_ENGINE!J717)</f>
        <v/>
      </c>
      <c r="J717" s="12">
        <f>IF(MATCH_ENGINE!A717="","",MATCH_ENGINE!K717)</f>
        <v/>
      </c>
      <c r="K717" s="11">
        <f>IF(MATCH_ENGINE!A717="","",MATCH_ENGINE!L717)</f>
        <v/>
      </c>
      <c r="L717" s="17">
        <f>IF(MATCH_ENGINE!A717="","",MATCH_ENGINE!M717)</f>
        <v/>
      </c>
      <c r="M717" s="11">
        <f>IF(MATCH_ENGINE!A717="","",GL_CLEAN!F717)</f>
        <v/>
      </c>
      <c r="N717" s="11">
        <f>IF(MATCH_ENGINE!A717="","",GL_CLEAN!G717)</f>
        <v/>
      </c>
      <c r="O717" s="11">
        <f>IF(MATCH_ENGINE!H717="","",INDEX(BANK_CLEAN!$C$2:$C$1001,MATCH_ENGINE!H717))</f>
        <v/>
      </c>
      <c r="P717" s="11" t="inlineStr"/>
    </row>
    <row r="718">
      <c r="A718" s="11">
        <f>IF(MATCH_ENGINE!A718="","",MATCH_ENGINE!N718)</f>
        <v/>
      </c>
      <c r="B718" s="11">
        <f>IF(MATCH_ENGINE!A718="","",MATCH_ENGINE!C718)</f>
        <v/>
      </c>
      <c r="C718" s="10">
        <f>IF(MATCH_ENGINE!A718="","",MATCH_ENGINE!B718)</f>
        <v/>
      </c>
      <c r="D718" s="16">
        <f>IF(MATCH_ENGINE!A718="","",MATCH_ENGINE!D718)</f>
        <v/>
      </c>
      <c r="E718" s="11">
        <f>IF(MATCH_ENGINE!A718="","",MATCH_ENGINE!F718)</f>
        <v/>
      </c>
      <c r="F718" s="10">
        <f>IF(MATCH_ENGINE!A718="","",MATCH_ENGINE!I718)</f>
        <v/>
      </c>
      <c r="G718" s="16">
        <f>IF(MATCH_ENGINE!H718="","",IF(MATCH_ENGINE!F718="IN",MATCH_ENGINE!J718,""))</f>
        <v/>
      </c>
      <c r="H718" s="16">
        <f>IF(MATCH_ENGINE!H718="","",IF(MATCH_ENGINE!F718="OUT",MATCH_ENGINE!J718,""))</f>
        <v/>
      </c>
      <c r="I718" s="16">
        <f>IF(MATCH_ENGINE!H718="","",MATCH_ENGINE!J718)</f>
        <v/>
      </c>
      <c r="J718" s="12">
        <f>IF(MATCH_ENGINE!A718="","",MATCH_ENGINE!K718)</f>
        <v/>
      </c>
      <c r="K718" s="11">
        <f>IF(MATCH_ENGINE!A718="","",MATCH_ENGINE!L718)</f>
        <v/>
      </c>
      <c r="L718" s="17">
        <f>IF(MATCH_ENGINE!A718="","",MATCH_ENGINE!M718)</f>
        <v/>
      </c>
      <c r="M718" s="11">
        <f>IF(MATCH_ENGINE!A718="","",GL_CLEAN!F718)</f>
        <v/>
      </c>
      <c r="N718" s="11">
        <f>IF(MATCH_ENGINE!A718="","",GL_CLEAN!G718)</f>
        <v/>
      </c>
      <c r="O718" s="11">
        <f>IF(MATCH_ENGINE!H718="","",INDEX(BANK_CLEAN!$C$2:$C$1001,MATCH_ENGINE!H718))</f>
        <v/>
      </c>
      <c r="P718" s="11" t="inlineStr"/>
    </row>
    <row r="719">
      <c r="A719" s="11">
        <f>IF(MATCH_ENGINE!A719="","",MATCH_ENGINE!N719)</f>
        <v/>
      </c>
      <c r="B719" s="11">
        <f>IF(MATCH_ENGINE!A719="","",MATCH_ENGINE!C719)</f>
        <v/>
      </c>
      <c r="C719" s="10">
        <f>IF(MATCH_ENGINE!A719="","",MATCH_ENGINE!B719)</f>
        <v/>
      </c>
      <c r="D719" s="16">
        <f>IF(MATCH_ENGINE!A719="","",MATCH_ENGINE!D719)</f>
        <v/>
      </c>
      <c r="E719" s="11">
        <f>IF(MATCH_ENGINE!A719="","",MATCH_ENGINE!F719)</f>
        <v/>
      </c>
      <c r="F719" s="10">
        <f>IF(MATCH_ENGINE!A719="","",MATCH_ENGINE!I719)</f>
        <v/>
      </c>
      <c r="G719" s="16">
        <f>IF(MATCH_ENGINE!H719="","",IF(MATCH_ENGINE!F719="IN",MATCH_ENGINE!J719,""))</f>
        <v/>
      </c>
      <c r="H719" s="16">
        <f>IF(MATCH_ENGINE!H719="","",IF(MATCH_ENGINE!F719="OUT",MATCH_ENGINE!J719,""))</f>
        <v/>
      </c>
      <c r="I719" s="16">
        <f>IF(MATCH_ENGINE!H719="","",MATCH_ENGINE!J719)</f>
        <v/>
      </c>
      <c r="J719" s="12">
        <f>IF(MATCH_ENGINE!A719="","",MATCH_ENGINE!K719)</f>
        <v/>
      </c>
      <c r="K719" s="11">
        <f>IF(MATCH_ENGINE!A719="","",MATCH_ENGINE!L719)</f>
        <v/>
      </c>
      <c r="L719" s="17">
        <f>IF(MATCH_ENGINE!A719="","",MATCH_ENGINE!M719)</f>
        <v/>
      </c>
      <c r="M719" s="11">
        <f>IF(MATCH_ENGINE!A719="","",GL_CLEAN!F719)</f>
        <v/>
      </c>
      <c r="N719" s="11">
        <f>IF(MATCH_ENGINE!A719="","",GL_CLEAN!G719)</f>
        <v/>
      </c>
      <c r="O719" s="11">
        <f>IF(MATCH_ENGINE!H719="","",INDEX(BANK_CLEAN!$C$2:$C$1001,MATCH_ENGINE!H719))</f>
        <v/>
      </c>
      <c r="P719" s="11" t="inlineStr"/>
    </row>
    <row r="720">
      <c r="A720" s="11">
        <f>IF(MATCH_ENGINE!A720="","",MATCH_ENGINE!N720)</f>
        <v/>
      </c>
      <c r="B720" s="11">
        <f>IF(MATCH_ENGINE!A720="","",MATCH_ENGINE!C720)</f>
        <v/>
      </c>
      <c r="C720" s="10">
        <f>IF(MATCH_ENGINE!A720="","",MATCH_ENGINE!B720)</f>
        <v/>
      </c>
      <c r="D720" s="16">
        <f>IF(MATCH_ENGINE!A720="","",MATCH_ENGINE!D720)</f>
        <v/>
      </c>
      <c r="E720" s="11">
        <f>IF(MATCH_ENGINE!A720="","",MATCH_ENGINE!F720)</f>
        <v/>
      </c>
      <c r="F720" s="10">
        <f>IF(MATCH_ENGINE!A720="","",MATCH_ENGINE!I720)</f>
        <v/>
      </c>
      <c r="G720" s="16">
        <f>IF(MATCH_ENGINE!H720="","",IF(MATCH_ENGINE!F720="IN",MATCH_ENGINE!J720,""))</f>
        <v/>
      </c>
      <c r="H720" s="16">
        <f>IF(MATCH_ENGINE!H720="","",IF(MATCH_ENGINE!F720="OUT",MATCH_ENGINE!J720,""))</f>
        <v/>
      </c>
      <c r="I720" s="16">
        <f>IF(MATCH_ENGINE!H720="","",MATCH_ENGINE!J720)</f>
        <v/>
      </c>
      <c r="J720" s="12">
        <f>IF(MATCH_ENGINE!A720="","",MATCH_ENGINE!K720)</f>
        <v/>
      </c>
      <c r="K720" s="11">
        <f>IF(MATCH_ENGINE!A720="","",MATCH_ENGINE!L720)</f>
        <v/>
      </c>
      <c r="L720" s="17">
        <f>IF(MATCH_ENGINE!A720="","",MATCH_ENGINE!M720)</f>
        <v/>
      </c>
      <c r="M720" s="11">
        <f>IF(MATCH_ENGINE!A720="","",GL_CLEAN!F720)</f>
        <v/>
      </c>
      <c r="N720" s="11">
        <f>IF(MATCH_ENGINE!A720="","",GL_CLEAN!G720)</f>
        <v/>
      </c>
      <c r="O720" s="11">
        <f>IF(MATCH_ENGINE!H720="","",INDEX(BANK_CLEAN!$C$2:$C$1001,MATCH_ENGINE!H720))</f>
        <v/>
      </c>
      <c r="P720" s="11" t="inlineStr"/>
    </row>
    <row r="721">
      <c r="A721" s="11">
        <f>IF(MATCH_ENGINE!A721="","",MATCH_ENGINE!N721)</f>
        <v/>
      </c>
      <c r="B721" s="11">
        <f>IF(MATCH_ENGINE!A721="","",MATCH_ENGINE!C721)</f>
        <v/>
      </c>
      <c r="C721" s="10">
        <f>IF(MATCH_ENGINE!A721="","",MATCH_ENGINE!B721)</f>
        <v/>
      </c>
      <c r="D721" s="16">
        <f>IF(MATCH_ENGINE!A721="","",MATCH_ENGINE!D721)</f>
        <v/>
      </c>
      <c r="E721" s="11">
        <f>IF(MATCH_ENGINE!A721="","",MATCH_ENGINE!F721)</f>
        <v/>
      </c>
      <c r="F721" s="10">
        <f>IF(MATCH_ENGINE!A721="","",MATCH_ENGINE!I721)</f>
        <v/>
      </c>
      <c r="G721" s="16">
        <f>IF(MATCH_ENGINE!H721="","",IF(MATCH_ENGINE!F721="IN",MATCH_ENGINE!J721,""))</f>
        <v/>
      </c>
      <c r="H721" s="16">
        <f>IF(MATCH_ENGINE!H721="","",IF(MATCH_ENGINE!F721="OUT",MATCH_ENGINE!J721,""))</f>
        <v/>
      </c>
      <c r="I721" s="16">
        <f>IF(MATCH_ENGINE!H721="","",MATCH_ENGINE!J721)</f>
        <v/>
      </c>
      <c r="J721" s="12">
        <f>IF(MATCH_ENGINE!A721="","",MATCH_ENGINE!K721)</f>
        <v/>
      </c>
      <c r="K721" s="11">
        <f>IF(MATCH_ENGINE!A721="","",MATCH_ENGINE!L721)</f>
        <v/>
      </c>
      <c r="L721" s="17">
        <f>IF(MATCH_ENGINE!A721="","",MATCH_ENGINE!M721)</f>
        <v/>
      </c>
      <c r="M721" s="11">
        <f>IF(MATCH_ENGINE!A721="","",GL_CLEAN!F721)</f>
        <v/>
      </c>
      <c r="N721" s="11">
        <f>IF(MATCH_ENGINE!A721="","",GL_CLEAN!G721)</f>
        <v/>
      </c>
      <c r="O721" s="11">
        <f>IF(MATCH_ENGINE!H721="","",INDEX(BANK_CLEAN!$C$2:$C$1001,MATCH_ENGINE!H721))</f>
        <v/>
      </c>
      <c r="P721" s="11" t="inlineStr"/>
    </row>
    <row r="722">
      <c r="A722" s="11">
        <f>IF(MATCH_ENGINE!A722="","",MATCH_ENGINE!N722)</f>
        <v/>
      </c>
      <c r="B722" s="11">
        <f>IF(MATCH_ENGINE!A722="","",MATCH_ENGINE!C722)</f>
        <v/>
      </c>
      <c r="C722" s="10">
        <f>IF(MATCH_ENGINE!A722="","",MATCH_ENGINE!B722)</f>
        <v/>
      </c>
      <c r="D722" s="16">
        <f>IF(MATCH_ENGINE!A722="","",MATCH_ENGINE!D722)</f>
        <v/>
      </c>
      <c r="E722" s="11">
        <f>IF(MATCH_ENGINE!A722="","",MATCH_ENGINE!F722)</f>
        <v/>
      </c>
      <c r="F722" s="10">
        <f>IF(MATCH_ENGINE!A722="","",MATCH_ENGINE!I722)</f>
        <v/>
      </c>
      <c r="G722" s="16">
        <f>IF(MATCH_ENGINE!H722="","",IF(MATCH_ENGINE!F722="IN",MATCH_ENGINE!J722,""))</f>
        <v/>
      </c>
      <c r="H722" s="16">
        <f>IF(MATCH_ENGINE!H722="","",IF(MATCH_ENGINE!F722="OUT",MATCH_ENGINE!J722,""))</f>
        <v/>
      </c>
      <c r="I722" s="16">
        <f>IF(MATCH_ENGINE!H722="","",MATCH_ENGINE!J722)</f>
        <v/>
      </c>
      <c r="J722" s="12">
        <f>IF(MATCH_ENGINE!A722="","",MATCH_ENGINE!K722)</f>
        <v/>
      </c>
      <c r="K722" s="11">
        <f>IF(MATCH_ENGINE!A722="","",MATCH_ENGINE!L722)</f>
        <v/>
      </c>
      <c r="L722" s="17">
        <f>IF(MATCH_ENGINE!A722="","",MATCH_ENGINE!M722)</f>
        <v/>
      </c>
      <c r="M722" s="11">
        <f>IF(MATCH_ENGINE!A722="","",GL_CLEAN!F722)</f>
        <v/>
      </c>
      <c r="N722" s="11">
        <f>IF(MATCH_ENGINE!A722="","",GL_CLEAN!G722)</f>
        <v/>
      </c>
      <c r="O722" s="11">
        <f>IF(MATCH_ENGINE!H722="","",INDEX(BANK_CLEAN!$C$2:$C$1001,MATCH_ENGINE!H722))</f>
        <v/>
      </c>
      <c r="P722" s="11" t="inlineStr"/>
    </row>
    <row r="723">
      <c r="A723" s="11">
        <f>IF(MATCH_ENGINE!A723="","",MATCH_ENGINE!N723)</f>
        <v/>
      </c>
      <c r="B723" s="11">
        <f>IF(MATCH_ENGINE!A723="","",MATCH_ENGINE!C723)</f>
        <v/>
      </c>
      <c r="C723" s="10">
        <f>IF(MATCH_ENGINE!A723="","",MATCH_ENGINE!B723)</f>
        <v/>
      </c>
      <c r="D723" s="16">
        <f>IF(MATCH_ENGINE!A723="","",MATCH_ENGINE!D723)</f>
        <v/>
      </c>
      <c r="E723" s="11">
        <f>IF(MATCH_ENGINE!A723="","",MATCH_ENGINE!F723)</f>
        <v/>
      </c>
      <c r="F723" s="10">
        <f>IF(MATCH_ENGINE!A723="","",MATCH_ENGINE!I723)</f>
        <v/>
      </c>
      <c r="G723" s="16">
        <f>IF(MATCH_ENGINE!H723="","",IF(MATCH_ENGINE!F723="IN",MATCH_ENGINE!J723,""))</f>
        <v/>
      </c>
      <c r="H723" s="16">
        <f>IF(MATCH_ENGINE!H723="","",IF(MATCH_ENGINE!F723="OUT",MATCH_ENGINE!J723,""))</f>
        <v/>
      </c>
      <c r="I723" s="16">
        <f>IF(MATCH_ENGINE!H723="","",MATCH_ENGINE!J723)</f>
        <v/>
      </c>
      <c r="J723" s="12">
        <f>IF(MATCH_ENGINE!A723="","",MATCH_ENGINE!K723)</f>
        <v/>
      </c>
      <c r="K723" s="11">
        <f>IF(MATCH_ENGINE!A723="","",MATCH_ENGINE!L723)</f>
        <v/>
      </c>
      <c r="L723" s="17">
        <f>IF(MATCH_ENGINE!A723="","",MATCH_ENGINE!M723)</f>
        <v/>
      </c>
      <c r="M723" s="11">
        <f>IF(MATCH_ENGINE!A723="","",GL_CLEAN!F723)</f>
        <v/>
      </c>
      <c r="N723" s="11">
        <f>IF(MATCH_ENGINE!A723="","",GL_CLEAN!G723)</f>
        <v/>
      </c>
      <c r="O723" s="11">
        <f>IF(MATCH_ENGINE!H723="","",INDEX(BANK_CLEAN!$C$2:$C$1001,MATCH_ENGINE!H723))</f>
        <v/>
      </c>
      <c r="P723" s="11" t="inlineStr"/>
    </row>
    <row r="724">
      <c r="A724" s="11">
        <f>IF(MATCH_ENGINE!A724="","",MATCH_ENGINE!N724)</f>
        <v/>
      </c>
      <c r="B724" s="11">
        <f>IF(MATCH_ENGINE!A724="","",MATCH_ENGINE!C724)</f>
        <v/>
      </c>
      <c r="C724" s="10">
        <f>IF(MATCH_ENGINE!A724="","",MATCH_ENGINE!B724)</f>
        <v/>
      </c>
      <c r="D724" s="16">
        <f>IF(MATCH_ENGINE!A724="","",MATCH_ENGINE!D724)</f>
        <v/>
      </c>
      <c r="E724" s="11">
        <f>IF(MATCH_ENGINE!A724="","",MATCH_ENGINE!F724)</f>
        <v/>
      </c>
      <c r="F724" s="10">
        <f>IF(MATCH_ENGINE!A724="","",MATCH_ENGINE!I724)</f>
        <v/>
      </c>
      <c r="G724" s="16">
        <f>IF(MATCH_ENGINE!H724="","",IF(MATCH_ENGINE!F724="IN",MATCH_ENGINE!J724,""))</f>
        <v/>
      </c>
      <c r="H724" s="16">
        <f>IF(MATCH_ENGINE!H724="","",IF(MATCH_ENGINE!F724="OUT",MATCH_ENGINE!J724,""))</f>
        <v/>
      </c>
      <c r="I724" s="16">
        <f>IF(MATCH_ENGINE!H724="","",MATCH_ENGINE!J724)</f>
        <v/>
      </c>
      <c r="J724" s="12">
        <f>IF(MATCH_ENGINE!A724="","",MATCH_ENGINE!K724)</f>
        <v/>
      </c>
      <c r="K724" s="11">
        <f>IF(MATCH_ENGINE!A724="","",MATCH_ENGINE!L724)</f>
        <v/>
      </c>
      <c r="L724" s="17">
        <f>IF(MATCH_ENGINE!A724="","",MATCH_ENGINE!M724)</f>
        <v/>
      </c>
      <c r="M724" s="11">
        <f>IF(MATCH_ENGINE!A724="","",GL_CLEAN!F724)</f>
        <v/>
      </c>
      <c r="N724" s="11">
        <f>IF(MATCH_ENGINE!A724="","",GL_CLEAN!G724)</f>
        <v/>
      </c>
      <c r="O724" s="11">
        <f>IF(MATCH_ENGINE!H724="","",INDEX(BANK_CLEAN!$C$2:$C$1001,MATCH_ENGINE!H724))</f>
        <v/>
      </c>
      <c r="P724" s="11" t="inlineStr"/>
    </row>
    <row r="725">
      <c r="A725" s="11">
        <f>IF(MATCH_ENGINE!A725="","",MATCH_ENGINE!N725)</f>
        <v/>
      </c>
      <c r="B725" s="11">
        <f>IF(MATCH_ENGINE!A725="","",MATCH_ENGINE!C725)</f>
        <v/>
      </c>
      <c r="C725" s="10">
        <f>IF(MATCH_ENGINE!A725="","",MATCH_ENGINE!B725)</f>
        <v/>
      </c>
      <c r="D725" s="16">
        <f>IF(MATCH_ENGINE!A725="","",MATCH_ENGINE!D725)</f>
        <v/>
      </c>
      <c r="E725" s="11">
        <f>IF(MATCH_ENGINE!A725="","",MATCH_ENGINE!F725)</f>
        <v/>
      </c>
      <c r="F725" s="10">
        <f>IF(MATCH_ENGINE!A725="","",MATCH_ENGINE!I725)</f>
        <v/>
      </c>
      <c r="G725" s="16">
        <f>IF(MATCH_ENGINE!H725="","",IF(MATCH_ENGINE!F725="IN",MATCH_ENGINE!J725,""))</f>
        <v/>
      </c>
      <c r="H725" s="16">
        <f>IF(MATCH_ENGINE!H725="","",IF(MATCH_ENGINE!F725="OUT",MATCH_ENGINE!J725,""))</f>
        <v/>
      </c>
      <c r="I725" s="16">
        <f>IF(MATCH_ENGINE!H725="","",MATCH_ENGINE!J725)</f>
        <v/>
      </c>
      <c r="J725" s="12">
        <f>IF(MATCH_ENGINE!A725="","",MATCH_ENGINE!K725)</f>
        <v/>
      </c>
      <c r="K725" s="11">
        <f>IF(MATCH_ENGINE!A725="","",MATCH_ENGINE!L725)</f>
        <v/>
      </c>
      <c r="L725" s="17">
        <f>IF(MATCH_ENGINE!A725="","",MATCH_ENGINE!M725)</f>
        <v/>
      </c>
      <c r="M725" s="11">
        <f>IF(MATCH_ENGINE!A725="","",GL_CLEAN!F725)</f>
        <v/>
      </c>
      <c r="N725" s="11">
        <f>IF(MATCH_ENGINE!A725="","",GL_CLEAN!G725)</f>
        <v/>
      </c>
      <c r="O725" s="11">
        <f>IF(MATCH_ENGINE!H725="","",INDEX(BANK_CLEAN!$C$2:$C$1001,MATCH_ENGINE!H725))</f>
        <v/>
      </c>
      <c r="P725" s="11" t="inlineStr"/>
    </row>
    <row r="726">
      <c r="A726" s="11">
        <f>IF(MATCH_ENGINE!A726="","",MATCH_ENGINE!N726)</f>
        <v/>
      </c>
      <c r="B726" s="11">
        <f>IF(MATCH_ENGINE!A726="","",MATCH_ENGINE!C726)</f>
        <v/>
      </c>
      <c r="C726" s="10">
        <f>IF(MATCH_ENGINE!A726="","",MATCH_ENGINE!B726)</f>
        <v/>
      </c>
      <c r="D726" s="16">
        <f>IF(MATCH_ENGINE!A726="","",MATCH_ENGINE!D726)</f>
        <v/>
      </c>
      <c r="E726" s="11">
        <f>IF(MATCH_ENGINE!A726="","",MATCH_ENGINE!F726)</f>
        <v/>
      </c>
      <c r="F726" s="10">
        <f>IF(MATCH_ENGINE!A726="","",MATCH_ENGINE!I726)</f>
        <v/>
      </c>
      <c r="G726" s="16">
        <f>IF(MATCH_ENGINE!H726="","",IF(MATCH_ENGINE!F726="IN",MATCH_ENGINE!J726,""))</f>
        <v/>
      </c>
      <c r="H726" s="16">
        <f>IF(MATCH_ENGINE!H726="","",IF(MATCH_ENGINE!F726="OUT",MATCH_ENGINE!J726,""))</f>
        <v/>
      </c>
      <c r="I726" s="16">
        <f>IF(MATCH_ENGINE!H726="","",MATCH_ENGINE!J726)</f>
        <v/>
      </c>
      <c r="J726" s="12">
        <f>IF(MATCH_ENGINE!A726="","",MATCH_ENGINE!K726)</f>
        <v/>
      </c>
      <c r="K726" s="11">
        <f>IF(MATCH_ENGINE!A726="","",MATCH_ENGINE!L726)</f>
        <v/>
      </c>
      <c r="L726" s="17">
        <f>IF(MATCH_ENGINE!A726="","",MATCH_ENGINE!M726)</f>
        <v/>
      </c>
      <c r="M726" s="11">
        <f>IF(MATCH_ENGINE!A726="","",GL_CLEAN!F726)</f>
        <v/>
      </c>
      <c r="N726" s="11">
        <f>IF(MATCH_ENGINE!A726="","",GL_CLEAN!G726)</f>
        <v/>
      </c>
      <c r="O726" s="11">
        <f>IF(MATCH_ENGINE!H726="","",INDEX(BANK_CLEAN!$C$2:$C$1001,MATCH_ENGINE!H726))</f>
        <v/>
      </c>
      <c r="P726" s="11" t="inlineStr"/>
    </row>
    <row r="727">
      <c r="A727" s="11">
        <f>IF(MATCH_ENGINE!A727="","",MATCH_ENGINE!N727)</f>
        <v/>
      </c>
      <c r="B727" s="11">
        <f>IF(MATCH_ENGINE!A727="","",MATCH_ENGINE!C727)</f>
        <v/>
      </c>
      <c r="C727" s="10">
        <f>IF(MATCH_ENGINE!A727="","",MATCH_ENGINE!B727)</f>
        <v/>
      </c>
      <c r="D727" s="16">
        <f>IF(MATCH_ENGINE!A727="","",MATCH_ENGINE!D727)</f>
        <v/>
      </c>
      <c r="E727" s="11">
        <f>IF(MATCH_ENGINE!A727="","",MATCH_ENGINE!F727)</f>
        <v/>
      </c>
      <c r="F727" s="10">
        <f>IF(MATCH_ENGINE!A727="","",MATCH_ENGINE!I727)</f>
        <v/>
      </c>
      <c r="G727" s="16">
        <f>IF(MATCH_ENGINE!H727="","",IF(MATCH_ENGINE!F727="IN",MATCH_ENGINE!J727,""))</f>
        <v/>
      </c>
      <c r="H727" s="16">
        <f>IF(MATCH_ENGINE!H727="","",IF(MATCH_ENGINE!F727="OUT",MATCH_ENGINE!J727,""))</f>
        <v/>
      </c>
      <c r="I727" s="16">
        <f>IF(MATCH_ENGINE!H727="","",MATCH_ENGINE!J727)</f>
        <v/>
      </c>
      <c r="J727" s="12">
        <f>IF(MATCH_ENGINE!A727="","",MATCH_ENGINE!K727)</f>
        <v/>
      </c>
      <c r="K727" s="11">
        <f>IF(MATCH_ENGINE!A727="","",MATCH_ENGINE!L727)</f>
        <v/>
      </c>
      <c r="L727" s="17">
        <f>IF(MATCH_ENGINE!A727="","",MATCH_ENGINE!M727)</f>
        <v/>
      </c>
      <c r="M727" s="11">
        <f>IF(MATCH_ENGINE!A727="","",GL_CLEAN!F727)</f>
        <v/>
      </c>
      <c r="N727" s="11">
        <f>IF(MATCH_ENGINE!A727="","",GL_CLEAN!G727)</f>
        <v/>
      </c>
      <c r="O727" s="11">
        <f>IF(MATCH_ENGINE!H727="","",INDEX(BANK_CLEAN!$C$2:$C$1001,MATCH_ENGINE!H727))</f>
        <v/>
      </c>
      <c r="P727" s="11" t="inlineStr"/>
    </row>
    <row r="728">
      <c r="A728" s="11">
        <f>IF(MATCH_ENGINE!A728="","",MATCH_ENGINE!N728)</f>
        <v/>
      </c>
      <c r="B728" s="11">
        <f>IF(MATCH_ENGINE!A728="","",MATCH_ENGINE!C728)</f>
        <v/>
      </c>
      <c r="C728" s="10">
        <f>IF(MATCH_ENGINE!A728="","",MATCH_ENGINE!B728)</f>
        <v/>
      </c>
      <c r="D728" s="16">
        <f>IF(MATCH_ENGINE!A728="","",MATCH_ENGINE!D728)</f>
        <v/>
      </c>
      <c r="E728" s="11">
        <f>IF(MATCH_ENGINE!A728="","",MATCH_ENGINE!F728)</f>
        <v/>
      </c>
      <c r="F728" s="10">
        <f>IF(MATCH_ENGINE!A728="","",MATCH_ENGINE!I728)</f>
        <v/>
      </c>
      <c r="G728" s="16">
        <f>IF(MATCH_ENGINE!H728="","",IF(MATCH_ENGINE!F728="IN",MATCH_ENGINE!J728,""))</f>
        <v/>
      </c>
      <c r="H728" s="16">
        <f>IF(MATCH_ENGINE!H728="","",IF(MATCH_ENGINE!F728="OUT",MATCH_ENGINE!J728,""))</f>
        <v/>
      </c>
      <c r="I728" s="16">
        <f>IF(MATCH_ENGINE!H728="","",MATCH_ENGINE!J728)</f>
        <v/>
      </c>
      <c r="J728" s="12">
        <f>IF(MATCH_ENGINE!A728="","",MATCH_ENGINE!K728)</f>
        <v/>
      </c>
      <c r="K728" s="11">
        <f>IF(MATCH_ENGINE!A728="","",MATCH_ENGINE!L728)</f>
        <v/>
      </c>
      <c r="L728" s="17">
        <f>IF(MATCH_ENGINE!A728="","",MATCH_ENGINE!M728)</f>
        <v/>
      </c>
      <c r="M728" s="11">
        <f>IF(MATCH_ENGINE!A728="","",GL_CLEAN!F728)</f>
        <v/>
      </c>
      <c r="N728" s="11">
        <f>IF(MATCH_ENGINE!A728="","",GL_CLEAN!G728)</f>
        <v/>
      </c>
      <c r="O728" s="11">
        <f>IF(MATCH_ENGINE!H728="","",INDEX(BANK_CLEAN!$C$2:$C$1001,MATCH_ENGINE!H728))</f>
        <v/>
      </c>
      <c r="P728" s="11" t="inlineStr"/>
    </row>
    <row r="729">
      <c r="A729" s="11">
        <f>IF(MATCH_ENGINE!A729="","",MATCH_ENGINE!N729)</f>
        <v/>
      </c>
      <c r="B729" s="11">
        <f>IF(MATCH_ENGINE!A729="","",MATCH_ENGINE!C729)</f>
        <v/>
      </c>
      <c r="C729" s="10">
        <f>IF(MATCH_ENGINE!A729="","",MATCH_ENGINE!B729)</f>
        <v/>
      </c>
      <c r="D729" s="16">
        <f>IF(MATCH_ENGINE!A729="","",MATCH_ENGINE!D729)</f>
        <v/>
      </c>
      <c r="E729" s="11">
        <f>IF(MATCH_ENGINE!A729="","",MATCH_ENGINE!F729)</f>
        <v/>
      </c>
      <c r="F729" s="10">
        <f>IF(MATCH_ENGINE!A729="","",MATCH_ENGINE!I729)</f>
        <v/>
      </c>
      <c r="G729" s="16">
        <f>IF(MATCH_ENGINE!H729="","",IF(MATCH_ENGINE!F729="IN",MATCH_ENGINE!J729,""))</f>
        <v/>
      </c>
      <c r="H729" s="16">
        <f>IF(MATCH_ENGINE!H729="","",IF(MATCH_ENGINE!F729="OUT",MATCH_ENGINE!J729,""))</f>
        <v/>
      </c>
      <c r="I729" s="16">
        <f>IF(MATCH_ENGINE!H729="","",MATCH_ENGINE!J729)</f>
        <v/>
      </c>
      <c r="J729" s="12">
        <f>IF(MATCH_ENGINE!A729="","",MATCH_ENGINE!K729)</f>
        <v/>
      </c>
      <c r="K729" s="11">
        <f>IF(MATCH_ENGINE!A729="","",MATCH_ENGINE!L729)</f>
        <v/>
      </c>
      <c r="L729" s="17">
        <f>IF(MATCH_ENGINE!A729="","",MATCH_ENGINE!M729)</f>
        <v/>
      </c>
      <c r="M729" s="11">
        <f>IF(MATCH_ENGINE!A729="","",GL_CLEAN!F729)</f>
        <v/>
      </c>
      <c r="N729" s="11">
        <f>IF(MATCH_ENGINE!A729="","",GL_CLEAN!G729)</f>
        <v/>
      </c>
      <c r="O729" s="11">
        <f>IF(MATCH_ENGINE!H729="","",INDEX(BANK_CLEAN!$C$2:$C$1001,MATCH_ENGINE!H729))</f>
        <v/>
      </c>
      <c r="P729" s="11" t="inlineStr"/>
    </row>
    <row r="730">
      <c r="A730" s="11">
        <f>IF(MATCH_ENGINE!A730="","",MATCH_ENGINE!N730)</f>
        <v/>
      </c>
      <c r="B730" s="11">
        <f>IF(MATCH_ENGINE!A730="","",MATCH_ENGINE!C730)</f>
        <v/>
      </c>
      <c r="C730" s="10">
        <f>IF(MATCH_ENGINE!A730="","",MATCH_ENGINE!B730)</f>
        <v/>
      </c>
      <c r="D730" s="16">
        <f>IF(MATCH_ENGINE!A730="","",MATCH_ENGINE!D730)</f>
        <v/>
      </c>
      <c r="E730" s="11">
        <f>IF(MATCH_ENGINE!A730="","",MATCH_ENGINE!F730)</f>
        <v/>
      </c>
      <c r="F730" s="10">
        <f>IF(MATCH_ENGINE!A730="","",MATCH_ENGINE!I730)</f>
        <v/>
      </c>
      <c r="G730" s="16">
        <f>IF(MATCH_ENGINE!H730="","",IF(MATCH_ENGINE!F730="IN",MATCH_ENGINE!J730,""))</f>
        <v/>
      </c>
      <c r="H730" s="16">
        <f>IF(MATCH_ENGINE!H730="","",IF(MATCH_ENGINE!F730="OUT",MATCH_ENGINE!J730,""))</f>
        <v/>
      </c>
      <c r="I730" s="16">
        <f>IF(MATCH_ENGINE!H730="","",MATCH_ENGINE!J730)</f>
        <v/>
      </c>
      <c r="J730" s="12">
        <f>IF(MATCH_ENGINE!A730="","",MATCH_ENGINE!K730)</f>
        <v/>
      </c>
      <c r="K730" s="11">
        <f>IF(MATCH_ENGINE!A730="","",MATCH_ENGINE!L730)</f>
        <v/>
      </c>
      <c r="L730" s="17">
        <f>IF(MATCH_ENGINE!A730="","",MATCH_ENGINE!M730)</f>
        <v/>
      </c>
      <c r="M730" s="11">
        <f>IF(MATCH_ENGINE!A730="","",GL_CLEAN!F730)</f>
        <v/>
      </c>
      <c r="N730" s="11">
        <f>IF(MATCH_ENGINE!A730="","",GL_CLEAN!G730)</f>
        <v/>
      </c>
      <c r="O730" s="11">
        <f>IF(MATCH_ENGINE!H730="","",INDEX(BANK_CLEAN!$C$2:$C$1001,MATCH_ENGINE!H730))</f>
        <v/>
      </c>
      <c r="P730" s="11" t="inlineStr"/>
    </row>
    <row r="731">
      <c r="A731" s="11">
        <f>IF(MATCH_ENGINE!A731="","",MATCH_ENGINE!N731)</f>
        <v/>
      </c>
      <c r="B731" s="11">
        <f>IF(MATCH_ENGINE!A731="","",MATCH_ENGINE!C731)</f>
        <v/>
      </c>
      <c r="C731" s="10">
        <f>IF(MATCH_ENGINE!A731="","",MATCH_ENGINE!B731)</f>
        <v/>
      </c>
      <c r="D731" s="16">
        <f>IF(MATCH_ENGINE!A731="","",MATCH_ENGINE!D731)</f>
        <v/>
      </c>
      <c r="E731" s="11">
        <f>IF(MATCH_ENGINE!A731="","",MATCH_ENGINE!F731)</f>
        <v/>
      </c>
      <c r="F731" s="10">
        <f>IF(MATCH_ENGINE!A731="","",MATCH_ENGINE!I731)</f>
        <v/>
      </c>
      <c r="G731" s="16">
        <f>IF(MATCH_ENGINE!H731="","",IF(MATCH_ENGINE!F731="IN",MATCH_ENGINE!J731,""))</f>
        <v/>
      </c>
      <c r="H731" s="16">
        <f>IF(MATCH_ENGINE!H731="","",IF(MATCH_ENGINE!F731="OUT",MATCH_ENGINE!J731,""))</f>
        <v/>
      </c>
      <c r="I731" s="16">
        <f>IF(MATCH_ENGINE!H731="","",MATCH_ENGINE!J731)</f>
        <v/>
      </c>
      <c r="J731" s="12">
        <f>IF(MATCH_ENGINE!A731="","",MATCH_ENGINE!K731)</f>
        <v/>
      </c>
      <c r="K731" s="11">
        <f>IF(MATCH_ENGINE!A731="","",MATCH_ENGINE!L731)</f>
        <v/>
      </c>
      <c r="L731" s="17">
        <f>IF(MATCH_ENGINE!A731="","",MATCH_ENGINE!M731)</f>
        <v/>
      </c>
      <c r="M731" s="11">
        <f>IF(MATCH_ENGINE!A731="","",GL_CLEAN!F731)</f>
        <v/>
      </c>
      <c r="N731" s="11">
        <f>IF(MATCH_ENGINE!A731="","",GL_CLEAN!G731)</f>
        <v/>
      </c>
      <c r="O731" s="11">
        <f>IF(MATCH_ENGINE!H731="","",INDEX(BANK_CLEAN!$C$2:$C$1001,MATCH_ENGINE!H731))</f>
        <v/>
      </c>
      <c r="P731" s="11" t="inlineStr"/>
    </row>
    <row r="732">
      <c r="A732" s="11">
        <f>IF(MATCH_ENGINE!A732="","",MATCH_ENGINE!N732)</f>
        <v/>
      </c>
      <c r="B732" s="11">
        <f>IF(MATCH_ENGINE!A732="","",MATCH_ENGINE!C732)</f>
        <v/>
      </c>
      <c r="C732" s="10">
        <f>IF(MATCH_ENGINE!A732="","",MATCH_ENGINE!B732)</f>
        <v/>
      </c>
      <c r="D732" s="16">
        <f>IF(MATCH_ENGINE!A732="","",MATCH_ENGINE!D732)</f>
        <v/>
      </c>
      <c r="E732" s="11">
        <f>IF(MATCH_ENGINE!A732="","",MATCH_ENGINE!F732)</f>
        <v/>
      </c>
      <c r="F732" s="10">
        <f>IF(MATCH_ENGINE!A732="","",MATCH_ENGINE!I732)</f>
        <v/>
      </c>
      <c r="G732" s="16">
        <f>IF(MATCH_ENGINE!H732="","",IF(MATCH_ENGINE!F732="IN",MATCH_ENGINE!J732,""))</f>
        <v/>
      </c>
      <c r="H732" s="16">
        <f>IF(MATCH_ENGINE!H732="","",IF(MATCH_ENGINE!F732="OUT",MATCH_ENGINE!J732,""))</f>
        <v/>
      </c>
      <c r="I732" s="16">
        <f>IF(MATCH_ENGINE!H732="","",MATCH_ENGINE!J732)</f>
        <v/>
      </c>
      <c r="J732" s="12">
        <f>IF(MATCH_ENGINE!A732="","",MATCH_ENGINE!K732)</f>
        <v/>
      </c>
      <c r="K732" s="11">
        <f>IF(MATCH_ENGINE!A732="","",MATCH_ENGINE!L732)</f>
        <v/>
      </c>
      <c r="L732" s="17">
        <f>IF(MATCH_ENGINE!A732="","",MATCH_ENGINE!M732)</f>
        <v/>
      </c>
      <c r="M732" s="11">
        <f>IF(MATCH_ENGINE!A732="","",GL_CLEAN!F732)</f>
        <v/>
      </c>
      <c r="N732" s="11">
        <f>IF(MATCH_ENGINE!A732="","",GL_CLEAN!G732)</f>
        <v/>
      </c>
      <c r="O732" s="11">
        <f>IF(MATCH_ENGINE!H732="","",INDEX(BANK_CLEAN!$C$2:$C$1001,MATCH_ENGINE!H732))</f>
        <v/>
      </c>
      <c r="P732" s="11" t="inlineStr"/>
    </row>
    <row r="733">
      <c r="A733" s="11">
        <f>IF(MATCH_ENGINE!A733="","",MATCH_ENGINE!N733)</f>
        <v/>
      </c>
      <c r="B733" s="11">
        <f>IF(MATCH_ENGINE!A733="","",MATCH_ENGINE!C733)</f>
        <v/>
      </c>
      <c r="C733" s="10">
        <f>IF(MATCH_ENGINE!A733="","",MATCH_ENGINE!B733)</f>
        <v/>
      </c>
      <c r="D733" s="16">
        <f>IF(MATCH_ENGINE!A733="","",MATCH_ENGINE!D733)</f>
        <v/>
      </c>
      <c r="E733" s="11">
        <f>IF(MATCH_ENGINE!A733="","",MATCH_ENGINE!F733)</f>
        <v/>
      </c>
      <c r="F733" s="10">
        <f>IF(MATCH_ENGINE!A733="","",MATCH_ENGINE!I733)</f>
        <v/>
      </c>
      <c r="G733" s="16">
        <f>IF(MATCH_ENGINE!H733="","",IF(MATCH_ENGINE!F733="IN",MATCH_ENGINE!J733,""))</f>
        <v/>
      </c>
      <c r="H733" s="16">
        <f>IF(MATCH_ENGINE!H733="","",IF(MATCH_ENGINE!F733="OUT",MATCH_ENGINE!J733,""))</f>
        <v/>
      </c>
      <c r="I733" s="16">
        <f>IF(MATCH_ENGINE!H733="","",MATCH_ENGINE!J733)</f>
        <v/>
      </c>
      <c r="J733" s="12">
        <f>IF(MATCH_ENGINE!A733="","",MATCH_ENGINE!K733)</f>
        <v/>
      </c>
      <c r="K733" s="11">
        <f>IF(MATCH_ENGINE!A733="","",MATCH_ENGINE!L733)</f>
        <v/>
      </c>
      <c r="L733" s="17">
        <f>IF(MATCH_ENGINE!A733="","",MATCH_ENGINE!M733)</f>
        <v/>
      </c>
      <c r="M733" s="11">
        <f>IF(MATCH_ENGINE!A733="","",GL_CLEAN!F733)</f>
        <v/>
      </c>
      <c r="N733" s="11">
        <f>IF(MATCH_ENGINE!A733="","",GL_CLEAN!G733)</f>
        <v/>
      </c>
      <c r="O733" s="11">
        <f>IF(MATCH_ENGINE!H733="","",INDEX(BANK_CLEAN!$C$2:$C$1001,MATCH_ENGINE!H733))</f>
        <v/>
      </c>
      <c r="P733" s="11" t="inlineStr"/>
    </row>
    <row r="734">
      <c r="A734" s="11">
        <f>IF(MATCH_ENGINE!A734="","",MATCH_ENGINE!N734)</f>
        <v/>
      </c>
      <c r="B734" s="11">
        <f>IF(MATCH_ENGINE!A734="","",MATCH_ENGINE!C734)</f>
        <v/>
      </c>
      <c r="C734" s="10">
        <f>IF(MATCH_ENGINE!A734="","",MATCH_ENGINE!B734)</f>
        <v/>
      </c>
      <c r="D734" s="16">
        <f>IF(MATCH_ENGINE!A734="","",MATCH_ENGINE!D734)</f>
        <v/>
      </c>
      <c r="E734" s="11">
        <f>IF(MATCH_ENGINE!A734="","",MATCH_ENGINE!F734)</f>
        <v/>
      </c>
      <c r="F734" s="10">
        <f>IF(MATCH_ENGINE!A734="","",MATCH_ENGINE!I734)</f>
        <v/>
      </c>
      <c r="G734" s="16">
        <f>IF(MATCH_ENGINE!H734="","",IF(MATCH_ENGINE!F734="IN",MATCH_ENGINE!J734,""))</f>
        <v/>
      </c>
      <c r="H734" s="16">
        <f>IF(MATCH_ENGINE!H734="","",IF(MATCH_ENGINE!F734="OUT",MATCH_ENGINE!J734,""))</f>
        <v/>
      </c>
      <c r="I734" s="16">
        <f>IF(MATCH_ENGINE!H734="","",MATCH_ENGINE!J734)</f>
        <v/>
      </c>
      <c r="J734" s="12">
        <f>IF(MATCH_ENGINE!A734="","",MATCH_ENGINE!K734)</f>
        <v/>
      </c>
      <c r="K734" s="11">
        <f>IF(MATCH_ENGINE!A734="","",MATCH_ENGINE!L734)</f>
        <v/>
      </c>
      <c r="L734" s="17">
        <f>IF(MATCH_ENGINE!A734="","",MATCH_ENGINE!M734)</f>
        <v/>
      </c>
      <c r="M734" s="11">
        <f>IF(MATCH_ENGINE!A734="","",GL_CLEAN!F734)</f>
        <v/>
      </c>
      <c r="N734" s="11">
        <f>IF(MATCH_ENGINE!A734="","",GL_CLEAN!G734)</f>
        <v/>
      </c>
      <c r="O734" s="11">
        <f>IF(MATCH_ENGINE!H734="","",INDEX(BANK_CLEAN!$C$2:$C$1001,MATCH_ENGINE!H734))</f>
        <v/>
      </c>
      <c r="P734" s="11" t="inlineStr"/>
    </row>
    <row r="735">
      <c r="A735" s="11">
        <f>IF(MATCH_ENGINE!A735="","",MATCH_ENGINE!N735)</f>
        <v/>
      </c>
      <c r="B735" s="11">
        <f>IF(MATCH_ENGINE!A735="","",MATCH_ENGINE!C735)</f>
        <v/>
      </c>
      <c r="C735" s="10">
        <f>IF(MATCH_ENGINE!A735="","",MATCH_ENGINE!B735)</f>
        <v/>
      </c>
      <c r="D735" s="16">
        <f>IF(MATCH_ENGINE!A735="","",MATCH_ENGINE!D735)</f>
        <v/>
      </c>
      <c r="E735" s="11">
        <f>IF(MATCH_ENGINE!A735="","",MATCH_ENGINE!F735)</f>
        <v/>
      </c>
      <c r="F735" s="10">
        <f>IF(MATCH_ENGINE!A735="","",MATCH_ENGINE!I735)</f>
        <v/>
      </c>
      <c r="G735" s="16">
        <f>IF(MATCH_ENGINE!H735="","",IF(MATCH_ENGINE!F735="IN",MATCH_ENGINE!J735,""))</f>
        <v/>
      </c>
      <c r="H735" s="16">
        <f>IF(MATCH_ENGINE!H735="","",IF(MATCH_ENGINE!F735="OUT",MATCH_ENGINE!J735,""))</f>
        <v/>
      </c>
      <c r="I735" s="16">
        <f>IF(MATCH_ENGINE!H735="","",MATCH_ENGINE!J735)</f>
        <v/>
      </c>
      <c r="J735" s="12">
        <f>IF(MATCH_ENGINE!A735="","",MATCH_ENGINE!K735)</f>
        <v/>
      </c>
      <c r="K735" s="11">
        <f>IF(MATCH_ENGINE!A735="","",MATCH_ENGINE!L735)</f>
        <v/>
      </c>
      <c r="L735" s="17">
        <f>IF(MATCH_ENGINE!A735="","",MATCH_ENGINE!M735)</f>
        <v/>
      </c>
      <c r="M735" s="11">
        <f>IF(MATCH_ENGINE!A735="","",GL_CLEAN!F735)</f>
        <v/>
      </c>
      <c r="N735" s="11">
        <f>IF(MATCH_ENGINE!A735="","",GL_CLEAN!G735)</f>
        <v/>
      </c>
      <c r="O735" s="11">
        <f>IF(MATCH_ENGINE!H735="","",INDEX(BANK_CLEAN!$C$2:$C$1001,MATCH_ENGINE!H735))</f>
        <v/>
      </c>
      <c r="P735" s="11" t="inlineStr"/>
    </row>
    <row r="736">
      <c r="A736" s="11">
        <f>IF(MATCH_ENGINE!A736="","",MATCH_ENGINE!N736)</f>
        <v/>
      </c>
      <c r="B736" s="11">
        <f>IF(MATCH_ENGINE!A736="","",MATCH_ENGINE!C736)</f>
        <v/>
      </c>
      <c r="C736" s="10">
        <f>IF(MATCH_ENGINE!A736="","",MATCH_ENGINE!B736)</f>
        <v/>
      </c>
      <c r="D736" s="16">
        <f>IF(MATCH_ENGINE!A736="","",MATCH_ENGINE!D736)</f>
        <v/>
      </c>
      <c r="E736" s="11">
        <f>IF(MATCH_ENGINE!A736="","",MATCH_ENGINE!F736)</f>
        <v/>
      </c>
      <c r="F736" s="10">
        <f>IF(MATCH_ENGINE!A736="","",MATCH_ENGINE!I736)</f>
        <v/>
      </c>
      <c r="G736" s="16">
        <f>IF(MATCH_ENGINE!H736="","",IF(MATCH_ENGINE!F736="IN",MATCH_ENGINE!J736,""))</f>
        <v/>
      </c>
      <c r="H736" s="16">
        <f>IF(MATCH_ENGINE!H736="","",IF(MATCH_ENGINE!F736="OUT",MATCH_ENGINE!J736,""))</f>
        <v/>
      </c>
      <c r="I736" s="16">
        <f>IF(MATCH_ENGINE!H736="","",MATCH_ENGINE!J736)</f>
        <v/>
      </c>
      <c r="J736" s="12">
        <f>IF(MATCH_ENGINE!A736="","",MATCH_ENGINE!K736)</f>
        <v/>
      </c>
      <c r="K736" s="11">
        <f>IF(MATCH_ENGINE!A736="","",MATCH_ENGINE!L736)</f>
        <v/>
      </c>
      <c r="L736" s="17">
        <f>IF(MATCH_ENGINE!A736="","",MATCH_ENGINE!M736)</f>
        <v/>
      </c>
      <c r="M736" s="11">
        <f>IF(MATCH_ENGINE!A736="","",GL_CLEAN!F736)</f>
        <v/>
      </c>
      <c r="N736" s="11">
        <f>IF(MATCH_ENGINE!A736="","",GL_CLEAN!G736)</f>
        <v/>
      </c>
      <c r="O736" s="11">
        <f>IF(MATCH_ENGINE!H736="","",INDEX(BANK_CLEAN!$C$2:$C$1001,MATCH_ENGINE!H736))</f>
        <v/>
      </c>
      <c r="P736" s="11" t="inlineStr"/>
    </row>
    <row r="737">
      <c r="A737" s="11">
        <f>IF(MATCH_ENGINE!A737="","",MATCH_ENGINE!N737)</f>
        <v/>
      </c>
      <c r="B737" s="11">
        <f>IF(MATCH_ENGINE!A737="","",MATCH_ENGINE!C737)</f>
        <v/>
      </c>
      <c r="C737" s="10">
        <f>IF(MATCH_ENGINE!A737="","",MATCH_ENGINE!B737)</f>
        <v/>
      </c>
      <c r="D737" s="16">
        <f>IF(MATCH_ENGINE!A737="","",MATCH_ENGINE!D737)</f>
        <v/>
      </c>
      <c r="E737" s="11">
        <f>IF(MATCH_ENGINE!A737="","",MATCH_ENGINE!F737)</f>
        <v/>
      </c>
      <c r="F737" s="10">
        <f>IF(MATCH_ENGINE!A737="","",MATCH_ENGINE!I737)</f>
        <v/>
      </c>
      <c r="G737" s="16">
        <f>IF(MATCH_ENGINE!H737="","",IF(MATCH_ENGINE!F737="IN",MATCH_ENGINE!J737,""))</f>
        <v/>
      </c>
      <c r="H737" s="16">
        <f>IF(MATCH_ENGINE!H737="","",IF(MATCH_ENGINE!F737="OUT",MATCH_ENGINE!J737,""))</f>
        <v/>
      </c>
      <c r="I737" s="16">
        <f>IF(MATCH_ENGINE!H737="","",MATCH_ENGINE!J737)</f>
        <v/>
      </c>
      <c r="J737" s="12">
        <f>IF(MATCH_ENGINE!A737="","",MATCH_ENGINE!K737)</f>
        <v/>
      </c>
      <c r="K737" s="11">
        <f>IF(MATCH_ENGINE!A737="","",MATCH_ENGINE!L737)</f>
        <v/>
      </c>
      <c r="L737" s="17">
        <f>IF(MATCH_ENGINE!A737="","",MATCH_ENGINE!M737)</f>
        <v/>
      </c>
      <c r="M737" s="11">
        <f>IF(MATCH_ENGINE!A737="","",GL_CLEAN!F737)</f>
        <v/>
      </c>
      <c r="N737" s="11">
        <f>IF(MATCH_ENGINE!A737="","",GL_CLEAN!G737)</f>
        <v/>
      </c>
      <c r="O737" s="11">
        <f>IF(MATCH_ENGINE!H737="","",INDEX(BANK_CLEAN!$C$2:$C$1001,MATCH_ENGINE!H737))</f>
        <v/>
      </c>
      <c r="P737" s="11" t="inlineStr"/>
    </row>
    <row r="738">
      <c r="A738" s="11">
        <f>IF(MATCH_ENGINE!A738="","",MATCH_ENGINE!N738)</f>
        <v/>
      </c>
      <c r="B738" s="11">
        <f>IF(MATCH_ENGINE!A738="","",MATCH_ENGINE!C738)</f>
        <v/>
      </c>
      <c r="C738" s="10">
        <f>IF(MATCH_ENGINE!A738="","",MATCH_ENGINE!B738)</f>
        <v/>
      </c>
      <c r="D738" s="16">
        <f>IF(MATCH_ENGINE!A738="","",MATCH_ENGINE!D738)</f>
        <v/>
      </c>
      <c r="E738" s="11">
        <f>IF(MATCH_ENGINE!A738="","",MATCH_ENGINE!F738)</f>
        <v/>
      </c>
      <c r="F738" s="10">
        <f>IF(MATCH_ENGINE!A738="","",MATCH_ENGINE!I738)</f>
        <v/>
      </c>
      <c r="G738" s="16">
        <f>IF(MATCH_ENGINE!H738="","",IF(MATCH_ENGINE!F738="IN",MATCH_ENGINE!J738,""))</f>
        <v/>
      </c>
      <c r="H738" s="16">
        <f>IF(MATCH_ENGINE!H738="","",IF(MATCH_ENGINE!F738="OUT",MATCH_ENGINE!J738,""))</f>
        <v/>
      </c>
      <c r="I738" s="16">
        <f>IF(MATCH_ENGINE!H738="","",MATCH_ENGINE!J738)</f>
        <v/>
      </c>
      <c r="J738" s="12">
        <f>IF(MATCH_ENGINE!A738="","",MATCH_ENGINE!K738)</f>
        <v/>
      </c>
      <c r="K738" s="11">
        <f>IF(MATCH_ENGINE!A738="","",MATCH_ENGINE!L738)</f>
        <v/>
      </c>
      <c r="L738" s="17">
        <f>IF(MATCH_ENGINE!A738="","",MATCH_ENGINE!M738)</f>
        <v/>
      </c>
      <c r="M738" s="11">
        <f>IF(MATCH_ENGINE!A738="","",GL_CLEAN!F738)</f>
        <v/>
      </c>
      <c r="N738" s="11">
        <f>IF(MATCH_ENGINE!A738="","",GL_CLEAN!G738)</f>
        <v/>
      </c>
      <c r="O738" s="11">
        <f>IF(MATCH_ENGINE!H738="","",INDEX(BANK_CLEAN!$C$2:$C$1001,MATCH_ENGINE!H738))</f>
        <v/>
      </c>
      <c r="P738" s="11" t="inlineStr"/>
    </row>
    <row r="739">
      <c r="A739" s="11">
        <f>IF(MATCH_ENGINE!A739="","",MATCH_ENGINE!N739)</f>
        <v/>
      </c>
      <c r="B739" s="11">
        <f>IF(MATCH_ENGINE!A739="","",MATCH_ENGINE!C739)</f>
        <v/>
      </c>
      <c r="C739" s="10">
        <f>IF(MATCH_ENGINE!A739="","",MATCH_ENGINE!B739)</f>
        <v/>
      </c>
      <c r="D739" s="16">
        <f>IF(MATCH_ENGINE!A739="","",MATCH_ENGINE!D739)</f>
        <v/>
      </c>
      <c r="E739" s="11">
        <f>IF(MATCH_ENGINE!A739="","",MATCH_ENGINE!F739)</f>
        <v/>
      </c>
      <c r="F739" s="10">
        <f>IF(MATCH_ENGINE!A739="","",MATCH_ENGINE!I739)</f>
        <v/>
      </c>
      <c r="G739" s="16">
        <f>IF(MATCH_ENGINE!H739="","",IF(MATCH_ENGINE!F739="IN",MATCH_ENGINE!J739,""))</f>
        <v/>
      </c>
      <c r="H739" s="16">
        <f>IF(MATCH_ENGINE!H739="","",IF(MATCH_ENGINE!F739="OUT",MATCH_ENGINE!J739,""))</f>
        <v/>
      </c>
      <c r="I739" s="16">
        <f>IF(MATCH_ENGINE!H739="","",MATCH_ENGINE!J739)</f>
        <v/>
      </c>
      <c r="J739" s="12">
        <f>IF(MATCH_ENGINE!A739="","",MATCH_ENGINE!K739)</f>
        <v/>
      </c>
      <c r="K739" s="11">
        <f>IF(MATCH_ENGINE!A739="","",MATCH_ENGINE!L739)</f>
        <v/>
      </c>
      <c r="L739" s="17">
        <f>IF(MATCH_ENGINE!A739="","",MATCH_ENGINE!M739)</f>
        <v/>
      </c>
      <c r="M739" s="11">
        <f>IF(MATCH_ENGINE!A739="","",GL_CLEAN!F739)</f>
        <v/>
      </c>
      <c r="N739" s="11">
        <f>IF(MATCH_ENGINE!A739="","",GL_CLEAN!G739)</f>
        <v/>
      </c>
      <c r="O739" s="11">
        <f>IF(MATCH_ENGINE!H739="","",INDEX(BANK_CLEAN!$C$2:$C$1001,MATCH_ENGINE!H739))</f>
        <v/>
      </c>
      <c r="P739" s="11" t="inlineStr"/>
    </row>
    <row r="740">
      <c r="A740" s="11">
        <f>IF(MATCH_ENGINE!A740="","",MATCH_ENGINE!N740)</f>
        <v/>
      </c>
      <c r="B740" s="11">
        <f>IF(MATCH_ENGINE!A740="","",MATCH_ENGINE!C740)</f>
        <v/>
      </c>
      <c r="C740" s="10">
        <f>IF(MATCH_ENGINE!A740="","",MATCH_ENGINE!B740)</f>
        <v/>
      </c>
      <c r="D740" s="16">
        <f>IF(MATCH_ENGINE!A740="","",MATCH_ENGINE!D740)</f>
        <v/>
      </c>
      <c r="E740" s="11">
        <f>IF(MATCH_ENGINE!A740="","",MATCH_ENGINE!F740)</f>
        <v/>
      </c>
      <c r="F740" s="10">
        <f>IF(MATCH_ENGINE!A740="","",MATCH_ENGINE!I740)</f>
        <v/>
      </c>
      <c r="G740" s="16">
        <f>IF(MATCH_ENGINE!H740="","",IF(MATCH_ENGINE!F740="IN",MATCH_ENGINE!J740,""))</f>
        <v/>
      </c>
      <c r="H740" s="16">
        <f>IF(MATCH_ENGINE!H740="","",IF(MATCH_ENGINE!F740="OUT",MATCH_ENGINE!J740,""))</f>
        <v/>
      </c>
      <c r="I740" s="16">
        <f>IF(MATCH_ENGINE!H740="","",MATCH_ENGINE!J740)</f>
        <v/>
      </c>
      <c r="J740" s="12">
        <f>IF(MATCH_ENGINE!A740="","",MATCH_ENGINE!K740)</f>
        <v/>
      </c>
      <c r="K740" s="11">
        <f>IF(MATCH_ENGINE!A740="","",MATCH_ENGINE!L740)</f>
        <v/>
      </c>
      <c r="L740" s="17">
        <f>IF(MATCH_ENGINE!A740="","",MATCH_ENGINE!M740)</f>
        <v/>
      </c>
      <c r="M740" s="11">
        <f>IF(MATCH_ENGINE!A740="","",GL_CLEAN!F740)</f>
        <v/>
      </c>
      <c r="N740" s="11">
        <f>IF(MATCH_ENGINE!A740="","",GL_CLEAN!G740)</f>
        <v/>
      </c>
      <c r="O740" s="11">
        <f>IF(MATCH_ENGINE!H740="","",INDEX(BANK_CLEAN!$C$2:$C$1001,MATCH_ENGINE!H740))</f>
        <v/>
      </c>
      <c r="P740" s="11" t="inlineStr"/>
    </row>
    <row r="741">
      <c r="A741" s="11">
        <f>IF(MATCH_ENGINE!A741="","",MATCH_ENGINE!N741)</f>
        <v/>
      </c>
      <c r="B741" s="11">
        <f>IF(MATCH_ENGINE!A741="","",MATCH_ENGINE!C741)</f>
        <v/>
      </c>
      <c r="C741" s="10">
        <f>IF(MATCH_ENGINE!A741="","",MATCH_ENGINE!B741)</f>
        <v/>
      </c>
      <c r="D741" s="16">
        <f>IF(MATCH_ENGINE!A741="","",MATCH_ENGINE!D741)</f>
        <v/>
      </c>
      <c r="E741" s="11">
        <f>IF(MATCH_ENGINE!A741="","",MATCH_ENGINE!F741)</f>
        <v/>
      </c>
      <c r="F741" s="10">
        <f>IF(MATCH_ENGINE!A741="","",MATCH_ENGINE!I741)</f>
        <v/>
      </c>
      <c r="G741" s="16">
        <f>IF(MATCH_ENGINE!H741="","",IF(MATCH_ENGINE!F741="IN",MATCH_ENGINE!J741,""))</f>
        <v/>
      </c>
      <c r="H741" s="16">
        <f>IF(MATCH_ENGINE!H741="","",IF(MATCH_ENGINE!F741="OUT",MATCH_ENGINE!J741,""))</f>
        <v/>
      </c>
      <c r="I741" s="16">
        <f>IF(MATCH_ENGINE!H741="","",MATCH_ENGINE!J741)</f>
        <v/>
      </c>
      <c r="J741" s="12">
        <f>IF(MATCH_ENGINE!A741="","",MATCH_ENGINE!K741)</f>
        <v/>
      </c>
      <c r="K741" s="11">
        <f>IF(MATCH_ENGINE!A741="","",MATCH_ENGINE!L741)</f>
        <v/>
      </c>
      <c r="L741" s="17">
        <f>IF(MATCH_ENGINE!A741="","",MATCH_ENGINE!M741)</f>
        <v/>
      </c>
      <c r="M741" s="11">
        <f>IF(MATCH_ENGINE!A741="","",GL_CLEAN!F741)</f>
        <v/>
      </c>
      <c r="N741" s="11">
        <f>IF(MATCH_ENGINE!A741="","",GL_CLEAN!G741)</f>
        <v/>
      </c>
      <c r="O741" s="11">
        <f>IF(MATCH_ENGINE!H741="","",INDEX(BANK_CLEAN!$C$2:$C$1001,MATCH_ENGINE!H741))</f>
        <v/>
      </c>
      <c r="P741" s="11" t="inlineStr"/>
    </row>
    <row r="742">
      <c r="A742" s="11">
        <f>IF(MATCH_ENGINE!A742="","",MATCH_ENGINE!N742)</f>
        <v/>
      </c>
      <c r="B742" s="11">
        <f>IF(MATCH_ENGINE!A742="","",MATCH_ENGINE!C742)</f>
        <v/>
      </c>
      <c r="C742" s="10">
        <f>IF(MATCH_ENGINE!A742="","",MATCH_ENGINE!B742)</f>
        <v/>
      </c>
      <c r="D742" s="16">
        <f>IF(MATCH_ENGINE!A742="","",MATCH_ENGINE!D742)</f>
        <v/>
      </c>
      <c r="E742" s="11">
        <f>IF(MATCH_ENGINE!A742="","",MATCH_ENGINE!F742)</f>
        <v/>
      </c>
      <c r="F742" s="10">
        <f>IF(MATCH_ENGINE!A742="","",MATCH_ENGINE!I742)</f>
        <v/>
      </c>
      <c r="G742" s="16">
        <f>IF(MATCH_ENGINE!H742="","",IF(MATCH_ENGINE!F742="IN",MATCH_ENGINE!J742,""))</f>
        <v/>
      </c>
      <c r="H742" s="16">
        <f>IF(MATCH_ENGINE!H742="","",IF(MATCH_ENGINE!F742="OUT",MATCH_ENGINE!J742,""))</f>
        <v/>
      </c>
      <c r="I742" s="16">
        <f>IF(MATCH_ENGINE!H742="","",MATCH_ENGINE!J742)</f>
        <v/>
      </c>
      <c r="J742" s="12">
        <f>IF(MATCH_ENGINE!A742="","",MATCH_ENGINE!K742)</f>
        <v/>
      </c>
      <c r="K742" s="11">
        <f>IF(MATCH_ENGINE!A742="","",MATCH_ENGINE!L742)</f>
        <v/>
      </c>
      <c r="L742" s="17">
        <f>IF(MATCH_ENGINE!A742="","",MATCH_ENGINE!M742)</f>
        <v/>
      </c>
      <c r="M742" s="11">
        <f>IF(MATCH_ENGINE!A742="","",GL_CLEAN!F742)</f>
        <v/>
      </c>
      <c r="N742" s="11">
        <f>IF(MATCH_ENGINE!A742="","",GL_CLEAN!G742)</f>
        <v/>
      </c>
      <c r="O742" s="11">
        <f>IF(MATCH_ENGINE!H742="","",INDEX(BANK_CLEAN!$C$2:$C$1001,MATCH_ENGINE!H742))</f>
        <v/>
      </c>
      <c r="P742" s="11" t="inlineStr"/>
    </row>
    <row r="743">
      <c r="A743" s="11">
        <f>IF(MATCH_ENGINE!A743="","",MATCH_ENGINE!N743)</f>
        <v/>
      </c>
      <c r="B743" s="11">
        <f>IF(MATCH_ENGINE!A743="","",MATCH_ENGINE!C743)</f>
        <v/>
      </c>
      <c r="C743" s="10">
        <f>IF(MATCH_ENGINE!A743="","",MATCH_ENGINE!B743)</f>
        <v/>
      </c>
      <c r="D743" s="16">
        <f>IF(MATCH_ENGINE!A743="","",MATCH_ENGINE!D743)</f>
        <v/>
      </c>
      <c r="E743" s="11">
        <f>IF(MATCH_ENGINE!A743="","",MATCH_ENGINE!F743)</f>
        <v/>
      </c>
      <c r="F743" s="10">
        <f>IF(MATCH_ENGINE!A743="","",MATCH_ENGINE!I743)</f>
        <v/>
      </c>
      <c r="G743" s="16">
        <f>IF(MATCH_ENGINE!H743="","",IF(MATCH_ENGINE!F743="IN",MATCH_ENGINE!J743,""))</f>
        <v/>
      </c>
      <c r="H743" s="16">
        <f>IF(MATCH_ENGINE!H743="","",IF(MATCH_ENGINE!F743="OUT",MATCH_ENGINE!J743,""))</f>
        <v/>
      </c>
      <c r="I743" s="16">
        <f>IF(MATCH_ENGINE!H743="","",MATCH_ENGINE!J743)</f>
        <v/>
      </c>
      <c r="J743" s="12">
        <f>IF(MATCH_ENGINE!A743="","",MATCH_ENGINE!K743)</f>
        <v/>
      </c>
      <c r="K743" s="11">
        <f>IF(MATCH_ENGINE!A743="","",MATCH_ENGINE!L743)</f>
        <v/>
      </c>
      <c r="L743" s="17">
        <f>IF(MATCH_ENGINE!A743="","",MATCH_ENGINE!M743)</f>
        <v/>
      </c>
      <c r="M743" s="11">
        <f>IF(MATCH_ENGINE!A743="","",GL_CLEAN!F743)</f>
        <v/>
      </c>
      <c r="N743" s="11">
        <f>IF(MATCH_ENGINE!A743="","",GL_CLEAN!G743)</f>
        <v/>
      </c>
      <c r="O743" s="11">
        <f>IF(MATCH_ENGINE!H743="","",INDEX(BANK_CLEAN!$C$2:$C$1001,MATCH_ENGINE!H743))</f>
        <v/>
      </c>
      <c r="P743" s="11" t="inlineStr"/>
    </row>
    <row r="744">
      <c r="A744" s="11">
        <f>IF(MATCH_ENGINE!A744="","",MATCH_ENGINE!N744)</f>
        <v/>
      </c>
      <c r="B744" s="11">
        <f>IF(MATCH_ENGINE!A744="","",MATCH_ENGINE!C744)</f>
        <v/>
      </c>
      <c r="C744" s="10">
        <f>IF(MATCH_ENGINE!A744="","",MATCH_ENGINE!B744)</f>
        <v/>
      </c>
      <c r="D744" s="16">
        <f>IF(MATCH_ENGINE!A744="","",MATCH_ENGINE!D744)</f>
        <v/>
      </c>
      <c r="E744" s="11">
        <f>IF(MATCH_ENGINE!A744="","",MATCH_ENGINE!F744)</f>
        <v/>
      </c>
      <c r="F744" s="10">
        <f>IF(MATCH_ENGINE!A744="","",MATCH_ENGINE!I744)</f>
        <v/>
      </c>
      <c r="G744" s="16">
        <f>IF(MATCH_ENGINE!H744="","",IF(MATCH_ENGINE!F744="IN",MATCH_ENGINE!J744,""))</f>
        <v/>
      </c>
      <c r="H744" s="16">
        <f>IF(MATCH_ENGINE!H744="","",IF(MATCH_ENGINE!F744="OUT",MATCH_ENGINE!J744,""))</f>
        <v/>
      </c>
      <c r="I744" s="16">
        <f>IF(MATCH_ENGINE!H744="","",MATCH_ENGINE!J744)</f>
        <v/>
      </c>
      <c r="J744" s="12">
        <f>IF(MATCH_ENGINE!A744="","",MATCH_ENGINE!K744)</f>
        <v/>
      </c>
      <c r="K744" s="11">
        <f>IF(MATCH_ENGINE!A744="","",MATCH_ENGINE!L744)</f>
        <v/>
      </c>
      <c r="L744" s="17">
        <f>IF(MATCH_ENGINE!A744="","",MATCH_ENGINE!M744)</f>
        <v/>
      </c>
      <c r="M744" s="11">
        <f>IF(MATCH_ENGINE!A744="","",GL_CLEAN!F744)</f>
        <v/>
      </c>
      <c r="N744" s="11">
        <f>IF(MATCH_ENGINE!A744="","",GL_CLEAN!G744)</f>
        <v/>
      </c>
      <c r="O744" s="11">
        <f>IF(MATCH_ENGINE!H744="","",INDEX(BANK_CLEAN!$C$2:$C$1001,MATCH_ENGINE!H744))</f>
        <v/>
      </c>
      <c r="P744" s="11" t="inlineStr"/>
    </row>
    <row r="745">
      <c r="A745" s="11">
        <f>IF(MATCH_ENGINE!A745="","",MATCH_ENGINE!N745)</f>
        <v/>
      </c>
      <c r="B745" s="11">
        <f>IF(MATCH_ENGINE!A745="","",MATCH_ENGINE!C745)</f>
        <v/>
      </c>
      <c r="C745" s="10">
        <f>IF(MATCH_ENGINE!A745="","",MATCH_ENGINE!B745)</f>
        <v/>
      </c>
      <c r="D745" s="16">
        <f>IF(MATCH_ENGINE!A745="","",MATCH_ENGINE!D745)</f>
        <v/>
      </c>
      <c r="E745" s="11">
        <f>IF(MATCH_ENGINE!A745="","",MATCH_ENGINE!F745)</f>
        <v/>
      </c>
      <c r="F745" s="10">
        <f>IF(MATCH_ENGINE!A745="","",MATCH_ENGINE!I745)</f>
        <v/>
      </c>
      <c r="G745" s="16">
        <f>IF(MATCH_ENGINE!H745="","",IF(MATCH_ENGINE!F745="IN",MATCH_ENGINE!J745,""))</f>
        <v/>
      </c>
      <c r="H745" s="16">
        <f>IF(MATCH_ENGINE!H745="","",IF(MATCH_ENGINE!F745="OUT",MATCH_ENGINE!J745,""))</f>
        <v/>
      </c>
      <c r="I745" s="16">
        <f>IF(MATCH_ENGINE!H745="","",MATCH_ENGINE!J745)</f>
        <v/>
      </c>
      <c r="J745" s="12">
        <f>IF(MATCH_ENGINE!A745="","",MATCH_ENGINE!K745)</f>
        <v/>
      </c>
      <c r="K745" s="11">
        <f>IF(MATCH_ENGINE!A745="","",MATCH_ENGINE!L745)</f>
        <v/>
      </c>
      <c r="L745" s="17">
        <f>IF(MATCH_ENGINE!A745="","",MATCH_ENGINE!M745)</f>
        <v/>
      </c>
      <c r="M745" s="11">
        <f>IF(MATCH_ENGINE!A745="","",GL_CLEAN!F745)</f>
        <v/>
      </c>
      <c r="N745" s="11">
        <f>IF(MATCH_ENGINE!A745="","",GL_CLEAN!G745)</f>
        <v/>
      </c>
      <c r="O745" s="11">
        <f>IF(MATCH_ENGINE!H745="","",INDEX(BANK_CLEAN!$C$2:$C$1001,MATCH_ENGINE!H745))</f>
        <v/>
      </c>
      <c r="P745" s="11" t="inlineStr"/>
    </row>
    <row r="746">
      <c r="A746" s="11">
        <f>IF(MATCH_ENGINE!A746="","",MATCH_ENGINE!N746)</f>
        <v/>
      </c>
      <c r="B746" s="11">
        <f>IF(MATCH_ENGINE!A746="","",MATCH_ENGINE!C746)</f>
        <v/>
      </c>
      <c r="C746" s="10">
        <f>IF(MATCH_ENGINE!A746="","",MATCH_ENGINE!B746)</f>
        <v/>
      </c>
      <c r="D746" s="16">
        <f>IF(MATCH_ENGINE!A746="","",MATCH_ENGINE!D746)</f>
        <v/>
      </c>
      <c r="E746" s="11">
        <f>IF(MATCH_ENGINE!A746="","",MATCH_ENGINE!F746)</f>
        <v/>
      </c>
      <c r="F746" s="10">
        <f>IF(MATCH_ENGINE!A746="","",MATCH_ENGINE!I746)</f>
        <v/>
      </c>
      <c r="G746" s="16">
        <f>IF(MATCH_ENGINE!H746="","",IF(MATCH_ENGINE!F746="IN",MATCH_ENGINE!J746,""))</f>
        <v/>
      </c>
      <c r="H746" s="16">
        <f>IF(MATCH_ENGINE!H746="","",IF(MATCH_ENGINE!F746="OUT",MATCH_ENGINE!J746,""))</f>
        <v/>
      </c>
      <c r="I746" s="16">
        <f>IF(MATCH_ENGINE!H746="","",MATCH_ENGINE!J746)</f>
        <v/>
      </c>
      <c r="J746" s="12">
        <f>IF(MATCH_ENGINE!A746="","",MATCH_ENGINE!K746)</f>
        <v/>
      </c>
      <c r="K746" s="11">
        <f>IF(MATCH_ENGINE!A746="","",MATCH_ENGINE!L746)</f>
        <v/>
      </c>
      <c r="L746" s="17">
        <f>IF(MATCH_ENGINE!A746="","",MATCH_ENGINE!M746)</f>
        <v/>
      </c>
      <c r="M746" s="11">
        <f>IF(MATCH_ENGINE!A746="","",GL_CLEAN!F746)</f>
        <v/>
      </c>
      <c r="N746" s="11">
        <f>IF(MATCH_ENGINE!A746="","",GL_CLEAN!G746)</f>
        <v/>
      </c>
      <c r="O746" s="11">
        <f>IF(MATCH_ENGINE!H746="","",INDEX(BANK_CLEAN!$C$2:$C$1001,MATCH_ENGINE!H746))</f>
        <v/>
      </c>
      <c r="P746" s="11" t="inlineStr"/>
    </row>
    <row r="747">
      <c r="A747" s="11">
        <f>IF(MATCH_ENGINE!A747="","",MATCH_ENGINE!N747)</f>
        <v/>
      </c>
      <c r="B747" s="11">
        <f>IF(MATCH_ENGINE!A747="","",MATCH_ENGINE!C747)</f>
        <v/>
      </c>
      <c r="C747" s="10">
        <f>IF(MATCH_ENGINE!A747="","",MATCH_ENGINE!B747)</f>
        <v/>
      </c>
      <c r="D747" s="16">
        <f>IF(MATCH_ENGINE!A747="","",MATCH_ENGINE!D747)</f>
        <v/>
      </c>
      <c r="E747" s="11">
        <f>IF(MATCH_ENGINE!A747="","",MATCH_ENGINE!F747)</f>
        <v/>
      </c>
      <c r="F747" s="10">
        <f>IF(MATCH_ENGINE!A747="","",MATCH_ENGINE!I747)</f>
        <v/>
      </c>
      <c r="G747" s="16">
        <f>IF(MATCH_ENGINE!H747="","",IF(MATCH_ENGINE!F747="IN",MATCH_ENGINE!J747,""))</f>
        <v/>
      </c>
      <c r="H747" s="16">
        <f>IF(MATCH_ENGINE!H747="","",IF(MATCH_ENGINE!F747="OUT",MATCH_ENGINE!J747,""))</f>
        <v/>
      </c>
      <c r="I747" s="16">
        <f>IF(MATCH_ENGINE!H747="","",MATCH_ENGINE!J747)</f>
        <v/>
      </c>
      <c r="J747" s="12">
        <f>IF(MATCH_ENGINE!A747="","",MATCH_ENGINE!K747)</f>
        <v/>
      </c>
      <c r="K747" s="11">
        <f>IF(MATCH_ENGINE!A747="","",MATCH_ENGINE!L747)</f>
        <v/>
      </c>
      <c r="L747" s="17">
        <f>IF(MATCH_ENGINE!A747="","",MATCH_ENGINE!M747)</f>
        <v/>
      </c>
      <c r="M747" s="11">
        <f>IF(MATCH_ENGINE!A747="","",GL_CLEAN!F747)</f>
        <v/>
      </c>
      <c r="N747" s="11">
        <f>IF(MATCH_ENGINE!A747="","",GL_CLEAN!G747)</f>
        <v/>
      </c>
      <c r="O747" s="11">
        <f>IF(MATCH_ENGINE!H747="","",INDEX(BANK_CLEAN!$C$2:$C$1001,MATCH_ENGINE!H747))</f>
        <v/>
      </c>
      <c r="P747" s="11" t="inlineStr"/>
    </row>
    <row r="748">
      <c r="A748" s="11">
        <f>IF(MATCH_ENGINE!A748="","",MATCH_ENGINE!N748)</f>
        <v/>
      </c>
      <c r="B748" s="11">
        <f>IF(MATCH_ENGINE!A748="","",MATCH_ENGINE!C748)</f>
        <v/>
      </c>
      <c r="C748" s="10">
        <f>IF(MATCH_ENGINE!A748="","",MATCH_ENGINE!B748)</f>
        <v/>
      </c>
      <c r="D748" s="16">
        <f>IF(MATCH_ENGINE!A748="","",MATCH_ENGINE!D748)</f>
        <v/>
      </c>
      <c r="E748" s="11">
        <f>IF(MATCH_ENGINE!A748="","",MATCH_ENGINE!F748)</f>
        <v/>
      </c>
      <c r="F748" s="10">
        <f>IF(MATCH_ENGINE!A748="","",MATCH_ENGINE!I748)</f>
        <v/>
      </c>
      <c r="G748" s="16">
        <f>IF(MATCH_ENGINE!H748="","",IF(MATCH_ENGINE!F748="IN",MATCH_ENGINE!J748,""))</f>
        <v/>
      </c>
      <c r="H748" s="16">
        <f>IF(MATCH_ENGINE!H748="","",IF(MATCH_ENGINE!F748="OUT",MATCH_ENGINE!J748,""))</f>
        <v/>
      </c>
      <c r="I748" s="16">
        <f>IF(MATCH_ENGINE!H748="","",MATCH_ENGINE!J748)</f>
        <v/>
      </c>
      <c r="J748" s="12">
        <f>IF(MATCH_ENGINE!A748="","",MATCH_ENGINE!K748)</f>
        <v/>
      </c>
      <c r="K748" s="11">
        <f>IF(MATCH_ENGINE!A748="","",MATCH_ENGINE!L748)</f>
        <v/>
      </c>
      <c r="L748" s="17">
        <f>IF(MATCH_ENGINE!A748="","",MATCH_ENGINE!M748)</f>
        <v/>
      </c>
      <c r="M748" s="11">
        <f>IF(MATCH_ENGINE!A748="","",GL_CLEAN!F748)</f>
        <v/>
      </c>
      <c r="N748" s="11">
        <f>IF(MATCH_ENGINE!A748="","",GL_CLEAN!G748)</f>
        <v/>
      </c>
      <c r="O748" s="11">
        <f>IF(MATCH_ENGINE!H748="","",INDEX(BANK_CLEAN!$C$2:$C$1001,MATCH_ENGINE!H748))</f>
        <v/>
      </c>
      <c r="P748" s="11" t="inlineStr"/>
    </row>
    <row r="749">
      <c r="A749" s="11">
        <f>IF(MATCH_ENGINE!A749="","",MATCH_ENGINE!N749)</f>
        <v/>
      </c>
      <c r="B749" s="11">
        <f>IF(MATCH_ENGINE!A749="","",MATCH_ENGINE!C749)</f>
        <v/>
      </c>
      <c r="C749" s="10">
        <f>IF(MATCH_ENGINE!A749="","",MATCH_ENGINE!B749)</f>
        <v/>
      </c>
      <c r="D749" s="16">
        <f>IF(MATCH_ENGINE!A749="","",MATCH_ENGINE!D749)</f>
        <v/>
      </c>
      <c r="E749" s="11">
        <f>IF(MATCH_ENGINE!A749="","",MATCH_ENGINE!F749)</f>
        <v/>
      </c>
      <c r="F749" s="10">
        <f>IF(MATCH_ENGINE!A749="","",MATCH_ENGINE!I749)</f>
        <v/>
      </c>
      <c r="G749" s="16">
        <f>IF(MATCH_ENGINE!H749="","",IF(MATCH_ENGINE!F749="IN",MATCH_ENGINE!J749,""))</f>
        <v/>
      </c>
      <c r="H749" s="16">
        <f>IF(MATCH_ENGINE!H749="","",IF(MATCH_ENGINE!F749="OUT",MATCH_ENGINE!J749,""))</f>
        <v/>
      </c>
      <c r="I749" s="16">
        <f>IF(MATCH_ENGINE!H749="","",MATCH_ENGINE!J749)</f>
        <v/>
      </c>
      <c r="J749" s="12">
        <f>IF(MATCH_ENGINE!A749="","",MATCH_ENGINE!K749)</f>
        <v/>
      </c>
      <c r="K749" s="11">
        <f>IF(MATCH_ENGINE!A749="","",MATCH_ENGINE!L749)</f>
        <v/>
      </c>
      <c r="L749" s="17">
        <f>IF(MATCH_ENGINE!A749="","",MATCH_ENGINE!M749)</f>
        <v/>
      </c>
      <c r="M749" s="11">
        <f>IF(MATCH_ENGINE!A749="","",GL_CLEAN!F749)</f>
        <v/>
      </c>
      <c r="N749" s="11">
        <f>IF(MATCH_ENGINE!A749="","",GL_CLEAN!G749)</f>
        <v/>
      </c>
      <c r="O749" s="11">
        <f>IF(MATCH_ENGINE!H749="","",INDEX(BANK_CLEAN!$C$2:$C$1001,MATCH_ENGINE!H749))</f>
        <v/>
      </c>
      <c r="P749" s="11" t="inlineStr"/>
    </row>
    <row r="750">
      <c r="A750" s="11">
        <f>IF(MATCH_ENGINE!A750="","",MATCH_ENGINE!N750)</f>
        <v/>
      </c>
      <c r="B750" s="11">
        <f>IF(MATCH_ENGINE!A750="","",MATCH_ENGINE!C750)</f>
        <v/>
      </c>
      <c r="C750" s="10">
        <f>IF(MATCH_ENGINE!A750="","",MATCH_ENGINE!B750)</f>
        <v/>
      </c>
      <c r="D750" s="16">
        <f>IF(MATCH_ENGINE!A750="","",MATCH_ENGINE!D750)</f>
        <v/>
      </c>
      <c r="E750" s="11">
        <f>IF(MATCH_ENGINE!A750="","",MATCH_ENGINE!F750)</f>
        <v/>
      </c>
      <c r="F750" s="10">
        <f>IF(MATCH_ENGINE!A750="","",MATCH_ENGINE!I750)</f>
        <v/>
      </c>
      <c r="G750" s="16">
        <f>IF(MATCH_ENGINE!H750="","",IF(MATCH_ENGINE!F750="IN",MATCH_ENGINE!J750,""))</f>
        <v/>
      </c>
      <c r="H750" s="16">
        <f>IF(MATCH_ENGINE!H750="","",IF(MATCH_ENGINE!F750="OUT",MATCH_ENGINE!J750,""))</f>
        <v/>
      </c>
      <c r="I750" s="16">
        <f>IF(MATCH_ENGINE!H750="","",MATCH_ENGINE!J750)</f>
        <v/>
      </c>
      <c r="J750" s="12">
        <f>IF(MATCH_ENGINE!A750="","",MATCH_ENGINE!K750)</f>
        <v/>
      </c>
      <c r="K750" s="11">
        <f>IF(MATCH_ENGINE!A750="","",MATCH_ENGINE!L750)</f>
        <v/>
      </c>
      <c r="L750" s="17">
        <f>IF(MATCH_ENGINE!A750="","",MATCH_ENGINE!M750)</f>
        <v/>
      </c>
      <c r="M750" s="11">
        <f>IF(MATCH_ENGINE!A750="","",GL_CLEAN!F750)</f>
        <v/>
      </c>
      <c r="N750" s="11">
        <f>IF(MATCH_ENGINE!A750="","",GL_CLEAN!G750)</f>
        <v/>
      </c>
      <c r="O750" s="11">
        <f>IF(MATCH_ENGINE!H750="","",INDEX(BANK_CLEAN!$C$2:$C$1001,MATCH_ENGINE!H750))</f>
        <v/>
      </c>
      <c r="P750" s="11" t="inlineStr"/>
    </row>
    <row r="751">
      <c r="A751" s="11">
        <f>IF(MATCH_ENGINE!A751="","",MATCH_ENGINE!N751)</f>
        <v/>
      </c>
      <c r="B751" s="11">
        <f>IF(MATCH_ENGINE!A751="","",MATCH_ENGINE!C751)</f>
        <v/>
      </c>
      <c r="C751" s="10">
        <f>IF(MATCH_ENGINE!A751="","",MATCH_ENGINE!B751)</f>
        <v/>
      </c>
      <c r="D751" s="16">
        <f>IF(MATCH_ENGINE!A751="","",MATCH_ENGINE!D751)</f>
        <v/>
      </c>
      <c r="E751" s="11">
        <f>IF(MATCH_ENGINE!A751="","",MATCH_ENGINE!F751)</f>
        <v/>
      </c>
      <c r="F751" s="10">
        <f>IF(MATCH_ENGINE!A751="","",MATCH_ENGINE!I751)</f>
        <v/>
      </c>
      <c r="G751" s="16">
        <f>IF(MATCH_ENGINE!H751="","",IF(MATCH_ENGINE!F751="IN",MATCH_ENGINE!J751,""))</f>
        <v/>
      </c>
      <c r="H751" s="16">
        <f>IF(MATCH_ENGINE!H751="","",IF(MATCH_ENGINE!F751="OUT",MATCH_ENGINE!J751,""))</f>
        <v/>
      </c>
      <c r="I751" s="16">
        <f>IF(MATCH_ENGINE!H751="","",MATCH_ENGINE!J751)</f>
        <v/>
      </c>
      <c r="J751" s="12">
        <f>IF(MATCH_ENGINE!A751="","",MATCH_ENGINE!K751)</f>
        <v/>
      </c>
      <c r="K751" s="11">
        <f>IF(MATCH_ENGINE!A751="","",MATCH_ENGINE!L751)</f>
        <v/>
      </c>
      <c r="L751" s="17">
        <f>IF(MATCH_ENGINE!A751="","",MATCH_ENGINE!M751)</f>
        <v/>
      </c>
      <c r="M751" s="11">
        <f>IF(MATCH_ENGINE!A751="","",GL_CLEAN!F751)</f>
        <v/>
      </c>
      <c r="N751" s="11">
        <f>IF(MATCH_ENGINE!A751="","",GL_CLEAN!G751)</f>
        <v/>
      </c>
      <c r="O751" s="11">
        <f>IF(MATCH_ENGINE!H751="","",INDEX(BANK_CLEAN!$C$2:$C$1001,MATCH_ENGINE!H751))</f>
        <v/>
      </c>
      <c r="P751" s="11" t="inlineStr"/>
    </row>
    <row r="752">
      <c r="A752" s="11">
        <f>IF(MATCH_ENGINE!A752="","",MATCH_ENGINE!N752)</f>
        <v/>
      </c>
      <c r="B752" s="11">
        <f>IF(MATCH_ENGINE!A752="","",MATCH_ENGINE!C752)</f>
        <v/>
      </c>
      <c r="C752" s="10">
        <f>IF(MATCH_ENGINE!A752="","",MATCH_ENGINE!B752)</f>
        <v/>
      </c>
      <c r="D752" s="16">
        <f>IF(MATCH_ENGINE!A752="","",MATCH_ENGINE!D752)</f>
        <v/>
      </c>
      <c r="E752" s="11">
        <f>IF(MATCH_ENGINE!A752="","",MATCH_ENGINE!F752)</f>
        <v/>
      </c>
      <c r="F752" s="10">
        <f>IF(MATCH_ENGINE!A752="","",MATCH_ENGINE!I752)</f>
        <v/>
      </c>
      <c r="G752" s="16">
        <f>IF(MATCH_ENGINE!H752="","",IF(MATCH_ENGINE!F752="IN",MATCH_ENGINE!J752,""))</f>
        <v/>
      </c>
      <c r="H752" s="16">
        <f>IF(MATCH_ENGINE!H752="","",IF(MATCH_ENGINE!F752="OUT",MATCH_ENGINE!J752,""))</f>
        <v/>
      </c>
      <c r="I752" s="16">
        <f>IF(MATCH_ENGINE!H752="","",MATCH_ENGINE!J752)</f>
        <v/>
      </c>
      <c r="J752" s="12">
        <f>IF(MATCH_ENGINE!A752="","",MATCH_ENGINE!K752)</f>
        <v/>
      </c>
      <c r="K752" s="11">
        <f>IF(MATCH_ENGINE!A752="","",MATCH_ENGINE!L752)</f>
        <v/>
      </c>
      <c r="L752" s="17">
        <f>IF(MATCH_ENGINE!A752="","",MATCH_ENGINE!M752)</f>
        <v/>
      </c>
      <c r="M752" s="11">
        <f>IF(MATCH_ENGINE!A752="","",GL_CLEAN!F752)</f>
        <v/>
      </c>
      <c r="N752" s="11">
        <f>IF(MATCH_ENGINE!A752="","",GL_CLEAN!G752)</f>
        <v/>
      </c>
      <c r="O752" s="11">
        <f>IF(MATCH_ENGINE!H752="","",INDEX(BANK_CLEAN!$C$2:$C$1001,MATCH_ENGINE!H752))</f>
        <v/>
      </c>
      <c r="P752" s="11" t="inlineStr"/>
    </row>
    <row r="753">
      <c r="A753" s="11">
        <f>IF(MATCH_ENGINE!A753="","",MATCH_ENGINE!N753)</f>
        <v/>
      </c>
      <c r="B753" s="11">
        <f>IF(MATCH_ENGINE!A753="","",MATCH_ENGINE!C753)</f>
        <v/>
      </c>
      <c r="C753" s="10">
        <f>IF(MATCH_ENGINE!A753="","",MATCH_ENGINE!B753)</f>
        <v/>
      </c>
      <c r="D753" s="16">
        <f>IF(MATCH_ENGINE!A753="","",MATCH_ENGINE!D753)</f>
        <v/>
      </c>
      <c r="E753" s="11">
        <f>IF(MATCH_ENGINE!A753="","",MATCH_ENGINE!F753)</f>
        <v/>
      </c>
      <c r="F753" s="10">
        <f>IF(MATCH_ENGINE!A753="","",MATCH_ENGINE!I753)</f>
        <v/>
      </c>
      <c r="G753" s="16">
        <f>IF(MATCH_ENGINE!H753="","",IF(MATCH_ENGINE!F753="IN",MATCH_ENGINE!J753,""))</f>
        <v/>
      </c>
      <c r="H753" s="16">
        <f>IF(MATCH_ENGINE!H753="","",IF(MATCH_ENGINE!F753="OUT",MATCH_ENGINE!J753,""))</f>
        <v/>
      </c>
      <c r="I753" s="16">
        <f>IF(MATCH_ENGINE!H753="","",MATCH_ENGINE!J753)</f>
        <v/>
      </c>
      <c r="J753" s="12">
        <f>IF(MATCH_ENGINE!A753="","",MATCH_ENGINE!K753)</f>
        <v/>
      </c>
      <c r="K753" s="11">
        <f>IF(MATCH_ENGINE!A753="","",MATCH_ENGINE!L753)</f>
        <v/>
      </c>
      <c r="L753" s="17">
        <f>IF(MATCH_ENGINE!A753="","",MATCH_ENGINE!M753)</f>
        <v/>
      </c>
      <c r="M753" s="11">
        <f>IF(MATCH_ENGINE!A753="","",GL_CLEAN!F753)</f>
        <v/>
      </c>
      <c r="N753" s="11">
        <f>IF(MATCH_ENGINE!A753="","",GL_CLEAN!G753)</f>
        <v/>
      </c>
      <c r="O753" s="11">
        <f>IF(MATCH_ENGINE!H753="","",INDEX(BANK_CLEAN!$C$2:$C$1001,MATCH_ENGINE!H753))</f>
        <v/>
      </c>
      <c r="P753" s="11" t="inlineStr"/>
    </row>
    <row r="754">
      <c r="A754" s="11">
        <f>IF(MATCH_ENGINE!A754="","",MATCH_ENGINE!N754)</f>
        <v/>
      </c>
      <c r="B754" s="11">
        <f>IF(MATCH_ENGINE!A754="","",MATCH_ENGINE!C754)</f>
        <v/>
      </c>
      <c r="C754" s="10">
        <f>IF(MATCH_ENGINE!A754="","",MATCH_ENGINE!B754)</f>
        <v/>
      </c>
      <c r="D754" s="16">
        <f>IF(MATCH_ENGINE!A754="","",MATCH_ENGINE!D754)</f>
        <v/>
      </c>
      <c r="E754" s="11">
        <f>IF(MATCH_ENGINE!A754="","",MATCH_ENGINE!F754)</f>
        <v/>
      </c>
      <c r="F754" s="10">
        <f>IF(MATCH_ENGINE!A754="","",MATCH_ENGINE!I754)</f>
        <v/>
      </c>
      <c r="G754" s="16">
        <f>IF(MATCH_ENGINE!H754="","",IF(MATCH_ENGINE!F754="IN",MATCH_ENGINE!J754,""))</f>
        <v/>
      </c>
      <c r="H754" s="16">
        <f>IF(MATCH_ENGINE!H754="","",IF(MATCH_ENGINE!F754="OUT",MATCH_ENGINE!J754,""))</f>
        <v/>
      </c>
      <c r="I754" s="16">
        <f>IF(MATCH_ENGINE!H754="","",MATCH_ENGINE!J754)</f>
        <v/>
      </c>
      <c r="J754" s="12">
        <f>IF(MATCH_ENGINE!A754="","",MATCH_ENGINE!K754)</f>
        <v/>
      </c>
      <c r="K754" s="11">
        <f>IF(MATCH_ENGINE!A754="","",MATCH_ENGINE!L754)</f>
        <v/>
      </c>
      <c r="L754" s="17">
        <f>IF(MATCH_ENGINE!A754="","",MATCH_ENGINE!M754)</f>
        <v/>
      </c>
      <c r="M754" s="11">
        <f>IF(MATCH_ENGINE!A754="","",GL_CLEAN!F754)</f>
        <v/>
      </c>
      <c r="N754" s="11">
        <f>IF(MATCH_ENGINE!A754="","",GL_CLEAN!G754)</f>
        <v/>
      </c>
      <c r="O754" s="11">
        <f>IF(MATCH_ENGINE!H754="","",INDEX(BANK_CLEAN!$C$2:$C$1001,MATCH_ENGINE!H754))</f>
        <v/>
      </c>
      <c r="P754" s="11" t="inlineStr"/>
    </row>
    <row r="755">
      <c r="A755" s="11">
        <f>IF(MATCH_ENGINE!A755="","",MATCH_ENGINE!N755)</f>
        <v/>
      </c>
      <c r="B755" s="11">
        <f>IF(MATCH_ENGINE!A755="","",MATCH_ENGINE!C755)</f>
        <v/>
      </c>
      <c r="C755" s="10">
        <f>IF(MATCH_ENGINE!A755="","",MATCH_ENGINE!B755)</f>
        <v/>
      </c>
      <c r="D755" s="16">
        <f>IF(MATCH_ENGINE!A755="","",MATCH_ENGINE!D755)</f>
        <v/>
      </c>
      <c r="E755" s="11">
        <f>IF(MATCH_ENGINE!A755="","",MATCH_ENGINE!F755)</f>
        <v/>
      </c>
      <c r="F755" s="10">
        <f>IF(MATCH_ENGINE!A755="","",MATCH_ENGINE!I755)</f>
        <v/>
      </c>
      <c r="G755" s="16">
        <f>IF(MATCH_ENGINE!H755="","",IF(MATCH_ENGINE!F755="IN",MATCH_ENGINE!J755,""))</f>
        <v/>
      </c>
      <c r="H755" s="16">
        <f>IF(MATCH_ENGINE!H755="","",IF(MATCH_ENGINE!F755="OUT",MATCH_ENGINE!J755,""))</f>
        <v/>
      </c>
      <c r="I755" s="16">
        <f>IF(MATCH_ENGINE!H755="","",MATCH_ENGINE!J755)</f>
        <v/>
      </c>
      <c r="J755" s="12">
        <f>IF(MATCH_ENGINE!A755="","",MATCH_ENGINE!K755)</f>
        <v/>
      </c>
      <c r="K755" s="11">
        <f>IF(MATCH_ENGINE!A755="","",MATCH_ENGINE!L755)</f>
        <v/>
      </c>
      <c r="L755" s="17">
        <f>IF(MATCH_ENGINE!A755="","",MATCH_ENGINE!M755)</f>
        <v/>
      </c>
      <c r="M755" s="11">
        <f>IF(MATCH_ENGINE!A755="","",GL_CLEAN!F755)</f>
        <v/>
      </c>
      <c r="N755" s="11">
        <f>IF(MATCH_ENGINE!A755="","",GL_CLEAN!G755)</f>
        <v/>
      </c>
      <c r="O755" s="11">
        <f>IF(MATCH_ENGINE!H755="","",INDEX(BANK_CLEAN!$C$2:$C$1001,MATCH_ENGINE!H755))</f>
        <v/>
      </c>
      <c r="P755" s="11" t="inlineStr"/>
    </row>
    <row r="756">
      <c r="A756" s="11">
        <f>IF(MATCH_ENGINE!A756="","",MATCH_ENGINE!N756)</f>
        <v/>
      </c>
      <c r="B756" s="11">
        <f>IF(MATCH_ENGINE!A756="","",MATCH_ENGINE!C756)</f>
        <v/>
      </c>
      <c r="C756" s="10">
        <f>IF(MATCH_ENGINE!A756="","",MATCH_ENGINE!B756)</f>
        <v/>
      </c>
      <c r="D756" s="16">
        <f>IF(MATCH_ENGINE!A756="","",MATCH_ENGINE!D756)</f>
        <v/>
      </c>
      <c r="E756" s="11">
        <f>IF(MATCH_ENGINE!A756="","",MATCH_ENGINE!F756)</f>
        <v/>
      </c>
      <c r="F756" s="10">
        <f>IF(MATCH_ENGINE!A756="","",MATCH_ENGINE!I756)</f>
        <v/>
      </c>
      <c r="G756" s="16">
        <f>IF(MATCH_ENGINE!H756="","",IF(MATCH_ENGINE!F756="IN",MATCH_ENGINE!J756,""))</f>
        <v/>
      </c>
      <c r="H756" s="16">
        <f>IF(MATCH_ENGINE!H756="","",IF(MATCH_ENGINE!F756="OUT",MATCH_ENGINE!J756,""))</f>
        <v/>
      </c>
      <c r="I756" s="16">
        <f>IF(MATCH_ENGINE!H756="","",MATCH_ENGINE!J756)</f>
        <v/>
      </c>
      <c r="J756" s="12">
        <f>IF(MATCH_ENGINE!A756="","",MATCH_ENGINE!K756)</f>
        <v/>
      </c>
      <c r="K756" s="11">
        <f>IF(MATCH_ENGINE!A756="","",MATCH_ENGINE!L756)</f>
        <v/>
      </c>
      <c r="L756" s="17">
        <f>IF(MATCH_ENGINE!A756="","",MATCH_ENGINE!M756)</f>
        <v/>
      </c>
      <c r="M756" s="11">
        <f>IF(MATCH_ENGINE!A756="","",GL_CLEAN!F756)</f>
        <v/>
      </c>
      <c r="N756" s="11">
        <f>IF(MATCH_ENGINE!A756="","",GL_CLEAN!G756)</f>
        <v/>
      </c>
      <c r="O756" s="11">
        <f>IF(MATCH_ENGINE!H756="","",INDEX(BANK_CLEAN!$C$2:$C$1001,MATCH_ENGINE!H756))</f>
        <v/>
      </c>
      <c r="P756" s="11" t="inlineStr"/>
    </row>
    <row r="757">
      <c r="A757" s="11">
        <f>IF(MATCH_ENGINE!A757="","",MATCH_ENGINE!N757)</f>
        <v/>
      </c>
      <c r="B757" s="11">
        <f>IF(MATCH_ENGINE!A757="","",MATCH_ENGINE!C757)</f>
        <v/>
      </c>
      <c r="C757" s="10">
        <f>IF(MATCH_ENGINE!A757="","",MATCH_ENGINE!B757)</f>
        <v/>
      </c>
      <c r="D757" s="16">
        <f>IF(MATCH_ENGINE!A757="","",MATCH_ENGINE!D757)</f>
        <v/>
      </c>
      <c r="E757" s="11">
        <f>IF(MATCH_ENGINE!A757="","",MATCH_ENGINE!F757)</f>
        <v/>
      </c>
      <c r="F757" s="10">
        <f>IF(MATCH_ENGINE!A757="","",MATCH_ENGINE!I757)</f>
        <v/>
      </c>
      <c r="G757" s="16">
        <f>IF(MATCH_ENGINE!H757="","",IF(MATCH_ENGINE!F757="IN",MATCH_ENGINE!J757,""))</f>
        <v/>
      </c>
      <c r="H757" s="16">
        <f>IF(MATCH_ENGINE!H757="","",IF(MATCH_ENGINE!F757="OUT",MATCH_ENGINE!J757,""))</f>
        <v/>
      </c>
      <c r="I757" s="16">
        <f>IF(MATCH_ENGINE!H757="","",MATCH_ENGINE!J757)</f>
        <v/>
      </c>
      <c r="J757" s="12">
        <f>IF(MATCH_ENGINE!A757="","",MATCH_ENGINE!K757)</f>
        <v/>
      </c>
      <c r="K757" s="11">
        <f>IF(MATCH_ENGINE!A757="","",MATCH_ENGINE!L757)</f>
        <v/>
      </c>
      <c r="L757" s="17">
        <f>IF(MATCH_ENGINE!A757="","",MATCH_ENGINE!M757)</f>
        <v/>
      </c>
      <c r="M757" s="11">
        <f>IF(MATCH_ENGINE!A757="","",GL_CLEAN!F757)</f>
        <v/>
      </c>
      <c r="N757" s="11">
        <f>IF(MATCH_ENGINE!A757="","",GL_CLEAN!G757)</f>
        <v/>
      </c>
      <c r="O757" s="11">
        <f>IF(MATCH_ENGINE!H757="","",INDEX(BANK_CLEAN!$C$2:$C$1001,MATCH_ENGINE!H757))</f>
        <v/>
      </c>
      <c r="P757" s="11" t="inlineStr"/>
    </row>
    <row r="758">
      <c r="A758" s="11">
        <f>IF(MATCH_ENGINE!A758="","",MATCH_ENGINE!N758)</f>
        <v/>
      </c>
      <c r="B758" s="11">
        <f>IF(MATCH_ENGINE!A758="","",MATCH_ENGINE!C758)</f>
        <v/>
      </c>
      <c r="C758" s="10">
        <f>IF(MATCH_ENGINE!A758="","",MATCH_ENGINE!B758)</f>
        <v/>
      </c>
      <c r="D758" s="16">
        <f>IF(MATCH_ENGINE!A758="","",MATCH_ENGINE!D758)</f>
        <v/>
      </c>
      <c r="E758" s="11">
        <f>IF(MATCH_ENGINE!A758="","",MATCH_ENGINE!F758)</f>
        <v/>
      </c>
      <c r="F758" s="10">
        <f>IF(MATCH_ENGINE!A758="","",MATCH_ENGINE!I758)</f>
        <v/>
      </c>
      <c r="G758" s="16">
        <f>IF(MATCH_ENGINE!H758="","",IF(MATCH_ENGINE!F758="IN",MATCH_ENGINE!J758,""))</f>
        <v/>
      </c>
      <c r="H758" s="16">
        <f>IF(MATCH_ENGINE!H758="","",IF(MATCH_ENGINE!F758="OUT",MATCH_ENGINE!J758,""))</f>
        <v/>
      </c>
      <c r="I758" s="16">
        <f>IF(MATCH_ENGINE!H758="","",MATCH_ENGINE!J758)</f>
        <v/>
      </c>
      <c r="J758" s="12">
        <f>IF(MATCH_ENGINE!A758="","",MATCH_ENGINE!K758)</f>
        <v/>
      </c>
      <c r="K758" s="11">
        <f>IF(MATCH_ENGINE!A758="","",MATCH_ENGINE!L758)</f>
        <v/>
      </c>
      <c r="L758" s="17">
        <f>IF(MATCH_ENGINE!A758="","",MATCH_ENGINE!M758)</f>
        <v/>
      </c>
      <c r="M758" s="11">
        <f>IF(MATCH_ENGINE!A758="","",GL_CLEAN!F758)</f>
        <v/>
      </c>
      <c r="N758" s="11">
        <f>IF(MATCH_ENGINE!A758="","",GL_CLEAN!G758)</f>
        <v/>
      </c>
      <c r="O758" s="11">
        <f>IF(MATCH_ENGINE!H758="","",INDEX(BANK_CLEAN!$C$2:$C$1001,MATCH_ENGINE!H758))</f>
        <v/>
      </c>
      <c r="P758" s="11" t="inlineStr"/>
    </row>
    <row r="759">
      <c r="A759" s="11">
        <f>IF(MATCH_ENGINE!A759="","",MATCH_ENGINE!N759)</f>
        <v/>
      </c>
      <c r="B759" s="11">
        <f>IF(MATCH_ENGINE!A759="","",MATCH_ENGINE!C759)</f>
        <v/>
      </c>
      <c r="C759" s="10">
        <f>IF(MATCH_ENGINE!A759="","",MATCH_ENGINE!B759)</f>
        <v/>
      </c>
      <c r="D759" s="16">
        <f>IF(MATCH_ENGINE!A759="","",MATCH_ENGINE!D759)</f>
        <v/>
      </c>
      <c r="E759" s="11">
        <f>IF(MATCH_ENGINE!A759="","",MATCH_ENGINE!F759)</f>
        <v/>
      </c>
      <c r="F759" s="10">
        <f>IF(MATCH_ENGINE!A759="","",MATCH_ENGINE!I759)</f>
        <v/>
      </c>
      <c r="G759" s="16">
        <f>IF(MATCH_ENGINE!H759="","",IF(MATCH_ENGINE!F759="IN",MATCH_ENGINE!J759,""))</f>
        <v/>
      </c>
      <c r="H759" s="16">
        <f>IF(MATCH_ENGINE!H759="","",IF(MATCH_ENGINE!F759="OUT",MATCH_ENGINE!J759,""))</f>
        <v/>
      </c>
      <c r="I759" s="16">
        <f>IF(MATCH_ENGINE!H759="","",MATCH_ENGINE!J759)</f>
        <v/>
      </c>
      <c r="J759" s="12">
        <f>IF(MATCH_ENGINE!A759="","",MATCH_ENGINE!K759)</f>
        <v/>
      </c>
      <c r="K759" s="11">
        <f>IF(MATCH_ENGINE!A759="","",MATCH_ENGINE!L759)</f>
        <v/>
      </c>
      <c r="L759" s="17">
        <f>IF(MATCH_ENGINE!A759="","",MATCH_ENGINE!M759)</f>
        <v/>
      </c>
      <c r="M759" s="11">
        <f>IF(MATCH_ENGINE!A759="","",GL_CLEAN!F759)</f>
        <v/>
      </c>
      <c r="N759" s="11">
        <f>IF(MATCH_ENGINE!A759="","",GL_CLEAN!G759)</f>
        <v/>
      </c>
      <c r="O759" s="11">
        <f>IF(MATCH_ENGINE!H759="","",INDEX(BANK_CLEAN!$C$2:$C$1001,MATCH_ENGINE!H759))</f>
        <v/>
      </c>
      <c r="P759" s="11" t="inlineStr"/>
    </row>
    <row r="760">
      <c r="A760" s="11">
        <f>IF(MATCH_ENGINE!A760="","",MATCH_ENGINE!N760)</f>
        <v/>
      </c>
      <c r="B760" s="11">
        <f>IF(MATCH_ENGINE!A760="","",MATCH_ENGINE!C760)</f>
        <v/>
      </c>
      <c r="C760" s="10">
        <f>IF(MATCH_ENGINE!A760="","",MATCH_ENGINE!B760)</f>
        <v/>
      </c>
      <c r="D760" s="16">
        <f>IF(MATCH_ENGINE!A760="","",MATCH_ENGINE!D760)</f>
        <v/>
      </c>
      <c r="E760" s="11">
        <f>IF(MATCH_ENGINE!A760="","",MATCH_ENGINE!F760)</f>
        <v/>
      </c>
      <c r="F760" s="10">
        <f>IF(MATCH_ENGINE!A760="","",MATCH_ENGINE!I760)</f>
        <v/>
      </c>
      <c r="G760" s="16">
        <f>IF(MATCH_ENGINE!H760="","",IF(MATCH_ENGINE!F760="IN",MATCH_ENGINE!J760,""))</f>
        <v/>
      </c>
      <c r="H760" s="16">
        <f>IF(MATCH_ENGINE!H760="","",IF(MATCH_ENGINE!F760="OUT",MATCH_ENGINE!J760,""))</f>
        <v/>
      </c>
      <c r="I760" s="16">
        <f>IF(MATCH_ENGINE!H760="","",MATCH_ENGINE!J760)</f>
        <v/>
      </c>
      <c r="J760" s="12">
        <f>IF(MATCH_ENGINE!A760="","",MATCH_ENGINE!K760)</f>
        <v/>
      </c>
      <c r="K760" s="11">
        <f>IF(MATCH_ENGINE!A760="","",MATCH_ENGINE!L760)</f>
        <v/>
      </c>
      <c r="L760" s="17">
        <f>IF(MATCH_ENGINE!A760="","",MATCH_ENGINE!M760)</f>
        <v/>
      </c>
      <c r="M760" s="11">
        <f>IF(MATCH_ENGINE!A760="","",GL_CLEAN!F760)</f>
        <v/>
      </c>
      <c r="N760" s="11">
        <f>IF(MATCH_ENGINE!A760="","",GL_CLEAN!G760)</f>
        <v/>
      </c>
      <c r="O760" s="11">
        <f>IF(MATCH_ENGINE!H760="","",INDEX(BANK_CLEAN!$C$2:$C$1001,MATCH_ENGINE!H760))</f>
        <v/>
      </c>
      <c r="P760" s="11" t="inlineStr"/>
    </row>
    <row r="761">
      <c r="A761" s="11">
        <f>IF(MATCH_ENGINE!A761="","",MATCH_ENGINE!N761)</f>
        <v/>
      </c>
      <c r="B761" s="11">
        <f>IF(MATCH_ENGINE!A761="","",MATCH_ENGINE!C761)</f>
        <v/>
      </c>
      <c r="C761" s="10">
        <f>IF(MATCH_ENGINE!A761="","",MATCH_ENGINE!B761)</f>
        <v/>
      </c>
      <c r="D761" s="16">
        <f>IF(MATCH_ENGINE!A761="","",MATCH_ENGINE!D761)</f>
        <v/>
      </c>
      <c r="E761" s="11">
        <f>IF(MATCH_ENGINE!A761="","",MATCH_ENGINE!F761)</f>
        <v/>
      </c>
      <c r="F761" s="10">
        <f>IF(MATCH_ENGINE!A761="","",MATCH_ENGINE!I761)</f>
        <v/>
      </c>
      <c r="G761" s="16">
        <f>IF(MATCH_ENGINE!H761="","",IF(MATCH_ENGINE!F761="IN",MATCH_ENGINE!J761,""))</f>
        <v/>
      </c>
      <c r="H761" s="16">
        <f>IF(MATCH_ENGINE!H761="","",IF(MATCH_ENGINE!F761="OUT",MATCH_ENGINE!J761,""))</f>
        <v/>
      </c>
      <c r="I761" s="16">
        <f>IF(MATCH_ENGINE!H761="","",MATCH_ENGINE!J761)</f>
        <v/>
      </c>
      <c r="J761" s="12">
        <f>IF(MATCH_ENGINE!A761="","",MATCH_ENGINE!K761)</f>
        <v/>
      </c>
      <c r="K761" s="11">
        <f>IF(MATCH_ENGINE!A761="","",MATCH_ENGINE!L761)</f>
        <v/>
      </c>
      <c r="L761" s="17">
        <f>IF(MATCH_ENGINE!A761="","",MATCH_ENGINE!M761)</f>
        <v/>
      </c>
      <c r="M761" s="11">
        <f>IF(MATCH_ENGINE!A761="","",GL_CLEAN!F761)</f>
        <v/>
      </c>
      <c r="N761" s="11">
        <f>IF(MATCH_ENGINE!A761="","",GL_CLEAN!G761)</f>
        <v/>
      </c>
      <c r="O761" s="11">
        <f>IF(MATCH_ENGINE!H761="","",INDEX(BANK_CLEAN!$C$2:$C$1001,MATCH_ENGINE!H761))</f>
        <v/>
      </c>
      <c r="P761" s="11" t="inlineStr"/>
    </row>
    <row r="762">
      <c r="A762" s="11">
        <f>IF(MATCH_ENGINE!A762="","",MATCH_ENGINE!N762)</f>
        <v/>
      </c>
      <c r="B762" s="11">
        <f>IF(MATCH_ENGINE!A762="","",MATCH_ENGINE!C762)</f>
        <v/>
      </c>
      <c r="C762" s="10">
        <f>IF(MATCH_ENGINE!A762="","",MATCH_ENGINE!B762)</f>
        <v/>
      </c>
      <c r="D762" s="16">
        <f>IF(MATCH_ENGINE!A762="","",MATCH_ENGINE!D762)</f>
        <v/>
      </c>
      <c r="E762" s="11">
        <f>IF(MATCH_ENGINE!A762="","",MATCH_ENGINE!F762)</f>
        <v/>
      </c>
      <c r="F762" s="10">
        <f>IF(MATCH_ENGINE!A762="","",MATCH_ENGINE!I762)</f>
        <v/>
      </c>
      <c r="G762" s="16">
        <f>IF(MATCH_ENGINE!H762="","",IF(MATCH_ENGINE!F762="IN",MATCH_ENGINE!J762,""))</f>
        <v/>
      </c>
      <c r="H762" s="16">
        <f>IF(MATCH_ENGINE!H762="","",IF(MATCH_ENGINE!F762="OUT",MATCH_ENGINE!J762,""))</f>
        <v/>
      </c>
      <c r="I762" s="16">
        <f>IF(MATCH_ENGINE!H762="","",MATCH_ENGINE!J762)</f>
        <v/>
      </c>
      <c r="J762" s="12">
        <f>IF(MATCH_ENGINE!A762="","",MATCH_ENGINE!K762)</f>
        <v/>
      </c>
      <c r="K762" s="11">
        <f>IF(MATCH_ENGINE!A762="","",MATCH_ENGINE!L762)</f>
        <v/>
      </c>
      <c r="L762" s="17">
        <f>IF(MATCH_ENGINE!A762="","",MATCH_ENGINE!M762)</f>
        <v/>
      </c>
      <c r="M762" s="11">
        <f>IF(MATCH_ENGINE!A762="","",GL_CLEAN!F762)</f>
        <v/>
      </c>
      <c r="N762" s="11">
        <f>IF(MATCH_ENGINE!A762="","",GL_CLEAN!G762)</f>
        <v/>
      </c>
      <c r="O762" s="11">
        <f>IF(MATCH_ENGINE!H762="","",INDEX(BANK_CLEAN!$C$2:$C$1001,MATCH_ENGINE!H762))</f>
        <v/>
      </c>
      <c r="P762" s="11" t="inlineStr"/>
    </row>
    <row r="763">
      <c r="A763" s="11">
        <f>IF(MATCH_ENGINE!A763="","",MATCH_ENGINE!N763)</f>
        <v/>
      </c>
      <c r="B763" s="11">
        <f>IF(MATCH_ENGINE!A763="","",MATCH_ENGINE!C763)</f>
        <v/>
      </c>
      <c r="C763" s="10">
        <f>IF(MATCH_ENGINE!A763="","",MATCH_ENGINE!B763)</f>
        <v/>
      </c>
      <c r="D763" s="16">
        <f>IF(MATCH_ENGINE!A763="","",MATCH_ENGINE!D763)</f>
        <v/>
      </c>
      <c r="E763" s="11">
        <f>IF(MATCH_ENGINE!A763="","",MATCH_ENGINE!F763)</f>
        <v/>
      </c>
      <c r="F763" s="10">
        <f>IF(MATCH_ENGINE!A763="","",MATCH_ENGINE!I763)</f>
        <v/>
      </c>
      <c r="G763" s="16">
        <f>IF(MATCH_ENGINE!H763="","",IF(MATCH_ENGINE!F763="IN",MATCH_ENGINE!J763,""))</f>
        <v/>
      </c>
      <c r="H763" s="16">
        <f>IF(MATCH_ENGINE!H763="","",IF(MATCH_ENGINE!F763="OUT",MATCH_ENGINE!J763,""))</f>
        <v/>
      </c>
      <c r="I763" s="16">
        <f>IF(MATCH_ENGINE!H763="","",MATCH_ENGINE!J763)</f>
        <v/>
      </c>
      <c r="J763" s="12">
        <f>IF(MATCH_ENGINE!A763="","",MATCH_ENGINE!K763)</f>
        <v/>
      </c>
      <c r="K763" s="11">
        <f>IF(MATCH_ENGINE!A763="","",MATCH_ENGINE!L763)</f>
        <v/>
      </c>
      <c r="L763" s="17">
        <f>IF(MATCH_ENGINE!A763="","",MATCH_ENGINE!M763)</f>
        <v/>
      </c>
      <c r="M763" s="11">
        <f>IF(MATCH_ENGINE!A763="","",GL_CLEAN!F763)</f>
        <v/>
      </c>
      <c r="N763" s="11">
        <f>IF(MATCH_ENGINE!A763="","",GL_CLEAN!G763)</f>
        <v/>
      </c>
      <c r="O763" s="11">
        <f>IF(MATCH_ENGINE!H763="","",INDEX(BANK_CLEAN!$C$2:$C$1001,MATCH_ENGINE!H763))</f>
        <v/>
      </c>
      <c r="P763" s="11" t="inlineStr"/>
    </row>
    <row r="764">
      <c r="A764" s="11">
        <f>IF(MATCH_ENGINE!A764="","",MATCH_ENGINE!N764)</f>
        <v/>
      </c>
      <c r="B764" s="11">
        <f>IF(MATCH_ENGINE!A764="","",MATCH_ENGINE!C764)</f>
        <v/>
      </c>
      <c r="C764" s="10">
        <f>IF(MATCH_ENGINE!A764="","",MATCH_ENGINE!B764)</f>
        <v/>
      </c>
      <c r="D764" s="16">
        <f>IF(MATCH_ENGINE!A764="","",MATCH_ENGINE!D764)</f>
        <v/>
      </c>
      <c r="E764" s="11">
        <f>IF(MATCH_ENGINE!A764="","",MATCH_ENGINE!F764)</f>
        <v/>
      </c>
      <c r="F764" s="10">
        <f>IF(MATCH_ENGINE!A764="","",MATCH_ENGINE!I764)</f>
        <v/>
      </c>
      <c r="G764" s="16">
        <f>IF(MATCH_ENGINE!H764="","",IF(MATCH_ENGINE!F764="IN",MATCH_ENGINE!J764,""))</f>
        <v/>
      </c>
      <c r="H764" s="16">
        <f>IF(MATCH_ENGINE!H764="","",IF(MATCH_ENGINE!F764="OUT",MATCH_ENGINE!J764,""))</f>
        <v/>
      </c>
      <c r="I764" s="16">
        <f>IF(MATCH_ENGINE!H764="","",MATCH_ENGINE!J764)</f>
        <v/>
      </c>
      <c r="J764" s="12">
        <f>IF(MATCH_ENGINE!A764="","",MATCH_ENGINE!K764)</f>
        <v/>
      </c>
      <c r="K764" s="11">
        <f>IF(MATCH_ENGINE!A764="","",MATCH_ENGINE!L764)</f>
        <v/>
      </c>
      <c r="L764" s="17">
        <f>IF(MATCH_ENGINE!A764="","",MATCH_ENGINE!M764)</f>
        <v/>
      </c>
      <c r="M764" s="11">
        <f>IF(MATCH_ENGINE!A764="","",GL_CLEAN!F764)</f>
        <v/>
      </c>
      <c r="N764" s="11">
        <f>IF(MATCH_ENGINE!A764="","",GL_CLEAN!G764)</f>
        <v/>
      </c>
      <c r="O764" s="11">
        <f>IF(MATCH_ENGINE!H764="","",INDEX(BANK_CLEAN!$C$2:$C$1001,MATCH_ENGINE!H764))</f>
        <v/>
      </c>
      <c r="P764" s="11" t="inlineStr"/>
    </row>
    <row r="765">
      <c r="A765" s="11">
        <f>IF(MATCH_ENGINE!A765="","",MATCH_ENGINE!N765)</f>
        <v/>
      </c>
      <c r="B765" s="11">
        <f>IF(MATCH_ENGINE!A765="","",MATCH_ENGINE!C765)</f>
        <v/>
      </c>
      <c r="C765" s="10">
        <f>IF(MATCH_ENGINE!A765="","",MATCH_ENGINE!B765)</f>
        <v/>
      </c>
      <c r="D765" s="16">
        <f>IF(MATCH_ENGINE!A765="","",MATCH_ENGINE!D765)</f>
        <v/>
      </c>
      <c r="E765" s="11">
        <f>IF(MATCH_ENGINE!A765="","",MATCH_ENGINE!F765)</f>
        <v/>
      </c>
      <c r="F765" s="10">
        <f>IF(MATCH_ENGINE!A765="","",MATCH_ENGINE!I765)</f>
        <v/>
      </c>
      <c r="G765" s="16">
        <f>IF(MATCH_ENGINE!H765="","",IF(MATCH_ENGINE!F765="IN",MATCH_ENGINE!J765,""))</f>
        <v/>
      </c>
      <c r="H765" s="16">
        <f>IF(MATCH_ENGINE!H765="","",IF(MATCH_ENGINE!F765="OUT",MATCH_ENGINE!J765,""))</f>
        <v/>
      </c>
      <c r="I765" s="16">
        <f>IF(MATCH_ENGINE!H765="","",MATCH_ENGINE!J765)</f>
        <v/>
      </c>
      <c r="J765" s="12">
        <f>IF(MATCH_ENGINE!A765="","",MATCH_ENGINE!K765)</f>
        <v/>
      </c>
      <c r="K765" s="11">
        <f>IF(MATCH_ENGINE!A765="","",MATCH_ENGINE!L765)</f>
        <v/>
      </c>
      <c r="L765" s="17">
        <f>IF(MATCH_ENGINE!A765="","",MATCH_ENGINE!M765)</f>
        <v/>
      </c>
      <c r="M765" s="11">
        <f>IF(MATCH_ENGINE!A765="","",GL_CLEAN!F765)</f>
        <v/>
      </c>
      <c r="N765" s="11">
        <f>IF(MATCH_ENGINE!A765="","",GL_CLEAN!G765)</f>
        <v/>
      </c>
      <c r="O765" s="11">
        <f>IF(MATCH_ENGINE!H765="","",INDEX(BANK_CLEAN!$C$2:$C$1001,MATCH_ENGINE!H765))</f>
        <v/>
      </c>
      <c r="P765" s="11" t="inlineStr"/>
    </row>
    <row r="766">
      <c r="A766" s="11">
        <f>IF(MATCH_ENGINE!A766="","",MATCH_ENGINE!N766)</f>
        <v/>
      </c>
      <c r="B766" s="11">
        <f>IF(MATCH_ENGINE!A766="","",MATCH_ENGINE!C766)</f>
        <v/>
      </c>
      <c r="C766" s="10">
        <f>IF(MATCH_ENGINE!A766="","",MATCH_ENGINE!B766)</f>
        <v/>
      </c>
      <c r="D766" s="16">
        <f>IF(MATCH_ENGINE!A766="","",MATCH_ENGINE!D766)</f>
        <v/>
      </c>
      <c r="E766" s="11">
        <f>IF(MATCH_ENGINE!A766="","",MATCH_ENGINE!F766)</f>
        <v/>
      </c>
      <c r="F766" s="10">
        <f>IF(MATCH_ENGINE!A766="","",MATCH_ENGINE!I766)</f>
        <v/>
      </c>
      <c r="G766" s="16">
        <f>IF(MATCH_ENGINE!H766="","",IF(MATCH_ENGINE!F766="IN",MATCH_ENGINE!J766,""))</f>
        <v/>
      </c>
      <c r="H766" s="16">
        <f>IF(MATCH_ENGINE!H766="","",IF(MATCH_ENGINE!F766="OUT",MATCH_ENGINE!J766,""))</f>
        <v/>
      </c>
      <c r="I766" s="16">
        <f>IF(MATCH_ENGINE!H766="","",MATCH_ENGINE!J766)</f>
        <v/>
      </c>
      <c r="J766" s="12">
        <f>IF(MATCH_ENGINE!A766="","",MATCH_ENGINE!K766)</f>
        <v/>
      </c>
      <c r="K766" s="11">
        <f>IF(MATCH_ENGINE!A766="","",MATCH_ENGINE!L766)</f>
        <v/>
      </c>
      <c r="L766" s="17">
        <f>IF(MATCH_ENGINE!A766="","",MATCH_ENGINE!M766)</f>
        <v/>
      </c>
      <c r="M766" s="11">
        <f>IF(MATCH_ENGINE!A766="","",GL_CLEAN!F766)</f>
        <v/>
      </c>
      <c r="N766" s="11">
        <f>IF(MATCH_ENGINE!A766="","",GL_CLEAN!G766)</f>
        <v/>
      </c>
      <c r="O766" s="11">
        <f>IF(MATCH_ENGINE!H766="","",INDEX(BANK_CLEAN!$C$2:$C$1001,MATCH_ENGINE!H766))</f>
        <v/>
      </c>
      <c r="P766" s="11" t="inlineStr"/>
    </row>
    <row r="767">
      <c r="A767" s="11">
        <f>IF(MATCH_ENGINE!A767="","",MATCH_ENGINE!N767)</f>
        <v/>
      </c>
      <c r="B767" s="11">
        <f>IF(MATCH_ENGINE!A767="","",MATCH_ENGINE!C767)</f>
        <v/>
      </c>
      <c r="C767" s="10">
        <f>IF(MATCH_ENGINE!A767="","",MATCH_ENGINE!B767)</f>
        <v/>
      </c>
      <c r="D767" s="16">
        <f>IF(MATCH_ENGINE!A767="","",MATCH_ENGINE!D767)</f>
        <v/>
      </c>
      <c r="E767" s="11">
        <f>IF(MATCH_ENGINE!A767="","",MATCH_ENGINE!F767)</f>
        <v/>
      </c>
      <c r="F767" s="10">
        <f>IF(MATCH_ENGINE!A767="","",MATCH_ENGINE!I767)</f>
        <v/>
      </c>
      <c r="G767" s="16">
        <f>IF(MATCH_ENGINE!H767="","",IF(MATCH_ENGINE!F767="IN",MATCH_ENGINE!J767,""))</f>
        <v/>
      </c>
      <c r="H767" s="16">
        <f>IF(MATCH_ENGINE!H767="","",IF(MATCH_ENGINE!F767="OUT",MATCH_ENGINE!J767,""))</f>
        <v/>
      </c>
      <c r="I767" s="16">
        <f>IF(MATCH_ENGINE!H767="","",MATCH_ENGINE!J767)</f>
        <v/>
      </c>
      <c r="J767" s="12">
        <f>IF(MATCH_ENGINE!A767="","",MATCH_ENGINE!K767)</f>
        <v/>
      </c>
      <c r="K767" s="11">
        <f>IF(MATCH_ENGINE!A767="","",MATCH_ENGINE!L767)</f>
        <v/>
      </c>
      <c r="L767" s="17">
        <f>IF(MATCH_ENGINE!A767="","",MATCH_ENGINE!M767)</f>
        <v/>
      </c>
      <c r="M767" s="11">
        <f>IF(MATCH_ENGINE!A767="","",GL_CLEAN!F767)</f>
        <v/>
      </c>
      <c r="N767" s="11">
        <f>IF(MATCH_ENGINE!A767="","",GL_CLEAN!G767)</f>
        <v/>
      </c>
      <c r="O767" s="11">
        <f>IF(MATCH_ENGINE!H767="","",INDEX(BANK_CLEAN!$C$2:$C$1001,MATCH_ENGINE!H767))</f>
        <v/>
      </c>
      <c r="P767" s="11" t="inlineStr"/>
    </row>
    <row r="768">
      <c r="A768" s="11">
        <f>IF(MATCH_ENGINE!A768="","",MATCH_ENGINE!N768)</f>
        <v/>
      </c>
      <c r="B768" s="11">
        <f>IF(MATCH_ENGINE!A768="","",MATCH_ENGINE!C768)</f>
        <v/>
      </c>
      <c r="C768" s="10">
        <f>IF(MATCH_ENGINE!A768="","",MATCH_ENGINE!B768)</f>
        <v/>
      </c>
      <c r="D768" s="16">
        <f>IF(MATCH_ENGINE!A768="","",MATCH_ENGINE!D768)</f>
        <v/>
      </c>
      <c r="E768" s="11">
        <f>IF(MATCH_ENGINE!A768="","",MATCH_ENGINE!F768)</f>
        <v/>
      </c>
      <c r="F768" s="10">
        <f>IF(MATCH_ENGINE!A768="","",MATCH_ENGINE!I768)</f>
        <v/>
      </c>
      <c r="G768" s="16">
        <f>IF(MATCH_ENGINE!H768="","",IF(MATCH_ENGINE!F768="IN",MATCH_ENGINE!J768,""))</f>
        <v/>
      </c>
      <c r="H768" s="16">
        <f>IF(MATCH_ENGINE!H768="","",IF(MATCH_ENGINE!F768="OUT",MATCH_ENGINE!J768,""))</f>
        <v/>
      </c>
      <c r="I768" s="16">
        <f>IF(MATCH_ENGINE!H768="","",MATCH_ENGINE!J768)</f>
        <v/>
      </c>
      <c r="J768" s="12">
        <f>IF(MATCH_ENGINE!A768="","",MATCH_ENGINE!K768)</f>
        <v/>
      </c>
      <c r="K768" s="11">
        <f>IF(MATCH_ENGINE!A768="","",MATCH_ENGINE!L768)</f>
        <v/>
      </c>
      <c r="L768" s="17">
        <f>IF(MATCH_ENGINE!A768="","",MATCH_ENGINE!M768)</f>
        <v/>
      </c>
      <c r="M768" s="11">
        <f>IF(MATCH_ENGINE!A768="","",GL_CLEAN!F768)</f>
        <v/>
      </c>
      <c r="N768" s="11">
        <f>IF(MATCH_ENGINE!A768="","",GL_CLEAN!G768)</f>
        <v/>
      </c>
      <c r="O768" s="11">
        <f>IF(MATCH_ENGINE!H768="","",INDEX(BANK_CLEAN!$C$2:$C$1001,MATCH_ENGINE!H768))</f>
        <v/>
      </c>
      <c r="P768" s="11" t="inlineStr"/>
    </row>
    <row r="769">
      <c r="A769" s="11">
        <f>IF(MATCH_ENGINE!A769="","",MATCH_ENGINE!N769)</f>
        <v/>
      </c>
      <c r="B769" s="11">
        <f>IF(MATCH_ENGINE!A769="","",MATCH_ENGINE!C769)</f>
        <v/>
      </c>
      <c r="C769" s="10">
        <f>IF(MATCH_ENGINE!A769="","",MATCH_ENGINE!B769)</f>
        <v/>
      </c>
      <c r="D769" s="16">
        <f>IF(MATCH_ENGINE!A769="","",MATCH_ENGINE!D769)</f>
        <v/>
      </c>
      <c r="E769" s="11">
        <f>IF(MATCH_ENGINE!A769="","",MATCH_ENGINE!F769)</f>
        <v/>
      </c>
      <c r="F769" s="10">
        <f>IF(MATCH_ENGINE!A769="","",MATCH_ENGINE!I769)</f>
        <v/>
      </c>
      <c r="G769" s="16">
        <f>IF(MATCH_ENGINE!H769="","",IF(MATCH_ENGINE!F769="IN",MATCH_ENGINE!J769,""))</f>
        <v/>
      </c>
      <c r="H769" s="16">
        <f>IF(MATCH_ENGINE!H769="","",IF(MATCH_ENGINE!F769="OUT",MATCH_ENGINE!J769,""))</f>
        <v/>
      </c>
      <c r="I769" s="16">
        <f>IF(MATCH_ENGINE!H769="","",MATCH_ENGINE!J769)</f>
        <v/>
      </c>
      <c r="J769" s="12">
        <f>IF(MATCH_ENGINE!A769="","",MATCH_ENGINE!K769)</f>
        <v/>
      </c>
      <c r="K769" s="11">
        <f>IF(MATCH_ENGINE!A769="","",MATCH_ENGINE!L769)</f>
        <v/>
      </c>
      <c r="L769" s="17">
        <f>IF(MATCH_ENGINE!A769="","",MATCH_ENGINE!M769)</f>
        <v/>
      </c>
      <c r="M769" s="11">
        <f>IF(MATCH_ENGINE!A769="","",GL_CLEAN!F769)</f>
        <v/>
      </c>
      <c r="N769" s="11">
        <f>IF(MATCH_ENGINE!A769="","",GL_CLEAN!G769)</f>
        <v/>
      </c>
      <c r="O769" s="11">
        <f>IF(MATCH_ENGINE!H769="","",INDEX(BANK_CLEAN!$C$2:$C$1001,MATCH_ENGINE!H769))</f>
        <v/>
      </c>
      <c r="P769" s="11" t="inlineStr"/>
    </row>
    <row r="770">
      <c r="A770" s="11">
        <f>IF(MATCH_ENGINE!A770="","",MATCH_ENGINE!N770)</f>
        <v/>
      </c>
      <c r="B770" s="11">
        <f>IF(MATCH_ENGINE!A770="","",MATCH_ENGINE!C770)</f>
        <v/>
      </c>
      <c r="C770" s="10">
        <f>IF(MATCH_ENGINE!A770="","",MATCH_ENGINE!B770)</f>
        <v/>
      </c>
      <c r="D770" s="16">
        <f>IF(MATCH_ENGINE!A770="","",MATCH_ENGINE!D770)</f>
        <v/>
      </c>
      <c r="E770" s="11">
        <f>IF(MATCH_ENGINE!A770="","",MATCH_ENGINE!F770)</f>
        <v/>
      </c>
      <c r="F770" s="10">
        <f>IF(MATCH_ENGINE!A770="","",MATCH_ENGINE!I770)</f>
        <v/>
      </c>
      <c r="G770" s="16">
        <f>IF(MATCH_ENGINE!H770="","",IF(MATCH_ENGINE!F770="IN",MATCH_ENGINE!J770,""))</f>
        <v/>
      </c>
      <c r="H770" s="16">
        <f>IF(MATCH_ENGINE!H770="","",IF(MATCH_ENGINE!F770="OUT",MATCH_ENGINE!J770,""))</f>
        <v/>
      </c>
      <c r="I770" s="16">
        <f>IF(MATCH_ENGINE!H770="","",MATCH_ENGINE!J770)</f>
        <v/>
      </c>
      <c r="J770" s="12">
        <f>IF(MATCH_ENGINE!A770="","",MATCH_ENGINE!K770)</f>
        <v/>
      </c>
      <c r="K770" s="11">
        <f>IF(MATCH_ENGINE!A770="","",MATCH_ENGINE!L770)</f>
        <v/>
      </c>
      <c r="L770" s="17">
        <f>IF(MATCH_ENGINE!A770="","",MATCH_ENGINE!M770)</f>
        <v/>
      </c>
      <c r="M770" s="11">
        <f>IF(MATCH_ENGINE!A770="","",GL_CLEAN!F770)</f>
        <v/>
      </c>
      <c r="N770" s="11">
        <f>IF(MATCH_ENGINE!A770="","",GL_CLEAN!G770)</f>
        <v/>
      </c>
      <c r="O770" s="11">
        <f>IF(MATCH_ENGINE!H770="","",INDEX(BANK_CLEAN!$C$2:$C$1001,MATCH_ENGINE!H770))</f>
        <v/>
      </c>
      <c r="P770" s="11" t="inlineStr"/>
    </row>
    <row r="771">
      <c r="A771" s="11">
        <f>IF(MATCH_ENGINE!A771="","",MATCH_ENGINE!N771)</f>
        <v/>
      </c>
      <c r="B771" s="11">
        <f>IF(MATCH_ENGINE!A771="","",MATCH_ENGINE!C771)</f>
        <v/>
      </c>
      <c r="C771" s="10">
        <f>IF(MATCH_ENGINE!A771="","",MATCH_ENGINE!B771)</f>
        <v/>
      </c>
      <c r="D771" s="16">
        <f>IF(MATCH_ENGINE!A771="","",MATCH_ENGINE!D771)</f>
        <v/>
      </c>
      <c r="E771" s="11">
        <f>IF(MATCH_ENGINE!A771="","",MATCH_ENGINE!F771)</f>
        <v/>
      </c>
      <c r="F771" s="10">
        <f>IF(MATCH_ENGINE!A771="","",MATCH_ENGINE!I771)</f>
        <v/>
      </c>
      <c r="G771" s="16">
        <f>IF(MATCH_ENGINE!H771="","",IF(MATCH_ENGINE!F771="IN",MATCH_ENGINE!J771,""))</f>
        <v/>
      </c>
      <c r="H771" s="16">
        <f>IF(MATCH_ENGINE!H771="","",IF(MATCH_ENGINE!F771="OUT",MATCH_ENGINE!J771,""))</f>
        <v/>
      </c>
      <c r="I771" s="16">
        <f>IF(MATCH_ENGINE!H771="","",MATCH_ENGINE!J771)</f>
        <v/>
      </c>
      <c r="J771" s="12">
        <f>IF(MATCH_ENGINE!A771="","",MATCH_ENGINE!K771)</f>
        <v/>
      </c>
      <c r="K771" s="11">
        <f>IF(MATCH_ENGINE!A771="","",MATCH_ENGINE!L771)</f>
        <v/>
      </c>
      <c r="L771" s="17">
        <f>IF(MATCH_ENGINE!A771="","",MATCH_ENGINE!M771)</f>
        <v/>
      </c>
      <c r="M771" s="11">
        <f>IF(MATCH_ENGINE!A771="","",GL_CLEAN!F771)</f>
        <v/>
      </c>
      <c r="N771" s="11">
        <f>IF(MATCH_ENGINE!A771="","",GL_CLEAN!G771)</f>
        <v/>
      </c>
      <c r="O771" s="11">
        <f>IF(MATCH_ENGINE!H771="","",INDEX(BANK_CLEAN!$C$2:$C$1001,MATCH_ENGINE!H771))</f>
        <v/>
      </c>
      <c r="P771" s="11" t="inlineStr"/>
    </row>
    <row r="772">
      <c r="A772" s="11">
        <f>IF(MATCH_ENGINE!A772="","",MATCH_ENGINE!N772)</f>
        <v/>
      </c>
      <c r="B772" s="11">
        <f>IF(MATCH_ENGINE!A772="","",MATCH_ENGINE!C772)</f>
        <v/>
      </c>
      <c r="C772" s="10">
        <f>IF(MATCH_ENGINE!A772="","",MATCH_ENGINE!B772)</f>
        <v/>
      </c>
      <c r="D772" s="16">
        <f>IF(MATCH_ENGINE!A772="","",MATCH_ENGINE!D772)</f>
        <v/>
      </c>
      <c r="E772" s="11">
        <f>IF(MATCH_ENGINE!A772="","",MATCH_ENGINE!F772)</f>
        <v/>
      </c>
      <c r="F772" s="10">
        <f>IF(MATCH_ENGINE!A772="","",MATCH_ENGINE!I772)</f>
        <v/>
      </c>
      <c r="G772" s="16">
        <f>IF(MATCH_ENGINE!H772="","",IF(MATCH_ENGINE!F772="IN",MATCH_ENGINE!J772,""))</f>
        <v/>
      </c>
      <c r="H772" s="16">
        <f>IF(MATCH_ENGINE!H772="","",IF(MATCH_ENGINE!F772="OUT",MATCH_ENGINE!J772,""))</f>
        <v/>
      </c>
      <c r="I772" s="16">
        <f>IF(MATCH_ENGINE!H772="","",MATCH_ENGINE!J772)</f>
        <v/>
      </c>
      <c r="J772" s="12">
        <f>IF(MATCH_ENGINE!A772="","",MATCH_ENGINE!K772)</f>
        <v/>
      </c>
      <c r="K772" s="11">
        <f>IF(MATCH_ENGINE!A772="","",MATCH_ENGINE!L772)</f>
        <v/>
      </c>
      <c r="L772" s="17">
        <f>IF(MATCH_ENGINE!A772="","",MATCH_ENGINE!M772)</f>
        <v/>
      </c>
      <c r="M772" s="11">
        <f>IF(MATCH_ENGINE!A772="","",GL_CLEAN!F772)</f>
        <v/>
      </c>
      <c r="N772" s="11">
        <f>IF(MATCH_ENGINE!A772="","",GL_CLEAN!G772)</f>
        <v/>
      </c>
      <c r="O772" s="11">
        <f>IF(MATCH_ENGINE!H772="","",INDEX(BANK_CLEAN!$C$2:$C$1001,MATCH_ENGINE!H772))</f>
        <v/>
      </c>
      <c r="P772" s="11" t="inlineStr"/>
    </row>
    <row r="773">
      <c r="A773" s="11">
        <f>IF(MATCH_ENGINE!A773="","",MATCH_ENGINE!N773)</f>
        <v/>
      </c>
      <c r="B773" s="11">
        <f>IF(MATCH_ENGINE!A773="","",MATCH_ENGINE!C773)</f>
        <v/>
      </c>
      <c r="C773" s="10">
        <f>IF(MATCH_ENGINE!A773="","",MATCH_ENGINE!B773)</f>
        <v/>
      </c>
      <c r="D773" s="16">
        <f>IF(MATCH_ENGINE!A773="","",MATCH_ENGINE!D773)</f>
        <v/>
      </c>
      <c r="E773" s="11">
        <f>IF(MATCH_ENGINE!A773="","",MATCH_ENGINE!F773)</f>
        <v/>
      </c>
      <c r="F773" s="10">
        <f>IF(MATCH_ENGINE!A773="","",MATCH_ENGINE!I773)</f>
        <v/>
      </c>
      <c r="G773" s="16">
        <f>IF(MATCH_ENGINE!H773="","",IF(MATCH_ENGINE!F773="IN",MATCH_ENGINE!J773,""))</f>
        <v/>
      </c>
      <c r="H773" s="16">
        <f>IF(MATCH_ENGINE!H773="","",IF(MATCH_ENGINE!F773="OUT",MATCH_ENGINE!J773,""))</f>
        <v/>
      </c>
      <c r="I773" s="16">
        <f>IF(MATCH_ENGINE!H773="","",MATCH_ENGINE!J773)</f>
        <v/>
      </c>
      <c r="J773" s="12">
        <f>IF(MATCH_ENGINE!A773="","",MATCH_ENGINE!K773)</f>
        <v/>
      </c>
      <c r="K773" s="11">
        <f>IF(MATCH_ENGINE!A773="","",MATCH_ENGINE!L773)</f>
        <v/>
      </c>
      <c r="L773" s="17">
        <f>IF(MATCH_ENGINE!A773="","",MATCH_ENGINE!M773)</f>
        <v/>
      </c>
      <c r="M773" s="11">
        <f>IF(MATCH_ENGINE!A773="","",GL_CLEAN!F773)</f>
        <v/>
      </c>
      <c r="N773" s="11">
        <f>IF(MATCH_ENGINE!A773="","",GL_CLEAN!G773)</f>
        <v/>
      </c>
      <c r="O773" s="11">
        <f>IF(MATCH_ENGINE!H773="","",INDEX(BANK_CLEAN!$C$2:$C$1001,MATCH_ENGINE!H773))</f>
        <v/>
      </c>
      <c r="P773" s="11" t="inlineStr"/>
    </row>
    <row r="774">
      <c r="A774" s="11">
        <f>IF(MATCH_ENGINE!A774="","",MATCH_ENGINE!N774)</f>
        <v/>
      </c>
      <c r="B774" s="11">
        <f>IF(MATCH_ENGINE!A774="","",MATCH_ENGINE!C774)</f>
        <v/>
      </c>
      <c r="C774" s="10">
        <f>IF(MATCH_ENGINE!A774="","",MATCH_ENGINE!B774)</f>
        <v/>
      </c>
      <c r="D774" s="16">
        <f>IF(MATCH_ENGINE!A774="","",MATCH_ENGINE!D774)</f>
        <v/>
      </c>
      <c r="E774" s="11">
        <f>IF(MATCH_ENGINE!A774="","",MATCH_ENGINE!F774)</f>
        <v/>
      </c>
      <c r="F774" s="10">
        <f>IF(MATCH_ENGINE!A774="","",MATCH_ENGINE!I774)</f>
        <v/>
      </c>
      <c r="G774" s="16">
        <f>IF(MATCH_ENGINE!H774="","",IF(MATCH_ENGINE!F774="IN",MATCH_ENGINE!J774,""))</f>
        <v/>
      </c>
      <c r="H774" s="16">
        <f>IF(MATCH_ENGINE!H774="","",IF(MATCH_ENGINE!F774="OUT",MATCH_ENGINE!J774,""))</f>
        <v/>
      </c>
      <c r="I774" s="16">
        <f>IF(MATCH_ENGINE!H774="","",MATCH_ENGINE!J774)</f>
        <v/>
      </c>
      <c r="J774" s="12">
        <f>IF(MATCH_ENGINE!A774="","",MATCH_ENGINE!K774)</f>
        <v/>
      </c>
      <c r="K774" s="11">
        <f>IF(MATCH_ENGINE!A774="","",MATCH_ENGINE!L774)</f>
        <v/>
      </c>
      <c r="L774" s="17">
        <f>IF(MATCH_ENGINE!A774="","",MATCH_ENGINE!M774)</f>
        <v/>
      </c>
      <c r="M774" s="11">
        <f>IF(MATCH_ENGINE!A774="","",GL_CLEAN!F774)</f>
        <v/>
      </c>
      <c r="N774" s="11">
        <f>IF(MATCH_ENGINE!A774="","",GL_CLEAN!G774)</f>
        <v/>
      </c>
      <c r="O774" s="11">
        <f>IF(MATCH_ENGINE!H774="","",INDEX(BANK_CLEAN!$C$2:$C$1001,MATCH_ENGINE!H774))</f>
        <v/>
      </c>
      <c r="P774" s="11" t="inlineStr"/>
    </row>
    <row r="775">
      <c r="A775" s="11">
        <f>IF(MATCH_ENGINE!A775="","",MATCH_ENGINE!N775)</f>
        <v/>
      </c>
      <c r="B775" s="11">
        <f>IF(MATCH_ENGINE!A775="","",MATCH_ENGINE!C775)</f>
        <v/>
      </c>
      <c r="C775" s="10">
        <f>IF(MATCH_ENGINE!A775="","",MATCH_ENGINE!B775)</f>
        <v/>
      </c>
      <c r="D775" s="16">
        <f>IF(MATCH_ENGINE!A775="","",MATCH_ENGINE!D775)</f>
        <v/>
      </c>
      <c r="E775" s="11">
        <f>IF(MATCH_ENGINE!A775="","",MATCH_ENGINE!F775)</f>
        <v/>
      </c>
      <c r="F775" s="10">
        <f>IF(MATCH_ENGINE!A775="","",MATCH_ENGINE!I775)</f>
        <v/>
      </c>
      <c r="G775" s="16">
        <f>IF(MATCH_ENGINE!H775="","",IF(MATCH_ENGINE!F775="IN",MATCH_ENGINE!J775,""))</f>
        <v/>
      </c>
      <c r="H775" s="16">
        <f>IF(MATCH_ENGINE!H775="","",IF(MATCH_ENGINE!F775="OUT",MATCH_ENGINE!J775,""))</f>
        <v/>
      </c>
      <c r="I775" s="16">
        <f>IF(MATCH_ENGINE!H775="","",MATCH_ENGINE!J775)</f>
        <v/>
      </c>
      <c r="J775" s="12">
        <f>IF(MATCH_ENGINE!A775="","",MATCH_ENGINE!K775)</f>
        <v/>
      </c>
      <c r="K775" s="11">
        <f>IF(MATCH_ENGINE!A775="","",MATCH_ENGINE!L775)</f>
        <v/>
      </c>
      <c r="L775" s="17">
        <f>IF(MATCH_ENGINE!A775="","",MATCH_ENGINE!M775)</f>
        <v/>
      </c>
      <c r="M775" s="11">
        <f>IF(MATCH_ENGINE!A775="","",GL_CLEAN!F775)</f>
        <v/>
      </c>
      <c r="N775" s="11">
        <f>IF(MATCH_ENGINE!A775="","",GL_CLEAN!G775)</f>
        <v/>
      </c>
      <c r="O775" s="11">
        <f>IF(MATCH_ENGINE!H775="","",INDEX(BANK_CLEAN!$C$2:$C$1001,MATCH_ENGINE!H775))</f>
        <v/>
      </c>
      <c r="P775" s="11" t="inlineStr"/>
    </row>
    <row r="776">
      <c r="A776" s="11">
        <f>IF(MATCH_ENGINE!A776="","",MATCH_ENGINE!N776)</f>
        <v/>
      </c>
      <c r="B776" s="11">
        <f>IF(MATCH_ENGINE!A776="","",MATCH_ENGINE!C776)</f>
        <v/>
      </c>
      <c r="C776" s="10">
        <f>IF(MATCH_ENGINE!A776="","",MATCH_ENGINE!B776)</f>
        <v/>
      </c>
      <c r="D776" s="16">
        <f>IF(MATCH_ENGINE!A776="","",MATCH_ENGINE!D776)</f>
        <v/>
      </c>
      <c r="E776" s="11">
        <f>IF(MATCH_ENGINE!A776="","",MATCH_ENGINE!F776)</f>
        <v/>
      </c>
      <c r="F776" s="10">
        <f>IF(MATCH_ENGINE!A776="","",MATCH_ENGINE!I776)</f>
        <v/>
      </c>
      <c r="G776" s="16">
        <f>IF(MATCH_ENGINE!H776="","",IF(MATCH_ENGINE!F776="IN",MATCH_ENGINE!J776,""))</f>
        <v/>
      </c>
      <c r="H776" s="16">
        <f>IF(MATCH_ENGINE!H776="","",IF(MATCH_ENGINE!F776="OUT",MATCH_ENGINE!J776,""))</f>
        <v/>
      </c>
      <c r="I776" s="16">
        <f>IF(MATCH_ENGINE!H776="","",MATCH_ENGINE!J776)</f>
        <v/>
      </c>
      <c r="J776" s="12">
        <f>IF(MATCH_ENGINE!A776="","",MATCH_ENGINE!K776)</f>
        <v/>
      </c>
      <c r="K776" s="11">
        <f>IF(MATCH_ENGINE!A776="","",MATCH_ENGINE!L776)</f>
        <v/>
      </c>
      <c r="L776" s="17">
        <f>IF(MATCH_ENGINE!A776="","",MATCH_ENGINE!M776)</f>
        <v/>
      </c>
      <c r="M776" s="11">
        <f>IF(MATCH_ENGINE!A776="","",GL_CLEAN!F776)</f>
        <v/>
      </c>
      <c r="N776" s="11">
        <f>IF(MATCH_ENGINE!A776="","",GL_CLEAN!G776)</f>
        <v/>
      </c>
      <c r="O776" s="11">
        <f>IF(MATCH_ENGINE!H776="","",INDEX(BANK_CLEAN!$C$2:$C$1001,MATCH_ENGINE!H776))</f>
        <v/>
      </c>
      <c r="P776" s="11" t="inlineStr"/>
    </row>
    <row r="777">
      <c r="A777" s="11">
        <f>IF(MATCH_ENGINE!A777="","",MATCH_ENGINE!N777)</f>
        <v/>
      </c>
      <c r="B777" s="11">
        <f>IF(MATCH_ENGINE!A777="","",MATCH_ENGINE!C777)</f>
        <v/>
      </c>
      <c r="C777" s="10">
        <f>IF(MATCH_ENGINE!A777="","",MATCH_ENGINE!B777)</f>
        <v/>
      </c>
      <c r="D777" s="16">
        <f>IF(MATCH_ENGINE!A777="","",MATCH_ENGINE!D777)</f>
        <v/>
      </c>
      <c r="E777" s="11">
        <f>IF(MATCH_ENGINE!A777="","",MATCH_ENGINE!F777)</f>
        <v/>
      </c>
      <c r="F777" s="10">
        <f>IF(MATCH_ENGINE!A777="","",MATCH_ENGINE!I777)</f>
        <v/>
      </c>
      <c r="G777" s="16">
        <f>IF(MATCH_ENGINE!H777="","",IF(MATCH_ENGINE!F777="IN",MATCH_ENGINE!J777,""))</f>
        <v/>
      </c>
      <c r="H777" s="16">
        <f>IF(MATCH_ENGINE!H777="","",IF(MATCH_ENGINE!F777="OUT",MATCH_ENGINE!J777,""))</f>
        <v/>
      </c>
      <c r="I777" s="16">
        <f>IF(MATCH_ENGINE!H777="","",MATCH_ENGINE!J777)</f>
        <v/>
      </c>
      <c r="J777" s="12">
        <f>IF(MATCH_ENGINE!A777="","",MATCH_ENGINE!K777)</f>
        <v/>
      </c>
      <c r="K777" s="11">
        <f>IF(MATCH_ENGINE!A777="","",MATCH_ENGINE!L777)</f>
        <v/>
      </c>
      <c r="L777" s="17">
        <f>IF(MATCH_ENGINE!A777="","",MATCH_ENGINE!M777)</f>
        <v/>
      </c>
      <c r="M777" s="11">
        <f>IF(MATCH_ENGINE!A777="","",GL_CLEAN!F777)</f>
        <v/>
      </c>
      <c r="N777" s="11">
        <f>IF(MATCH_ENGINE!A777="","",GL_CLEAN!G777)</f>
        <v/>
      </c>
      <c r="O777" s="11">
        <f>IF(MATCH_ENGINE!H777="","",INDEX(BANK_CLEAN!$C$2:$C$1001,MATCH_ENGINE!H777))</f>
        <v/>
      </c>
      <c r="P777" s="11" t="inlineStr"/>
    </row>
    <row r="778">
      <c r="A778" s="11">
        <f>IF(MATCH_ENGINE!A778="","",MATCH_ENGINE!N778)</f>
        <v/>
      </c>
      <c r="B778" s="11">
        <f>IF(MATCH_ENGINE!A778="","",MATCH_ENGINE!C778)</f>
        <v/>
      </c>
      <c r="C778" s="10">
        <f>IF(MATCH_ENGINE!A778="","",MATCH_ENGINE!B778)</f>
        <v/>
      </c>
      <c r="D778" s="16">
        <f>IF(MATCH_ENGINE!A778="","",MATCH_ENGINE!D778)</f>
        <v/>
      </c>
      <c r="E778" s="11">
        <f>IF(MATCH_ENGINE!A778="","",MATCH_ENGINE!F778)</f>
        <v/>
      </c>
      <c r="F778" s="10">
        <f>IF(MATCH_ENGINE!A778="","",MATCH_ENGINE!I778)</f>
        <v/>
      </c>
      <c r="G778" s="16">
        <f>IF(MATCH_ENGINE!H778="","",IF(MATCH_ENGINE!F778="IN",MATCH_ENGINE!J778,""))</f>
        <v/>
      </c>
      <c r="H778" s="16">
        <f>IF(MATCH_ENGINE!H778="","",IF(MATCH_ENGINE!F778="OUT",MATCH_ENGINE!J778,""))</f>
        <v/>
      </c>
      <c r="I778" s="16">
        <f>IF(MATCH_ENGINE!H778="","",MATCH_ENGINE!J778)</f>
        <v/>
      </c>
      <c r="J778" s="12">
        <f>IF(MATCH_ENGINE!A778="","",MATCH_ENGINE!K778)</f>
        <v/>
      </c>
      <c r="K778" s="11">
        <f>IF(MATCH_ENGINE!A778="","",MATCH_ENGINE!L778)</f>
        <v/>
      </c>
      <c r="L778" s="17">
        <f>IF(MATCH_ENGINE!A778="","",MATCH_ENGINE!M778)</f>
        <v/>
      </c>
      <c r="M778" s="11">
        <f>IF(MATCH_ENGINE!A778="","",GL_CLEAN!F778)</f>
        <v/>
      </c>
      <c r="N778" s="11">
        <f>IF(MATCH_ENGINE!A778="","",GL_CLEAN!G778)</f>
        <v/>
      </c>
      <c r="O778" s="11">
        <f>IF(MATCH_ENGINE!H778="","",INDEX(BANK_CLEAN!$C$2:$C$1001,MATCH_ENGINE!H778))</f>
        <v/>
      </c>
      <c r="P778" s="11" t="inlineStr"/>
    </row>
    <row r="779">
      <c r="A779" s="11">
        <f>IF(MATCH_ENGINE!A779="","",MATCH_ENGINE!N779)</f>
        <v/>
      </c>
      <c r="B779" s="11">
        <f>IF(MATCH_ENGINE!A779="","",MATCH_ENGINE!C779)</f>
        <v/>
      </c>
      <c r="C779" s="10">
        <f>IF(MATCH_ENGINE!A779="","",MATCH_ENGINE!B779)</f>
        <v/>
      </c>
      <c r="D779" s="16">
        <f>IF(MATCH_ENGINE!A779="","",MATCH_ENGINE!D779)</f>
        <v/>
      </c>
      <c r="E779" s="11">
        <f>IF(MATCH_ENGINE!A779="","",MATCH_ENGINE!F779)</f>
        <v/>
      </c>
      <c r="F779" s="10">
        <f>IF(MATCH_ENGINE!A779="","",MATCH_ENGINE!I779)</f>
        <v/>
      </c>
      <c r="G779" s="16">
        <f>IF(MATCH_ENGINE!H779="","",IF(MATCH_ENGINE!F779="IN",MATCH_ENGINE!J779,""))</f>
        <v/>
      </c>
      <c r="H779" s="16">
        <f>IF(MATCH_ENGINE!H779="","",IF(MATCH_ENGINE!F779="OUT",MATCH_ENGINE!J779,""))</f>
        <v/>
      </c>
      <c r="I779" s="16">
        <f>IF(MATCH_ENGINE!H779="","",MATCH_ENGINE!J779)</f>
        <v/>
      </c>
      <c r="J779" s="12">
        <f>IF(MATCH_ENGINE!A779="","",MATCH_ENGINE!K779)</f>
        <v/>
      </c>
      <c r="K779" s="11">
        <f>IF(MATCH_ENGINE!A779="","",MATCH_ENGINE!L779)</f>
        <v/>
      </c>
      <c r="L779" s="17">
        <f>IF(MATCH_ENGINE!A779="","",MATCH_ENGINE!M779)</f>
        <v/>
      </c>
      <c r="M779" s="11">
        <f>IF(MATCH_ENGINE!A779="","",GL_CLEAN!F779)</f>
        <v/>
      </c>
      <c r="N779" s="11">
        <f>IF(MATCH_ENGINE!A779="","",GL_CLEAN!G779)</f>
        <v/>
      </c>
      <c r="O779" s="11">
        <f>IF(MATCH_ENGINE!H779="","",INDEX(BANK_CLEAN!$C$2:$C$1001,MATCH_ENGINE!H779))</f>
        <v/>
      </c>
      <c r="P779" s="11" t="inlineStr"/>
    </row>
    <row r="780">
      <c r="A780" s="11">
        <f>IF(MATCH_ENGINE!A780="","",MATCH_ENGINE!N780)</f>
        <v/>
      </c>
      <c r="B780" s="11">
        <f>IF(MATCH_ENGINE!A780="","",MATCH_ENGINE!C780)</f>
        <v/>
      </c>
      <c r="C780" s="10">
        <f>IF(MATCH_ENGINE!A780="","",MATCH_ENGINE!B780)</f>
        <v/>
      </c>
      <c r="D780" s="16">
        <f>IF(MATCH_ENGINE!A780="","",MATCH_ENGINE!D780)</f>
        <v/>
      </c>
      <c r="E780" s="11">
        <f>IF(MATCH_ENGINE!A780="","",MATCH_ENGINE!F780)</f>
        <v/>
      </c>
      <c r="F780" s="10">
        <f>IF(MATCH_ENGINE!A780="","",MATCH_ENGINE!I780)</f>
        <v/>
      </c>
      <c r="G780" s="16">
        <f>IF(MATCH_ENGINE!H780="","",IF(MATCH_ENGINE!F780="IN",MATCH_ENGINE!J780,""))</f>
        <v/>
      </c>
      <c r="H780" s="16">
        <f>IF(MATCH_ENGINE!H780="","",IF(MATCH_ENGINE!F780="OUT",MATCH_ENGINE!J780,""))</f>
        <v/>
      </c>
      <c r="I780" s="16">
        <f>IF(MATCH_ENGINE!H780="","",MATCH_ENGINE!J780)</f>
        <v/>
      </c>
      <c r="J780" s="12">
        <f>IF(MATCH_ENGINE!A780="","",MATCH_ENGINE!K780)</f>
        <v/>
      </c>
      <c r="K780" s="11">
        <f>IF(MATCH_ENGINE!A780="","",MATCH_ENGINE!L780)</f>
        <v/>
      </c>
      <c r="L780" s="17">
        <f>IF(MATCH_ENGINE!A780="","",MATCH_ENGINE!M780)</f>
        <v/>
      </c>
      <c r="M780" s="11">
        <f>IF(MATCH_ENGINE!A780="","",GL_CLEAN!F780)</f>
        <v/>
      </c>
      <c r="N780" s="11">
        <f>IF(MATCH_ENGINE!A780="","",GL_CLEAN!G780)</f>
        <v/>
      </c>
      <c r="O780" s="11">
        <f>IF(MATCH_ENGINE!H780="","",INDEX(BANK_CLEAN!$C$2:$C$1001,MATCH_ENGINE!H780))</f>
        <v/>
      </c>
      <c r="P780" s="11" t="inlineStr"/>
    </row>
    <row r="781">
      <c r="A781" s="11">
        <f>IF(MATCH_ENGINE!A781="","",MATCH_ENGINE!N781)</f>
        <v/>
      </c>
      <c r="B781" s="11">
        <f>IF(MATCH_ENGINE!A781="","",MATCH_ENGINE!C781)</f>
        <v/>
      </c>
      <c r="C781" s="10">
        <f>IF(MATCH_ENGINE!A781="","",MATCH_ENGINE!B781)</f>
        <v/>
      </c>
      <c r="D781" s="16">
        <f>IF(MATCH_ENGINE!A781="","",MATCH_ENGINE!D781)</f>
        <v/>
      </c>
      <c r="E781" s="11">
        <f>IF(MATCH_ENGINE!A781="","",MATCH_ENGINE!F781)</f>
        <v/>
      </c>
      <c r="F781" s="10">
        <f>IF(MATCH_ENGINE!A781="","",MATCH_ENGINE!I781)</f>
        <v/>
      </c>
      <c r="G781" s="16">
        <f>IF(MATCH_ENGINE!H781="","",IF(MATCH_ENGINE!F781="IN",MATCH_ENGINE!J781,""))</f>
        <v/>
      </c>
      <c r="H781" s="16">
        <f>IF(MATCH_ENGINE!H781="","",IF(MATCH_ENGINE!F781="OUT",MATCH_ENGINE!J781,""))</f>
        <v/>
      </c>
      <c r="I781" s="16">
        <f>IF(MATCH_ENGINE!H781="","",MATCH_ENGINE!J781)</f>
        <v/>
      </c>
      <c r="J781" s="12">
        <f>IF(MATCH_ENGINE!A781="","",MATCH_ENGINE!K781)</f>
        <v/>
      </c>
      <c r="K781" s="11">
        <f>IF(MATCH_ENGINE!A781="","",MATCH_ENGINE!L781)</f>
        <v/>
      </c>
      <c r="L781" s="17">
        <f>IF(MATCH_ENGINE!A781="","",MATCH_ENGINE!M781)</f>
        <v/>
      </c>
      <c r="M781" s="11">
        <f>IF(MATCH_ENGINE!A781="","",GL_CLEAN!F781)</f>
        <v/>
      </c>
      <c r="N781" s="11">
        <f>IF(MATCH_ENGINE!A781="","",GL_CLEAN!G781)</f>
        <v/>
      </c>
      <c r="O781" s="11">
        <f>IF(MATCH_ENGINE!H781="","",INDEX(BANK_CLEAN!$C$2:$C$1001,MATCH_ENGINE!H781))</f>
        <v/>
      </c>
      <c r="P781" s="11" t="inlineStr"/>
    </row>
    <row r="782">
      <c r="A782" s="11">
        <f>IF(MATCH_ENGINE!A782="","",MATCH_ENGINE!N782)</f>
        <v/>
      </c>
      <c r="B782" s="11">
        <f>IF(MATCH_ENGINE!A782="","",MATCH_ENGINE!C782)</f>
        <v/>
      </c>
      <c r="C782" s="10">
        <f>IF(MATCH_ENGINE!A782="","",MATCH_ENGINE!B782)</f>
        <v/>
      </c>
      <c r="D782" s="16">
        <f>IF(MATCH_ENGINE!A782="","",MATCH_ENGINE!D782)</f>
        <v/>
      </c>
      <c r="E782" s="11">
        <f>IF(MATCH_ENGINE!A782="","",MATCH_ENGINE!F782)</f>
        <v/>
      </c>
      <c r="F782" s="10">
        <f>IF(MATCH_ENGINE!A782="","",MATCH_ENGINE!I782)</f>
        <v/>
      </c>
      <c r="G782" s="16">
        <f>IF(MATCH_ENGINE!H782="","",IF(MATCH_ENGINE!F782="IN",MATCH_ENGINE!J782,""))</f>
        <v/>
      </c>
      <c r="H782" s="16">
        <f>IF(MATCH_ENGINE!H782="","",IF(MATCH_ENGINE!F782="OUT",MATCH_ENGINE!J782,""))</f>
        <v/>
      </c>
      <c r="I782" s="16">
        <f>IF(MATCH_ENGINE!H782="","",MATCH_ENGINE!J782)</f>
        <v/>
      </c>
      <c r="J782" s="12">
        <f>IF(MATCH_ENGINE!A782="","",MATCH_ENGINE!K782)</f>
        <v/>
      </c>
      <c r="K782" s="11">
        <f>IF(MATCH_ENGINE!A782="","",MATCH_ENGINE!L782)</f>
        <v/>
      </c>
      <c r="L782" s="17">
        <f>IF(MATCH_ENGINE!A782="","",MATCH_ENGINE!M782)</f>
        <v/>
      </c>
      <c r="M782" s="11">
        <f>IF(MATCH_ENGINE!A782="","",GL_CLEAN!F782)</f>
        <v/>
      </c>
      <c r="N782" s="11">
        <f>IF(MATCH_ENGINE!A782="","",GL_CLEAN!G782)</f>
        <v/>
      </c>
      <c r="O782" s="11">
        <f>IF(MATCH_ENGINE!H782="","",INDEX(BANK_CLEAN!$C$2:$C$1001,MATCH_ENGINE!H782))</f>
        <v/>
      </c>
      <c r="P782" s="11" t="inlineStr"/>
    </row>
    <row r="783">
      <c r="A783" s="11">
        <f>IF(MATCH_ENGINE!A783="","",MATCH_ENGINE!N783)</f>
        <v/>
      </c>
      <c r="B783" s="11">
        <f>IF(MATCH_ENGINE!A783="","",MATCH_ENGINE!C783)</f>
        <v/>
      </c>
      <c r="C783" s="10">
        <f>IF(MATCH_ENGINE!A783="","",MATCH_ENGINE!B783)</f>
        <v/>
      </c>
      <c r="D783" s="16">
        <f>IF(MATCH_ENGINE!A783="","",MATCH_ENGINE!D783)</f>
        <v/>
      </c>
      <c r="E783" s="11">
        <f>IF(MATCH_ENGINE!A783="","",MATCH_ENGINE!F783)</f>
        <v/>
      </c>
      <c r="F783" s="10">
        <f>IF(MATCH_ENGINE!A783="","",MATCH_ENGINE!I783)</f>
        <v/>
      </c>
      <c r="G783" s="16">
        <f>IF(MATCH_ENGINE!H783="","",IF(MATCH_ENGINE!F783="IN",MATCH_ENGINE!J783,""))</f>
        <v/>
      </c>
      <c r="H783" s="16">
        <f>IF(MATCH_ENGINE!H783="","",IF(MATCH_ENGINE!F783="OUT",MATCH_ENGINE!J783,""))</f>
        <v/>
      </c>
      <c r="I783" s="16">
        <f>IF(MATCH_ENGINE!H783="","",MATCH_ENGINE!J783)</f>
        <v/>
      </c>
      <c r="J783" s="12">
        <f>IF(MATCH_ENGINE!A783="","",MATCH_ENGINE!K783)</f>
        <v/>
      </c>
      <c r="K783" s="11">
        <f>IF(MATCH_ENGINE!A783="","",MATCH_ENGINE!L783)</f>
        <v/>
      </c>
      <c r="L783" s="17">
        <f>IF(MATCH_ENGINE!A783="","",MATCH_ENGINE!M783)</f>
        <v/>
      </c>
      <c r="M783" s="11">
        <f>IF(MATCH_ENGINE!A783="","",GL_CLEAN!F783)</f>
        <v/>
      </c>
      <c r="N783" s="11">
        <f>IF(MATCH_ENGINE!A783="","",GL_CLEAN!G783)</f>
        <v/>
      </c>
      <c r="O783" s="11">
        <f>IF(MATCH_ENGINE!H783="","",INDEX(BANK_CLEAN!$C$2:$C$1001,MATCH_ENGINE!H783))</f>
        <v/>
      </c>
      <c r="P783" s="11" t="inlineStr"/>
    </row>
    <row r="784">
      <c r="A784" s="11">
        <f>IF(MATCH_ENGINE!A784="","",MATCH_ENGINE!N784)</f>
        <v/>
      </c>
      <c r="B784" s="11">
        <f>IF(MATCH_ENGINE!A784="","",MATCH_ENGINE!C784)</f>
        <v/>
      </c>
      <c r="C784" s="10">
        <f>IF(MATCH_ENGINE!A784="","",MATCH_ENGINE!B784)</f>
        <v/>
      </c>
      <c r="D784" s="16">
        <f>IF(MATCH_ENGINE!A784="","",MATCH_ENGINE!D784)</f>
        <v/>
      </c>
      <c r="E784" s="11">
        <f>IF(MATCH_ENGINE!A784="","",MATCH_ENGINE!F784)</f>
        <v/>
      </c>
      <c r="F784" s="10">
        <f>IF(MATCH_ENGINE!A784="","",MATCH_ENGINE!I784)</f>
        <v/>
      </c>
      <c r="G784" s="16">
        <f>IF(MATCH_ENGINE!H784="","",IF(MATCH_ENGINE!F784="IN",MATCH_ENGINE!J784,""))</f>
        <v/>
      </c>
      <c r="H784" s="16">
        <f>IF(MATCH_ENGINE!H784="","",IF(MATCH_ENGINE!F784="OUT",MATCH_ENGINE!J784,""))</f>
        <v/>
      </c>
      <c r="I784" s="16">
        <f>IF(MATCH_ENGINE!H784="","",MATCH_ENGINE!J784)</f>
        <v/>
      </c>
      <c r="J784" s="12">
        <f>IF(MATCH_ENGINE!A784="","",MATCH_ENGINE!K784)</f>
        <v/>
      </c>
      <c r="K784" s="11">
        <f>IF(MATCH_ENGINE!A784="","",MATCH_ENGINE!L784)</f>
        <v/>
      </c>
      <c r="L784" s="17">
        <f>IF(MATCH_ENGINE!A784="","",MATCH_ENGINE!M784)</f>
        <v/>
      </c>
      <c r="M784" s="11">
        <f>IF(MATCH_ENGINE!A784="","",GL_CLEAN!F784)</f>
        <v/>
      </c>
      <c r="N784" s="11">
        <f>IF(MATCH_ENGINE!A784="","",GL_CLEAN!G784)</f>
        <v/>
      </c>
      <c r="O784" s="11">
        <f>IF(MATCH_ENGINE!H784="","",INDEX(BANK_CLEAN!$C$2:$C$1001,MATCH_ENGINE!H784))</f>
        <v/>
      </c>
      <c r="P784" s="11" t="inlineStr"/>
    </row>
    <row r="785">
      <c r="A785" s="11">
        <f>IF(MATCH_ENGINE!A785="","",MATCH_ENGINE!N785)</f>
        <v/>
      </c>
      <c r="B785" s="11">
        <f>IF(MATCH_ENGINE!A785="","",MATCH_ENGINE!C785)</f>
        <v/>
      </c>
      <c r="C785" s="10">
        <f>IF(MATCH_ENGINE!A785="","",MATCH_ENGINE!B785)</f>
        <v/>
      </c>
      <c r="D785" s="16">
        <f>IF(MATCH_ENGINE!A785="","",MATCH_ENGINE!D785)</f>
        <v/>
      </c>
      <c r="E785" s="11">
        <f>IF(MATCH_ENGINE!A785="","",MATCH_ENGINE!F785)</f>
        <v/>
      </c>
      <c r="F785" s="10">
        <f>IF(MATCH_ENGINE!A785="","",MATCH_ENGINE!I785)</f>
        <v/>
      </c>
      <c r="G785" s="16">
        <f>IF(MATCH_ENGINE!H785="","",IF(MATCH_ENGINE!F785="IN",MATCH_ENGINE!J785,""))</f>
        <v/>
      </c>
      <c r="H785" s="16">
        <f>IF(MATCH_ENGINE!H785="","",IF(MATCH_ENGINE!F785="OUT",MATCH_ENGINE!J785,""))</f>
        <v/>
      </c>
      <c r="I785" s="16">
        <f>IF(MATCH_ENGINE!H785="","",MATCH_ENGINE!J785)</f>
        <v/>
      </c>
      <c r="J785" s="12">
        <f>IF(MATCH_ENGINE!A785="","",MATCH_ENGINE!K785)</f>
        <v/>
      </c>
      <c r="K785" s="11">
        <f>IF(MATCH_ENGINE!A785="","",MATCH_ENGINE!L785)</f>
        <v/>
      </c>
      <c r="L785" s="17">
        <f>IF(MATCH_ENGINE!A785="","",MATCH_ENGINE!M785)</f>
        <v/>
      </c>
      <c r="M785" s="11">
        <f>IF(MATCH_ENGINE!A785="","",GL_CLEAN!F785)</f>
        <v/>
      </c>
      <c r="N785" s="11">
        <f>IF(MATCH_ENGINE!A785="","",GL_CLEAN!G785)</f>
        <v/>
      </c>
      <c r="O785" s="11">
        <f>IF(MATCH_ENGINE!H785="","",INDEX(BANK_CLEAN!$C$2:$C$1001,MATCH_ENGINE!H785))</f>
        <v/>
      </c>
      <c r="P785" s="11" t="inlineStr"/>
    </row>
    <row r="786">
      <c r="A786" s="11">
        <f>IF(MATCH_ENGINE!A786="","",MATCH_ENGINE!N786)</f>
        <v/>
      </c>
      <c r="B786" s="11">
        <f>IF(MATCH_ENGINE!A786="","",MATCH_ENGINE!C786)</f>
        <v/>
      </c>
      <c r="C786" s="10">
        <f>IF(MATCH_ENGINE!A786="","",MATCH_ENGINE!B786)</f>
        <v/>
      </c>
      <c r="D786" s="16">
        <f>IF(MATCH_ENGINE!A786="","",MATCH_ENGINE!D786)</f>
        <v/>
      </c>
      <c r="E786" s="11">
        <f>IF(MATCH_ENGINE!A786="","",MATCH_ENGINE!F786)</f>
        <v/>
      </c>
      <c r="F786" s="10">
        <f>IF(MATCH_ENGINE!A786="","",MATCH_ENGINE!I786)</f>
        <v/>
      </c>
      <c r="G786" s="16">
        <f>IF(MATCH_ENGINE!H786="","",IF(MATCH_ENGINE!F786="IN",MATCH_ENGINE!J786,""))</f>
        <v/>
      </c>
      <c r="H786" s="16">
        <f>IF(MATCH_ENGINE!H786="","",IF(MATCH_ENGINE!F786="OUT",MATCH_ENGINE!J786,""))</f>
        <v/>
      </c>
      <c r="I786" s="16">
        <f>IF(MATCH_ENGINE!H786="","",MATCH_ENGINE!J786)</f>
        <v/>
      </c>
      <c r="J786" s="12">
        <f>IF(MATCH_ENGINE!A786="","",MATCH_ENGINE!K786)</f>
        <v/>
      </c>
      <c r="K786" s="11">
        <f>IF(MATCH_ENGINE!A786="","",MATCH_ENGINE!L786)</f>
        <v/>
      </c>
      <c r="L786" s="17">
        <f>IF(MATCH_ENGINE!A786="","",MATCH_ENGINE!M786)</f>
        <v/>
      </c>
      <c r="M786" s="11">
        <f>IF(MATCH_ENGINE!A786="","",GL_CLEAN!F786)</f>
        <v/>
      </c>
      <c r="N786" s="11">
        <f>IF(MATCH_ENGINE!A786="","",GL_CLEAN!G786)</f>
        <v/>
      </c>
      <c r="O786" s="11">
        <f>IF(MATCH_ENGINE!H786="","",INDEX(BANK_CLEAN!$C$2:$C$1001,MATCH_ENGINE!H786))</f>
        <v/>
      </c>
      <c r="P786" s="11" t="inlineStr"/>
    </row>
    <row r="787">
      <c r="A787" s="11">
        <f>IF(MATCH_ENGINE!A787="","",MATCH_ENGINE!N787)</f>
        <v/>
      </c>
      <c r="B787" s="11">
        <f>IF(MATCH_ENGINE!A787="","",MATCH_ENGINE!C787)</f>
        <v/>
      </c>
      <c r="C787" s="10">
        <f>IF(MATCH_ENGINE!A787="","",MATCH_ENGINE!B787)</f>
        <v/>
      </c>
      <c r="D787" s="16">
        <f>IF(MATCH_ENGINE!A787="","",MATCH_ENGINE!D787)</f>
        <v/>
      </c>
      <c r="E787" s="11">
        <f>IF(MATCH_ENGINE!A787="","",MATCH_ENGINE!F787)</f>
        <v/>
      </c>
      <c r="F787" s="10">
        <f>IF(MATCH_ENGINE!A787="","",MATCH_ENGINE!I787)</f>
        <v/>
      </c>
      <c r="G787" s="16">
        <f>IF(MATCH_ENGINE!H787="","",IF(MATCH_ENGINE!F787="IN",MATCH_ENGINE!J787,""))</f>
        <v/>
      </c>
      <c r="H787" s="16">
        <f>IF(MATCH_ENGINE!H787="","",IF(MATCH_ENGINE!F787="OUT",MATCH_ENGINE!J787,""))</f>
        <v/>
      </c>
      <c r="I787" s="16">
        <f>IF(MATCH_ENGINE!H787="","",MATCH_ENGINE!J787)</f>
        <v/>
      </c>
      <c r="J787" s="12">
        <f>IF(MATCH_ENGINE!A787="","",MATCH_ENGINE!K787)</f>
        <v/>
      </c>
      <c r="K787" s="11">
        <f>IF(MATCH_ENGINE!A787="","",MATCH_ENGINE!L787)</f>
        <v/>
      </c>
      <c r="L787" s="17">
        <f>IF(MATCH_ENGINE!A787="","",MATCH_ENGINE!M787)</f>
        <v/>
      </c>
      <c r="M787" s="11">
        <f>IF(MATCH_ENGINE!A787="","",GL_CLEAN!F787)</f>
        <v/>
      </c>
      <c r="N787" s="11">
        <f>IF(MATCH_ENGINE!A787="","",GL_CLEAN!G787)</f>
        <v/>
      </c>
      <c r="O787" s="11">
        <f>IF(MATCH_ENGINE!H787="","",INDEX(BANK_CLEAN!$C$2:$C$1001,MATCH_ENGINE!H787))</f>
        <v/>
      </c>
      <c r="P787" s="11" t="inlineStr"/>
    </row>
    <row r="788">
      <c r="A788" s="11">
        <f>IF(MATCH_ENGINE!A788="","",MATCH_ENGINE!N788)</f>
        <v/>
      </c>
      <c r="B788" s="11">
        <f>IF(MATCH_ENGINE!A788="","",MATCH_ENGINE!C788)</f>
        <v/>
      </c>
      <c r="C788" s="10">
        <f>IF(MATCH_ENGINE!A788="","",MATCH_ENGINE!B788)</f>
        <v/>
      </c>
      <c r="D788" s="16">
        <f>IF(MATCH_ENGINE!A788="","",MATCH_ENGINE!D788)</f>
        <v/>
      </c>
      <c r="E788" s="11">
        <f>IF(MATCH_ENGINE!A788="","",MATCH_ENGINE!F788)</f>
        <v/>
      </c>
      <c r="F788" s="10">
        <f>IF(MATCH_ENGINE!A788="","",MATCH_ENGINE!I788)</f>
        <v/>
      </c>
      <c r="G788" s="16">
        <f>IF(MATCH_ENGINE!H788="","",IF(MATCH_ENGINE!F788="IN",MATCH_ENGINE!J788,""))</f>
        <v/>
      </c>
      <c r="H788" s="16">
        <f>IF(MATCH_ENGINE!H788="","",IF(MATCH_ENGINE!F788="OUT",MATCH_ENGINE!J788,""))</f>
        <v/>
      </c>
      <c r="I788" s="16">
        <f>IF(MATCH_ENGINE!H788="","",MATCH_ENGINE!J788)</f>
        <v/>
      </c>
      <c r="J788" s="12">
        <f>IF(MATCH_ENGINE!A788="","",MATCH_ENGINE!K788)</f>
        <v/>
      </c>
      <c r="K788" s="11">
        <f>IF(MATCH_ENGINE!A788="","",MATCH_ENGINE!L788)</f>
        <v/>
      </c>
      <c r="L788" s="17">
        <f>IF(MATCH_ENGINE!A788="","",MATCH_ENGINE!M788)</f>
        <v/>
      </c>
      <c r="M788" s="11">
        <f>IF(MATCH_ENGINE!A788="","",GL_CLEAN!F788)</f>
        <v/>
      </c>
      <c r="N788" s="11">
        <f>IF(MATCH_ENGINE!A788="","",GL_CLEAN!G788)</f>
        <v/>
      </c>
      <c r="O788" s="11">
        <f>IF(MATCH_ENGINE!H788="","",INDEX(BANK_CLEAN!$C$2:$C$1001,MATCH_ENGINE!H788))</f>
        <v/>
      </c>
      <c r="P788" s="11" t="inlineStr"/>
    </row>
    <row r="789">
      <c r="A789" s="11">
        <f>IF(MATCH_ENGINE!A789="","",MATCH_ENGINE!N789)</f>
        <v/>
      </c>
      <c r="B789" s="11">
        <f>IF(MATCH_ENGINE!A789="","",MATCH_ENGINE!C789)</f>
        <v/>
      </c>
      <c r="C789" s="10">
        <f>IF(MATCH_ENGINE!A789="","",MATCH_ENGINE!B789)</f>
        <v/>
      </c>
      <c r="D789" s="16">
        <f>IF(MATCH_ENGINE!A789="","",MATCH_ENGINE!D789)</f>
        <v/>
      </c>
      <c r="E789" s="11">
        <f>IF(MATCH_ENGINE!A789="","",MATCH_ENGINE!F789)</f>
        <v/>
      </c>
      <c r="F789" s="10">
        <f>IF(MATCH_ENGINE!A789="","",MATCH_ENGINE!I789)</f>
        <v/>
      </c>
      <c r="G789" s="16">
        <f>IF(MATCH_ENGINE!H789="","",IF(MATCH_ENGINE!F789="IN",MATCH_ENGINE!J789,""))</f>
        <v/>
      </c>
      <c r="H789" s="16">
        <f>IF(MATCH_ENGINE!H789="","",IF(MATCH_ENGINE!F789="OUT",MATCH_ENGINE!J789,""))</f>
        <v/>
      </c>
      <c r="I789" s="16">
        <f>IF(MATCH_ENGINE!H789="","",MATCH_ENGINE!J789)</f>
        <v/>
      </c>
      <c r="J789" s="12">
        <f>IF(MATCH_ENGINE!A789="","",MATCH_ENGINE!K789)</f>
        <v/>
      </c>
      <c r="K789" s="11">
        <f>IF(MATCH_ENGINE!A789="","",MATCH_ENGINE!L789)</f>
        <v/>
      </c>
      <c r="L789" s="17">
        <f>IF(MATCH_ENGINE!A789="","",MATCH_ENGINE!M789)</f>
        <v/>
      </c>
      <c r="M789" s="11">
        <f>IF(MATCH_ENGINE!A789="","",GL_CLEAN!F789)</f>
        <v/>
      </c>
      <c r="N789" s="11">
        <f>IF(MATCH_ENGINE!A789="","",GL_CLEAN!G789)</f>
        <v/>
      </c>
      <c r="O789" s="11">
        <f>IF(MATCH_ENGINE!H789="","",INDEX(BANK_CLEAN!$C$2:$C$1001,MATCH_ENGINE!H789))</f>
        <v/>
      </c>
      <c r="P789" s="11" t="inlineStr"/>
    </row>
    <row r="790">
      <c r="A790" s="11">
        <f>IF(MATCH_ENGINE!A790="","",MATCH_ENGINE!N790)</f>
        <v/>
      </c>
      <c r="B790" s="11">
        <f>IF(MATCH_ENGINE!A790="","",MATCH_ENGINE!C790)</f>
        <v/>
      </c>
      <c r="C790" s="10">
        <f>IF(MATCH_ENGINE!A790="","",MATCH_ENGINE!B790)</f>
        <v/>
      </c>
      <c r="D790" s="16">
        <f>IF(MATCH_ENGINE!A790="","",MATCH_ENGINE!D790)</f>
        <v/>
      </c>
      <c r="E790" s="11">
        <f>IF(MATCH_ENGINE!A790="","",MATCH_ENGINE!F790)</f>
        <v/>
      </c>
      <c r="F790" s="10">
        <f>IF(MATCH_ENGINE!A790="","",MATCH_ENGINE!I790)</f>
        <v/>
      </c>
      <c r="G790" s="16">
        <f>IF(MATCH_ENGINE!H790="","",IF(MATCH_ENGINE!F790="IN",MATCH_ENGINE!J790,""))</f>
        <v/>
      </c>
      <c r="H790" s="16">
        <f>IF(MATCH_ENGINE!H790="","",IF(MATCH_ENGINE!F790="OUT",MATCH_ENGINE!J790,""))</f>
        <v/>
      </c>
      <c r="I790" s="16">
        <f>IF(MATCH_ENGINE!H790="","",MATCH_ENGINE!J790)</f>
        <v/>
      </c>
      <c r="J790" s="12">
        <f>IF(MATCH_ENGINE!A790="","",MATCH_ENGINE!K790)</f>
        <v/>
      </c>
      <c r="K790" s="11">
        <f>IF(MATCH_ENGINE!A790="","",MATCH_ENGINE!L790)</f>
        <v/>
      </c>
      <c r="L790" s="17">
        <f>IF(MATCH_ENGINE!A790="","",MATCH_ENGINE!M790)</f>
        <v/>
      </c>
      <c r="M790" s="11">
        <f>IF(MATCH_ENGINE!A790="","",GL_CLEAN!F790)</f>
        <v/>
      </c>
      <c r="N790" s="11">
        <f>IF(MATCH_ENGINE!A790="","",GL_CLEAN!G790)</f>
        <v/>
      </c>
      <c r="O790" s="11">
        <f>IF(MATCH_ENGINE!H790="","",INDEX(BANK_CLEAN!$C$2:$C$1001,MATCH_ENGINE!H790))</f>
        <v/>
      </c>
      <c r="P790" s="11" t="inlineStr"/>
    </row>
    <row r="791">
      <c r="A791" s="11">
        <f>IF(MATCH_ENGINE!A791="","",MATCH_ENGINE!N791)</f>
        <v/>
      </c>
      <c r="B791" s="11">
        <f>IF(MATCH_ENGINE!A791="","",MATCH_ENGINE!C791)</f>
        <v/>
      </c>
      <c r="C791" s="10">
        <f>IF(MATCH_ENGINE!A791="","",MATCH_ENGINE!B791)</f>
        <v/>
      </c>
      <c r="D791" s="16">
        <f>IF(MATCH_ENGINE!A791="","",MATCH_ENGINE!D791)</f>
        <v/>
      </c>
      <c r="E791" s="11">
        <f>IF(MATCH_ENGINE!A791="","",MATCH_ENGINE!F791)</f>
        <v/>
      </c>
      <c r="F791" s="10">
        <f>IF(MATCH_ENGINE!A791="","",MATCH_ENGINE!I791)</f>
        <v/>
      </c>
      <c r="G791" s="16">
        <f>IF(MATCH_ENGINE!H791="","",IF(MATCH_ENGINE!F791="IN",MATCH_ENGINE!J791,""))</f>
        <v/>
      </c>
      <c r="H791" s="16">
        <f>IF(MATCH_ENGINE!H791="","",IF(MATCH_ENGINE!F791="OUT",MATCH_ENGINE!J791,""))</f>
        <v/>
      </c>
      <c r="I791" s="16">
        <f>IF(MATCH_ENGINE!H791="","",MATCH_ENGINE!J791)</f>
        <v/>
      </c>
      <c r="J791" s="12">
        <f>IF(MATCH_ENGINE!A791="","",MATCH_ENGINE!K791)</f>
        <v/>
      </c>
      <c r="K791" s="11">
        <f>IF(MATCH_ENGINE!A791="","",MATCH_ENGINE!L791)</f>
        <v/>
      </c>
      <c r="L791" s="17">
        <f>IF(MATCH_ENGINE!A791="","",MATCH_ENGINE!M791)</f>
        <v/>
      </c>
      <c r="M791" s="11">
        <f>IF(MATCH_ENGINE!A791="","",GL_CLEAN!F791)</f>
        <v/>
      </c>
      <c r="N791" s="11">
        <f>IF(MATCH_ENGINE!A791="","",GL_CLEAN!G791)</f>
        <v/>
      </c>
      <c r="O791" s="11">
        <f>IF(MATCH_ENGINE!H791="","",INDEX(BANK_CLEAN!$C$2:$C$1001,MATCH_ENGINE!H791))</f>
        <v/>
      </c>
      <c r="P791" s="11" t="inlineStr"/>
    </row>
    <row r="792">
      <c r="A792" s="11">
        <f>IF(MATCH_ENGINE!A792="","",MATCH_ENGINE!N792)</f>
        <v/>
      </c>
      <c r="B792" s="11">
        <f>IF(MATCH_ENGINE!A792="","",MATCH_ENGINE!C792)</f>
        <v/>
      </c>
      <c r="C792" s="10">
        <f>IF(MATCH_ENGINE!A792="","",MATCH_ENGINE!B792)</f>
        <v/>
      </c>
      <c r="D792" s="16">
        <f>IF(MATCH_ENGINE!A792="","",MATCH_ENGINE!D792)</f>
        <v/>
      </c>
      <c r="E792" s="11">
        <f>IF(MATCH_ENGINE!A792="","",MATCH_ENGINE!F792)</f>
        <v/>
      </c>
      <c r="F792" s="10">
        <f>IF(MATCH_ENGINE!A792="","",MATCH_ENGINE!I792)</f>
        <v/>
      </c>
      <c r="G792" s="16">
        <f>IF(MATCH_ENGINE!H792="","",IF(MATCH_ENGINE!F792="IN",MATCH_ENGINE!J792,""))</f>
        <v/>
      </c>
      <c r="H792" s="16">
        <f>IF(MATCH_ENGINE!H792="","",IF(MATCH_ENGINE!F792="OUT",MATCH_ENGINE!J792,""))</f>
        <v/>
      </c>
      <c r="I792" s="16">
        <f>IF(MATCH_ENGINE!H792="","",MATCH_ENGINE!J792)</f>
        <v/>
      </c>
      <c r="J792" s="12">
        <f>IF(MATCH_ENGINE!A792="","",MATCH_ENGINE!K792)</f>
        <v/>
      </c>
      <c r="K792" s="11">
        <f>IF(MATCH_ENGINE!A792="","",MATCH_ENGINE!L792)</f>
        <v/>
      </c>
      <c r="L792" s="17">
        <f>IF(MATCH_ENGINE!A792="","",MATCH_ENGINE!M792)</f>
        <v/>
      </c>
      <c r="M792" s="11">
        <f>IF(MATCH_ENGINE!A792="","",GL_CLEAN!F792)</f>
        <v/>
      </c>
      <c r="N792" s="11">
        <f>IF(MATCH_ENGINE!A792="","",GL_CLEAN!G792)</f>
        <v/>
      </c>
      <c r="O792" s="11">
        <f>IF(MATCH_ENGINE!H792="","",INDEX(BANK_CLEAN!$C$2:$C$1001,MATCH_ENGINE!H792))</f>
        <v/>
      </c>
      <c r="P792" s="11" t="inlineStr"/>
    </row>
    <row r="793">
      <c r="A793" s="11">
        <f>IF(MATCH_ENGINE!A793="","",MATCH_ENGINE!N793)</f>
        <v/>
      </c>
      <c r="B793" s="11">
        <f>IF(MATCH_ENGINE!A793="","",MATCH_ENGINE!C793)</f>
        <v/>
      </c>
      <c r="C793" s="10">
        <f>IF(MATCH_ENGINE!A793="","",MATCH_ENGINE!B793)</f>
        <v/>
      </c>
      <c r="D793" s="16">
        <f>IF(MATCH_ENGINE!A793="","",MATCH_ENGINE!D793)</f>
        <v/>
      </c>
      <c r="E793" s="11">
        <f>IF(MATCH_ENGINE!A793="","",MATCH_ENGINE!F793)</f>
        <v/>
      </c>
      <c r="F793" s="10">
        <f>IF(MATCH_ENGINE!A793="","",MATCH_ENGINE!I793)</f>
        <v/>
      </c>
      <c r="G793" s="16">
        <f>IF(MATCH_ENGINE!H793="","",IF(MATCH_ENGINE!F793="IN",MATCH_ENGINE!J793,""))</f>
        <v/>
      </c>
      <c r="H793" s="16">
        <f>IF(MATCH_ENGINE!H793="","",IF(MATCH_ENGINE!F793="OUT",MATCH_ENGINE!J793,""))</f>
        <v/>
      </c>
      <c r="I793" s="16">
        <f>IF(MATCH_ENGINE!H793="","",MATCH_ENGINE!J793)</f>
        <v/>
      </c>
      <c r="J793" s="12">
        <f>IF(MATCH_ENGINE!A793="","",MATCH_ENGINE!K793)</f>
        <v/>
      </c>
      <c r="K793" s="11">
        <f>IF(MATCH_ENGINE!A793="","",MATCH_ENGINE!L793)</f>
        <v/>
      </c>
      <c r="L793" s="17">
        <f>IF(MATCH_ENGINE!A793="","",MATCH_ENGINE!M793)</f>
        <v/>
      </c>
      <c r="M793" s="11">
        <f>IF(MATCH_ENGINE!A793="","",GL_CLEAN!F793)</f>
        <v/>
      </c>
      <c r="N793" s="11">
        <f>IF(MATCH_ENGINE!A793="","",GL_CLEAN!G793)</f>
        <v/>
      </c>
      <c r="O793" s="11">
        <f>IF(MATCH_ENGINE!H793="","",INDEX(BANK_CLEAN!$C$2:$C$1001,MATCH_ENGINE!H793))</f>
        <v/>
      </c>
      <c r="P793" s="11" t="inlineStr"/>
    </row>
    <row r="794">
      <c r="A794" s="11">
        <f>IF(MATCH_ENGINE!A794="","",MATCH_ENGINE!N794)</f>
        <v/>
      </c>
      <c r="B794" s="11">
        <f>IF(MATCH_ENGINE!A794="","",MATCH_ENGINE!C794)</f>
        <v/>
      </c>
      <c r="C794" s="10">
        <f>IF(MATCH_ENGINE!A794="","",MATCH_ENGINE!B794)</f>
        <v/>
      </c>
      <c r="D794" s="16">
        <f>IF(MATCH_ENGINE!A794="","",MATCH_ENGINE!D794)</f>
        <v/>
      </c>
      <c r="E794" s="11">
        <f>IF(MATCH_ENGINE!A794="","",MATCH_ENGINE!F794)</f>
        <v/>
      </c>
      <c r="F794" s="10">
        <f>IF(MATCH_ENGINE!A794="","",MATCH_ENGINE!I794)</f>
        <v/>
      </c>
      <c r="G794" s="16">
        <f>IF(MATCH_ENGINE!H794="","",IF(MATCH_ENGINE!F794="IN",MATCH_ENGINE!J794,""))</f>
        <v/>
      </c>
      <c r="H794" s="16">
        <f>IF(MATCH_ENGINE!H794="","",IF(MATCH_ENGINE!F794="OUT",MATCH_ENGINE!J794,""))</f>
        <v/>
      </c>
      <c r="I794" s="16">
        <f>IF(MATCH_ENGINE!H794="","",MATCH_ENGINE!J794)</f>
        <v/>
      </c>
      <c r="J794" s="12">
        <f>IF(MATCH_ENGINE!A794="","",MATCH_ENGINE!K794)</f>
        <v/>
      </c>
      <c r="K794" s="11">
        <f>IF(MATCH_ENGINE!A794="","",MATCH_ENGINE!L794)</f>
        <v/>
      </c>
      <c r="L794" s="17">
        <f>IF(MATCH_ENGINE!A794="","",MATCH_ENGINE!M794)</f>
        <v/>
      </c>
      <c r="M794" s="11">
        <f>IF(MATCH_ENGINE!A794="","",GL_CLEAN!F794)</f>
        <v/>
      </c>
      <c r="N794" s="11">
        <f>IF(MATCH_ENGINE!A794="","",GL_CLEAN!G794)</f>
        <v/>
      </c>
      <c r="O794" s="11">
        <f>IF(MATCH_ENGINE!H794="","",INDEX(BANK_CLEAN!$C$2:$C$1001,MATCH_ENGINE!H794))</f>
        <v/>
      </c>
      <c r="P794" s="11" t="inlineStr"/>
    </row>
    <row r="795">
      <c r="A795" s="11">
        <f>IF(MATCH_ENGINE!A795="","",MATCH_ENGINE!N795)</f>
        <v/>
      </c>
      <c r="B795" s="11">
        <f>IF(MATCH_ENGINE!A795="","",MATCH_ENGINE!C795)</f>
        <v/>
      </c>
      <c r="C795" s="10">
        <f>IF(MATCH_ENGINE!A795="","",MATCH_ENGINE!B795)</f>
        <v/>
      </c>
      <c r="D795" s="16">
        <f>IF(MATCH_ENGINE!A795="","",MATCH_ENGINE!D795)</f>
        <v/>
      </c>
      <c r="E795" s="11">
        <f>IF(MATCH_ENGINE!A795="","",MATCH_ENGINE!F795)</f>
        <v/>
      </c>
      <c r="F795" s="10">
        <f>IF(MATCH_ENGINE!A795="","",MATCH_ENGINE!I795)</f>
        <v/>
      </c>
      <c r="G795" s="16">
        <f>IF(MATCH_ENGINE!H795="","",IF(MATCH_ENGINE!F795="IN",MATCH_ENGINE!J795,""))</f>
        <v/>
      </c>
      <c r="H795" s="16">
        <f>IF(MATCH_ENGINE!H795="","",IF(MATCH_ENGINE!F795="OUT",MATCH_ENGINE!J795,""))</f>
        <v/>
      </c>
      <c r="I795" s="16">
        <f>IF(MATCH_ENGINE!H795="","",MATCH_ENGINE!J795)</f>
        <v/>
      </c>
      <c r="J795" s="12">
        <f>IF(MATCH_ENGINE!A795="","",MATCH_ENGINE!K795)</f>
        <v/>
      </c>
      <c r="K795" s="11">
        <f>IF(MATCH_ENGINE!A795="","",MATCH_ENGINE!L795)</f>
        <v/>
      </c>
      <c r="L795" s="17">
        <f>IF(MATCH_ENGINE!A795="","",MATCH_ENGINE!M795)</f>
        <v/>
      </c>
      <c r="M795" s="11">
        <f>IF(MATCH_ENGINE!A795="","",GL_CLEAN!F795)</f>
        <v/>
      </c>
      <c r="N795" s="11">
        <f>IF(MATCH_ENGINE!A795="","",GL_CLEAN!G795)</f>
        <v/>
      </c>
      <c r="O795" s="11">
        <f>IF(MATCH_ENGINE!H795="","",INDEX(BANK_CLEAN!$C$2:$C$1001,MATCH_ENGINE!H795))</f>
        <v/>
      </c>
      <c r="P795" s="11" t="inlineStr"/>
    </row>
    <row r="796">
      <c r="A796" s="11">
        <f>IF(MATCH_ENGINE!A796="","",MATCH_ENGINE!N796)</f>
        <v/>
      </c>
      <c r="B796" s="11">
        <f>IF(MATCH_ENGINE!A796="","",MATCH_ENGINE!C796)</f>
        <v/>
      </c>
      <c r="C796" s="10">
        <f>IF(MATCH_ENGINE!A796="","",MATCH_ENGINE!B796)</f>
        <v/>
      </c>
      <c r="D796" s="16">
        <f>IF(MATCH_ENGINE!A796="","",MATCH_ENGINE!D796)</f>
        <v/>
      </c>
      <c r="E796" s="11">
        <f>IF(MATCH_ENGINE!A796="","",MATCH_ENGINE!F796)</f>
        <v/>
      </c>
      <c r="F796" s="10">
        <f>IF(MATCH_ENGINE!A796="","",MATCH_ENGINE!I796)</f>
        <v/>
      </c>
      <c r="G796" s="16">
        <f>IF(MATCH_ENGINE!H796="","",IF(MATCH_ENGINE!F796="IN",MATCH_ENGINE!J796,""))</f>
        <v/>
      </c>
      <c r="H796" s="16">
        <f>IF(MATCH_ENGINE!H796="","",IF(MATCH_ENGINE!F796="OUT",MATCH_ENGINE!J796,""))</f>
        <v/>
      </c>
      <c r="I796" s="16">
        <f>IF(MATCH_ENGINE!H796="","",MATCH_ENGINE!J796)</f>
        <v/>
      </c>
      <c r="J796" s="12">
        <f>IF(MATCH_ENGINE!A796="","",MATCH_ENGINE!K796)</f>
        <v/>
      </c>
      <c r="K796" s="11">
        <f>IF(MATCH_ENGINE!A796="","",MATCH_ENGINE!L796)</f>
        <v/>
      </c>
      <c r="L796" s="17">
        <f>IF(MATCH_ENGINE!A796="","",MATCH_ENGINE!M796)</f>
        <v/>
      </c>
      <c r="M796" s="11">
        <f>IF(MATCH_ENGINE!A796="","",GL_CLEAN!F796)</f>
        <v/>
      </c>
      <c r="N796" s="11">
        <f>IF(MATCH_ENGINE!A796="","",GL_CLEAN!G796)</f>
        <v/>
      </c>
      <c r="O796" s="11">
        <f>IF(MATCH_ENGINE!H796="","",INDEX(BANK_CLEAN!$C$2:$C$1001,MATCH_ENGINE!H796))</f>
        <v/>
      </c>
      <c r="P796" s="11" t="inlineStr"/>
    </row>
    <row r="797">
      <c r="A797" s="11">
        <f>IF(MATCH_ENGINE!A797="","",MATCH_ENGINE!N797)</f>
        <v/>
      </c>
      <c r="B797" s="11">
        <f>IF(MATCH_ENGINE!A797="","",MATCH_ENGINE!C797)</f>
        <v/>
      </c>
      <c r="C797" s="10">
        <f>IF(MATCH_ENGINE!A797="","",MATCH_ENGINE!B797)</f>
        <v/>
      </c>
      <c r="D797" s="16">
        <f>IF(MATCH_ENGINE!A797="","",MATCH_ENGINE!D797)</f>
        <v/>
      </c>
      <c r="E797" s="11">
        <f>IF(MATCH_ENGINE!A797="","",MATCH_ENGINE!F797)</f>
        <v/>
      </c>
      <c r="F797" s="10">
        <f>IF(MATCH_ENGINE!A797="","",MATCH_ENGINE!I797)</f>
        <v/>
      </c>
      <c r="G797" s="16">
        <f>IF(MATCH_ENGINE!H797="","",IF(MATCH_ENGINE!F797="IN",MATCH_ENGINE!J797,""))</f>
        <v/>
      </c>
      <c r="H797" s="16">
        <f>IF(MATCH_ENGINE!H797="","",IF(MATCH_ENGINE!F797="OUT",MATCH_ENGINE!J797,""))</f>
        <v/>
      </c>
      <c r="I797" s="16">
        <f>IF(MATCH_ENGINE!H797="","",MATCH_ENGINE!J797)</f>
        <v/>
      </c>
      <c r="J797" s="12">
        <f>IF(MATCH_ENGINE!A797="","",MATCH_ENGINE!K797)</f>
        <v/>
      </c>
      <c r="K797" s="11">
        <f>IF(MATCH_ENGINE!A797="","",MATCH_ENGINE!L797)</f>
        <v/>
      </c>
      <c r="L797" s="17">
        <f>IF(MATCH_ENGINE!A797="","",MATCH_ENGINE!M797)</f>
        <v/>
      </c>
      <c r="M797" s="11">
        <f>IF(MATCH_ENGINE!A797="","",GL_CLEAN!F797)</f>
        <v/>
      </c>
      <c r="N797" s="11">
        <f>IF(MATCH_ENGINE!A797="","",GL_CLEAN!G797)</f>
        <v/>
      </c>
      <c r="O797" s="11">
        <f>IF(MATCH_ENGINE!H797="","",INDEX(BANK_CLEAN!$C$2:$C$1001,MATCH_ENGINE!H797))</f>
        <v/>
      </c>
      <c r="P797" s="11" t="inlineStr"/>
    </row>
    <row r="798">
      <c r="A798" s="11">
        <f>IF(MATCH_ENGINE!A798="","",MATCH_ENGINE!N798)</f>
        <v/>
      </c>
      <c r="B798" s="11">
        <f>IF(MATCH_ENGINE!A798="","",MATCH_ENGINE!C798)</f>
        <v/>
      </c>
      <c r="C798" s="10">
        <f>IF(MATCH_ENGINE!A798="","",MATCH_ENGINE!B798)</f>
        <v/>
      </c>
      <c r="D798" s="16">
        <f>IF(MATCH_ENGINE!A798="","",MATCH_ENGINE!D798)</f>
        <v/>
      </c>
      <c r="E798" s="11">
        <f>IF(MATCH_ENGINE!A798="","",MATCH_ENGINE!F798)</f>
        <v/>
      </c>
      <c r="F798" s="10">
        <f>IF(MATCH_ENGINE!A798="","",MATCH_ENGINE!I798)</f>
        <v/>
      </c>
      <c r="G798" s="16">
        <f>IF(MATCH_ENGINE!H798="","",IF(MATCH_ENGINE!F798="IN",MATCH_ENGINE!J798,""))</f>
        <v/>
      </c>
      <c r="H798" s="16">
        <f>IF(MATCH_ENGINE!H798="","",IF(MATCH_ENGINE!F798="OUT",MATCH_ENGINE!J798,""))</f>
        <v/>
      </c>
      <c r="I798" s="16">
        <f>IF(MATCH_ENGINE!H798="","",MATCH_ENGINE!J798)</f>
        <v/>
      </c>
      <c r="J798" s="12">
        <f>IF(MATCH_ENGINE!A798="","",MATCH_ENGINE!K798)</f>
        <v/>
      </c>
      <c r="K798" s="11">
        <f>IF(MATCH_ENGINE!A798="","",MATCH_ENGINE!L798)</f>
        <v/>
      </c>
      <c r="L798" s="17">
        <f>IF(MATCH_ENGINE!A798="","",MATCH_ENGINE!M798)</f>
        <v/>
      </c>
      <c r="M798" s="11">
        <f>IF(MATCH_ENGINE!A798="","",GL_CLEAN!F798)</f>
        <v/>
      </c>
      <c r="N798" s="11">
        <f>IF(MATCH_ENGINE!A798="","",GL_CLEAN!G798)</f>
        <v/>
      </c>
      <c r="O798" s="11">
        <f>IF(MATCH_ENGINE!H798="","",INDEX(BANK_CLEAN!$C$2:$C$1001,MATCH_ENGINE!H798))</f>
        <v/>
      </c>
      <c r="P798" s="11" t="inlineStr"/>
    </row>
    <row r="799">
      <c r="A799" s="11">
        <f>IF(MATCH_ENGINE!A799="","",MATCH_ENGINE!N799)</f>
        <v/>
      </c>
      <c r="B799" s="11">
        <f>IF(MATCH_ENGINE!A799="","",MATCH_ENGINE!C799)</f>
        <v/>
      </c>
      <c r="C799" s="10">
        <f>IF(MATCH_ENGINE!A799="","",MATCH_ENGINE!B799)</f>
        <v/>
      </c>
      <c r="D799" s="16">
        <f>IF(MATCH_ENGINE!A799="","",MATCH_ENGINE!D799)</f>
        <v/>
      </c>
      <c r="E799" s="11">
        <f>IF(MATCH_ENGINE!A799="","",MATCH_ENGINE!F799)</f>
        <v/>
      </c>
      <c r="F799" s="10">
        <f>IF(MATCH_ENGINE!A799="","",MATCH_ENGINE!I799)</f>
        <v/>
      </c>
      <c r="G799" s="16">
        <f>IF(MATCH_ENGINE!H799="","",IF(MATCH_ENGINE!F799="IN",MATCH_ENGINE!J799,""))</f>
        <v/>
      </c>
      <c r="H799" s="16">
        <f>IF(MATCH_ENGINE!H799="","",IF(MATCH_ENGINE!F799="OUT",MATCH_ENGINE!J799,""))</f>
        <v/>
      </c>
      <c r="I799" s="16">
        <f>IF(MATCH_ENGINE!H799="","",MATCH_ENGINE!J799)</f>
        <v/>
      </c>
      <c r="J799" s="12">
        <f>IF(MATCH_ENGINE!A799="","",MATCH_ENGINE!K799)</f>
        <v/>
      </c>
      <c r="K799" s="11">
        <f>IF(MATCH_ENGINE!A799="","",MATCH_ENGINE!L799)</f>
        <v/>
      </c>
      <c r="L799" s="17">
        <f>IF(MATCH_ENGINE!A799="","",MATCH_ENGINE!M799)</f>
        <v/>
      </c>
      <c r="M799" s="11">
        <f>IF(MATCH_ENGINE!A799="","",GL_CLEAN!F799)</f>
        <v/>
      </c>
      <c r="N799" s="11">
        <f>IF(MATCH_ENGINE!A799="","",GL_CLEAN!G799)</f>
        <v/>
      </c>
      <c r="O799" s="11">
        <f>IF(MATCH_ENGINE!H799="","",INDEX(BANK_CLEAN!$C$2:$C$1001,MATCH_ENGINE!H799))</f>
        <v/>
      </c>
      <c r="P799" s="11" t="inlineStr"/>
    </row>
    <row r="800">
      <c r="A800" s="11">
        <f>IF(MATCH_ENGINE!A800="","",MATCH_ENGINE!N800)</f>
        <v/>
      </c>
      <c r="B800" s="11">
        <f>IF(MATCH_ENGINE!A800="","",MATCH_ENGINE!C800)</f>
        <v/>
      </c>
      <c r="C800" s="10">
        <f>IF(MATCH_ENGINE!A800="","",MATCH_ENGINE!B800)</f>
        <v/>
      </c>
      <c r="D800" s="16">
        <f>IF(MATCH_ENGINE!A800="","",MATCH_ENGINE!D800)</f>
        <v/>
      </c>
      <c r="E800" s="11">
        <f>IF(MATCH_ENGINE!A800="","",MATCH_ENGINE!F800)</f>
        <v/>
      </c>
      <c r="F800" s="10">
        <f>IF(MATCH_ENGINE!A800="","",MATCH_ENGINE!I800)</f>
        <v/>
      </c>
      <c r="G800" s="16">
        <f>IF(MATCH_ENGINE!H800="","",IF(MATCH_ENGINE!F800="IN",MATCH_ENGINE!J800,""))</f>
        <v/>
      </c>
      <c r="H800" s="16">
        <f>IF(MATCH_ENGINE!H800="","",IF(MATCH_ENGINE!F800="OUT",MATCH_ENGINE!J800,""))</f>
        <v/>
      </c>
      <c r="I800" s="16">
        <f>IF(MATCH_ENGINE!H800="","",MATCH_ENGINE!J800)</f>
        <v/>
      </c>
      <c r="J800" s="12">
        <f>IF(MATCH_ENGINE!A800="","",MATCH_ENGINE!K800)</f>
        <v/>
      </c>
      <c r="K800" s="11">
        <f>IF(MATCH_ENGINE!A800="","",MATCH_ENGINE!L800)</f>
        <v/>
      </c>
      <c r="L800" s="17">
        <f>IF(MATCH_ENGINE!A800="","",MATCH_ENGINE!M800)</f>
        <v/>
      </c>
      <c r="M800" s="11">
        <f>IF(MATCH_ENGINE!A800="","",GL_CLEAN!F800)</f>
        <v/>
      </c>
      <c r="N800" s="11">
        <f>IF(MATCH_ENGINE!A800="","",GL_CLEAN!G800)</f>
        <v/>
      </c>
      <c r="O800" s="11">
        <f>IF(MATCH_ENGINE!H800="","",INDEX(BANK_CLEAN!$C$2:$C$1001,MATCH_ENGINE!H800))</f>
        <v/>
      </c>
      <c r="P800" s="11" t="inlineStr"/>
    </row>
    <row r="801">
      <c r="A801" s="11">
        <f>IF(MATCH_ENGINE!A801="","",MATCH_ENGINE!N801)</f>
        <v/>
      </c>
      <c r="B801" s="11">
        <f>IF(MATCH_ENGINE!A801="","",MATCH_ENGINE!C801)</f>
        <v/>
      </c>
      <c r="C801" s="10">
        <f>IF(MATCH_ENGINE!A801="","",MATCH_ENGINE!B801)</f>
        <v/>
      </c>
      <c r="D801" s="16">
        <f>IF(MATCH_ENGINE!A801="","",MATCH_ENGINE!D801)</f>
        <v/>
      </c>
      <c r="E801" s="11">
        <f>IF(MATCH_ENGINE!A801="","",MATCH_ENGINE!F801)</f>
        <v/>
      </c>
      <c r="F801" s="10">
        <f>IF(MATCH_ENGINE!A801="","",MATCH_ENGINE!I801)</f>
        <v/>
      </c>
      <c r="G801" s="16">
        <f>IF(MATCH_ENGINE!H801="","",IF(MATCH_ENGINE!F801="IN",MATCH_ENGINE!J801,""))</f>
        <v/>
      </c>
      <c r="H801" s="16">
        <f>IF(MATCH_ENGINE!H801="","",IF(MATCH_ENGINE!F801="OUT",MATCH_ENGINE!J801,""))</f>
        <v/>
      </c>
      <c r="I801" s="16">
        <f>IF(MATCH_ENGINE!H801="","",MATCH_ENGINE!J801)</f>
        <v/>
      </c>
      <c r="J801" s="12">
        <f>IF(MATCH_ENGINE!A801="","",MATCH_ENGINE!K801)</f>
        <v/>
      </c>
      <c r="K801" s="11">
        <f>IF(MATCH_ENGINE!A801="","",MATCH_ENGINE!L801)</f>
        <v/>
      </c>
      <c r="L801" s="17">
        <f>IF(MATCH_ENGINE!A801="","",MATCH_ENGINE!M801)</f>
        <v/>
      </c>
      <c r="M801" s="11">
        <f>IF(MATCH_ENGINE!A801="","",GL_CLEAN!F801)</f>
        <v/>
      </c>
      <c r="N801" s="11">
        <f>IF(MATCH_ENGINE!A801="","",GL_CLEAN!G801)</f>
        <v/>
      </c>
      <c r="O801" s="11">
        <f>IF(MATCH_ENGINE!H801="","",INDEX(BANK_CLEAN!$C$2:$C$1001,MATCH_ENGINE!H801))</f>
        <v/>
      </c>
      <c r="P801" s="11" t="inlineStr"/>
    </row>
    <row r="802">
      <c r="A802" s="11">
        <f>IF(MATCH_ENGINE!A802="","",MATCH_ENGINE!N802)</f>
        <v/>
      </c>
      <c r="B802" s="11">
        <f>IF(MATCH_ENGINE!A802="","",MATCH_ENGINE!C802)</f>
        <v/>
      </c>
      <c r="C802" s="10">
        <f>IF(MATCH_ENGINE!A802="","",MATCH_ENGINE!B802)</f>
        <v/>
      </c>
      <c r="D802" s="16">
        <f>IF(MATCH_ENGINE!A802="","",MATCH_ENGINE!D802)</f>
        <v/>
      </c>
      <c r="E802" s="11">
        <f>IF(MATCH_ENGINE!A802="","",MATCH_ENGINE!F802)</f>
        <v/>
      </c>
      <c r="F802" s="10">
        <f>IF(MATCH_ENGINE!A802="","",MATCH_ENGINE!I802)</f>
        <v/>
      </c>
      <c r="G802" s="16">
        <f>IF(MATCH_ENGINE!H802="","",IF(MATCH_ENGINE!F802="IN",MATCH_ENGINE!J802,""))</f>
        <v/>
      </c>
      <c r="H802" s="16">
        <f>IF(MATCH_ENGINE!H802="","",IF(MATCH_ENGINE!F802="OUT",MATCH_ENGINE!J802,""))</f>
        <v/>
      </c>
      <c r="I802" s="16">
        <f>IF(MATCH_ENGINE!H802="","",MATCH_ENGINE!J802)</f>
        <v/>
      </c>
      <c r="J802" s="12">
        <f>IF(MATCH_ENGINE!A802="","",MATCH_ENGINE!K802)</f>
        <v/>
      </c>
      <c r="K802" s="11">
        <f>IF(MATCH_ENGINE!A802="","",MATCH_ENGINE!L802)</f>
        <v/>
      </c>
      <c r="L802" s="17">
        <f>IF(MATCH_ENGINE!A802="","",MATCH_ENGINE!M802)</f>
        <v/>
      </c>
      <c r="M802" s="11">
        <f>IF(MATCH_ENGINE!A802="","",GL_CLEAN!F802)</f>
        <v/>
      </c>
      <c r="N802" s="11">
        <f>IF(MATCH_ENGINE!A802="","",GL_CLEAN!G802)</f>
        <v/>
      </c>
      <c r="O802" s="11">
        <f>IF(MATCH_ENGINE!H802="","",INDEX(BANK_CLEAN!$C$2:$C$1001,MATCH_ENGINE!H802))</f>
        <v/>
      </c>
      <c r="P802" s="11" t="inlineStr"/>
    </row>
    <row r="803">
      <c r="A803" s="11">
        <f>IF(MATCH_ENGINE!A803="","",MATCH_ENGINE!N803)</f>
        <v/>
      </c>
      <c r="B803" s="11">
        <f>IF(MATCH_ENGINE!A803="","",MATCH_ENGINE!C803)</f>
        <v/>
      </c>
      <c r="C803" s="10">
        <f>IF(MATCH_ENGINE!A803="","",MATCH_ENGINE!B803)</f>
        <v/>
      </c>
      <c r="D803" s="16">
        <f>IF(MATCH_ENGINE!A803="","",MATCH_ENGINE!D803)</f>
        <v/>
      </c>
      <c r="E803" s="11">
        <f>IF(MATCH_ENGINE!A803="","",MATCH_ENGINE!F803)</f>
        <v/>
      </c>
      <c r="F803" s="10">
        <f>IF(MATCH_ENGINE!A803="","",MATCH_ENGINE!I803)</f>
        <v/>
      </c>
      <c r="G803" s="16">
        <f>IF(MATCH_ENGINE!H803="","",IF(MATCH_ENGINE!F803="IN",MATCH_ENGINE!J803,""))</f>
        <v/>
      </c>
      <c r="H803" s="16">
        <f>IF(MATCH_ENGINE!H803="","",IF(MATCH_ENGINE!F803="OUT",MATCH_ENGINE!J803,""))</f>
        <v/>
      </c>
      <c r="I803" s="16">
        <f>IF(MATCH_ENGINE!H803="","",MATCH_ENGINE!J803)</f>
        <v/>
      </c>
      <c r="J803" s="12">
        <f>IF(MATCH_ENGINE!A803="","",MATCH_ENGINE!K803)</f>
        <v/>
      </c>
      <c r="K803" s="11">
        <f>IF(MATCH_ENGINE!A803="","",MATCH_ENGINE!L803)</f>
        <v/>
      </c>
      <c r="L803" s="17">
        <f>IF(MATCH_ENGINE!A803="","",MATCH_ENGINE!M803)</f>
        <v/>
      </c>
      <c r="M803" s="11">
        <f>IF(MATCH_ENGINE!A803="","",GL_CLEAN!F803)</f>
        <v/>
      </c>
      <c r="N803" s="11">
        <f>IF(MATCH_ENGINE!A803="","",GL_CLEAN!G803)</f>
        <v/>
      </c>
      <c r="O803" s="11">
        <f>IF(MATCH_ENGINE!H803="","",INDEX(BANK_CLEAN!$C$2:$C$1001,MATCH_ENGINE!H803))</f>
        <v/>
      </c>
      <c r="P803" s="11" t="inlineStr"/>
    </row>
    <row r="804">
      <c r="A804" s="11">
        <f>IF(MATCH_ENGINE!A804="","",MATCH_ENGINE!N804)</f>
        <v/>
      </c>
      <c r="B804" s="11">
        <f>IF(MATCH_ENGINE!A804="","",MATCH_ENGINE!C804)</f>
        <v/>
      </c>
      <c r="C804" s="10">
        <f>IF(MATCH_ENGINE!A804="","",MATCH_ENGINE!B804)</f>
        <v/>
      </c>
      <c r="D804" s="16">
        <f>IF(MATCH_ENGINE!A804="","",MATCH_ENGINE!D804)</f>
        <v/>
      </c>
      <c r="E804" s="11">
        <f>IF(MATCH_ENGINE!A804="","",MATCH_ENGINE!F804)</f>
        <v/>
      </c>
      <c r="F804" s="10">
        <f>IF(MATCH_ENGINE!A804="","",MATCH_ENGINE!I804)</f>
        <v/>
      </c>
      <c r="G804" s="16">
        <f>IF(MATCH_ENGINE!H804="","",IF(MATCH_ENGINE!F804="IN",MATCH_ENGINE!J804,""))</f>
        <v/>
      </c>
      <c r="H804" s="16">
        <f>IF(MATCH_ENGINE!H804="","",IF(MATCH_ENGINE!F804="OUT",MATCH_ENGINE!J804,""))</f>
        <v/>
      </c>
      <c r="I804" s="16">
        <f>IF(MATCH_ENGINE!H804="","",MATCH_ENGINE!J804)</f>
        <v/>
      </c>
      <c r="J804" s="12">
        <f>IF(MATCH_ENGINE!A804="","",MATCH_ENGINE!K804)</f>
        <v/>
      </c>
      <c r="K804" s="11">
        <f>IF(MATCH_ENGINE!A804="","",MATCH_ENGINE!L804)</f>
        <v/>
      </c>
      <c r="L804" s="17">
        <f>IF(MATCH_ENGINE!A804="","",MATCH_ENGINE!M804)</f>
        <v/>
      </c>
      <c r="M804" s="11">
        <f>IF(MATCH_ENGINE!A804="","",GL_CLEAN!F804)</f>
        <v/>
      </c>
      <c r="N804" s="11">
        <f>IF(MATCH_ENGINE!A804="","",GL_CLEAN!G804)</f>
        <v/>
      </c>
      <c r="O804" s="11">
        <f>IF(MATCH_ENGINE!H804="","",INDEX(BANK_CLEAN!$C$2:$C$1001,MATCH_ENGINE!H804))</f>
        <v/>
      </c>
      <c r="P804" s="11" t="inlineStr"/>
    </row>
    <row r="805">
      <c r="A805" s="11">
        <f>IF(MATCH_ENGINE!A805="","",MATCH_ENGINE!N805)</f>
        <v/>
      </c>
      <c r="B805" s="11">
        <f>IF(MATCH_ENGINE!A805="","",MATCH_ENGINE!C805)</f>
        <v/>
      </c>
      <c r="C805" s="10">
        <f>IF(MATCH_ENGINE!A805="","",MATCH_ENGINE!B805)</f>
        <v/>
      </c>
      <c r="D805" s="16">
        <f>IF(MATCH_ENGINE!A805="","",MATCH_ENGINE!D805)</f>
        <v/>
      </c>
      <c r="E805" s="11">
        <f>IF(MATCH_ENGINE!A805="","",MATCH_ENGINE!F805)</f>
        <v/>
      </c>
      <c r="F805" s="10">
        <f>IF(MATCH_ENGINE!A805="","",MATCH_ENGINE!I805)</f>
        <v/>
      </c>
      <c r="G805" s="16">
        <f>IF(MATCH_ENGINE!H805="","",IF(MATCH_ENGINE!F805="IN",MATCH_ENGINE!J805,""))</f>
        <v/>
      </c>
      <c r="H805" s="16">
        <f>IF(MATCH_ENGINE!H805="","",IF(MATCH_ENGINE!F805="OUT",MATCH_ENGINE!J805,""))</f>
        <v/>
      </c>
      <c r="I805" s="16">
        <f>IF(MATCH_ENGINE!H805="","",MATCH_ENGINE!J805)</f>
        <v/>
      </c>
      <c r="J805" s="12">
        <f>IF(MATCH_ENGINE!A805="","",MATCH_ENGINE!K805)</f>
        <v/>
      </c>
      <c r="K805" s="11">
        <f>IF(MATCH_ENGINE!A805="","",MATCH_ENGINE!L805)</f>
        <v/>
      </c>
      <c r="L805" s="17">
        <f>IF(MATCH_ENGINE!A805="","",MATCH_ENGINE!M805)</f>
        <v/>
      </c>
      <c r="M805" s="11">
        <f>IF(MATCH_ENGINE!A805="","",GL_CLEAN!F805)</f>
        <v/>
      </c>
      <c r="N805" s="11">
        <f>IF(MATCH_ENGINE!A805="","",GL_CLEAN!G805)</f>
        <v/>
      </c>
      <c r="O805" s="11">
        <f>IF(MATCH_ENGINE!H805="","",INDEX(BANK_CLEAN!$C$2:$C$1001,MATCH_ENGINE!H805))</f>
        <v/>
      </c>
      <c r="P805" s="11" t="inlineStr"/>
    </row>
    <row r="806">
      <c r="A806" s="11">
        <f>IF(MATCH_ENGINE!A806="","",MATCH_ENGINE!N806)</f>
        <v/>
      </c>
      <c r="B806" s="11">
        <f>IF(MATCH_ENGINE!A806="","",MATCH_ENGINE!C806)</f>
        <v/>
      </c>
      <c r="C806" s="10">
        <f>IF(MATCH_ENGINE!A806="","",MATCH_ENGINE!B806)</f>
        <v/>
      </c>
      <c r="D806" s="16">
        <f>IF(MATCH_ENGINE!A806="","",MATCH_ENGINE!D806)</f>
        <v/>
      </c>
      <c r="E806" s="11">
        <f>IF(MATCH_ENGINE!A806="","",MATCH_ENGINE!F806)</f>
        <v/>
      </c>
      <c r="F806" s="10">
        <f>IF(MATCH_ENGINE!A806="","",MATCH_ENGINE!I806)</f>
        <v/>
      </c>
      <c r="G806" s="16">
        <f>IF(MATCH_ENGINE!H806="","",IF(MATCH_ENGINE!F806="IN",MATCH_ENGINE!J806,""))</f>
        <v/>
      </c>
      <c r="H806" s="16">
        <f>IF(MATCH_ENGINE!H806="","",IF(MATCH_ENGINE!F806="OUT",MATCH_ENGINE!J806,""))</f>
        <v/>
      </c>
      <c r="I806" s="16">
        <f>IF(MATCH_ENGINE!H806="","",MATCH_ENGINE!J806)</f>
        <v/>
      </c>
      <c r="J806" s="12">
        <f>IF(MATCH_ENGINE!A806="","",MATCH_ENGINE!K806)</f>
        <v/>
      </c>
      <c r="K806" s="11">
        <f>IF(MATCH_ENGINE!A806="","",MATCH_ENGINE!L806)</f>
        <v/>
      </c>
      <c r="L806" s="17">
        <f>IF(MATCH_ENGINE!A806="","",MATCH_ENGINE!M806)</f>
        <v/>
      </c>
      <c r="M806" s="11">
        <f>IF(MATCH_ENGINE!A806="","",GL_CLEAN!F806)</f>
        <v/>
      </c>
      <c r="N806" s="11">
        <f>IF(MATCH_ENGINE!A806="","",GL_CLEAN!G806)</f>
        <v/>
      </c>
      <c r="O806" s="11">
        <f>IF(MATCH_ENGINE!H806="","",INDEX(BANK_CLEAN!$C$2:$C$1001,MATCH_ENGINE!H806))</f>
        <v/>
      </c>
      <c r="P806" s="11" t="inlineStr"/>
    </row>
    <row r="807">
      <c r="A807" s="11">
        <f>IF(MATCH_ENGINE!A807="","",MATCH_ENGINE!N807)</f>
        <v/>
      </c>
      <c r="B807" s="11">
        <f>IF(MATCH_ENGINE!A807="","",MATCH_ENGINE!C807)</f>
        <v/>
      </c>
      <c r="C807" s="10">
        <f>IF(MATCH_ENGINE!A807="","",MATCH_ENGINE!B807)</f>
        <v/>
      </c>
      <c r="D807" s="16">
        <f>IF(MATCH_ENGINE!A807="","",MATCH_ENGINE!D807)</f>
        <v/>
      </c>
      <c r="E807" s="11">
        <f>IF(MATCH_ENGINE!A807="","",MATCH_ENGINE!F807)</f>
        <v/>
      </c>
      <c r="F807" s="10">
        <f>IF(MATCH_ENGINE!A807="","",MATCH_ENGINE!I807)</f>
        <v/>
      </c>
      <c r="G807" s="16">
        <f>IF(MATCH_ENGINE!H807="","",IF(MATCH_ENGINE!F807="IN",MATCH_ENGINE!J807,""))</f>
        <v/>
      </c>
      <c r="H807" s="16">
        <f>IF(MATCH_ENGINE!H807="","",IF(MATCH_ENGINE!F807="OUT",MATCH_ENGINE!J807,""))</f>
        <v/>
      </c>
      <c r="I807" s="16">
        <f>IF(MATCH_ENGINE!H807="","",MATCH_ENGINE!J807)</f>
        <v/>
      </c>
      <c r="J807" s="12">
        <f>IF(MATCH_ENGINE!A807="","",MATCH_ENGINE!K807)</f>
        <v/>
      </c>
      <c r="K807" s="11">
        <f>IF(MATCH_ENGINE!A807="","",MATCH_ENGINE!L807)</f>
        <v/>
      </c>
      <c r="L807" s="17">
        <f>IF(MATCH_ENGINE!A807="","",MATCH_ENGINE!M807)</f>
        <v/>
      </c>
      <c r="M807" s="11">
        <f>IF(MATCH_ENGINE!A807="","",GL_CLEAN!F807)</f>
        <v/>
      </c>
      <c r="N807" s="11">
        <f>IF(MATCH_ENGINE!A807="","",GL_CLEAN!G807)</f>
        <v/>
      </c>
      <c r="O807" s="11">
        <f>IF(MATCH_ENGINE!H807="","",INDEX(BANK_CLEAN!$C$2:$C$1001,MATCH_ENGINE!H807))</f>
        <v/>
      </c>
      <c r="P807" s="11" t="inlineStr"/>
    </row>
    <row r="808">
      <c r="A808" s="11">
        <f>IF(MATCH_ENGINE!A808="","",MATCH_ENGINE!N808)</f>
        <v/>
      </c>
      <c r="B808" s="11">
        <f>IF(MATCH_ENGINE!A808="","",MATCH_ENGINE!C808)</f>
        <v/>
      </c>
      <c r="C808" s="10">
        <f>IF(MATCH_ENGINE!A808="","",MATCH_ENGINE!B808)</f>
        <v/>
      </c>
      <c r="D808" s="16">
        <f>IF(MATCH_ENGINE!A808="","",MATCH_ENGINE!D808)</f>
        <v/>
      </c>
      <c r="E808" s="11">
        <f>IF(MATCH_ENGINE!A808="","",MATCH_ENGINE!F808)</f>
        <v/>
      </c>
      <c r="F808" s="10">
        <f>IF(MATCH_ENGINE!A808="","",MATCH_ENGINE!I808)</f>
        <v/>
      </c>
      <c r="G808" s="16">
        <f>IF(MATCH_ENGINE!H808="","",IF(MATCH_ENGINE!F808="IN",MATCH_ENGINE!J808,""))</f>
        <v/>
      </c>
      <c r="H808" s="16">
        <f>IF(MATCH_ENGINE!H808="","",IF(MATCH_ENGINE!F808="OUT",MATCH_ENGINE!J808,""))</f>
        <v/>
      </c>
      <c r="I808" s="16">
        <f>IF(MATCH_ENGINE!H808="","",MATCH_ENGINE!J808)</f>
        <v/>
      </c>
      <c r="J808" s="12">
        <f>IF(MATCH_ENGINE!A808="","",MATCH_ENGINE!K808)</f>
        <v/>
      </c>
      <c r="K808" s="11">
        <f>IF(MATCH_ENGINE!A808="","",MATCH_ENGINE!L808)</f>
        <v/>
      </c>
      <c r="L808" s="17">
        <f>IF(MATCH_ENGINE!A808="","",MATCH_ENGINE!M808)</f>
        <v/>
      </c>
      <c r="M808" s="11">
        <f>IF(MATCH_ENGINE!A808="","",GL_CLEAN!F808)</f>
        <v/>
      </c>
      <c r="N808" s="11">
        <f>IF(MATCH_ENGINE!A808="","",GL_CLEAN!G808)</f>
        <v/>
      </c>
      <c r="O808" s="11">
        <f>IF(MATCH_ENGINE!H808="","",INDEX(BANK_CLEAN!$C$2:$C$1001,MATCH_ENGINE!H808))</f>
        <v/>
      </c>
      <c r="P808" s="11" t="inlineStr"/>
    </row>
    <row r="809">
      <c r="A809" s="11">
        <f>IF(MATCH_ENGINE!A809="","",MATCH_ENGINE!N809)</f>
        <v/>
      </c>
      <c r="B809" s="11">
        <f>IF(MATCH_ENGINE!A809="","",MATCH_ENGINE!C809)</f>
        <v/>
      </c>
      <c r="C809" s="10">
        <f>IF(MATCH_ENGINE!A809="","",MATCH_ENGINE!B809)</f>
        <v/>
      </c>
      <c r="D809" s="16">
        <f>IF(MATCH_ENGINE!A809="","",MATCH_ENGINE!D809)</f>
        <v/>
      </c>
      <c r="E809" s="11">
        <f>IF(MATCH_ENGINE!A809="","",MATCH_ENGINE!F809)</f>
        <v/>
      </c>
      <c r="F809" s="10">
        <f>IF(MATCH_ENGINE!A809="","",MATCH_ENGINE!I809)</f>
        <v/>
      </c>
      <c r="G809" s="16">
        <f>IF(MATCH_ENGINE!H809="","",IF(MATCH_ENGINE!F809="IN",MATCH_ENGINE!J809,""))</f>
        <v/>
      </c>
      <c r="H809" s="16">
        <f>IF(MATCH_ENGINE!H809="","",IF(MATCH_ENGINE!F809="OUT",MATCH_ENGINE!J809,""))</f>
        <v/>
      </c>
      <c r="I809" s="16">
        <f>IF(MATCH_ENGINE!H809="","",MATCH_ENGINE!J809)</f>
        <v/>
      </c>
      <c r="J809" s="12">
        <f>IF(MATCH_ENGINE!A809="","",MATCH_ENGINE!K809)</f>
        <v/>
      </c>
      <c r="K809" s="11">
        <f>IF(MATCH_ENGINE!A809="","",MATCH_ENGINE!L809)</f>
        <v/>
      </c>
      <c r="L809" s="17">
        <f>IF(MATCH_ENGINE!A809="","",MATCH_ENGINE!M809)</f>
        <v/>
      </c>
      <c r="M809" s="11">
        <f>IF(MATCH_ENGINE!A809="","",GL_CLEAN!F809)</f>
        <v/>
      </c>
      <c r="N809" s="11">
        <f>IF(MATCH_ENGINE!A809="","",GL_CLEAN!G809)</f>
        <v/>
      </c>
      <c r="O809" s="11">
        <f>IF(MATCH_ENGINE!H809="","",INDEX(BANK_CLEAN!$C$2:$C$1001,MATCH_ENGINE!H809))</f>
        <v/>
      </c>
      <c r="P809" s="11" t="inlineStr"/>
    </row>
    <row r="810">
      <c r="A810" s="11">
        <f>IF(MATCH_ENGINE!A810="","",MATCH_ENGINE!N810)</f>
        <v/>
      </c>
      <c r="B810" s="11">
        <f>IF(MATCH_ENGINE!A810="","",MATCH_ENGINE!C810)</f>
        <v/>
      </c>
      <c r="C810" s="10">
        <f>IF(MATCH_ENGINE!A810="","",MATCH_ENGINE!B810)</f>
        <v/>
      </c>
      <c r="D810" s="16">
        <f>IF(MATCH_ENGINE!A810="","",MATCH_ENGINE!D810)</f>
        <v/>
      </c>
      <c r="E810" s="11">
        <f>IF(MATCH_ENGINE!A810="","",MATCH_ENGINE!F810)</f>
        <v/>
      </c>
      <c r="F810" s="10">
        <f>IF(MATCH_ENGINE!A810="","",MATCH_ENGINE!I810)</f>
        <v/>
      </c>
      <c r="G810" s="16">
        <f>IF(MATCH_ENGINE!H810="","",IF(MATCH_ENGINE!F810="IN",MATCH_ENGINE!J810,""))</f>
        <v/>
      </c>
      <c r="H810" s="16">
        <f>IF(MATCH_ENGINE!H810="","",IF(MATCH_ENGINE!F810="OUT",MATCH_ENGINE!J810,""))</f>
        <v/>
      </c>
      <c r="I810" s="16">
        <f>IF(MATCH_ENGINE!H810="","",MATCH_ENGINE!J810)</f>
        <v/>
      </c>
      <c r="J810" s="12">
        <f>IF(MATCH_ENGINE!A810="","",MATCH_ENGINE!K810)</f>
        <v/>
      </c>
      <c r="K810" s="11">
        <f>IF(MATCH_ENGINE!A810="","",MATCH_ENGINE!L810)</f>
        <v/>
      </c>
      <c r="L810" s="17">
        <f>IF(MATCH_ENGINE!A810="","",MATCH_ENGINE!M810)</f>
        <v/>
      </c>
      <c r="M810" s="11">
        <f>IF(MATCH_ENGINE!A810="","",GL_CLEAN!F810)</f>
        <v/>
      </c>
      <c r="N810" s="11">
        <f>IF(MATCH_ENGINE!A810="","",GL_CLEAN!G810)</f>
        <v/>
      </c>
      <c r="O810" s="11">
        <f>IF(MATCH_ENGINE!H810="","",INDEX(BANK_CLEAN!$C$2:$C$1001,MATCH_ENGINE!H810))</f>
        <v/>
      </c>
      <c r="P810" s="11" t="inlineStr"/>
    </row>
    <row r="811">
      <c r="A811" s="11">
        <f>IF(MATCH_ENGINE!A811="","",MATCH_ENGINE!N811)</f>
        <v/>
      </c>
      <c r="B811" s="11">
        <f>IF(MATCH_ENGINE!A811="","",MATCH_ENGINE!C811)</f>
        <v/>
      </c>
      <c r="C811" s="10">
        <f>IF(MATCH_ENGINE!A811="","",MATCH_ENGINE!B811)</f>
        <v/>
      </c>
      <c r="D811" s="16">
        <f>IF(MATCH_ENGINE!A811="","",MATCH_ENGINE!D811)</f>
        <v/>
      </c>
      <c r="E811" s="11">
        <f>IF(MATCH_ENGINE!A811="","",MATCH_ENGINE!F811)</f>
        <v/>
      </c>
      <c r="F811" s="10">
        <f>IF(MATCH_ENGINE!A811="","",MATCH_ENGINE!I811)</f>
        <v/>
      </c>
      <c r="G811" s="16">
        <f>IF(MATCH_ENGINE!H811="","",IF(MATCH_ENGINE!F811="IN",MATCH_ENGINE!J811,""))</f>
        <v/>
      </c>
      <c r="H811" s="16">
        <f>IF(MATCH_ENGINE!H811="","",IF(MATCH_ENGINE!F811="OUT",MATCH_ENGINE!J811,""))</f>
        <v/>
      </c>
      <c r="I811" s="16">
        <f>IF(MATCH_ENGINE!H811="","",MATCH_ENGINE!J811)</f>
        <v/>
      </c>
      <c r="J811" s="12">
        <f>IF(MATCH_ENGINE!A811="","",MATCH_ENGINE!K811)</f>
        <v/>
      </c>
      <c r="K811" s="11">
        <f>IF(MATCH_ENGINE!A811="","",MATCH_ENGINE!L811)</f>
        <v/>
      </c>
      <c r="L811" s="17">
        <f>IF(MATCH_ENGINE!A811="","",MATCH_ENGINE!M811)</f>
        <v/>
      </c>
      <c r="M811" s="11">
        <f>IF(MATCH_ENGINE!A811="","",GL_CLEAN!F811)</f>
        <v/>
      </c>
      <c r="N811" s="11">
        <f>IF(MATCH_ENGINE!A811="","",GL_CLEAN!G811)</f>
        <v/>
      </c>
      <c r="O811" s="11">
        <f>IF(MATCH_ENGINE!H811="","",INDEX(BANK_CLEAN!$C$2:$C$1001,MATCH_ENGINE!H811))</f>
        <v/>
      </c>
      <c r="P811" s="11" t="inlineStr"/>
    </row>
    <row r="812">
      <c r="A812" s="11">
        <f>IF(MATCH_ENGINE!A812="","",MATCH_ENGINE!N812)</f>
        <v/>
      </c>
      <c r="B812" s="11">
        <f>IF(MATCH_ENGINE!A812="","",MATCH_ENGINE!C812)</f>
        <v/>
      </c>
      <c r="C812" s="10">
        <f>IF(MATCH_ENGINE!A812="","",MATCH_ENGINE!B812)</f>
        <v/>
      </c>
      <c r="D812" s="16">
        <f>IF(MATCH_ENGINE!A812="","",MATCH_ENGINE!D812)</f>
        <v/>
      </c>
      <c r="E812" s="11">
        <f>IF(MATCH_ENGINE!A812="","",MATCH_ENGINE!F812)</f>
        <v/>
      </c>
      <c r="F812" s="10">
        <f>IF(MATCH_ENGINE!A812="","",MATCH_ENGINE!I812)</f>
        <v/>
      </c>
      <c r="G812" s="16">
        <f>IF(MATCH_ENGINE!H812="","",IF(MATCH_ENGINE!F812="IN",MATCH_ENGINE!J812,""))</f>
        <v/>
      </c>
      <c r="H812" s="16">
        <f>IF(MATCH_ENGINE!H812="","",IF(MATCH_ENGINE!F812="OUT",MATCH_ENGINE!J812,""))</f>
        <v/>
      </c>
      <c r="I812" s="16">
        <f>IF(MATCH_ENGINE!H812="","",MATCH_ENGINE!J812)</f>
        <v/>
      </c>
      <c r="J812" s="12">
        <f>IF(MATCH_ENGINE!A812="","",MATCH_ENGINE!K812)</f>
        <v/>
      </c>
      <c r="K812" s="11">
        <f>IF(MATCH_ENGINE!A812="","",MATCH_ENGINE!L812)</f>
        <v/>
      </c>
      <c r="L812" s="17">
        <f>IF(MATCH_ENGINE!A812="","",MATCH_ENGINE!M812)</f>
        <v/>
      </c>
      <c r="M812" s="11">
        <f>IF(MATCH_ENGINE!A812="","",GL_CLEAN!F812)</f>
        <v/>
      </c>
      <c r="N812" s="11">
        <f>IF(MATCH_ENGINE!A812="","",GL_CLEAN!G812)</f>
        <v/>
      </c>
      <c r="O812" s="11">
        <f>IF(MATCH_ENGINE!H812="","",INDEX(BANK_CLEAN!$C$2:$C$1001,MATCH_ENGINE!H812))</f>
        <v/>
      </c>
      <c r="P812" s="11" t="inlineStr"/>
    </row>
    <row r="813">
      <c r="A813" s="11">
        <f>IF(MATCH_ENGINE!A813="","",MATCH_ENGINE!N813)</f>
        <v/>
      </c>
      <c r="B813" s="11">
        <f>IF(MATCH_ENGINE!A813="","",MATCH_ENGINE!C813)</f>
        <v/>
      </c>
      <c r="C813" s="10">
        <f>IF(MATCH_ENGINE!A813="","",MATCH_ENGINE!B813)</f>
        <v/>
      </c>
      <c r="D813" s="16">
        <f>IF(MATCH_ENGINE!A813="","",MATCH_ENGINE!D813)</f>
        <v/>
      </c>
      <c r="E813" s="11">
        <f>IF(MATCH_ENGINE!A813="","",MATCH_ENGINE!F813)</f>
        <v/>
      </c>
      <c r="F813" s="10">
        <f>IF(MATCH_ENGINE!A813="","",MATCH_ENGINE!I813)</f>
        <v/>
      </c>
      <c r="G813" s="16">
        <f>IF(MATCH_ENGINE!H813="","",IF(MATCH_ENGINE!F813="IN",MATCH_ENGINE!J813,""))</f>
        <v/>
      </c>
      <c r="H813" s="16">
        <f>IF(MATCH_ENGINE!H813="","",IF(MATCH_ENGINE!F813="OUT",MATCH_ENGINE!J813,""))</f>
        <v/>
      </c>
      <c r="I813" s="16">
        <f>IF(MATCH_ENGINE!H813="","",MATCH_ENGINE!J813)</f>
        <v/>
      </c>
      <c r="J813" s="12">
        <f>IF(MATCH_ENGINE!A813="","",MATCH_ENGINE!K813)</f>
        <v/>
      </c>
      <c r="K813" s="11">
        <f>IF(MATCH_ENGINE!A813="","",MATCH_ENGINE!L813)</f>
        <v/>
      </c>
      <c r="L813" s="17">
        <f>IF(MATCH_ENGINE!A813="","",MATCH_ENGINE!M813)</f>
        <v/>
      </c>
      <c r="M813" s="11">
        <f>IF(MATCH_ENGINE!A813="","",GL_CLEAN!F813)</f>
        <v/>
      </c>
      <c r="N813" s="11">
        <f>IF(MATCH_ENGINE!A813="","",GL_CLEAN!G813)</f>
        <v/>
      </c>
      <c r="O813" s="11">
        <f>IF(MATCH_ENGINE!H813="","",INDEX(BANK_CLEAN!$C$2:$C$1001,MATCH_ENGINE!H813))</f>
        <v/>
      </c>
      <c r="P813" s="11" t="inlineStr"/>
    </row>
    <row r="814">
      <c r="A814" s="11">
        <f>IF(MATCH_ENGINE!A814="","",MATCH_ENGINE!N814)</f>
        <v/>
      </c>
      <c r="B814" s="11">
        <f>IF(MATCH_ENGINE!A814="","",MATCH_ENGINE!C814)</f>
        <v/>
      </c>
      <c r="C814" s="10">
        <f>IF(MATCH_ENGINE!A814="","",MATCH_ENGINE!B814)</f>
        <v/>
      </c>
      <c r="D814" s="16">
        <f>IF(MATCH_ENGINE!A814="","",MATCH_ENGINE!D814)</f>
        <v/>
      </c>
      <c r="E814" s="11">
        <f>IF(MATCH_ENGINE!A814="","",MATCH_ENGINE!F814)</f>
        <v/>
      </c>
      <c r="F814" s="10">
        <f>IF(MATCH_ENGINE!A814="","",MATCH_ENGINE!I814)</f>
        <v/>
      </c>
      <c r="G814" s="16">
        <f>IF(MATCH_ENGINE!H814="","",IF(MATCH_ENGINE!F814="IN",MATCH_ENGINE!J814,""))</f>
        <v/>
      </c>
      <c r="H814" s="16">
        <f>IF(MATCH_ENGINE!H814="","",IF(MATCH_ENGINE!F814="OUT",MATCH_ENGINE!J814,""))</f>
        <v/>
      </c>
      <c r="I814" s="16">
        <f>IF(MATCH_ENGINE!H814="","",MATCH_ENGINE!J814)</f>
        <v/>
      </c>
      <c r="J814" s="12">
        <f>IF(MATCH_ENGINE!A814="","",MATCH_ENGINE!K814)</f>
        <v/>
      </c>
      <c r="K814" s="11">
        <f>IF(MATCH_ENGINE!A814="","",MATCH_ENGINE!L814)</f>
        <v/>
      </c>
      <c r="L814" s="17">
        <f>IF(MATCH_ENGINE!A814="","",MATCH_ENGINE!M814)</f>
        <v/>
      </c>
      <c r="M814" s="11">
        <f>IF(MATCH_ENGINE!A814="","",GL_CLEAN!F814)</f>
        <v/>
      </c>
      <c r="N814" s="11">
        <f>IF(MATCH_ENGINE!A814="","",GL_CLEAN!G814)</f>
        <v/>
      </c>
      <c r="O814" s="11">
        <f>IF(MATCH_ENGINE!H814="","",INDEX(BANK_CLEAN!$C$2:$C$1001,MATCH_ENGINE!H814))</f>
        <v/>
      </c>
      <c r="P814" s="11" t="inlineStr"/>
    </row>
    <row r="815">
      <c r="A815" s="11">
        <f>IF(MATCH_ENGINE!A815="","",MATCH_ENGINE!N815)</f>
        <v/>
      </c>
      <c r="B815" s="11">
        <f>IF(MATCH_ENGINE!A815="","",MATCH_ENGINE!C815)</f>
        <v/>
      </c>
      <c r="C815" s="10">
        <f>IF(MATCH_ENGINE!A815="","",MATCH_ENGINE!B815)</f>
        <v/>
      </c>
      <c r="D815" s="16">
        <f>IF(MATCH_ENGINE!A815="","",MATCH_ENGINE!D815)</f>
        <v/>
      </c>
      <c r="E815" s="11">
        <f>IF(MATCH_ENGINE!A815="","",MATCH_ENGINE!F815)</f>
        <v/>
      </c>
      <c r="F815" s="10">
        <f>IF(MATCH_ENGINE!A815="","",MATCH_ENGINE!I815)</f>
        <v/>
      </c>
      <c r="G815" s="16">
        <f>IF(MATCH_ENGINE!H815="","",IF(MATCH_ENGINE!F815="IN",MATCH_ENGINE!J815,""))</f>
        <v/>
      </c>
      <c r="H815" s="16">
        <f>IF(MATCH_ENGINE!H815="","",IF(MATCH_ENGINE!F815="OUT",MATCH_ENGINE!J815,""))</f>
        <v/>
      </c>
      <c r="I815" s="16">
        <f>IF(MATCH_ENGINE!H815="","",MATCH_ENGINE!J815)</f>
        <v/>
      </c>
      <c r="J815" s="12">
        <f>IF(MATCH_ENGINE!A815="","",MATCH_ENGINE!K815)</f>
        <v/>
      </c>
      <c r="K815" s="11">
        <f>IF(MATCH_ENGINE!A815="","",MATCH_ENGINE!L815)</f>
        <v/>
      </c>
      <c r="L815" s="17">
        <f>IF(MATCH_ENGINE!A815="","",MATCH_ENGINE!M815)</f>
        <v/>
      </c>
      <c r="M815" s="11">
        <f>IF(MATCH_ENGINE!A815="","",GL_CLEAN!F815)</f>
        <v/>
      </c>
      <c r="N815" s="11">
        <f>IF(MATCH_ENGINE!A815="","",GL_CLEAN!G815)</f>
        <v/>
      </c>
      <c r="O815" s="11">
        <f>IF(MATCH_ENGINE!H815="","",INDEX(BANK_CLEAN!$C$2:$C$1001,MATCH_ENGINE!H815))</f>
        <v/>
      </c>
      <c r="P815" s="11" t="inlineStr"/>
    </row>
    <row r="816">
      <c r="A816" s="11">
        <f>IF(MATCH_ENGINE!A816="","",MATCH_ENGINE!N816)</f>
        <v/>
      </c>
      <c r="B816" s="11">
        <f>IF(MATCH_ENGINE!A816="","",MATCH_ENGINE!C816)</f>
        <v/>
      </c>
      <c r="C816" s="10">
        <f>IF(MATCH_ENGINE!A816="","",MATCH_ENGINE!B816)</f>
        <v/>
      </c>
      <c r="D816" s="16">
        <f>IF(MATCH_ENGINE!A816="","",MATCH_ENGINE!D816)</f>
        <v/>
      </c>
      <c r="E816" s="11">
        <f>IF(MATCH_ENGINE!A816="","",MATCH_ENGINE!F816)</f>
        <v/>
      </c>
      <c r="F816" s="10">
        <f>IF(MATCH_ENGINE!A816="","",MATCH_ENGINE!I816)</f>
        <v/>
      </c>
      <c r="G816" s="16">
        <f>IF(MATCH_ENGINE!H816="","",IF(MATCH_ENGINE!F816="IN",MATCH_ENGINE!J816,""))</f>
        <v/>
      </c>
      <c r="H816" s="16">
        <f>IF(MATCH_ENGINE!H816="","",IF(MATCH_ENGINE!F816="OUT",MATCH_ENGINE!J816,""))</f>
        <v/>
      </c>
      <c r="I816" s="16">
        <f>IF(MATCH_ENGINE!H816="","",MATCH_ENGINE!J816)</f>
        <v/>
      </c>
      <c r="J816" s="12">
        <f>IF(MATCH_ENGINE!A816="","",MATCH_ENGINE!K816)</f>
        <v/>
      </c>
      <c r="K816" s="11">
        <f>IF(MATCH_ENGINE!A816="","",MATCH_ENGINE!L816)</f>
        <v/>
      </c>
      <c r="L816" s="17">
        <f>IF(MATCH_ENGINE!A816="","",MATCH_ENGINE!M816)</f>
        <v/>
      </c>
      <c r="M816" s="11">
        <f>IF(MATCH_ENGINE!A816="","",GL_CLEAN!F816)</f>
        <v/>
      </c>
      <c r="N816" s="11">
        <f>IF(MATCH_ENGINE!A816="","",GL_CLEAN!G816)</f>
        <v/>
      </c>
      <c r="O816" s="11">
        <f>IF(MATCH_ENGINE!H816="","",INDEX(BANK_CLEAN!$C$2:$C$1001,MATCH_ENGINE!H816))</f>
        <v/>
      </c>
      <c r="P816" s="11" t="inlineStr"/>
    </row>
    <row r="817">
      <c r="A817" s="11">
        <f>IF(MATCH_ENGINE!A817="","",MATCH_ENGINE!N817)</f>
        <v/>
      </c>
      <c r="B817" s="11">
        <f>IF(MATCH_ENGINE!A817="","",MATCH_ENGINE!C817)</f>
        <v/>
      </c>
      <c r="C817" s="10">
        <f>IF(MATCH_ENGINE!A817="","",MATCH_ENGINE!B817)</f>
        <v/>
      </c>
      <c r="D817" s="16">
        <f>IF(MATCH_ENGINE!A817="","",MATCH_ENGINE!D817)</f>
        <v/>
      </c>
      <c r="E817" s="11">
        <f>IF(MATCH_ENGINE!A817="","",MATCH_ENGINE!F817)</f>
        <v/>
      </c>
      <c r="F817" s="10">
        <f>IF(MATCH_ENGINE!A817="","",MATCH_ENGINE!I817)</f>
        <v/>
      </c>
      <c r="G817" s="16">
        <f>IF(MATCH_ENGINE!H817="","",IF(MATCH_ENGINE!F817="IN",MATCH_ENGINE!J817,""))</f>
        <v/>
      </c>
      <c r="H817" s="16">
        <f>IF(MATCH_ENGINE!H817="","",IF(MATCH_ENGINE!F817="OUT",MATCH_ENGINE!J817,""))</f>
        <v/>
      </c>
      <c r="I817" s="16">
        <f>IF(MATCH_ENGINE!H817="","",MATCH_ENGINE!J817)</f>
        <v/>
      </c>
      <c r="J817" s="12">
        <f>IF(MATCH_ENGINE!A817="","",MATCH_ENGINE!K817)</f>
        <v/>
      </c>
      <c r="K817" s="11">
        <f>IF(MATCH_ENGINE!A817="","",MATCH_ENGINE!L817)</f>
        <v/>
      </c>
      <c r="L817" s="17">
        <f>IF(MATCH_ENGINE!A817="","",MATCH_ENGINE!M817)</f>
        <v/>
      </c>
      <c r="M817" s="11">
        <f>IF(MATCH_ENGINE!A817="","",GL_CLEAN!F817)</f>
        <v/>
      </c>
      <c r="N817" s="11">
        <f>IF(MATCH_ENGINE!A817="","",GL_CLEAN!G817)</f>
        <v/>
      </c>
      <c r="O817" s="11">
        <f>IF(MATCH_ENGINE!H817="","",INDEX(BANK_CLEAN!$C$2:$C$1001,MATCH_ENGINE!H817))</f>
        <v/>
      </c>
      <c r="P817" s="11" t="inlineStr"/>
    </row>
    <row r="818">
      <c r="A818" s="11">
        <f>IF(MATCH_ENGINE!A818="","",MATCH_ENGINE!N818)</f>
        <v/>
      </c>
      <c r="B818" s="11">
        <f>IF(MATCH_ENGINE!A818="","",MATCH_ENGINE!C818)</f>
        <v/>
      </c>
      <c r="C818" s="10">
        <f>IF(MATCH_ENGINE!A818="","",MATCH_ENGINE!B818)</f>
        <v/>
      </c>
      <c r="D818" s="16">
        <f>IF(MATCH_ENGINE!A818="","",MATCH_ENGINE!D818)</f>
        <v/>
      </c>
      <c r="E818" s="11">
        <f>IF(MATCH_ENGINE!A818="","",MATCH_ENGINE!F818)</f>
        <v/>
      </c>
      <c r="F818" s="10">
        <f>IF(MATCH_ENGINE!A818="","",MATCH_ENGINE!I818)</f>
        <v/>
      </c>
      <c r="G818" s="16">
        <f>IF(MATCH_ENGINE!H818="","",IF(MATCH_ENGINE!F818="IN",MATCH_ENGINE!J818,""))</f>
        <v/>
      </c>
      <c r="H818" s="16">
        <f>IF(MATCH_ENGINE!H818="","",IF(MATCH_ENGINE!F818="OUT",MATCH_ENGINE!J818,""))</f>
        <v/>
      </c>
      <c r="I818" s="16">
        <f>IF(MATCH_ENGINE!H818="","",MATCH_ENGINE!J818)</f>
        <v/>
      </c>
      <c r="J818" s="12">
        <f>IF(MATCH_ENGINE!A818="","",MATCH_ENGINE!K818)</f>
        <v/>
      </c>
      <c r="K818" s="11">
        <f>IF(MATCH_ENGINE!A818="","",MATCH_ENGINE!L818)</f>
        <v/>
      </c>
      <c r="L818" s="17">
        <f>IF(MATCH_ENGINE!A818="","",MATCH_ENGINE!M818)</f>
        <v/>
      </c>
      <c r="M818" s="11">
        <f>IF(MATCH_ENGINE!A818="","",GL_CLEAN!F818)</f>
        <v/>
      </c>
      <c r="N818" s="11">
        <f>IF(MATCH_ENGINE!A818="","",GL_CLEAN!G818)</f>
        <v/>
      </c>
      <c r="O818" s="11">
        <f>IF(MATCH_ENGINE!H818="","",INDEX(BANK_CLEAN!$C$2:$C$1001,MATCH_ENGINE!H818))</f>
        <v/>
      </c>
      <c r="P818" s="11" t="inlineStr"/>
    </row>
    <row r="819">
      <c r="A819" s="11">
        <f>IF(MATCH_ENGINE!A819="","",MATCH_ENGINE!N819)</f>
        <v/>
      </c>
      <c r="B819" s="11">
        <f>IF(MATCH_ENGINE!A819="","",MATCH_ENGINE!C819)</f>
        <v/>
      </c>
      <c r="C819" s="10">
        <f>IF(MATCH_ENGINE!A819="","",MATCH_ENGINE!B819)</f>
        <v/>
      </c>
      <c r="D819" s="16">
        <f>IF(MATCH_ENGINE!A819="","",MATCH_ENGINE!D819)</f>
        <v/>
      </c>
      <c r="E819" s="11">
        <f>IF(MATCH_ENGINE!A819="","",MATCH_ENGINE!F819)</f>
        <v/>
      </c>
      <c r="F819" s="10">
        <f>IF(MATCH_ENGINE!A819="","",MATCH_ENGINE!I819)</f>
        <v/>
      </c>
      <c r="G819" s="16">
        <f>IF(MATCH_ENGINE!H819="","",IF(MATCH_ENGINE!F819="IN",MATCH_ENGINE!J819,""))</f>
        <v/>
      </c>
      <c r="H819" s="16">
        <f>IF(MATCH_ENGINE!H819="","",IF(MATCH_ENGINE!F819="OUT",MATCH_ENGINE!J819,""))</f>
        <v/>
      </c>
      <c r="I819" s="16">
        <f>IF(MATCH_ENGINE!H819="","",MATCH_ENGINE!J819)</f>
        <v/>
      </c>
      <c r="J819" s="12">
        <f>IF(MATCH_ENGINE!A819="","",MATCH_ENGINE!K819)</f>
        <v/>
      </c>
      <c r="K819" s="11">
        <f>IF(MATCH_ENGINE!A819="","",MATCH_ENGINE!L819)</f>
        <v/>
      </c>
      <c r="L819" s="17">
        <f>IF(MATCH_ENGINE!A819="","",MATCH_ENGINE!M819)</f>
        <v/>
      </c>
      <c r="M819" s="11">
        <f>IF(MATCH_ENGINE!A819="","",GL_CLEAN!F819)</f>
        <v/>
      </c>
      <c r="N819" s="11">
        <f>IF(MATCH_ENGINE!A819="","",GL_CLEAN!G819)</f>
        <v/>
      </c>
      <c r="O819" s="11">
        <f>IF(MATCH_ENGINE!H819="","",INDEX(BANK_CLEAN!$C$2:$C$1001,MATCH_ENGINE!H819))</f>
        <v/>
      </c>
      <c r="P819" s="11" t="inlineStr"/>
    </row>
    <row r="820">
      <c r="A820" s="11">
        <f>IF(MATCH_ENGINE!A820="","",MATCH_ENGINE!N820)</f>
        <v/>
      </c>
      <c r="B820" s="11">
        <f>IF(MATCH_ENGINE!A820="","",MATCH_ENGINE!C820)</f>
        <v/>
      </c>
      <c r="C820" s="10">
        <f>IF(MATCH_ENGINE!A820="","",MATCH_ENGINE!B820)</f>
        <v/>
      </c>
      <c r="D820" s="16">
        <f>IF(MATCH_ENGINE!A820="","",MATCH_ENGINE!D820)</f>
        <v/>
      </c>
      <c r="E820" s="11">
        <f>IF(MATCH_ENGINE!A820="","",MATCH_ENGINE!F820)</f>
        <v/>
      </c>
      <c r="F820" s="10">
        <f>IF(MATCH_ENGINE!A820="","",MATCH_ENGINE!I820)</f>
        <v/>
      </c>
      <c r="G820" s="16">
        <f>IF(MATCH_ENGINE!H820="","",IF(MATCH_ENGINE!F820="IN",MATCH_ENGINE!J820,""))</f>
        <v/>
      </c>
      <c r="H820" s="16">
        <f>IF(MATCH_ENGINE!H820="","",IF(MATCH_ENGINE!F820="OUT",MATCH_ENGINE!J820,""))</f>
        <v/>
      </c>
      <c r="I820" s="16">
        <f>IF(MATCH_ENGINE!H820="","",MATCH_ENGINE!J820)</f>
        <v/>
      </c>
      <c r="J820" s="12">
        <f>IF(MATCH_ENGINE!A820="","",MATCH_ENGINE!K820)</f>
        <v/>
      </c>
      <c r="K820" s="11">
        <f>IF(MATCH_ENGINE!A820="","",MATCH_ENGINE!L820)</f>
        <v/>
      </c>
      <c r="L820" s="17">
        <f>IF(MATCH_ENGINE!A820="","",MATCH_ENGINE!M820)</f>
        <v/>
      </c>
      <c r="M820" s="11">
        <f>IF(MATCH_ENGINE!A820="","",GL_CLEAN!F820)</f>
        <v/>
      </c>
      <c r="N820" s="11">
        <f>IF(MATCH_ENGINE!A820="","",GL_CLEAN!G820)</f>
        <v/>
      </c>
      <c r="O820" s="11">
        <f>IF(MATCH_ENGINE!H820="","",INDEX(BANK_CLEAN!$C$2:$C$1001,MATCH_ENGINE!H820))</f>
        <v/>
      </c>
      <c r="P820" s="11" t="inlineStr"/>
    </row>
    <row r="821">
      <c r="A821" s="11">
        <f>IF(MATCH_ENGINE!A821="","",MATCH_ENGINE!N821)</f>
        <v/>
      </c>
      <c r="B821" s="11">
        <f>IF(MATCH_ENGINE!A821="","",MATCH_ENGINE!C821)</f>
        <v/>
      </c>
      <c r="C821" s="10">
        <f>IF(MATCH_ENGINE!A821="","",MATCH_ENGINE!B821)</f>
        <v/>
      </c>
      <c r="D821" s="16">
        <f>IF(MATCH_ENGINE!A821="","",MATCH_ENGINE!D821)</f>
        <v/>
      </c>
      <c r="E821" s="11">
        <f>IF(MATCH_ENGINE!A821="","",MATCH_ENGINE!F821)</f>
        <v/>
      </c>
      <c r="F821" s="10">
        <f>IF(MATCH_ENGINE!A821="","",MATCH_ENGINE!I821)</f>
        <v/>
      </c>
      <c r="G821" s="16">
        <f>IF(MATCH_ENGINE!H821="","",IF(MATCH_ENGINE!F821="IN",MATCH_ENGINE!J821,""))</f>
        <v/>
      </c>
      <c r="H821" s="16">
        <f>IF(MATCH_ENGINE!H821="","",IF(MATCH_ENGINE!F821="OUT",MATCH_ENGINE!J821,""))</f>
        <v/>
      </c>
      <c r="I821" s="16">
        <f>IF(MATCH_ENGINE!H821="","",MATCH_ENGINE!J821)</f>
        <v/>
      </c>
      <c r="J821" s="12">
        <f>IF(MATCH_ENGINE!A821="","",MATCH_ENGINE!K821)</f>
        <v/>
      </c>
      <c r="K821" s="11">
        <f>IF(MATCH_ENGINE!A821="","",MATCH_ENGINE!L821)</f>
        <v/>
      </c>
      <c r="L821" s="17">
        <f>IF(MATCH_ENGINE!A821="","",MATCH_ENGINE!M821)</f>
        <v/>
      </c>
      <c r="M821" s="11">
        <f>IF(MATCH_ENGINE!A821="","",GL_CLEAN!F821)</f>
        <v/>
      </c>
      <c r="N821" s="11">
        <f>IF(MATCH_ENGINE!A821="","",GL_CLEAN!G821)</f>
        <v/>
      </c>
      <c r="O821" s="11">
        <f>IF(MATCH_ENGINE!H821="","",INDEX(BANK_CLEAN!$C$2:$C$1001,MATCH_ENGINE!H821))</f>
        <v/>
      </c>
      <c r="P821" s="11" t="inlineStr"/>
    </row>
    <row r="822">
      <c r="A822" s="11">
        <f>IF(MATCH_ENGINE!A822="","",MATCH_ENGINE!N822)</f>
        <v/>
      </c>
      <c r="B822" s="11">
        <f>IF(MATCH_ENGINE!A822="","",MATCH_ENGINE!C822)</f>
        <v/>
      </c>
      <c r="C822" s="10">
        <f>IF(MATCH_ENGINE!A822="","",MATCH_ENGINE!B822)</f>
        <v/>
      </c>
      <c r="D822" s="16">
        <f>IF(MATCH_ENGINE!A822="","",MATCH_ENGINE!D822)</f>
        <v/>
      </c>
      <c r="E822" s="11">
        <f>IF(MATCH_ENGINE!A822="","",MATCH_ENGINE!F822)</f>
        <v/>
      </c>
      <c r="F822" s="10">
        <f>IF(MATCH_ENGINE!A822="","",MATCH_ENGINE!I822)</f>
        <v/>
      </c>
      <c r="G822" s="16">
        <f>IF(MATCH_ENGINE!H822="","",IF(MATCH_ENGINE!F822="IN",MATCH_ENGINE!J822,""))</f>
        <v/>
      </c>
      <c r="H822" s="16">
        <f>IF(MATCH_ENGINE!H822="","",IF(MATCH_ENGINE!F822="OUT",MATCH_ENGINE!J822,""))</f>
        <v/>
      </c>
      <c r="I822" s="16">
        <f>IF(MATCH_ENGINE!H822="","",MATCH_ENGINE!J822)</f>
        <v/>
      </c>
      <c r="J822" s="12">
        <f>IF(MATCH_ENGINE!A822="","",MATCH_ENGINE!K822)</f>
        <v/>
      </c>
      <c r="K822" s="11">
        <f>IF(MATCH_ENGINE!A822="","",MATCH_ENGINE!L822)</f>
        <v/>
      </c>
      <c r="L822" s="17">
        <f>IF(MATCH_ENGINE!A822="","",MATCH_ENGINE!M822)</f>
        <v/>
      </c>
      <c r="M822" s="11">
        <f>IF(MATCH_ENGINE!A822="","",GL_CLEAN!F822)</f>
        <v/>
      </c>
      <c r="N822" s="11">
        <f>IF(MATCH_ENGINE!A822="","",GL_CLEAN!G822)</f>
        <v/>
      </c>
      <c r="O822" s="11">
        <f>IF(MATCH_ENGINE!H822="","",INDEX(BANK_CLEAN!$C$2:$C$1001,MATCH_ENGINE!H822))</f>
        <v/>
      </c>
      <c r="P822" s="11" t="inlineStr"/>
    </row>
    <row r="823">
      <c r="A823" s="11">
        <f>IF(MATCH_ENGINE!A823="","",MATCH_ENGINE!N823)</f>
        <v/>
      </c>
      <c r="B823" s="11">
        <f>IF(MATCH_ENGINE!A823="","",MATCH_ENGINE!C823)</f>
        <v/>
      </c>
      <c r="C823" s="10">
        <f>IF(MATCH_ENGINE!A823="","",MATCH_ENGINE!B823)</f>
        <v/>
      </c>
      <c r="D823" s="16">
        <f>IF(MATCH_ENGINE!A823="","",MATCH_ENGINE!D823)</f>
        <v/>
      </c>
      <c r="E823" s="11">
        <f>IF(MATCH_ENGINE!A823="","",MATCH_ENGINE!F823)</f>
        <v/>
      </c>
      <c r="F823" s="10">
        <f>IF(MATCH_ENGINE!A823="","",MATCH_ENGINE!I823)</f>
        <v/>
      </c>
      <c r="G823" s="16">
        <f>IF(MATCH_ENGINE!H823="","",IF(MATCH_ENGINE!F823="IN",MATCH_ENGINE!J823,""))</f>
        <v/>
      </c>
      <c r="H823" s="16">
        <f>IF(MATCH_ENGINE!H823="","",IF(MATCH_ENGINE!F823="OUT",MATCH_ENGINE!J823,""))</f>
        <v/>
      </c>
      <c r="I823" s="16">
        <f>IF(MATCH_ENGINE!H823="","",MATCH_ENGINE!J823)</f>
        <v/>
      </c>
      <c r="J823" s="12">
        <f>IF(MATCH_ENGINE!A823="","",MATCH_ENGINE!K823)</f>
        <v/>
      </c>
      <c r="K823" s="11">
        <f>IF(MATCH_ENGINE!A823="","",MATCH_ENGINE!L823)</f>
        <v/>
      </c>
      <c r="L823" s="17">
        <f>IF(MATCH_ENGINE!A823="","",MATCH_ENGINE!M823)</f>
        <v/>
      </c>
      <c r="M823" s="11">
        <f>IF(MATCH_ENGINE!A823="","",GL_CLEAN!F823)</f>
        <v/>
      </c>
      <c r="N823" s="11">
        <f>IF(MATCH_ENGINE!A823="","",GL_CLEAN!G823)</f>
        <v/>
      </c>
      <c r="O823" s="11">
        <f>IF(MATCH_ENGINE!H823="","",INDEX(BANK_CLEAN!$C$2:$C$1001,MATCH_ENGINE!H823))</f>
        <v/>
      </c>
      <c r="P823" s="11" t="inlineStr"/>
    </row>
    <row r="824">
      <c r="A824" s="11">
        <f>IF(MATCH_ENGINE!A824="","",MATCH_ENGINE!N824)</f>
        <v/>
      </c>
      <c r="B824" s="11">
        <f>IF(MATCH_ENGINE!A824="","",MATCH_ENGINE!C824)</f>
        <v/>
      </c>
      <c r="C824" s="10">
        <f>IF(MATCH_ENGINE!A824="","",MATCH_ENGINE!B824)</f>
        <v/>
      </c>
      <c r="D824" s="16">
        <f>IF(MATCH_ENGINE!A824="","",MATCH_ENGINE!D824)</f>
        <v/>
      </c>
      <c r="E824" s="11">
        <f>IF(MATCH_ENGINE!A824="","",MATCH_ENGINE!F824)</f>
        <v/>
      </c>
      <c r="F824" s="10">
        <f>IF(MATCH_ENGINE!A824="","",MATCH_ENGINE!I824)</f>
        <v/>
      </c>
      <c r="G824" s="16">
        <f>IF(MATCH_ENGINE!H824="","",IF(MATCH_ENGINE!F824="IN",MATCH_ENGINE!J824,""))</f>
        <v/>
      </c>
      <c r="H824" s="16">
        <f>IF(MATCH_ENGINE!H824="","",IF(MATCH_ENGINE!F824="OUT",MATCH_ENGINE!J824,""))</f>
        <v/>
      </c>
      <c r="I824" s="16">
        <f>IF(MATCH_ENGINE!H824="","",MATCH_ENGINE!J824)</f>
        <v/>
      </c>
      <c r="J824" s="12">
        <f>IF(MATCH_ENGINE!A824="","",MATCH_ENGINE!K824)</f>
        <v/>
      </c>
      <c r="K824" s="11">
        <f>IF(MATCH_ENGINE!A824="","",MATCH_ENGINE!L824)</f>
        <v/>
      </c>
      <c r="L824" s="17">
        <f>IF(MATCH_ENGINE!A824="","",MATCH_ENGINE!M824)</f>
        <v/>
      </c>
      <c r="M824" s="11">
        <f>IF(MATCH_ENGINE!A824="","",GL_CLEAN!F824)</f>
        <v/>
      </c>
      <c r="N824" s="11">
        <f>IF(MATCH_ENGINE!A824="","",GL_CLEAN!G824)</f>
        <v/>
      </c>
      <c r="O824" s="11">
        <f>IF(MATCH_ENGINE!H824="","",INDEX(BANK_CLEAN!$C$2:$C$1001,MATCH_ENGINE!H824))</f>
        <v/>
      </c>
      <c r="P824" s="11" t="inlineStr"/>
    </row>
    <row r="825">
      <c r="A825" s="11">
        <f>IF(MATCH_ENGINE!A825="","",MATCH_ENGINE!N825)</f>
        <v/>
      </c>
      <c r="B825" s="11">
        <f>IF(MATCH_ENGINE!A825="","",MATCH_ENGINE!C825)</f>
        <v/>
      </c>
      <c r="C825" s="10">
        <f>IF(MATCH_ENGINE!A825="","",MATCH_ENGINE!B825)</f>
        <v/>
      </c>
      <c r="D825" s="16">
        <f>IF(MATCH_ENGINE!A825="","",MATCH_ENGINE!D825)</f>
        <v/>
      </c>
      <c r="E825" s="11">
        <f>IF(MATCH_ENGINE!A825="","",MATCH_ENGINE!F825)</f>
        <v/>
      </c>
      <c r="F825" s="10">
        <f>IF(MATCH_ENGINE!A825="","",MATCH_ENGINE!I825)</f>
        <v/>
      </c>
      <c r="G825" s="16">
        <f>IF(MATCH_ENGINE!H825="","",IF(MATCH_ENGINE!F825="IN",MATCH_ENGINE!J825,""))</f>
        <v/>
      </c>
      <c r="H825" s="16">
        <f>IF(MATCH_ENGINE!H825="","",IF(MATCH_ENGINE!F825="OUT",MATCH_ENGINE!J825,""))</f>
        <v/>
      </c>
      <c r="I825" s="16">
        <f>IF(MATCH_ENGINE!H825="","",MATCH_ENGINE!J825)</f>
        <v/>
      </c>
      <c r="J825" s="12">
        <f>IF(MATCH_ENGINE!A825="","",MATCH_ENGINE!K825)</f>
        <v/>
      </c>
      <c r="K825" s="11">
        <f>IF(MATCH_ENGINE!A825="","",MATCH_ENGINE!L825)</f>
        <v/>
      </c>
      <c r="L825" s="17">
        <f>IF(MATCH_ENGINE!A825="","",MATCH_ENGINE!M825)</f>
        <v/>
      </c>
      <c r="M825" s="11">
        <f>IF(MATCH_ENGINE!A825="","",GL_CLEAN!F825)</f>
        <v/>
      </c>
      <c r="N825" s="11">
        <f>IF(MATCH_ENGINE!A825="","",GL_CLEAN!G825)</f>
        <v/>
      </c>
      <c r="O825" s="11">
        <f>IF(MATCH_ENGINE!H825="","",INDEX(BANK_CLEAN!$C$2:$C$1001,MATCH_ENGINE!H825))</f>
        <v/>
      </c>
      <c r="P825" s="11" t="inlineStr"/>
    </row>
    <row r="826">
      <c r="A826" s="11">
        <f>IF(MATCH_ENGINE!A826="","",MATCH_ENGINE!N826)</f>
        <v/>
      </c>
      <c r="B826" s="11">
        <f>IF(MATCH_ENGINE!A826="","",MATCH_ENGINE!C826)</f>
        <v/>
      </c>
      <c r="C826" s="10">
        <f>IF(MATCH_ENGINE!A826="","",MATCH_ENGINE!B826)</f>
        <v/>
      </c>
      <c r="D826" s="16">
        <f>IF(MATCH_ENGINE!A826="","",MATCH_ENGINE!D826)</f>
        <v/>
      </c>
      <c r="E826" s="11">
        <f>IF(MATCH_ENGINE!A826="","",MATCH_ENGINE!F826)</f>
        <v/>
      </c>
      <c r="F826" s="10">
        <f>IF(MATCH_ENGINE!A826="","",MATCH_ENGINE!I826)</f>
        <v/>
      </c>
      <c r="G826" s="16">
        <f>IF(MATCH_ENGINE!H826="","",IF(MATCH_ENGINE!F826="IN",MATCH_ENGINE!J826,""))</f>
        <v/>
      </c>
      <c r="H826" s="16">
        <f>IF(MATCH_ENGINE!H826="","",IF(MATCH_ENGINE!F826="OUT",MATCH_ENGINE!J826,""))</f>
        <v/>
      </c>
      <c r="I826" s="16">
        <f>IF(MATCH_ENGINE!H826="","",MATCH_ENGINE!J826)</f>
        <v/>
      </c>
      <c r="J826" s="12">
        <f>IF(MATCH_ENGINE!A826="","",MATCH_ENGINE!K826)</f>
        <v/>
      </c>
      <c r="K826" s="11">
        <f>IF(MATCH_ENGINE!A826="","",MATCH_ENGINE!L826)</f>
        <v/>
      </c>
      <c r="L826" s="17">
        <f>IF(MATCH_ENGINE!A826="","",MATCH_ENGINE!M826)</f>
        <v/>
      </c>
      <c r="M826" s="11">
        <f>IF(MATCH_ENGINE!A826="","",GL_CLEAN!F826)</f>
        <v/>
      </c>
      <c r="N826" s="11">
        <f>IF(MATCH_ENGINE!A826="","",GL_CLEAN!G826)</f>
        <v/>
      </c>
      <c r="O826" s="11">
        <f>IF(MATCH_ENGINE!H826="","",INDEX(BANK_CLEAN!$C$2:$C$1001,MATCH_ENGINE!H826))</f>
        <v/>
      </c>
      <c r="P826" s="11" t="inlineStr"/>
    </row>
    <row r="827">
      <c r="A827" s="11">
        <f>IF(MATCH_ENGINE!A827="","",MATCH_ENGINE!N827)</f>
        <v/>
      </c>
      <c r="B827" s="11">
        <f>IF(MATCH_ENGINE!A827="","",MATCH_ENGINE!C827)</f>
        <v/>
      </c>
      <c r="C827" s="10">
        <f>IF(MATCH_ENGINE!A827="","",MATCH_ENGINE!B827)</f>
        <v/>
      </c>
      <c r="D827" s="16">
        <f>IF(MATCH_ENGINE!A827="","",MATCH_ENGINE!D827)</f>
        <v/>
      </c>
      <c r="E827" s="11">
        <f>IF(MATCH_ENGINE!A827="","",MATCH_ENGINE!F827)</f>
        <v/>
      </c>
      <c r="F827" s="10">
        <f>IF(MATCH_ENGINE!A827="","",MATCH_ENGINE!I827)</f>
        <v/>
      </c>
      <c r="G827" s="16">
        <f>IF(MATCH_ENGINE!H827="","",IF(MATCH_ENGINE!F827="IN",MATCH_ENGINE!J827,""))</f>
        <v/>
      </c>
      <c r="H827" s="16">
        <f>IF(MATCH_ENGINE!H827="","",IF(MATCH_ENGINE!F827="OUT",MATCH_ENGINE!J827,""))</f>
        <v/>
      </c>
      <c r="I827" s="16">
        <f>IF(MATCH_ENGINE!H827="","",MATCH_ENGINE!J827)</f>
        <v/>
      </c>
      <c r="J827" s="12">
        <f>IF(MATCH_ENGINE!A827="","",MATCH_ENGINE!K827)</f>
        <v/>
      </c>
      <c r="K827" s="11">
        <f>IF(MATCH_ENGINE!A827="","",MATCH_ENGINE!L827)</f>
        <v/>
      </c>
      <c r="L827" s="17">
        <f>IF(MATCH_ENGINE!A827="","",MATCH_ENGINE!M827)</f>
        <v/>
      </c>
      <c r="M827" s="11">
        <f>IF(MATCH_ENGINE!A827="","",GL_CLEAN!F827)</f>
        <v/>
      </c>
      <c r="N827" s="11">
        <f>IF(MATCH_ENGINE!A827="","",GL_CLEAN!G827)</f>
        <v/>
      </c>
      <c r="O827" s="11">
        <f>IF(MATCH_ENGINE!H827="","",INDEX(BANK_CLEAN!$C$2:$C$1001,MATCH_ENGINE!H827))</f>
        <v/>
      </c>
      <c r="P827" s="11" t="inlineStr"/>
    </row>
    <row r="828">
      <c r="A828" s="11">
        <f>IF(MATCH_ENGINE!A828="","",MATCH_ENGINE!N828)</f>
        <v/>
      </c>
      <c r="B828" s="11">
        <f>IF(MATCH_ENGINE!A828="","",MATCH_ENGINE!C828)</f>
        <v/>
      </c>
      <c r="C828" s="10">
        <f>IF(MATCH_ENGINE!A828="","",MATCH_ENGINE!B828)</f>
        <v/>
      </c>
      <c r="D828" s="16">
        <f>IF(MATCH_ENGINE!A828="","",MATCH_ENGINE!D828)</f>
        <v/>
      </c>
      <c r="E828" s="11">
        <f>IF(MATCH_ENGINE!A828="","",MATCH_ENGINE!F828)</f>
        <v/>
      </c>
      <c r="F828" s="10">
        <f>IF(MATCH_ENGINE!A828="","",MATCH_ENGINE!I828)</f>
        <v/>
      </c>
      <c r="G828" s="16">
        <f>IF(MATCH_ENGINE!H828="","",IF(MATCH_ENGINE!F828="IN",MATCH_ENGINE!J828,""))</f>
        <v/>
      </c>
      <c r="H828" s="16">
        <f>IF(MATCH_ENGINE!H828="","",IF(MATCH_ENGINE!F828="OUT",MATCH_ENGINE!J828,""))</f>
        <v/>
      </c>
      <c r="I828" s="16">
        <f>IF(MATCH_ENGINE!H828="","",MATCH_ENGINE!J828)</f>
        <v/>
      </c>
      <c r="J828" s="12">
        <f>IF(MATCH_ENGINE!A828="","",MATCH_ENGINE!K828)</f>
        <v/>
      </c>
      <c r="K828" s="11">
        <f>IF(MATCH_ENGINE!A828="","",MATCH_ENGINE!L828)</f>
        <v/>
      </c>
      <c r="L828" s="17">
        <f>IF(MATCH_ENGINE!A828="","",MATCH_ENGINE!M828)</f>
        <v/>
      </c>
      <c r="M828" s="11">
        <f>IF(MATCH_ENGINE!A828="","",GL_CLEAN!F828)</f>
        <v/>
      </c>
      <c r="N828" s="11">
        <f>IF(MATCH_ENGINE!A828="","",GL_CLEAN!G828)</f>
        <v/>
      </c>
      <c r="O828" s="11">
        <f>IF(MATCH_ENGINE!H828="","",INDEX(BANK_CLEAN!$C$2:$C$1001,MATCH_ENGINE!H828))</f>
        <v/>
      </c>
      <c r="P828" s="11" t="inlineStr"/>
    </row>
    <row r="829">
      <c r="A829" s="11">
        <f>IF(MATCH_ENGINE!A829="","",MATCH_ENGINE!N829)</f>
        <v/>
      </c>
      <c r="B829" s="11">
        <f>IF(MATCH_ENGINE!A829="","",MATCH_ENGINE!C829)</f>
        <v/>
      </c>
      <c r="C829" s="10">
        <f>IF(MATCH_ENGINE!A829="","",MATCH_ENGINE!B829)</f>
        <v/>
      </c>
      <c r="D829" s="16">
        <f>IF(MATCH_ENGINE!A829="","",MATCH_ENGINE!D829)</f>
        <v/>
      </c>
      <c r="E829" s="11">
        <f>IF(MATCH_ENGINE!A829="","",MATCH_ENGINE!F829)</f>
        <v/>
      </c>
      <c r="F829" s="10">
        <f>IF(MATCH_ENGINE!A829="","",MATCH_ENGINE!I829)</f>
        <v/>
      </c>
      <c r="G829" s="16">
        <f>IF(MATCH_ENGINE!H829="","",IF(MATCH_ENGINE!F829="IN",MATCH_ENGINE!J829,""))</f>
        <v/>
      </c>
      <c r="H829" s="16">
        <f>IF(MATCH_ENGINE!H829="","",IF(MATCH_ENGINE!F829="OUT",MATCH_ENGINE!J829,""))</f>
        <v/>
      </c>
      <c r="I829" s="16">
        <f>IF(MATCH_ENGINE!H829="","",MATCH_ENGINE!J829)</f>
        <v/>
      </c>
      <c r="J829" s="12">
        <f>IF(MATCH_ENGINE!A829="","",MATCH_ENGINE!K829)</f>
        <v/>
      </c>
      <c r="K829" s="11">
        <f>IF(MATCH_ENGINE!A829="","",MATCH_ENGINE!L829)</f>
        <v/>
      </c>
      <c r="L829" s="17">
        <f>IF(MATCH_ENGINE!A829="","",MATCH_ENGINE!M829)</f>
        <v/>
      </c>
      <c r="M829" s="11">
        <f>IF(MATCH_ENGINE!A829="","",GL_CLEAN!F829)</f>
        <v/>
      </c>
      <c r="N829" s="11">
        <f>IF(MATCH_ENGINE!A829="","",GL_CLEAN!G829)</f>
        <v/>
      </c>
      <c r="O829" s="11">
        <f>IF(MATCH_ENGINE!H829="","",INDEX(BANK_CLEAN!$C$2:$C$1001,MATCH_ENGINE!H829))</f>
        <v/>
      </c>
      <c r="P829" s="11" t="inlineStr"/>
    </row>
    <row r="830">
      <c r="A830" s="11">
        <f>IF(MATCH_ENGINE!A830="","",MATCH_ENGINE!N830)</f>
        <v/>
      </c>
      <c r="B830" s="11">
        <f>IF(MATCH_ENGINE!A830="","",MATCH_ENGINE!C830)</f>
        <v/>
      </c>
      <c r="C830" s="10">
        <f>IF(MATCH_ENGINE!A830="","",MATCH_ENGINE!B830)</f>
        <v/>
      </c>
      <c r="D830" s="16">
        <f>IF(MATCH_ENGINE!A830="","",MATCH_ENGINE!D830)</f>
        <v/>
      </c>
      <c r="E830" s="11">
        <f>IF(MATCH_ENGINE!A830="","",MATCH_ENGINE!F830)</f>
        <v/>
      </c>
      <c r="F830" s="10">
        <f>IF(MATCH_ENGINE!A830="","",MATCH_ENGINE!I830)</f>
        <v/>
      </c>
      <c r="G830" s="16">
        <f>IF(MATCH_ENGINE!H830="","",IF(MATCH_ENGINE!F830="IN",MATCH_ENGINE!J830,""))</f>
        <v/>
      </c>
      <c r="H830" s="16">
        <f>IF(MATCH_ENGINE!H830="","",IF(MATCH_ENGINE!F830="OUT",MATCH_ENGINE!J830,""))</f>
        <v/>
      </c>
      <c r="I830" s="16">
        <f>IF(MATCH_ENGINE!H830="","",MATCH_ENGINE!J830)</f>
        <v/>
      </c>
      <c r="J830" s="12">
        <f>IF(MATCH_ENGINE!A830="","",MATCH_ENGINE!K830)</f>
        <v/>
      </c>
      <c r="K830" s="11">
        <f>IF(MATCH_ENGINE!A830="","",MATCH_ENGINE!L830)</f>
        <v/>
      </c>
      <c r="L830" s="17">
        <f>IF(MATCH_ENGINE!A830="","",MATCH_ENGINE!M830)</f>
        <v/>
      </c>
      <c r="M830" s="11">
        <f>IF(MATCH_ENGINE!A830="","",GL_CLEAN!F830)</f>
        <v/>
      </c>
      <c r="N830" s="11">
        <f>IF(MATCH_ENGINE!A830="","",GL_CLEAN!G830)</f>
        <v/>
      </c>
      <c r="O830" s="11">
        <f>IF(MATCH_ENGINE!H830="","",INDEX(BANK_CLEAN!$C$2:$C$1001,MATCH_ENGINE!H830))</f>
        <v/>
      </c>
      <c r="P830" s="11" t="inlineStr"/>
    </row>
    <row r="831">
      <c r="A831" s="11">
        <f>IF(MATCH_ENGINE!A831="","",MATCH_ENGINE!N831)</f>
        <v/>
      </c>
      <c r="B831" s="11">
        <f>IF(MATCH_ENGINE!A831="","",MATCH_ENGINE!C831)</f>
        <v/>
      </c>
      <c r="C831" s="10">
        <f>IF(MATCH_ENGINE!A831="","",MATCH_ENGINE!B831)</f>
        <v/>
      </c>
      <c r="D831" s="16">
        <f>IF(MATCH_ENGINE!A831="","",MATCH_ENGINE!D831)</f>
        <v/>
      </c>
      <c r="E831" s="11">
        <f>IF(MATCH_ENGINE!A831="","",MATCH_ENGINE!F831)</f>
        <v/>
      </c>
      <c r="F831" s="10">
        <f>IF(MATCH_ENGINE!A831="","",MATCH_ENGINE!I831)</f>
        <v/>
      </c>
      <c r="G831" s="16">
        <f>IF(MATCH_ENGINE!H831="","",IF(MATCH_ENGINE!F831="IN",MATCH_ENGINE!J831,""))</f>
        <v/>
      </c>
      <c r="H831" s="16">
        <f>IF(MATCH_ENGINE!H831="","",IF(MATCH_ENGINE!F831="OUT",MATCH_ENGINE!J831,""))</f>
        <v/>
      </c>
      <c r="I831" s="16">
        <f>IF(MATCH_ENGINE!H831="","",MATCH_ENGINE!J831)</f>
        <v/>
      </c>
      <c r="J831" s="12">
        <f>IF(MATCH_ENGINE!A831="","",MATCH_ENGINE!K831)</f>
        <v/>
      </c>
      <c r="K831" s="11">
        <f>IF(MATCH_ENGINE!A831="","",MATCH_ENGINE!L831)</f>
        <v/>
      </c>
      <c r="L831" s="17">
        <f>IF(MATCH_ENGINE!A831="","",MATCH_ENGINE!M831)</f>
        <v/>
      </c>
      <c r="M831" s="11">
        <f>IF(MATCH_ENGINE!A831="","",GL_CLEAN!F831)</f>
        <v/>
      </c>
      <c r="N831" s="11">
        <f>IF(MATCH_ENGINE!A831="","",GL_CLEAN!G831)</f>
        <v/>
      </c>
      <c r="O831" s="11">
        <f>IF(MATCH_ENGINE!H831="","",INDEX(BANK_CLEAN!$C$2:$C$1001,MATCH_ENGINE!H831))</f>
        <v/>
      </c>
      <c r="P831" s="11" t="inlineStr"/>
    </row>
    <row r="832">
      <c r="A832" s="11">
        <f>IF(MATCH_ENGINE!A832="","",MATCH_ENGINE!N832)</f>
        <v/>
      </c>
      <c r="B832" s="11">
        <f>IF(MATCH_ENGINE!A832="","",MATCH_ENGINE!C832)</f>
        <v/>
      </c>
      <c r="C832" s="10">
        <f>IF(MATCH_ENGINE!A832="","",MATCH_ENGINE!B832)</f>
        <v/>
      </c>
      <c r="D832" s="16">
        <f>IF(MATCH_ENGINE!A832="","",MATCH_ENGINE!D832)</f>
        <v/>
      </c>
      <c r="E832" s="11">
        <f>IF(MATCH_ENGINE!A832="","",MATCH_ENGINE!F832)</f>
        <v/>
      </c>
      <c r="F832" s="10">
        <f>IF(MATCH_ENGINE!A832="","",MATCH_ENGINE!I832)</f>
        <v/>
      </c>
      <c r="G832" s="16">
        <f>IF(MATCH_ENGINE!H832="","",IF(MATCH_ENGINE!F832="IN",MATCH_ENGINE!J832,""))</f>
        <v/>
      </c>
      <c r="H832" s="16">
        <f>IF(MATCH_ENGINE!H832="","",IF(MATCH_ENGINE!F832="OUT",MATCH_ENGINE!J832,""))</f>
        <v/>
      </c>
      <c r="I832" s="16">
        <f>IF(MATCH_ENGINE!H832="","",MATCH_ENGINE!J832)</f>
        <v/>
      </c>
      <c r="J832" s="12">
        <f>IF(MATCH_ENGINE!A832="","",MATCH_ENGINE!K832)</f>
        <v/>
      </c>
      <c r="K832" s="11">
        <f>IF(MATCH_ENGINE!A832="","",MATCH_ENGINE!L832)</f>
        <v/>
      </c>
      <c r="L832" s="17">
        <f>IF(MATCH_ENGINE!A832="","",MATCH_ENGINE!M832)</f>
        <v/>
      </c>
      <c r="M832" s="11">
        <f>IF(MATCH_ENGINE!A832="","",GL_CLEAN!F832)</f>
        <v/>
      </c>
      <c r="N832" s="11">
        <f>IF(MATCH_ENGINE!A832="","",GL_CLEAN!G832)</f>
        <v/>
      </c>
      <c r="O832" s="11">
        <f>IF(MATCH_ENGINE!H832="","",INDEX(BANK_CLEAN!$C$2:$C$1001,MATCH_ENGINE!H832))</f>
        <v/>
      </c>
      <c r="P832" s="11" t="inlineStr"/>
    </row>
    <row r="833">
      <c r="A833" s="11">
        <f>IF(MATCH_ENGINE!A833="","",MATCH_ENGINE!N833)</f>
        <v/>
      </c>
      <c r="B833" s="11">
        <f>IF(MATCH_ENGINE!A833="","",MATCH_ENGINE!C833)</f>
        <v/>
      </c>
      <c r="C833" s="10">
        <f>IF(MATCH_ENGINE!A833="","",MATCH_ENGINE!B833)</f>
        <v/>
      </c>
      <c r="D833" s="16">
        <f>IF(MATCH_ENGINE!A833="","",MATCH_ENGINE!D833)</f>
        <v/>
      </c>
      <c r="E833" s="11">
        <f>IF(MATCH_ENGINE!A833="","",MATCH_ENGINE!F833)</f>
        <v/>
      </c>
      <c r="F833" s="10">
        <f>IF(MATCH_ENGINE!A833="","",MATCH_ENGINE!I833)</f>
        <v/>
      </c>
      <c r="G833" s="16">
        <f>IF(MATCH_ENGINE!H833="","",IF(MATCH_ENGINE!F833="IN",MATCH_ENGINE!J833,""))</f>
        <v/>
      </c>
      <c r="H833" s="16">
        <f>IF(MATCH_ENGINE!H833="","",IF(MATCH_ENGINE!F833="OUT",MATCH_ENGINE!J833,""))</f>
        <v/>
      </c>
      <c r="I833" s="16">
        <f>IF(MATCH_ENGINE!H833="","",MATCH_ENGINE!J833)</f>
        <v/>
      </c>
      <c r="J833" s="12">
        <f>IF(MATCH_ENGINE!A833="","",MATCH_ENGINE!K833)</f>
        <v/>
      </c>
      <c r="K833" s="11">
        <f>IF(MATCH_ENGINE!A833="","",MATCH_ENGINE!L833)</f>
        <v/>
      </c>
      <c r="L833" s="17">
        <f>IF(MATCH_ENGINE!A833="","",MATCH_ENGINE!M833)</f>
        <v/>
      </c>
      <c r="M833" s="11">
        <f>IF(MATCH_ENGINE!A833="","",GL_CLEAN!F833)</f>
        <v/>
      </c>
      <c r="N833" s="11">
        <f>IF(MATCH_ENGINE!A833="","",GL_CLEAN!G833)</f>
        <v/>
      </c>
      <c r="O833" s="11">
        <f>IF(MATCH_ENGINE!H833="","",INDEX(BANK_CLEAN!$C$2:$C$1001,MATCH_ENGINE!H833))</f>
        <v/>
      </c>
      <c r="P833" s="11" t="inlineStr"/>
    </row>
    <row r="834">
      <c r="A834" s="11">
        <f>IF(MATCH_ENGINE!A834="","",MATCH_ENGINE!N834)</f>
        <v/>
      </c>
      <c r="B834" s="11">
        <f>IF(MATCH_ENGINE!A834="","",MATCH_ENGINE!C834)</f>
        <v/>
      </c>
      <c r="C834" s="10">
        <f>IF(MATCH_ENGINE!A834="","",MATCH_ENGINE!B834)</f>
        <v/>
      </c>
      <c r="D834" s="16">
        <f>IF(MATCH_ENGINE!A834="","",MATCH_ENGINE!D834)</f>
        <v/>
      </c>
      <c r="E834" s="11">
        <f>IF(MATCH_ENGINE!A834="","",MATCH_ENGINE!F834)</f>
        <v/>
      </c>
      <c r="F834" s="10">
        <f>IF(MATCH_ENGINE!A834="","",MATCH_ENGINE!I834)</f>
        <v/>
      </c>
      <c r="G834" s="16">
        <f>IF(MATCH_ENGINE!H834="","",IF(MATCH_ENGINE!F834="IN",MATCH_ENGINE!J834,""))</f>
        <v/>
      </c>
      <c r="H834" s="16">
        <f>IF(MATCH_ENGINE!H834="","",IF(MATCH_ENGINE!F834="OUT",MATCH_ENGINE!J834,""))</f>
        <v/>
      </c>
      <c r="I834" s="16">
        <f>IF(MATCH_ENGINE!H834="","",MATCH_ENGINE!J834)</f>
        <v/>
      </c>
      <c r="J834" s="12">
        <f>IF(MATCH_ENGINE!A834="","",MATCH_ENGINE!K834)</f>
        <v/>
      </c>
      <c r="K834" s="11">
        <f>IF(MATCH_ENGINE!A834="","",MATCH_ENGINE!L834)</f>
        <v/>
      </c>
      <c r="L834" s="17">
        <f>IF(MATCH_ENGINE!A834="","",MATCH_ENGINE!M834)</f>
        <v/>
      </c>
      <c r="M834" s="11">
        <f>IF(MATCH_ENGINE!A834="","",GL_CLEAN!F834)</f>
        <v/>
      </c>
      <c r="N834" s="11">
        <f>IF(MATCH_ENGINE!A834="","",GL_CLEAN!G834)</f>
        <v/>
      </c>
      <c r="O834" s="11">
        <f>IF(MATCH_ENGINE!H834="","",INDEX(BANK_CLEAN!$C$2:$C$1001,MATCH_ENGINE!H834))</f>
        <v/>
      </c>
      <c r="P834" s="11" t="inlineStr"/>
    </row>
    <row r="835">
      <c r="A835" s="11">
        <f>IF(MATCH_ENGINE!A835="","",MATCH_ENGINE!N835)</f>
        <v/>
      </c>
      <c r="B835" s="11">
        <f>IF(MATCH_ENGINE!A835="","",MATCH_ENGINE!C835)</f>
        <v/>
      </c>
      <c r="C835" s="10">
        <f>IF(MATCH_ENGINE!A835="","",MATCH_ENGINE!B835)</f>
        <v/>
      </c>
      <c r="D835" s="16">
        <f>IF(MATCH_ENGINE!A835="","",MATCH_ENGINE!D835)</f>
        <v/>
      </c>
      <c r="E835" s="11">
        <f>IF(MATCH_ENGINE!A835="","",MATCH_ENGINE!F835)</f>
        <v/>
      </c>
      <c r="F835" s="10">
        <f>IF(MATCH_ENGINE!A835="","",MATCH_ENGINE!I835)</f>
        <v/>
      </c>
      <c r="G835" s="16">
        <f>IF(MATCH_ENGINE!H835="","",IF(MATCH_ENGINE!F835="IN",MATCH_ENGINE!J835,""))</f>
        <v/>
      </c>
      <c r="H835" s="16">
        <f>IF(MATCH_ENGINE!H835="","",IF(MATCH_ENGINE!F835="OUT",MATCH_ENGINE!J835,""))</f>
        <v/>
      </c>
      <c r="I835" s="16">
        <f>IF(MATCH_ENGINE!H835="","",MATCH_ENGINE!J835)</f>
        <v/>
      </c>
      <c r="J835" s="12">
        <f>IF(MATCH_ENGINE!A835="","",MATCH_ENGINE!K835)</f>
        <v/>
      </c>
      <c r="K835" s="11">
        <f>IF(MATCH_ENGINE!A835="","",MATCH_ENGINE!L835)</f>
        <v/>
      </c>
      <c r="L835" s="17">
        <f>IF(MATCH_ENGINE!A835="","",MATCH_ENGINE!M835)</f>
        <v/>
      </c>
      <c r="M835" s="11">
        <f>IF(MATCH_ENGINE!A835="","",GL_CLEAN!F835)</f>
        <v/>
      </c>
      <c r="N835" s="11">
        <f>IF(MATCH_ENGINE!A835="","",GL_CLEAN!G835)</f>
        <v/>
      </c>
      <c r="O835" s="11">
        <f>IF(MATCH_ENGINE!H835="","",INDEX(BANK_CLEAN!$C$2:$C$1001,MATCH_ENGINE!H835))</f>
        <v/>
      </c>
      <c r="P835" s="11" t="inlineStr"/>
    </row>
    <row r="836">
      <c r="A836" s="11">
        <f>IF(MATCH_ENGINE!A836="","",MATCH_ENGINE!N836)</f>
        <v/>
      </c>
      <c r="B836" s="11">
        <f>IF(MATCH_ENGINE!A836="","",MATCH_ENGINE!C836)</f>
        <v/>
      </c>
      <c r="C836" s="10">
        <f>IF(MATCH_ENGINE!A836="","",MATCH_ENGINE!B836)</f>
        <v/>
      </c>
      <c r="D836" s="16">
        <f>IF(MATCH_ENGINE!A836="","",MATCH_ENGINE!D836)</f>
        <v/>
      </c>
      <c r="E836" s="11">
        <f>IF(MATCH_ENGINE!A836="","",MATCH_ENGINE!F836)</f>
        <v/>
      </c>
      <c r="F836" s="10">
        <f>IF(MATCH_ENGINE!A836="","",MATCH_ENGINE!I836)</f>
        <v/>
      </c>
      <c r="G836" s="16">
        <f>IF(MATCH_ENGINE!H836="","",IF(MATCH_ENGINE!F836="IN",MATCH_ENGINE!J836,""))</f>
        <v/>
      </c>
      <c r="H836" s="16">
        <f>IF(MATCH_ENGINE!H836="","",IF(MATCH_ENGINE!F836="OUT",MATCH_ENGINE!J836,""))</f>
        <v/>
      </c>
      <c r="I836" s="16">
        <f>IF(MATCH_ENGINE!H836="","",MATCH_ENGINE!J836)</f>
        <v/>
      </c>
      <c r="J836" s="12">
        <f>IF(MATCH_ENGINE!A836="","",MATCH_ENGINE!K836)</f>
        <v/>
      </c>
      <c r="K836" s="11">
        <f>IF(MATCH_ENGINE!A836="","",MATCH_ENGINE!L836)</f>
        <v/>
      </c>
      <c r="L836" s="17">
        <f>IF(MATCH_ENGINE!A836="","",MATCH_ENGINE!M836)</f>
        <v/>
      </c>
      <c r="M836" s="11">
        <f>IF(MATCH_ENGINE!A836="","",GL_CLEAN!F836)</f>
        <v/>
      </c>
      <c r="N836" s="11">
        <f>IF(MATCH_ENGINE!A836="","",GL_CLEAN!G836)</f>
        <v/>
      </c>
      <c r="O836" s="11">
        <f>IF(MATCH_ENGINE!H836="","",INDEX(BANK_CLEAN!$C$2:$C$1001,MATCH_ENGINE!H836))</f>
        <v/>
      </c>
      <c r="P836" s="11" t="inlineStr"/>
    </row>
    <row r="837">
      <c r="A837" s="11">
        <f>IF(MATCH_ENGINE!A837="","",MATCH_ENGINE!N837)</f>
        <v/>
      </c>
      <c r="B837" s="11">
        <f>IF(MATCH_ENGINE!A837="","",MATCH_ENGINE!C837)</f>
        <v/>
      </c>
      <c r="C837" s="10">
        <f>IF(MATCH_ENGINE!A837="","",MATCH_ENGINE!B837)</f>
        <v/>
      </c>
      <c r="D837" s="16">
        <f>IF(MATCH_ENGINE!A837="","",MATCH_ENGINE!D837)</f>
        <v/>
      </c>
      <c r="E837" s="11">
        <f>IF(MATCH_ENGINE!A837="","",MATCH_ENGINE!F837)</f>
        <v/>
      </c>
      <c r="F837" s="10">
        <f>IF(MATCH_ENGINE!A837="","",MATCH_ENGINE!I837)</f>
        <v/>
      </c>
      <c r="G837" s="16">
        <f>IF(MATCH_ENGINE!H837="","",IF(MATCH_ENGINE!F837="IN",MATCH_ENGINE!J837,""))</f>
        <v/>
      </c>
      <c r="H837" s="16">
        <f>IF(MATCH_ENGINE!H837="","",IF(MATCH_ENGINE!F837="OUT",MATCH_ENGINE!J837,""))</f>
        <v/>
      </c>
      <c r="I837" s="16">
        <f>IF(MATCH_ENGINE!H837="","",MATCH_ENGINE!J837)</f>
        <v/>
      </c>
      <c r="J837" s="12">
        <f>IF(MATCH_ENGINE!A837="","",MATCH_ENGINE!K837)</f>
        <v/>
      </c>
      <c r="K837" s="11">
        <f>IF(MATCH_ENGINE!A837="","",MATCH_ENGINE!L837)</f>
        <v/>
      </c>
      <c r="L837" s="17">
        <f>IF(MATCH_ENGINE!A837="","",MATCH_ENGINE!M837)</f>
        <v/>
      </c>
      <c r="M837" s="11">
        <f>IF(MATCH_ENGINE!A837="","",GL_CLEAN!F837)</f>
        <v/>
      </c>
      <c r="N837" s="11">
        <f>IF(MATCH_ENGINE!A837="","",GL_CLEAN!G837)</f>
        <v/>
      </c>
      <c r="O837" s="11">
        <f>IF(MATCH_ENGINE!H837="","",INDEX(BANK_CLEAN!$C$2:$C$1001,MATCH_ENGINE!H837))</f>
        <v/>
      </c>
      <c r="P837" s="11" t="inlineStr"/>
    </row>
    <row r="838">
      <c r="A838" s="11">
        <f>IF(MATCH_ENGINE!A838="","",MATCH_ENGINE!N838)</f>
        <v/>
      </c>
      <c r="B838" s="11">
        <f>IF(MATCH_ENGINE!A838="","",MATCH_ENGINE!C838)</f>
        <v/>
      </c>
      <c r="C838" s="10">
        <f>IF(MATCH_ENGINE!A838="","",MATCH_ENGINE!B838)</f>
        <v/>
      </c>
      <c r="D838" s="16">
        <f>IF(MATCH_ENGINE!A838="","",MATCH_ENGINE!D838)</f>
        <v/>
      </c>
      <c r="E838" s="11">
        <f>IF(MATCH_ENGINE!A838="","",MATCH_ENGINE!F838)</f>
        <v/>
      </c>
      <c r="F838" s="10">
        <f>IF(MATCH_ENGINE!A838="","",MATCH_ENGINE!I838)</f>
        <v/>
      </c>
      <c r="G838" s="16">
        <f>IF(MATCH_ENGINE!H838="","",IF(MATCH_ENGINE!F838="IN",MATCH_ENGINE!J838,""))</f>
        <v/>
      </c>
      <c r="H838" s="16">
        <f>IF(MATCH_ENGINE!H838="","",IF(MATCH_ENGINE!F838="OUT",MATCH_ENGINE!J838,""))</f>
        <v/>
      </c>
      <c r="I838" s="16">
        <f>IF(MATCH_ENGINE!H838="","",MATCH_ENGINE!J838)</f>
        <v/>
      </c>
      <c r="J838" s="12">
        <f>IF(MATCH_ENGINE!A838="","",MATCH_ENGINE!K838)</f>
        <v/>
      </c>
      <c r="K838" s="11">
        <f>IF(MATCH_ENGINE!A838="","",MATCH_ENGINE!L838)</f>
        <v/>
      </c>
      <c r="L838" s="17">
        <f>IF(MATCH_ENGINE!A838="","",MATCH_ENGINE!M838)</f>
        <v/>
      </c>
      <c r="M838" s="11">
        <f>IF(MATCH_ENGINE!A838="","",GL_CLEAN!F838)</f>
        <v/>
      </c>
      <c r="N838" s="11">
        <f>IF(MATCH_ENGINE!A838="","",GL_CLEAN!G838)</f>
        <v/>
      </c>
      <c r="O838" s="11">
        <f>IF(MATCH_ENGINE!H838="","",INDEX(BANK_CLEAN!$C$2:$C$1001,MATCH_ENGINE!H838))</f>
        <v/>
      </c>
      <c r="P838" s="11" t="inlineStr"/>
    </row>
    <row r="839">
      <c r="A839" s="11">
        <f>IF(MATCH_ENGINE!A839="","",MATCH_ENGINE!N839)</f>
        <v/>
      </c>
      <c r="B839" s="11">
        <f>IF(MATCH_ENGINE!A839="","",MATCH_ENGINE!C839)</f>
        <v/>
      </c>
      <c r="C839" s="10">
        <f>IF(MATCH_ENGINE!A839="","",MATCH_ENGINE!B839)</f>
        <v/>
      </c>
      <c r="D839" s="16">
        <f>IF(MATCH_ENGINE!A839="","",MATCH_ENGINE!D839)</f>
        <v/>
      </c>
      <c r="E839" s="11">
        <f>IF(MATCH_ENGINE!A839="","",MATCH_ENGINE!F839)</f>
        <v/>
      </c>
      <c r="F839" s="10">
        <f>IF(MATCH_ENGINE!A839="","",MATCH_ENGINE!I839)</f>
        <v/>
      </c>
      <c r="G839" s="16">
        <f>IF(MATCH_ENGINE!H839="","",IF(MATCH_ENGINE!F839="IN",MATCH_ENGINE!J839,""))</f>
        <v/>
      </c>
      <c r="H839" s="16">
        <f>IF(MATCH_ENGINE!H839="","",IF(MATCH_ENGINE!F839="OUT",MATCH_ENGINE!J839,""))</f>
        <v/>
      </c>
      <c r="I839" s="16">
        <f>IF(MATCH_ENGINE!H839="","",MATCH_ENGINE!J839)</f>
        <v/>
      </c>
      <c r="J839" s="12">
        <f>IF(MATCH_ENGINE!A839="","",MATCH_ENGINE!K839)</f>
        <v/>
      </c>
      <c r="K839" s="11">
        <f>IF(MATCH_ENGINE!A839="","",MATCH_ENGINE!L839)</f>
        <v/>
      </c>
      <c r="L839" s="17">
        <f>IF(MATCH_ENGINE!A839="","",MATCH_ENGINE!M839)</f>
        <v/>
      </c>
      <c r="M839" s="11">
        <f>IF(MATCH_ENGINE!A839="","",GL_CLEAN!F839)</f>
        <v/>
      </c>
      <c r="N839" s="11">
        <f>IF(MATCH_ENGINE!A839="","",GL_CLEAN!G839)</f>
        <v/>
      </c>
      <c r="O839" s="11">
        <f>IF(MATCH_ENGINE!H839="","",INDEX(BANK_CLEAN!$C$2:$C$1001,MATCH_ENGINE!H839))</f>
        <v/>
      </c>
      <c r="P839" s="11" t="inlineStr"/>
    </row>
    <row r="840">
      <c r="A840" s="11">
        <f>IF(MATCH_ENGINE!A840="","",MATCH_ENGINE!N840)</f>
        <v/>
      </c>
      <c r="B840" s="11">
        <f>IF(MATCH_ENGINE!A840="","",MATCH_ENGINE!C840)</f>
        <v/>
      </c>
      <c r="C840" s="10">
        <f>IF(MATCH_ENGINE!A840="","",MATCH_ENGINE!B840)</f>
        <v/>
      </c>
      <c r="D840" s="16">
        <f>IF(MATCH_ENGINE!A840="","",MATCH_ENGINE!D840)</f>
        <v/>
      </c>
      <c r="E840" s="11">
        <f>IF(MATCH_ENGINE!A840="","",MATCH_ENGINE!F840)</f>
        <v/>
      </c>
      <c r="F840" s="10">
        <f>IF(MATCH_ENGINE!A840="","",MATCH_ENGINE!I840)</f>
        <v/>
      </c>
      <c r="G840" s="16">
        <f>IF(MATCH_ENGINE!H840="","",IF(MATCH_ENGINE!F840="IN",MATCH_ENGINE!J840,""))</f>
        <v/>
      </c>
      <c r="H840" s="16">
        <f>IF(MATCH_ENGINE!H840="","",IF(MATCH_ENGINE!F840="OUT",MATCH_ENGINE!J840,""))</f>
        <v/>
      </c>
      <c r="I840" s="16">
        <f>IF(MATCH_ENGINE!H840="","",MATCH_ENGINE!J840)</f>
        <v/>
      </c>
      <c r="J840" s="12">
        <f>IF(MATCH_ENGINE!A840="","",MATCH_ENGINE!K840)</f>
        <v/>
      </c>
      <c r="K840" s="11">
        <f>IF(MATCH_ENGINE!A840="","",MATCH_ENGINE!L840)</f>
        <v/>
      </c>
      <c r="L840" s="17">
        <f>IF(MATCH_ENGINE!A840="","",MATCH_ENGINE!M840)</f>
        <v/>
      </c>
      <c r="M840" s="11">
        <f>IF(MATCH_ENGINE!A840="","",GL_CLEAN!F840)</f>
        <v/>
      </c>
      <c r="N840" s="11">
        <f>IF(MATCH_ENGINE!A840="","",GL_CLEAN!G840)</f>
        <v/>
      </c>
      <c r="O840" s="11">
        <f>IF(MATCH_ENGINE!H840="","",INDEX(BANK_CLEAN!$C$2:$C$1001,MATCH_ENGINE!H840))</f>
        <v/>
      </c>
      <c r="P840" s="11" t="inlineStr"/>
    </row>
    <row r="841">
      <c r="A841" s="11">
        <f>IF(MATCH_ENGINE!A841="","",MATCH_ENGINE!N841)</f>
        <v/>
      </c>
      <c r="B841" s="11">
        <f>IF(MATCH_ENGINE!A841="","",MATCH_ENGINE!C841)</f>
        <v/>
      </c>
      <c r="C841" s="10">
        <f>IF(MATCH_ENGINE!A841="","",MATCH_ENGINE!B841)</f>
        <v/>
      </c>
      <c r="D841" s="16">
        <f>IF(MATCH_ENGINE!A841="","",MATCH_ENGINE!D841)</f>
        <v/>
      </c>
      <c r="E841" s="11">
        <f>IF(MATCH_ENGINE!A841="","",MATCH_ENGINE!F841)</f>
        <v/>
      </c>
      <c r="F841" s="10">
        <f>IF(MATCH_ENGINE!A841="","",MATCH_ENGINE!I841)</f>
        <v/>
      </c>
      <c r="G841" s="16">
        <f>IF(MATCH_ENGINE!H841="","",IF(MATCH_ENGINE!F841="IN",MATCH_ENGINE!J841,""))</f>
        <v/>
      </c>
      <c r="H841" s="16">
        <f>IF(MATCH_ENGINE!H841="","",IF(MATCH_ENGINE!F841="OUT",MATCH_ENGINE!J841,""))</f>
        <v/>
      </c>
      <c r="I841" s="16">
        <f>IF(MATCH_ENGINE!H841="","",MATCH_ENGINE!J841)</f>
        <v/>
      </c>
      <c r="J841" s="12">
        <f>IF(MATCH_ENGINE!A841="","",MATCH_ENGINE!K841)</f>
        <v/>
      </c>
      <c r="K841" s="11">
        <f>IF(MATCH_ENGINE!A841="","",MATCH_ENGINE!L841)</f>
        <v/>
      </c>
      <c r="L841" s="17">
        <f>IF(MATCH_ENGINE!A841="","",MATCH_ENGINE!M841)</f>
        <v/>
      </c>
      <c r="M841" s="11">
        <f>IF(MATCH_ENGINE!A841="","",GL_CLEAN!F841)</f>
        <v/>
      </c>
      <c r="N841" s="11">
        <f>IF(MATCH_ENGINE!A841="","",GL_CLEAN!G841)</f>
        <v/>
      </c>
      <c r="O841" s="11">
        <f>IF(MATCH_ENGINE!H841="","",INDEX(BANK_CLEAN!$C$2:$C$1001,MATCH_ENGINE!H841))</f>
        <v/>
      </c>
      <c r="P841" s="11" t="inlineStr"/>
    </row>
    <row r="842">
      <c r="A842" s="11">
        <f>IF(MATCH_ENGINE!A842="","",MATCH_ENGINE!N842)</f>
        <v/>
      </c>
      <c r="B842" s="11">
        <f>IF(MATCH_ENGINE!A842="","",MATCH_ENGINE!C842)</f>
        <v/>
      </c>
      <c r="C842" s="10">
        <f>IF(MATCH_ENGINE!A842="","",MATCH_ENGINE!B842)</f>
        <v/>
      </c>
      <c r="D842" s="16">
        <f>IF(MATCH_ENGINE!A842="","",MATCH_ENGINE!D842)</f>
        <v/>
      </c>
      <c r="E842" s="11">
        <f>IF(MATCH_ENGINE!A842="","",MATCH_ENGINE!F842)</f>
        <v/>
      </c>
      <c r="F842" s="10">
        <f>IF(MATCH_ENGINE!A842="","",MATCH_ENGINE!I842)</f>
        <v/>
      </c>
      <c r="G842" s="16">
        <f>IF(MATCH_ENGINE!H842="","",IF(MATCH_ENGINE!F842="IN",MATCH_ENGINE!J842,""))</f>
        <v/>
      </c>
      <c r="H842" s="16">
        <f>IF(MATCH_ENGINE!H842="","",IF(MATCH_ENGINE!F842="OUT",MATCH_ENGINE!J842,""))</f>
        <v/>
      </c>
      <c r="I842" s="16">
        <f>IF(MATCH_ENGINE!H842="","",MATCH_ENGINE!J842)</f>
        <v/>
      </c>
      <c r="J842" s="12">
        <f>IF(MATCH_ENGINE!A842="","",MATCH_ENGINE!K842)</f>
        <v/>
      </c>
      <c r="K842" s="11">
        <f>IF(MATCH_ENGINE!A842="","",MATCH_ENGINE!L842)</f>
        <v/>
      </c>
      <c r="L842" s="17">
        <f>IF(MATCH_ENGINE!A842="","",MATCH_ENGINE!M842)</f>
        <v/>
      </c>
      <c r="M842" s="11">
        <f>IF(MATCH_ENGINE!A842="","",GL_CLEAN!F842)</f>
        <v/>
      </c>
      <c r="N842" s="11">
        <f>IF(MATCH_ENGINE!A842="","",GL_CLEAN!G842)</f>
        <v/>
      </c>
      <c r="O842" s="11">
        <f>IF(MATCH_ENGINE!H842="","",INDEX(BANK_CLEAN!$C$2:$C$1001,MATCH_ENGINE!H842))</f>
        <v/>
      </c>
      <c r="P842" s="11" t="inlineStr"/>
    </row>
    <row r="843">
      <c r="A843" s="11">
        <f>IF(MATCH_ENGINE!A843="","",MATCH_ENGINE!N843)</f>
        <v/>
      </c>
      <c r="B843" s="11">
        <f>IF(MATCH_ENGINE!A843="","",MATCH_ENGINE!C843)</f>
        <v/>
      </c>
      <c r="C843" s="10">
        <f>IF(MATCH_ENGINE!A843="","",MATCH_ENGINE!B843)</f>
        <v/>
      </c>
      <c r="D843" s="16">
        <f>IF(MATCH_ENGINE!A843="","",MATCH_ENGINE!D843)</f>
        <v/>
      </c>
      <c r="E843" s="11">
        <f>IF(MATCH_ENGINE!A843="","",MATCH_ENGINE!F843)</f>
        <v/>
      </c>
      <c r="F843" s="10">
        <f>IF(MATCH_ENGINE!A843="","",MATCH_ENGINE!I843)</f>
        <v/>
      </c>
      <c r="G843" s="16">
        <f>IF(MATCH_ENGINE!H843="","",IF(MATCH_ENGINE!F843="IN",MATCH_ENGINE!J843,""))</f>
        <v/>
      </c>
      <c r="H843" s="16">
        <f>IF(MATCH_ENGINE!H843="","",IF(MATCH_ENGINE!F843="OUT",MATCH_ENGINE!J843,""))</f>
        <v/>
      </c>
      <c r="I843" s="16">
        <f>IF(MATCH_ENGINE!H843="","",MATCH_ENGINE!J843)</f>
        <v/>
      </c>
      <c r="J843" s="12">
        <f>IF(MATCH_ENGINE!A843="","",MATCH_ENGINE!K843)</f>
        <v/>
      </c>
      <c r="K843" s="11">
        <f>IF(MATCH_ENGINE!A843="","",MATCH_ENGINE!L843)</f>
        <v/>
      </c>
      <c r="L843" s="17">
        <f>IF(MATCH_ENGINE!A843="","",MATCH_ENGINE!M843)</f>
        <v/>
      </c>
      <c r="M843" s="11">
        <f>IF(MATCH_ENGINE!A843="","",GL_CLEAN!F843)</f>
        <v/>
      </c>
      <c r="N843" s="11">
        <f>IF(MATCH_ENGINE!A843="","",GL_CLEAN!G843)</f>
        <v/>
      </c>
      <c r="O843" s="11">
        <f>IF(MATCH_ENGINE!H843="","",INDEX(BANK_CLEAN!$C$2:$C$1001,MATCH_ENGINE!H843))</f>
        <v/>
      </c>
      <c r="P843" s="11" t="inlineStr"/>
    </row>
    <row r="844">
      <c r="A844" s="11">
        <f>IF(MATCH_ENGINE!A844="","",MATCH_ENGINE!N844)</f>
        <v/>
      </c>
      <c r="B844" s="11">
        <f>IF(MATCH_ENGINE!A844="","",MATCH_ENGINE!C844)</f>
        <v/>
      </c>
      <c r="C844" s="10">
        <f>IF(MATCH_ENGINE!A844="","",MATCH_ENGINE!B844)</f>
        <v/>
      </c>
      <c r="D844" s="16">
        <f>IF(MATCH_ENGINE!A844="","",MATCH_ENGINE!D844)</f>
        <v/>
      </c>
      <c r="E844" s="11">
        <f>IF(MATCH_ENGINE!A844="","",MATCH_ENGINE!F844)</f>
        <v/>
      </c>
      <c r="F844" s="10">
        <f>IF(MATCH_ENGINE!A844="","",MATCH_ENGINE!I844)</f>
        <v/>
      </c>
      <c r="G844" s="16">
        <f>IF(MATCH_ENGINE!H844="","",IF(MATCH_ENGINE!F844="IN",MATCH_ENGINE!J844,""))</f>
        <v/>
      </c>
      <c r="H844" s="16">
        <f>IF(MATCH_ENGINE!H844="","",IF(MATCH_ENGINE!F844="OUT",MATCH_ENGINE!J844,""))</f>
        <v/>
      </c>
      <c r="I844" s="16">
        <f>IF(MATCH_ENGINE!H844="","",MATCH_ENGINE!J844)</f>
        <v/>
      </c>
      <c r="J844" s="12">
        <f>IF(MATCH_ENGINE!A844="","",MATCH_ENGINE!K844)</f>
        <v/>
      </c>
      <c r="K844" s="11">
        <f>IF(MATCH_ENGINE!A844="","",MATCH_ENGINE!L844)</f>
        <v/>
      </c>
      <c r="L844" s="17">
        <f>IF(MATCH_ENGINE!A844="","",MATCH_ENGINE!M844)</f>
        <v/>
      </c>
      <c r="M844" s="11">
        <f>IF(MATCH_ENGINE!A844="","",GL_CLEAN!F844)</f>
        <v/>
      </c>
      <c r="N844" s="11">
        <f>IF(MATCH_ENGINE!A844="","",GL_CLEAN!G844)</f>
        <v/>
      </c>
      <c r="O844" s="11">
        <f>IF(MATCH_ENGINE!H844="","",INDEX(BANK_CLEAN!$C$2:$C$1001,MATCH_ENGINE!H844))</f>
        <v/>
      </c>
      <c r="P844" s="11" t="inlineStr"/>
    </row>
    <row r="845">
      <c r="A845" s="11">
        <f>IF(MATCH_ENGINE!A845="","",MATCH_ENGINE!N845)</f>
        <v/>
      </c>
      <c r="B845" s="11">
        <f>IF(MATCH_ENGINE!A845="","",MATCH_ENGINE!C845)</f>
        <v/>
      </c>
      <c r="C845" s="10">
        <f>IF(MATCH_ENGINE!A845="","",MATCH_ENGINE!B845)</f>
        <v/>
      </c>
      <c r="D845" s="16">
        <f>IF(MATCH_ENGINE!A845="","",MATCH_ENGINE!D845)</f>
        <v/>
      </c>
      <c r="E845" s="11">
        <f>IF(MATCH_ENGINE!A845="","",MATCH_ENGINE!F845)</f>
        <v/>
      </c>
      <c r="F845" s="10">
        <f>IF(MATCH_ENGINE!A845="","",MATCH_ENGINE!I845)</f>
        <v/>
      </c>
      <c r="G845" s="16">
        <f>IF(MATCH_ENGINE!H845="","",IF(MATCH_ENGINE!F845="IN",MATCH_ENGINE!J845,""))</f>
        <v/>
      </c>
      <c r="H845" s="16">
        <f>IF(MATCH_ENGINE!H845="","",IF(MATCH_ENGINE!F845="OUT",MATCH_ENGINE!J845,""))</f>
        <v/>
      </c>
      <c r="I845" s="16">
        <f>IF(MATCH_ENGINE!H845="","",MATCH_ENGINE!J845)</f>
        <v/>
      </c>
      <c r="J845" s="12">
        <f>IF(MATCH_ENGINE!A845="","",MATCH_ENGINE!K845)</f>
        <v/>
      </c>
      <c r="K845" s="11">
        <f>IF(MATCH_ENGINE!A845="","",MATCH_ENGINE!L845)</f>
        <v/>
      </c>
      <c r="L845" s="17">
        <f>IF(MATCH_ENGINE!A845="","",MATCH_ENGINE!M845)</f>
        <v/>
      </c>
      <c r="M845" s="11">
        <f>IF(MATCH_ENGINE!A845="","",GL_CLEAN!F845)</f>
        <v/>
      </c>
      <c r="N845" s="11">
        <f>IF(MATCH_ENGINE!A845="","",GL_CLEAN!G845)</f>
        <v/>
      </c>
      <c r="O845" s="11">
        <f>IF(MATCH_ENGINE!H845="","",INDEX(BANK_CLEAN!$C$2:$C$1001,MATCH_ENGINE!H845))</f>
        <v/>
      </c>
      <c r="P845" s="11" t="inlineStr"/>
    </row>
    <row r="846">
      <c r="A846" s="11">
        <f>IF(MATCH_ENGINE!A846="","",MATCH_ENGINE!N846)</f>
        <v/>
      </c>
      <c r="B846" s="11">
        <f>IF(MATCH_ENGINE!A846="","",MATCH_ENGINE!C846)</f>
        <v/>
      </c>
      <c r="C846" s="10">
        <f>IF(MATCH_ENGINE!A846="","",MATCH_ENGINE!B846)</f>
        <v/>
      </c>
      <c r="D846" s="16">
        <f>IF(MATCH_ENGINE!A846="","",MATCH_ENGINE!D846)</f>
        <v/>
      </c>
      <c r="E846" s="11">
        <f>IF(MATCH_ENGINE!A846="","",MATCH_ENGINE!F846)</f>
        <v/>
      </c>
      <c r="F846" s="10">
        <f>IF(MATCH_ENGINE!A846="","",MATCH_ENGINE!I846)</f>
        <v/>
      </c>
      <c r="G846" s="16">
        <f>IF(MATCH_ENGINE!H846="","",IF(MATCH_ENGINE!F846="IN",MATCH_ENGINE!J846,""))</f>
        <v/>
      </c>
      <c r="H846" s="16">
        <f>IF(MATCH_ENGINE!H846="","",IF(MATCH_ENGINE!F846="OUT",MATCH_ENGINE!J846,""))</f>
        <v/>
      </c>
      <c r="I846" s="16">
        <f>IF(MATCH_ENGINE!H846="","",MATCH_ENGINE!J846)</f>
        <v/>
      </c>
      <c r="J846" s="12">
        <f>IF(MATCH_ENGINE!A846="","",MATCH_ENGINE!K846)</f>
        <v/>
      </c>
      <c r="K846" s="11">
        <f>IF(MATCH_ENGINE!A846="","",MATCH_ENGINE!L846)</f>
        <v/>
      </c>
      <c r="L846" s="17">
        <f>IF(MATCH_ENGINE!A846="","",MATCH_ENGINE!M846)</f>
        <v/>
      </c>
      <c r="M846" s="11">
        <f>IF(MATCH_ENGINE!A846="","",GL_CLEAN!F846)</f>
        <v/>
      </c>
      <c r="N846" s="11">
        <f>IF(MATCH_ENGINE!A846="","",GL_CLEAN!G846)</f>
        <v/>
      </c>
      <c r="O846" s="11">
        <f>IF(MATCH_ENGINE!H846="","",INDEX(BANK_CLEAN!$C$2:$C$1001,MATCH_ENGINE!H846))</f>
        <v/>
      </c>
      <c r="P846" s="11" t="inlineStr"/>
    </row>
    <row r="847">
      <c r="A847" s="11">
        <f>IF(MATCH_ENGINE!A847="","",MATCH_ENGINE!N847)</f>
        <v/>
      </c>
      <c r="B847" s="11">
        <f>IF(MATCH_ENGINE!A847="","",MATCH_ENGINE!C847)</f>
        <v/>
      </c>
      <c r="C847" s="10">
        <f>IF(MATCH_ENGINE!A847="","",MATCH_ENGINE!B847)</f>
        <v/>
      </c>
      <c r="D847" s="16">
        <f>IF(MATCH_ENGINE!A847="","",MATCH_ENGINE!D847)</f>
        <v/>
      </c>
      <c r="E847" s="11">
        <f>IF(MATCH_ENGINE!A847="","",MATCH_ENGINE!F847)</f>
        <v/>
      </c>
      <c r="F847" s="10">
        <f>IF(MATCH_ENGINE!A847="","",MATCH_ENGINE!I847)</f>
        <v/>
      </c>
      <c r="G847" s="16">
        <f>IF(MATCH_ENGINE!H847="","",IF(MATCH_ENGINE!F847="IN",MATCH_ENGINE!J847,""))</f>
        <v/>
      </c>
      <c r="H847" s="16">
        <f>IF(MATCH_ENGINE!H847="","",IF(MATCH_ENGINE!F847="OUT",MATCH_ENGINE!J847,""))</f>
        <v/>
      </c>
      <c r="I847" s="16">
        <f>IF(MATCH_ENGINE!H847="","",MATCH_ENGINE!J847)</f>
        <v/>
      </c>
      <c r="J847" s="12">
        <f>IF(MATCH_ENGINE!A847="","",MATCH_ENGINE!K847)</f>
        <v/>
      </c>
      <c r="K847" s="11">
        <f>IF(MATCH_ENGINE!A847="","",MATCH_ENGINE!L847)</f>
        <v/>
      </c>
      <c r="L847" s="17">
        <f>IF(MATCH_ENGINE!A847="","",MATCH_ENGINE!M847)</f>
        <v/>
      </c>
      <c r="M847" s="11">
        <f>IF(MATCH_ENGINE!A847="","",GL_CLEAN!F847)</f>
        <v/>
      </c>
      <c r="N847" s="11">
        <f>IF(MATCH_ENGINE!A847="","",GL_CLEAN!G847)</f>
        <v/>
      </c>
      <c r="O847" s="11">
        <f>IF(MATCH_ENGINE!H847="","",INDEX(BANK_CLEAN!$C$2:$C$1001,MATCH_ENGINE!H847))</f>
        <v/>
      </c>
      <c r="P847" s="11" t="inlineStr"/>
    </row>
    <row r="848">
      <c r="A848" s="11">
        <f>IF(MATCH_ENGINE!A848="","",MATCH_ENGINE!N848)</f>
        <v/>
      </c>
      <c r="B848" s="11">
        <f>IF(MATCH_ENGINE!A848="","",MATCH_ENGINE!C848)</f>
        <v/>
      </c>
      <c r="C848" s="10">
        <f>IF(MATCH_ENGINE!A848="","",MATCH_ENGINE!B848)</f>
        <v/>
      </c>
      <c r="D848" s="16">
        <f>IF(MATCH_ENGINE!A848="","",MATCH_ENGINE!D848)</f>
        <v/>
      </c>
      <c r="E848" s="11">
        <f>IF(MATCH_ENGINE!A848="","",MATCH_ENGINE!F848)</f>
        <v/>
      </c>
      <c r="F848" s="10">
        <f>IF(MATCH_ENGINE!A848="","",MATCH_ENGINE!I848)</f>
        <v/>
      </c>
      <c r="G848" s="16">
        <f>IF(MATCH_ENGINE!H848="","",IF(MATCH_ENGINE!F848="IN",MATCH_ENGINE!J848,""))</f>
        <v/>
      </c>
      <c r="H848" s="16">
        <f>IF(MATCH_ENGINE!H848="","",IF(MATCH_ENGINE!F848="OUT",MATCH_ENGINE!J848,""))</f>
        <v/>
      </c>
      <c r="I848" s="16">
        <f>IF(MATCH_ENGINE!H848="","",MATCH_ENGINE!J848)</f>
        <v/>
      </c>
      <c r="J848" s="12">
        <f>IF(MATCH_ENGINE!A848="","",MATCH_ENGINE!K848)</f>
        <v/>
      </c>
      <c r="K848" s="11">
        <f>IF(MATCH_ENGINE!A848="","",MATCH_ENGINE!L848)</f>
        <v/>
      </c>
      <c r="L848" s="17">
        <f>IF(MATCH_ENGINE!A848="","",MATCH_ENGINE!M848)</f>
        <v/>
      </c>
      <c r="M848" s="11">
        <f>IF(MATCH_ENGINE!A848="","",GL_CLEAN!F848)</f>
        <v/>
      </c>
      <c r="N848" s="11">
        <f>IF(MATCH_ENGINE!A848="","",GL_CLEAN!G848)</f>
        <v/>
      </c>
      <c r="O848" s="11">
        <f>IF(MATCH_ENGINE!H848="","",INDEX(BANK_CLEAN!$C$2:$C$1001,MATCH_ENGINE!H848))</f>
        <v/>
      </c>
      <c r="P848" s="11" t="inlineStr"/>
    </row>
    <row r="849">
      <c r="A849" s="11">
        <f>IF(MATCH_ENGINE!A849="","",MATCH_ENGINE!N849)</f>
        <v/>
      </c>
      <c r="B849" s="11">
        <f>IF(MATCH_ENGINE!A849="","",MATCH_ENGINE!C849)</f>
        <v/>
      </c>
      <c r="C849" s="10">
        <f>IF(MATCH_ENGINE!A849="","",MATCH_ENGINE!B849)</f>
        <v/>
      </c>
      <c r="D849" s="16">
        <f>IF(MATCH_ENGINE!A849="","",MATCH_ENGINE!D849)</f>
        <v/>
      </c>
      <c r="E849" s="11">
        <f>IF(MATCH_ENGINE!A849="","",MATCH_ENGINE!F849)</f>
        <v/>
      </c>
      <c r="F849" s="10">
        <f>IF(MATCH_ENGINE!A849="","",MATCH_ENGINE!I849)</f>
        <v/>
      </c>
      <c r="G849" s="16">
        <f>IF(MATCH_ENGINE!H849="","",IF(MATCH_ENGINE!F849="IN",MATCH_ENGINE!J849,""))</f>
        <v/>
      </c>
      <c r="H849" s="16">
        <f>IF(MATCH_ENGINE!H849="","",IF(MATCH_ENGINE!F849="OUT",MATCH_ENGINE!J849,""))</f>
        <v/>
      </c>
      <c r="I849" s="16">
        <f>IF(MATCH_ENGINE!H849="","",MATCH_ENGINE!J849)</f>
        <v/>
      </c>
      <c r="J849" s="12">
        <f>IF(MATCH_ENGINE!A849="","",MATCH_ENGINE!K849)</f>
        <v/>
      </c>
      <c r="K849" s="11">
        <f>IF(MATCH_ENGINE!A849="","",MATCH_ENGINE!L849)</f>
        <v/>
      </c>
      <c r="L849" s="17">
        <f>IF(MATCH_ENGINE!A849="","",MATCH_ENGINE!M849)</f>
        <v/>
      </c>
      <c r="M849" s="11">
        <f>IF(MATCH_ENGINE!A849="","",GL_CLEAN!F849)</f>
        <v/>
      </c>
      <c r="N849" s="11">
        <f>IF(MATCH_ENGINE!A849="","",GL_CLEAN!G849)</f>
        <v/>
      </c>
      <c r="O849" s="11">
        <f>IF(MATCH_ENGINE!H849="","",INDEX(BANK_CLEAN!$C$2:$C$1001,MATCH_ENGINE!H849))</f>
        <v/>
      </c>
      <c r="P849" s="11" t="inlineStr"/>
    </row>
    <row r="850">
      <c r="A850" s="11">
        <f>IF(MATCH_ENGINE!A850="","",MATCH_ENGINE!N850)</f>
        <v/>
      </c>
      <c r="B850" s="11">
        <f>IF(MATCH_ENGINE!A850="","",MATCH_ENGINE!C850)</f>
        <v/>
      </c>
      <c r="C850" s="10">
        <f>IF(MATCH_ENGINE!A850="","",MATCH_ENGINE!B850)</f>
        <v/>
      </c>
      <c r="D850" s="16">
        <f>IF(MATCH_ENGINE!A850="","",MATCH_ENGINE!D850)</f>
        <v/>
      </c>
      <c r="E850" s="11">
        <f>IF(MATCH_ENGINE!A850="","",MATCH_ENGINE!F850)</f>
        <v/>
      </c>
      <c r="F850" s="10">
        <f>IF(MATCH_ENGINE!A850="","",MATCH_ENGINE!I850)</f>
        <v/>
      </c>
      <c r="G850" s="16">
        <f>IF(MATCH_ENGINE!H850="","",IF(MATCH_ENGINE!F850="IN",MATCH_ENGINE!J850,""))</f>
        <v/>
      </c>
      <c r="H850" s="16">
        <f>IF(MATCH_ENGINE!H850="","",IF(MATCH_ENGINE!F850="OUT",MATCH_ENGINE!J850,""))</f>
        <v/>
      </c>
      <c r="I850" s="16">
        <f>IF(MATCH_ENGINE!H850="","",MATCH_ENGINE!J850)</f>
        <v/>
      </c>
      <c r="J850" s="12">
        <f>IF(MATCH_ENGINE!A850="","",MATCH_ENGINE!K850)</f>
        <v/>
      </c>
      <c r="K850" s="11">
        <f>IF(MATCH_ENGINE!A850="","",MATCH_ENGINE!L850)</f>
        <v/>
      </c>
      <c r="L850" s="17">
        <f>IF(MATCH_ENGINE!A850="","",MATCH_ENGINE!M850)</f>
        <v/>
      </c>
      <c r="M850" s="11">
        <f>IF(MATCH_ENGINE!A850="","",GL_CLEAN!F850)</f>
        <v/>
      </c>
      <c r="N850" s="11">
        <f>IF(MATCH_ENGINE!A850="","",GL_CLEAN!G850)</f>
        <v/>
      </c>
      <c r="O850" s="11">
        <f>IF(MATCH_ENGINE!H850="","",INDEX(BANK_CLEAN!$C$2:$C$1001,MATCH_ENGINE!H850))</f>
        <v/>
      </c>
      <c r="P850" s="11" t="inlineStr"/>
    </row>
    <row r="851">
      <c r="A851" s="11">
        <f>IF(MATCH_ENGINE!A851="","",MATCH_ENGINE!N851)</f>
        <v/>
      </c>
      <c r="B851" s="11">
        <f>IF(MATCH_ENGINE!A851="","",MATCH_ENGINE!C851)</f>
        <v/>
      </c>
      <c r="C851" s="10">
        <f>IF(MATCH_ENGINE!A851="","",MATCH_ENGINE!B851)</f>
        <v/>
      </c>
      <c r="D851" s="16">
        <f>IF(MATCH_ENGINE!A851="","",MATCH_ENGINE!D851)</f>
        <v/>
      </c>
      <c r="E851" s="11">
        <f>IF(MATCH_ENGINE!A851="","",MATCH_ENGINE!F851)</f>
        <v/>
      </c>
      <c r="F851" s="10">
        <f>IF(MATCH_ENGINE!A851="","",MATCH_ENGINE!I851)</f>
        <v/>
      </c>
      <c r="G851" s="16">
        <f>IF(MATCH_ENGINE!H851="","",IF(MATCH_ENGINE!F851="IN",MATCH_ENGINE!J851,""))</f>
        <v/>
      </c>
      <c r="H851" s="16">
        <f>IF(MATCH_ENGINE!H851="","",IF(MATCH_ENGINE!F851="OUT",MATCH_ENGINE!J851,""))</f>
        <v/>
      </c>
      <c r="I851" s="16">
        <f>IF(MATCH_ENGINE!H851="","",MATCH_ENGINE!J851)</f>
        <v/>
      </c>
      <c r="J851" s="12">
        <f>IF(MATCH_ENGINE!A851="","",MATCH_ENGINE!K851)</f>
        <v/>
      </c>
      <c r="K851" s="11">
        <f>IF(MATCH_ENGINE!A851="","",MATCH_ENGINE!L851)</f>
        <v/>
      </c>
      <c r="L851" s="17">
        <f>IF(MATCH_ENGINE!A851="","",MATCH_ENGINE!M851)</f>
        <v/>
      </c>
      <c r="M851" s="11">
        <f>IF(MATCH_ENGINE!A851="","",GL_CLEAN!F851)</f>
        <v/>
      </c>
      <c r="N851" s="11">
        <f>IF(MATCH_ENGINE!A851="","",GL_CLEAN!G851)</f>
        <v/>
      </c>
      <c r="O851" s="11">
        <f>IF(MATCH_ENGINE!H851="","",INDEX(BANK_CLEAN!$C$2:$C$1001,MATCH_ENGINE!H851))</f>
        <v/>
      </c>
      <c r="P851" s="11" t="inlineStr"/>
    </row>
    <row r="852">
      <c r="A852" s="11">
        <f>IF(MATCH_ENGINE!A852="","",MATCH_ENGINE!N852)</f>
        <v/>
      </c>
      <c r="B852" s="11">
        <f>IF(MATCH_ENGINE!A852="","",MATCH_ENGINE!C852)</f>
        <v/>
      </c>
      <c r="C852" s="10">
        <f>IF(MATCH_ENGINE!A852="","",MATCH_ENGINE!B852)</f>
        <v/>
      </c>
      <c r="D852" s="16">
        <f>IF(MATCH_ENGINE!A852="","",MATCH_ENGINE!D852)</f>
        <v/>
      </c>
      <c r="E852" s="11">
        <f>IF(MATCH_ENGINE!A852="","",MATCH_ENGINE!F852)</f>
        <v/>
      </c>
      <c r="F852" s="10">
        <f>IF(MATCH_ENGINE!A852="","",MATCH_ENGINE!I852)</f>
        <v/>
      </c>
      <c r="G852" s="16">
        <f>IF(MATCH_ENGINE!H852="","",IF(MATCH_ENGINE!F852="IN",MATCH_ENGINE!J852,""))</f>
        <v/>
      </c>
      <c r="H852" s="16">
        <f>IF(MATCH_ENGINE!H852="","",IF(MATCH_ENGINE!F852="OUT",MATCH_ENGINE!J852,""))</f>
        <v/>
      </c>
      <c r="I852" s="16">
        <f>IF(MATCH_ENGINE!H852="","",MATCH_ENGINE!J852)</f>
        <v/>
      </c>
      <c r="J852" s="12">
        <f>IF(MATCH_ENGINE!A852="","",MATCH_ENGINE!K852)</f>
        <v/>
      </c>
      <c r="K852" s="11">
        <f>IF(MATCH_ENGINE!A852="","",MATCH_ENGINE!L852)</f>
        <v/>
      </c>
      <c r="L852" s="17">
        <f>IF(MATCH_ENGINE!A852="","",MATCH_ENGINE!M852)</f>
        <v/>
      </c>
      <c r="M852" s="11">
        <f>IF(MATCH_ENGINE!A852="","",GL_CLEAN!F852)</f>
        <v/>
      </c>
      <c r="N852" s="11">
        <f>IF(MATCH_ENGINE!A852="","",GL_CLEAN!G852)</f>
        <v/>
      </c>
      <c r="O852" s="11">
        <f>IF(MATCH_ENGINE!H852="","",INDEX(BANK_CLEAN!$C$2:$C$1001,MATCH_ENGINE!H852))</f>
        <v/>
      </c>
      <c r="P852" s="11" t="inlineStr"/>
    </row>
    <row r="853">
      <c r="A853" s="11">
        <f>IF(MATCH_ENGINE!A853="","",MATCH_ENGINE!N853)</f>
        <v/>
      </c>
      <c r="B853" s="11">
        <f>IF(MATCH_ENGINE!A853="","",MATCH_ENGINE!C853)</f>
        <v/>
      </c>
      <c r="C853" s="10">
        <f>IF(MATCH_ENGINE!A853="","",MATCH_ENGINE!B853)</f>
        <v/>
      </c>
      <c r="D853" s="16">
        <f>IF(MATCH_ENGINE!A853="","",MATCH_ENGINE!D853)</f>
        <v/>
      </c>
      <c r="E853" s="11">
        <f>IF(MATCH_ENGINE!A853="","",MATCH_ENGINE!F853)</f>
        <v/>
      </c>
      <c r="F853" s="10">
        <f>IF(MATCH_ENGINE!A853="","",MATCH_ENGINE!I853)</f>
        <v/>
      </c>
      <c r="G853" s="16">
        <f>IF(MATCH_ENGINE!H853="","",IF(MATCH_ENGINE!F853="IN",MATCH_ENGINE!J853,""))</f>
        <v/>
      </c>
      <c r="H853" s="16">
        <f>IF(MATCH_ENGINE!H853="","",IF(MATCH_ENGINE!F853="OUT",MATCH_ENGINE!J853,""))</f>
        <v/>
      </c>
      <c r="I853" s="16">
        <f>IF(MATCH_ENGINE!H853="","",MATCH_ENGINE!J853)</f>
        <v/>
      </c>
      <c r="J853" s="12">
        <f>IF(MATCH_ENGINE!A853="","",MATCH_ENGINE!K853)</f>
        <v/>
      </c>
      <c r="K853" s="11">
        <f>IF(MATCH_ENGINE!A853="","",MATCH_ENGINE!L853)</f>
        <v/>
      </c>
      <c r="L853" s="17">
        <f>IF(MATCH_ENGINE!A853="","",MATCH_ENGINE!M853)</f>
        <v/>
      </c>
      <c r="M853" s="11">
        <f>IF(MATCH_ENGINE!A853="","",GL_CLEAN!F853)</f>
        <v/>
      </c>
      <c r="N853" s="11">
        <f>IF(MATCH_ENGINE!A853="","",GL_CLEAN!G853)</f>
        <v/>
      </c>
      <c r="O853" s="11">
        <f>IF(MATCH_ENGINE!H853="","",INDEX(BANK_CLEAN!$C$2:$C$1001,MATCH_ENGINE!H853))</f>
        <v/>
      </c>
      <c r="P853" s="11" t="inlineStr"/>
    </row>
    <row r="854">
      <c r="A854" s="11">
        <f>IF(MATCH_ENGINE!A854="","",MATCH_ENGINE!N854)</f>
        <v/>
      </c>
      <c r="B854" s="11">
        <f>IF(MATCH_ENGINE!A854="","",MATCH_ENGINE!C854)</f>
        <v/>
      </c>
      <c r="C854" s="10">
        <f>IF(MATCH_ENGINE!A854="","",MATCH_ENGINE!B854)</f>
        <v/>
      </c>
      <c r="D854" s="16">
        <f>IF(MATCH_ENGINE!A854="","",MATCH_ENGINE!D854)</f>
        <v/>
      </c>
      <c r="E854" s="11">
        <f>IF(MATCH_ENGINE!A854="","",MATCH_ENGINE!F854)</f>
        <v/>
      </c>
      <c r="F854" s="10">
        <f>IF(MATCH_ENGINE!A854="","",MATCH_ENGINE!I854)</f>
        <v/>
      </c>
      <c r="G854" s="16">
        <f>IF(MATCH_ENGINE!H854="","",IF(MATCH_ENGINE!F854="IN",MATCH_ENGINE!J854,""))</f>
        <v/>
      </c>
      <c r="H854" s="16">
        <f>IF(MATCH_ENGINE!H854="","",IF(MATCH_ENGINE!F854="OUT",MATCH_ENGINE!J854,""))</f>
        <v/>
      </c>
      <c r="I854" s="16">
        <f>IF(MATCH_ENGINE!H854="","",MATCH_ENGINE!J854)</f>
        <v/>
      </c>
      <c r="J854" s="12">
        <f>IF(MATCH_ENGINE!A854="","",MATCH_ENGINE!K854)</f>
        <v/>
      </c>
      <c r="K854" s="11">
        <f>IF(MATCH_ENGINE!A854="","",MATCH_ENGINE!L854)</f>
        <v/>
      </c>
      <c r="L854" s="17">
        <f>IF(MATCH_ENGINE!A854="","",MATCH_ENGINE!M854)</f>
        <v/>
      </c>
      <c r="M854" s="11">
        <f>IF(MATCH_ENGINE!A854="","",GL_CLEAN!F854)</f>
        <v/>
      </c>
      <c r="N854" s="11">
        <f>IF(MATCH_ENGINE!A854="","",GL_CLEAN!G854)</f>
        <v/>
      </c>
      <c r="O854" s="11">
        <f>IF(MATCH_ENGINE!H854="","",INDEX(BANK_CLEAN!$C$2:$C$1001,MATCH_ENGINE!H854))</f>
        <v/>
      </c>
      <c r="P854" s="11" t="inlineStr"/>
    </row>
    <row r="855">
      <c r="A855" s="11">
        <f>IF(MATCH_ENGINE!A855="","",MATCH_ENGINE!N855)</f>
        <v/>
      </c>
      <c r="B855" s="11">
        <f>IF(MATCH_ENGINE!A855="","",MATCH_ENGINE!C855)</f>
        <v/>
      </c>
      <c r="C855" s="10">
        <f>IF(MATCH_ENGINE!A855="","",MATCH_ENGINE!B855)</f>
        <v/>
      </c>
      <c r="D855" s="16">
        <f>IF(MATCH_ENGINE!A855="","",MATCH_ENGINE!D855)</f>
        <v/>
      </c>
      <c r="E855" s="11">
        <f>IF(MATCH_ENGINE!A855="","",MATCH_ENGINE!F855)</f>
        <v/>
      </c>
      <c r="F855" s="10">
        <f>IF(MATCH_ENGINE!A855="","",MATCH_ENGINE!I855)</f>
        <v/>
      </c>
      <c r="G855" s="16">
        <f>IF(MATCH_ENGINE!H855="","",IF(MATCH_ENGINE!F855="IN",MATCH_ENGINE!J855,""))</f>
        <v/>
      </c>
      <c r="H855" s="16">
        <f>IF(MATCH_ENGINE!H855="","",IF(MATCH_ENGINE!F855="OUT",MATCH_ENGINE!J855,""))</f>
        <v/>
      </c>
      <c r="I855" s="16">
        <f>IF(MATCH_ENGINE!H855="","",MATCH_ENGINE!J855)</f>
        <v/>
      </c>
      <c r="J855" s="12">
        <f>IF(MATCH_ENGINE!A855="","",MATCH_ENGINE!K855)</f>
        <v/>
      </c>
      <c r="K855" s="11">
        <f>IF(MATCH_ENGINE!A855="","",MATCH_ENGINE!L855)</f>
        <v/>
      </c>
      <c r="L855" s="17">
        <f>IF(MATCH_ENGINE!A855="","",MATCH_ENGINE!M855)</f>
        <v/>
      </c>
      <c r="M855" s="11">
        <f>IF(MATCH_ENGINE!A855="","",GL_CLEAN!F855)</f>
        <v/>
      </c>
      <c r="N855" s="11">
        <f>IF(MATCH_ENGINE!A855="","",GL_CLEAN!G855)</f>
        <v/>
      </c>
      <c r="O855" s="11">
        <f>IF(MATCH_ENGINE!H855="","",INDEX(BANK_CLEAN!$C$2:$C$1001,MATCH_ENGINE!H855))</f>
        <v/>
      </c>
      <c r="P855" s="11" t="inlineStr"/>
    </row>
    <row r="856">
      <c r="A856" s="11">
        <f>IF(MATCH_ENGINE!A856="","",MATCH_ENGINE!N856)</f>
        <v/>
      </c>
      <c r="B856" s="11">
        <f>IF(MATCH_ENGINE!A856="","",MATCH_ENGINE!C856)</f>
        <v/>
      </c>
      <c r="C856" s="10">
        <f>IF(MATCH_ENGINE!A856="","",MATCH_ENGINE!B856)</f>
        <v/>
      </c>
      <c r="D856" s="16">
        <f>IF(MATCH_ENGINE!A856="","",MATCH_ENGINE!D856)</f>
        <v/>
      </c>
      <c r="E856" s="11">
        <f>IF(MATCH_ENGINE!A856="","",MATCH_ENGINE!F856)</f>
        <v/>
      </c>
      <c r="F856" s="10">
        <f>IF(MATCH_ENGINE!A856="","",MATCH_ENGINE!I856)</f>
        <v/>
      </c>
      <c r="G856" s="16">
        <f>IF(MATCH_ENGINE!H856="","",IF(MATCH_ENGINE!F856="IN",MATCH_ENGINE!J856,""))</f>
        <v/>
      </c>
      <c r="H856" s="16">
        <f>IF(MATCH_ENGINE!H856="","",IF(MATCH_ENGINE!F856="OUT",MATCH_ENGINE!J856,""))</f>
        <v/>
      </c>
      <c r="I856" s="16">
        <f>IF(MATCH_ENGINE!H856="","",MATCH_ENGINE!J856)</f>
        <v/>
      </c>
      <c r="J856" s="12">
        <f>IF(MATCH_ENGINE!A856="","",MATCH_ENGINE!K856)</f>
        <v/>
      </c>
      <c r="K856" s="11">
        <f>IF(MATCH_ENGINE!A856="","",MATCH_ENGINE!L856)</f>
        <v/>
      </c>
      <c r="L856" s="17">
        <f>IF(MATCH_ENGINE!A856="","",MATCH_ENGINE!M856)</f>
        <v/>
      </c>
      <c r="M856" s="11">
        <f>IF(MATCH_ENGINE!A856="","",GL_CLEAN!F856)</f>
        <v/>
      </c>
      <c r="N856" s="11">
        <f>IF(MATCH_ENGINE!A856="","",GL_CLEAN!G856)</f>
        <v/>
      </c>
      <c r="O856" s="11">
        <f>IF(MATCH_ENGINE!H856="","",INDEX(BANK_CLEAN!$C$2:$C$1001,MATCH_ENGINE!H856))</f>
        <v/>
      </c>
      <c r="P856" s="11" t="inlineStr"/>
    </row>
    <row r="857">
      <c r="A857" s="11">
        <f>IF(MATCH_ENGINE!A857="","",MATCH_ENGINE!N857)</f>
        <v/>
      </c>
      <c r="B857" s="11">
        <f>IF(MATCH_ENGINE!A857="","",MATCH_ENGINE!C857)</f>
        <v/>
      </c>
      <c r="C857" s="10">
        <f>IF(MATCH_ENGINE!A857="","",MATCH_ENGINE!B857)</f>
        <v/>
      </c>
      <c r="D857" s="16">
        <f>IF(MATCH_ENGINE!A857="","",MATCH_ENGINE!D857)</f>
        <v/>
      </c>
      <c r="E857" s="11">
        <f>IF(MATCH_ENGINE!A857="","",MATCH_ENGINE!F857)</f>
        <v/>
      </c>
      <c r="F857" s="10">
        <f>IF(MATCH_ENGINE!A857="","",MATCH_ENGINE!I857)</f>
        <v/>
      </c>
      <c r="G857" s="16">
        <f>IF(MATCH_ENGINE!H857="","",IF(MATCH_ENGINE!F857="IN",MATCH_ENGINE!J857,""))</f>
        <v/>
      </c>
      <c r="H857" s="16">
        <f>IF(MATCH_ENGINE!H857="","",IF(MATCH_ENGINE!F857="OUT",MATCH_ENGINE!J857,""))</f>
        <v/>
      </c>
      <c r="I857" s="16">
        <f>IF(MATCH_ENGINE!H857="","",MATCH_ENGINE!J857)</f>
        <v/>
      </c>
      <c r="J857" s="12">
        <f>IF(MATCH_ENGINE!A857="","",MATCH_ENGINE!K857)</f>
        <v/>
      </c>
      <c r="K857" s="11">
        <f>IF(MATCH_ENGINE!A857="","",MATCH_ENGINE!L857)</f>
        <v/>
      </c>
      <c r="L857" s="17">
        <f>IF(MATCH_ENGINE!A857="","",MATCH_ENGINE!M857)</f>
        <v/>
      </c>
      <c r="M857" s="11">
        <f>IF(MATCH_ENGINE!A857="","",GL_CLEAN!F857)</f>
        <v/>
      </c>
      <c r="N857" s="11">
        <f>IF(MATCH_ENGINE!A857="","",GL_CLEAN!G857)</f>
        <v/>
      </c>
      <c r="O857" s="11">
        <f>IF(MATCH_ENGINE!H857="","",INDEX(BANK_CLEAN!$C$2:$C$1001,MATCH_ENGINE!H857))</f>
        <v/>
      </c>
      <c r="P857" s="11" t="inlineStr"/>
    </row>
    <row r="858">
      <c r="A858" s="11">
        <f>IF(MATCH_ENGINE!A858="","",MATCH_ENGINE!N858)</f>
        <v/>
      </c>
      <c r="B858" s="11">
        <f>IF(MATCH_ENGINE!A858="","",MATCH_ENGINE!C858)</f>
        <v/>
      </c>
      <c r="C858" s="10">
        <f>IF(MATCH_ENGINE!A858="","",MATCH_ENGINE!B858)</f>
        <v/>
      </c>
      <c r="D858" s="16">
        <f>IF(MATCH_ENGINE!A858="","",MATCH_ENGINE!D858)</f>
        <v/>
      </c>
      <c r="E858" s="11">
        <f>IF(MATCH_ENGINE!A858="","",MATCH_ENGINE!F858)</f>
        <v/>
      </c>
      <c r="F858" s="10">
        <f>IF(MATCH_ENGINE!A858="","",MATCH_ENGINE!I858)</f>
        <v/>
      </c>
      <c r="G858" s="16">
        <f>IF(MATCH_ENGINE!H858="","",IF(MATCH_ENGINE!F858="IN",MATCH_ENGINE!J858,""))</f>
        <v/>
      </c>
      <c r="H858" s="16">
        <f>IF(MATCH_ENGINE!H858="","",IF(MATCH_ENGINE!F858="OUT",MATCH_ENGINE!J858,""))</f>
        <v/>
      </c>
      <c r="I858" s="16">
        <f>IF(MATCH_ENGINE!H858="","",MATCH_ENGINE!J858)</f>
        <v/>
      </c>
      <c r="J858" s="12">
        <f>IF(MATCH_ENGINE!A858="","",MATCH_ENGINE!K858)</f>
        <v/>
      </c>
      <c r="K858" s="11">
        <f>IF(MATCH_ENGINE!A858="","",MATCH_ENGINE!L858)</f>
        <v/>
      </c>
      <c r="L858" s="17">
        <f>IF(MATCH_ENGINE!A858="","",MATCH_ENGINE!M858)</f>
        <v/>
      </c>
      <c r="M858" s="11">
        <f>IF(MATCH_ENGINE!A858="","",GL_CLEAN!F858)</f>
        <v/>
      </c>
      <c r="N858" s="11">
        <f>IF(MATCH_ENGINE!A858="","",GL_CLEAN!G858)</f>
        <v/>
      </c>
      <c r="O858" s="11">
        <f>IF(MATCH_ENGINE!H858="","",INDEX(BANK_CLEAN!$C$2:$C$1001,MATCH_ENGINE!H858))</f>
        <v/>
      </c>
      <c r="P858" s="11" t="inlineStr"/>
    </row>
    <row r="859">
      <c r="A859" s="11">
        <f>IF(MATCH_ENGINE!A859="","",MATCH_ENGINE!N859)</f>
        <v/>
      </c>
      <c r="B859" s="11">
        <f>IF(MATCH_ENGINE!A859="","",MATCH_ENGINE!C859)</f>
        <v/>
      </c>
      <c r="C859" s="10">
        <f>IF(MATCH_ENGINE!A859="","",MATCH_ENGINE!B859)</f>
        <v/>
      </c>
      <c r="D859" s="16">
        <f>IF(MATCH_ENGINE!A859="","",MATCH_ENGINE!D859)</f>
        <v/>
      </c>
      <c r="E859" s="11">
        <f>IF(MATCH_ENGINE!A859="","",MATCH_ENGINE!F859)</f>
        <v/>
      </c>
      <c r="F859" s="10">
        <f>IF(MATCH_ENGINE!A859="","",MATCH_ENGINE!I859)</f>
        <v/>
      </c>
      <c r="G859" s="16">
        <f>IF(MATCH_ENGINE!H859="","",IF(MATCH_ENGINE!F859="IN",MATCH_ENGINE!J859,""))</f>
        <v/>
      </c>
      <c r="H859" s="16">
        <f>IF(MATCH_ENGINE!H859="","",IF(MATCH_ENGINE!F859="OUT",MATCH_ENGINE!J859,""))</f>
        <v/>
      </c>
      <c r="I859" s="16">
        <f>IF(MATCH_ENGINE!H859="","",MATCH_ENGINE!J859)</f>
        <v/>
      </c>
      <c r="J859" s="12">
        <f>IF(MATCH_ENGINE!A859="","",MATCH_ENGINE!K859)</f>
        <v/>
      </c>
      <c r="K859" s="11">
        <f>IF(MATCH_ENGINE!A859="","",MATCH_ENGINE!L859)</f>
        <v/>
      </c>
      <c r="L859" s="17">
        <f>IF(MATCH_ENGINE!A859="","",MATCH_ENGINE!M859)</f>
        <v/>
      </c>
      <c r="M859" s="11">
        <f>IF(MATCH_ENGINE!A859="","",GL_CLEAN!F859)</f>
        <v/>
      </c>
      <c r="N859" s="11">
        <f>IF(MATCH_ENGINE!A859="","",GL_CLEAN!G859)</f>
        <v/>
      </c>
      <c r="O859" s="11">
        <f>IF(MATCH_ENGINE!H859="","",INDEX(BANK_CLEAN!$C$2:$C$1001,MATCH_ENGINE!H859))</f>
        <v/>
      </c>
      <c r="P859" s="11" t="inlineStr"/>
    </row>
    <row r="860">
      <c r="A860" s="11">
        <f>IF(MATCH_ENGINE!A860="","",MATCH_ENGINE!N860)</f>
        <v/>
      </c>
      <c r="B860" s="11">
        <f>IF(MATCH_ENGINE!A860="","",MATCH_ENGINE!C860)</f>
        <v/>
      </c>
      <c r="C860" s="10">
        <f>IF(MATCH_ENGINE!A860="","",MATCH_ENGINE!B860)</f>
        <v/>
      </c>
      <c r="D860" s="16">
        <f>IF(MATCH_ENGINE!A860="","",MATCH_ENGINE!D860)</f>
        <v/>
      </c>
      <c r="E860" s="11">
        <f>IF(MATCH_ENGINE!A860="","",MATCH_ENGINE!F860)</f>
        <v/>
      </c>
      <c r="F860" s="10">
        <f>IF(MATCH_ENGINE!A860="","",MATCH_ENGINE!I860)</f>
        <v/>
      </c>
      <c r="G860" s="16">
        <f>IF(MATCH_ENGINE!H860="","",IF(MATCH_ENGINE!F860="IN",MATCH_ENGINE!J860,""))</f>
        <v/>
      </c>
      <c r="H860" s="16">
        <f>IF(MATCH_ENGINE!H860="","",IF(MATCH_ENGINE!F860="OUT",MATCH_ENGINE!J860,""))</f>
        <v/>
      </c>
      <c r="I860" s="16">
        <f>IF(MATCH_ENGINE!H860="","",MATCH_ENGINE!J860)</f>
        <v/>
      </c>
      <c r="J860" s="12">
        <f>IF(MATCH_ENGINE!A860="","",MATCH_ENGINE!K860)</f>
        <v/>
      </c>
      <c r="K860" s="11">
        <f>IF(MATCH_ENGINE!A860="","",MATCH_ENGINE!L860)</f>
        <v/>
      </c>
      <c r="L860" s="17">
        <f>IF(MATCH_ENGINE!A860="","",MATCH_ENGINE!M860)</f>
        <v/>
      </c>
      <c r="M860" s="11">
        <f>IF(MATCH_ENGINE!A860="","",GL_CLEAN!F860)</f>
        <v/>
      </c>
      <c r="N860" s="11">
        <f>IF(MATCH_ENGINE!A860="","",GL_CLEAN!G860)</f>
        <v/>
      </c>
      <c r="O860" s="11">
        <f>IF(MATCH_ENGINE!H860="","",INDEX(BANK_CLEAN!$C$2:$C$1001,MATCH_ENGINE!H860))</f>
        <v/>
      </c>
      <c r="P860" s="11" t="inlineStr"/>
    </row>
    <row r="861">
      <c r="A861" s="11">
        <f>IF(MATCH_ENGINE!A861="","",MATCH_ENGINE!N861)</f>
        <v/>
      </c>
      <c r="B861" s="11">
        <f>IF(MATCH_ENGINE!A861="","",MATCH_ENGINE!C861)</f>
        <v/>
      </c>
      <c r="C861" s="10">
        <f>IF(MATCH_ENGINE!A861="","",MATCH_ENGINE!B861)</f>
        <v/>
      </c>
      <c r="D861" s="16">
        <f>IF(MATCH_ENGINE!A861="","",MATCH_ENGINE!D861)</f>
        <v/>
      </c>
      <c r="E861" s="11">
        <f>IF(MATCH_ENGINE!A861="","",MATCH_ENGINE!F861)</f>
        <v/>
      </c>
      <c r="F861" s="10">
        <f>IF(MATCH_ENGINE!A861="","",MATCH_ENGINE!I861)</f>
        <v/>
      </c>
      <c r="G861" s="16">
        <f>IF(MATCH_ENGINE!H861="","",IF(MATCH_ENGINE!F861="IN",MATCH_ENGINE!J861,""))</f>
        <v/>
      </c>
      <c r="H861" s="16">
        <f>IF(MATCH_ENGINE!H861="","",IF(MATCH_ENGINE!F861="OUT",MATCH_ENGINE!J861,""))</f>
        <v/>
      </c>
      <c r="I861" s="16">
        <f>IF(MATCH_ENGINE!H861="","",MATCH_ENGINE!J861)</f>
        <v/>
      </c>
      <c r="J861" s="12">
        <f>IF(MATCH_ENGINE!A861="","",MATCH_ENGINE!K861)</f>
        <v/>
      </c>
      <c r="K861" s="11">
        <f>IF(MATCH_ENGINE!A861="","",MATCH_ENGINE!L861)</f>
        <v/>
      </c>
      <c r="L861" s="17">
        <f>IF(MATCH_ENGINE!A861="","",MATCH_ENGINE!M861)</f>
        <v/>
      </c>
      <c r="M861" s="11">
        <f>IF(MATCH_ENGINE!A861="","",GL_CLEAN!F861)</f>
        <v/>
      </c>
      <c r="N861" s="11">
        <f>IF(MATCH_ENGINE!A861="","",GL_CLEAN!G861)</f>
        <v/>
      </c>
      <c r="O861" s="11">
        <f>IF(MATCH_ENGINE!H861="","",INDEX(BANK_CLEAN!$C$2:$C$1001,MATCH_ENGINE!H861))</f>
        <v/>
      </c>
      <c r="P861" s="11" t="inlineStr"/>
    </row>
    <row r="862">
      <c r="A862" s="11">
        <f>IF(MATCH_ENGINE!A862="","",MATCH_ENGINE!N862)</f>
        <v/>
      </c>
      <c r="B862" s="11">
        <f>IF(MATCH_ENGINE!A862="","",MATCH_ENGINE!C862)</f>
        <v/>
      </c>
      <c r="C862" s="10">
        <f>IF(MATCH_ENGINE!A862="","",MATCH_ENGINE!B862)</f>
        <v/>
      </c>
      <c r="D862" s="16">
        <f>IF(MATCH_ENGINE!A862="","",MATCH_ENGINE!D862)</f>
        <v/>
      </c>
      <c r="E862" s="11">
        <f>IF(MATCH_ENGINE!A862="","",MATCH_ENGINE!F862)</f>
        <v/>
      </c>
      <c r="F862" s="10">
        <f>IF(MATCH_ENGINE!A862="","",MATCH_ENGINE!I862)</f>
        <v/>
      </c>
      <c r="G862" s="16">
        <f>IF(MATCH_ENGINE!H862="","",IF(MATCH_ENGINE!F862="IN",MATCH_ENGINE!J862,""))</f>
        <v/>
      </c>
      <c r="H862" s="16">
        <f>IF(MATCH_ENGINE!H862="","",IF(MATCH_ENGINE!F862="OUT",MATCH_ENGINE!J862,""))</f>
        <v/>
      </c>
      <c r="I862" s="16">
        <f>IF(MATCH_ENGINE!H862="","",MATCH_ENGINE!J862)</f>
        <v/>
      </c>
      <c r="J862" s="12">
        <f>IF(MATCH_ENGINE!A862="","",MATCH_ENGINE!K862)</f>
        <v/>
      </c>
      <c r="K862" s="11">
        <f>IF(MATCH_ENGINE!A862="","",MATCH_ENGINE!L862)</f>
        <v/>
      </c>
      <c r="L862" s="17">
        <f>IF(MATCH_ENGINE!A862="","",MATCH_ENGINE!M862)</f>
        <v/>
      </c>
      <c r="M862" s="11">
        <f>IF(MATCH_ENGINE!A862="","",GL_CLEAN!F862)</f>
        <v/>
      </c>
      <c r="N862" s="11">
        <f>IF(MATCH_ENGINE!A862="","",GL_CLEAN!G862)</f>
        <v/>
      </c>
      <c r="O862" s="11">
        <f>IF(MATCH_ENGINE!H862="","",INDEX(BANK_CLEAN!$C$2:$C$1001,MATCH_ENGINE!H862))</f>
        <v/>
      </c>
      <c r="P862" s="11" t="inlineStr"/>
    </row>
    <row r="863">
      <c r="A863" s="11">
        <f>IF(MATCH_ENGINE!A863="","",MATCH_ENGINE!N863)</f>
        <v/>
      </c>
      <c r="B863" s="11">
        <f>IF(MATCH_ENGINE!A863="","",MATCH_ENGINE!C863)</f>
        <v/>
      </c>
      <c r="C863" s="10">
        <f>IF(MATCH_ENGINE!A863="","",MATCH_ENGINE!B863)</f>
        <v/>
      </c>
      <c r="D863" s="16">
        <f>IF(MATCH_ENGINE!A863="","",MATCH_ENGINE!D863)</f>
        <v/>
      </c>
      <c r="E863" s="11">
        <f>IF(MATCH_ENGINE!A863="","",MATCH_ENGINE!F863)</f>
        <v/>
      </c>
      <c r="F863" s="10">
        <f>IF(MATCH_ENGINE!A863="","",MATCH_ENGINE!I863)</f>
        <v/>
      </c>
      <c r="G863" s="16">
        <f>IF(MATCH_ENGINE!H863="","",IF(MATCH_ENGINE!F863="IN",MATCH_ENGINE!J863,""))</f>
        <v/>
      </c>
      <c r="H863" s="16">
        <f>IF(MATCH_ENGINE!H863="","",IF(MATCH_ENGINE!F863="OUT",MATCH_ENGINE!J863,""))</f>
        <v/>
      </c>
      <c r="I863" s="16">
        <f>IF(MATCH_ENGINE!H863="","",MATCH_ENGINE!J863)</f>
        <v/>
      </c>
      <c r="J863" s="12">
        <f>IF(MATCH_ENGINE!A863="","",MATCH_ENGINE!K863)</f>
        <v/>
      </c>
      <c r="K863" s="11">
        <f>IF(MATCH_ENGINE!A863="","",MATCH_ENGINE!L863)</f>
        <v/>
      </c>
      <c r="L863" s="17">
        <f>IF(MATCH_ENGINE!A863="","",MATCH_ENGINE!M863)</f>
        <v/>
      </c>
      <c r="M863" s="11">
        <f>IF(MATCH_ENGINE!A863="","",GL_CLEAN!F863)</f>
        <v/>
      </c>
      <c r="N863" s="11">
        <f>IF(MATCH_ENGINE!A863="","",GL_CLEAN!G863)</f>
        <v/>
      </c>
      <c r="O863" s="11">
        <f>IF(MATCH_ENGINE!H863="","",INDEX(BANK_CLEAN!$C$2:$C$1001,MATCH_ENGINE!H863))</f>
        <v/>
      </c>
      <c r="P863" s="11" t="inlineStr"/>
    </row>
    <row r="864">
      <c r="A864" s="11">
        <f>IF(MATCH_ENGINE!A864="","",MATCH_ENGINE!N864)</f>
        <v/>
      </c>
      <c r="B864" s="11">
        <f>IF(MATCH_ENGINE!A864="","",MATCH_ENGINE!C864)</f>
        <v/>
      </c>
      <c r="C864" s="10">
        <f>IF(MATCH_ENGINE!A864="","",MATCH_ENGINE!B864)</f>
        <v/>
      </c>
      <c r="D864" s="16">
        <f>IF(MATCH_ENGINE!A864="","",MATCH_ENGINE!D864)</f>
        <v/>
      </c>
      <c r="E864" s="11">
        <f>IF(MATCH_ENGINE!A864="","",MATCH_ENGINE!F864)</f>
        <v/>
      </c>
      <c r="F864" s="10">
        <f>IF(MATCH_ENGINE!A864="","",MATCH_ENGINE!I864)</f>
        <v/>
      </c>
      <c r="G864" s="16">
        <f>IF(MATCH_ENGINE!H864="","",IF(MATCH_ENGINE!F864="IN",MATCH_ENGINE!J864,""))</f>
        <v/>
      </c>
      <c r="H864" s="16">
        <f>IF(MATCH_ENGINE!H864="","",IF(MATCH_ENGINE!F864="OUT",MATCH_ENGINE!J864,""))</f>
        <v/>
      </c>
      <c r="I864" s="16">
        <f>IF(MATCH_ENGINE!H864="","",MATCH_ENGINE!J864)</f>
        <v/>
      </c>
      <c r="J864" s="12">
        <f>IF(MATCH_ENGINE!A864="","",MATCH_ENGINE!K864)</f>
        <v/>
      </c>
      <c r="K864" s="11">
        <f>IF(MATCH_ENGINE!A864="","",MATCH_ENGINE!L864)</f>
        <v/>
      </c>
      <c r="L864" s="17">
        <f>IF(MATCH_ENGINE!A864="","",MATCH_ENGINE!M864)</f>
        <v/>
      </c>
      <c r="M864" s="11">
        <f>IF(MATCH_ENGINE!A864="","",GL_CLEAN!F864)</f>
        <v/>
      </c>
      <c r="N864" s="11">
        <f>IF(MATCH_ENGINE!A864="","",GL_CLEAN!G864)</f>
        <v/>
      </c>
      <c r="O864" s="11">
        <f>IF(MATCH_ENGINE!H864="","",INDEX(BANK_CLEAN!$C$2:$C$1001,MATCH_ENGINE!H864))</f>
        <v/>
      </c>
      <c r="P864" s="11" t="inlineStr"/>
    </row>
    <row r="865">
      <c r="A865" s="11">
        <f>IF(MATCH_ENGINE!A865="","",MATCH_ENGINE!N865)</f>
        <v/>
      </c>
      <c r="B865" s="11">
        <f>IF(MATCH_ENGINE!A865="","",MATCH_ENGINE!C865)</f>
        <v/>
      </c>
      <c r="C865" s="10">
        <f>IF(MATCH_ENGINE!A865="","",MATCH_ENGINE!B865)</f>
        <v/>
      </c>
      <c r="D865" s="16">
        <f>IF(MATCH_ENGINE!A865="","",MATCH_ENGINE!D865)</f>
        <v/>
      </c>
      <c r="E865" s="11">
        <f>IF(MATCH_ENGINE!A865="","",MATCH_ENGINE!F865)</f>
        <v/>
      </c>
      <c r="F865" s="10">
        <f>IF(MATCH_ENGINE!A865="","",MATCH_ENGINE!I865)</f>
        <v/>
      </c>
      <c r="G865" s="16">
        <f>IF(MATCH_ENGINE!H865="","",IF(MATCH_ENGINE!F865="IN",MATCH_ENGINE!J865,""))</f>
        <v/>
      </c>
      <c r="H865" s="16">
        <f>IF(MATCH_ENGINE!H865="","",IF(MATCH_ENGINE!F865="OUT",MATCH_ENGINE!J865,""))</f>
        <v/>
      </c>
      <c r="I865" s="16">
        <f>IF(MATCH_ENGINE!H865="","",MATCH_ENGINE!J865)</f>
        <v/>
      </c>
      <c r="J865" s="12">
        <f>IF(MATCH_ENGINE!A865="","",MATCH_ENGINE!K865)</f>
        <v/>
      </c>
      <c r="K865" s="11">
        <f>IF(MATCH_ENGINE!A865="","",MATCH_ENGINE!L865)</f>
        <v/>
      </c>
      <c r="L865" s="17">
        <f>IF(MATCH_ENGINE!A865="","",MATCH_ENGINE!M865)</f>
        <v/>
      </c>
      <c r="M865" s="11">
        <f>IF(MATCH_ENGINE!A865="","",GL_CLEAN!F865)</f>
        <v/>
      </c>
      <c r="N865" s="11">
        <f>IF(MATCH_ENGINE!A865="","",GL_CLEAN!G865)</f>
        <v/>
      </c>
      <c r="O865" s="11">
        <f>IF(MATCH_ENGINE!H865="","",INDEX(BANK_CLEAN!$C$2:$C$1001,MATCH_ENGINE!H865))</f>
        <v/>
      </c>
      <c r="P865" s="11" t="inlineStr"/>
    </row>
    <row r="866">
      <c r="A866" s="11">
        <f>IF(MATCH_ENGINE!A866="","",MATCH_ENGINE!N866)</f>
        <v/>
      </c>
      <c r="B866" s="11">
        <f>IF(MATCH_ENGINE!A866="","",MATCH_ENGINE!C866)</f>
        <v/>
      </c>
      <c r="C866" s="10">
        <f>IF(MATCH_ENGINE!A866="","",MATCH_ENGINE!B866)</f>
        <v/>
      </c>
      <c r="D866" s="16">
        <f>IF(MATCH_ENGINE!A866="","",MATCH_ENGINE!D866)</f>
        <v/>
      </c>
      <c r="E866" s="11">
        <f>IF(MATCH_ENGINE!A866="","",MATCH_ENGINE!F866)</f>
        <v/>
      </c>
      <c r="F866" s="10">
        <f>IF(MATCH_ENGINE!A866="","",MATCH_ENGINE!I866)</f>
        <v/>
      </c>
      <c r="G866" s="16">
        <f>IF(MATCH_ENGINE!H866="","",IF(MATCH_ENGINE!F866="IN",MATCH_ENGINE!J866,""))</f>
        <v/>
      </c>
      <c r="H866" s="16">
        <f>IF(MATCH_ENGINE!H866="","",IF(MATCH_ENGINE!F866="OUT",MATCH_ENGINE!J866,""))</f>
        <v/>
      </c>
      <c r="I866" s="16">
        <f>IF(MATCH_ENGINE!H866="","",MATCH_ENGINE!J866)</f>
        <v/>
      </c>
      <c r="J866" s="12">
        <f>IF(MATCH_ENGINE!A866="","",MATCH_ENGINE!K866)</f>
        <v/>
      </c>
      <c r="K866" s="11">
        <f>IF(MATCH_ENGINE!A866="","",MATCH_ENGINE!L866)</f>
        <v/>
      </c>
      <c r="L866" s="17">
        <f>IF(MATCH_ENGINE!A866="","",MATCH_ENGINE!M866)</f>
        <v/>
      </c>
      <c r="M866" s="11">
        <f>IF(MATCH_ENGINE!A866="","",GL_CLEAN!F866)</f>
        <v/>
      </c>
      <c r="N866" s="11">
        <f>IF(MATCH_ENGINE!A866="","",GL_CLEAN!G866)</f>
        <v/>
      </c>
      <c r="O866" s="11">
        <f>IF(MATCH_ENGINE!H866="","",INDEX(BANK_CLEAN!$C$2:$C$1001,MATCH_ENGINE!H866))</f>
        <v/>
      </c>
      <c r="P866" s="11" t="inlineStr"/>
    </row>
    <row r="867">
      <c r="A867" s="11">
        <f>IF(MATCH_ENGINE!A867="","",MATCH_ENGINE!N867)</f>
        <v/>
      </c>
      <c r="B867" s="11">
        <f>IF(MATCH_ENGINE!A867="","",MATCH_ENGINE!C867)</f>
        <v/>
      </c>
      <c r="C867" s="10">
        <f>IF(MATCH_ENGINE!A867="","",MATCH_ENGINE!B867)</f>
        <v/>
      </c>
      <c r="D867" s="16">
        <f>IF(MATCH_ENGINE!A867="","",MATCH_ENGINE!D867)</f>
        <v/>
      </c>
      <c r="E867" s="11">
        <f>IF(MATCH_ENGINE!A867="","",MATCH_ENGINE!F867)</f>
        <v/>
      </c>
      <c r="F867" s="10">
        <f>IF(MATCH_ENGINE!A867="","",MATCH_ENGINE!I867)</f>
        <v/>
      </c>
      <c r="G867" s="16">
        <f>IF(MATCH_ENGINE!H867="","",IF(MATCH_ENGINE!F867="IN",MATCH_ENGINE!J867,""))</f>
        <v/>
      </c>
      <c r="H867" s="16">
        <f>IF(MATCH_ENGINE!H867="","",IF(MATCH_ENGINE!F867="OUT",MATCH_ENGINE!J867,""))</f>
        <v/>
      </c>
      <c r="I867" s="16">
        <f>IF(MATCH_ENGINE!H867="","",MATCH_ENGINE!J867)</f>
        <v/>
      </c>
      <c r="J867" s="12">
        <f>IF(MATCH_ENGINE!A867="","",MATCH_ENGINE!K867)</f>
        <v/>
      </c>
      <c r="K867" s="11">
        <f>IF(MATCH_ENGINE!A867="","",MATCH_ENGINE!L867)</f>
        <v/>
      </c>
      <c r="L867" s="17">
        <f>IF(MATCH_ENGINE!A867="","",MATCH_ENGINE!M867)</f>
        <v/>
      </c>
      <c r="M867" s="11">
        <f>IF(MATCH_ENGINE!A867="","",GL_CLEAN!F867)</f>
        <v/>
      </c>
      <c r="N867" s="11">
        <f>IF(MATCH_ENGINE!A867="","",GL_CLEAN!G867)</f>
        <v/>
      </c>
      <c r="O867" s="11">
        <f>IF(MATCH_ENGINE!H867="","",INDEX(BANK_CLEAN!$C$2:$C$1001,MATCH_ENGINE!H867))</f>
        <v/>
      </c>
      <c r="P867" s="11" t="inlineStr"/>
    </row>
    <row r="868">
      <c r="A868" s="11">
        <f>IF(MATCH_ENGINE!A868="","",MATCH_ENGINE!N868)</f>
        <v/>
      </c>
      <c r="B868" s="11">
        <f>IF(MATCH_ENGINE!A868="","",MATCH_ENGINE!C868)</f>
        <v/>
      </c>
      <c r="C868" s="10">
        <f>IF(MATCH_ENGINE!A868="","",MATCH_ENGINE!B868)</f>
        <v/>
      </c>
      <c r="D868" s="16">
        <f>IF(MATCH_ENGINE!A868="","",MATCH_ENGINE!D868)</f>
        <v/>
      </c>
      <c r="E868" s="11">
        <f>IF(MATCH_ENGINE!A868="","",MATCH_ENGINE!F868)</f>
        <v/>
      </c>
      <c r="F868" s="10">
        <f>IF(MATCH_ENGINE!A868="","",MATCH_ENGINE!I868)</f>
        <v/>
      </c>
      <c r="G868" s="16">
        <f>IF(MATCH_ENGINE!H868="","",IF(MATCH_ENGINE!F868="IN",MATCH_ENGINE!J868,""))</f>
        <v/>
      </c>
      <c r="H868" s="16">
        <f>IF(MATCH_ENGINE!H868="","",IF(MATCH_ENGINE!F868="OUT",MATCH_ENGINE!J868,""))</f>
        <v/>
      </c>
      <c r="I868" s="16">
        <f>IF(MATCH_ENGINE!H868="","",MATCH_ENGINE!J868)</f>
        <v/>
      </c>
      <c r="J868" s="12">
        <f>IF(MATCH_ENGINE!A868="","",MATCH_ENGINE!K868)</f>
        <v/>
      </c>
      <c r="K868" s="11">
        <f>IF(MATCH_ENGINE!A868="","",MATCH_ENGINE!L868)</f>
        <v/>
      </c>
      <c r="L868" s="17">
        <f>IF(MATCH_ENGINE!A868="","",MATCH_ENGINE!M868)</f>
        <v/>
      </c>
      <c r="M868" s="11">
        <f>IF(MATCH_ENGINE!A868="","",GL_CLEAN!F868)</f>
        <v/>
      </c>
      <c r="N868" s="11">
        <f>IF(MATCH_ENGINE!A868="","",GL_CLEAN!G868)</f>
        <v/>
      </c>
      <c r="O868" s="11">
        <f>IF(MATCH_ENGINE!H868="","",INDEX(BANK_CLEAN!$C$2:$C$1001,MATCH_ENGINE!H868))</f>
        <v/>
      </c>
      <c r="P868" s="11" t="inlineStr"/>
    </row>
    <row r="869">
      <c r="A869" s="11">
        <f>IF(MATCH_ENGINE!A869="","",MATCH_ENGINE!N869)</f>
        <v/>
      </c>
      <c r="B869" s="11">
        <f>IF(MATCH_ENGINE!A869="","",MATCH_ENGINE!C869)</f>
        <v/>
      </c>
      <c r="C869" s="10">
        <f>IF(MATCH_ENGINE!A869="","",MATCH_ENGINE!B869)</f>
        <v/>
      </c>
      <c r="D869" s="16">
        <f>IF(MATCH_ENGINE!A869="","",MATCH_ENGINE!D869)</f>
        <v/>
      </c>
      <c r="E869" s="11">
        <f>IF(MATCH_ENGINE!A869="","",MATCH_ENGINE!F869)</f>
        <v/>
      </c>
      <c r="F869" s="10">
        <f>IF(MATCH_ENGINE!A869="","",MATCH_ENGINE!I869)</f>
        <v/>
      </c>
      <c r="G869" s="16">
        <f>IF(MATCH_ENGINE!H869="","",IF(MATCH_ENGINE!F869="IN",MATCH_ENGINE!J869,""))</f>
        <v/>
      </c>
      <c r="H869" s="16">
        <f>IF(MATCH_ENGINE!H869="","",IF(MATCH_ENGINE!F869="OUT",MATCH_ENGINE!J869,""))</f>
        <v/>
      </c>
      <c r="I869" s="16">
        <f>IF(MATCH_ENGINE!H869="","",MATCH_ENGINE!J869)</f>
        <v/>
      </c>
      <c r="J869" s="12">
        <f>IF(MATCH_ENGINE!A869="","",MATCH_ENGINE!K869)</f>
        <v/>
      </c>
      <c r="K869" s="11">
        <f>IF(MATCH_ENGINE!A869="","",MATCH_ENGINE!L869)</f>
        <v/>
      </c>
      <c r="L869" s="17">
        <f>IF(MATCH_ENGINE!A869="","",MATCH_ENGINE!M869)</f>
        <v/>
      </c>
      <c r="M869" s="11">
        <f>IF(MATCH_ENGINE!A869="","",GL_CLEAN!F869)</f>
        <v/>
      </c>
      <c r="N869" s="11">
        <f>IF(MATCH_ENGINE!A869="","",GL_CLEAN!G869)</f>
        <v/>
      </c>
      <c r="O869" s="11">
        <f>IF(MATCH_ENGINE!H869="","",INDEX(BANK_CLEAN!$C$2:$C$1001,MATCH_ENGINE!H869))</f>
        <v/>
      </c>
      <c r="P869" s="11" t="inlineStr"/>
    </row>
    <row r="870">
      <c r="A870" s="11">
        <f>IF(MATCH_ENGINE!A870="","",MATCH_ENGINE!N870)</f>
        <v/>
      </c>
      <c r="B870" s="11">
        <f>IF(MATCH_ENGINE!A870="","",MATCH_ENGINE!C870)</f>
        <v/>
      </c>
      <c r="C870" s="10">
        <f>IF(MATCH_ENGINE!A870="","",MATCH_ENGINE!B870)</f>
        <v/>
      </c>
      <c r="D870" s="16">
        <f>IF(MATCH_ENGINE!A870="","",MATCH_ENGINE!D870)</f>
        <v/>
      </c>
      <c r="E870" s="11">
        <f>IF(MATCH_ENGINE!A870="","",MATCH_ENGINE!F870)</f>
        <v/>
      </c>
      <c r="F870" s="10">
        <f>IF(MATCH_ENGINE!A870="","",MATCH_ENGINE!I870)</f>
        <v/>
      </c>
      <c r="G870" s="16">
        <f>IF(MATCH_ENGINE!H870="","",IF(MATCH_ENGINE!F870="IN",MATCH_ENGINE!J870,""))</f>
        <v/>
      </c>
      <c r="H870" s="16">
        <f>IF(MATCH_ENGINE!H870="","",IF(MATCH_ENGINE!F870="OUT",MATCH_ENGINE!J870,""))</f>
        <v/>
      </c>
      <c r="I870" s="16">
        <f>IF(MATCH_ENGINE!H870="","",MATCH_ENGINE!J870)</f>
        <v/>
      </c>
      <c r="J870" s="12">
        <f>IF(MATCH_ENGINE!A870="","",MATCH_ENGINE!K870)</f>
        <v/>
      </c>
      <c r="K870" s="11">
        <f>IF(MATCH_ENGINE!A870="","",MATCH_ENGINE!L870)</f>
        <v/>
      </c>
      <c r="L870" s="17">
        <f>IF(MATCH_ENGINE!A870="","",MATCH_ENGINE!M870)</f>
        <v/>
      </c>
      <c r="M870" s="11">
        <f>IF(MATCH_ENGINE!A870="","",GL_CLEAN!F870)</f>
        <v/>
      </c>
      <c r="N870" s="11">
        <f>IF(MATCH_ENGINE!A870="","",GL_CLEAN!G870)</f>
        <v/>
      </c>
      <c r="O870" s="11">
        <f>IF(MATCH_ENGINE!H870="","",INDEX(BANK_CLEAN!$C$2:$C$1001,MATCH_ENGINE!H870))</f>
        <v/>
      </c>
      <c r="P870" s="11" t="inlineStr"/>
    </row>
    <row r="871">
      <c r="A871" s="11">
        <f>IF(MATCH_ENGINE!A871="","",MATCH_ENGINE!N871)</f>
        <v/>
      </c>
      <c r="B871" s="11">
        <f>IF(MATCH_ENGINE!A871="","",MATCH_ENGINE!C871)</f>
        <v/>
      </c>
      <c r="C871" s="10">
        <f>IF(MATCH_ENGINE!A871="","",MATCH_ENGINE!B871)</f>
        <v/>
      </c>
      <c r="D871" s="16">
        <f>IF(MATCH_ENGINE!A871="","",MATCH_ENGINE!D871)</f>
        <v/>
      </c>
      <c r="E871" s="11">
        <f>IF(MATCH_ENGINE!A871="","",MATCH_ENGINE!F871)</f>
        <v/>
      </c>
      <c r="F871" s="10">
        <f>IF(MATCH_ENGINE!A871="","",MATCH_ENGINE!I871)</f>
        <v/>
      </c>
      <c r="G871" s="16">
        <f>IF(MATCH_ENGINE!H871="","",IF(MATCH_ENGINE!F871="IN",MATCH_ENGINE!J871,""))</f>
        <v/>
      </c>
      <c r="H871" s="16">
        <f>IF(MATCH_ENGINE!H871="","",IF(MATCH_ENGINE!F871="OUT",MATCH_ENGINE!J871,""))</f>
        <v/>
      </c>
      <c r="I871" s="16">
        <f>IF(MATCH_ENGINE!H871="","",MATCH_ENGINE!J871)</f>
        <v/>
      </c>
      <c r="J871" s="12">
        <f>IF(MATCH_ENGINE!A871="","",MATCH_ENGINE!K871)</f>
        <v/>
      </c>
      <c r="K871" s="11">
        <f>IF(MATCH_ENGINE!A871="","",MATCH_ENGINE!L871)</f>
        <v/>
      </c>
      <c r="L871" s="17">
        <f>IF(MATCH_ENGINE!A871="","",MATCH_ENGINE!M871)</f>
        <v/>
      </c>
      <c r="M871" s="11">
        <f>IF(MATCH_ENGINE!A871="","",GL_CLEAN!F871)</f>
        <v/>
      </c>
      <c r="N871" s="11">
        <f>IF(MATCH_ENGINE!A871="","",GL_CLEAN!G871)</f>
        <v/>
      </c>
      <c r="O871" s="11">
        <f>IF(MATCH_ENGINE!H871="","",INDEX(BANK_CLEAN!$C$2:$C$1001,MATCH_ENGINE!H871))</f>
        <v/>
      </c>
      <c r="P871" s="11" t="inlineStr"/>
    </row>
    <row r="872">
      <c r="A872" s="11">
        <f>IF(MATCH_ENGINE!A872="","",MATCH_ENGINE!N872)</f>
        <v/>
      </c>
      <c r="B872" s="11">
        <f>IF(MATCH_ENGINE!A872="","",MATCH_ENGINE!C872)</f>
        <v/>
      </c>
      <c r="C872" s="10">
        <f>IF(MATCH_ENGINE!A872="","",MATCH_ENGINE!B872)</f>
        <v/>
      </c>
      <c r="D872" s="16">
        <f>IF(MATCH_ENGINE!A872="","",MATCH_ENGINE!D872)</f>
        <v/>
      </c>
      <c r="E872" s="11">
        <f>IF(MATCH_ENGINE!A872="","",MATCH_ENGINE!F872)</f>
        <v/>
      </c>
      <c r="F872" s="10">
        <f>IF(MATCH_ENGINE!A872="","",MATCH_ENGINE!I872)</f>
        <v/>
      </c>
      <c r="G872" s="16">
        <f>IF(MATCH_ENGINE!H872="","",IF(MATCH_ENGINE!F872="IN",MATCH_ENGINE!J872,""))</f>
        <v/>
      </c>
      <c r="H872" s="16">
        <f>IF(MATCH_ENGINE!H872="","",IF(MATCH_ENGINE!F872="OUT",MATCH_ENGINE!J872,""))</f>
        <v/>
      </c>
      <c r="I872" s="16">
        <f>IF(MATCH_ENGINE!H872="","",MATCH_ENGINE!J872)</f>
        <v/>
      </c>
      <c r="J872" s="12">
        <f>IF(MATCH_ENGINE!A872="","",MATCH_ENGINE!K872)</f>
        <v/>
      </c>
      <c r="K872" s="11">
        <f>IF(MATCH_ENGINE!A872="","",MATCH_ENGINE!L872)</f>
        <v/>
      </c>
      <c r="L872" s="17">
        <f>IF(MATCH_ENGINE!A872="","",MATCH_ENGINE!M872)</f>
        <v/>
      </c>
      <c r="M872" s="11">
        <f>IF(MATCH_ENGINE!A872="","",GL_CLEAN!F872)</f>
        <v/>
      </c>
      <c r="N872" s="11">
        <f>IF(MATCH_ENGINE!A872="","",GL_CLEAN!G872)</f>
        <v/>
      </c>
      <c r="O872" s="11">
        <f>IF(MATCH_ENGINE!H872="","",INDEX(BANK_CLEAN!$C$2:$C$1001,MATCH_ENGINE!H872))</f>
        <v/>
      </c>
      <c r="P872" s="11" t="inlineStr"/>
    </row>
    <row r="873">
      <c r="A873" s="11">
        <f>IF(MATCH_ENGINE!A873="","",MATCH_ENGINE!N873)</f>
        <v/>
      </c>
      <c r="B873" s="11">
        <f>IF(MATCH_ENGINE!A873="","",MATCH_ENGINE!C873)</f>
        <v/>
      </c>
      <c r="C873" s="10">
        <f>IF(MATCH_ENGINE!A873="","",MATCH_ENGINE!B873)</f>
        <v/>
      </c>
      <c r="D873" s="16">
        <f>IF(MATCH_ENGINE!A873="","",MATCH_ENGINE!D873)</f>
        <v/>
      </c>
      <c r="E873" s="11">
        <f>IF(MATCH_ENGINE!A873="","",MATCH_ENGINE!F873)</f>
        <v/>
      </c>
      <c r="F873" s="10">
        <f>IF(MATCH_ENGINE!A873="","",MATCH_ENGINE!I873)</f>
        <v/>
      </c>
      <c r="G873" s="16">
        <f>IF(MATCH_ENGINE!H873="","",IF(MATCH_ENGINE!F873="IN",MATCH_ENGINE!J873,""))</f>
        <v/>
      </c>
      <c r="H873" s="16">
        <f>IF(MATCH_ENGINE!H873="","",IF(MATCH_ENGINE!F873="OUT",MATCH_ENGINE!J873,""))</f>
        <v/>
      </c>
      <c r="I873" s="16">
        <f>IF(MATCH_ENGINE!H873="","",MATCH_ENGINE!J873)</f>
        <v/>
      </c>
      <c r="J873" s="12">
        <f>IF(MATCH_ENGINE!A873="","",MATCH_ENGINE!K873)</f>
        <v/>
      </c>
      <c r="K873" s="11">
        <f>IF(MATCH_ENGINE!A873="","",MATCH_ENGINE!L873)</f>
        <v/>
      </c>
      <c r="L873" s="17">
        <f>IF(MATCH_ENGINE!A873="","",MATCH_ENGINE!M873)</f>
        <v/>
      </c>
      <c r="M873" s="11">
        <f>IF(MATCH_ENGINE!A873="","",GL_CLEAN!F873)</f>
        <v/>
      </c>
      <c r="N873" s="11">
        <f>IF(MATCH_ENGINE!A873="","",GL_CLEAN!G873)</f>
        <v/>
      </c>
      <c r="O873" s="11">
        <f>IF(MATCH_ENGINE!H873="","",INDEX(BANK_CLEAN!$C$2:$C$1001,MATCH_ENGINE!H873))</f>
        <v/>
      </c>
      <c r="P873" s="11" t="inlineStr"/>
    </row>
    <row r="874">
      <c r="A874" s="11">
        <f>IF(MATCH_ENGINE!A874="","",MATCH_ENGINE!N874)</f>
        <v/>
      </c>
      <c r="B874" s="11">
        <f>IF(MATCH_ENGINE!A874="","",MATCH_ENGINE!C874)</f>
        <v/>
      </c>
      <c r="C874" s="10">
        <f>IF(MATCH_ENGINE!A874="","",MATCH_ENGINE!B874)</f>
        <v/>
      </c>
      <c r="D874" s="16">
        <f>IF(MATCH_ENGINE!A874="","",MATCH_ENGINE!D874)</f>
        <v/>
      </c>
      <c r="E874" s="11">
        <f>IF(MATCH_ENGINE!A874="","",MATCH_ENGINE!F874)</f>
        <v/>
      </c>
      <c r="F874" s="10">
        <f>IF(MATCH_ENGINE!A874="","",MATCH_ENGINE!I874)</f>
        <v/>
      </c>
      <c r="G874" s="16">
        <f>IF(MATCH_ENGINE!H874="","",IF(MATCH_ENGINE!F874="IN",MATCH_ENGINE!J874,""))</f>
        <v/>
      </c>
      <c r="H874" s="16">
        <f>IF(MATCH_ENGINE!H874="","",IF(MATCH_ENGINE!F874="OUT",MATCH_ENGINE!J874,""))</f>
        <v/>
      </c>
      <c r="I874" s="16">
        <f>IF(MATCH_ENGINE!H874="","",MATCH_ENGINE!J874)</f>
        <v/>
      </c>
      <c r="J874" s="12">
        <f>IF(MATCH_ENGINE!A874="","",MATCH_ENGINE!K874)</f>
        <v/>
      </c>
      <c r="K874" s="11">
        <f>IF(MATCH_ENGINE!A874="","",MATCH_ENGINE!L874)</f>
        <v/>
      </c>
      <c r="L874" s="17">
        <f>IF(MATCH_ENGINE!A874="","",MATCH_ENGINE!M874)</f>
        <v/>
      </c>
      <c r="M874" s="11">
        <f>IF(MATCH_ENGINE!A874="","",GL_CLEAN!F874)</f>
        <v/>
      </c>
      <c r="N874" s="11">
        <f>IF(MATCH_ENGINE!A874="","",GL_CLEAN!G874)</f>
        <v/>
      </c>
      <c r="O874" s="11">
        <f>IF(MATCH_ENGINE!H874="","",INDEX(BANK_CLEAN!$C$2:$C$1001,MATCH_ENGINE!H874))</f>
        <v/>
      </c>
      <c r="P874" s="11" t="inlineStr"/>
    </row>
    <row r="875">
      <c r="A875" s="11">
        <f>IF(MATCH_ENGINE!A875="","",MATCH_ENGINE!N875)</f>
        <v/>
      </c>
      <c r="B875" s="11">
        <f>IF(MATCH_ENGINE!A875="","",MATCH_ENGINE!C875)</f>
        <v/>
      </c>
      <c r="C875" s="10">
        <f>IF(MATCH_ENGINE!A875="","",MATCH_ENGINE!B875)</f>
        <v/>
      </c>
      <c r="D875" s="16">
        <f>IF(MATCH_ENGINE!A875="","",MATCH_ENGINE!D875)</f>
        <v/>
      </c>
      <c r="E875" s="11">
        <f>IF(MATCH_ENGINE!A875="","",MATCH_ENGINE!F875)</f>
        <v/>
      </c>
      <c r="F875" s="10">
        <f>IF(MATCH_ENGINE!A875="","",MATCH_ENGINE!I875)</f>
        <v/>
      </c>
      <c r="G875" s="16">
        <f>IF(MATCH_ENGINE!H875="","",IF(MATCH_ENGINE!F875="IN",MATCH_ENGINE!J875,""))</f>
        <v/>
      </c>
      <c r="H875" s="16">
        <f>IF(MATCH_ENGINE!H875="","",IF(MATCH_ENGINE!F875="OUT",MATCH_ENGINE!J875,""))</f>
        <v/>
      </c>
      <c r="I875" s="16">
        <f>IF(MATCH_ENGINE!H875="","",MATCH_ENGINE!J875)</f>
        <v/>
      </c>
      <c r="J875" s="12">
        <f>IF(MATCH_ENGINE!A875="","",MATCH_ENGINE!K875)</f>
        <v/>
      </c>
      <c r="K875" s="11">
        <f>IF(MATCH_ENGINE!A875="","",MATCH_ENGINE!L875)</f>
        <v/>
      </c>
      <c r="L875" s="17">
        <f>IF(MATCH_ENGINE!A875="","",MATCH_ENGINE!M875)</f>
        <v/>
      </c>
      <c r="M875" s="11">
        <f>IF(MATCH_ENGINE!A875="","",GL_CLEAN!F875)</f>
        <v/>
      </c>
      <c r="N875" s="11">
        <f>IF(MATCH_ENGINE!A875="","",GL_CLEAN!G875)</f>
        <v/>
      </c>
      <c r="O875" s="11">
        <f>IF(MATCH_ENGINE!H875="","",INDEX(BANK_CLEAN!$C$2:$C$1001,MATCH_ENGINE!H875))</f>
        <v/>
      </c>
      <c r="P875" s="11" t="inlineStr"/>
    </row>
    <row r="876">
      <c r="A876" s="11">
        <f>IF(MATCH_ENGINE!A876="","",MATCH_ENGINE!N876)</f>
        <v/>
      </c>
      <c r="B876" s="11">
        <f>IF(MATCH_ENGINE!A876="","",MATCH_ENGINE!C876)</f>
        <v/>
      </c>
      <c r="C876" s="10">
        <f>IF(MATCH_ENGINE!A876="","",MATCH_ENGINE!B876)</f>
        <v/>
      </c>
      <c r="D876" s="16">
        <f>IF(MATCH_ENGINE!A876="","",MATCH_ENGINE!D876)</f>
        <v/>
      </c>
      <c r="E876" s="11">
        <f>IF(MATCH_ENGINE!A876="","",MATCH_ENGINE!F876)</f>
        <v/>
      </c>
      <c r="F876" s="10">
        <f>IF(MATCH_ENGINE!A876="","",MATCH_ENGINE!I876)</f>
        <v/>
      </c>
      <c r="G876" s="16">
        <f>IF(MATCH_ENGINE!H876="","",IF(MATCH_ENGINE!F876="IN",MATCH_ENGINE!J876,""))</f>
        <v/>
      </c>
      <c r="H876" s="16">
        <f>IF(MATCH_ENGINE!H876="","",IF(MATCH_ENGINE!F876="OUT",MATCH_ENGINE!J876,""))</f>
        <v/>
      </c>
      <c r="I876" s="16">
        <f>IF(MATCH_ENGINE!H876="","",MATCH_ENGINE!J876)</f>
        <v/>
      </c>
      <c r="J876" s="12">
        <f>IF(MATCH_ENGINE!A876="","",MATCH_ENGINE!K876)</f>
        <v/>
      </c>
      <c r="K876" s="11">
        <f>IF(MATCH_ENGINE!A876="","",MATCH_ENGINE!L876)</f>
        <v/>
      </c>
      <c r="L876" s="17">
        <f>IF(MATCH_ENGINE!A876="","",MATCH_ENGINE!M876)</f>
        <v/>
      </c>
      <c r="M876" s="11">
        <f>IF(MATCH_ENGINE!A876="","",GL_CLEAN!F876)</f>
        <v/>
      </c>
      <c r="N876" s="11">
        <f>IF(MATCH_ENGINE!A876="","",GL_CLEAN!G876)</f>
        <v/>
      </c>
      <c r="O876" s="11">
        <f>IF(MATCH_ENGINE!H876="","",INDEX(BANK_CLEAN!$C$2:$C$1001,MATCH_ENGINE!H876))</f>
        <v/>
      </c>
      <c r="P876" s="11" t="inlineStr"/>
    </row>
    <row r="877">
      <c r="A877" s="11">
        <f>IF(MATCH_ENGINE!A877="","",MATCH_ENGINE!N877)</f>
        <v/>
      </c>
      <c r="B877" s="11">
        <f>IF(MATCH_ENGINE!A877="","",MATCH_ENGINE!C877)</f>
        <v/>
      </c>
      <c r="C877" s="10">
        <f>IF(MATCH_ENGINE!A877="","",MATCH_ENGINE!B877)</f>
        <v/>
      </c>
      <c r="D877" s="16">
        <f>IF(MATCH_ENGINE!A877="","",MATCH_ENGINE!D877)</f>
        <v/>
      </c>
      <c r="E877" s="11">
        <f>IF(MATCH_ENGINE!A877="","",MATCH_ENGINE!F877)</f>
        <v/>
      </c>
      <c r="F877" s="10">
        <f>IF(MATCH_ENGINE!A877="","",MATCH_ENGINE!I877)</f>
        <v/>
      </c>
      <c r="G877" s="16">
        <f>IF(MATCH_ENGINE!H877="","",IF(MATCH_ENGINE!F877="IN",MATCH_ENGINE!J877,""))</f>
        <v/>
      </c>
      <c r="H877" s="16">
        <f>IF(MATCH_ENGINE!H877="","",IF(MATCH_ENGINE!F877="OUT",MATCH_ENGINE!J877,""))</f>
        <v/>
      </c>
      <c r="I877" s="16">
        <f>IF(MATCH_ENGINE!H877="","",MATCH_ENGINE!J877)</f>
        <v/>
      </c>
      <c r="J877" s="12">
        <f>IF(MATCH_ENGINE!A877="","",MATCH_ENGINE!K877)</f>
        <v/>
      </c>
      <c r="K877" s="11">
        <f>IF(MATCH_ENGINE!A877="","",MATCH_ENGINE!L877)</f>
        <v/>
      </c>
      <c r="L877" s="17">
        <f>IF(MATCH_ENGINE!A877="","",MATCH_ENGINE!M877)</f>
        <v/>
      </c>
      <c r="M877" s="11">
        <f>IF(MATCH_ENGINE!A877="","",GL_CLEAN!F877)</f>
        <v/>
      </c>
      <c r="N877" s="11">
        <f>IF(MATCH_ENGINE!A877="","",GL_CLEAN!G877)</f>
        <v/>
      </c>
      <c r="O877" s="11">
        <f>IF(MATCH_ENGINE!H877="","",INDEX(BANK_CLEAN!$C$2:$C$1001,MATCH_ENGINE!H877))</f>
        <v/>
      </c>
      <c r="P877" s="11" t="inlineStr"/>
    </row>
    <row r="878">
      <c r="A878" s="11">
        <f>IF(MATCH_ENGINE!A878="","",MATCH_ENGINE!N878)</f>
        <v/>
      </c>
      <c r="B878" s="11">
        <f>IF(MATCH_ENGINE!A878="","",MATCH_ENGINE!C878)</f>
        <v/>
      </c>
      <c r="C878" s="10">
        <f>IF(MATCH_ENGINE!A878="","",MATCH_ENGINE!B878)</f>
        <v/>
      </c>
      <c r="D878" s="16">
        <f>IF(MATCH_ENGINE!A878="","",MATCH_ENGINE!D878)</f>
        <v/>
      </c>
      <c r="E878" s="11">
        <f>IF(MATCH_ENGINE!A878="","",MATCH_ENGINE!F878)</f>
        <v/>
      </c>
      <c r="F878" s="10">
        <f>IF(MATCH_ENGINE!A878="","",MATCH_ENGINE!I878)</f>
        <v/>
      </c>
      <c r="G878" s="16">
        <f>IF(MATCH_ENGINE!H878="","",IF(MATCH_ENGINE!F878="IN",MATCH_ENGINE!J878,""))</f>
        <v/>
      </c>
      <c r="H878" s="16">
        <f>IF(MATCH_ENGINE!H878="","",IF(MATCH_ENGINE!F878="OUT",MATCH_ENGINE!J878,""))</f>
        <v/>
      </c>
      <c r="I878" s="16">
        <f>IF(MATCH_ENGINE!H878="","",MATCH_ENGINE!J878)</f>
        <v/>
      </c>
      <c r="J878" s="12">
        <f>IF(MATCH_ENGINE!A878="","",MATCH_ENGINE!K878)</f>
        <v/>
      </c>
      <c r="K878" s="11">
        <f>IF(MATCH_ENGINE!A878="","",MATCH_ENGINE!L878)</f>
        <v/>
      </c>
      <c r="L878" s="17">
        <f>IF(MATCH_ENGINE!A878="","",MATCH_ENGINE!M878)</f>
        <v/>
      </c>
      <c r="M878" s="11">
        <f>IF(MATCH_ENGINE!A878="","",GL_CLEAN!F878)</f>
        <v/>
      </c>
      <c r="N878" s="11">
        <f>IF(MATCH_ENGINE!A878="","",GL_CLEAN!G878)</f>
        <v/>
      </c>
      <c r="O878" s="11">
        <f>IF(MATCH_ENGINE!H878="","",INDEX(BANK_CLEAN!$C$2:$C$1001,MATCH_ENGINE!H878))</f>
        <v/>
      </c>
      <c r="P878" s="11" t="inlineStr"/>
    </row>
    <row r="879">
      <c r="A879" s="11">
        <f>IF(MATCH_ENGINE!A879="","",MATCH_ENGINE!N879)</f>
        <v/>
      </c>
      <c r="B879" s="11">
        <f>IF(MATCH_ENGINE!A879="","",MATCH_ENGINE!C879)</f>
        <v/>
      </c>
      <c r="C879" s="10">
        <f>IF(MATCH_ENGINE!A879="","",MATCH_ENGINE!B879)</f>
        <v/>
      </c>
      <c r="D879" s="16">
        <f>IF(MATCH_ENGINE!A879="","",MATCH_ENGINE!D879)</f>
        <v/>
      </c>
      <c r="E879" s="11">
        <f>IF(MATCH_ENGINE!A879="","",MATCH_ENGINE!F879)</f>
        <v/>
      </c>
      <c r="F879" s="10">
        <f>IF(MATCH_ENGINE!A879="","",MATCH_ENGINE!I879)</f>
        <v/>
      </c>
      <c r="G879" s="16">
        <f>IF(MATCH_ENGINE!H879="","",IF(MATCH_ENGINE!F879="IN",MATCH_ENGINE!J879,""))</f>
        <v/>
      </c>
      <c r="H879" s="16">
        <f>IF(MATCH_ENGINE!H879="","",IF(MATCH_ENGINE!F879="OUT",MATCH_ENGINE!J879,""))</f>
        <v/>
      </c>
      <c r="I879" s="16">
        <f>IF(MATCH_ENGINE!H879="","",MATCH_ENGINE!J879)</f>
        <v/>
      </c>
      <c r="J879" s="12">
        <f>IF(MATCH_ENGINE!A879="","",MATCH_ENGINE!K879)</f>
        <v/>
      </c>
      <c r="K879" s="11">
        <f>IF(MATCH_ENGINE!A879="","",MATCH_ENGINE!L879)</f>
        <v/>
      </c>
      <c r="L879" s="17">
        <f>IF(MATCH_ENGINE!A879="","",MATCH_ENGINE!M879)</f>
        <v/>
      </c>
      <c r="M879" s="11">
        <f>IF(MATCH_ENGINE!A879="","",GL_CLEAN!F879)</f>
        <v/>
      </c>
      <c r="N879" s="11">
        <f>IF(MATCH_ENGINE!A879="","",GL_CLEAN!G879)</f>
        <v/>
      </c>
      <c r="O879" s="11">
        <f>IF(MATCH_ENGINE!H879="","",INDEX(BANK_CLEAN!$C$2:$C$1001,MATCH_ENGINE!H879))</f>
        <v/>
      </c>
      <c r="P879" s="11" t="inlineStr"/>
    </row>
    <row r="880">
      <c r="A880" s="11">
        <f>IF(MATCH_ENGINE!A880="","",MATCH_ENGINE!N880)</f>
        <v/>
      </c>
      <c r="B880" s="11">
        <f>IF(MATCH_ENGINE!A880="","",MATCH_ENGINE!C880)</f>
        <v/>
      </c>
      <c r="C880" s="10">
        <f>IF(MATCH_ENGINE!A880="","",MATCH_ENGINE!B880)</f>
        <v/>
      </c>
      <c r="D880" s="16">
        <f>IF(MATCH_ENGINE!A880="","",MATCH_ENGINE!D880)</f>
        <v/>
      </c>
      <c r="E880" s="11">
        <f>IF(MATCH_ENGINE!A880="","",MATCH_ENGINE!F880)</f>
        <v/>
      </c>
      <c r="F880" s="10">
        <f>IF(MATCH_ENGINE!A880="","",MATCH_ENGINE!I880)</f>
        <v/>
      </c>
      <c r="G880" s="16">
        <f>IF(MATCH_ENGINE!H880="","",IF(MATCH_ENGINE!F880="IN",MATCH_ENGINE!J880,""))</f>
        <v/>
      </c>
      <c r="H880" s="16">
        <f>IF(MATCH_ENGINE!H880="","",IF(MATCH_ENGINE!F880="OUT",MATCH_ENGINE!J880,""))</f>
        <v/>
      </c>
      <c r="I880" s="16">
        <f>IF(MATCH_ENGINE!H880="","",MATCH_ENGINE!J880)</f>
        <v/>
      </c>
      <c r="J880" s="12">
        <f>IF(MATCH_ENGINE!A880="","",MATCH_ENGINE!K880)</f>
        <v/>
      </c>
      <c r="K880" s="11">
        <f>IF(MATCH_ENGINE!A880="","",MATCH_ENGINE!L880)</f>
        <v/>
      </c>
      <c r="L880" s="17">
        <f>IF(MATCH_ENGINE!A880="","",MATCH_ENGINE!M880)</f>
        <v/>
      </c>
      <c r="M880" s="11">
        <f>IF(MATCH_ENGINE!A880="","",GL_CLEAN!F880)</f>
        <v/>
      </c>
      <c r="N880" s="11">
        <f>IF(MATCH_ENGINE!A880="","",GL_CLEAN!G880)</f>
        <v/>
      </c>
      <c r="O880" s="11">
        <f>IF(MATCH_ENGINE!H880="","",INDEX(BANK_CLEAN!$C$2:$C$1001,MATCH_ENGINE!H880))</f>
        <v/>
      </c>
      <c r="P880" s="11" t="inlineStr"/>
    </row>
    <row r="881">
      <c r="A881" s="11">
        <f>IF(MATCH_ENGINE!A881="","",MATCH_ENGINE!N881)</f>
        <v/>
      </c>
      <c r="B881" s="11">
        <f>IF(MATCH_ENGINE!A881="","",MATCH_ENGINE!C881)</f>
        <v/>
      </c>
      <c r="C881" s="10">
        <f>IF(MATCH_ENGINE!A881="","",MATCH_ENGINE!B881)</f>
        <v/>
      </c>
      <c r="D881" s="16">
        <f>IF(MATCH_ENGINE!A881="","",MATCH_ENGINE!D881)</f>
        <v/>
      </c>
      <c r="E881" s="11">
        <f>IF(MATCH_ENGINE!A881="","",MATCH_ENGINE!F881)</f>
        <v/>
      </c>
      <c r="F881" s="10">
        <f>IF(MATCH_ENGINE!A881="","",MATCH_ENGINE!I881)</f>
        <v/>
      </c>
      <c r="G881" s="16">
        <f>IF(MATCH_ENGINE!H881="","",IF(MATCH_ENGINE!F881="IN",MATCH_ENGINE!J881,""))</f>
        <v/>
      </c>
      <c r="H881" s="16">
        <f>IF(MATCH_ENGINE!H881="","",IF(MATCH_ENGINE!F881="OUT",MATCH_ENGINE!J881,""))</f>
        <v/>
      </c>
      <c r="I881" s="16">
        <f>IF(MATCH_ENGINE!H881="","",MATCH_ENGINE!J881)</f>
        <v/>
      </c>
      <c r="J881" s="12">
        <f>IF(MATCH_ENGINE!A881="","",MATCH_ENGINE!K881)</f>
        <v/>
      </c>
      <c r="K881" s="11">
        <f>IF(MATCH_ENGINE!A881="","",MATCH_ENGINE!L881)</f>
        <v/>
      </c>
      <c r="L881" s="17">
        <f>IF(MATCH_ENGINE!A881="","",MATCH_ENGINE!M881)</f>
        <v/>
      </c>
      <c r="M881" s="11">
        <f>IF(MATCH_ENGINE!A881="","",GL_CLEAN!F881)</f>
        <v/>
      </c>
      <c r="N881" s="11">
        <f>IF(MATCH_ENGINE!A881="","",GL_CLEAN!G881)</f>
        <v/>
      </c>
      <c r="O881" s="11">
        <f>IF(MATCH_ENGINE!H881="","",INDEX(BANK_CLEAN!$C$2:$C$1001,MATCH_ENGINE!H881))</f>
        <v/>
      </c>
      <c r="P881" s="11" t="inlineStr"/>
    </row>
    <row r="882">
      <c r="A882" s="11">
        <f>IF(MATCH_ENGINE!A882="","",MATCH_ENGINE!N882)</f>
        <v/>
      </c>
      <c r="B882" s="11">
        <f>IF(MATCH_ENGINE!A882="","",MATCH_ENGINE!C882)</f>
        <v/>
      </c>
      <c r="C882" s="10">
        <f>IF(MATCH_ENGINE!A882="","",MATCH_ENGINE!B882)</f>
        <v/>
      </c>
      <c r="D882" s="16">
        <f>IF(MATCH_ENGINE!A882="","",MATCH_ENGINE!D882)</f>
        <v/>
      </c>
      <c r="E882" s="11">
        <f>IF(MATCH_ENGINE!A882="","",MATCH_ENGINE!F882)</f>
        <v/>
      </c>
      <c r="F882" s="10">
        <f>IF(MATCH_ENGINE!A882="","",MATCH_ENGINE!I882)</f>
        <v/>
      </c>
      <c r="G882" s="16">
        <f>IF(MATCH_ENGINE!H882="","",IF(MATCH_ENGINE!F882="IN",MATCH_ENGINE!J882,""))</f>
        <v/>
      </c>
      <c r="H882" s="16">
        <f>IF(MATCH_ENGINE!H882="","",IF(MATCH_ENGINE!F882="OUT",MATCH_ENGINE!J882,""))</f>
        <v/>
      </c>
      <c r="I882" s="16">
        <f>IF(MATCH_ENGINE!H882="","",MATCH_ENGINE!J882)</f>
        <v/>
      </c>
      <c r="J882" s="12">
        <f>IF(MATCH_ENGINE!A882="","",MATCH_ENGINE!K882)</f>
        <v/>
      </c>
      <c r="K882" s="11">
        <f>IF(MATCH_ENGINE!A882="","",MATCH_ENGINE!L882)</f>
        <v/>
      </c>
      <c r="L882" s="17">
        <f>IF(MATCH_ENGINE!A882="","",MATCH_ENGINE!M882)</f>
        <v/>
      </c>
      <c r="M882" s="11">
        <f>IF(MATCH_ENGINE!A882="","",GL_CLEAN!F882)</f>
        <v/>
      </c>
      <c r="N882" s="11">
        <f>IF(MATCH_ENGINE!A882="","",GL_CLEAN!G882)</f>
        <v/>
      </c>
      <c r="O882" s="11">
        <f>IF(MATCH_ENGINE!H882="","",INDEX(BANK_CLEAN!$C$2:$C$1001,MATCH_ENGINE!H882))</f>
        <v/>
      </c>
      <c r="P882" s="11" t="inlineStr"/>
    </row>
    <row r="883">
      <c r="A883" s="11">
        <f>IF(MATCH_ENGINE!A883="","",MATCH_ENGINE!N883)</f>
        <v/>
      </c>
      <c r="B883" s="11">
        <f>IF(MATCH_ENGINE!A883="","",MATCH_ENGINE!C883)</f>
        <v/>
      </c>
      <c r="C883" s="10">
        <f>IF(MATCH_ENGINE!A883="","",MATCH_ENGINE!B883)</f>
        <v/>
      </c>
      <c r="D883" s="16">
        <f>IF(MATCH_ENGINE!A883="","",MATCH_ENGINE!D883)</f>
        <v/>
      </c>
      <c r="E883" s="11">
        <f>IF(MATCH_ENGINE!A883="","",MATCH_ENGINE!F883)</f>
        <v/>
      </c>
      <c r="F883" s="10">
        <f>IF(MATCH_ENGINE!A883="","",MATCH_ENGINE!I883)</f>
        <v/>
      </c>
      <c r="G883" s="16">
        <f>IF(MATCH_ENGINE!H883="","",IF(MATCH_ENGINE!F883="IN",MATCH_ENGINE!J883,""))</f>
        <v/>
      </c>
      <c r="H883" s="16">
        <f>IF(MATCH_ENGINE!H883="","",IF(MATCH_ENGINE!F883="OUT",MATCH_ENGINE!J883,""))</f>
        <v/>
      </c>
      <c r="I883" s="16">
        <f>IF(MATCH_ENGINE!H883="","",MATCH_ENGINE!J883)</f>
        <v/>
      </c>
      <c r="J883" s="12">
        <f>IF(MATCH_ENGINE!A883="","",MATCH_ENGINE!K883)</f>
        <v/>
      </c>
      <c r="K883" s="11">
        <f>IF(MATCH_ENGINE!A883="","",MATCH_ENGINE!L883)</f>
        <v/>
      </c>
      <c r="L883" s="17">
        <f>IF(MATCH_ENGINE!A883="","",MATCH_ENGINE!M883)</f>
        <v/>
      </c>
      <c r="M883" s="11">
        <f>IF(MATCH_ENGINE!A883="","",GL_CLEAN!F883)</f>
        <v/>
      </c>
      <c r="N883" s="11">
        <f>IF(MATCH_ENGINE!A883="","",GL_CLEAN!G883)</f>
        <v/>
      </c>
      <c r="O883" s="11">
        <f>IF(MATCH_ENGINE!H883="","",INDEX(BANK_CLEAN!$C$2:$C$1001,MATCH_ENGINE!H883))</f>
        <v/>
      </c>
      <c r="P883" s="11" t="inlineStr"/>
    </row>
    <row r="884">
      <c r="A884" s="11">
        <f>IF(MATCH_ENGINE!A884="","",MATCH_ENGINE!N884)</f>
        <v/>
      </c>
      <c r="B884" s="11">
        <f>IF(MATCH_ENGINE!A884="","",MATCH_ENGINE!C884)</f>
        <v/>
      </c>
      <c r="C884" s="10">
        <f>IF(MATCH_ENGINE!A884="","",MATCH_ENGINE!B884)</f>
        <v/>
      </c>
      <c r="D884" s="16">
        <f>IF(MATCH_ENGINE!A884="","",MATCH_ENGINE!D884)</f>
        <v/>
      </c>
      <c r="E884" s="11">
        <f>IF(MATCH_ENGINE!A884="","",MATCH_ENGINE!F884)</f>
        <v/>
      </c>
      <c r="F884" s="10">
        <f>IF(MATCH_ENGINE!A884="","",MATCH_ENGINE!I884)</f>
        <v/>
      </c>
      <c r="G884" s="16">
        <f>IF(MATCH_ENGINE!H884="","",IF(MATCH_ENGINE!F884="IN",MATCH_ENGINE!J884,""))</f>
        <v/>
      </c>
      <c r="H884" s="16">
        <f>IF(MATCH_ENGINE!H884="","",IF(MATCH_ENGINE!F884="OUT",MATCH_ENGINE!J884,""))</f>
        <v/>
      </c>
      <c r="I884" s="16">
        <f>IF(MATCH_ENGINE!H884="","",MATCH_ENGINE!J884)</f>
        <v/>
      </c>
      <c r="J884" s="12">
        <f>IF(MATCH_ENGINE!A884="","",MATCH_ENGINE!K884)</f>
        <v/>
      </c>
      <c r="K884" s="11">
        <f>IF(MATCH_ENGINE!A884="","",MATCH_ENGINE!L884)</f>
        <v/>
      </c>
      <c r="L884" s="17">
        <f>IF(MATCH_ENGINE!A884="","",MATCH_ENGINE!M884)</f>
        <v/>
      </c>
      <c r="M884" s="11">
        <f>IF(MATCH_ENGINE!A884="","",GL_CLEAN!F884)</f>
        <v/>
      </c>
      <c r="N884" s="11">
        <f>IF(MATCH_ENGINE!A884="","",GL_CLEAN!G884)</f>
        <v/>
      </c>
      <c r="O884" s="11">
        <f>IF(MATCH_ENGINE!H884="","",INDEX(BANK_CLEAN!$C$2:$C$1001,MATCH_ENGINE!H884))</f>
        <v/>
      </c>
      <c r="P884" s="11" t="inlineStr"/>
    </row>
    <row r="885">
      <c r="A885" s="11">
        <f>IF(MATCH_ENGINE!A885="","",MATCH_ENGINE!N885)</f>
        <v/>
      </c>
      <c r="B885" s="11">
        <f>IF(MATCH_ENGINE!A885="","",MATCH_ENGINE!C885)</f>
        <v/>
      </c>
      <c r="C885" s="10">
        <f>IF(MATCH_ENGINE!A885="","",MATCH_ENGINE!B885)</f>
        <v/>
      </c>
      <c r="D885" s="16">
        <f>IF(MATCH_ENGINE!A885="","",MATCH_ENGINE!D885)</f>
        <v/>
      </c>
      <c r="E885" s="11">
        <f>IF(MATCH_ENGINE!A885="","",MATCH_ENGINE!F885)</f>
        <v/>
      </c>
      <c r="F885" s="10">
        <f>IF(MATCH_ENGINE!A885="","",MATCH_ENGINE!I885)</f>
        <v/>
      </c>
      <c r="G885" s="16">
        <f>IF(MATCH_ENGINE!H885="","",IF(MATCH_ENGINE!F885="IN",MATCH_ENGINE!J885,""))</f>
        <v/>
      </c>
      <c r="H885" s="16">
        <f>IF(MATCH_ENGINE!H885="","",IF(MATCH_ENGINE!F885="OUT",MATCH_ENGINE!J885,""))</f>
        <v/>
      </c>
      <c r="I885" s="16">
        <f>IF(MATCH_ENGINE!H885="","",MATCH_ENGINE!J885)</f>
        <v/>
      </c>
      <c r="J885" s="12">
        <f>IF(MATCH_ENGINE!A885="","",MATCH_ENGINE!K885)</f>
        <v/>
      </c>
      <c r="K885" s="11">
        <f>IF(MATCH_ENGINE!A885="","",MATCH_ENGINE!L885)</f>
        <v/>
      </c>
      <c r="L885" s="17">
        <f>IF(MATCH_ENGINE!A885="","",MATCH_ENGINE!M885)</f>
        <v/>
      </c>
      <c r="M885" s="11">
        <f>IF(MATCH_ENGINE!A885="","",GL_CLEAN!F885)</f>
        <v/>
      </c>
      <c r="N885" s="11">
        <f>IF(MATCH_ENGINE!A885="","",GL_CLEAN!G885)</f>
        <v/>
      </c>
      <c r="O885" s="11">
        <f>IF(MATCH_ENGINE!H885="","",INDEX(BANK_CLEAN!$C$2:$C$1001,MATCH_ENGINE!H885))</f>
        <v/>
      </c>
      <c r="P885" s="11" t="inlineStr"/>
    </row>
    <row r="886">
      <c r="A886" s="11">
        <f>IF(MATCH_ENGINE!A886="","",MATCH_ENGINE!N886)</f>
        <v/>
      </c>
      <c r="B886" s="11">
        <f>IF(MATCH_ENGINE!A886="","",MATCH_ENGINE!C886)</f>
        <v/>
      </c>
      <c r="C886" s="10">
        <f>IF(MATCH_ENGINE!A886="","",MATCH_ENGINE!B886)</f>
        <v/>
      </c>
      <c r="D886" s="16">
        <f>IF(MATCH_ENGINE!A886="","",MATCH_ENGINE!D886)</f>
        <v/>
      </c>
      <c r="E886" s="11">
        <f>IF(MATCH_ENGINE!A886="","",MATCH_ENGINE!F886)</f>
        <v/>
      </c>
      <c r="F886" s="10">
        <f>IF(MATCH_ENGINE!A886="","",MATCH_ENGINE!I886)</f>
        <v/>
      </c>
      <c r="G886" s="16">
        <f>IF(MATCH_ENGINE!H886="","",IF(MATCH_ENGINE!F886="IN",MATCH_ENGINE!J886,""))</f>
        <v/>
      </c>
      <c r="H886" s="16">
        <f>IF(MATCH_ENGINE!H886="","",IF(MATCH_ENGINE!F886="OUT",MATCH_ENGINE!J886,""))</f>
        <v/>
      </c>
      <c r="I886" s="16">
        <f>IF(MATCH_ENGINE!H886="","",MATCH_ENGINE!J886)</f>
        <v/>
      </c>
      <c r="J886" s="12">
        <f>IF(MATCH_ENGINE!A886="","",MATCH_ENGINE!K886)</f>
        <v/>
      </c>
      <c r="K886" s="11">
        <f>IF(MATCH_ENGINE!A886="","",MATCH_ENGINE!L886)</f>
        <v/>
      </c>
      <c r="L886" s="17">
        <f>IF(MATCH_ENGINE!A886="","",MATCH_ENGINE!M886)</f>
        <v/>
      </c>
      <c r="M886" s="11">
        <f>IF(MATCH_ENGINE!A886="","",GL_CLEAN!F886)</f>
        <v/>
      </c>
      <c r="N886" s="11">
        <f>IF(MATCH_ENGINE!A886="","",GL_CLEAN!G886)</f>
        <v/>
      </c>
      <c r="O886" s="11">
        <f>IF(MATCH_ENGINE!H886="","",INDEX(BANK_CLEAN!$C$2:$C$1001,MATCH_ENGINE!H886))</f>
        <v/>
      </c>
      <c r="P886" s="11" t="inlineStr"/>
    </row>
    <row r="887">
      <c r="A887" s="11">
        <f>IF(MATCH_ENGINE!A887="","",MATCH_ENGINE!N887)</f>
        <v/>
      </c>
      <c r="B887" s="11">
        <f>IF(MATCH_ENGINE!A887="","",MATCH_ENGINE!C887)</f>
        <v/>
      </c>
      <c r="C887" s="10">
        <f>IF(MATCH_ENGINE!A887="","",MATCH_ENGINE!B887)</f>
        <v/>
      </c>
      <c r="D887" s="16">
        <f>IF(MATCH_ENGINE!A887="","",MATCH_ENGINE!D887)</f>
        <v/>
      </c>
      <c r="E887" s="11">
        <f>IF(MATCH_ENGINE!A887="","",MATCH_ENGINE!F887)</f>
        <v/>
      </c>
      <c r="F887" s="10">
        <f>IF(MATCH_ENGINE!A887="","",MATCH_ENGINE!I887)</f>
        <v/>
      </c>
      <c r="G887" s="16">
        <f>IF(MATCH_ENGINE!H887="","",IF(MATCH_ENGINE!F887="IN",MATCH_ENGINE!J887,""))</f>
        <v/>
      </c>
      <c r="H887" s="16">
        <f>IF(MATCH_ENGINE!H887="","",IF(MATCH_ENGINE!F887="OUT",MATCH_ENGINE!J887,""))</f>
        <v/>
      </c>
      <c r="I887" s="16">
        <f>IF(MATCH_ENGINE!H887="","",MATCH_ENGINE!J887)</f>
        <v/>
      </c>
      <c r="J887" s="12">
        <f>IF(MATCH_ENGINE!A887="","",MATCH_ENGINE!K887)</f>
        <v/>
      </c>
      <c r="K887" s="11">
        <f>IF(MATCH_ENGINE!A887="","",MATCH_ENGINE!L887)</f>
        <v/>
      </c>
      <c r="L887" s="17">
        <f>IF(MATCH_ENGINE!A887="","",MATCH_ENGINE!M887)</f>
        <v/>
      </c>
      <c r="M887" s="11">
        <f>IF(MATCH_ENGINE!A887="","",GL_CLEAN!F887)</f>
        <v/>
      </c>
      <c r="N887" s="11">
        <f>IF(MATCH_ENGINE!A887="","",GL_CLEAN!G887)</f>
        <v/>
      </c>
      <c r="O887" s="11">
        <f>IF(MATCH_ENGINE!H887="","",INDEX(BANK_CLEAN!$C$2:$C$1001,MATCH_ENGINE!H887))</f>
        <v/>
      </c>
      <c r="P887" s="11" t="inlineStr"/>
    </row>
    <row r="888">
      <c r="A888" s="11">
        <f>IF(MATCH_ENGINE!A888="","",MATCH_ENGINE!N888)</f>
        <v/>
      </c>
      <c r="B888" s="11">
        <f>IF(MATCH_ENGINE!A888="","",MATCH_ENGINE!C888)</f>
        <v/>
      </c>
      <c r="C888" s="10">
        <f>IF(MATCH_ENGINE!A888="","",MATCH_ENGINE!B888)</f>
        <v/>
      </c>
      <c r="D888" s="16">
        <f>IF(MATCH_ENGINE!A888="","",MATCH_ENGINE!D888)</f>
        <v/>
      </c>
      <c r="E888" s="11">
        <f>IF(MATCH_ENGINE!A888="","",MATCH_ENGINE!F888)</f>
        <v/>
      </c>
      <c r="F888" s="10">
        <f>IF(MATCH_ENGINE!A888="","",MATCH_ENGINE!I888)</f>
        <v/>
      </c>
      <c r="G888" s="16">
        <f>IF(MATCH_ENGINE!H888="","",IF(MATCH_ENGINE!F888="IN",MATCH_ENGINE!J888,""))</f>
        <v/>
      </c>
      <c r="H888" s="16">
        <f>IF(MATCH_ENGINE!H888="","",IF(MATCH_ENGINE!F888="OUT",MATCH_ENGINE!J888,""))</f>
        <v/>
      </c>
      <c r="I888" s="16">
        <f>IF(MATCH_ENGINE!H888="","",MATCH_ENGINE!J888)</f>
        <v/>
      </c>
      <c r="J888" s="12">
        <f>IF(MATCH_ENGINE!A888="","",MATCH_ENGINE!K888)</f>
        <v/>
      </c>
      <c r="K888" s="11">
        <f>IF(MATCH_ENGINE!A888="","",MATCH_ENGINE!L888)</f>
        <v/>
      </c>
      <c r="L888" s="17">
        <f>IF(MATCH_ENGINE!A888="","",MATCH_ENGINE!M888)</f>
        <v/>
      </c>
      <c r="M888" s="11">
        <f>IF(MATCH_ENGINE!A888="","",GL_CLEAN!F888)</f>
        <v/>
      </c>
      <c r="N888" s="11">
        <f>IF(MATCH_ENGINE!A888="","",GL_CLEAN!G888)</f>
        <v/>
      </c>
      <c r="O888" s="11">
        <f>IF(MATCH_ENGINE!H888="","",INDEX(BANK_CLEAN!$C$2:$C$1001,MATCH_ENGINE!H888))</f>
        <v/>
      </c>
      <c r="P888" s="11" t="inlineStr"/>
    </row>
    <row r="889">
      <c r="A889" s="11">
        <f>IF(MATCH_ENGINE!A889="","",MATCH_ENGINE!N889)</f>
        <v/>
      </c>
      <c r="B889" s="11">
        <f>IF(MATCH_ENGINE!A889="","",MATCH_ENGINE!C889)</f>
        <v/>
      </c>
      <c r="C889" s="10">
        <f>IF(MATCH_ENGINE!A889="","",MATCH_ENGINE!B889)</f>
        <v/>
      </c>
      <c r="D889" s="16">
        <f>IF(MATCH_ENGINE!A889="","",MATCH_ENGINE!D889)</f>
        <v/>
      </c>
      <c r="E889" s="11">
        <f>IF(MATCH_ENGINE!A889="","",MATCH_ENGINE!F889)</f>
        <v/>
      </c>
      <c r="F889" s="10">
        <f>IF(MATCH_ENGINE!A889="","",MATCH_ENGINE!I889)</f>
        <v/>
      </c>
      <c r="G889" s="16">
        <f>IF(MATCH_ENGINE!H889="","",IF(MATCH_ENGINE!F889="IN",MATCH_ENGINE!J889,""))</f>
        <v/>
      </c>
      <c r="H889" s="16">
        <f>IF(MATCH_ENGINE!H889="","",IF(MATCH_ENGINE!F889="OUT",MATCH_ENGINE!J889,""))</f>
        <v/>
      </c>
      <c r="I889" s="16">
        <f>IF(MATCH_ENGINE!H889="","",MATCH_ENGINE!J889)</f>
        <v/>
      </c>
      <c r="J889" s="12">
        <f>IF(MATCH_ENGINE!A889="","",MATCH_ENGINE!K889)</f>
        <v/>
      </c>
      <c r="K889" s="11">
        <f>IF(MATCH_ENGINE!A889="","",MATCH_ENGINE!L889)</f>
        <v/>
      </c>
      <c r="L889" s="17">
        <f>IF(MATCH_ENGINE!A889="","",MATCH_ENGINE!M889)</f>
        <v/>
      </c>
      <c r="M889" s="11">
        <f>IF(MATCH_ENGINE!A889="","",GL_CLEAN!F889)</f>
        <v/>
      </c>
      <c r="N889" s="11">
        <f>IF(MATCH_ENGINE!A889="","",GL_CLEAN!G889)</f>
        <v/>
      </c>
      <c r="O889" s="11">
        <f>IF(MATCH_ENGINE!H889="","",INDEX(BANK_CLEAN!$C$2:$C$1001,MATCH_ENGINE!H889))</f>
        <v/>
      </c>
      <c r="P889" s="11" t="inlineStr"/>
    </row>
    <row r="890">
      <c r="A890" s="11">
        <f>IF(MATCH_ENGINE!A890="","",MATCH_ENGINE!N890)</f>
        <v/>
      </c>
      <c r="B890" s="11">
        <f>IF(MATCH_ENGINE!A890="","",MATCH_ENGINE!C890)</f>
        <v/>
      </c>
      <c r="C890" s="10">
        <f>IF(MATCH_ENGINE!A890="","",MATCH_ENGINE!B890)</f>
        <v/>
      </c>
      <c r="D890" s="16">
        <f>IF(MATCH_ENGINE!A890="","",MATCH_ENGINE!D890)</f>
        <v/>
      </c>
      <c r="E890" s="11">
        <f>IF(MATCH_ENGINE!A890="","",MATCH_ENGINE!F890)</f>
        <v/>
      </c>
      <c r="F890" s="10">
        <f>IF(MATCH_ENGINE!A890="","",MATCH_ENGINE!I890)</f>
        <v/>
      </c>
      <c r="G890" s="16">
        <f>IF(MATCH_ENGINE!H890="","",IF(MATCH_ENGINE!F890="IN",MATCH_ENGINE!J890,""))</f>
        <v/>
      </c>
      <c r="H890" s="16">
        <f>IF(MATCH_ENGINE!H890="","",IF(MATCH_ENGINE!F890="OUT",MATCH_ENGINE!J890,""))</f>
        <v/>
      </c>
      <c r="I890" s="16">
        <f>IF(MATCH_ENGINE!H890="","",MATCH_ENGINE!J890)</f>
        <v/>
      </c>
      <c r="J890" s="12">
        <f>IF(MATCH_ENGINE!A890="","",MATCH_ENGINE!K890)</f>
        <v/>
      </c>
      <c r="K890" s="11">
        <f>IF(MATCH_ENGINE!A890="","",MATCH_ENGINE!L890)</f>
        <v/>
      </c>
      <c r="L890" s="17">
        <f>IF(MATCH_ENGINE!A890="","",MATCH_ENGINE!M890)</f>
        <v/>
      </c>
      <c r="M890" s="11">
        <f>IF(MATCH_ENGINE!A890="","",GL_CLEAN!F890)</f>
        <v/>
      </c>
      <c r="N890" s="11">
        <f>IF(MATCH_ENGINE!A890="","",GL_CLEAN!G890)</f>
        <v/>
      </c>
      <c r="O890" s="11">
        <f>IF(MATCH_ENGINE!H890="","",INDEX(BANK_CLEAN!$C$2:$C$1001,MATCH_ENGINE!H890))</f>
        <v/>
      </c>
      <c r="P890" s="11" t="inlineStr"/>
    </row>
    <row r="891">
      <c r="A891" s="11">
        <f>IF(MATCH_ENGINE!A891="","",MATCH_ENGINE!N891)</f>
        <v/>
      </c>
      <c r="B891" s="11">
        <f>IF(MATCH_ENGINE!A891="","",MATCH_ENGINE!C891)</f>
        <v/>
      </c>
      <c r="C891" s="10">
        <f>IF(MATCH_ENGINE!A891="","",MATCH_ENGINE!B891)</f>
        <v/>
      </c>
      <c r="D891" s="16">
        <f>IF(MATCH_ENGINE!A891="","",MATCH_ENGINE!D891)</f>
        <v/>
      </c>
      <c r="E891" s="11">
        <f>IF(MATCH_ENGINE!A891="","",MATCH_ENGINE!F891)</f>
        <v/>
      </c>
      <c r="F891" s="10">
        <f>IF(MATCH_ENGINE!A891="","",MATCH_ENGINE!I891)</f>
        <v/>
      </c>
      <c r="G891" s="16">
        <f>IF(MATCH_ENGINE!H891="","",IF(MATCH_ENGINE!F891="IN",MATCH_ENGINE!J891,""))</f>
        <v/>
      </c>
      <c r="H891" s="16">
        <f>IF(MATCH_ENGINE!H891="","",IF(MATCH_ENGINE!F891="OUT",MATCH_ENGINE!J891,""))</f>
        <v/>
      </c>
      <c r="I891" s="16">
        <f>IF(MATCH_ENGINE!H891="","",MATCH_ENGINE!J891)</f>
        <v/>
      </c>
      <c r="J891" s="12">
        <f>IF(MATCH_ENGINE!A891="","",MATCH_ENGINE!K891)</f>
        <v/>
      </c>
      <c r="K891" s="11">
        <f>IF(MATCH_ENGINE!A891="","",MATCH_ENGINE!L891)</f>
        <v/>
      </c>
      <c r="L891" s="17">
        <f>IF(MATCH_ENGINE!A891="","",MATCH_ENGINE!M891)</f>
        <v/>
      </c>
      <c r="M891" s="11">
        <f>IF(MATCH_ENGINE!A891="","",GL_CLEAN!F891)</f>
        <v/>
      </c>
      <c r="N891" s="11">
        <f>IF(MATCH_ENGINE!A891="","",GL_CLEAN!G891)</f>
        <v/>
      </c>
      <c r="O891" s="11">
        <f>IF(MATCH_ENGINE!H891="","",INDEX(BANK_CLEAN!$C$2:$C$1001,MATCH_ENGINE!H891))</f>
        <v/>
      </c>
      <c r="P891" s="11" t="inlineStr"/>
    </row>
    <row r="892">
      <c r="A892" s="11">
        <f>IF(MATCH_ENGINE!A892="","",MATCH_ENGINE!N892)</f>
        <v/>
      </c>
      <c r="B892" s="11">
        <f>IF(MATCH_ENGINE!A892="","",MATCH_ENGINE!C892)</f>
        <v/>
      </c>
      <c r="C892" s="10">
        <f>IF(MATCH_ENGINE!A892="","",MATCH_ENGINE!B892)</f>
        <v/>
      </c>
      <c r="D892" s="16">
        <f>IF(MATCH_ENGINE!A892="","",MATCH_ENGINE!D892)</f>
        <v/>
      </c>
      <c r="E892" s="11">
        <f>IF(MATCH_ENGINE!A892="","",MATCH_ENGINE!F892)</f>
        <v/>
      </c>
      <c r="F892" s="10">
        <f>IF(MATCH_ENGINE!A892="","",MATCH_ENGINE!I892)</f>
        <v/>
      </c>
      <c r="G892" s="16">
        <f>IF(MATCH_ENGINE!H892="","",IF(MATCH_ENGINE!F892="IN",MATCH_ENGINE!J892,""))</f>
        <v/>
      </c>
      <c r="H892" s="16">
        <f>IF(MATCH_ENGINE!H892="","",IF(MATCH_ENGINE!F892="OUT",MATCH_ENGINE!J892,""))</f>
        <v/>
      </c>
      <c r="I892" s="16">
        <f>IF(MATCH_ENGINE!H892="","",MATCH_ENGINE!J892)</f>
        <v/>
      </c>
      <c r="J892" s="12">
        <f>IF(MATCH_ENGINE!A892="","",MATCH_ENGINE!K892)</f>
        <v/>
      </c>
      <c r="K892" s="11">
        <f>IF(MATCH_ENGINE!A892="","",MATCH_ENGINE!L892)</f>
        <v/>
      </c>
      <c r="L892" s="17">
        <f>IF(MATCH_ENGINE!A892="","",MATCH_ENGINE!M892)</f>
        <v/>
      </c>
      <c r="M892" s="11">
        <f>IF(MATCH_ENGINE!A892="","",GL_CLEAN!F892)</f>
        <v/>
      </c>
      <c r="N892" s="11">
        <f>IF(MATCH_ENGINE!A892="","",GL_CLEAN!G892)</f>
        <v/>
      </c>
      <c r="O892" s="11">
        <f>IF(MATCH_ENGINE!H892="","",INDEX(BANK_CLEAN!$C$2:$C$1001,MATCH_ENGINE!H892))</f>
        <v/>
      </c>
      <c r="P892" s="11" t="inlineStr"/>
    </row>
    <row r="893">
      <c r="A893" s="11">
        <f>IF(MATCH_ENGINE!A893="","",MATCH_ENGINE!N893)</f>
        <v/>
      </c>
      <c r="B893" s="11">
        <f>IF(MATCH_ENGINE!A893="","",MATCH_ENGINE!C893)</f>
        <v/>
      </c>
      <c r="C893" s="10">
        <f>IF(MATCH_ENGINE!A893="","",MATCH_ENGINE!B893)</f>
        <v/>
      </c>
      <c r="D893" s="16">
        <f>IF(MATCH_ENGINE!A893="","",MATCH_ENGINE!D893)</f>
        <v/>
      </c>
      <c r="E893" s="11">
        <f>IF(MATCH_ENGINE!A893="","",MATCH_ENGINE!F893)</f>
        <v/>
      </c>
      <c r="F893" s="10">
        <f>IF(MATCH_ENGINE!A893="","",MATCH_ENGINE!I893)</f>
        <v/>
      </c>
      <c r="G893" s="16">
        <f>IF(MATCH_ENGINE!H893="","",IF(MATCH_ENGINE!F893="IN",MATCH_ENGINE!J893,""))</f>
        <v/>
      </c>
      <c r="H893" s="16">
        <f>IF(MATCH_ENGINE!H893="","",IF(MATCH_ENGINE!F893="OUT",MATCH_ENGINE!J893,""))</f>
        <v/>
      </c>
      <c r="I893" s="16">
        <f>IF(MATCH_ENGINE!H893="","",MATCH_ENGINE!J893)</f>
        <v/>
      </c>
      <c r="J893" s="12">
        <f>IF(MATCH_ENGINE!A893="","",MATCH_ENGINE!K893)</f>
        <v/>
      </c>
      <c r="K893" s="11">
        <f>IF(MATCH_ENGINE!A893="","",MATCH_ENGINE!L893)</f>
        <v/>
      </c>
      <c r="L893" s="17">
        <f>IF(MATCH_ENGINE!A893="","",MATCH_ENGINE!M893)</f>
        <v/>
      </c>
      <c r="M893" s="11">
        <f>IF(MATCH_ENGINE!A893="","",GL_CLEAN!F893)</f>
        <v/>
      </c>
      <c r="N893" s="11">
        <f>IF(MATCH_ENGINE!A893="","",GL_CLEAN!G893)</f>
        <v/>
      </c>
      <c r="O893" s="11">
        <f>IF(MATCH_ENGINE!H893="","",INDEX(BANK_CLEAN!$C$2:$C$1001,MATCH_ENGINE!H893))</f>
        <v/>
      </c>
      <c r="P893" s="11" t="inlineStr"/>
    </row>
    <row r="894">
      <c r="A894" s="11">
        <f>IF(MATCH_ENGINE!A894="","",MATCH_ENGINE!N894)</f>
        <v/>
      </c>
      <c r="B894" s="11">
        <f>IF(MATCH_ENGINE!A894="","",MATCH_ENGINE!C894)</f>
        <v/>
      </c>
      <c r="C894" s="10">
        <f>IF(MATCH_ENGINE!A894="","",MATCH_ENGINE!B894)</f>
        <v/>
      </c>
      <c r="D894" s="16">
        <f>IF(MATCH_ENGINE!A894="","",MATCH_ENGINE!D894)</f>
        <v/>
      </c>
      <c r="E894" s="11">
        <f>IF(MATCH_ENGINE!A894="","",MATCH_ENGINE!F894)</f>
        <v/>
      </c>
      <c r="F894" s="10">
        <f>IF(MATCH_ENGINE!A894="","",MATCH_ENGINE!I894)</f>
        <v/>
      </c>
      <c r="G894" s="16">
        <f>IF(MATCH_ENGINE!H894="","",IF(MATCH_ENGINE!F894="IN",MATCH_ENGINE!J894,""))</f>
        <v/>
      </c>
      <c r="H894" s="16">
        <f>IF(MATCH_ENGINE!H894="","",IF(MATCH_ENGINE!F894="OUT",MATCH_ENGINE!J894,""))</f>
        <v/>
      </c>
      <c r="I894" s="16">
        <f>IF(MATCH_ENGINE!H894="","",MATCH_ENGINE!J894)</f>
        <v/>
      </c>
      <c r="J894" s="12">
        <f>IF(MATCH_ENGINE!A894="","",MATCH_ENGINE!K894)</f>
        <v/>
      </c>
      <c r="K894" s="11">
        <f>IF(MATCH_ENGINE!A894="","",MATCH_ENGINE!L894)</f>
        <v/>
      </c>
      <c r="L894" s="17">
        <f>IF(MATCH_ENGINE!A894="","",MATCH_ENGINE!M894)</f>
        <v/>
      </c>
      <c r="M894" s="11">
        <f>IF(MATCH_ENGINE!A894="","",GL_CLEAN!F894)</f>
        <v/>
      </c>
      <c r="N894" s="11">
        <f>IF(MATCH_ENGINE!A894="","",GL_CLEAN!G894)</f>
        <v/>
      </c>
      <c r="O894" s="11">
        <f>IF(MATCH_ENGINE!H894="","",INDEX(BANK_CLEAN!$C$2:$C$1001,MATCH_ENGINE!H894))</f>
        <v/>
      </c>
      <c r="P894" s="11" t="inlineStr"/>
    </row>
    <row r="895">
      <c r="A895" s="11">
        <f>IF(MATCH_ENGINE!A895="","",MATCH_ENGINE!N895)</f>
        <v/>
      </c>
      <c r="B895" s="11">
        <f>IF(MATCH_ENGINE!A895="","",MATCH_ENGINE!C895)</f>
        <v/>
      </c>
      <c r="C895" s="10">
        <f>IF(MATCH_ENGINE!A895="","",MATCH_ENGINE!B895)</f>
        <v/>
      </c>
      <c r="D895" s="16">
        <f>IF(MATCH_ENGINE!A895="","",MATCH_ENGINE!D895)</f>
        <v/>
      </c>
      <c r="E895" s="11">
        <f>IF(MATCH_ENGINE!A895="","",MATCH_ENGINE!F895)</f>
        <v/>
      </c>
      <c r="F895" s="10">
        <f>IF(MATCH_ENGINE!A895="","",MATCH_ENGINE!I895)</f>
        <v/>
      </c>
      <c r="G895" s="16">
        <f>IF(MATCH_ENGINE!H895="","",IF(MATCH_ENGINE!F895="IN",MATCH_ENGINE!J895,""))</f>
        <v/>
      </c>
      <c r="H895" s="16">
        <f>IF(MATCH_ENGINE!H895="","",IF(MATCH_ENGINE!F895="OUT",MATCH_ENGINE!J895,""))</f>
        <v/>
      </c>
      <c r="I895" s="16">
        <f>IF(MATCH_ENGINE!H895="","",MATCH_ENGINE!J895)</f>
        <v/>
      </c>
      <c r="J895" s="12">
        <f>IF(MATCH_ENGINE!A895="","",MATCH_ENGINE!K895)</f>
        <v/>
      </c>
      <c r="K895" s="11">
        <f>IF(MATCH_ENGINE!A895="","",MATCH_ENGINE!L895)</f>
        <v/>
      </c>
      <c r="L895" s="17">
        <f>IF(MATCH_ENGINE!A895="","",MATCH_ENGINE!M895)</f>
        <v/>
      </c>
      <c r="M895" s="11">
        <f>IF(MATCH_ENGINE!A895="","",GL_CLEAN!F895)</f>
        <v/>
      </c>
      <c r="N895" s="11">
        <f>IF(MATCH_ENGINE!A895="","",GL_CLEAN!G895)</f>
        <v/>
      </c>
      <c r="O895" s="11">
        <f>IF(MATCH_ENGINE!H895="","",INDEX(BANK_CLEAN!$C$2:$C$1001,MATCH_ENGINE!H895))</f>
        <v/>
      </c>
      <c r="P895" s="11" t="inlineStr"/>
    </row>
    <row r="896">
      <c r="A896" s="11">
        <f>IF(MATCH_ENGINE!A896="","",MATCH_ENGINE!N896)</f>
        <v/>
      </c>
      <c r="B896" s="11">
        <f>IF(MATCH_ENGINE!A896="","",MATCH_ENGINE!C896)</f>
        <v/>
      </c>
      <c r="C896" s="10">
        <f>IF(MATCH_ENGINE!A896="","",MATCH_ENGINE!B896)</f>
        <v/>
      </c>
      <c r="D896" s="16">
        <f>IF(MATCH_ENGINE!A896="","",MATCH_ENGINE!D896)</f>
        <v/>
      </c>
      <c r="E896" s="11">
        <f>IF(MATCH_ENGINE!A896="","",MATCH_ENGINE!F896)</f>
        <v/>
      </c>
      <c r="F896" s="10">
        <f>IF(MATCH_ENGINE!A896="","",MATCH_ENGINE!I896)</f>
        <v/>
      </c>
      <c r="G896" s="16">
        <f>IF(MATCH_ENGINE!H896="","",IF(MATCH_ENGINE!F896="IN",MATCH_ENGINE!J896,""))</f>
        <v/>
      </c>
      <c r="H896" s="16">
        <f>IF(MATCH_ENGINE!H896="","",IF(MATCH_ENGINE!F896="OUT",MATCH_ENGINE!J896,""))</f>
        <v/>
      </c>
      <c r="I896" s="16">
        <f>IF(MATCH_ENGINE!H896="","",MATCH_ENGINE!J896)</f>
        <v/>
      </c>
      <c r="J896" s="12">
        <f>IF(MATCH_ENGINE!A896="","",MATCH_ENGINE!K896)</f>
        <v/>
      </c>
      <c r="K896" s="11">
        <f>IF(MATCH_ENGINE!A896="","",MATCH_ENGINE!L896)</f>
        <v/>
      </c>
      <c r="L896" s="17">
        <f>IF(MATCH_ENGINE!A896="","",MATCH_ENGINE!M896)</f>
        <v/>
      </c>
      <c r="M896" s="11">
        <f>IF(MATCH_ENGINE!A896="","",GL_CLEAN!F896)</f>
        <v/>
      </c>
      <c r="N896" s="11">
        <f>IF(MATCH_ENGINE!A896="","",GL_CLEAN!G896)</f>
        <v/>
      </c>
      <c r="O896" s="11">
        <f>IF(MATCH_ENGINE!H896="","",INDEX(BANK_CLEAN!$C$2:$C$1001,MATCH_ENGINE!H896))</f>
        <v/>
      </c>
      <c r="P896" s="11" t="inlineStr"/>
    </row>
    <row r="897">
      <c r="A897" s="11">
        <f>IF(MATCH_ENGINE!A897="","",MATCH_ENGINE!N897)</f>
        <v/>
      </c>
      <c r="B897" s="11">
        <f>IF(MATCH_ENGINE!A897="","",MATCH_ENGINE!C897)</f>
        <v/>
      </c>
      <c r="C897" s="10">
        <f>IF(MATCH_ENGINE!A897="","",MATCH_ENGINE!B897)</f>
        <v/>
      </c>
      <c r="D897" s="16">
        <f>IF(MATCH_ENGINE!A897="","",MATCH_ENGINE!D897)</f>
        <v/>
      </c>
      <c r="E897" s="11">
        <f>IF(MATCH_ENGINE!A897="","",MATCH_ENGINE!F897)</f>
        <v/>
      </c>
      <c r="F897" s="10">
        <f>IF(MATCH_ENGINE!A897="","",MATCH_ENGINE!I897)</f>
        <v/>
      </c>
      <c r="G897" s="16">
        <f>IF(MATCH_ENGINE!H897="","",IF(MATCH_ENGINE!F897="IN",MATCH_ENGINE!J897,""))</f>
        <v/>
      </c>
      <c r="H897" s="16">
        <f>IF(MATCH_ENGINE!H897="","",IF(MATCH_ENGINE!F897="OUT",MATCH_ENGINE!J897,""))</f>
        <v/>
      </c>
      <c r="I897" s="16">
        <f>IF(MATCH_ENGINE!H897="","",MATCH_ENGINE!J897)</f>
        <v/>
      </c>
      <c r="J897" s="12">
        <f>IF(MATCH_ENGINE!A897="","",MATCH_ENGINE!K897)</f>
        <v/>
      </c>
      <c r="K897" s="11">
        <f>IF(MATCH_ENGINE!A897="","",MATCH_ENGINE!L897)</f>
        <v/>
      </c>
      <c r="L897" s="17">
        <f>IF(MATCH_ENGINE!A897="","",MATCH_ENGINE!M897)</f>
        <v/>
      </c>
      <c r="M897" s="11">
        <f>IF(MATCH_ENGINE!A897="","",GL_CLEAN!F897)</f>
        <v/>
      </c>
      <c r="N897" s="11">
        <f>IF(MATCH_ENGINE!A897="","",GL_CLEAN!G897)</f>
        <v/>
      </c>
      <c r="O897" s="11">
        <f>IF(MATCH_ENGINE!H897="","",INDEX(BANK_CLEAN!$C$2:$C$1001,MATCH_ENGINE!H897))</f>
        <v/>
      </c>
      <c r="P897" s="11" t="inlineStr"/>
    </row>
    <row r="898">
      <c r="A898" s="11">
        <f>IF(MATCH_ENGINE!A898="","",MATCH_ENGINE!N898)</f>
        <v/>
      </c>
      <c r="B898" s="11">
        <f>IF(MATCH_ENGINE!A898="","",MATCH_ENGINE!C898)</f>
        <v/>
      </c>
      <c r="C898" s="10">
        <f>IF(MATCH_ENGINE!A898="","",MATCH_ENGINE!B898)</f>
        <v/>
      </c>
      <c r="D898" s="16">
        <f>IF(MATCH_ENGINE!A898="","",MATCH_ENGINE!D898)</f>
        <v/>
      </c>
      <c r="E898" s="11">
        <f>IF(MATCH_ENGINE!A898="","",MATCH_ENGINE!F898)</f>
        <v/>
      </c>
      <c r="F898" s="10">
        <f>IF(MATCH_ENGINE!A898="","",MATCH_ENGINE!I898)</f>
        <v/>
      </c>
      <c r="G898" s="16">
        <f>IF(MATCH_ENGINE!H898="","",IF(MATCH_ENGINE!F898="IN",MATCH_ENGINE!J898,""))</f>
        <v/>
      </c>
      <c r="H898" s="16">
        <f>IF(MATCH_ENGINE!H898="","",IF(MATCH_ENGINE!F898="OUT",MATCH_ENGINE!J898,""))</f>
        <v/>
      </c>
      <c r="I898" s="16">
        <f>IF(MATCH_ENGINE!H898="","",MATCH_ENGINE!J898)</f>
        <v/>
      </c>
      <c r="J898" s="12">
        <f>IF(MATCH_ENGINE!A898="","",MATCH_ENGINE!K898)</f>
        <v/>
      </c>
      <c r="K898" s="11">
        <f>IF(MATCH_ENGINE!A898="","",MATCH_ENGINE!L898)</f>
        <v/>
      </c>
      <c r="L898" s="17">
        <f>IF(MATCH_ENGINE!A898="","",MATCH_ENGINE!M898)</f>
        <v/>
      </c>
      <c r="M898" s="11">
        <f>IF(MATCH_ENGINE!A898="","",GL_CLEAN!F898)</f>
        <v/>
      </c>
      <c r="N898" s="11">
        <f>IF(MATCH_ENGINE!A898="","",GL_CLEAN!G898)</f>
        <v/>
      </c>
      <c r="O898" s="11">
        <f>IF(MATCH_ENGINE!H898="","",INDEX(BANK_CLEAN!$C$2:$C$1001,MATCH_ENGINE!H898))</f>
        <v/>
      </c>
      <c r="P898" s="11" t="inlineStr"/>
    </row>
    <row r="899">
      <c r="A899" s="11">
        <f>IF(MATCH_ENGINE!A899="","",MATCH_ENGINE!N899)</f>
        <v/>
      </c>
      <c r="B899" s="11">
        <f>IF(MATCH_ENGINE!A899="","",MATCH_ENGINE!C899)</f>
        <v/>
      </c>
      <c r="C899" s="10">
        <f>IF(MATCH_ENGINE!A899="","",MATCH_ENGINE!B899)</f>
        <v/>
      </c>
      <c r="D899" s="16">
        <f>IF(MATCH_ENGINE!A899="","",MATCH_ENGINE!D899)</f>
        <v/>
      </c>
      <c r="E899" s="11">
        <f>IF(MATCH_ENGINE!A899="","",MATCH_ENGINE!F899)</f>
        <v/>
      </c>
      <c r="F899" s="10">
        <f>IF(MATCH_ENGINE!A899="","",MATCH_ENGINE!I899)</f>
        <v/>
      </c>
      <c r="G899" s="16">
        <f>IF(MATCH_ENGINE!H899="","",IF(MATCH_ENGINE!F899="IN",MATCH_ENGINE!J899,""))</f>
        <v/>
      </c>
      <c r="H899" s="16">
        <f>IF(MATCH_ENGINE!H899="","",IF(MATCH_ENGINE!F899="OUT",MATCH_ENGINE!J899,""))</f>
        <v/>
      </c>
      <c r="I899" s="16">
        <f>IF(MATCH_ENGINE!H899="","",MATCH_ENGINE!J899)</f>
        <v/>
      </c>
      <c r="J899" s="12">
        <f>IF(MATCH_ENGINE!A899="","",MATCH_ENGINE!K899)</f>
        <v/>
      </c>
      <c r="K899" s="11">
        <f>IF(MATCH_ENGINE!A899="","",MATCH_ENGINE!L899)</f>
        <v/>
      </c>
      <c r="L899" s="17">
        <f>IF(MATCH_ENGINE!A899="","",MATCH_ENGINE!M899)</f>
        <v/>
      </c>
      <c r="M899" s="11">
        <f>IF(MATCH_ENGINE!A899="","",GL_CLEAN!F899)</f>
        <v/>
      </c>
      <c r="N899" s="11">
        <f>IF(MATCH_ENGINE!A899="","",GL_CLEAN!G899)</f>
        <v/>
      </c>
      <c r="O899" s="11">
        <f>IF(MATCH_ENGINE!H899="","",INDEX(BANK_CLEAN!$C$2:$C$1001,MATCH_ENGINE!H899))</f>
        <v/>
      </c>
      <c r="P899" s="11" t="inlineStr"/>
    </row>
    <row r="900">
      <c r="A900" s="11">
        <f>IF(MATCH_ENGINE!A900="","",MATCH_ENGINE!N900)</f>
        <v/>
      </c>
      <c r="B900" s="11">
        <f>IF(MATCH_ENGINE!A900="","",MATCH_ENGINE!C900)</f>
        <v/>
      </c>
      <c r="C900" s="10">
        <f>IF(MATCH_ENGINE!A900="","",MATCH_ENGINE!B900)</f>
        <v/>
      </c>
      <c r="D900" s="16">
        <f>IF(MATCH_ENGINE!A900="","",MATCH_ENGINE!D900)</f>
        <v/>
      </c>
      <c r="E900" s="11">
        <f>IF(MATCH_ENGINE!A900="","",MATCH_ENGINE!F900)</f>
        <v/>
      </c>
      <c r="F900" s="10">
        <f>IF(MATCH_ENGINE!A900="","",MATCH_ENGINE!I900)</f>
        <v/>
      </c>
      <c r="G900" s="16">
        <f>IF(MATCH_ENGINE!H900="","",IF(MATCH_ENGINE!F900="IN",MATCH_ENGINE!J900,""))</f>
        <v/>
      </c>
      <c r="H900" s="16">
        <f>IF(MATCH_ENGINE!H900="","",IF(MATCH_ENGINE!F900="OUT",MATCH_ENGINE!J900,""))</f>
        <v/>
      </c>
      <c r="I900" s="16">
        <f>IF(MATCH_ENGINE!H900="","",MATCH_ENGINE!J900)</f>
        <v/>
      </c>
      <c r="J900" s="12">
        <f>IF(MATCH_ENGINE!A900="","",MATCH_ENGINE!K900)</f>
        <v/>
      </c>
      <c r="K900" s="11">
        <f>IF(MATCH_ENGINE!A900="","",MATCH_ENGINE!L900)</f>
        <v/>
      </c>
      <c r="L900" s="17">
        <f>IF(MATCH_ENGINE!A900="","",MATCH_ENGINE!M900)</f>
        <v/>
      </c>
      <c r="M900" s="11">
        <f>IF(MATCH_ENGINE!A900="","",GL_CLEAN!F900)</f>
        <v/>
      </c>
      <c r="N900" s="11">
        <f>IF(MATCH_ENGINE!A900="","",GL_CLEAN!G900)</f>
        <v/>
      </c>
      <c r="O900" s="11">
        <f>IF(MATCH_ENGINE!H900="","",INDEX(BANK_CLEAN!$C$2:$C$1001,MATCH_ENGINE!H900))</f>
        <v/>
      </c>
      <c r="P900" s="11" t="inlineStr"/>
    </row>
    <row r="901">
      <c r="A901" s="11">
        <f>IF(MATCH_ENGINE!A901="","",MATCH_ENGINE!N901)</f>
        <v/>
      </c>
      <c r="B901" s="11">
        <f>IF(MATCH_ENGINE!A901="","",MATCH_ENGINE!C901)</f>
        <v/>
      </c>
      <c r="C901" s="10">
        <f>IF(MATCH_ENGINE!A901="","",MATCH_ENGINE!B901)</f>
        <v/>
      </c>
      <c r="D901" s="16">
        <f>IF(MATCH_ENGINE!A901="","",MATCH_ENGINE!D901)</f>
        <v/>
      </c>
      <c r="E901" s="11">
        <f>IF(MATCH_ENGINE!A901="","",MATCH_ENGINE!F901)</f>
        <v/>
      </c>
      <c r="F901" s="10">
        <f>IF(MATCH_ENGINE!A901="","",MATCH_ENGINE!I901)</f>
        <v/>
      </c>
      <c r="G901" s="16">
        <f>IF(MATCH_ENGINE!H901="","",IF(MATCH_ENGINE!F901="IN",MATCH_ENGINE!J901,""))</f>
        <v/>
      </c>
      <c r="H901" s="16">
        <f>IF(MATCH_ENGINE!H901="","",IF(MATCH_ENGINE!F901="OUT",MATCH_ENGINE!J901,""))</f>
        <v/>
      </c>
      <c r="I901" s="16">
        <f>IF(MATCH_ENGINE!H901="","",MATCH_ENGINE!J901)</f>
        <v/>
      </c>
      <c r="J901" s="12">
        <f>IF(MATCH_ENGINE!A901="","",MATCH_ENGINE!K901)</f>
        <v/>
      </c>
      <c r="K901" s="11">
        <f>IF(MATCH_ENGINE!A901="","",MATCH_ENGINE!L901)</f>
        <v/>
      </c>
      <c r="L901" s="17">
        <f>IF(MATCH_ENGINE!A901="","",MATCH_ENGINE!M901)</f>
        <v/>
      </c>
      <c r="M901" s="11">
        <f>IF(MATCH_ENGINE!A901="","",GL_CLEAN!F901)</f>
        <v/>
      </c>
      <c r="N901" s="11">
        <f>IF(MATCH_ENGINE!A901="","",GL_CLEAN!G901)</f>
        <v/>
      </c>
      <c r="O901" s="11">
        <f>IF(MATCH_ENGINE!H901="","",INDEX(BANK_CLEAN!$C$2:$C$1001,MATCH_ENGINE!H901))</f>
        <v/>
      </c>
      <c r="P901" s="11" t="inlineStr"/>
    </row>
    <row r="902">
      <c r="A902" s="11">
        <f>IF(MATCH_ENGINE!A902="","",MATCH_ENGINE!N902)</f>
        <v/>
      </c>
      <c r="B902" s="11">
        <f>IF(MATCH_ENGINE!A902="","",MATCH_ENGINE!C902)</f>
        <v/>
      </c>
      <c r="C902" s="10">
        <f>IF(MATCH_ENGINE!A902="","",MATCH_ENGINE!B902)</f>
        <v/>
      </c>
      <c r="D902" s="16">
        <f>IF(MATCH_ENGINE!A902="","",MATCH_ENGINE!D902)</f>
        <v/>
      </c>
      <c r="E902" s="11">
        <f>IF(MATCH_ENGINE!A902="","",MATCH_ENGINE!F902)</f>
        <v/>
      </c>
      <c r="F902" s="10">
        <f>IF(MATCH_ENGINE!A902="","",MATCH_ENGINE!I902)</f>
        <v/>
      </c>
      <c r="G902" s="16">
        <f>IF(MATCH_ENGINE!H902="","",IF(MATCH_ENGINE!F902="IN",MATCH_ENGINE!J902,""))</f>
        <v/>
      </c>
      <c r="H902" s="16">
        <f>IF(MATCH_ENGINE!H902="","",IF(MATCH_ENGINE!F902="OUT",MATCH_ENGINE!J902,""))</f>
        <v/>
      </c>
      <c r="I902" s="16">
        <f>IF(MATCH_ENGINE!H902="","",MATCH_ENGINE!J902)</f>
        <v/>
      </c>
      <c r="J902" s="12">
        <f>IF(MATCH_ENGINE!A902="","",MATCH_ENGINE!K902)</f>
        <v/>
      </c>
      <c r="K902" s="11">
        <f>IF(MATCH_ENGINE!A902="","",MATCH_ENGINE!L902)</f>
        <v/>
      </c>
      <c r="L902" s="17">
        <f>IF(MATCH_ENGINE!A902="","",MATCH_ENGINE!M902)</f>
        <v/>
      </c>
      <c r="M902" s="11">
        <f>IF(MATCH_ENGINE!A902="","",GL_CLEAN!F902)</f>
        <v/>
      </c>
      <c r="N902" s="11">
        <f>IF(MATCH_ENGINE!A902="","",GL_CLEAN!G902)</f>
        <v/>
      </c>
      <c r="O902" s="11">
        <f>IF(MATCH_ENGINE!H902="","",INDEX(BANK_CLEAN!$C$2:$C$1001,MATCH_ENGINE!H902))</f>
        <v/>
      </c>
      <c r="P902" s="11" t="inlineStr"/>
    </row>
    <row r="903">
      <c r="A903" s="11">
        <f>IF(MATCH_ENGINE!A903="","",MATCH_ENGINE!N903)</f>
        <v/>
      </c>
      <c r="B903" s="11">
        <f>IF(MATCH_ENGINE!A903="","",MATCH_ENGINE!C903)</f>
        <v/>
      </c>
      <c r="C903" s="10">
        <f>IF(MATCH_ENGINE!A903="","",MATCH_ENGINE!B903)</f>
        <v/>
      </c>
      <c r="D903" s="16">
        <f>IF(MATCH_ENGINE!A903="","",MATCH_ENGINE!D903)</f>
        <v/>
      </c>
      <c r="E903" s="11">
        <f>IF(MATCH_ENGINE!A903="","",MATCH_ENGINE!F903)</f>
        <v/>
      </c>
      <c r="F903" s="10">
        <f>IF(MATCH_ENGINE!A903="","",MATCH_ENGINE!I903)</f>
        <v/>
      </c>
      <c r="G903" s="16">
        <f>IF(MATCH_ENGINE!H903="","",IF(MATCH_ENGINE!F903="IN",MATCH_ENGINE!J903,""))</f>
        <v/>
      </c>
      <c r="H903" s="16">
        <f>IF(MATCH_ENGINE!H903="","",IF(MATCH_ENGINE!F903="OUT",MATCH_ENGINE!J903,""))</f>
        <v/>
      </c>
      <c r="I903" s="16">
        <f>IF(MATCH_ENGINE!H903="","",MATCH_ENGINE!J903)</f>
        <v/>
      </c>
      <c r="J903" s="12">
        <f>IF(MATCH_ENGINE!A903="","",MATCH_ENGINE!K903)</f>
        <v/>
      </c>
      <c r="K903" s="11">
        <f>IF(MATCH_ENGINE!A903="","",MATCH_ENGINE!L903)</f>
        <v/>
      </c>
      <c r="L903" s="17">
        <f>IF(MATCH_ENGINE!A903="","",MATCH_ENGINE!M903)</f>
        <v/>
      </c>
      <c r="M903" s="11">
        <f>IF(MATCH_ENGINE!A903="","",GL_CLEAN!F903)</f>
        <v/>
      </c>
      <c r="N903" s="11">
        <f>IF(MATCH_ENGINE!A903="","",GL_CLEAN!G903)</f>
        <v/>
      </c>
      <c r="O903" s="11">
        <f>IF(MATCH_ENGINE!H903="","",INDEX(BANK_CLEAN!$C$2:$C$1001,MATCH_ENGINE!H903))</f>
        <v/>
      </c>
      <c r="P903" s="11" t="inlineStr"/>
    </row>
    <row r="904">
      <c r="A904" s="11">
        <f>IF(MATCH_ENGINE!A904="","",MATCH_ENGINE!N904)</f>
        <v/>
      </c>
      <c r="B904" s="11">
        <f>IF(MATCH_ENGINE!A904="","",MATCH_ENGINE!C904)</f>
        <v/>
      </c>
      <c r="C904" s="10">
        <f>IF(MATCH_ENGINE!A904="","",MATCH_ENGINE!B904)</f>
        <v/>
      </c>
      <c r="D904" s="16">
        <f>IF(MATCH_ENGINE!A904="","",MATCH_ENGINE!D904)</f>
        <v/>
      </c>
      <c r="E904" s="11">
        <f>IF(MATCH_ENGINE!A904="","",MATCH_ENGINE!F904)</f>
        <v/>
      </c>
      <c r="F904" s="10">
        <f>IF(MATCH_ENGINE!A904="","",MATCH_ENGINE!I904)</f>
        <v/>
      </c>
      <c r="G904" s="16">
        <f>IF(MATCH_ENGINE!H904="","",IF(MATCH_ENGINE!F904="IN",MATCH_ENGINE!J904,""))</f>
        <v/>
      </c>
      <c r="H904" s="16">
        <f>IF(MATCH_ENGINE!H904="","",IF(MATCH_ENGINE!F904="OUT",MATCH_ENGINE!J904,""))</f>
        <v/>
      </c>
      <c r="I904" s="16">
        <f>IF(MATCH_ENGINE!H904="","",MATCH_ENGINE!J904)</f>
        <v/>
      </c>
      <c r="J904" s="12">
        <f>IF(MATCH_ENGINE!A904="","",MATCH_ENGINE!K904)</f>
        <v/>
      </c>
      <c r="K904" s="11">
        <f>IF(MATCH_ENGINE!A904="","",MATCH_ENGINE!L904)</f>
        <v/>
      </c>
      <c r="L904" s="17">
        <f>IF(MATCH_ENGINE!A904="","",MATCH_ENGINE!M904)</f>
        <v/>
      </c>
      <c r="M904" s="11">
        <f>IF(MATCH_ENGINE!A904="","",GL_CLEAN!F904)</f>
        <v/>
      </c>
      <c r="N904" s="11">
        <f>IF(MATCH_ENGINE!A904="","",GL_CLEAN!G904)</f>
        <v/>
      </c>
      <c r="O904" s="11">
        <f>IF(MATCH_ENGINE!H904="","",INDEX(BANK_CLEAN!$C$2:$C$1001,MATCH_ENGINE!H904))</f>
        <v/>
      </c>
      <c r="P904" s="11" t="inlineStr"/>
    </row>
    <row r="905">
      <c r="A905" s="11">
        <f>IF(MATCH_ENGINE!A905="","",MATCH_ENGINE!N905)</f>
        <v/>
      </c>
      <c r="B905" s="11">
        <f>IF(MATCH_ENGINE!A905="","",MATCH_ENGINE!C905)</f>
        <v/>
      </c>
      <c r="C905" s="10">
        <f>IF(MATCH_ENGINE!A905="","",MATCH_ENGINE!B905)</f>
        <v/>
      </c>
      <c r="D905" s="16">
        <f>IF(MATCH_ENGINE!A905="","",MATCH_ENGINE!D905)</f>
        <v/>
      </c>
      <c r="E905" s="11">
        <f>IF(MATCH_ENGINE!A905="","",MATCH_ENGINE!F905)</f>
        <v/>
      </c>
      <c r="F905" s="10">
        <f>IF(MATCH_ENGINE!A905="","",MATCH_ENGINE!I905)</f>
        <v/>
      </c>
      <c r="G905" s="16">
        <f>IF(MATCH_ENGINE!H905="","",IF(MATCH_ENGINE!F905="IN",MATCH_ENGINE!J905,""))</f>
        <v/>
      </c>
      <c r="H905" s="16">
        <f>IF(MATCH_ENGINE!H905="","",IF(MATCH_ENGINE!F905="OUT",MATCH_ENGINE!J905,""))</f>
        <v/>
      </c>
      <c r="I905" s="16">
        <f>IF(MATCH_ENGINE!H905="","",MATCH_ENGINE!J905)</f>
        <v/>
      </c>
      <c r="J905" s="12">
        <f>IF(MATCH_ENGINE!A905="","",MATCH_ENGINE!K905)</f>
        <v/>
      </c>
      <c r="K905" s="11">
        <f>IF(MATCH_ENGINE!A905="","",MATCH_ENGINE!L905)</f>
        <v/>
      </c>
      <c r="L905" s="17">
        <f>IF(MATCH_ENGINE!A905="","",MATCH_ENGINE!M905)</f>
        <v/>
      </c>
      <c r="M905" s="11">
        <f>IF(MATCH_ENGINE!A905="","",GL_CLEAN!F905)</f>
        <v/>
      </c>
      <c r="N905" s="11">
        <f>IF(MATCH_ENGINE!A905="","",GL_CLEAN!G905)</f>
        <v/>
      </c>
      <c r="O905" s="11">
        <f>IF(MATCH_ENGINE!H905="","",INDEX(BANK_CLEAN!$C$2:$C$1001,MATCH_ENGINE!H905))</f>
        <v/>
      </c>
      <c r="P905" s="11" t="inlineStr"/>
    </row>
    <row r="906">
      <c r="A906" s="11">
        <f>IF(MATCH_ENGINE!A906="","",MATCH_ENGINE!N906)</f>
        <v/>
      </c>
      <c r="B906" s="11">
        <f>IF(MATCH_ENGINE!A906="","",MATCH_ENGINE!C906)</f>
        <v/>
      </c>
      <c r="C906" s="10">
        <f>IF(MATCH_ENGINE!A906="","",MATCH_ENGINE!B906)</f>
        <v/>
      </c>
      <c r="D906" s="16">
        <f>IF(MATCH_ENGINE!A906="","",MATCH_ENGINE!D906)</f>
        <v/>
      </c>
      <c r="E906" s="11">
        <f>IF(MATCH_ENGINE!A906="","",MATCH_ENGINE!F906)</f>
        <v/>
      </c>
      <c r="F906" s="10">
        <f>IF(MATCH_ENGINE!A906="","",MATCH_ENGINE!I906)</f>
        <v/>
      </c>
      <c r="G906" s="16">
        <f>IF(MATCH_ENGINE!H906="","",IF(MATCH_ENGINE!F906="IN",MATCH_ENGINE!J906,""))</f>
        <v/>
      </c>
      <c r="H906" s="16">
        <f>IF(MATCH_ENGINE!H906="","",IF(MATCH_ENGINE!F906="OUT",MATCH_ENGINE!J906,""))</f>
        <v/>
      </c>
      <c r="I906" s="16">
        <f>IF(MATCH_ENGINE!H906="","",MATCH_ENGINE!J906)</f>
        <v/>
      </c>
      <c r="J906" s="12">
        <f>IF(MATCH_ENGINE!A906="","",MATCH_ENGINE!K906)</f>
        <v/>
      </c>
      <c r="K906" s="11">
        <f>IF(MATCH_ENGINE!A906="","",MATCH_ENGINE!L906)</f>
        <v/>
      </c>
      <c r="L906" s="17">
        <f>IF(MATCH_ENGINE!A906="","",MATCH_ENGINE!M906)</f>
        <v/>
      </c>
      <c r="M906" s="11">
        <f>IF(MATCH_ENGINE!A906="","",GL_CLEAN!F906)</f>
        <v/>
      </c>
      <c r="N906" s="11">
        <f>IF(MATCH_ENGINE!A906="","",GL_CLEAN!G906)</f>
        <v/>
      </c>
      <c r="O906" s="11">
        <f>IF(MATCH_ENGINE!H906="","",INDEX(BANK_CLEAN!$C$2:$C$1001,MATCH_ENGINE!H906))</f>
        <v/>
      </c>
      <c r="P906" s="11" t="inlineStr"/>
    </row>
    <row r="907">
      <c r="A907" s="11">
        <f>IF(MATCH_ENGINE!A907="","",MATCH_ENGINE!N907)</f>
        <v/>
      </c>
      <c r="B907" s="11">
        <f>IF(MATCH_ENGINE!A907="","",MATCH_ENGINE!C907)</f>
        <v/>
      </c>
      <c r="C907" s="10">
        <f>IF(MATCH_ENGINE!A907="","",MATCH_ENGINE!B907)</f>
        <v/>
      </c>
      <c r="D907" s="16">
        <f>IF(MATCH_ENGINE!A907="","",MATCH_ENGINE!D907)</f>
        <v/>
      </c>
      <c r="E907" s="11">
        <f>IF(MATCH_ENGINE!A907="","",MATCH_ENGINE!F907)</f>
        <v/>
      </c>
      <c r="F907" s="10">
        <f>IF(MATCH_ENGINE!A907="","",MATCH_ENGINE!I907)</f>
        <v/>
      </c>
      <c r="G907" s="16">
        <f>IF(MATCH_ENGINE!H907="","",IF(MATCH_ENGINE!F907="IN",MATCH_ENGINE!J907,""))</f>
        <v/>
      </c>
      <c r="H907" s="16">
        <f>IF(MATCH_ENGINE!H907="","",IF(MATCH_ENGINE!F907="OUT",MATCH_ENGINE!J907,""))</f>
        <v/>
      </c>
      <c r="I907" s="16">
        <f>IF(MATCH_ENGINE!H907="","",MATCH_ENGINE!J907)</f>
        <v/>
      </c>
      <c r="J907" s="12">
        <f>IF(MATCH_ENGINE!A907="","",MATCH_ENGINE!K907)</f>
        <v/>
      </c>
      <c r="K907" s="11">
        <f>IF(MATCH_ENGINE!A907="","",MATCH_ENGINE!L907)</f>
        <v/>
      </c>
      <c r="L907" s="17">
        <f>IF(MATCH_ENGINE!A907="","",MATCH_ENGINE!M907)</f>
        <v/>
      </c>
      <c r="M907" s="11">
        <f>IF(MATCH_ENGINE!A907="","",GL_CLEAN!F907)</f>
        <v/>
      </c>
      <c r="N907" s="11">
        <f>IF(MATCH_ENGINE!A907="","",GL_CLEAN!G907)</f>
        <v/>
      </c>
      <c r="O907" s="11">
        <f>IF(MATCH_ENGINE!H907="","",INDEX(BANK_CLEAN!$C$2:$C$1001,MATCH_ENGINE!H907))</f>
        <v/>
      </c>
      <c r="P907" s="11" t="inlineStr"/>
    </row>
    <row r="908">
      <c r="A908" s="11">
        <f>IF(MATCH_ENGINE!A908="","",MATCH_ENGINE!N908)</f>
        <v/>
      </c>
      <c r="B908" s="11">
        <f>IF(MATCH_ENGINE!A908="","",MATCH_ENGINE!C908)</f>
        <v/>
      </c>
      <c r="C908" s="10">
        <f>IF(MATCH_ENGINE!A908="","",MATCH_ENGINE!B908)</f>
        <v/>
      </c>
      <c r="D908" s="16">
        <f>IF(MATCH_ENGINE!A908="","",MATCH_ENGINE!D908)</f>
        <v/>
      </c>
      <c r="E908" s="11">
        <f>IF(MATCH_ENGINE!A908="","",MATCH_ENGINE!F908)</f>
        <v/>
      </c>
      <c r="F908" s="10">
        <f>IF(MATCH_ENGINE!A908="","",MATCH_ENGINE!I908)</f>
        <v/>
      </c>
      <c r="G908" s="16">
        <f>IF(MATCH_ENGINE!H908="","",IF(MATCH_ENGINE!F908="IN",MATCH_ENGINE!J908,""))</f>
        <v/>
      </c>
      <c r="H908" s="16">
        <f>IF(MATCH_ENGINE!H908="","",IF(MATCH_ENGINE!F908="OUT",MATCH_ENGINE!J908,""))</f>
        <v/>
      </c>
      <c r="I908" s="16">
        <f>IF(MATCH_ENGINE!H908="","",MATCH_ENGINE!J908)</f>
        <v/>
      </c>
      <c r="J908" s="12">
        <f>IF(MATCH_ENGINE!A908="","",MATCH_ENGINE!K908)</f>
        <v/>
      </c>
      <c r="K908" s="11">
        <f>IF(MATCH_ENGINE!A908="","",MATCH_ENGINE!L908)</f>
        <v/>
      </c>
      <c r="L908" s="17">
        <f>IF(MATCH_ENGINE!A908="","",MATCH_ENGINE!M908)</f>
        <v/>
      </c>
      <c r="M908" s="11">
        <f>IF(MATCH_ENGINE!A908="","",GL_CLEAN!F908)</f>
        <v/>
      </c>
      <c r="N908" s="11">
        <f>IF(MATCH_ENGINE!A908="","",GL_CLEAN!G908)</f>
        <v/>
      </c>
      <c r="O908" s="11">
        <f>IF(MATCH_ENGINE!H908="","",INDEX(BANK_CLEAN!$C$2:$C$1001,MATCH_ENGINE!H908))</f>
        <v/>
      </c>
      <c r="P908" s="11" t="inlineStr"/>
    </row>
    <row r="909">
      <c r="A909" s="11">
        <f>IF(MATCH_ENGINE!A909="","",MATCH_ENGINE!N909)</f>
        <v/>
      </c>
      <c r="B909" s="11">
        <f>IF(MATCH_ENGINE!A909="","",MATCH_ENGINE!C909)</f>
        <v/>
      </c>
      <c r="C909" s="10">
        <f>IF(MATCH_ENGINE!A909="","",MATCH_ENGINE!B909)</f>
        <v/>
      </c>
      <c r="D909" s="16">
        <f>IF(MATCH_ENGINE!A909="","",MATCH_ENGINE!D909)</f>
        <v/>
      </c>
      <c r="E909" s="11">
        <f>IF(MATCH_ENGINE!A909="","",MATCH_ENGINE!F909)</f>
        <v/>
      </c>
      <c r="F909" s="10">
        <f>IF(MATCH_ENGINE!A909="","",MATCH_ENGINE!I909)</f>
        <v/>
      </c>
      <c r="G909" s="16">
        <f>IF(MATCH_ENGINE!H909="","",IF(MATCH_ENGINE!F909="IN",MATCH_ENGINE!J909,""))</f>
        <v/>
      </c>
      <c r="H909" s="16">
        <f>IF(MATCH_ENGINE!H909="","",IF(MATCH_ENGINE!F909="OUT",MATCH_ENGINE!J909,""))</f>
        <v/>
      </c>
      <c r="I909" s="16">
        <f>IF(MATCH_ENGINE!H909="","",MATCH_ENGINE!J909)</f>
        <v/>
      </c>
      <c r="J909" s="12">
        <f>IF(MATCH_ENGINE!A909="","",MATCH_ENGINE!K909)</f>
        <v/>
      </c>
      <c r="K909" s="11">
        <f>IF(MATCH_ENGINE!A909="","",MATCH_ENGINE!L909)</f>
        <v/>
      </c>
      <c r="L909" s="17">
        <f>IF(MATCH_ENGINE!A909="","",MATCH_ENGINE!M909)</f>
        <v/>
      </c>
      <c r="M909" s="11">
        <f>IF(MATCH_ENGINE!A909="","",GL_CLEAN!F909)</f>
        <v/>
      </c>
      <c r="N909" s="11">
        <f>IF(MATCH_ENGINE!A909="","",GL_CLEAN!G909)</f>
        <v/>
      </c>
      <c r="O909" s="11">
        <f>IF(MATCH_ENGINE!H909="","",INDEX(BANK_CLEAN!$C$2:$C$1001,MATCH_ENGINE!H909))</f>
        <v/>
      </c>
      <c r="P909" s="11" t="inlineStr"/>
    </row>
    <row r="910">
      <c r="A910" s="11">
        <f>IF(MATCH_ENGINE!A910="","",MATCH_ENGINE!N910)</f>
        <v/>
      </c>
      <c r="B910" s="11">
        <f>IF(MATCH_ENGINE!A910="","",MATCH_ENGINE!C910)</f>
        <v/>
      </c>
      <c r="C910" s="10">
        <f>IF(MATCH_ENGINE!A910="","",MATCH_ENGINE!B910)</f>
        <v/>
      </c>
      <c r="D910" s="16">
        <f>IF(MATCH_ENGINE!A910="","",MATCH_ENGINE!D910)</f>
        <v/>
      </c>
      <c r="E910" s="11">
        <f>IF(MATCH_ENGINE!A910="","",MATCH_ENGINE!F910)</f>
        <v/>
      </c>
      <c r="F910" s="10">
        <f>IF(MATCH_ENGINE!A910="","",MATCH_ENGINE!I910)</f>
        <v/>
      </c>
      <c r="G910" s="16">
        <f>IF(MATCH_ENGINE!H910="","",IF(MATCH_ENGINE!F910="IN",MATCH_ENGINE!J910,""))</f>
        <v/>
      </c>
      <c r="H910" s="16">
        <f>IF(MATCH_ENGINE!H910="","",IF(MATCH_ENGINE!F910="OUT",MATCH_ENGINE!J910,""))</f>
        <v/>
      </c>
      <c r="I910" s="16">
        <f>IF(MATCH_ENGINE!H910="","",MATCH_ENGINE!J910)</f>
        <v/>
      </c>
      <c r="J910" s="12">
        <f>IF(MATCH_ENGINE!A910="","",MATCH_ENGINE!K910)</f>
        <v/>
      </c>
      <c r="K910" s="11">
        <f>IF(MATCH_ENGINE!A910="","",MATCH_ENGINE!L910)</f>
        <v/>
      </c>
      <c r="L910" s="17">
        <f>IF(MATCH_ENGINE!A910="","",MATCH_ENGINE!M910)</f>
        <v/>
      </c>
      <c r="M910" s="11">
        <f>IF(MATCH_ENGINE!A910="","",GL_CLEAN!F910)</f>
        <v/>
      </c>
      <c r="N910" s="11">
        <f>IF(MATCH_ENGINE!A910="","",GL_CLEAN!G910)</f>
        <v/>
      </c>
      <c r="O910" s="11">
        <f>IF(MATCH_ENGINE!H910="","",INDEX(BANK_CLEAN!$C$2:$C$1001,MATCH_ENGINE!H910))</f>
        <v/>
      </c>
      <c r="P910" s="11" t="inlineStr"/>
    </row>
    <row r="911">
      <c r="A911" s="11">
        <f>IF(MATCH_ENGINE!A911="","",MATCH_ENGINE!N911)</f>
        <v/>
      </c>
      <c r="B911" s="11">
        <f>IF(MATCH_ENGINE!A911="","",MATCH_ENGINE!C911)</f>
        <v/>
      </c>
      <c r="C911" s="10">
        <f>IF(MATCH_ENGINE!A911="","",MATCH_ENGINE!B911)</f>
        <v/>
      </c>
      <c r="D911" s="16">
        <f>IF(MATCH_ENGINE!A911="","",MATCH_ENGINE!D911)</f>
        <v/>
      </c>
      <c r="E911" s="11">
        <f>IF(MATCH_ENGINE!A911="","",MATCH_ENGINE!F911)</f>
        <v/>
      </c>
      <c r="F911" s="10">
        <f>IF(MATCH_ENGINE!A911="","",MATCH_ENGINE!I911)</f>
        <v/>
      </c>
      <c r="G911" s="16">
        <f>IF(MATCH_ENGINE!H911="","",IF(MATCH_ENGINE!F911="IN",MATCH_ENGINE!J911,""))</f>
        <v/>
      </c>
      <c r="H911" s="16">
        <f>IF(MATCH_ENGINE!H911="","",IF(MATCH_ENGINE!F911="OUT",MATCH_ENGINE!J911,""))</f>
        <v/>
      </c>
      <c r="I911" s="16">
        <f>IF(MATCH_ENGINE!H911="","",MATCH_ENGINE!J911)</f>
        <v/>
      </c>
      <c r="J911" s="12">
        <f>IF(MATCH_ENGINE!A911="","",MATCH_ENGINE!K911)</f>
        <v/>
      </c>
      <c r="K911" s="11">
        <f>IF(MATCH_ENGINE!A911="","",MATCH_ENGINE!L911)</f>
        <v/>
      </c>
      <c r="L911" s="17">
        <f>IF(MATCH_ENGINE!A911="","",MATCH_ENGINE!M911)</f>
        <v/>
      </c>
      <c r="M911" s="11">
        <f>IF(MATCH_ENGINE!A911="","",GL_CLEAN!F911)</f>
        <v/>
      </c>
      <c r="N911" s="11">
        <f>IF(MATCH_ENGINE!A911="","",GL_CLEAN!G911)</f>
        <v/>
      </c>
      <c r="O911" s="11">
        <f>IF(MATCH_ENGINE!H911="","",INDEX(BANK_CLEAN!$C$2:$C$1001,MATCH_ENGINE!H911))</f>
        <v/>
      </c>
      <c r="P911" s="11" t="inlineStr"/>
    </row>
    <row r="912">
      <c r="A912" s="11">
        <f>IF(MATCH_ENGINE!A912="","",MATCH_ENGINE!N912)</f>
        <v/>
      </c>
      <c r="B912" s="11">
        <f>IF(MATCH_ENGINE!A912="","",MATCH_ENGINE!C912)</f>
        <v/>
      </c>
      <c r="C912" s="10">
        <f>IF(MATCH_ENGINE!A912="","",MATCH_ENGINE!B912)</f>
        <v/>
      </c>
      <c r="D912" s="16">
        <f>IF(MATCH_ENGINE!A912="","",MATCH_ENGINE!D912)</f>
        <v/>
      </c>
      <c r="E912" s="11">
        <f>IF(MATCH_ENGINE!A912="","",MATCH_ENGINE!F912)</f>
        <v/>
      </c>
      <c r="F912" s="10">
        <f>IF(MATCH_ENGINE!A912="","",MATCH_ENGINE!I912)</f>
        <v/>
      </c>
      <c r="G912" s="16">
        <f>IF(MATCH_ENGINE!H912="","",IF(MATCH_ENGINE!F912="IN",MATCH_ENGINE!J912,""))</f>
        <v/>
      </c>
      <c r="H912" s="16">
        <f>IF(MATCH_ENGINE!H912="","",IF(MATCH_ENGINE!F912="OUT",MATCH_ENGINE!J912,""))</f>
        <v/>
      </c>
      <c r="I912" s="16">
        <f>IF(MATCH_ENGINE!H912="","",MATCH_ENGINE!J912)</f>
        <v/>
      </c>
      <c r="J912" s="12">
        <f>IF(MATCH_ENGINE!A912="","",MATCH_ENGINE!K912)</f>
        <v/>
      </c>
      <c r="K912" s="11">
        <f>IF(MATCH_ENGINE!A912="","",MATCH_ENGINE!L912)</f>
        <v/>
      </c>
      <c r="L912" s="17">
        <f>IF(MATCH_ENGINE!A912="","",MATCH_ENGINE!M912)</f>
        <v/>
      </c>
      <c r="M912" s="11">
        <f>IF(MATCH_ENGINE!A912="","",GL_CLEAN!F912)</f>
        <v/>
      </c>
      <c r="N912" s="11">
        <f>IF(MATCH_ENGINE!A912="","",GL_CLEAN!G912)</f>
        <v/>
      </c>
      <c r="O912" s="11">
        <f>IF(MATCH_ENGINE!H912="","",INDEX(BANK_CLEAN!$C$2:$C$1001,MATCH_ENGINE!H912))</f>
        <v/>
      </c>
      <c r="P912" s="11" t="inlineStr"/>
    </row>
    <row r="913">
      <c r="A913" s="11">
        <f>IF(MATCH_ENGINE!A913="","",MATCH_ENGINE!N913)</f>
        <v/>
      </c>
      <c r="B913" s="11">
        <f>IF(MATCH_ENGINE!A913="","",MATCH_ENGINE!C913)</f>
        <v/>
      </c>
      <c r="C913" s="10">
        <f>IF(MATCH_ENGINE!A913="","",MATCH_ENGINE!B913)</f>
        <v/>
      </c>
      <c r="D913" s="16">
        <f>IF(MATCH_ENGINE!A913="","",MATCH_ENGINE!D913)</f>
        <v/>
      </c>
      <c r="E913" s="11">
        <f>IF(MATCH_ENGINE!A913="","",MATCH_ENGINE!F913)</f>
        <v/>
      </c>
      <c r="F913" s="10">
        <f>IF(MATCH_ENGINE!A913="","",MATCH_ENGINE!I913)</f>
        <v/>
      </c>
      <c r="G913" s="16">
        <f>IF(MATCH_ENGINE!H913="","",IF(MATCH_ENGINE!F913="IN",MATCH_ENGINE!J913,""))</f>
        <v/>
      </c>
      <c r="H913" s="16">
        <f>IF(MATCH_ENGINE!H913="","",IF(MATCH_ENGINE!F913="OUT",MATCH_ENGINE!J913,""))</f>
        <v/>
      </c>
      <c r="I913" s="16">
        <f>IF(MATCH_ENGINE!H913="","",MATCH_ENGINE!J913)</f>
        <v/>
      </c>
      <c r="J913" s="12">
        <f>IF(MATCH_ENGINE!A913="","",MATCH_ENGINE!K913)</f>
        <v/>
      </c>
      <c r="K913" s="11">
        <f>IF(MATCH_ENGINE!A913="","",MATCH_ENGINE!L913)</f>
        <v/>
      </c>
      <c r="L913" s="17">
        <f>IF(MATCH_ENGINE!A913="","",MATCH_ENGINE!M913)</f>
        <v/>
      </c>
      <c r="M913" s="11">
        <f>IF(MATCH_ENGINE!A913="","",GL_CLEAN!F913)</f>
        <v/>
      </c>
      <c r="N913" s="11">
        <f>IF(MATCH_ENGINE!A913="","",GL_CLEAN!G913)</f>
        <v/>
      </c>
      <c r="O913" s="11">
        <f>IF(MATCH_ENGINE!H913="","",INDEX(BANK_CLEAN!$C$2:$C$1001,MATCH_ENGINE!H913))</f>
        <v/>
      </c>
      <c r="P913" s="11" t="inlineStr"/>
    </row>
    <row r="914">
      <c r="A914" s="11">
        <f>IF(MATCH_ENGINE!A914="","",MATCH_ENGINE!N914)</f>
        <v/>
      </c>
      <c r="B914" s="11">
        <f>IF(MATCH_ENGINE!A914="","",MATCH_ENGINE!C914)</f>
        <v/>
      </c>
      <c r="C914" s="10">
        <f>IF(MATCH_ENGINE!A914="","",MATCH_ENGINE!B914)</f>
        <v/>
      </c>
      <c r="D914" s="16">
        <f>IF(MATCH_ENGINE!A914="","",MATCH_ENGINE!D914)</f>
        <v/>
      </c>
      <c r="E914" s="11">
        <f>IF(MATCH_ENGINE!A914="","",MATCH_ENGINE!F914)</f>
        <v/>
      </c>
      <c r="F914" s="10">
        <f>IF(MATCH_ENGINE!A914="","",MATCH_ENGINE!I914)</f>
        <v/>
      </c>
      <c r="G914" s="16">
        <f>IF(MATCH_ENGINE!H914="","",IF(MATCH_ENGINE!F914="IN",MATCH_ENGINE!J914,""))</f>
        <v/>
      </c>
      <c r="H914" s="16">
        <f>IF(MATCH_ENGINE!H914="","",IF(MATCH_ENGINE!F914="OUT",MATCH_ENGINE!J914,""))</f>
        <v/>
      </c>
      <c r="I914" s="16">
        <f>IF(MATCH_ENGINE!H914="","",MATCH_ENGINE!J914)</f>
        <v/>
      </c>
      <c r="J914" s="12">
        <f>IF(MATCH_ENGINE!A914="","",MATCH_ENGINE!K914)</f>
        <v/>
      </c>
      <c r="K914" s="11">
        <f>IF(MATCH_ENGINE!A914="","",MATCH_ENGINE!L914)</f>
        <v/>
      </c>
      <c r="L914" s="17">
        <f>IF(MATCH_ENGINE!A914="","",MATCH_ENGINE!M914)</f>
        <v/>
      </c>
      <c r="M914" s="11">
        <f>IF(MATCH_ENGINE!A914="","",GL_CLEAN!F914)</f>
        <v/>
      </c>
      <c r="N914" s="11">
        <f>IF(MATCH_ENGINE!A914="","",GL_CLEAN!G914)</f>
        <v/>
      </c>
      <c r="O914" s="11">
        <f>IF(MATCH_ENGINE!H914="","",INDEX(BANK_CLEAN!$C$2:$C$1001,MATCH_ENGINE!H914))</f>
        <v/>
      </c>
      <c r="P914" s="11" t="inlineStr"/>
    </row>
    <row r="915">
      <c r="A915" s="11">
        <f>IF(MATCH_ENGINE!A915="","",MATCH_ENGINE!N915)</f>
        <v/>
      </c>
      <c r="B915" s="11">
        <f>IF(MATCH_ENGINE!A915="","",MATCH_ENGINE!C915)</f>
        <v/>
      </c>
      <c r="C915" s="10">
        <f>IF(MATCH_ENGINE!A915="","",MATCH_ENGINE!B915)</f>
        <v/>
      </c>
      <c r="D915" s="16">
        <f>IF(MATCH_ENGINE!A915="","",MATCH_ENGINE!D915)</f>
        <v/>
      </c>
      <c r="E915" s="11">
        <f>IF(MATCH_ENGINE!A915="","",MATCH_ENGINE!F915)</f>
        <v/>
      </c>
      <c r="F915" s="10">
        <f>IF(MATCH_ENGINE!A915="","",MATCH_ENGINE!I915)</f>
        <v/>
      </c>
      <c r="G915" s="16">
        <f>IF(MATCH_ENGINE!H915="","",IF(MATCH_ENGINE!F915="IN",MATCH_ENGINE!J915,""))</f>
        <v/>
      </c>
      <c r="H915" s="16">
        <f>IF(MATCH_ENGINE!H915="","",IF(MATCH_ENGINE!F915="OUT",MATCH_ENGINE!J915,""))</f>
        <v/>
      </c>
      <c r="I915" s="16">
        <f>IF(MATCH_ENGINE!H915="","",MATCH_ENGINE!J915)</f>
        <v/>
      </c>
      <c r="J915" s="12">
        <f>IF(MATCH_ENGINE!A915="","",MATCH_ENGINE!K915)</f>
        <v/>
      </c>
      <c r="K915" s="11">
        <f>IF(MATCH_ENGINE!A915="","",MATCH_ENGINE!L915)</f>
        <v/>
      </c>
      <c r="L915" s="17">
        <f>IF(MATCH_ENGINE!A915="","",MATCH_ENGINE!M915)</f>
        <v/>
      </c>
      <c r="M915" s="11">
        <f>IF(MATCH_ENGINE!A915="","",GL_CLEAN!F915)</f>
        <v/>
      </c>
      <c r="N915" s="11">
        <f>IF(MATCH_ENGINE!A915="","",GL_CLEAN!G915)</f>
        <v/>
      </c>
      <c r="O915" s="11">
        <f>IF(MATCH_ENGINE!H915="","",INDEX(BANK_CLEAN!$C$2:$C$1001,MATCH_ENGINE!H915))</f>
        <v/>
      </c>
      <c r="P915" s="11" t="inlineStr"/>
    </row>
    <row r="916">
      <c r="A916" s="11">
        <f>IF(MATCH_ENGINE!A916="","",MATCH_ENGINE!N916)</f>
        <v/>
      </c>
      <c r="B916" s="11">
        <f>IF(MATCH_ENGINE!A916="","",MATCH_ENGINE!C916)</f>
        <v/>
      </c>
      <c r="C916" s="10">
        <f>IF(MATCH_ENGINE!A916="","",MATCH_ENGINE!B916)</f>
        <v/>
      </c>
      <c r="D916" s="16">
        <f>IF(MATCH_ENGINE!A916="","",MATCH_ENGINE!D916)</f>
        <v/>
      </c>
      <c r="E916" s="11">
        <f>IF(MATCH_ENGINE!A916="","",MATCH_ENGINE!F916)</f>
        <v/>
      </c>
      <c r="F916" s="10">
        <f>IF(MATCH_ENGINE!A916="","",MATCH_ENGINE!I916)</f>
        <v/>
      </c>
      <c r="G916" s="16">
        <f>IF(MATCH_ENGINE!H916="","",IF(MATCH_ENGINE!F916="IN",MATCH_ENGINE!J916,""))</f>
        <v/>
      </c>
      <c r="H916" s="16">
        <f>IF(MATCH_ENGINE!H916="","",IF(MATCH_ENGINE!F916="OUT",MATCH_ENGINE!J916,""))</f>
        <v/>
      </c>
      <c r="I916" s="16">
        <f>IF(MATCH_ENGINE!H916="","",MATCH_ENGINE!J916)</f>
        <v/>
      </c>
      <c r="J916" s="12">
        <f>IF(MATCH_ENGINE!A916="","",MATCH_ENGINE!K916)</f>
        <v/>
      </c>
      <c r="K916" s="11">
        <f>IF(MATCH_ENGINE!A916="","",MATCH_ENGINE!L916)</f>
        <v/>
      </c>
      <c r="L916" s="17">
        <f>IF(MATCH_ENGINE!A916="","",MATCH_ENGINE!M916)</f>
        <v/>
      </c>
      <c r="M916" s="11">
        <f>IF(MATCH_ENGINE!A916="","",GL_CLEAN!F916)</f>
        <v/>
      </c>
      <c r="N916" s="11">
        <f>IF(MATCH_ENGINE!A916="","",GL_CLEAN!G916)</f>
        <v/>
      </c>
      <c r="O916" s="11">
        <f>IF(MATCH_ENGINE!H916="","",INDEX(BANK_CLEAN!$C$2:$C$1001,MATCH_ENGINE!H916))</f>
        <v/>
      </c>
      <c r="P916" s="11" t="inlineStr"/>
    </row>
    <row r="917">
      <c r="A917" s="11">
        <f>IF(MATCH_ENGINE!A917="","",MATCH_ENGINE!N917)</f>
        <v/>
      </c>
      <c r="B917" s="11">
        <f>IF(MATCH_ENGINE!A917="","",MATCH_ENGINE!C917)</f>
        <v/>
      </c>
      <c r="C917" s="10">
        <f>IF(MATCH_ENGINE!A917="","",MATCH_ENGINE!B917)</f>
        <v/>
      </c>
      <c r="D917" s="16">
        <f>IF(MATCH_ENGINE!A917="","",MATCH_ENGINE!D917)</f>
        <v/>
      </c>
      <c r="E917" s="11">
        <f>IF(MATCH_ENGINE!A917="","",MATCH_ENGINE!F917)</f>
        <v/>
      </c>
      <c r="F917" s="10">
        <f>IF(MATCH_ENGINE!A917="","",MATCH_ENGINE!I917)</f>
        <v/>
      </c>
      <c r="G917" s="16">
        <f>IF(MATCH_ENGINE!H917="","",IF(MATCH_ENGINE!F917="IN",MATCH_ENGINE!J917,""))</f>
        <v/>
      </c>
      <c r="H917" s="16">
        <f>IF(MATCH_ENGINE!H917="","",IF(MATCH_ENGINE!F917="OUT",MATCH_ENGINE!J917,""))</f>
        <v/>
      </c>
      <c r="I917" s="16">
        <f>IF(MATCH_ENGINE!H917="","",MATCH_ENGINE!J917)</f>
        <v/>
      </c>
      <c r="J917" s="12">
        <f>IF(MATCH_ENGINE!A917="","",MATCH_ENGINE!K917)</f>
        <v/>
      </c>
      <c r="K917" s="11">
        <f>IF(MATCH_ENGINE!A917="","",MATCH_ENGINE!L917)</f>
        <v/>
      </c>
      <c r="L917" s="17">
        <f>IF(MATCH_ENGINE!A917="","",MATCH_ENGINE!M917)</f>
        <v/>
      </c>
      <c r="M917" s="11">
        <f>IF(MATCH_ENGINE!A917="","",GL_CLEAN!F917)</f>
        <v/>
      </c>
      <c r="N917" s="11">
        <f>IF(MATCH_ENGINE!A917="","",GL_CLEAN!G917)</f>
        <v/>
      </c>
      <c r="O917" s="11">
        <f>IF(MATCH_ENGINE!H917="","",INDEX(BANK_CLEAN!$C$2:$C$1001,MATCH_ENGINE!H917))</f>
        <v/>
      </c>
      <c r="P917" s="11" t="inlineStr"/>
    </row>
    <row r="918">
      <c r="A918" s="11">
        <f>IF(MATCH_ENGINE!A918="","",MATCH_ENGINE!N918)</f>
        <v/>
      </c>
      <c r="B918" s="11">
        <f>IF(MATCH_ENGINE!A918="","",MATCH_ENGINE!C918)</f>
        <v/>
      </c>
      <c r="C918" s="10">
        <f>IF(MATCH_ENGINE!A918="","",MATCH_ENGINE!B918)</f>
        <v/>
      </c>
      <c r="D918" s="16">
        <f>IF(MATCH_ENGINE!A918="","",MATCH_ENGINE!D918)</f>
        <v/>
      </c>
      <c r="E918" s="11">
        <f>IF(MATCH_ENGINE!A918="","",MATCH_ENGINE!F918)</f>
        <v/>
      </c>
      <c r="F918" s="10">
        <f>IF(MATCH_ENGINE!A918="","",MATCH_ENGINE!I918)</f>
        <v/>
      </c>
      <c r="G918" s="16">
        <f>IF(MATCH_ENGINE!H918="","",IF(MATCH_ENGINE!F918="IN",MATCH_ENGINE!J918,""))</f>
        <v/>
      </c>
      <c r="H918" s="16">
        <f>IF(MATCH_ENGINE!H918="","",IF(MATCH_ENGINE!F918="OUT",MATCH_ENGINE!J918,""))</f>
        <v/>
      </c>
      <c r="I918" s="16">
        <f>IF(MATCH_ENGINE!H918="","",MATCH_ENGINE!J918)</f>
        <v/>
      </c>
      <c r="J918" s="12">
        <f>IF(MATCH_ENGINE!A918="","",MATCH_ENGINE!K918)</f>
        <v/>
      </c>
      <c r="K918" s="11">
        <f>IF(MATCH_ENGINE!A918="","",MATCH_ENGINE!L918)</f>
        <v/>
      </c>
      <c r="L918" s="17">
        <f>IF(MATCH_ENGINE!A918="","",MATCH_ENGINE!M918)</f>
        <v/>
      </c>
      <c r="M918" s="11">
        <f>IF(MATCH_ENGINE!A918="","",GL_CLEAN!F918)</f>
        <v/>
      </c>
      <c r="N918" s="11">
        <f>IF(MATCH_ENGINE!A918="","",GL_CLEAN!G918)</f>
        <v/>
      </c>
      <c r="O918" s="11">
        <f>IF(MATCH_ENGINE!H918="","",INDEX(BANK_CLEAN!$C$2:$C$1001,MATCH_ENGINE!H918))</f>
        <v/>
      </c>
      <c r="P918" s="11" t="inlineStr"/>
    </row>
    <row r="919">
      <c r="A919" s="11">
        <f>IF(MATCH_ENGINE!A919="","",MATCH_ENGINE!N919)</f>
        <v/>
      </c>
      <c r="B919" s="11">
        <f>IF(MATCH_ENGINE!A919="","",MATCH_ENGINE!C919)</f>
        <v/>
      </c>
      <c r="C919" s="10">
        <f>IF(MATCH_ENGINE!A919="","",MATCH_ENGINE!B919)</f>
        <v/>
      </c>
      <c r="D919" s="16">
        <f>IF(MATCH_ENGINE!A919="","",MATCH_ENGINE!D919)</f>
        <v/>
      </c>
      <c r="E919" s="11">
        <f>IF(MATCH_ENGINE!A919="","",MATCH_ENGINE!F919)</f>
        <v/>
      </c>
      <c r="F919" s="10">
        <f>IF(MATCH_ENGINE!A919="","",MATCH_ENGINE!I919)</f>
        <v/>
      </c>
      <c r="G919" s="16">
        <f>IF(MATCH_ENGINE!H919="","",IF(MATCH_ENGINE!F919="IN",MATCH_ENGINE!J919,""))</f>
        <v/>
      </c>
      <c r="H919" s="16">
        <f>IF(MATCH_ENGINE!H919="","",IF(MATCH_ENGINE!F919="OUT",MATCH_ENGINE!J919,""))</f>
        <v/>
      </c>
      <c r="I919" s="16">
        <f>IF(MATCH_ENGINE!H919="","",MATCH_ENGINE!J919)</f>
        <v/>
      </c>
      <c r="J919" s="12">
        <f>IF(MATCH_ENGINE!A919="","",MATCH_ENGINE!K919)</f>
        <v/>
      </c>
      <c r="K919" s="11">
        <f>IF(MATCH_ENGINE!A919="","",MATCH_ENGINE!L919)</f>
        <v/>
      </c>
      <c r="L919" s="17">
        <f>IF(MATCH_ENGINE!A919="","",MATCH_ENGINE!M919)</f>
        <v/>
      </c>
      <c r="M919" s="11">
        <f>IF(MATCH_ENGINE!A919="","",GL_CLEAN!F919)</f>
        <v/>
      </c>
      <c r="N919" s="11">
        <f>IF(MATCH_ENGINE!A919="","",GL_CLEAN!G919)</f>
        <v/>
      </c>
      <c r="O919" s="11">
        <f>IF(MATCH_ENGINE!H919="","",INDEX(BANK_CLEAN!$C$2:$C$1001,MATCH_ENGINE!H919))</f>
        <v/>
      </c>
      <c r="P919" s="11" t="inlineStr"/>
    </row>
    <row r="920">
      <c r="A920" s="11">
        <f>IF(MATCH_ENGINE!A920="","",MATCH_ENGINE!N920)</f>
        <v/>
      </c>
      <c r="B920" s="11">
        <f>IF(MATCH_ENGINE!A920="","",MATCH_ENGINE!C920)</f>
        <v/>
      </c>
      <c r="C920" s="10">
        <f>IF(MATCH_ENGINE!A920="","",MATCH_ENGINE!B920)</f>
        <v/>
      </c>
      <c r="D920" s="16">
        <f>IF(MATCH_ENGINE!A920="","",MATCH_ENGINE!D920)</f>
        <v/>
      </c>
      <c r="E920" s="11">
        <f>IF(MATCH_ENGINE!A920="","",MATCH_ENGINE!F920)</f>
        <v/>
      </c>
      <c r="F920" s="10">
        <f>IF(MATCH_ENGINE!A920="","",MATCH_ENGINE!I920)</f>
        <v/>
      </c>
      <c r="G920" s="16">
        <f>IF(MATCH_ENGINE!H920="","",IF(MATCH_ENGINE!F920="IN",MATCH_ENGINE!J920,""))</f>
        <v/>
      </c>
      <c r="H920" s="16">
        <f>IF(MATCH_ENGINE!H920="","",IF(MATCH_ENGINE!F920="OUT",MATCH_ENGINE!J920,""))</f>
        <v/>
      </c>
      <c r="I920" s="16">
        <f>IF(MATCH_ENGINE!H920="","",MATCH_ENGINE!J920)</f>
        <v/>
      </c>
      <c r="J920" s="12">
        <f>IF(MATCH_ENGINE!A920="","",MATCH_ENGINE!K920)</f>
        <v/>
      </c>
      <c r="K920" s="11">
        <f>IF(MATCH_ENGINE!A920="","",MATCH_ENGINE!L920)</f>
        <v/>
      </c>
      <c r="L920" s="17">
        <f>IF(MATCH_ENGINE!A920="","",MATCH_ENGINE!M920)</f>
        <v/>
      </c>
      <c r="M920" s="11">
        <f>IF(MATCH_ENGINE!A920="","",GL_CLEAN!F920)</f>
        <v/>
      </c>
      <c r="N920" s="11">
        <f>IF(MATCH_ENGINE!A920="","",GL_CLEAN!G920)</f>
        <v/>
      </c>
      <c r="O920" s="11">
        <f>IF(MATCH_ENGINE!H920="","",INDEX(BANK_CLEAN!$C$2:$C$1001,MATCH_ENGINE!H920))</f>
        <v/>
      </c>
      <c r="P920" s="11" t="inlineStr"/>
    </row>
    <row r="921">
      <c r="A921" s="11">
        <f>IF(MATCH_ENGINE!A921="","",MATCH_ENGINE!N921)</f>
        <v/>
      </c>
      <c r="B921" s="11">
        <f>IF(MATCH_ENGINE!A921="","",MATCH_ENGINE!C921)</f>
        <v/>
      </c>
      <c r="C921" s="10">
        <f>IF(MATCH_ENGINE!A921="","",MATCH_ENGINE!B921)</f>
        <v/>
      </c>
      <c r="D921" s="16">
        <f>IF(MATCH_ENGINE!A921="","",MATCH_ENGINE!D921)</f>
        <v/>
      </c>
      <c r="E921" s="11">
        <f>IF(MATCH_ENGINE!A921="","",MATCH_ENGINE!F921)</f>
        <v/>
      </c>
      <c r="F921" s="10">
        <f>IF(MATCH_ENGINE!A921="","",MATCH_ENGINE!I921)</f>
        <v/>
      </c>
      <c r="G921" s="16">
        <f>IF(MATCH_ENGINE!H921="","",IF(MATCH_ENGINE!F921="IN",MATCH_ENGINE!J921,""))</f>
        <v/>
      </c>
      <c r="H921" s="16">
        <f>IF(MATCH_ENGINE!H921="","",IF(MATCH_ENGINE!F921="OUT",MATCH_ENGINE!J921,""))</f>
        <v/>
      </c>
      <c r="I921" s="16">
        <f>IF(MATCH_ENGINE!H921="","",MATCH_ENGINE!J921)</f>
        <v/>
      </c>
      <c r="J921" s="12">
        <f>IF(MATCH_ENGINE!A921="","",MATCH_ENGINE!K921)</f>
        <v/>
      </c>
      <c r="K921" s="11">
        <f>IF(MATCH_ENGINE!A921="","",MATCH_ENGINE!L921)</f>
        <v/>
      </c>
      <c r="L921" s="17">
        <f>IF(MATCH_ENGINE!A921="","",MATCH_ENGINE!M921)</f>
        <v/>
      </c>
      <c r="M921" s="11">
        <f>IF(MATCH_ENGINE!A921="","",GL_CLEAN!F921)</f>
        <v/>
      </c>
      <c r="N921" s="11">
        <f>IF(MATCH_ENGINE!A921="","",GL_CLEAN!G921)</f>
        <v/>
      </c>
      <c r="O921" s="11">
        <f>IF(MATCH_ENGINE!H921="","",INDEX(BANK_CLEAN!$C$2:$C$1001,MATCH_ENGINE!H921))</f>
        <v/>
      </c>
      <c r="P921" s="11" t="inlineStr"/>
    </row>
    <row r="922">
      <c r="A922" s="11">
        <f>IF(MATCH_ENGINE!A922="","",MATCH_ENGINE!N922)</f>
        <v/>
      </c>
      <c r="B922" s="11">
        <f>IF(MATCH_ENGINE!A922="","",MATCH_ENGINE!C922)</f>
        <v/>
      </c>
      <c r="C922" s="10">
        <f>IF(MATCH_ENGINE!A922="","",MATCH_ENGINE!B922)</f>
        <v/>
      </c>
      <c r="D922" s="16">
        <f>IF(MATCH_ENGINE!A922="","",MATCH_ENGINE!D922)</f>
        <v/>
      </c>
      <c r="E922" s="11">
        <f>IF(MATCH_ENGINE!A922="","",MATCH_ENGINE!F922)</f>
        <v/>
      </c>
      <c r="F922" s="10">
        <f>IF(MATCH_ENGINE!A922="","",MATCH_ENGINE!I922)</f>
        <v/>
      </c>
      <c r="G922" s="16">
        <f>IF(MATCH_ENGINE!H922="","",IF(MATCH_ENGINE!F922="IN",MATCH_ENGINE!J922,""))</f>
        <v/>
      </c>
      <c r="H922" s="16">
        <f>IF(MATCH_ENGINE!H922="","",IF(MATCH_ENGINE!F922="OUT",MATCH_ENGINE!J922,""))</f>
        <v/>
      </c>
      <c r="I922" s="16">
        <f>IF(MATCH_ENGINE!H922="","",MATCH_ENGINE!J922)</f>
        <v/>
      </c>
      <c r="J922" s="12">
        <f>IF(MATCH_ENGINE!A922="","",MATCH_ENGINE!K922)</f>
        <v/>
      </c>
      <c r="K922" s="11">
        <f>IF(MATCH_ENGINE!A922="","",MATCH_ENGINE!L922)</f>
        <v/>
      </c>
      <c r="L922" s="17">
        <f>IF(MATCH_ENGINE!A922="","",MATCH_ENGINE!M922)</f>
        <v/>
      </c>
      <c r="M922" s="11">
        <f>IF(MATCH_ENGINE!A922="","",GL_CLEAN!F922)</f>
        <v/>
      </c>
      <c r="N922" s="11">
        <f>IF(MATCH_ENGINE!A922="","",GL_CLEAN!G922)</f>
        <v/>
      </c>
      <c r="O922" s="11">
        <f>IF(MATCH_ENGINE!H922="","",INDEX(BANK_CLEAN!$C$2:$C$1001,MATCH_ENGINE!H922))</f>
        <v/>
      </c>
      <c r="P922" s="11" t="inlineStr"/>
    </row>
    <row r="923">
      <c r="A923" s="11">
        <f>IF(MATCH_ENGINE!A923="","",MATCH_ENGINE!N923)</f>
        <v/>
      </c>
      <c r="B923" s="11">
        <f>IF(MATCH_ENGINE!A923="","",MATCH_ENGINE!C923)</f>
        <v/>
      </c>
      <c r="C923" s="10">
        <f>IF(MATCH_ENGINE!A923="","",MATCH_ENGINE!B923)</f>
        <v/>
      </c>
      <c r="D923" s="16">
        <f>IF(MATCH_ENGINE!A923="","",MATCH_ENGINE!D923)</f>
        <v/>
      </c>
      <c r="E923" s="11">
        <f>IF(MATCH_ENGINE!A923="","",MATCH_ENGINE!F923)</f>
        <v/>
      </c>
      <c r="F923" s="10">
        <f>IF(MATCH_ENGINE!A923="","",MATCH_ENGINE!I923)</f>
        <v/>
      </c>
      <c r="G923" s="16">
        <f>IF(MATCH_ENGINE!H923="","",IF(MATCH_ENGINE!F923="IN",MATCH_ENGINE!J923,""))</f>
        <v/>
      </c>
      <c r="H923" s="16">
        <f>IF(MATCH_ENGINE!H923="","",IF(MATCH_ENGINE!F923="OUT",MATCH_ENGINE!J923,""))</f>
        <v/>
      </c>
      <c r="I923" s="16">
        <f>IF(MATCH_ENGINE!H923="","",MATCH_ENGINE!J923)</f>
        <v/>
      </c>
      <c r="J923" s="12">
        <f>IF(MATCH_ENGINE!A923="","",MATCH_ENGINE!K923)</f>
        <v/>
      </c>
      <c r="K923" s="11">
        <f>IF(MATCH_ENGINE!A923="","",MATCH_ENGINE!L923)</f>
        <v/>
      </c>
      <c r="L923" s="17">
        <f>IF(MATCH_ENGINE!A923="","",MATCH_ENGINE!M923)</f>
        <v/>
      </c>
      <c r="M923" s="11">
        <f>IF(MATCH_ENGINE!A923="","",GL_CLEAN!F923)</f>
        <v/>
      </c>
      <c r="N923" s="11">
        <f>IF(MATCH_ENGINE!A923="","",GL_CLEAN!G923)</f>
        <v/>
      </c>
      <c r="O923" s="11">
        <f>IF(MATCH_ENGINE!H923="","",INDEX(BANK_CLEAN!$C$2:$C$1001,MATCH_ENGINE!H923))</f>
        <v/>
      </c>
      <c r="P923" s="11" t="inlineStr"/>
    </row>
    <row r="924">
      <c r="A924" s="11">
        <f>IF(MATCH_ENGINE!A924="","",MATCH_ENGINE!N924)</f>
        <v/>
      </c>
      <c r="B924" s="11">
        <f>IF(MATCH_ENGINE!A924="","",MATCH_ENGINE!C924)</f>
        <v/>
      </c>
      <c r="C924" s="10">
        <f>IF(MATCH_ENGINE!A924="","",MATCH_ENGINE!B924)</f>
        <v/>
      </c>
      <c r="D924" s="16">
        <f>IF(MATCH_ENGINE!A924="","",MATCH_ENGINE!D924)</f>
        <v/>
      </c>
      <c r="E924" s="11">
        <f>IF(MATCH_ENGINE!A924="","",MATCH_ENGINE!F924)</f>
        <v/>
      </c>
      <c r="F924" s="10">
        <f>IF(MATCH_ENGINE!A924="","",MATCH_ENGINE!I924)</f>
        <v/>
      </c>
      <c r="G924" s="16">
        <f>IF(MATCH_ENGINE!H924="","",IF(MATCH_ENGINE!F924="IN",MATCH_ENGINE!J924,""))</f>
        <v/>
      </c>
      <c r="H924" s="16">
        <f>IF(MATCH_ENGINE!H924="","",IF(MATCH_ENGINE!F924="OUT",MATCH_ENGINE!J924,""))</f>
        <v/>
      </c>
      <c r="I924" s="16">
        <f>IF(MATCH_ENGINE!H924="","",MATCH_ENGINE!J924)</f>
        <v/>
      </c>
      <c r="J924" s="12">
        <f>IF(MATCH_ENGINE!A924="","",MATCH_ENGINE!K924)</f>
        <v/>
      </c>
      <c r="K924" s="11">
        <f>IF(MATCH_ENGINE!A924="","",MATCH_ENGINE!L924)</f>
        <v/>
      </c>
      <c r="L924" s="17">
        <f>IF(MATCH_ENGINE!A924="","",MATCH_ENGINE!M924)</f>
        <v/>
      </c>
      <c r="M924" s="11">
        <f>IF(MATCH_ENGINE!A924="","",GL_CLEAN!F924)</f>
        <v/>
      </c>
      <c r="N924" s="11">
        <f>IF(MATCH_ENGINE!A924="","",GL_CLEAN!G924)</f>
        <v/>
      </c>
      <c r="O924" s="11">
        <f>IF(MATCH_ENGINE!H924="","",INDEX(BANK_CLEAN!$C$2:$C$1001,MATCH_ENGINE!H924))</f>
        <v/>
      </c>
      <c r="P924" s="11" t="inlineStr"/>
    </row>
    <row r="925">
      <c r="A925" s="11">
        <f>IF(MATCH_ENGINE!A925="","",MATCH_ENGINE!N925)</f>
        <v/>
      </c>
      <c r="B925" s="11">
        <f>IF(MATCH_ENGINE!A925="","",MATCH_ENGINE!C925)</f>
        <v/>
      </c>
      <c r="C925" s="10">
        <f>IF(MATCH_ENGINE!A925="","",MATCH_ENGINE!B925)</f>
        <v/>
      </c>
      <c r="D925" s="16">
        <f>IF(MATCH_ENGINE!A925="","",MATCH_ENGINE!D925)</f>
        <v/>
      </c>
      <c r="E925" s="11">
        <f>IF(MATCH_ENGINE!A925="","",MATCH_ENGINE!F925)</f>
        <v/>
      </c>
      <c r="F925" s="10">
        <f>IF(MATCH_ENGINE!A925="","",MATCH_ENGINE!I925)</f>
        <v/>
      </c>
      <c r="G925" s="16">
        <f>IF(MATCH_ENGINE!H925="","",IF(MATCH_ENGINE!F925="IN",MATCH_ENGINE!J925,""))</f>
        <v/>
      </c>
      <c r="H925" s="16">
        <f>IF(MATCH_ENGINE!H925="","",IF(MATCH_ENGINE!F925="OUT",MATCH_ENGINE!J925,""))</f>
        <v/>
      </c>
      <c r="I925" s="16">
        <f>IF(MATCH_ENGINE!H925="","",MATCH_ENGINE!J925)</f>
        <v/>
      </c>
      <c r="J925" s="12">
        <f>IF(MATCH_ENGINE!A925="","",MATCH_ENGINE!K925)</f>
        <v/>
      </c>
      <c r="K925" s="11">
        <f>IF(MATCH_ENGINE!A925="","",MATCH_ENGINE!L925)</f>
        <v/>
      </c>
      <c r="L925" s="17">
        <f>IF(MATCH_ENGINE!A925="","",MATCH_ENGINE!M925)</f>
        <v/>
      </c>
      <c r="M925" s="11">
        <f>IF(MATCH_ENGINE!A925="","",GL_CLEAN!F925)</f>
        <v/>
      </c>
      <c r="N925" s="11">
        <f>IF(MATCH_ENGINE!A925="","",GL_CLEAN!G925)</f>
        <v/>
      </c>
      <c r="O925" s="11">
        <f>IF(MATCH_ENGINE!H925="","",INDEX(BANK_CLEAN!$C$2:$C$1001,MATCH_ENGINE!H925))</f>
        <v/>
      </c>
      <c r="P925" s="11" t="inlineStr"/>
    </row>
    <row r="926">
      <c r="A926" s="11">
        <f>IF(MATCH_ENGINE!A926="","",MATCH_ENGINE!N926)</f>
        <v/>
      </c>
      <c r="B926" s="11">
        <f>IF(MATCH_ENGINE!A926="","",MATCH_ENGINE!C926)</f>
        <v/>
      </c>
      <c r="C926" s="10">
        <f>IF(MATCH_ENGINE!A926="","",MATCH_ENGINE!B926)</f>
        <v/>
      </c>
      <c r="D926" s="16">
        <f>IF(MATCH_ENGINE!A926="","",MATCH_ENGINE!D926)</f>
        <v/>
      </c>
      <c r="E926" s="11">
        <f>IF(MATCH_ENGINE!A926="","",MATCH_ENGINE!F926)</f>
        <v/>
      </c>
      <c r="F926" s="10">
        <f>IF(MATCH_ENGINE!A926="","",MATCH_ENGINE!I926)</f>
        <v/>
      </c>
      <c r="G926" s="16">
        <f>IF(MATCH_ENGINE!H926="","",IF(MATCH_ENGINE!F926="IN",MATCH_ENGINE!J926,""))</f>
        <v/>
      </c>
      <c r="H926" s="16">
        <f>IF(MATCH_ENGINE!H926="","",IF(MATCH_ENGINE!F926="OUT",MATCH_ENGINE!J926,""))</f>
        <v/>
      </c>
      <c r="I926" s="16">
        <f>IF(MATCH_ENGINE!H926="","",MATCH_ENGINE!J926)</f>
        <v/>
      </c>
      <c r="J926" s="12">
        <f>IF(MATCH_ENGINE!A926="","",MATCH_ENGINE!K926)</f>
        <v/>
      </c>
      <c r="K926" s="11">
        <f>IF(MATCH_ENGINE!A926="","",MATCH_ENGINE!L926)</f>
        <v/>
      </c>
      <c r="L926" s="17">
        <f>IF(MATCH_ENGINE!A926="","",MATCH_ENGINE!M926)</f>
        <v/>
      </c>
      <c r="M926" s="11">
        <f>IF(MATCH_ENGINE!A926="","",GL_CLEAN!F926)</f>
        <v/>
      </c>
      <c r="N926" s="11">
        <f>IF(MATCH_ENGINE!A926="","",GL_CLEAN!G926)</f>
        <v/>
      </c>
      <c r="O926" s="11">
        <f>IF(MATCH_ENGINE!H926="","",INDEX(BANK_CLEAN!$C$2:$C$1001,MATCH_ENGINE!H926))</f>
        <v/>
      </c>
      <c r="P926" s="11" t="inlineStr"/>
    </row>
    <row r="927">
      <c r="A927" s="11">
        <f>IF(MATCH_ENGINE!A927="","",MATCH_ENGINE!N927)</f>
        <v/>
      </c>
      <c r="B927" s="11">
        <f>IF(MATCH_ENGINE!A927="","",MATCH_ENGINE!C927)</f>
        <v/>
      </c>
      <c r="C927" s="10">
        <f>IF(MATCH_ENGINE!A927="","",MATCH_ENGINE!B927)</f>
        <v/>
      </c>
      <c r="D927" s="16">
        <f>IF(MATCH_ENGINE!A927="","",MATCH_ENGINE!D927)</f>
        <v/>
      </c>
      <c r="E927" s="11">
        <f>IF(MATCH_ENGINE!A927="","",MATCH_ENGINE!F927)</f>
        <v/>
      </c>
      <c r="F927" s="10">
        <f>IF(MATCH_ENGINE!A927="","",MATCH_ENGINE!I927)</f>
        <v/>
      </c>
      <c r="G927" s="16">
        <f>IF(MATCH_ENGINE!H927="","",IF(MATCH_ENGINE!F927="IN",MATCH_ENGINE!J927,""))</f>
        <v/>
      </c>
      <c r="H927" s="16">
        <f>IF(MATCH_ENGINE!H927="","",IF(MATCH_ENGINE!F927="OUT",MATCH_ENGINE!J927,""))</f>
        <v/>
      </c>
      <c r="I927" s="16">
        <f>IF(MATCH_ENGINE!H927="","",MATCH_ENGINE!J927)</f>
        <v/>
      </c>
      <c r="J927" s="12">
        <f>IF(MATCH_ENGINE!A927="","",MATCH_ENGINE!K927)</f>
        <v/>
      </c>
      <c r="K927" s="11">
        <f>IF(MATCH_ENGINE!A927="","",MATCH_ENGINE!L927)</f>
        <v/>
      </c>
      <c r="L927" s="17">
        <f>IF(MATCH_ENGINE!A927="","",MATCH_ENGINE!M927)</f>
        <v/>
      </c>
      <c r="M927" s="11">
        <f>IF(MATCH_ENGINE!A927="","",GL_CLEAN!F927)</f>
        <v/>
      </c>
      <c r="N927" s="11">
        <f>IF(MATCH_ENGINE!A927="","",GL_CLEAN!G927)</f>
        <v/>
      </c>
      <c r="O927" s="11">
        <f>IF(MATCH_ENGINE!H927="","",INDEX(BANK_CLEAN!$C$2:$C$1001,MATCH_ENGINE!H927))</f>
        <v/>
      </c>
      <c r="P927" s="11" t="inlineStr"/>
    </row>
    <row r="928">
      <c r="A928" s="11">
        <f>IF(MATCH_ENGINE!A928="","",MATCH_ENGINE!N928)</f>
        <v/>
      </c>
      <c r="B928" s="11">
        <f>IF(MATCH_ENGINE!A928="","",MATCH_ENGINE!C928)</f>
        <v/>
      </c>
      <c r="C928" s="10">
        <f>IF(MATCH_ENGINE!A928="","",MATCH_ENGINE!B928)</f>
        <v/>
      </c>
      <c r="D928" s="16">
        <f>IF(MATCH_ENGINE!A928="","",MATCH_ENGINE!D928)</f>
        <v/>
      </c>
      <c r="E928" s="11">
        <f>IF(MATCH_ENGINE!A928="","",MATCH_ENGINE!F928)</f>
        <v/>
      </c>
      <c r="F928" s="10">
        <f>IF(MATCH_ENGINE!A928="","",MATCH_ENGINE!I928)</f>
        <v/>
      </c>
      <c r="G928" s="16">
        <f>IF(MATCH_ENGINE!H928="","",IF(MATCH_ENGINE!F928="IN",MATCH_ENGINE!J928,""))</f>
        <v/>
      </c>
      <c r="H928" s="16">
        <f>IF(MATCH_ENGINE!H928="","",IF(MATCH_ENGINE!F928="OUT",MATCH_ENGINE!J928,""))</f>
        <v/>
      </c>
      <c r="I928" s="16">
        <f>IF(MATCH_ENGINE!H928="","",MATCH_ENGINE!J928)</f>
        <v/>
      </c>
      <c r="J928" s="12">
        <f>IF(MATCH_ENGINE!A928="","",MATCH_ENGINE!K928)</f>
        <v/>
      </c>
      <c r="K928" s="11">
        <f>IF(MATCH_ENGINE!A928="","",MATCH_ENGINE!L928)</f>
        <v/>
      </c>
      <c r="L928" s="17">
        <f>IF(MATCH_ENGINE!A928="","",MATCH_ENGINE!M928)</f>
        <v/>
      </c>
      <c r="M928" s="11">
        <f>IF(MATCH_ENGINE!A928="","",GL_CLEAN!F928)</f>
        <v/>
      </c>
      <c r="N928" s="11">
        <f>IF(MATCH_ENGINE!A928="","",GL_CLEAN!G928)</f>
        <v/>
      </c>
      <c r="O928" s="11">
        <f>IF(MATCH_ENGINE!H928="","",INDEX(BANK_CLEAN!$C$2:$C$1001,MATCH_ENGINE!H928))</f>
        <v/>
      </c>
      <c r="P928" s="11" t="inlineStr"/>
    </row>
    <row r="929">
      <c r="A929" s="11">
        <f>IF(MATCH_ENGINE!A929="","",MATCH_ENGINE!N929)</f>
        <v/>
      </c>
      <c r="B929" s="11">
        <f>IF(MATCH_ENGINE!A929="","",MATCH_ENGINE!C929)</f>
        <v/>
      </c>
      <c r="C929" s="10">
        <f>IF(MATCH_ENGINE!A929="","",MATCH_ENGINE!B929)</f>
        <v/>
      </c>
      <c r="D929" s="16">
        <f>IF(MATCH_ENGINE!A929="","",MATCH_ENGINE!D929)</f>
        <v/>
      </c>
      <c r="E929" s="11">
        <f>IF(MATCH_ENGINE!A929="","",MATCH_ENGINE!F929)</f>
        <v/>
      </c>
      <c r="F929" s="10">
        <f>IF(MATCH_ENGINE!A929="","",MATCH_ENGINE!I929)</f>
        <v/>
      </c>
      <c r="G929" s="16">
        <f>IF(MATCH_ENGINE!H929="","",IF(MATCH_ENGINE!F929="IN",MATCH_ENGINE!J929,""))</f>
        <v/>
      </c>
      <c r="H929" s="16">
        <f>IF(MATCH_ENGINE!H929="","",IF(MATCH_ENGINE!F929="OUT",MATCH_ENGINE!J929,""))</f>
        <v/>
      </c>
      <c r="I929" s="16">
        <f>IF(MATCH_ENGINE!H929="","",MATCH_ENGINE!J929)</f>
        <v/>
      </c>
      <c r="J929" s="12">
        <f>IF(MATCH_ENGINE!A929="","",MATCH_ENGINE!K929)</f>
        <v/>
      </c>
      <c r="K929" s="11">
        <f>IF(MATCH_ENGINE!A929="","",MATCH_ENGINE!L929)</f>
        <v/>
      </c>
      <c r="L929" s="17">
        <f>IF(MATCH_ENGINE!A929="","",MATCH_ENGINE!M929)</f>
        <v/>
      </c>
      <c r="M929" s="11">
        <f>IF(MATCH_ENGINE!A929="","",GL_CLEAN!F929)</f>
        <v/>
      </c>
      <c r="N929" s="11">
        <f>IF(MATCH_ENGINE!A929="","",GL_CLEAN!G929)</f>
        <v/>
      </c>
      <c r="O929" s="11">
        <f>IF(MATCH_ENGINE!H929="","",INDEX(BANK_CLEAN!$C$2:$C$1001,MATCH_ENGINE!H929))</f>
        <v/>
      </c>
      <c r="P929" s="11" t="inlineStr"/>
    </row>
    <row r="930">
      <c r="A930" s="11">
        <f>IF(MATCH_ENGINE!A930="","",MATCH_ENGINE!N930)</f>
        <v/>
      </c>
      <c r="B930" s="11">
        <f>IF(MATCH_ENGINE!A930="","",MATCH_ENGINE!C930)</f>
        <v/>
      </c>
      <c r="C930" s="10">
        <f>IF(MATCH_ENGINE!A930="","",MATCH_ENGINE!B930)</f>
        <v/>
      </c>
      <c r="D930" s="16">
        <f>IF(MATCH_ENGINE!A930="","",MATCH_ENGINE!D930)</f>
        <v/>
      </c>
      <c r="E930" s="11">
        <f>IF(MATCH_ENGINE!A930="","",MATCH_ENGINE!F930)</f>
        <v/>
      </c>
      <c r="F930" s="10">
        <f>IF(MATCH_ENGINE!A930="","",MATCH_ENGINE!I930)</f>
        <v/>
      </c>
      <c r="G930" s="16">
        <f>IF(MATCH_ENGINE!H930="","",IF(MATCH_ENGINE!F930="IN",MATCH_ENGINE!J930,""))</f>
        <v/>
      </c>
      <c r="H930" s="16">
        <f>IF(MATCH_ENGINE!H930="","",IF(MATCH_ENGINE!F930="OUT",MATCH_ENGINE!J930,""))</f>
        <v/>
      </c>
      <c r="I930" s="16">
        <f>IF(MATCH_ENGINE!H930="","",MATCH_ENGINE!J930)</f>
        <v/>
      </c>
      <c r="J930" s="12">
        <f>IF(MATCH_ENGINE!A930="","",MATCH_ENGINE!K930)</f>
        <v/>
      </c>
      <c r="K930" s="11">
        <f>IF(MATCH_ENGINE!A930="","",MATCH_ENGINE!L930)</f>
        <v/>
      </c>
      <c r="L930" s="17">
        <f>IF(MATCH_ENGINE!A930="","",MATCH_ENGINE!M930)</f>
        <v/>
      </c>
      <c r="M930" s="11">
        <f>IF(MATCH_ENGINE!A930="","",GL_CLEAN!F930)</f>
        <v/>
      </c>
      <c r="N930" s="11">
        <f>IF(MATCH_ENGINE!A930="","",GL_CLEAN!G930)</f>
        <v/>
      </c>
      <c r="O930" s="11">
        <f>IF(MATCH_ENGINE!H930="","",INDEX(BANK_CLEAN!$C$2:$C$1001,MATCH_ENGINE!H930))</f>
        <v/>
      </c>
      <c r="P930" s="11" t="inlineStr"/>
    </row>
    <row r="931">
      <c r="A931" s="11">
        <f>IF(MATCH_ENGINE!A931="","",MATCH_ENGINE!N931)</f>
        <v/>
      </c>
      <c r="B931" s="11">
        <f>IF(MATCH_ENGINE!A931="","",MATCH_ENGINE!C931)</f>
        <v/>
      </c>
      <c r="C931" s="10">
        <f>IF(MATCH_ENGINE!A931="","",MATCH_ENGINE!B931)</f>
        <v/>
      </c>
      <c r="D931" s="16">
        <f>IF(MATCH_ENGINE!A931="","",MATCH_ENGINE!D931)</f>
        <v/>
      </c>
      <c r="E931" s="11">
        <f>IF(MATCH_ENGINE!A931="","",MATCH_ENGINE!F931)</f>
        <v/>
      </c>
      <c r="F931" s="10">
        <f>IF(MATCH_ENGINE!A931="","",MATCH_ENGINE!I931)</f>
        <v/>
      </c>
      <c r="G931" s="16">
        <f>IF(MATCH_ENGINE!H931="","",IF(MATCH_ENGINE!F931="IN",MATCH_ENGINE!J931,""))</f>
        <v/>
      </c>
      <c r="H931" s="16">
        <f>IF(MATCH_ENGINE!H931="","",IF(MATCH_ENGINE!F931="OUT",MATCH_ENGINE!J931,""))</f>
        <v/>
      </c>
      <c r="I931" s="16">
        <f>IF(MATCH_ENGINE!H931="","",MATCH_ENGINE!J931)</f>
        <v/>
      </c>
      <c r="J931" s="12">
        <f>IF(MATCH_ENGINE!A931="","",MATCH_ENGINE!K931)</f>
        <v/>
      </c>
      <c r="K931" s="11">
        <f>IF(MATCH_ENGINE!A931="","",MATCH_ENGINE!L931)</f>
        <v/>
      </c>
      <c r="L931" s="17">
        <f>IF(MATCH_ENGINE!A931="","",MATCH_ENGINE!M931)</f>
        <v/>
      </c>
      <c r="M931" s="11">
        <f>IF(MATCH_ENGINE!A931="","",GL_CLEAN!F931)</f>
        <v/>
      </c>
      <c r="N931" s="11">
        <f>IF(MATCH_ENGINE!A931="","",GL_CLEAN!G931)</f>
        <v/>
      </c>
      <c r="O931" s="11">
        <f>IF(MATCH_ENGINE!H931="","",INDEX(BANK_CLEAN!$C$2:$C$1001,MATCH_ENGINE!H931))</f>
        <v/>
      </c>
      <c r="P931" s="11" t="inlineStr"/>
    </row>
    <row r="932">
      <c r="A932" s="11">
        <f>IF(MATCH_ENGINE!A932="","",MATCH_ENGINE!N932)</f>
        <v/>
      </c>
      <c r="B932" s="11">
        <f>IF(MATCH_ENGINE!A932="","",MATCH_ENGINE!C932)</f>
        <v/>
      </c>
      <c r="C932" s="10">
        <f>IF(MATCH_ENGINE!A932="","",MATCH_ENGINE!B932)</f>
        <v/>
      </c>
      <c r="D932" s="16">
        <f>IF(MATCH_ENGINE!A932="","",MATCH_ENGINE!D932)</f>
        <v/>
      </c>
      <c r="E932" s="11">
        <f>IF(MATCH_ENGINE!A932="","",MATCH_ENGINE!F932)</f>
        <v/>
      </c>
      <c r="F932" s="10">
        <f>IF(MATCH_ENGINE!A932="","",MATCH_ENGINE!I932)</f>
        <v/>
      </c>
      <c r="G932" s="16">
        <f>IF(MATCH_ENGINE!H932="","",IF(MATCH_ENGINE!F932="IN",MATCH_ENGINE!J932,""))</f>
        <v/>
      </c>
      <c r="H932" s="16">
        <f>IF(MATCH_ENGINE!H932="","",IF(MATCH_ENGINE!F932="OUT",MATCH_ENGINE!J932,""))</f>
        <v/>
      </c>
      <c r="I932" s="16">
        <f>IF(MATCH_ENGINE!H932="","",MATCH_ENGINE!J932)</f>
        <v/>
      </c>
      <c r="J932" s="12">
        <f>IF(MATCH_ENGINE!A932="","",MATCH_ENGINE!K932)</f>
        <v/>
      </c>
      <c r="K932" s="11">
        <f>IF(MATCH_ENGINE!A932="","",MATCH_ENGINE!L932)</f>
        <v/>
      </c>
      <c r="L932" s="17">
        <f>IF(MATCH_ENGINE!A932="","",MATCH_ENGINE!M932)</f>
        <v/>
      </c>
      <c r="M932" s="11">
        <f>IF(MATCH_ENGINE!A932="","",GL_CLEAN!F932)</f>
        <v/>
      </c>
      <c r="N932" s="11">
        <f>IF(MATCH_ENGINE!A932="","",GL_CLEAN!G932)</f>
        <v/>
      </c>
      <c r="O932" s="11">
        <f>IF(MATCH_ENGINE!H932="","",INDEX(BANK_CLEAN!$C$2:$C$1001,MATCH_ENGINE!H932))</f>
        <v/>
      </c>
      <c r="P932" s="11" t="inlineStr"/>
    </row>
    <row r="933">
      <c r="A933" s="11">
        <f>IF(MATCH_ENGINE!A933="","",MATCH_ENGINE!N933)</f>
        <v/>
      </c>
      <c r="B933" s="11">
        <f>IF(MATCH_ENGINE!A933="","",MATCH_ENGINE!C933)</f>
        <v/>
      </c>
      <c r="C933" s="10">
        <f>IF(MATCH_ENGINE!A933="","",MATCH_ENGINE!B933)</f>
        <v/>
      </c>
      <c r="D933" s="16">
        <f>IF(MATCH_ENGINE!A933="","",MATCH_ENGINE!D933)</f>
        <v/>
      </c>
      <c r="E933" s="11">
        <f>IF(MATCH_ENGINE!A933="","",MATCH_ENGINE!F933)</f>
        <v/>
      </c>
      <c r="F933" s="10">
        <f>IF(MATCH_ENGINE!A933="","",MATCH_ENGINE!I933)</f>
        <v/>
      </c>
      <c r="G933" s="16">
        <f>IF(MATCH_ENGINE!H933="","",IF(MATCH_ENGINE!F933="IN",MATCH_ENGINE!J933,""))</f>
        <v/>
      </c>
      <c r="H933" s="16">
        <f>IF(MATCH_ENGINE!H933="","",IF(MATCH_ENGINE!F933="OUT",MATCH_ENGINE!J933,""))</f>
        <v/>
      </c>
      <c r="I933" s="16">
        <f>IF(MATCH_ENGINE!H933="","",MATCH_ENGINE!J933)</f>
        <v/>
      </c>
      <c r="J933" s="12">
        <f>IF(MATCH_ENGINE!A933="","",MATCH_ENGINE!K933)</f>
        <v/>
      </c>
      <c r="K933" s="11">
        <f>IF(MATCH_ENGINE!A933="","",MATCH_ENGINE!L933)</f>
        <v/>
      </c>
      <c r="L933" s="17">
        <f>IF(MATCH_ENGINE!A933="","",MATCH_ENGINE!M933)</f>
        <v/>
      </c>
      <c r="M933" s="11">
        <f>IF(MATCH_ENGINE!A933="","",GL_CLEAN!F933)</f>
        <v/>
      </c>
      <c r="N933" s="11">
        <f>IF(MATCH_ENGINE!A933="","",GL_CLEAN!G933)</f>
        <v/>
      </c>
      <c r="O933" s="11">
        <f>IF(MATCH_ENGINE!H933="","",INDEX(BANK_CLEAN!$C$2:$C$1001,MATCH_ENGINE!H933))</f>
        <v/>
      </c>
      <c r="P933" s="11" t="inlineStr"/>
    </row>
    <row r="934">
      <c r="A934" s="11">
        <f>IF(MATCH_ENGINE!A934="","",MATCH_ENGINE!N934)</f>
        <v/>
      </c>
      <c r="B934" s="11">
        <f>IF(MATCH_ENGINE!A934="","",MATCH_ENGINE!C934)</f>
        <v/>
      </c>
      <c r="C934" s="10">
        <f>IF(MATCH_ENGINE!A934="","",MATCH_ENGINE!B934)</f>
        <v/>
      </c>
      <c r="D934" s="16">
        <f>IF(MATCH_ENGINE!A934="","",MATCH_ENGINE!D934)</f>
        <v/>
      </c>
      <c r="E934" s="11">
        <f>IF(MATCH_ENGINE!A934="","",MATCH_ENGINE!F934)</f>
        <v/>
      </c>
      <c r="F934" s="10">
        <f>IF(MATCH_ENGINE!A934="","",MATCH_ENGINE!I934)</f>
        <v/>
      </c>
      <c r="G934" s="16">
        <f>IF(MATCH_ENGINE!H934="","",IF(MATCH_ENGINE!F934="IN",MATCH_ENGINE!J934,""))</f>
        <v/>
      </c>
      <c r="H934" s="16">
        <f>IF(MATCH_ENGINE!H934="","",IF(MATCH_ENGINE!F934="OUT",MATCH_ENGINE!J934,""))</f>
        <v/>
      </c>
      <c r="I934" s="16">
        <f>IF(MATCH_ENGINE!H934="","",MATCH_ENGINE!J934)</f>
        <v/>
      </c>
      <c r="J934" s="12">
        <f>IF(MATCH_ENGINE!A934="","",MATCH_ENGINE!K934)</f>
        <v/>
      </c>
      <c r="K934" s="11">
        <f>IF(MATCH_ENGINE!A934="","",MATCH_ENGINE!L934)</f>
        <v/>
      </c>
      <c r="L934" s="17">
        <f>IF(MATCH_ENGINE!A934="","",MATCH_ENGINE!M934)</f>
        <v/>
      </c>
      <c r="M934" s="11">
        <f>IF(MATCH_ENGINE!A934="","",GL_CLEAN!F934)</f>
        <v/>
      </c>
      <c r="N934" s="11">
        <f>IF(MATCH_ENGINE!A934="","",GL_CLEAN!G934)</f>
        <v/>
      </c>
      <c r="O934" s="11">
        <f>IF(MATCH_ENGINE!H934="","",INDEX(BANK_CLEAN!$C$2:$C$1001,MATCH_ENGINE!H934))</f>
        <v/>
      </c>
      <c r="P934" s="11" t="inlineStr"/>
    </row>
    <row r="935">
      <c r="A935" s="11">
        <f>IF(MATCH_ENGINE!A935="","",MATCH_ENGINE!N935)</f>
        <v/>
      </c>
      <c r="B935" s="11">
        <f>IF(MATCH_ENGINE!A935="","",MATCH_ENGINE!C935)</f>
        <v/>
      </c>
      <c r="C935" s="10">
        <f>IF(MATCH_ENGINE!A935="","",MATCH_ENGINE!B935)</f>
        <v/>
      </c>
      <c r="D935" s="16">
        <f>IF(MATCH_ENGINE!A935="","",MATCH_ENGINE!D935)</f>
        <v/>
      </c>
      <c r="E935" s="11">
        <f>IF(MATCH_ENGINE!A935="","",MATCH_ENGINE!F935)</f>
        <v/>
      </c>
      <c r="F935" s="10">
        <f>IF(MATCH_ENGINE!A935="","",MATCH_ENGINE!I935)</f>
        <v/>
      </c>
      <c r="G935" s="16">
        <f>IF(MATCH_ENGINE!H935="","",IF(MATCH_ENGINE!F935="IN",MATCH_ENGINE!J935,""))</f>
        <v/>
      </c>
      <c r="H935" s="16">
        <f>IF(MATCH_ENGINE!H935="","",IF(MATCH_ENGINE!F935="OUT",MATCH_ENGINE!J935,""))</f>
        <v/>
      </c>
      <c r="I935" s="16">
        <f>IF(MATCH_ENGINE!H935="","",MATCH_ENGINE!J935)</f>
        <v/>
      </c>
      <c r="J935" s="12">
        <f>IF(MATCH_ENGINE!A935="","",MATCH_ENGINE!K935)</f>
        <v/>
      </c>
      <c r="K935" s="11">
        <f>IF(MATCH_ENGINE!A935="","",MATCH_ENGINE!L935)</f>
        <v/>
      </c>
      <c r="L935" s="17">
        <f>IF(MATCH_ENGINE!A935="","",MATCH_ENGINE!M935)</f>
        <v/>
      </c>
      <c r="M935" s="11">
        <f>IF(MATCH_ENGINE!A935="","",GL_CLEAN!F935)</f>
        <v/>
      </c>
      <c r="N935" s="11">
        <f>IF(MATCH_ENGINE!A935="","",GL_CLEAN!G935)</f>
        <v/>
      </c>
      <c r="O935" s="11">
        <f>IF(MATCH_ENGINE!H935="","",INDEX(BANK_CLEAN!$C$2:$C$1001,MATCH_ENGINE!H935))</f>
        <v/>
      </c>
      <c r="P935" s="11" t="inlineStr"/>
    </row>
    <row r="936">
      <c r="A936" s="11">
        <f>IF(MATCH_ENGINE!A936="","",MATCH_ENGINE!N936)</f>
        <v/>
      </c>
      <c r="B936" s="11">
        <f>IF(MATCH_ENGINE!A936="","",MATCH_ENGINE!C936)</f>
        <v/>
      </c>
      <c r="C936" s="10">
        <f>IF(MATCH_ENGINE!A936="","",MATCH_ENGINE!B936)</f>
        <v/>
      </c>
      <c r="D936" s="16">
        <f>IF(MATCH_ENGINE!A936="","",MATCH_ENGINE!D936)</f>
        <v/>
      </c>
      <c r="E936" s="11">
        <f>IF(MATCH_ENGINE!A936="","",MATCH_ENGINE!F936)</f>
        <v/>
      </c>
      <c r="F936" s="10">
        <f>IF(MATCH_ENGINE!A936="","",MATCH_ENGINE!I936)</f>
        <v/>
      </c>
      <c r="G936" s="16">
        <f>IF(MATCH_ENGINE!H936="","",IF(MATCH_ENGINE!F936="IN",MATCH_ENGINE!J936,""))</f>
        <v/>
      </c>
      <c r="H936" s="16">
        <f>IF(MATCH_ENGINE!H936="","",IF(MATCH_ENGINE!F936="OUT",MATCH_ENGINE!J936,""))</f>
        <v/>
      </c>
      <c r="I936" s="16">
        <f>IF(MATCH_ENGINE!H936="","",MATCH_ENGINE!J936)</f>
        <v/>
      </c>
      <c r="J936" s="12">
        <f>IF(MATCH_ENGINE!A936="","",MATCH_ENGINE!K936)</f>
        <v/>
      </c>
      <c r="K936" s="11">
        <f>IF(MATCH_ENGINE!A936="","",MATCH_ENGINE!L936)</f>
        <v/>
      </c>
      <c r="L936" s="17">
        <f>IF(MATCH_ENGINE!A936="","",MATCH_ENGINE!M936)</f>
        <v/>
      </c>
      <c r="M936" s="11">
        <f>IF(MATCH_ENGINE!A936="","",GL_CLEAN!F936)</f>
        <v/>
      </c>
      <c r="N936" s="11">
        <f>IF(MATCH_ENGINE!A936="","",GL_CLEAN!G936)</f>
        <v/>
      </c>
      <c r="O936" s="11">
        <f>IF(MATCH_ENGINE!H936="","",INDEX(BANK_CLEAN!$C$2:$C$1001,MATCH_ENGINE!H936))</f>
        <v/>
      </c>
      <c r="P936" s="11" t="inlineStr"/>
    </row>
    <row r="937">
      <c r="A937" s="11">
        <f>IF(MATCH_ENGINE!A937="","",MATCH_ENGINE!N937)</f>
        <v/>
      </c>
      <c r="B937" s="11">
        <f>IF(MATCH_ENGINE!A937="","",MATCH_ENGINE!C937)</f>
        <v/>
      </c>
      <c r="C937" s="10">
        <f>IF(MATCH_ENGINE!A937="","",MATCH_ENGINE!B937)</f>
        <v/>
      </c>
      <c r="D937" s="16">
        <f>IF(MATCH_ENGINE!A937="","",MATCH_ENGINE!D937)</f>
        <v/>
      </c>
      <c r="E937" s="11">
        <f>IF(MATCH_ENGINE!A937="","",MATCH_ENGINE!F937)</f>
        <v/>
      </c>
      <c r="F937" s="10">
        <f>IF(MATCH_ENGINE!A937="","",MATCH_ENGINE!I937)</f>
        <v/>
      </c>
      <c r="G937" s="16">
        <f>IF(MATCH_ENGINE!H937="","",IF(MATCH_ENGINE!F937="IN",MATCH_ENGINE!J937,""))</f>
        <v/>
      </c>
      <c r="H937" s="16">
        <f>IF(MATCH_ENGINE!H937="","",IF(MATCH_ENGINE!F937="OUT",MATCH_ENGINE!J937,""))</f>
        <v/>
      </c>
      <c r="I937" s="16">
        <f>IF(MATCH_ENGINE!H937="","",MATCH_ENGINE!J937)</f>
        <v/>
      </c>
      <c r="J937" s="12">
        <f>IF(MATCH_ENGINE!A937="","",MATCH_ENGINE!K937)</f>
        <v/>
      </c>
      <c r="K937" s="11">
        <f>IF(MATCH_ENGINE!A937="","",MATCH_ENGINE!L937)</f>
        <v/>
      </c>
      <c r="L937" s="17">
        <f>IF(MATCH_ENGINE!A937="","",MATCH_ENGINE!M937)</f>
        <v/>
      </c>
      <c r="M937" s="11">
        <f>IF(MATCH_ENGINE!A937="","",GL_CLEAN!F937)</f>
        <v/>
      </c>
      <c r="N937" s="11">
        <f>IF(MATCH_ENGINE!A937="","",GL_CLEAN!G937)</f>
        <v/>
      </c>
      <c r="O937" s="11">
        <f>IF(MATCH_ENGINE!H937="","",INDEX(BANK_CLEAN!$C$2:$C$1001,MATCH_ENGINE!H937))</f>
        <v/>
      </c>
      <c r="P937" s="11" t="inlineStr"/>
    </row>
    <row r="938">
      <c r="A938" s="11">
        <f>IF(MATCH_ENGINE!A938="","",MATCH_ENGINE!N938)</f>
        <v/>
      </c>
      <c r="B938" s="11">
        <f>IF(MATCH_ENGINE!A938="","",MATCH_ENGINE!C938)</f>
        <v/>
      </c>
      <c r="C938" s="10">
        <f>IF(MATCH_ENGINE!A938="","",MATCH_ENGINE!B938)</f>
        <v/>
      </c>
      <c r="D938" s="16">
        <f>IF(MATCH_ENGINE!A938="","",MATCH_ENGINE!D938)</f>
        <v/>
      </c>
      <c r="E938" s="11">
        <f>IF(MATCH_ENGINE!A938="","",MATCH_ENGINE!F938)</f>
        <v/>
      </c>
      <c r="F938" s="10">
        <f>IF(MATCH_ENGINE!A938="","",MATCH_ENGINE!I938)</f>
        <v/>
      </c>
      <c r="G938" s="16">
        <f>IF(MATCH_ENGINE!H938="","",IF(MATCH_ENGINE!F938="IN",MATCH_ENGINE!J938,""))</f>
        <v/>
      </c>
      <c r="H938" s="16">
        <f>IF(MATCH_ENGINE!H938="","",IF(MATCH_ENGINE!F938="OUT",MATCH_ENGINE!J938,""))</f>
        <v/>
      </c>
      <c r="I938" s="16">
        <f>IF(MATCH_ENGINE!H938="","",MATCH_ENGINE!J938)</f>
        <v/>
      </c>
      <c r="J938" s="12">
        <f>IF(MATCH_ENGINE!A938="","",MATCH_ENGINE!K938)</f>
        <v/>
      </c>
      <c r="K938" s="11">
        <f>IF(MATCH_ENGINE!A938="","",MATCH_ENGINE!L938)</f>
        <v/>
      </c>
      <c r="L938" s="17">
        <f>IF(MATCH_ENGINE!A938="","",MATCH_ENGINE!M938)</f>
        <v/>
      </c>
      <c r="M938" s="11">
        <f>IF(MATCH_ENGINE!A938="","",GL_CLEAN!F938)</f>
        <v/>
      </c>
      <c r="N938" s="11">
        <f>IF(MATCH_ENGINE!A938="","",GL_CLEAN!G938)</f>
        <v/>
      </c>
      <c r="O938" s="11">
        <f>IF(MATCH_ENGINE!H938="","",INDEX(BANK_CLEAN!$C$2:$C$1001,MATCH_ENGINE!H938))</f>
        <v/>
      </c>
      <c r="P938" s="11" t="inlineStr"/>
    </row>
    <row r="939">
      <c r="A939" s="11">
        <f>IF(MATCH_ENGINE!A939="","",MATCH_ENGINE!N939)</f>
        <v/>
      </c>
      <c r="B939" s="11">
        <f>IF(MATCH_ENGINE!A939="","",MATCH_ENGINE!C939)</f>
        <v/>
      </c>
      <c r="C939" s="10">
        <f>IF(MATCH_ENGINE!A939="","",MATCH_ENGINE!B939)</f>
        <v/>
      </c>
      <c r="D939" s="16">
        <f>IF(MATCH_ENGINE!A939="","",MATCH_ENGINE!D939)</f>
        <v/>
      </c>
      <c r="E939" s="11">
        <f>IF(MATCH_ENGINE!A939="","",MATCH_ENGINE!F939)</f>
        <v/>
      </c>
      <c r="F939" s="10">
        <f>IF(MATCH_ENGINE!A939="","",MATCH_ENGINE!I939)</f>
        <v/>
      </c>
      <c r="G939" s="16">
        <f>IF(MATCH_ENGINE!H939="","",IF(MATCH_ENGINE!F939="IN",MATCH_ENGINE!J939,""))</f>
        <v/>
      </c>
      <c r="H939" s="16">
        <f>IF(MATCH_ENGINE!H939="","",IF(MATCH_ENGINE!F939="OUT",MATCH_ENGINE!J939,""))</f>
        <v/>
      </c>
      <c r="I939" s="16">
        <f>IF(MATCH_ENGINE!H939="","",MATCH_ENGINE!J939)</f>
        <v/>
      </c>
      <c r="J939" s="12">
        <f>IF(MATCH_ENGINE!A939="","",MATCH_ENGINE!K939)</f>
        <v/>
      </c>
      <c r="K939" s="11">
        <f>IF(MATCH_ENGINE!A939="","",MATCH_ENGINE!L939)</f>
        <v/>
      </c>
      <c r="L939" s="17">
        <f>IF(MATCH_ENGINE!A939="","",MATCH_ENGINE!M939)</f>
        <v/>
      </c>
      <c r="M939" s="11">
        <f>IF(MATCH_ENGINE!A939="","",GL_CLEAN!F939)</f>
        <v/>
      </c>
      <c r="N939" s="11">
        <f>IF(MATCH_ENGINE!A939="","",GL_CLEAN!G939)</f>
        <v/>
      </c>
      <c r="O939" s="11">
        <f>IF(MATCH_ENGINE!H939="","",INDEX(BANK_CLEAN!$C$2:$C$1001,MATCH_ENGINE!H939))</f>
        <v/>
      </c>
      <c r="P939" s="11" t="inlineStr"/>
    </row>
    <row r="940">
      <c r="A940" s="11">
        <f>IF(MATCH_ENGINE!A940="","",MATCH_ENGINE!N940)</f>
        <v/>
      </c>
      <c r="B940" s="11">
        <f>IF(MATCH_ENGINE!A940="","",MATCH_ENGINE!C940)</f>
        <v/>
      </c>
      <c r="C940" s="10">
        <f>IF(MATCH_ENGINE!A940="","",MATCH_ENGINE!B940)</f>
        <v/>
      </c>
      <c r="D940" s="16">
        <f>IF(MATCH_ENGINE!A940="","",MATCH_ENGINE!D940)</f>
        <v/>
      </c>
      <c r="E940" s="11">
        <f>IF(MATCH_ENGINE!A940="","",MATCH_ENGINE!F940)</f>
        <v/>
      </c>
      <c r="F940" s="10">
        <f>IF(MATCH_ENGINE!A940="","",MATCH_ENGINE!I940)</f>
        <v/>
      </c>
      <c r="G940" s="16">
        <f>IF(MATCH_ENGINE!H940="","",IF(MATCH_ENGINE!F940="IN",MATCH_ENGINE!J940,""))</f>
        <v/>
      </c>
      <c r="H940" s="16">
        <f>IF(MATCH_ENGINE!H940="","",IF(MATCH_ENGINE!F940="OUT",MATCH_ENGINE!J940,""))</f>
        <v/>
      </c>
      <c r="I940" s="16">
        <f>IF(MATCH_ENGINE!H940="","",MATCH_ENGINE!J940)</f>
        <v/>
      </c>
      <c r="J940" s="12">
        <f>IF(MATCH_ENGINE!A940="","",MATCH_ENGINE!K940)</f>
        <v/>
      </c>
      <c r="K940" s="11">
        <f>IF(MATCH_ENGINE!A940="","",MATCH_ENGINE!L940)</f>
        <v/>
      </c>
      <c r="L940" s="17">
        <f>IF(MATCH_ENGINE!A940="","",MATCH_ENGINE!M940)</f>
        <v/>
      </c>
      <c r="M940" s="11">
        <f>IF(MATCH_ENGINE!A940="","",GL_CLEAN!F940)</f>
        <v/>
      </c>
      <c r="N940" s="11">
        <f>IF(MATCH_ENGINE!A940="","",GL_CLEAN!G940)</f>
        <v/>
      </c>
      <c r="O940" s="11">
        <f>IF(MATCH_ENGINE!H940="","",INDEX(BANK_CLEAN!$C$2:$C$1001,MATCH_ENGINE!H940))</f>
        <v/>
      </c>
      <c r="P940" s="11" t="inlineStr"/>
    </row>
    <row r="941">
      <c r="A941" s="11">
        <f>IF(MATCH_ENGINE!A941="","",MATCH_ENGINE!N941)</f>
        <v/>
      </c>
      <c r="B941" s="11">
        <f>IF(MATCH_ENGINE!A941="","",MATCH_ENGINE!C941)</f>
        <v/>
      </c>
      <c r="C941" s="10">
        <f>IF(MATCH_ENGINE!A941="","",MATCH_ENGINE!B941)</f>
        <v/>
      </c>
      <c r="D941" s="16">
        <f>IF(MATCH_ENGINE!A941="","",MATCH_ENGINE!D941)</f>
        <v/>
      </c>
      <c r="E941" s="11">
        <f>IF(MATCH_ENGINE!A941="","",MATCH_ENGINE!F941)</f>
        <v/>
      </c>
      <c r="F941" s="10">
        <f>IF(MATCH_ENGINE!A941="","",MATCH_ENGINE!I941)</f>
        <v/>
      </c>
      <c r="G941" s="16">
        <f>IF(MATCH_ENGINE!H941="","",IF(MATCH_ENGINE!F941="IN",MATCH_ENGINE!J941,""))</f>
        <v/>
      </c>
      <c r="H941" s="16">
        <f>IF(MATCH_ENGINE!H941="","",IF(MATCH_ENGINE!F941="OUT",MATCH_ENGINE!J941,""))</f>
        <v/>
      </c>
      <c r="I941" s="16">
        <f>IF(MATCH_ENGINE!H941="","",MATCH_ENGINE!J941)</f>
        <v/>
      </c>
      <c r="J941" s="12">
        <f>IF(MATCH_ENGINE!A941="","",MATCH_ENGINE!K941)</f>
        <v/>
      </c>
      <c r="K941" s="11">
        <f>IF(MATCH_ENGINE!A941="","",MATCH_ENGINE!L941)</f>
        <v/>
      </c>
      <c r="L941" s="17">
        <f>IF(MATCH_ENGINE!A941="","",MATCH_ENGINE!M941)</f>
        <v/>
      </c>
      <c r="M941" s="11">
        <f>IF(MATCH_ENGINE!A941="","",GL_CLEAN!F941)</f>
        <v/>
      </c>
      <c r="N941" s="11">
        <f>IF(MATCH_ENGINE!A941="","",GL_CLEAN!G941)</f>
        <v/>
      </c>
      <c r="O941" s="11">
        <f>IF(MATCH_ENGINE!H941="","",INDEX(BANK_CLEAN!$C$2:$C$1001,MATCH_ENGINE!H941))</f>
        <v/>
      </c>
      <c r="P941" s="11" t="inlineStr"/>
    </row>
    <row r="942">
      <c r="A942" s="11">
        <f>IF(MATCH_ENGINE!A942="","",MATCH_ENGINE!N942)</f>
        <v/>
      </c>
      <c r="B942" s="11">
        <f>IF(MATCH_ENGINE!A942="","",MATCH_ENGINE!C942)</f>
        <v/>
      </c>
      <c r="C942" s="10">
        <f>IF(MATCH_ENGINE!A942="","",MATCH_ENGINE!B942)</f>
        <v/>
      </c>
      <c r="D942" s="16">
        <f>IF(MATCH_ENGINE!A942="","",MATCH_ENGINE!D942)</f>
        <v/>
      </c>
      <c r="E942" s="11">
        <f>IF(MATCH_ENGINE!A942="","",MATCH_ENGINE!F942)</f>
        <v/>
      </c>
      <c r="F942" s="10">
        <f>IF(MATCH_ENGINE!A942="","",MATCH_ENGINE!I942)</f>
        <v/>
      </c>
      <c r="G942" s="16">
        <f>IF(MATCH_ENGINE!H942="","",IF(MATCH_ENGINE!F942="IN",MATCH_ENGINE!J942,""))</f>
        <v/>
      </c>
      <c r="H942" s="16">
        <f>IF(MATCH_ENGINE!H942="","",IF(MATCH_ENGINE!F942="OUT",MATCH_ENGINE!J942,""))</f>
        <v/>
      </c>
      <c r="I942" s="16">
        <f>IF(MATCH_ENGINE!H942="","",MATCH_ENGINE!J942)</f>
        <v/>
      </c>
      <c r="J942" s="12">
        <f>IF(MATCH_ENGINE!A942="","",MATCH_ENGINE!K942)</f>
        <v/>
      </c>
      <c r="K942" s="11">
        <f>IF(MATCH_ENGINE!A942="","",MATCH_ENGINE!L942)</f>
        <v/>
      </c>
      <c r="L942" s="17">
        <f>IF(MATCH_ENGINE!A942="","",MATCH_ENGINE!M942)</f>
        <v/>
      </c>
      <c r="M942" s="11">
        <f>IF(MATCH_ENGINE!A942="","",GL_CLEAN!F942)</f>
        <v/>
      </c>
      <c r="N942" s="11">
        <f>IF(MATCH_ENGINE!A942="","",GL_CLEAN!G942)</f>
        <v/>
      </c>
      <c r="O942" s="11">
        <f>IF(MATCH_ENGINE!H942="","",INDEX(BANK_CLEAN!$C$2:$C$1001,MATCH_ENGINE!H942))</f>
        <v/>
      </c>
      <c r="P942" s="11" t="inlineStr"/>
    </row>
    <row r="943">
      <c r="A943" s="11">
        <f>IF(MATCH_ENGINE!A943="","",MATCH_ENGINE!N943)</f>
        <v/>
      </c>
      <c r="B943" s="11">
        <f>IF(MATCH_ENGINE!A943="","",MATCH_ENGINE!C943)</f>
        <v/>
      </c>
      <c r="C943" s="10">
        <f>IF(MATCH_ENGINE!A943="","",MATCH_ENGINE!B943)</f>
        <v/>
      </c>
      <c r="D943" s="16">
        <f>IF(MATCH_ENGINE!A943="","",MATCH_ENGINE!D943)</f>
        <v/>
      </c>
      <c r="E943" s="11">
        <f>IF(MATCH_ENGINE!A943="","",MATCH_ENGINE!F943)</f>
        <v/>
      </c>
      <c r="F943" s="10">
        <f>IF(MATCH_ENGINE!A943="","",MATCH_ENGINE!I943)</f>
        <v/>
      </c>
      <c r="G943" s="16">
        <f>IF(MATCH_ENGINE!H943="","",IF(MATCH_ENGINE!F943="IN",MATCH_ENGINE!J943,""))</f>
        <v/>
      </c>
      <c r="H943" s="16">
        <f>IF(MATCH_ENGINE!H943="","",IF(MATCH_ENGINE!F943="OUT",MATCH_ENGINE!J943,""))</f>
        <v/>
      </c>
      <c r="I943" s="16">
        <f>IF(MATCH_ENGINE!H943="","",MATCH_ENGINE!J943)</f>
        <v/>
      </c>
      <c r="J943" s="12">
        <f>IF(MATCH_ENGINE!A943="","",MATCH_ENGINE!K943)</f>
        <v/>
      </c>
      <c r="K943" s="11">
        <f>IF(MATCH_ENGINE!A943="","",MATCH_ENGINE!L943)</f>
        <v/>
      </c>
      <c r="L943" s="17">
        <f>IF(MATCH_ENGINE!A943="","",MATCH_ENGINE!M943)</f>
        <v/>
      </c>
      <c r="M943" s="11">
        <f>IF(MATCH_ENGINE!A943="","",GL_CLEAN!F943)</f>
        <v/>
      </c>
      <c r="N943" s="11">
        <f>IF(MATCH_ENGINE!A943="","",GL_CLEAN!G943)</f>
        <v/>
      </c>
      <c r="O943" s="11">
        <f>IF(MATCH_ENGINE!H943="","",INDEX(BANK_CLEAN!$C$2:$C$1001,MATCH_ENGINE!H943))</f>
        <v/>
      </c>
      <c r="P943" s="11" t="inlineStr"/>
    </row>
    <row r="944">
      <c r="A944" s="11">
        <f>IF(MATCH_ENGINE!A944="","",MATCH_ENGINE!N944)</f>
        <v/>
      </c>
      <c r="B944" s="11">
        <f>IF(MATCH_ENGINE!A944="","",MATCH_ENGINE!C944)</f>
        <v/>
      </c>
      <c r="C944" s="10">
        <f>IF(MATCH_ENGINE!A944="","",MATCH_ENGINE!B944)</f>
        <v/>
      </c>
      <c r="D944" s="16">
        <f>IF(MATCH_ENGINE!A944="","",MATCH_ENGINE!D944)</f>
        <v/>
      </c>
      <c r="E944" s="11">
        <f>IF(MATCH_ENGINE!A944="","",MATCH_ENGINE!F944)</f>
        <v/>
      </c>
      <c r="F944" s="10">
        <f>IF(MATCH_ENGINE!A944="","",MATCH_ENGINE!I944)</f>
        <v/>
      </c>
      <c r="G944" s="16">
        <f>IF(MATCH_ENGINE!H944="","",IF(MATCH_ENGINE!F944="IN",MATCH_ENGINE!J944,""))</f>
        <v/>
      </c>
      <c r="H944" s="16">
        <f>IF(MATCH_ENGINE!H944="","",IF(MATCH_ENGINE!F944="OUT",MATCH_ENGINE!J944,""))</f>
        <v/>
      </c>
      <c r="I944" s="16">
        <f>IF(MATCH_ENGINE!H944="","",MATCH_ENGINE!J944)</f>
        <v/>
      </c>
      <c r="J944" s="12">
        <f>IF(MATCH_ENGINE!A944="","",MATCH_ENGINE!K944)</f>
        <v/>
      </c>
      <c r="K944" s="11">
        <f>IF(MATCH_ENGINE!A944="","",MATCH_ENGINE!L944)</f>
        <v/>
      </c>
      <c r="L944" s="17">
        <f>IF(MATCH_ENGINE!A944="","",MATCH_ENGINE!M944)</f>
        <v/>
      </c>
      <c r="M944" s="11">
        <f>IF(MATCH_ENGINE!A944="","",GL_CLEAN!F944)</f>
        <v/>
      </c>
      <c r="N944" s="11">
        <f>IF(MATCH_ENGINE!A944="","",GL_CLEAN!G944)</f>
        <v/>
      </c>
      <c r="O944" s="11">
        <f>IF(MATCH_ENGINE!H944="","",INDEX(BANK_CLEAN!$C$2:$C$1001,MATCH_ENGINE!H944))</f>
        <v/>
      </c>
      <c r="P944" s="11" t="inlineStr"/>
    </row>
    <row r="945">
      <c r="A945" s="11">
        <f>IF(MATCH_ENGINE!A945="","",MATCH_ENGINE!N945)</f>
        <v/>
      </c>
      <c r="B945" s="11">
        <f>IF(MATCH_ENGINE!A945="","",MATCH_ENGINE!C945)</f>
        <v/>
      </c>
      <c r="C945" s="10">
        <f>IF(MATCH_ENGINE!A945="","",MATCH_ENGINE!B945)</f>
        <v/>
      </c>
      <c r="D945" s="16">
        <f>IF(MATCH_ENGINE!A945="","",MATCH_ENGINE!D945)</f>
        <v/>
      </c>
      <c r="E945" s="11">
        <f>IF(MATCH_ENGINE!A945="","",MATCH_ENGINE!F945)</f>
        <v/>
      </c>
      <c r="F945" s="10">
        <f>IF(MATCH_ENGINE!A945="","",MATCH_ENGINE!I945)</f>
        <v/>
      </c>
      <c r="G945" s="16">
        <f>IF(MATCH_ENGINE!H945="","",IF(MATCH_ENGINE!F945="IN",MATCH_ENGINE!J945,""))</f>
        <v/>
      </c>
      <c r="H945" s="16">
        <f>IF(MATCH_ENGINE!H945="","",IF(MATCH_ENGINE!F945="OUT",MATCH_ENGINE!J945,""))</f>
        <v/>
      </c>
      <c r="I945" s="16">
        <f>IF(MATCH_ENGINE!H945="","",MATCH_ENGINE!J945)</f>
        <v/>
      </c>
      <c r="J945" s="12">
        <f>IF(MATCH_ENGINE!A945="","",MATCH_ENGINE!K945)</f>
        <v/>
      </c>
      <c r="K945" s="11">
        <f>IF(MATCH_ENGINE!A945="","",MATCH_ENGINE!L945)</f>
        <v/>
      </c>
      <c r="L945" s="17">
        <f>IF(MATCH_ENGINE!A945="","",MATCH_ENGINE!M945)</f>
        <v/>
      </c>
      <c r="M945" s="11">
        <f>IF(MATCH_ENGINE!A945="","",GL_CLEAN!F945)</f>
        <v/>
      </c>
      <c r="N945" s="11">
        <f>IF(MATCH_ENGINE!A945="","",GL_CLEAN!G945)</f>
        <v/>
      </c>
      <c r="O945" s="11">
        <f>IF(MATCH_ENGINE!H945="","",INDEX(BANK_CLEAN!$C$2:$C$1001,MATCH_ENGINE!H945))</f>
        <v/>
      </c>
      <c r="P945" s="11" t="inlineStr"/>
    </row>
    <row r="946">
      <c r="A946" s="11">
        <f>IF(MATCH_ENGINE!A946="","",MATCH_ENGINE!N946)</f>
        <v/>
      </c>
      <c r="B946" s="11">
        <f>IF(MATCH_ENGINE!A946="","",MATCH_ENGINE!C946)</f>
        <v/>
      </c>
      <c r="C946" s="10">
        <f>IF(MATCH_ENGINE!A946="","",MATCH_ENGINE!B946)</f>
        <v/>
      </c>
      <c r="D946" s="16">
        <f>IF(MATCH_ENGINE!A946="","",MATCH_ENGINE!D946)</f>
        <v/>
      </c>
      <c r="E946" s="11">
        <f>IF(MATCH_ENGINE!A946="","",MATCH_ENGINE!F946)</f>
        <v/>
      </c>
      <c r="F946" s="10">
        <f>IF(MATCH_ENGINE!A946="","",MATCH_ENGINE!I946)</f>
        <v/>
      </c>
      <c r="G946" s="16">
        <f>IF(MATCH_ENGINE!H946="","",IF(MATCH_ENGINE!F946="IN",MATCH_ENGINE!J946,""))</f>
        <v/>
      </c>
      <c r="H946" s="16">
        <f>IF(MATCH_ENGINE!H946="","",IF(MATCH_ENGINE!F946="OUT",MATCH_ENGINE!J946,""))</f>
        <v/>
      </c>
      <c r="I946" s="16">
        <f>IF(MATCH_ENGINE!H946="","",MATCH_ENGINE!J946)</f>
        <v/>
      </c>
      <c r="J946" s="12">
        <f>IF(MATCH_ENGINE!A946="","",MATCH_ENGINE!K946)</f>
        <v/>
      </c>
      <c r="K946" s="11">
        <f>IF(MATCH_ENGINE!A946="","",MATCH_ENGINE!L946)</f>
        <v/>
      </c>
      <c r="L946" s="17">
        <f>IF(MATCH_ENGINE!A946="","",MATCH_ENGINE!M946)</f>
        <v/>
      </c>
      <c r="M946" s="11">
        <f>IF(MATCH_ENGINE!A946="","",GL_CLEAN!F946)</f>
        <v/>
      </c>
      <c r="N946" s="11">
        <f>IF(MATCH_ENGINE!A946="","",GL_CLEAN!G946)</f>
        <v/>
      </c>
      <c r="O946" s="11">
        <f>IF(MATCH_ENGINE!H946="","",INDEX(BANK_CLEAN!$C$2:$C$1001,MATCH_ENGINE!H946))</f>
        <v/>
      </c>
      <c r="P946" s="11" t="inlineStr"/>
    </row>
    <row r="947">
      <c r="A947" s="11">
        <f>IF(MATCH_ENGINE!A947="","",MATCH_ENGINE!N947)</f>
        <v/>
      </c>
      <c r="B947" s="11">
        <f>IF(MATCH_ENGINE!A947="","",MATCH_ENGINE!C947)</f>
        <v/>
      </c>
      <c r="C947" s="10">
        <f>IF(MATCH_ENGINE!A947="","",MATCH_ENGINE!B947)</f>
        <v/>
      </c>
      <c r="D947" s="16">
        <f>IF(MATCH_ENGINE!A947="","",MATCH_ENGINE!D947)</f>
        <v/>
      </c>
      <c r="E947" s="11">
        <f>IF(MATCH_ENGINE!A947="","",MATCH_ENGINE!F947)</f>
        <v/>
      </c>
      <c r="F947" s="10">
        <f>IF(MATCH_ENGINE!A947="","",MATCH_ENGINE!I947)</f>
        <v/>
      </c>
      <c r="G947" s="16">
        <f>IF(MATCH_ENGINE!H947="","",IF(MATCH_ENGINE!F947="IN",MATCH_ENGINE!J947,""))</f>
        <v/>
      </c>
      <c r="H947" s="16">
        <f>IF(MATCH_ENGINE!H947="","",IF(MATCH_ENGINE!F947="OUT",MATCH_ENGINE!J947,""))</f>
        <v/>
      </c>
      <c r="I947" s="16">
        <f>IF(MATCH_ENGINE!H947="","",MATCH_ENGINE!J947)</f>
        <v/>
      </c>
      <c r="J947" s="12">
        <f>IF(MATCH_ENGINE!A947="","",MATCH_ENGINE!K947)</f>
        <v/>
      </c>
      <c r="K947" s="11">
        <f>IF(MATCH_ENGINE!A947="","",MATCH_ENGINE!L947)</f>
        <v/>
      </c>
      <c r="L947" s="17">
        <f>IF(MATCH_ENGINE!A947="","",MATCH_ENGINE!M947)</f>
        <v/>
      </c>
      <c r="M947" s="11">
        <f>IF(MATCH_ENGINE!A947="","",GL_CLEAN!F947)</f>
        <v/>
      </c>
      <c r="N947" s="11">
        <f>IF(MATCH_ENGINE!A947="","",GL_CLEAN!G947)</f>
        <v/>
      </c>
      <c r="O947" s="11">
        <f>IF(MATCH_ENGINE!H947="","",INDEX(BANK_CLEAN!$C$2:$C$1001,MATCH_ENGINE!H947))</f>
        <v/>
      </c>
      <c r="P947" s="11" t="inlineStr"/>
    </row>
    <row r="948">
      <c r="A948" s="11">
        <f>IF(MATCH_ENGINE!A948="","",MATCH_ENGINE!N948)</f>
        <v/>
      </c>
      <c r="B948" s="11">
        <f>IF(MATCH_ENGINE!A948="","",MATCH_ENGINE!C948)</f>
        <v/>
      </c>
      <c r="C948" s="10">
        <f>IF(MATCH_ENGINE!A948="","",MATCH_ENGINE!B948)</f>
        <v/>
      </c>
      <c r="D948" s="16">
        <f>IF(MATCH_ENGINE!A948="","",MATCH_ENGINE!D948)</f>
        <v/>
      </c>
      <c r="E948" s="11">
        <f>IF(MATCH_ENGINE!A948="","",MATCH_ENGINE!F948)</f>
        <v/>
      </c>
      <c r="F948" s="10">
        <f>IF(MATCH_ENGINE!A948="","",MATCH_ENGINE!I948)</f>
        <v/>
      </c>
      <c r="G948" s="16">
        <f>IF(MATCH_ENGINE!H948="","",IF(MATCH_ENGINE!F948="IN",MATCH_ENGINE!J948,""))</f>
        <v/>
      </c>
      <c r="H948" s="16">
        <f>IF(MATCH_ENGINE!H948="","",IF(MATCH_ENGINE!F948="OUT",MATCH_ENGINE!J948,""))</f>
        <v/>
      </c>
      <c r="I948" s="16">
        <f>IF(MATCH_ENGINE!H948="","",MATCH_ENGINE!J948)</f>
        <v/>
      </c>
      <c r="J948" s="12">
        <f>IF(MATCH_ENGINE!A948="","",MATCH_ENGINE!K948)</f>
        <v/>
      </c>
      <c r="K948" s="11">
        <f>IF(MATCH_ENGINE!A948="","",MATCH_ENGINE!L948)</f>
        <v/>
      </c>
      <c r="L948" s="17">
        <f>IF(MATCH_ENGINE!A948="","",MATCH_ENGINE!M948)</f>
        <v/>
      </c>
      <c r="M948" s="11">
        <f>IF(MATCH_ENGINE!A948="","",GL_CLEAN!F948)</f>
        <v/>
      </c>
      <c r="N948" s="11">
        <f>IF(MATCH_ENGINE!A948="","",GL_CLEAN!G948)</f>
        <v/>
      </c>
      <c r="O948" s="11">
        <f>IF(MATCH_ENGINE!H948="","",INDEX(BANK_CLEAN!$C$2:$C$1001,MATCH_ENGINE!H948))</f>
        <v/>
      </c>
      <c r="P948" s="11" t="inlineStr"/>
    </row>
    <row r="949">
      <c r="A949" s="11">
        <f>IF(MATCH_ENGINE!A949="","",MATCH_ENGINE!N949)</f>
        <v/>
      </c>
      <c r="B949" s="11">
        <f>IF(MATCH_ENGINE!A949="","",MATCH_ENGINE!C949)</f>
        <v/>
      </c>
      <c r="C949" s="10">
        <f>IF(MATCH_ENGINE!A949="","",MATCH_ENGINE!B949)</f>
        <v/>
      </c>
      <c r="D949" s="16">
        <f>IF(MATCH_ENGINE!A949="","",MATCH_ENGINE!D949)</f>
        <v/>
      </c>
      <c r="E949" s="11">
        <f>IF(MATCH_ENGINE!A949="","",MATCH_ENGINE!F949)</f>
        <v/>
      </c>
      <c r="F949" s="10">
        <f>IF(MATCH_ENGINE!A949="","",MATCH_ENGINE!I949)</f>
        <v/>
      </c>
      <c r="G949" s="16">
        <f>IF(MATCH_ENGINE!H949="","",IF(MATCH_ENGINE!F949="IN",MATCH_ENGINE!J949,""))</f>
        <v/>
      </c>
      <c r="H949" s="16">
        <f>IF(MATCH_ENGINE!H949="","",IF(MATCH_ENGINE!F949="OUT",MATCH_ENGINE!J949,""))</f>
        <v/>
      </c>
      <c r="I949" s="16">
        <f>IF(MATCH_ENGINE!H949="","",MATCH_ENGINE!J949)</f>
        <v/>
      </c>
      <c r="J949" s="12">
        <f>IF(MATCH_ENGINE!A949="","",MATCH_ENGINE!K949)</f>
        <v/>
      </c>
      <c r="K949" s="11">
        <f>IF(MATCH_ENGINE!A949="","",MATCH_ENGINE!L949)</f>
        <v/>
      </c>
      <c r="L949" s="17">
        <f>IF(MATCH_ENGINE!A949="","",MATCH_ENGINE!M949)</f>
        <v/>
      </c>
      <c r="M949" s="11">
        <f>IF(MATCH_ENGINE!A949="","",GL_CLEAN!F949)</f>
        <v/>
      </c>
      <c r="N949" s="11">
        <f>IF(MATCH_ENGINE!A949="","",GL_CLEAN!G949)</f>
        <v/>
      </c>
      <c r="O949" s="11">
        <f>IF(MATCH_ENGINE!H949="","",INDEX(BANK_CLEAN!$C$2:$C$1001,MATCH_ENGINE!H949))</f>
        <v/>
      </c>
      <c r="P949" s="11" t="inlineStr"/>
    </row>
    <row r="950">
      <c r="A950" s="11">
        <f>IF(MATCH_ENGINE!A950="","",MATCH_ENGINE!N950)</f>
        <v/>
      </c>
      <c r="B950" s="11">
        <f>IF(MATCH_ENGINE!A950="","",MATCH_ENGINE!C950)</f>
        <v/>
      </c>
      <c r="C950" s="10">
        <f>IF(MATCH_ENGINE!A950="","",MATCH_ENGINE!B950)</f>
        <v/>
      </c>
      <c r="D950" s="16">
        <f>IF(MATCH_ENGINE!A950="","",MATCH_ENGINE!D950)</f>
        <v/>
      </c>
      <c r="E950" s="11">
        <f>IF(MATCH_ENGINE!A950="","",MATCH_ENGINE!F950)</f>
        <v/>
      </c>
      <c r="F950" s="10">
        <f>IF(MATCH_ENGINE!A950="","",MATCH_ENGINE!I950)</f>
        <v/>
      </c>
      <c r="G950" s="16">
        <f>IF(MATCH_ENGINE!H950="","",IF(MATCH_ENGINE!F950="IN",MATCH_ENGINE!J950,""))</f>
        <v/>
      </c>
      <c r="H950" s="16">
        <f>IF(MATCH_ENGINE!H950="","",IF(MATCH_ENGINE!F950="OUT",MATCH_ENGINE!J950,""))</f>
        <v/>
      </c>
      <c r="I950" s="16">
        <f>IF(MATCH_ENGINE!H950="","",MATCH_ENGINE!J950)</f>
        <v/>
      </c>
      <c r="J950" s="12">
        <f>IF(MATCH_ENGINE!A950="","",MATCH_ENGINE!K950)</f>
        <v/>
      </c>
      <c r="K950" s="11">
        <f>IF(MATCH_ENGINE!A950="","",MATCH_ENGINE!L950)</f>
        <v/>
      </c>
      <c r="L950" s="17">
        <f>IF(MATCH_ENGINE!A950="","",MATCH_ENGINE!M950)</f>
        <v/>
      </c>
      <c r="M950" s="11">
        <f>IF(MATCH_ENGINE!A950="","",GL_CLEAN!F950)</f>
        <v/>
      </c>
      <c r="N950" s="11">
        <f>IF(MATCH_ENGINE!A950="","",GL_CLEAN!G950)</f>
        <v/>
      </c>
      <c r="O950" s="11">
        <f>IF(MATCH_ENGINE!H950="","",INDEX(BANK_CLEAN!$C$2:$C$1001,MATCH_ENGINE!H950))</f>
        <v/>
      </c>
      <c r="P950" s="11" t="inlineStr"/>
    </row>
    <row r="951">
      <c r="A951" s="11">
        <f>IF(MATCH_ENGINE!A951="","",MATCH_ENGINE!N951)</f>
        <v/>
      </c>
      <c r="B951" s="11">
        <f>IF(MATCH_ENGINE!A951="","",MATCH_ENGINE!C951)</f>
        <v/>
      </c>
      <c r="C951" s="10">
        <f>IF(MATCH_ENGINE!A951="","",MATCH_ENGINE!B951)</f>
        <v/>
      </c>
      <c r="D951" s="16">
        <f>IF(MATCH_ENGINE!A951="","",MATCH_ENGINE!D951)</f>
        <v/>
      </c>
      <c r="E951" s="11">
        <f>IF(MATCH_ENGINE!A951="","",MATCH_ENGINE!F951)</f>
        <v/>
      </c>
      <c r="F951" s="10">
        <f>IF(MATCH_ENGINE!A951="","",MATCH_ENGINE!I951)</f>
        <v/>
      </c>
      <c r="G951" s="16">
        <f>IF(MATCH_ENGINE!H951="","",IF(MATCH_ENGINE!F951="IN",MATCH_ENGINE!J951,""))</f>
        <v/>
      </c>
      <c r="H951" s="16">
        <f>IF(MATCH_ENGINE!H951="","",IF(MATCH_ENGINE!F951="OUT",MATCH_ENGINE!J951,""))</f>
        <v/>
      </c>
      <c r="I951" s="16">
        <f>IF(MATCH_ENGINE!H951="","",MATCH_ENGINE!J951)</f>
        <v/>
      </c>
      <c r="J951" s="12">
        <f>IF(MATCH_ENGINE!A951="","",MATCH_ENGINE!K951)</f>
        <v/>
      </c>
      <c r="K951" s="11">
        <f>IF(MATCH_ENGINE!A951="","",MATCH_ENGINE!L951)</f>
        <v/>
      </c>
      <c r="L951" s="17">
        <f>IF(MATCH_ENGINE!A951="","",MATCH_ENGINE!M951)</f>
        <v/>
      </c>
      <c r="M951" s="11">
        <f>IF(MATCH_ENGINE!A951="","",GL_CLEAN!F951)</f>
        <v/>
      </c>
      <c r="N951" s="11">
        <f>IF(MATCH_ENGINE!A951="","",GL_CLEAN!G951)</f>
        <v/>
      </c>
      <c r="O951" s="11">
        <f>IF(MATCH_ENGINE!H951="","",INDEX(BANK_CLEAN!$C$2:$C$1001,MATCH_ENGINE!H951))</f>
        <v/>
      </c>
      <c r="P951" s="11" t="inlineStr"/>
    </row>
    <row r="952">
      <c r="A952" s="11">
        <f>IF(MATCH_ENGINE!A952="","",MATCH_ENGINE!N952)</f>
        <v/>
      </c>
      <c r="B952" s="11">
        <f>IF(MATCH_ENGINE!A952="","",MATCH_ENGINE!C952)</f>
        <v/>
      </c>
      <c r="C952" s="10">
        <f>IF(MATCH_ENGINE!A952="","",MATCH_ENGINE!B952)</f>
        <v/>
      </c>
      <c r="D952" s="16">
        <f>IF(MATCH_ENGINE!A952="","",MATCH_ENGINE!D952)</f>
        <v/>
      </c>
      <c r="E952" s="11">
        <f>IF(MATCH_ENGINE!A952="","",MATCH_ENGINE!F952)</f>
        <v/>
      </c>
      <c r="F952" s="10">
        <f>IF(MATCH_ENGINE!A952="","",MATCH_ENGINE!I952)</f>
        <v/>
      </c>
      <c r="G952" s="16">
        <f>IF(MATCH_ENGINE!H952="","",IF(MATCH_ENGINE!F952="IN",MATCH_ENGINE!J952,""))</f>
        <v/>
      </c>
      <c r="H952" s="16">
        <f>IF(MATCH_ENGINE!H952="","",IF(MATCH_ENGINE!F952="OUT",MATCH_ENGINE!J952,""))</f>
        <v/>
      </c>
      <c r="I952" s="16">
        <f>IF(MATCH_ENGINE!H952="","",MATCH_ENGINE!J952)</f>
        <v/>
      </c>
      <c r="J952" s="12">
        <f>IF(MATCH_ENGINE!A952="","",MATCH_ENGINE!K952)</f>
        <v/>
      </c>
      <c r="K952" s="11">
        <f>IF(MATCH_ENGINE!A952="","",MATCH_ENGINE!L952)</f>
        <v/>
      </c>
      <c r="L952" s="17">
        <f>IF(MATCH_ENGINE!A952="","",MATCH_ENGINE!M952)</f>
        <v/>
      </c>
      <c r="M952" s="11">
        <f>IF(MATCH_ENGINE!A952="","",GL_CLEAN!F952)</f>
        <v/>
      </c>
      <c r="N952" s="11">
        <f>IF(MATCH_ENGINE!A952="","",GL_CLEAN!G952)</f>
        <v/>
      </c>
      <c r="O952" s="11">
        <f>IF(MATCH_ENGINE!H952="","",INDEX(BANK_CLEAN!$C$2:$C$1001,MATCH_ENGINE!H952))</f>
        <v/>
      </c>
      <c r="P952" s="11" t="inlineStr"/>
    </row>
    <row r="953">
      <c r="A953" s="11">
        <f>IF(MATCH_ENGINE!A953="","",MATCH_ENGINE!N953)</f>
        <v/>
      </c>
      <c r="B953" s="11">
        <f>IF(MATCH_ENGINE!A953="","",MATCH_ENGINE!C953)</f>
        <v/>
      </c>
      <c r="C953" s="10">
        <f>IF(MATCH_ENGINE!A953="","",MATCH_ENGINE!B953)</f>
        <v/>
      </c>
      <c r="D953" s="16">
        <f>IF(MATCH_ENGINE!A953="","",MATCH_ENGINE!D953)</f>
        <v/>
      </c>
      <c r="E953" s="11">
        <f>IF(MATCH_ENGINE!A953="","",MATCH_ENGINE!F953)</f>
        <v/>
      </c>
      <c r="F953" s="10">
        <f>IF(MATCH_ENGINE!A953="","",MATCH_ENGINE!I953)</f>
        <v/>
      </c>
      <c r="G953" s="16">
        <f>IF(MATCH_ENGINE!H953="","",IF(MATCH_ENGINE!F953="IN",MATCH_ENGINE!J953,""))</f>
        <v/>
      </c>
      <c r="H953" s="16">
        <f>IF(MATCH_ENGINE!H953="","",IF(MATCH_ENGINE!F953="OUT",MATCH_ENGINE!J953,""))</f>
        <v/>
      </c>
      <c r="I953" s="16">
        <f>IF(MATCH_ENGINE!H953="","",MATCH_ENGINE!J953)</f>
        <v/>
      </c>
      <c r="J953" s="12">
        <f>IF(MATCH_ENGINE!A953="","",MATCH_ENGINE!K953)</f>
        <v/>
      </c>
      <c r="K953" s="11">
        <f>IF(MATCH_ENGINE!A953="","",MATCH_ENGINE!L953)</f>
        <v/>
      </c>
      <c r="L953" s="17">
        <f>IF(MATCH_ENGINE!A953="","",MATCH_ENGINE!M953)</f>
        <v/>
      </c>
      <c r="M953" s="11">
        <f>IF(MATCH_ENGINE!A953="","",GL_CLEAN!F953)</f>
        <v/>
      </c>
      <c r="N953" s="11">
        <f>IF(MATCH_ENGINE!A953="","",GL_CLEAN!G953)</f>
        <v/>
      </c>
      <c r="O953" s="11">
        <f>IF(MATCH_ENGINE!H953="","",INDEX(BANK_CLEAN!$C$2:$C$1001,MATCH_ENGINE!H953))</f>
        <v/>
      </c>
      <c r="P953" s="11" t="inlineStr"/>
    </row>
    <row r="954">
      <c r="A954" s="11">
        <f>IF(MATCH_ENGINE!A954="","",MATCH_ENGINE!N954)</f>
        <v/>
      </c>
      <c r="B954" s="11">
        <f>IF(MATCH_ENGINE!A954="","",MATCH_ENGINE!C954)</f>
        <v/>
      </c>
      <c r="C954" s="10">
        <f>IF(MATCH_ENGINE!A954="","",MATCH_ENGINE!B954)</f>
        <v/>
      </c>
      <c r="D954" s="16">
        <f>IF(MATCH_ENGINE!A954="","",MATCH_ENGINE!D954)</f>
        <v/>
      </c>
      <c r="E954" s="11">
        <f>IF(MATCH_ENGINE!A954="","",MATCH_ENGINE!F954)</f>
        <v/>
      </c>
      <c r="F954" s="10">
        <f>IF(MATCH_ENGINE!A954="","",MATCH_ENGINE!I954)</f>
        <v/>
      </c>
      <c r="G954" s="16">
        <f>IF(MATCH_ENGINE!H954="","",IF(MATCH_ENGINE!F954="IN",MATCH_ENGINE!J954,""))</f>
        <v/>
      </c>
      <c r="H954" s="16">
        <f>IF(MATCH_ENGINE!H954="","",IF(MATCH_ENGINE!F954="OUT",MATCH_ENGINE!J954,""))</f>
        <v/>
      </c>
      <c r="I954" s="16">
        <f>IF(MATCH_ENGINE!H954="","",MATCH_ENGINE!J954)</f>
        <v/>
      </c>
      <c r="J954" s="12">
        <f>IF(MATCH_ENGINE!A954="","",MATCH_ENGINE!K954)</f>
        <v/>
      </c>
      <c r="K954" s="11">
        <f>IF(MATCH_ENGINE!A954="","",MATCH_ENGINE!L954)</f>
        <v/>
      </c>
      <c r="L954" s="17">
        <f>IF(MATCH_ENGINE!A954="","",MATCH_ENGINE!M954)</f>
        <v/>
      </c>
      <c r="M954" s="11">
        <f>IF(MATCH_ENGINE!A954="","",GL_CLEAN!F954)</f>
        <v/>
      </c>
      <c r="N954" s="11">
        <f>IF(MATCH_ENGINE!A954="","",GL_CLEAN!G954)</f>
        <v/>
      </c>
      <c r="O954" s="11">
        <f>IF(MATCH_ENGINE!H954="","",INDEX(BANK_CLEAN!$C$2:$C$1001,MATCH_ENGINE!H954))</f>
        <v/>
      </c>
      <c r="P954" s="11" t="inlineStr"/>
    </row>
    <row r="955">
      <c r="A955" s="11">
        <f>IF(MATCH_ENGINE!A955="","",MATCH_ENGINE!N955)</f>
        <v/>
      </c>
      <c r="B955" s="11">
        <f>IF(MATCH_ENGINE!A955="","",MATCH_ENGINE!C955)</f>
        <v/>
      </c>
      <c r="C955" s="10">
        <f>IF(MATCH_ENGINE!A955="","",MATCH_ENGINE!B955)</f>
        <v/>
      </c>
      <c r="D955" s="16">
        <f>IF(MATCH_ENGINE!A955="","",MATCH_ENGINE!D955)</f>
        <v/>
      </c>
      <c r="E955" s="11">
        <f>IF(MATCH_ENGINE!A955="","",MATCH_ENGINE!F955)</f>
        <v/>
      </c>
      <c r="F955" s="10">
        <f>IF(MATCH_ENGINE!A955="","",MATCH_ENGINE!I955)</f>
        <v/>
      </c>
      <c r="G955" s="16">
        <f>IF(MATCH_ENGINE!H955="","",IF(MATCH_ENGINE!F955="IN",MATCH_ENGINE!J955,""))</f>
        <v/>
      </c>
      <c r="H955" s="16">
        <f>IF(MATCH_ENGINE!H955="","",IF(MATCH_ENGINE!F955="OUT",MATCH_ENGINE!J955,""))</f>
        <v/>
      </c>
      <c r="I955" s="16">
        <f>IF(MATCH_ENGINE!H955="","",MATCH_ENGINE!J955)</f>
        <v/>
      </c>
      <c r="J955" s="12">
        <f>IF(MATCH_ENGINE!A955="","",MATCH_ENGINE!K955)</f>
        <v/>
      </c>
      <c r="K955" s="11">
        <f>IF(MATCH_ENGINE!A955="","",MATCH_ENGINE!L955)</f>
        <v/>
      </c>
      <c r="L955" s="17">
        <f>IF(MATCH_ENGINE!A955="","",MATCH_ENGINE!M955)</f>
        <v/>
      </c>
      <c r="M955" s="11">
        <f>IF(MATCH_ENGINE!A955="","",GL_CLEAN!F955)</f>
        <v/>
      </c>
      <c r="N955" s="11">
        <f>IF(MATCH_ENGINE!A955="","",GL_CLEAN!G955)</f>
        <v/>
      </c>
      <c r="O955" s="11">
        <f>IF(MATCH_ENGINE!H955="","",INDEX(BANK_CLEAN!$C$2:$C$1001,MATCH_ENGINE!H955))</f>
        <v/>
      </c>
      <c r="P955" s="11" t="inlineStr"/>
    </row>
    <row r="956">
      <c r="A956" s="11">
        <f>IF(MATCH_ENGINE!A956="","",MATCH_ENGINE!N956)</f>
        <v/>
      </c>
      <c r="B956" s="11">
        <f>IF(MATCH_ENGINE!A956="","",MATCH_ENGINE!C956)</f>
        <v/>
      </c>
      <c r="C956" s="10">
        <f>IF(MATCH_ENGINE!A956="","",MATCH_ENGINE!B956)</f>
        <v/>
      </c>
      <c r="D956" s="16">
        <f>IF(MATCH_ENGINE!A956="","",MATCH_ENGINE!D956)</f>
        <v/>
      </c>
      <c r="E956" s="11">
        <f>IF(MATCH_ENGINE!A956="","",MATCH_ENGINE!F956)</f>
        <v/>
      </c>
      <c r="F956" s="10">
        <f>IF(MATCH_ENGINE!A956="","",MATCH_ENGINE!I956)</f>
        <v/>
      </c>
      <c r="G956" s="16">
        <f>IF(MATCH_ENGINE!H956="","",IF(MATCH_ENGINE!F956="IN",MATCH_ENGINE!J956,""))</f>
        <v/>
      </c>
      <c r="H956" s="16">
        <f>IF(MATCH_ENGINE!H956="","",IF(MATCH_ENGINE!F956="OUT",MATCH_ENGINE!J956,""))</f>
        <v/>
      </c>
      <c r="I956" s="16">
        <f>IF(MATCH_ENGINE!H956="","",MATCH_ENGINE!J956)</f>
        <v/>
      </c>
      <c r="J956" s="12">
        <f>IF(MATCH_ENGINE!A956="","",MATCH_ENGINE!K956)</f>
        <v/>
      </c>
      <c r="K956" s="11">
        <f>IF(MATCH_ENGINE!A956="","",MATCH_ENGINE!L956)</f>
        <v/>
      </c>
      <c r="L956" s="17">
        <f>IF(MATCH_ENGINE!A956="","",MATCH_ENGINE!M956)</f>
        <v/>
      </c>
      <c r="M956" s="11">
        <f>IF(MATCH_ENGINE!A956="","",GL_CLEAN!F956)</f>
        <v/>
      </c>
      <c r="N956" s="11">
        <f>IF(MATCH_ENGINE!A956="","",GL_CLEAN!G956)</f>
        <v/>
      </c>
      <c r="O956" s="11">
        <f>IF(MATCH_ENGINE!H956="","",INDEX(BANK_CLEAN!$C$2:$C$1001,MATCH_ENGINE!H956))</f>
        <v/>
      </c>
      <c r="P956" s="11" t="inlineStr"/>
    </row>
    <row r="957">
      <c r="A957" s="11">
        <f>IF(MATCH_ENGINE!A957="","",MATCH_ENGINE!N957)</f>
        <v/>
      </c>
      <c r="B957" s="11">
        <f>IF(MATCH_ENGINE!A957="","",MATCH_ENGINE!C957)</f>
        <v/>
      </c>
      <c r="C957" s="10">
        <f>IF(MATCH_ENGINE!A957="","",MATCH_ENGINE!B957)</f>
        <v/>
      </c>
      <c r="D957" s="16">
        <f>IF(MATCH_ENGINE!A957="","",MATCH_ENGINE!D957)</f>
        <v/>
      </c>
      <c r="E957" s="11">
        <f>IF(MATCH_ENGINE!A957="","",MATCH_ENGINE!F957)</f>
        <v/>
      </c>
      <c r="F957" s="10">
        <f>IF(MATCH_ENGINE!A957="","",MATCH_ENGINE!I957)</f>
        <v/>
      </c>
      <c r="G957" s="16">
        <f>IF(MATCH_ENGINE!H957="","",IF(MATCH_ENGINE!F957="IN",MATCH_ENGINE!J957,""))</f>
        <v/>
      </c>
      <c r="H957" s="16">
        <f>IF(MATCH_ENGINE!H957="","",IF(MATCH_ENGINE!F957="OUT",MATCH_ENGINE!J957,""))</f>
        <v/>
      </c>
      <c r="I957" s="16">
        <f>IF(MATCH_ENGINE!H957="","",MATCH_ENGINE!J957)</f>
        <v/>
      </c>
      <c r="J957" s="12">
        <f>IF(MATCH_ENGINE!A957="","",MATCH_ENGINE!K957)</f>
        <v/>
      </c>
      <c r="K957" s="11">
        <f>IF(MATCH_ENGINE!A957="","",MATCH_ENGINE!L957)</f>
        <v/>
      </c>
      <c r="L957" s="17">
        <f>IF(MATCH_ENGINE!A957="","",MATCH_ENGINE!M957)</f>
        <v/>
      </c>
      <c r="M957" s="11">
        <f>IF(MATCH_ENGINE!A957="","",GL_CLEAN!F957)</f>
        <v/>
      </c>
      <c r="N957" s="11">
        <f>IF(MATCH_ENGINE!A957="","",GL_CLEAN!G957)</f>
        <v/>
      </c>
      <c r="O957" s="11">
        <f>IF(MATCH_ENGINE!H957="","",INDEX(BANK_CLEAN!$C$2:$C$1001,MATCH_ENGINE!H957))</f>
        <v/>
      </c>
      <c r="P957" s="11" t="inlineStr"/>
    </row>
    <row r="958">
      <c r="A958" s="11">
        <f>IF(MATCH_ENGINE!A958="","",MATCH_ENGINE!N958)</f>
        <v/>
      </c>
      <c r="B958" s="11">
        <f>IF(MATCH_ENGINE!A958="","",MATCH_ENGINE!C958)</f>
        <v/>
      </c>
      <c r="C958" s="10">
        <f>IF(MATCH_ENGINE!A958="","",MATCH_ENGINE!B958)</f>
        <v/>
      </c>
      <c r="D958" s="16">
        <f>IF(MATCH_ENGINE!A958="","",MATCH_ENGINE!D958)</f>
        <v/>
      </c>
      <c r="E958" s="11">
        <f>IF(MATCH_ENGINE!A958="","",MATCH_ENGINE!F958)</f>
        <v/>
      </c>
      <c r="F958" s="10">
        <f>IF(MATCH_ENGINE!A958="","",MATCH_ENGINE!I958)</f>
        <v/>
      </c>
      <c r="G958" s="16">
        <f>IF(MATCH_ENGINE!H958="","",IF(MATCH_ENGINE!F958="IN",MATCH_ENGINE!J958,""))</f>
        <v/>
      </c>
      <c r="H958" s="16">
        <f>IF(MATCH_ENGINE!H958="","",IF(MATCH_ENGINE!F958="OUT",MATCH_ENGINE!J958,""))</f>
        <v/>
      </c>
      <c r="I958" s="16">
        <f>IF(MATCH_ENGINE!H958="","",MATCH_ENGINE!J958)</f>
        <v/>
      </c>
      <c r="J958" s="12">
        <f>IF(MATCH_ENGINE!A958="","",MATCH_ENGINE!K958)</f>
        <v/>
      </c>
      <c r="K958" s="11">
        <f>IF(MATCH_ENGINE!A958="","",MATCH_ENGINE!L958)</f>
        <v/>
      </c>
      <c r="L958" s="17">
        <f>IF(MATCH_ENGINE!A958="","",MATCH_ENGINE!M958)</f>
        <v/>
      </c>
      <c r="M958" s="11">
        <f>IF(MATCH_ENGINE!A958="","",GL_CLEAN!F958)</f>
        <v/>
      </c>
      <c r="N958" s="11">
        <f>IF(MATCH_ENGINE!A958="","",GL_CLEAN!G958)</f>
        <v/>
      </c>
      <c r="O958" s="11">
        <f>IF(MATCH_ENGINE!H958="","",INDEX(BANK_CLEAN!$C$2:$C$1001,MATCH_ENGINE!H958))</f>
        <v/>
      </c>
      <c r="P958" s="11" t="inlineStr"/>
    </row>
    <row r="959">
      <c r="A959" s="11">
        <f>IF(MATCH_ENGINE!A959="","",MATCH_ENGINE!N959)</f>
        <v/>
      </c>
      <c r="B959" s="11">
        <f>IF(MATCH_ENGINE!A959="","",MATCH_ENGINE!C959)</f>
        <v/>
      </c>
      <c r="C959" s="10">
        <f>IF(MATCH_ENGINE!A959="","",MATCH_ENGINE!B959)</f>
        <v/>
      </c>
      <c r="D959" s="16">
        <f>IF(MATCH_ENGINE!A959="","",MATCH_ENGINE!D959)</f>
        <v/>
      </c>
      <c r="E959" s="11">
        <f>IF(MATCH_ENGINE!A959="","",MATCH_ENGINE!F959)</f>
        <v/>
      </c>
      <c r="F959" s="10">
        <f>IF(MATCH_ENGINE!A959="","",MATCH_ENGINE!I959)</f>
        <v/>
      </c>
      <c r="G959" s="16">
        <f>IF(MATCH_ENGINE!H959="","",IF(MATCH_ENGINE!F959="IN",MATCH_ENGINE!J959,""))</f>
        <v/>
      </c>
      <c r="H959" s="16">
        <f>IF(MATCH_ENGINE!H959="","",IF(MATCH_ENGINE!F959="OUT",MATCH_ENGINE!J959,""))</f>
        <v/>
      </c>
      <c r="I959" s="16">
        <f>IF(MATCH_ENGINE!H959="","",MATCH_ENGINE!J959)</f>
        <v/>
      </c>
      <c r="J959" s="12">
        <f>IF(MATCH_ENGINE!A959="","",MATCH_ENGINE!K959)</f>
        <v/>
      </c>
      <c r="K959" s="11">
        <f>IF(MATCH_ENGINE!A959="","",MATCH_ENGINE!L959)</f>
        <v/>
      </c>
      <c r="L959" s="17">
        <f>IF(MATCH_ENGINE!A959="","",MATCH_ENGINE!M959)</f>
        <v/>
      </c>
      <c r="M959" s="11">
        <f>IF(MATCH_ENGINE!A959="","",GL_CLEAN!F959)</f>
        <v/>
      </c>
      <c r="N959" s="11">
        <f>IF(MATCH_ENGINE!A959="","",GL_CLEAN!G959)</f>
        <v/>
      </c>
      <c r="O959" s="11">
        <f>IF(MATCH_ENGINE!H959="","",INDEX(BANK_CLEAN!$C$2:$C$1001,MATCH_ENGINE!H959))</f>
        <v/>
      </c>
      <c r="P959" s="11" t="inlineStr"/>
    </row>
    <row r="960">
      <c r="A960" s="11">
        <f>IF(MATCH_ENGINE!A960="","",MATCH_ENGINE!N960)</f>
        <v/>
      </c>
      <c r="B960" s="11">
        <f>IF(MATCH_ENGINE!A960="","",MATCH_ENGINE!C960)</f>
        <v/>
      </c>
      <c r="C960" s="10">
        <f>IF(MATCH_ENGINE!A960="","",MATCH_ENGINE!B960)</f>
        <v/>
      </c>
      <c r="D960" s="16">
        <f>IF(MATCH_ENGINE!A960="","",MATCH_ENGINE!D960)</f>
        <v/>
      </c>
      <c r="E960" s="11">
        <f>IF(MATCH_ENGINE!A960="","",MATCH_ENGINE!F960)</f>
        <v/>
      </c>
      <c r="F960" s="10">
        <f>IF(MATCH_ENGINE!A960="","",MATCH_ENGINE!I960)</f>
        <v/>
      </c>
      <c r="G960" s="16">
        <f>IF(MATCH_ENGINE!H960="","",IF(MATCH_ENGINE!F960="IN",MATCH_ENGINE!J960,""))</f>
        <v/>
      </c>
      <c r="H960" s="16">
        <f>IF(MATCH_ENGINE!H960="","",IF(MATCH_ENGINE!F960="OUT",MATCH_ENGINE!J960,""))</f>
        <v/>
      </c>
      <c r="I960" s="16">
        <f>IF(MATCH_ENGINE!H960="","",MATCH_ENGINE!J960)</f>
        <v/>
      </c>
      <c r="J960" s="12">
        <f>IF(MATCH_ENGINE!A960="","",MATCH_ENGINE!K960)</f>
        <v/>
      </c>
      <c r="K960" s="11">
        <f>IF(MATCH_ENGINE!A960="","",MATCH_ENGINE!L960)</f>
        <v/>
      </c>
      <c r="L960" s="17">
        <f>IF(MATCH_ENGINE!A960="","",MATCH_ENGINE!M960)</f>
        <v/>
      </c>
      <c r="M960" s="11">
        <f>IF(MATCH_ENGINE!A960="","",GL_CLEAN!F960)</f>
        <v/>
      </c>
      <c r="N960" s="11">
        <f>IF(MATCH_ENGINE!A960="","",GL_CLEAN!G960)</f>
        <v/>
      </c>
      <c r="O960" s="11">
        <f>IF(MATCH_ENGINE!H960="","",INDEX(BANK_CLEAN!$C$2:$C$1001,MATCH_ENGINE!H960))</f>
        <v/>
      </c>
      <c r="P960" s="11" t="inlineStr"/>
    </row>
    <row r="961">
      <c r="A961" s="11">
        <f>IF(MATCH_ENGINE!A961="","",MATCH_ENGINE!N961)</f>
        <v/>
      </c>
      <c r="B961" s="11">
        <f>IF(MATCH_ENGINE!A961="","",MATCH_ENGINE!C961)</f>
        <v/>
      </c>
      <c r="C961" s="10">
        <f>IF(MATCH_ENGINE!A961="","",MATCH_ENGINE!B961)</f>
        <v/>
      </c>
      <c r="D961" s="16">
        <f>IF(MATCH_ENGINE!A961="","",MATCH_ENGINE!D961)</f>
        <v/>
      </c>
      <c r="E961" s="11">
        <f>IF(MATCH_ENGINE!A961="","",MATCH_ENGINE!F961)</f>
        <v/>
      </c>
      <c r="F961" s="10">
        <f>IF(MATCH_ENGINE!A961="","",MATCH_ENGINE!I961)</f>
        <v/>
      </c>
      <c r="G961" s="16">
        <f>IF(MATCH_ENGINE!H961="","",IF(MATCH_ENGINE!F961="IN",MATCH_ENGINE!J961,""))</f>
        <v/>
      </c>
      <c r="H961" s="16">
        <f>IF(MATCH_ENGINE!H961="","",IF(MATCH_ENGINE!F961="OUT",MATCH_ENGINE!J961,""))</f>
        <v/>
      </c>
      <c r="I961" s="16">
        <f>IF(MATCH_ENGINE!H961="","",MATCH_ENGINE!J961)</f>
        <v/>
      </c>
      <c r="J961" s="12">
        <f>IF(MATCH_ENGINE!A961="","",MATCH_ENGINE!K961)</f>
        <v/>
      </c>
      <c r="K961" s="11">
        <f>IF(MATCH_ENGINE!A961="","",MATCH_ENGINE!L961)</f>
        <v/>
      </c>
      <c r="L961" s="17">
        <f>IF(MATCH_ENGINE!A961="","",MATCH_ENGINE!M961)</f>
        <v/>
      </c>
      <c r="M961" s="11">
        <f>IF(MATCH_ENGINE!A961="","",GL_CLEAN!F961)</f>
        <v/>
      </c>
      <c r="N961" s="11">
        <f>IF(MATCH_ENGINE!A961="","",GL_CLEAN!G961)</f>
        <v/>
      </c>
      <c r="O961" s="11">
        <f>IF(MATCH_ENGINE!H961="","",INDEX(BANK_CLEAN!$C$2:$C$1001,MATCH_ENGINE!H961))</f>
        <v/>
      </c>
      <c r="P961" s="11" t="inlineStr"/>
    </row>
    <row r="962">
      <c r="A962" s="11">
        <f>IF(MATCH_ENGINE!A962="","",MATCH_ENGINE!N962)</f>
        <v/>
      </c>
      <c r="B962" s="11">
        <f>IF(MATCH_ENGINE!A962="","",MATCH_ENGINE!C962)</f>
        <v/>
      </c>
      <c r="C962" s="10">
        <f>IF(MATCH_ENGINE!A962="","",MATCH_ENGINE!B962)</f>
        <v/>
      </c>
      <c r="D962" s="16">
        <f>IF(MATCH_ENGINE!A962="","",MATCH_ENGINE!D962)</f>
        <v/>
      </c>
      <c r="E962" s="11">
        <f>IF(MATCH_ENGINE!A962="","",MATCH_ENGINE!F962)</f>
        <v/>
      </c>
      <c r="F962" s="10">
        <f>IF(MATCH_ENGINE!A962="","",MATCH_ENGINE!I962)</f>
        <v/>
      </c>
      <c r="G962" s="16">
        <f>IF(MATCH_ENGINE!H962="","",IF(MATCH_ENGINE!F962="IN",MATCH_ENGINE!J962,""))</f>
        <v/>
      </c>
      <c r="H962" s="16">
        <f>IF(MATCH_ENGINE!H962="","",IF(MATCH_ENGINE!F962="OUT",MATCH_ENGINE!J962,""))</f>
        <v/>
      </c>
      <c r="I962" s="16">
        <f>IF(MATCH_ENGINE!H962="","",MATCH_ENGINE!J962)</f>
        <v/>
      </c>
      <c r="J962" s="12">
        <f>IF(MATCH_ENGINE!A962="","",MATCH_ENGINE!K962)</f>
        <v/>
      </c>
      <c r="K962" s="11">
        <f>IF(MATCH_ENGINE!A962="","",MATCH_ENGINE!L962)</f>
        <v/>
      </c>
      <c r="L962" s="17">
        <f>IF(MATCH_ENGINE!A962="","",MATCH_ENGINE!M962)</f>
        <v/>
      </c>
      <c r="M962" s="11">
        <f>IF(MATCH_ENGINE!A962="","",GL_CLEAN!F962)</f>
        <v/>
      </c>
      <c r="N962" s="11">
        <f>IF(MATCH_ENGINE!A962="","",GL_CLEAN!G962)</f>
        <v/>
      </c>
      <c r="O962" s="11">
        <f>IF(MATCH_ENGINE!H962="","",INDEX(BANK_CLEAN!$C$2:$C$1001,MATCH_ENGINE!H962))</f>
        <v/>
      </c>
      <c r="P962" s="11" t="inlineStr"/>
    </row>
    <row r="963">
      <c r="A963" s="11">
        <f>IF(MATCH_ENGINE!A963="","",MATCH_ENGINE!N963)</f>
        <v/>
      </c>
      <c r="B963" s="11">
        <f>IF(MATCH_ENGINE!A963="","",MATCH_ENGINE!C963)</f>
        <v/>
      </c>
      <c r="C963" s="10">
        <f>IF(MATCH_ENGINE!A963="","",MATCH_ENGINE!B963)</f>
        <v/>
      </c>
      <c r="D963" s="16">
        <f>IF(MATCH_ENGINE!A963="","",MATCH_ENGINE!D963)</f>
        <v/>
      </c>
      <c r="E963" s="11">
        <f>IF(MATCH_ENGINE!A963="","",MATCH_ENGINE!F963)</f>
        <v/>
      </c>
      <c r="F963" s="10">
        <f>IF(MATCH_ENGINE!A963="","",MATCH_ENGINE!I963)</f>
        <v/>
      </c>
      <c r="G963" s="16">
        <f>IF(MATCH_ENGINE!H963="","",IF(MATCH_ENGINE!F963="IN",MATCH_ENGINE!J963,""))</f>
        <v/>
      </c>
      <c r="H963" s="16">
        <f>IF(MATCH_ENGINE!H963="","",IF(MATCH_ENGINE!F963="OUT",MATCH_ENGINE!J963,""))</f>
        <v/>
      </c>
      <c r="I963" s="16">
        <f>IF(MATCH_ENGINE!H963="","",MATCH_ENGINE!J963)</f>
        <v/>
      </c>
      <c r="J963" s="12">
        <f>IF(MATCH_ENGINE!A963="","",MATCH_ENGINE!K963)</f>
        <v/>
      </c>
      <c r="K963" s="11">
        <f>IF(MATCH_ENGINE!A963="","",MATCH_ENGINE!L963)</f>
        <v/>
      </c>
      <c r="L963" s="17">
        <f>IF(MATCH_ENGINE!A963="","",MATCH_ENGINE!M963)</f>
        <v/>
      </c>
      <c r="M963" s="11">
        <f>IF(MATCH_ENGINE!A963="","",GL_CLEAN!F963)</f>
        <v/>
      </c>
      <c r="N963" s="11">
        <f>IF(MATCH_ENGINE!A963="","",GL_CLEAN!G963)</f>
        <v/>
      </c>
      <c r="O963" s="11">
        <f>IF(MATCH_ENGINE!H963="","",INDEX(BANK_CLEAN!$C$2:$C$1001,MATCH_ENGINE!H963))</f>
        <v/>
      </c>
      <c r="P963" s="11" t="inlineStr"/>
    </row>
    <row r="964">
      <c r="A964" s="11">
        <f>IF(MATCH_ENGINE!A964="","",MATCH_ENGINE!N964)</f>
        <v/>
      </c>
      <c r="B964" s="11">
        <f>IF(MATCH_ENGINE!A964="","",MATCH_ENGINE!C964)</f>
        <v/>
      </c>
      <c r="C964" s="10">
        <f>IF(MATCH_ENGINE!A964="","",MATCH_ENGINE!B964)</f>
        <v/>
      </c>
      <c r="D964" s="16">
        <f>IF(MATCH_ENGINE!A964="","",MATCH_ENGINE!D964)</f>
        <v/>
      </c>
      <c r="E964" s="11">
        <f>IF(MATCH_ENGINE!A964="","",MATCH_ENGINE!F964)</f>
        <v/>
      </c>
      <c r="F964" s="10">
        <f>IF(MATCH_ENGINE!A964="","",MATCH_ENGINE!I964)</f>
        <v/>
      </c>
      <c r="G964" s="16">
        <f>IF(MATCH_ENGINE!H964="","",IF(MATCH_ENGINE!F964="IN",MATCH_ENGINE!J964,""))</f>
        <v/>
      </c>
      <c r="H964" s="16">
        <f>IF(MATCH_ENGINE!H964="","",IF(MATCH_ENGINE!F964="OUT",MATCH_ENGINE!J964,""))</f>
        <v/>
      </c>
      <c r="I964" s="16">
        <f>IF(MATCH_ENGINE!H964="","",MATCH_ENGINE!J964)</f>
        <v/>
      </c>
      <c r="J964" s="12">
        <f>IF(MATCH_ENGINE!A964="","",MATCH_ENGINE!K964)</f>
        <v/>
      </c>
      <c r="K964" s="11">
        <f>IF(MATCH_ENGINE!A964="","",MATCH_ENGINE!L964)</f>
        <v/>
      </c>
      <c r="L964" s="17">
        <f>IF(MATCH_ENGINE!A964="","",MATCH_ENGINE!M964)</f>
        <v/>
      </c>
      <c r="M964" s="11">
        <f>IF(MATCH_ENGINE!A964="","",GL_CLEAN!F964)</f>
        <v/>
      </c>
      <c r="N964" s="11">
        <f>IF(MATCH_ENGINE!A964="","",GL_CLEAN!G964)</f>
        <v/>
      </c>
      <c r="O964" s="11">
        <f>IF(MATCH_ENGINE!H964="","",INDEX(BANK_CLEAN!$C$2:$C$1001,MATCH_ENGINE!H964))</f>
        <v/>
      </c>
      <c r="P964" s="11" t="inlineStr"/>
    </row>
    <row r="965">
      <c r="A965" s="11">
        <f>IF(MATCH_ENGINE!A965="","",MATCH_ENGINE!N965)</f>
        <v/>
      </c>
      <c r="B965" s="11">
        <f>IF(MATCH_ENGINE!A965="","",MATCH_ENGINE!C965)</f>
        <v/>
      </c>
      <c r="C965" s="10">
        <f>IF(MATCH_ENGINE!A965="","",MATCH_ENGINE!B965)</f>
        <v/>
      </c>
      <c r="D965" s="16">
        <f>IF(MATCH_ENGINE!A965="","",MATCH_ENGINE!D965)</f>
        <v/>
      </c>
      <c r="E965" s="11">
        <f>IF(MATCH_ENGINE!A965="","",MATCH_ENGINE!F965)</f>
        <v/>
      </c>
      <c r="F965" s="10">
        <f>IF(MATCH_ENGINE!A965="","",MATCH_ENGINE!I965)</f>
        <v/>
      </c>
      <c r="G965" s="16">
        <f>IF(MATCH_ENGINE!H965="","",IF(MATCH_ENGINE!F965="IN",MATCH_ENGINE!J965,""))</f>
        <v/>
      </c>
      <c r="H965" s="16">
        <f>IF(MATCH_ENGINE!H965="","",IF(MATCH_ENGINE!F965="OUT",MATCH_ENGINE!J965,""))</f>
        <v/>
      </c>
      <c r="I965" s="16">
        <f>IF(MATCH_ENGINE!H965="","",MATCH_ENGINE!J965)</f>
        <v/>
      </c>
      <c r="J965" s="12">
        <f>IF(MATCH_ENGINE!A965="","",MATCH_ENGINE!K965)</f>
        <v/>
      </c>
      <c r="K965" s="11">
        <f>IF(MATCH_ENGINE!A965="","",MATCH_ENGINE!L965)</f>
        <v/>
      </c>
      <c r="L965" s="17">
        <f>IF(MATCH_ENGINE!A965="","",MATCH_ENGINE!M965)</f>
        <v/>
      </c>
      <c r="M965" s="11">
        <f>IF(MATCH_ENGINE!A965="","",GL_CLEAN!F965)</f>
        <v/>
      </c>
      <c r="N965" s="11">
        <f>IF(MATCH_ENGINE!A965="","",GL_CLEAN!G965)</f>
        <v/>
      </c>
      <c r="O965" s="11">
        <f>IF(MATCH_ENGINE!H965="","",INDEX(BANK_CLEAN!$C$2:$C$1001,MATCH_ENGINE!H965))</f>
        <v/>
      </c>
      <c r="P965" s="11" t="inlineStr"/>
    </row>
    <row r="966">
      <c r="A966" s="11">
        <f>IF(MATCH_ENGINE!A966="","",MATCH_ENGINE!N966)</f>
        <v/>
      </c>
      <c r="B966" s="11">
        <f>IF(MATCH_ENGINE!A966="","",MATCH_ENGINE!C966)</f>
        <v/>
      </c>
      <c r="C966" s="10">
        <f>IF(MATCH_ENGINE!A966="","",MATCH_ENGINE!B966)</f>
        <v/>
      </c>
      <c r="D966" s="16">
        <f>IF(MATCH_ENGINE!A966="","",MATCH_ENGINE!D966)</f>
        <v/>
      </c>
      <c r="E966" s="11">
        <f>IF(MATCH_ENGINE!A966="","",MATCH_ENGINE!F966)</f>
        <v/>
      </c>
      <c r="F966" s="10">
        <f>IF(MATCH_ENGINE!A966="","",MATCH_ENGINE!I966)</f>
        <v/>
      </c>
      <c r="G966" s="16">
        <f>IF(MATCH_ENGINE!H966="","",IF(MATCH_ENGINE!F966="IN",MATCH_ENGINE!J966,""))</f>
        <v/>
      </c>
      <c r="H966" s="16">
        <f>IF(MATCH_ENGINE!H966="","",IF(MATCH_ENGINE!F966="OUT",MATCH_ENGINE!J966,""))</f>
        <v/>
      </c>
      <c r="I966" s="16">
        <f>IF(MATCH_ENGINE!H966="","",MATCH_ENGINE!J966)</f>
        <v/>
      </c>
      <c r="J966" s="12">
        <f>IF(MATCH_ENGINE!A966="","",MATCH_ENGINE!K966)</f>
        <v/>
      </c>
      <c r="K966" s="11">
        <f>IF(MATCH_ENGINE!A966="","",MATCH_ENGINE!L966)</f>
        <v/>
      </c>
      <c r="L966" s="17">
        <f>IF(MATCH_ENGINE!A966="","",MATCH_ENGINE!M966)</f>
        <v/>
      </c>
      <c r="M966" s="11">
        <f>IF(MATCH_ENGINE!A966="","",GL_CLEAN!F966)</f>
        <v/>
      </c>
      <c r="N966" s="11">
        <f>IF(MATCH_ENGINE!A966="","",GL_CLEAN!G966)</f>
        <v/>
      </c>
      <c r="O966" s="11">
        <f>IF(MATCH_ENGINE!H966="","",INDEX(BANK_CLEAN!$C$2:$C$1001,MATCH_ENGINE!H966))</f>
        <v/>
      </c>
      <c r="P966" s="11" t="inlineStr"/>
    </row>
    <row r="967">
      <c r="A967" s="11">
        <f>IF(MATCH_ENGINE!A967="","",MATCH_ENGINE!N967)</f>
        <v/>
      </c>
      <c r="B967" s="11">
        <f>IF(MATCH_ENGINE!A967="","",MATCH_ENGINE!C967)</f>
        <v/>
      </c>
      <c r="C967" s="10">
        <f>IF(MATCH_ENGINE!A967="","",MATCH_ENGINE!B967)</f>
        <v/>
      </c>
      <c r="D967" s="16">
        <f>IF(MATCH_ENGINE!A967="","",MATCH_ENGINE!D967)</f>
        <v/>
      </c>
      <c r="E967" s="11">
        <f>IF(MATCH_ENGINE!A967="","",MATCH_ENGINE!F967)</f>
        <v/>
      </c>
      <c r="F967" s="10">
        <f>IF(MATCH_ENGINE!A967="","",MATCH_ENGINE!I967)</f>
        <v/>
      </c>
      <c r="G967" s="16">
        <f>IF(MATCH_ENGINE!H967="","",IF(MATCH_ENGINE!F967="IN",MATCH_ENGINE!J967,""))</f>
        <v/>
      </c>
      <c r="H967" s="16">
        <f>IF(MATCH_ENGINE!H967="","",IF(MATCH_ENGINE!F967="OUT",MATCH_ENGINE!J967,""))</f>
        <v/>
      </c>
      <c r="I967" s="16">
        <f>IF(MATCH_ENGINE!H967="","",MATCH_ENGINE!J967)</f>
        <v/>
      </c>
      <c r="J967" s="12">
        <f>IF(MATCH_ENGINE!A967="","",MATCH_ENGINE!K967)</f>
        <v/>
      </c>
      <c r="K967" s="11">
        <f>IF(MATCH_ENGINE!A967="","",MATCH_ENGINE!L967)</f>
        <v/>
      </c>
      <c r="L967" s="17">
        <f>IF(MATCH_ENGINE!A967="","",MATCH_ENGINE!M967)</f>
        <v/>
      </c>
      <c r="M967" s="11">
        <f>IF(MATCH_ENGINE!A967="","",GL_CLEAN!F967)</f>
        <v/>
      </c>
      <c r="N967" s="11">
        <f>IF(MATCH_ENGINE!A967="","",GL_CLEAN!G967)</f>
        <v/>
      </c>
      <c r="O967" s="11">
        <f>IF(MATCH_ENGINE!H967="","",INDEX(BANK_CLEAN!$C$2:$C$1001,MATCH_ENGINE!H967))</f>
        <v/>
      </c>
      <c r="P967" s="11" t="inlineStr"/>
    </row>
    <row r="968">
      <c r="A968" s="11">
        <f>IF(MATCH_ENGINE!A968="","",MATCH_ENGINE!N968)</f>
        <v/>
      </c>
      <c r="B968" s="11">
        <f>IF(MATCH_ENGINE!A968="","",MATCH_ENGINE!C968)</f>
        <v/>
      </c>
      <c r="C968" s="10">
        <f>IF(MATCH_ENGINE!A968="","",MATCH_ENGINE!B968)</f>
        <v/>
      </c>
      <c r="D968" s="16">
        <f>IF(MATCH_ENGINE!A968="","",MATCH_ENGINE!D968)</f>
        <v/>
      </c>
      <c r="E968" s="11">
        <f>IF(MATCH_ENGINE!A968="","",MATCH_ENGINE!F968)</f>
        <v/>
      </c>
      <c r="F968" s="10">
        <f>IF(MATCH_ENGINE!A968="","",MATCH_ENGINE!I968)</f>
        <v/>
      </c>
      <c r="G968" s="16">
        <f>IF(MATCH_ENGINE!H968="","",IF(MATCH_ENGINE!F968="IN",MATCH_ENGINE!J968,""))</f>
        <v/>
      </c>
      <c r="H968" s="16">
        <f>IF(MATCH_ENGINE!H968="","",IF(MATCH_ENGINE!F968="OUT",MATCH_ENGINE!J968,""))</f>
        <v/>
      </c>
      <c r="I968" s="16">
        <f>IF(MATCH_ENGINE!H968="","",MATCH_ENGINE!J968)</f>
        <v/>
      </c>
      <c r="J968" s="12">
        <f>IF(MATCH_ENGINE!A968="","",MATCH_ENGINE!K968)</f>
        <v/>
      </c>
      <c r="K968" s="11">
        <f>IF(MATCH_ENGINE!A968="","",MATCH_ENGINE!L968)</f>
        <v/>
      </c>
      <c r="L968" s="17">
        <f>IF(MATCH_ENGINE!A968="","",MATCH_ENGINE!M968)</f>
        <v/>
      </c>
      <c r="M968" s="11">
        <f>IF(MATCH_ENGINE!A968="","",GL_CLEAN!F968)</f>
        <v/>
      </c>
      <c r="N968" s="11">
        <f>IF(MATCH_ENGINE!A968="","",GL_CLEAN!G968)</f>
        <v/>
      </c>
      <c r="O968" s="11">
        <f>IF(MATCH_ENGINE!H968="","",INDEX(BANK_CLEAN!$C$2:$C$1001,MATCH_ENGINE!H968))</f>
        <v/>
      </c>
      <c r="P968" s="11" t="inlineStr"/>
    </row>
    <row r="969">
      <c r="A969" s="11">
        <f>IF(MATCH_ENGINE!A969="","",MATCH_ENGINE!N969)</f>
        <v/>
      </c>
      <c r="B969" s="11">
        <f>IF(MATCH_ENGINE!A969="","",MATCH_ENGINE!C969)</f>
        <v/>
      </c>
      <c r="C969" s="10">
        <f>IF(MATCH_ENGINE!A969="","",MATCH_ENGINE!B969)</f>
        <v/>
      </c>
      <c r="D969" s="16">
        <f>IF(MATCH_ENGINE!A969="","",MATCH_ENGINE!D969)</f>
        <v/>
      </c>
      <c r="E969" s="11">
        <f>IF(MATCH_ENGINE!A969="","",MATCH_ENGINE!F969)</f>
        <v/>
      </c>
      <c r="F969" s="10">
        <f>IF(MATCH_ENGINE!A969="","",MATCH_ENGINE!I969)</f>
        <v/>
      </c>
      <c r="G969" s="16">
        <f>IF(MATCH_ENGINE!H969="","",IF(MATCH_ENGINE!F969="IN",MATCH_ENGINE!J969,""))</f>
        <v/>
      </c>
      <c r="H969" s="16">
        <f>IF(MATCH_ENGINE!H969="","",IF(MATCH_ENGINE!F969="OUT",MATCH_ENGINE!J969,""))</f>
        <v/>
      </c>
      <c r="I969" s="16">
        <f>IF(MATCH_ENGINE!H969="","",MATCH_ENGINE!J969)</f>
        <v/>
      </c>
      <c r="J969" s="12">
        <f>IF(MATCH_ENGINE!A969="","",MATCH_ENGINE!K969)</f>
        <v/>
      </c>
      <c r="K969" s="11">
        <f>IF(MATCH_ENGINE!A969="","",MATCH_ENGINE!L969)</f>
        <v/>
      </c>
      <c r="L969" s="17">
        <f>IF(MATCH_ENGINE!A969="","",MATCH_ENGINE!M969)</f>
        <v/>
      </c>
      <c r="M969" s="11">
        <f>IF(MATCH_ENGINE!A969="","",GL_CLEAN!F969)</f>
        <v/>
      </c>
      <c r="N969" s="11">
        <f>IF(MATCH_ENGINE!A969="","",GL_CLEAN!G969)</f>
        <v/>
      </c>
      <c r="O969" s="11">
        <f>IF(MATCH_ENGINE!H969="","",INDEX(BANK_CLEAN!$C$2:$C$1001,MATCH_ENGINE!H969))</f>
        <v/>
      </c>
      <c r="P969" s="11" t="inlineStr"/>
    </row>
    <row r="970">
      <c r="A970" s="11">
        <f>IF(MATCH_ENGINE!A970="","",MATCH_ENGINE!N970)</f>
        <v/>
      </c>
      <c r="B970" s="11">
        <f>IF(MATCH_ENGINE!A970="","",MATCH_ENGINE!C970)</f>
        <v/>
      </c>
      <c r="C970" s="10">
        <f>IF(MATCH_ENGINE!A970="","",MATCH_ENGINE!B970)</f>
        <v/>
      </c>
      <c r="D970" s="16">
        <f>IF(MATCH_ENGINE!A970="","",MATCH_ENGINE!D970)</f>
        <v/>
      </c>
      <c r="E970" s="11">
        <f>IF(MATCH_ENGINE!A970="","",MATCH_ENGINE!F970)</f>
        <v/>
      </c>
      <c r="F970" s="10">
        <f>IF(MATCH_ENGINE!A970="","",MATCH_ENGINE!I970)</f>
        <v/>
      </c>
      <c r="G970" s="16">
        <f>IF(MATCH_ENGINE!H970="","",IF(MATCH_ENGINE!F970="IN",MATCH_ENGINE!J970,""))</f>
        <v/>
      </c>
      <c r="H970" s="16">
        <f>IF(MATCH_ENGINE!H970="","",IF(MATCH_ENGINE!F970="OUT",MATCH_ENGINE!J970,""))</f>
        <v/>
      </c>
      <c r="I970" s="16">
        <f>IF(MATCH_ENGINE!H970="","",MATCH_ENGINE!J970)</f>
        <v/>
      </c>
      <c r="J970" s="12">
        <f>IF(MATCH_ENGINE!A970="","",MATCH_ENGINE!K970)</f>
        <v/>
      </c>
      <c r="K970" s="11">
        <f>IF(MATCH_ENGINE!A970="","",MATCH_ENGINE!L970)</f>
        <v/>
      </c>
      <c r="L970" s="17">
        <f>IF(MATCH_ENGINE!A970="","",MATCH_ENGINE!M970)</f>
        <v/>
      </c>
      <c r="M970" s="11">
        <f>IF(MATCH_ENGINE!A970="","",GL_CLEAN!F970)</f>
        <v/>
      </c>
      <c r="N970" s="11">
        <f>IF(MATCH_ENGINE!A970="","",GL_CLEAN!G970)</f>
        <v/>
      </c>
      <c r="O970" s="11">
        <f>IF(MATCH_ENGINE!H970="","",INDEX(BANK_CLEAN!$C$2:$C$1001,MATCH_ENGINE!H970))</f>
        <v/>
      </c>
      <c r="P970" s="11" t="inlineStr"/>
    </row>
    <row r="971">
      <c r="A971" s="11">
        <f>IF(MATCH_ENGINE!A971="","",MATCH_ENGINE!N971)</f>
        <v/>
      </c>
      <c r="B971" s="11">
        <f>IF(MATCH_ENGINE!A971="","",MATCH_ENGINE!C971)</f>
        <v/>
      </c>
      <c r="C971" s="10">
        <f>IF(MATCH_ENGINE!A971="","",MATCH_ENGINE!B971)</f>
        <v/>
      </c>
      <c r="D971" s="16">
        <f>IF(MATCH_ENGINE!A971="","",MATCH_ENGINE!D971)</f>
        <v/>
      </c>
      <c r="E971" s="11">
        <f>IF(MATCH_ENGINE!A971="","",MATCH_ENGINE!F971)</f>
        <v/>
      </c>
      <c r="F971" s="10">
        <f>IF(MATCH_ENGINE!A971="","",MATCH_ENGINE!I971)</f>
        <v/>
      </c>
      <c r="G971" s="16">
        <f>IF(MATCH_ENGINE!H971="","",IF(MATCH_ENGINE!F971="IN",MATCH_ENGINE!J971,""))</f>
        <v/>
      </c>
      <c r="H971" s="16">
        <f>IF(MATCH_ENGINE!H971="","",IF(MATCH_ENGINE!F971="OUT",MATCH_ENGINE!J971,""))</f>
        <v/>
      </c>
      <c r="I971" s="16">
        <f>IF(MATCH_ENGINE!H971="","",MATCH_ENGINE!J971)</f>
        <v/>
      </c>
      <c r="J971" s="12">
        <f>IF(MATCH_ENGINE!A971="","",MATCH_ENGINE!K971)</f>
        <v/>
      </c>
      <c r="K971" s="11">
        <f>IF(MATCH_ENGINE!A971="","",MATCH_ENGINE!L971)</f>
        <v/>
      </c>
      <c r="L971" s="17">
        <f>IF(MATCH_ENGINE!A971="","",MATCH_ENGINE!M971)</f>
        <v/>
      </c>
      <c r="M971" s="11">
        <f>IF(MATCH_ENGINE!A971="","",GL_CLEAN!F971)</f>
        <v/>
      </c>
      <c r="N971" s="11">
        <f>IF(MATCH_ENGINE!A971="","",GL_CLEAN!G971)</f>
        <v/>
      </c>
      <c r="O971" s="11">
        <f>IF(MATCH_ENGINE!H971="","",INDEX(BANK_CLEAN!$C$2:$C$1001,MATCH_ENGINE!H971))</f>
        <v/>
      </c>
      <c r="P971" s="11" t="inlineStr"/>
    </row>
    <row r="972">
      <c r="A972" s="11">
        <f>IF(MATCH_ENGINE!A972="","",MATCH_ENGINE!N972)</f>
        <v/>
      </c>
      <c r="B972" s="11">
        <f>IF(MATCH_ENGINE!A972="","",MATCH_ENGINE!C972)</f>
        <v/>
      </c>
      <c r="C972" s="10">
        <f>IF(MATCH_ENGINE!A972="","",MATCH_ENGINE!B972)</f>
        <v/>
      </c>
      <c r="D972" s="16">
        <f>IF(MATCH_ENGINE!A972="","",MATCH_ENGINE!D972)</f>
        <v/>
      </c>
      <c r="E972" s="11">
        <f>IF(MATCH_ENGINE!A972="","",MATCH_ENGINE!F972)</f>
        <v/>
      </c>
      <c r="F972" s="10">
        <f>IF(MATCH_ENGINE!A972="","",MATCH_ENGINE!I972)</f>
        <v/>
      </c>
      <c r="G972" s="16">
        <f>IF(MATCH_ENGINE!H972="","",IF(MATCH_ENGINE!F972="IN",MATCH_ENGINE!J972,""))</f>
        <v/>
      </c>
      <c r="H972" s="16">
        <f>IF(MATCH_ENGINE!H972="","",IF(MATCH_ENGINE!F972="OUT",MATCH_ENGINE!J972,""))</f>
        <v/>
      </c>
      <c r="I972" s="16">
        <f>IF(MATCH_ENGINE!H972="","",MATCH_ENGINE!J972)</f>
        <v/>
      </c>
      <c r="J972" s="12">
        <f>IF(MATCH_ENGINE!A972="","",MATCH_ENGINE!K972)</f>
        <v/>
      </c>
      <c r="K972" s="11">
        <f>IF(MATCH_ENGINE!A972="","",MATCH_ENGINE!L972)</f>
        <v/>
      </c>
      <c r="L972" s="17">
        <f>IF(MATCH_ENGINE!A972="","",MATCH_ENGINE!M972)</f>
        <v/>
      </c>
      <c r="M972" s="11">
        <f>IF(MATCH_ENGINE!A972="","",GL_CLEAN!F972)</f>
        <v/>
      </c>
      <c r="N972" s="11">
        <f>IF(MATCH_ENGINE!A972="","",GL_CLEAN!G972)</f>
        <v/>
      </c>
      <c r="O972" s="11">
        <f>IF(MATCH_ENGINE!H972="","",INDEX(BANK_CLEAN!$C$2:$C$1001,MATCH_ENGINE!H972))</f>
        <v/>
      </c>
      <c r="P972" s="11" t="inlineStr"/>
    </row>
    <row r="973">
      <c r="A973" s="11">
        <f>IF(MATCH_ENGINE!A973="","",MATCH_ENGINE!N973)</f>
        <v/>
      </c>
      <c r="B973" s="11">
        <f>IF(MATCH_ENGINE!A973="","",MATCH_ENGINE!C973)</f>
        <v/>
      </c>
      <c r="C973" s="10">
        <f>IF(MATCH_ENGINE!A973="","",MATCH_ENGINE!B973)</f>
        <v/>
      </c>
      <c r="D973" s="16">
        <f>IF(MATCH_ENGINE!A973="","",MATCH_ENGINE!D973)</f>
        <v/>
      </c>
      <c r="E973" s="11">
        <f>IF(MATCH_ENGINE!A973="","",MATCH_ENGINE!F973)</f>
        <v/>
      </c>
      <c r="F973" s="10">
        <f>IF(MATCH_ENGINE!A973="","",MATCH_ENGINE!I973)</f>
        <v/>
      </c>
      <c r="G973" s="16">
        <f>IF(MATCH_ENGINE!H973="","",IF(MATCH_ENGINE!F973="IN",MATCH_ENGINE!J973,""))</f>
        <v/>
      </c>
      <c r="H973" s="16">
        <f>IF(MATCH_ENGINE!H973="","",IF(MATCH_ENGINE!F973="OUT",MATCH_ENGINE!J973,""))</f>
        <v/>
      </c>
      <c r="I973" s="16">
        <f>IF(MATCH_ENGINE!H973="","",MATCH_ENGINE!J973)</f>
        <v/>
      </c>
      <c r="J973" s="12">
        <f>IF(MATCH_ENGINE!A973="","",MATCH_ENGINE!K973)</f>
        <v/>
      </c>
      <c r="K973" s="11">
        <f>IF(MATCH_ENGINE!A973="","",MATCH_ENGINE!L973)</f>
        <v/>
      </c>
      <c r="L973" s="17">
        <f>IF(MATCH_ENGINE!A973="","",MATCH_ENGINE!M973)</f>
        <v/>
      </c>
      <c r="M973" s="11">
        <f>IF(MATCH_ENGINE!A973="","",GL_CLEAN!F973)</f>
        <v/>
      </c>
      <c r="N973" s="11">
        <f>IF(MATCH_ENGINE!A973="","",GL_CLEAN!G973)</f>
        <v/>
      </c>
      <c r="O973" s="11">
        <f>IF(MATCH_ENGINE!H973="","",INDEX(BANK_CLEAN!$C$2:$C$1001,MATCH_ENGINE!H973))</f>
        <v/>
      </c>
      <c r="P973" s="11" t="inlineStr"/>
    </row>
    <row r="974">
      <c r="A974" s="11">
        <f>IF(MATCH_ENGINE!A974="","",MATCH_ENGINE!N974)</f>
        <v/>
      </c>
      <c r="B974" s="11">
        <f>IF(MATCH_ENGINE!A974="","",MATCH_ENGINE!C974)</f>
        <v/>
      </c>
      <c r="C974" s="10">
        <f>IF(MATCH_ENGINE!A974="","",MATCH_ENGINE!B974)</f>
        <v/>
      </c>
      <c r="D974" s="16">
        <f>IF(MATCH_ENGINE!A974="","",MATCH_ENGINE!D974)</f>
        <v/>
      </c>
      <c r="E974" s="11">
        <f>IF(MATCH_ENGINE!A974="","",MATCH_ENGINE!F974)</f>
        <v/>
      </c>
      <c r="F974" s="10">
        <f>IF(MATCH_ENGINE!A974="","",MATCH_ENGINE!I974)</f>
        <v/>
      </c>
      <c r="G974" s="16">
        <f>IF(MATCH_ENGINE!H974="","",IF(MATCH_ENGINE!F974="IN",MATCH_ENGINE!J974,""))</f>
        <v/>
      </c>
      <c r="H974" s="16">
        <f>IF(MATCH_ENGINE!H974="","",IF(MATCH_ENGINE!F974="OUT",MATCH_ENGINE!J974,""))</f>
        <v/>
      </c>
      <c r="I974" s="16">
        <f>IF(MATCH_ENGINE!H974="","",MATCH_ENGINE!J974)</f>
        <v/>
      </c>
      <c r="J974" s="12">
        <f>IF(MATCH_ENGINE!A974="","",MATCH_ENGINE!K974)</f>
        <v/>
      </c>
      <c r="K974" s="11">
        <f>IF(MATCH_ENGINE!A974="","",MATCH_ENGINE!L974)</f>
        <v/>
      </c>
      <c r="L974" s="17">
        <f>IF(MATCH_ENGINE!A974="","",MATCH_ENGINE!M974)</f>
        <v/>
      </c>
      <c r="M974" s="11">
        <f>IF(MATCH_ENGINE!A974="","",GL_CLEAN!F974)</f>
        <v/>
      </c>
      <c r="N974" s="11">
        <f>IF(MATCH_ENGINE!A974="","",GL_CLEAN!G974)</f>
        <v/>
      </c>
      <c r="O974" s="11">
        <f>IF(MATCH_ENGINE!H974="","",INDEX(BANK_CLEAN!$C$2:$C$1001,MATCH_ENGINE!H974))</f>
        <v/>
      </c>
      <c r="P974" s="11" t="inlineStr"/>
    </row>
    <row r="975">
      <c r="A975" s="11">
        <f>IF(MATCH_ENGINE!A975="","",MATCH_ENGINE!N975)</f>
        <v/>
      </c>
      <c r="B975" s="11">
        <f>IF(MATCH_ENGINE!A975="","",MATCH_ENGINE!C975)</f>
        <v/>
      </c>
      <c r="C975" s="10">
        <f>IF(MATCH_ENGINE!A975="","",MATCH_ENGINE!B975)</f>
        <v/>
      </c>
      <c r="D975" s="16">
        <f>IF(MATCH_ENGINE!A975="","",MATCH_ENGINE!D975)</f>
        <v/>
      </c>
      <c r="E975" s="11">
        <f>IF(MATCH_ENGINE!A975="","",MATCH_ENGINE!F975)</f>
        <v/>
      </c>
      <c r="F975" s="10">
        <f>IF(MATCH_ENGINE!A975="","",MATCH_ENGINE!I975)</f>
        <v/>
      </c>
      <c r="G975" s="16">
        <f>IF(MATCH_ENGINE!H975="","",IF(MATCH_ENGINE!F975="IN",MATCH_ENGINE!J975,""))</f>
        <v/>
      </c>
      <c r="H975" s="16">
        <f>IF(MATCH_ENGINE!H975="","",IF(MATCH_ENGINE!F975="OUT",MATCH_ENGINE!J975,""))</f>
        <v/>
      </c>
      <c r="I975" s="16">
        <f>IF(MATCH_ENGINE!H975="","",MATCH_ENGINE!J975)</f>
        <v/>
      </c>
      <c r="J975" s="12">
        <f>IF(MATCH_ENGINE!A975="","",MATCH_ENGINE!K975)</f>
        <v/>
      </c>
      <c r="K975" s="11">
        <f>IF(MATCH_ENGINE!A975="","",MATCH_ENGINE!L975)</f>
        <v/>
      </c>
      <c r="L975" s="17">
        <f>IF(MATCH_ENGINE!A975="","",MATCH_ENGINE!M975)</f>
        <v/>
      </c>
      <c r="M975" s="11">
        <f>IF(MATCH_ENGINE!A975="","",GL_CLEAN!F975)</f>
        <v/>
      </c>
      <c r="N975" s="11">
        <f>IF(MATCH_ENGINE!A975="","",GL_CLEAN!G975)</f>
        <v/>
      </c>
      <c r="O975" s="11">
        <f>IF(MATCH_ENGINE!H975="","",INDEX(BANK_CLEAN!$C$2:$C$1001,MATCH_ENGINE!H975))</f>
        <v/>
      </c>
      <c r="P975" s="11" t="inlineStr"/>
    </row>
    <row r="976">
      <c r="A976" s="11">
        <f>IF(MATCH_ENGINE!A976="","",MATCH_ENGINE!N976)</f>
        <v/>
      </c>
      <c r="B976" s="11">
        <f>IF(MATCH_ENGINE!A976="","",MATCH_ENGINE!C976)</f>
        <v/>
      </c>
      <c r="C976" s="10">
        <f>IF(MATCH_ENGINE!A976="","",MATCH_ENGINE!B976)</f>
        <v/>
      </c>
      <c r="D976" s="16">
        <f>IF(MATCH_ENGINE!A976="","",MATCH_ENGINE!D976)</f>
        <v/>
      </c>
      <c r="E976" s="11">
        <f>IF(MATCH_ENGINE!A976="","",MATCH_ENGINE!F976)</f>
        <v/>
      </c>
      <c r="F976" s="10">
        <f>IF(MATCH_ENGINE!A976="","",MATCH_ENGINE!I976)</f>
        <v/>
      </c>
      <c r="G976" s="16">
        <f>IF(MATCH_ENGINE!H976="","",IF(MATCH_ENGINE!F976="IN",MATCH_ENGINE!J976,""))</f>
        <v/>
      </c>
      <c r="H976" s="16">
        <f>IF(MATCH_ENGINE!H976="","",IF(MATCH_ENGINE!F976="OUT",MATCH_ENGINE!J976,""))</f>
        <v/>
      </c>
      <c r="I976" s="16">
        <f>IF(MATCH_ENGINE!H976="","",MATCH_ENGINE!J976)</f>
        <v/>
      </c>
      <c r="J976" s="12">
        <f>IF(MATCH_ENGINE!A976="","",MATCH_ENGINE!K976)</f>
        <v/>
      </c>
      <c r="K976" s="11">
        <f>IF(MATCH_ENGINE!A976="","",MATCH_ENGINE!L976)</f>
        <v/>
      </c>
      <c r="L976" s="17">
        <f>IF(MATCH_ENGINE!A976="","",MATCH_ENGINE!M976)</f>
        <v/>
      </c>
      <c r="M976" s="11">
        <f>IF(MATCH_ENGINE!A976="","",GL_CLEAN!F976)</f>
        <v/>
      </c>
      <c r="N976" s="11">
        <f>IF(MATCH_ENGINE!A976="","",GL_CLEAN!G976)</f>
        <v/>
      </c>
      <c r="O976" s="11">
        <f>IF(MATCH_ENGINE!H976="","",INDEX(BANK_CLEAN!$C$2:$C$1001,MATCH_ENGINE!H976))</f>
        <v/>
      </c>
      <c r="P976" s="11" t="inlineStr"/>
    </row>
    <row r="977">
      <c r="A977" s="11">
        <f>IF(MATCH_ENGINE!A977="","",MATCH_ENGINE!N977)</f>
        <v/>
      </c>
      <c r="B977" s="11">
        <f>IF(MATCH_ENGINE!A977="","",MATCH_ENGINE!C977)</f>
        <v/>
      </c>
      <c r="C977" s="10">
        <f>IF(MATCH_ENGINE!A977="","",MATCH_ENGINE!B977)</f>
        <v/>
      </c>
      <c r="D977" s="16">
        <f>IF(MATCH_ENGINE!A977="","",MATCH_ENGINE!D977)</f>
        <v/>
      </c>
      <c r="E977" s="11">
        <f>IF(MATCH_ENGINE!A977="","",MATCH_ENGINE!F977)</f>
        <v/>
      </c>
      <c r="F977" s="10">
        <f>IF(MATCH_ENGINE!A977="","",MATCH_ENGINE!I977)</f>
        <v/>
      </c>
      <c r="G977" s="16">
        <f>IF(MATCH_ENGINE!H977="","",IF(MATCH_ENGINE!F977="IN",MATCH_ENGINE!J977,""))</f>
        <v/>
      </c>
      <c r="H977" s="16">
        <f>IF(MATCH_ENGINE!H977="","",IF(MATCH_ENGINE!F977="OUT",MATCH_ENGINE!J977,""))</f>
        <v/>
      </c>
      <c r="I977" s="16">
        <f>IF(MATCH_ENGINE!H977="","",MATCH_ENGINE!J977)</f>
        <v/>
      </c>
      <c r="J977" s="12">
        <f>IF(MATCH_ENGINE!A977="","",MATCH_ENGINE!K977)</f>
        <v/>
      </c>
      <c r="K977" s="11">
        <f>IF(MATCH_ENGINE!A977="","",MATCH_ENGINE!L977)</f>
        <v/>
      </c>
      <c r="L977" s="17">
        <f>IF(MATCH_ENGINE!A977="","",MATCH_ENGINE!M977)</f>
        <v/>
      </c>
      <c r="M977" s="11">
        <f>IF(MATCH_ENGINE!A977="","",GL_CLEAN!F977)</f>
        <v/>
      </c>
      <c r="N977" s="11">
        <f>IF(MATCH_ENGINE!A977="","",GL_CLEAN!G977)</f>
        <v/>
      </c>
      <c r="O977" s="11">
        <f>IF(MATCH_ENGINE!H977="","",INDEX(BANK_CLEAN!$C$2:$C$1001,MATCH_ENGINE!H977))</f>
        <v/>
      </c>
      <c r="P977" s="11" t="inlineStr"/>
    </row>
    <row r="978">
      <c r="A978" s="11">
        <f>IF(MATCH_ENGINE!A978="","",MATCH_ENGINE!N978)</f>
        <v/>
      </c>
      <c r="B978" s="11">
        <f>IF(MATCH_ENGINE!A978="","",MATCH_ENGINE!C978)</f>
        <v/>
      </c>
      <c r="C978" s="10">
        <f>IF(MATCH_ENGINE!A978="","",MATCH_ENGINE!B978)</f>
        <v/>
      </c>
      <c r="D978" s="16">
        <f>IF(MATCH_ENGINE!A978="","",MATCH_ENGINE!D978)</f>
        <v/>
      </c>
      <c r="E978" s="11">
        <f>IF(MATCH_ENGINE!A978="","",MATCH_ENGINE!F978)</f>
        <v/>
      </c>
      <c r="F978" s="10">
        <f>IF(MATCH_ENGINE!A978="","",MATCH_ENGINE!I978)</f>
        <v/>
      </c>
      <c r="G978" s="16">
        <f>IF(MATCH_ENGINE!H978="","",IF(MATCH_ENGINE!F978="IN",MATCH_ENGINE!J978,""))</f>
        <v/>
      </c>
      <c r="H978" s="16">
        <f>IF(MATCH_ENGINE!H978="","",IF(MATCH_ENGINE!F978="OUT",MATCH_ENGINE!J978,""))</f>
        <v/>
      </c>
      <c r="I978" s="16">
        <f>IF(MATCH_ENGINE!H978="","",MATCH_ENGINE!J978)</f>
        <v/>
      </c>
      <c r="J978" s="12">
        <f>IF(MATCH_ENGINE!A978="","",MATCH_ENGINE!K978)</f>
        <v/>
      </c>
      <c r="K978" s="11">
        <f>IF(MATCH_ENGINE!A978="","",MATCH_ENGINE!L978)</f>
        <v/>
      </c>
      <c r="L978" s="17">
        <f>IF(MATCH_ENGINE!A978="","",MATCH_ENGINE!M978)</f>
        <v/>
      </c>
      <c r="M978" s="11">
        <f>IF(MATCH_ENGINE!A978="","",GL_CLEAN!F978)</f>
        <v/>
      </c>
      <c r="N978" s="11">
        <f>IF(MATCH_ENGINE!A978="","",GL_CLEAN!G978)</f>
        <v/>
      </c>
      <c r="O978" s="11">
        <f>IF(MATCH_ENGINE!H978="","",INDEX(BANK_CLEAN!$C$2:$C$1001,MATCH_ENGINE!H978))</f>
        <v/>
      </c>
      <c r="P978" s="11" t="inlineStr"/>
    </row>
    <row r="979">
      <c r="A979" s="11">
        <f>IF(MATCH_ENGINE!A979="","",MATCH_ENGINE!N979)</f>
        <v/>
      </c>
      <c r="B979" s="11">
        <f>IF(MATCH_ENGINE!A979="","",MATCH_ENGINE!C979)</f>
        <v/>
      </c>
      <c r="C979" s="10">
        <f>IF(MATCH_ENGINE!A979="","",MATCH_ENGINE!B979)</f>
        <v/>
      </c>
      <c r="D979" s="16">
        <f>IF(MATCH_ENGINE!A979="","",MATCH_ENGINE!D979)</f>
        <v/>
      </c>
      <c r="E979" s="11">
        <f>IF(MATCH_ENGINE!A979="","",MATCH_ENGINE!F979)</f>
        <v/>
      </c>
      <c r="F979" s="10">
        <f>IF(MATCH_ENGINE!A979="","",MATCH_ENGINE!I979)</f>
        <v/>
      </c>
      <c r="G979" s="16">
        <f>IF(MATCH_ENGINE!H979="","",IF(MATCH_ENGINE!F979="IN",MATCH_ENGINE!J979,""))</f>
        <v/>
      </c>
      <c r="H979" s="16">
        <f>IF(MATCH_ENGINE!H979="","",IF(MATCH_ENGINE!F979="OUT",MATCH_ENGINE!J979,""))</f>
        <v/>
      </c>
      <c r="I979" s="16">
        <f>IF(MATCH_ENGINE!H979="","",MATCH_ENGINE!J979)</f>
        <v/>
      </c>
      <c r="J979" s="12">
        <f>IF(MATCH_ENGINE!A979="","",MATCH_ENGINE!K979)</f>
        <v/>
      </c>
      <c r="K979" s="11">
        <f>IF(MATCH_ENGINE!A979="","",MATCH_ENGINE!L979)</f>
        <v/>
      </c>
      <c r="L979" s="17">
        <f>IF(MATCH_ENGINE!A979="","",MATCH_ENGINE!M979)</f>
        <v/>
      </c>
      <c r="M979" s="11">
        <f>IF(MATCH_ENGINE!A979="","",GL_CLEAN!F979)</f>
        <v/>
      </c>
      <c r="N979" s="11">
        <f>IF(MATCH_ENGINE!A979="","",GL_CLEAN!G979)</f>
        <v/>
      </c>
      <c r="O979" s="11">
        <f>IF(MATCH_ENGINE!H979="","",INDEX(BANK_CLEAN!$C$2:$C$1001,MATCH_ENGINE!H979))</f>
        <v/>
      </c>
      <c r="P979" s="11" t="inlineStr"/>
    </row>
    <row r="980">
      <c r="A980" s="11">
        <f>IF(MATCH_ENGINE!A980="","",MATCH_ENGINE!N980)</f>
        <v/>
      </c>
      <c r="B980" s="11">
        <f>IF(MATCH_ENGINE!A980="","",MATCH_ENGINE!C980)</f>
        <v/>
      </c>
      <c r="C980" s="10">
        <f>IF(MATCH_ENGINE!A980="","",MATCH_ENGINE!B980)</f>
        <v/>
      </c>
      <c r="D980" s="16">
        <f>IF(MATCH_ENGINE!A980="","",MATCH_ENGINE!D980)</f>
        <v/>
      </c>
      <c r="E980" s="11">
        <f>IF(MATCH_ENGINE!A980="","",MATCH_ENGINE!F980)</f>
        <v/>
      </c>
      <c r="F980" s="10">
        <f>IF(MATCH_ENGINE!A980="","",MATCH_ENGINE!I980)</f>
        <v/>
      </c>
      <c r="G980" s="16">
        <f>IF(MATCH_ENGINE!H980="","",IF(MATCH_ENGINE!F980="IN",MATCH_ENGINE!J980,""))</f>
        <v/>
      </c>
      <c r="H980" s="16">
        <f>IF(MATCH_ENGINE!H980="","",IF(MATCH_ENGINE!F980="OUT",MATCH_ENGINE!J980,""))</f>
        <v/>
      </c>
      <c r="I980" s="16">
        <f>IF(MATCH_ENGINE!H980="","",MATCH_ENGINE!J980)</f>
        <v/>
      </c>
      <c r="J980" s="12">
        <f>IF(MATCH_ENGINE!A980="","",MATCH_ENGINE!K980)</f>
        <v/>
      </c>
      <c r="K980" s="11">
        <f>IF(MATCH_ENGINE!A980="","",MATCH_ENGINE!L980)</f>
        <v/>
      </c>
      <c r="L980" s="17">
        <f>IF(MATCH_ENGINE!A980="","",MATCH_ENGINE!M980)</f>
        <v/>
      </c>
      <c r="M980" s="11">
        <f>IF(MATCH_ENGINE!A980="","",GL_CLEAN!F980)</f>
        <v/>
      </c>
      <c r="N980" s="11">
        <f>IF(MATCH_ENGINE!A980="","",GL_CLEAN!G980)</f>
        <v/>
      </c>
      <c r="O980" s="11">
        <f>IF(MATCH_ENGINE!H980="","",INDEX(BANK_CLEAN!$C$2:$C$1001,MATCH_ENGINE!H980))</f>
        <v/>
      </c>
      <c r="P980" s="11" t="inlineStr"/>
    </row>
    <row r="981">
      <c r="A981" s="11">
        <f>IF(MATCH_ENGINE!A981="","",MATCH_ENGINE!N981)</f>
        <v/>
      </c>
      <c r="B981" s="11">
        <f>IF(MATCH_ENGINE!A981="","",MATCH_ENGINE!C981)</f>
        <v/>
      </c>
      <c r="C981" s="10">
        <f>IF(MATCH_ENGINE!A981="","",MATCH_ENGINE!B981)</f>
        <v/>
      </c>
      <c r="D981" s="16">
        <f>IF(MATCH_ENGINE!A981="","",MATCH_ENGINE!D981)</f>
        <v/>
      </c>
      <c r="E981" s="11">
        <f>IF(MATCH_ENGINE!A981="","",MATCH_ENGINE!F981)</f>
        <v/>
      </c>
      <c r="F981" s="10">
        <f>IF(MATCH_ENGINE!A981="","",MATCH_ENGINE!I981)</f>
        <v/>
      </c>
      <c r="G981" s="16">
        <f>IF(MATCH_ENGINE!H981="","",IF(MATCH_ENGINE!F981="IN",MATCH_ENGINE!J981,""))</f>
        <v/>
      </c>
      <c r="H981" s="16">
        <f>IF(MATCH_ENGINE!H981="","",IF(MATCH_ENGINE!F981="OUT",MATCH_ENGINE!J981,""))</f>
        <v/>
      </c>
      <c r="I981" s="16">
        <f>IF(MATCH_ENGINE!H981="","",MATCH_ENGINE!J981)</f>
        <v/>
      </c>
      <c r="J981" s="12">
        <f>IF(MATCH_ENGINE!A981="","",MATCH_ENGINE!K981)</f>
        <v/>
      </c>
      <c r="K981" s="11">
        <f>IF(MATCH_ENGINE!A981="","",MATCH_ENGINE!L981)</f>
        <v/>
      </c>
      <c r="L981" s="17">
        <f>IF(MATCH_ENGINE!A981="","",MATCH_ENGINE!M981)</f>
        <v/>
      </c>
      <c r="M981" s="11">
        <f>IF(MATCH_ENGINE!A981="","",GL_CLEAN!F981)</f>
        <v/>
      </c>
      <c r="N981" s="11">
        <f>IF(MATCH_ENGINE!A981="","",GL_CLEAN!G981)</f>
        <v/>
      </c>
      <c r="O981" s="11">
        <f>IF(MATCH_ENGINE!H981="","",INDEX(BANK_CLEAN!$C$2:$C$1001,MATCH_ENGINE!H981))</f>
        <v/>
      </c>
      <c r="P981" s="11" t="inlineStr"/>
    </row>
    <row r="982">
      <c r="A982" s="11">
        <f>IF(MATCH_ENGINE!A982="","",MATCH_ENGINE!N982)</f>
        <v/>
      </c>
      <c r="B982" s="11">
        <f>IF(MATCH_ENGINE!A982="","",MATCH_ENGINE!C982)</f>
        <v/>
      </c>
      <c r="C982" s="10">
        <f>IF(MATCH_ENGINE!A982="","",MATCH_ENGINE!B982)</f>
        <v/>
      </c>
      <c r="D982" s="16">
        <f>IF(MATCH_ENGINE!A982="","",MATCH_ENGINE!D982)</f>
        <v/>
      </c>
      <c r="E982" s="11">
        <f>IF(MATCH_ENGINE!A982="","",MATCH_ENGINE!F982)</f>
        <v/>
      </c>
      <c r="F982" s="10">
        <f>IF(MATCH_ENGINE!A982="","",MATCH_ENGINE!I982)</f>
        <v/>
      </c>
      <c r="G982" s="16">
        <f>IF(MATCH_ENGINE!H982="","",IF(MATCH_ENGINE!F982="IN",MATCH_ENGINE!J982,""))</f>
        <v/>
      </c>
      <c r="H982" s="16">
        <f>IF(MATCH_ENGINE!H982="","",IF(MATCH_ENGINE!F982="OUT",MATCH_ENGINE!J982,""))</f>
        <v/>
      </c>
      <c r="I982" s="16">
        <f>IF(MATCH_ENGINE!H982="","",MATCH_ENGINE!J982)</f>
        <v/>
      </c>
      <c r="J982" s="12">
        <f>IF(MATCH_ENGINE!A982="","",MATCH_ENGINE!K982)</f>
        <v/>
      </c>
      <c r="K982" s="11">
        <f>IF(MATCH_ENGINE!A982="","",MATCH_ENGINE!L982)</f>
        <v/>
      </c>
      <c r="L982" s="17">
        <f>IF(MATCH_ENGINE!A982="","",MATCH_ENGINE!M982)</f>
        <v/>
      </c>
      <c r="M982" s="11">
        <f>IF(MATCH_ENGINE!A982="","",GL_CLEAN!F982)</f>
        <v/>
      </c>
      <c r="N982" s="11">
        <f>IF(MATCH_ENGINE!A982="","",GL_CLEAN!G982)</f>
        <v/>
      </c>
      <c r="O982" s="11">
        <f>IF(MATCH_ENGINE!H982="","",INDEX(BANK_CLEAN!$C$2:$C$1001,MATCH_ENGINE!H982))</f>
        <v/>
      </c>
      <c r="P982" s="11" t="inlineStr"/>
    </row>
    <row r="983">
      <c r="A983" s="11">
        <f>IF(MATCH_ENGINE!A983="","",MATCH_ENGINE!N983)</f>
        <v/>
      </c>
      <c r="B983" s="11">
        <f>IF(MATCH_ENGINE!A983="","",MATCH_ENGINE!C983)</f>
        <v/>
      </c>
      <c r="C983" s="10">
        <f>IF(MATCH_ENGINE!A983="","",MATCH_ENGINE!B983)</f>
        <v/>
      </c>
      <c r="D983" s="16">
        <f>IF(MATCH_ENGINE!A983="","",MATCH_ENGINE!D983)</f>
        <v/>
      </c>
      <c r="E983" s="11">
        <f>IF(MATCH_ENGINE!A983="","",MATCH_ENGINE!F983)</f>
        <v/>
      </c>
      <c r="F983" s="10">
        <f>IF(MATCH_ENGINE!A983="","",MATCH_ENGINE!I983)</f>
        <v/>
      </c>
      <c r="G983" s="16">
        <f>IF(MATCH_ENGINE!H983="","",IF(MATCH_ENGINE!F983="IN",MATCH_ENGINE!J983,""))</f>
        <v/>
      </c>
      <c r="H983" s="16">
        <f>IF(MATCH_ENGINE!H983="","",IF(MATCH_ENGINE!F983="OUT",MATCH_ENGINE!J983,""))</f>
        <v/>
      </c>
      <c r="I983" s="16">
        <f>IF(MATCH_ENGINE!H983="","",MATCH_ENGINE!J983)</f>
        <v/>
      </c>
      <c r="J983" s="12">
        <f>IF(MATCH_ENGINE!A983="","",MATCH_ENGINE!K983)</f>
        <v/>
      </c>
      <c r="K983" s="11">
        <f>IF(MATCH_ENGINE!A983="","",MATCH_ENGINE!L983)</f>
        <v/>
      </c>
      <c r="L983" s="17">
        <f>IF(MATCH_ENGINE!A983="","",MATCH_ENGINE!M983)</f>
        <v/>
      </c>
      <c r="M983" s="11">
        <f>IF(MATCH_ENGINE!A983="","",GL_CLEAN!F983)</f>
        <v/>
      </c>
      <c r="N983" s="11">
        <f>IF(MATCH_ENGINE!A983="","",GL_CLEAN!G983)</f>
        <v/>
      </c>
      <c r="O983" s="11">
        <f>IF(MATCH_ENGINE!H983="","",INDEX(BANK_CLEAN!$C$2:$C$1001,MATCH_ENGINE!H983))</f>
        <v/>
      </c>
      <c r="P983" s="11" t="inlineStr"/>
    </row>
    <row r="984">
      <c r="A984" s="11">
        <f>IF(MATCH_ENGINE!A984="","",MATCH_ENGINE!N984)</f>
        <v/>
      </c>
      <c r="B984" s="11">
        <f>IF(MATCH_ENGINE!A984="","",MATCH_ENGINE!C984)</f>
        <v/>
      </c>
      <c r="C984" s="10">
        <f>IF(MATCH_ENGINE!A984="","",MATCH_ENGINE!B984)</f>
        <v/>
      </c>
      <c r="D984" s="16">
        <f>IF(MATCH_ENGINE!A984="","",MATCH_ENGINE!D984)</f>
        <v/>
      </c>
      <c r="E984" s="11">
        <f>IF(MATCH_ENGINE!A984="","",MATCH_ENGINE!F984)</f>
        <v/>
      </c>
      <c r="F984" s="10">
        <f>IF(MATCH_ENGINE!A984="","",MATCH_ENGINE!I984)</f>
        <v/>
      </c>
      <c r="G984" s="16">
        <f>IF(MATCH_ENGINE!H984="","",IF(MATCH_ENGINE!F984="IN",MATCH_ENGINE!J984,""))</f>
        <v/>
      </c>
      <c r="H984" s="16">
        <f>IF(MATCH_ENGINE!H984="","",IF(MATCH_ENGINE!F984="OUT",MATCH_ENGINE!J984,""))</f>
        <v/>
      </c>
      <c r="I984" s="16">
        <f>IF(MATCH_ENGINE!H984="","",MATCH_ENGINE!J984)</f>
        <v/>
      </c>
      <c r="J984" s="12">
        <f>IF(MATCH_ENGINE!A984="","",MATCH_ENGINE!K984)</f>
        <v/>
      </c>
      <c r="K984" s="11">
        <f>IF(MATCH_ENGINE!A984="","",MATCH_ENGINE!L984)</f>
        <v/>
      </c>
      <c r="L984" s="17">
        <f>IF(MATCH_ENGINE!A984="","",MATCH_ENGINE!M984)</f>
        <v/>
      </c>
      <c r="M984" s="11">
        <f>IF(MATCH_ENGINE!A984="","",GL_CLEAN!F984)</f>
        <v/>
      </c>
      <c r="N984" s="11">
        <f>IF(MATCH_ENGINE!A984="","",GL_CLEAN!G984)</f>
        <v/>
      </c>
      <c r="O984" s="11">
        <f>IF(MATCH_ENGINE!H984="","",INDEX(BANK_CLEAN!$C$2:$C$1001,MATCH_ENGINE!H984))</f>
        <v/>
      </c>
      <c r="P984" s="11" t="inlineStr"/>
    </row>
    <row r="985">
      <c r="A985" s="11">
        <f>IF(MATCH_ENGINE!A985="","",MATCH_ENGINE!N985)</f>
        <v/>
      </c>
      <c r="B985" s="11">
        <f>IF(MATCH_ENGINE!A985="","",MATCH_ENGINE!C985)</f>
        <v/>
      </c>
      <c r="C985" s="10">
        <f>IF(MATCH_ENGINE!A985="","",MATCH_ENGINE!B985)</f>
        <v/>
      </c>
      <c r="D985" s="16">
        <f>IF(MATCH_ENGINE!A985="","",MATCH_ENGINE!D985)</f>
        <v/>
      </c>
      <c r="E985" s="11">
        <f>IF(MATCH_ENGINE!A985="","",MATCH_ENGINE!F985)</f>
        <v/>
      </c>
      <c r="F985" s="10">
        <f>IF(MATCH_ENGINE!A985="","",MATCH_ENGINE!I985)</f>
        <v/>
      </c>
      <c r="G985" s="16">
        <f>IF(MATCH_ENGINE!H985="","",IF(MATCH_ENGINE!F985="IN",MATCH_ENGINE!J985,""))</f>
        <v/>
      </c>
      <c r="H985" s="16">
        <f>IF(MATCH_ENGINE!H985="","",IF(MATCH_ENGINE!F985="OUT",MATCH_ENGINE!J985,""))</f>
        <v/>
      </c>
      <c r="I985" s="16">
        <f>IF(MATCH_ENGINE!H985="","",MATCH_ENGINE!J985)</f>
        <v/>
      </c>
      <c r="J985" s="12">
        <f>IF(MATCH_ENGINE!A985="","",MATCH_ENGINE!K985)</f>
        <v/>
      </c>
      <c r="K985" s="11">
        <f>IF(MATCH_ENGINE!A985="","",MATCH_ENGINE!L985)</f>
        <v/>
      </c>
      <c r="L985" s="17">
        <f>IF(MATCH_ENGINE!A985="","",MATCH_ENGINE!M985)</f>
        <v/>
      </c>
      <c r="M985" s="11">
        <f>IF(MATCH_ENGINE!A985="","",GL_CLEAN!F985)</f>
        <v/>
      </c>
      <c r="N985" s="11">
        <f>IF(MATCH_ENGINE!A985="","",GL_CLEAN!G985)</f>
        <v/>
      </c>
      <c r="O985" s="11">
        <f>IF(MATCH_ENGINE!H985="","",INDEX(BANK_CLEAN!$C$2:$C$1001,MATCH_ENGINE!H985))</f>
        <v/>
      </c>
      <c r="P985" s="11" t="inlineStr"/>
    </row>
    <row r="986">
      <c r="A986" s="11">
        <f>IF(MATCH_ENGINE!A986="","",MATCH_ENGINE!N986)</f>
        <v/>
      </c>
      <c r="B986" s="11">
        <f>IF(MATCH_ENGINE!A986="","",MATCH_ENGINE!C986)</f>
        <v/>
      </c>
      <c r="C986" s="10">
        <f>IF(MATCH_ENGINE!A986="","",MATCH_ENGINE!B986)</f>
        <v/>
      </c>
      <c r="D986" s="16">
        <f>IF(MATCH_ENGINE!A986="","",MATCH_ENGINE!D986)</f>
        <v/>
      </c>
      <c r="E986" s="11">
        <f>IF(MATCH_ENGINE!A986="","",MATCH_ENGINE!F986)</f>
        <v/>
      </c>
      <c r="F986" s="10">
        <f>IF(MATCH_ENGINE!A986="","",MATCH_ENGINE!I986)</f>
        <v/>
      </c>
      <c r="G986" s="16">
        <f>IF(MATCH_ENGINE!H986="","",IF(MATCH_ENGINE!F986="IN",MATCH_ENGINE!J986,""))</f>
        <v/>
      </c>
      <c r="H986" s="16">
        <f>IF(MATCH_ENGINE!H986="","",IF(MATCH_ENGINE!F986="OUT",MATCH_ENGINE!J986,""))</f>
        <v/>
      </c>
      <c r="I986" s="16">
        <f>IF(MATCH_ENGINE!H986="","",MATCH_ENGINE!J986)</f>
        <v/>
      </c>
      <c r="J986" s="12">
        <f>IF(MATCH_ENGINE!A986="","",MATCH_ENGINE!K986)</f>
        <v/>
      </c>
      <c r="K986" s="11">
        <f>IF(MATCH_ENGINE!A986="","",MATCH_ENGINE!L986)</f>
        <v/>
      </c>
      <c r="L986" s="17">
        <f>IF(MATCH_ENGINE!A986="","",MATCH_ENGINE!M986)</f>
        <v/>
      </c>
      <c r="M986" s="11">
        <f>IF(MATCH_ENGINE!A986="","",GL_CLEAN!F986)</f>
        <v/>
      </c>
      <c r="N986" s="11">
        <f>IF(MATCH_ENGINE!A986="","",GL_CLEAN!G986)</f>
        <v/>
      </c>
      <c r="O986" s="11">
        <f>IF(MATCH_ENGINE!H986="","",INDEX(BANK_CLEAN!$C$2:$C$1001,MATCH_ENGINE!H986))</f>
        <v/>
      </c>
      <c r="P986" s="11" t="inlineStr"/>
    </row>
    <row r="987">
      <c r="A987" s="11">
        <f>IF(MATCH_ENGINE!A987="","",MATCH_ENGINE!N987)</f>
        <v/>
      </c>
      <c r="B987" s="11">
        <f>IF(MATCH_ENGINE!A987="","",MATCH_ENGINE!C987)</f>
        <v/>
      </c>
      <c r="C987" s="10">
        <f>IF(MATCH_ENGINE!A987="","",MATCH_ENGINE!B987)</f>
        <v/>
      </c>
      <c r="D987" s="16">
        <f>IF(MATCH_ENGINE!A987="","",MATCH_ENGINE!D987)</f>
        <v/>
      </c>
      <c r="E987" s="11">
        <f>IF(MATCH_ENGINE!A987="","",MATCH_ENGINE!F987)</f>
        <v/>
      </c>
      <c r="F987" s="10">
        <f>IF(MATCH_ENGINE!A987="","",MATCH_ENGINE!I987)</f>
        <v/>
      </c>
      <c r="G987" s="16">
        <f>IF(MATCH_ENGINE!H987="","",IF(MATCH_ENGINE!F987="IN",MATCH_ENGINE!J987,""))</f>
        <v/>
      </c>
      <c r="H987" s="16">
        <f>IF(MATCH_ENGINE!H987="","",IF(MATCH_ENGINE!F987="OUT",MATCH_ENGINE!J987,""))</f>
        <v/>
      </c>
      <c r="I987" s="16">
        <f>IF(MATCH_ENGINE!H987="","",MATCH_ENGINE!J987)</f>
        <v/>
      </c>
      <c r="J987" s="12">
        <f>IF(MATCH_ENGINE!A987="","",MATCH_ENGINE!K987)</f>
        <v/>
      </c>
      <c r="K987" s="11">
        <f>IF(MATCH_ENGINE!A987="","",MATCH_ENGINE!L987)</f>
        <v/>
      </c>
      <c r="L987" s="17">
        <f>IF(MATCH_ENGINE!A987="","",MATCH_ENGINE!M987)</f>
        <v/>
      </c>
      <c r="M987" s="11">
        <f>IF(MATCH_ENGINE!A987="","",GL_CLEAN!F987)</f>
        <v/>
      </c>
      <c r="N987" s="11">
        <f>IF(MATCH_ENGINE!A987="","",GL_CLEAN!G987)</f>
        <v/>
      </c>
      <c r="O987" s="11">
        <f>IF(MATCH_ENGINE!H987="","",INDEX(BANK_CLEAN!$C$2:$C$1001,MATCH_ENGINE!H987))</f>
        <v/>
      </c>
      <c r="P987" s="11" t="inlineStr"/>
    </row>
    <row r="988">
      <c r="A988" s="11">
        <f>IF(MATCH_ENGINE!A988="","",MATCH_ENGINE!N988)</f>
        <v/>
      </c>
      <c r="B988" s="11">
        <f>IF(MATCH_ENGINE!A988="","",MATCH_ENGINE!C988)</f>
        <v/>
      </c>
      <c r="C988" s="10">
        <f>IF(MATCH_ENGINE!A988="","",MATCH_ENGINE!B988)</f>
        <v/>
      </c>
      <c r="D988" s="16">
        <f>IF(MATCH_ENGINE!A988="","",MATCH_ENGINE!D988)</f>
        <v/>
      </c>
      <c r="E988" s="11">
        <f>IF(MATCH_ENGINE!A988="","",MATCH_ENGINE!F988)</f>
        <v/>
      </c>
      <c r="F988" s="10">
        <f>IF(MATCH_ENGINE!A988="","",MATCH_ENGINE!I988)</f>
        <v/>
      </c>
      <c r="G988" s="16">
        <f>IF(MATCH_ENGINE!H988="","",IF(MATCH_ENGINE!F988="IN",MATCH_ENGINE!J988,""))</f>
        <v/>
      </c>
      <c r="H988" s="16">
        <f>IF(MATCH_ENGINE!H988="","",IF(MATCH_ENGINE!F988="OUT",MATCH_ENGINE!J988,""))</f>
        <v/>
      </c>
      <c r="I988" s="16">
        <f>IF(MATCH_ENGINE!H988="","",MATCH_ENGINE!J988)</f>
        <v/>
      </c>
      <c r="J988" s="12">
        <f>IF(MATCH_ENGINE!A988="","",MATCH_ENGINE!K988)</f>
        <v/>
      </c>
      <c r="K988" s="11">
        <f>IF(MATCH_ENGINE!A988="","",MATCH_ENGINE!L988)</f>
        <v/>
      </c>
      <c r="L988" s="17">
        <f>IF(MATCH_ENGINE!A988="","",MATCH_ENGINE!M988)</f>
        <v/>
      </c>
      <c r="M988" s="11">
        <f>IF(MATCH_ENGINE!A988="","",GL_CLEAN!F988)</f>
        <v/>
      </c>
      <c r="N988" s="11">
        <f>IF(MATCH_ENGINE!A988="","",GL_CLEAN!G988)</f>
        <v/>
      </c>
      <c r="O988" s="11">
        <f>IF(MATCH_ENGINE!H988="","",INDEX(BANK_CLEAN!$C$2:$C$1001,MATCH_ENGINE!H988))</f>
        <v/>
      </c>
      <c r="P988" s="11" t="inlineStr"/>
    </row>
    <row r="989">
      <c r="A989" s="11">
        <f>IF(MATCH_ENGINE!A989="","",MATCH_ENGINE!N989)</f>
        <v/>
      </c>
      <c r="B989" s="11">
        <f>IF(MATCH_ENGINE!A989="","",MATCH_ENGINE!C989)</f>
        <v/>
      </c>
      <c r="C989" s="10">
        <f>IF(MATCH_ENGINE!A989="","",MATCH_ENGINE!B989)</f>
        <v/>
      </c>
      <c r="D989" s="16">
        <f>IF(MATCH_ENGINE!A989="","",MATCH_ENGINE!D989)</f>
        <v/>
      </c>
      <c r="E989" s="11">
        <f>IF(MATCH_ENGINE!A989="","",MATCH_ENGINE!F989)</f>
        <v/>
      </c>
      <c r="F989" s="10">
        <f>IF(MATCH_ENGINE!A989="","",MATCH_ENGINE!I989)</f>
        <v/>
      </c>
      <c r="G989" s="16">
        <f>IF(MATCH_ENGINE!H989="","",IF(MATCH_ENGINE!F989="IN",MATCH_ENGINE!J989,""))</f>
        <v/>
      </c>
      <c r="H989" s="16">
        <f>IF(MATCH_ENGINE!H989="","",IF(MATCH_ENGINE!F989="OUT",MATCH_ENGINE!J989,""))</f>
        <v/>
      </c>
      <c r="I989" s="16">
        <f>IF(MATCH_ENGINE!H989="","",MATCH_ENGINE!J989)</f>
        <v/>
      </c>
      <c r="J989" s="12">
        <f>IF(MATCH_ENGINE!A989="","",MATCH_ENGINE!K989)</f>
        <v/>
      </c>
      <c r="K989" s="11">
        <f>IF(MATCH_ENGINE!A989="","",MATCH_ENGINE!L989)</f>
        <v/>
      </c>
      <c r="L989" s="17">
        <f>IF(MATCH_ENGINE!A989="","",MATCH_ENGINE!M989)</f>
        <v/>
      </c>
      <c r="M989" s="11">
        <f>IF(MATCH_ENGINE!A989="","",GL_CLEAN!F989)</f>
        <v/>
      </c>
      <c r="N989" s="11">
        <f>IF(MATCH_ENGINE!A989="","",GL_CLEAN!G989)</f>
        <v/>
      </c>
      <c r="O989" s="11">
        <f>IF(MATCH_ENGINE!H989="","",INDEX(BANK_CLEAN!$C$2:$C$1001,MATCH_ENGINE!H989))</f>
        <v/>
      </c>
      <c r="P989" s="11" t="inlineStr"/>
    </row>
    <row r="990">
      <c r="A990" s="11">
        <f>IF(MATCH_ENGINE!A990="","",MATCH_ENGINE!N990)</f>
        <v/>
      </c>
      <c r="B990" s="11">
        <f>IF(MATCH_ENGINE!A990="","",MATCH_ENGINE!C990)</f>
        <v/>
      </c>
      <c r="C990" s="10">
        <f>IF(MATCH_ENGINE!A990="","",MATCH_ENGINE!B990)</f>
        <v/>
      </c>
      <c r="D990" s="16">
        <f>IF(MATCH_ENGINE!A990="","",MATCH_ENGINE!D990)</f>
        <v/>
      </c>
      <c r="E990" s="11">
        <f>IF(MATCH_ENGINE!A990="","",MATCH_ENGINE!F990)</f>
        <v/>
      </c>
      <c r="F990" s="10">
        <f>IF(MATCH_ENGINE!A990="","",MATCH_ENGINE!I990)</f>
        <v/>
      </c>
      <c r="G990" s="16">
        <f>IF(MATCH_ENGINE!H990="","",IF(MATCH_ENGINE!F990="IN",MATCH_ENGINE!J990,""))</f>
        <v/>
      </c>
      <c r="H990" s="16">
        <f>IF(MATCH_ENGINE!H990="","",IF(MATCH_ENGINE!F990="OUT",MATCH_ENGINE!J990,""))</f>
        <v/>
      </c>
      <c r="I990" s="16">
        <f>IF(MATCH_ENGINE!H990="","",MATCH_ENGINE!J990)</f>
        <v/>
      </c>
      <c r="J990" s="12">
        <f>IF(MATCH_ENGINE!A990="","",MATCH_ENGINE!K990)</f>
        <v/>
      </c>
      <c r="K990" s="11">
        <f>IF(MATCH_ENGINE!A990="","",MATCH_ENGINE!L990)</f>
        <v/>
      </c>
      <c r="L990" s="17">
        <f>IF(MATCH_ENGINE!A990="","",MATCH_ENGINE!M990)</f>
        <v/>
      </c>
      <c r="M990" s="11">
        <f>IF(MATCH_ENGINE!A990="","",GL_CLEAN!F990)</f>
        <v/>
      </c>
      <c r="N990" s="11">
        <f>IF(MATCH_ENGINE!A990="","",GL_CLEAN!G990)</f>
        <v/>
      </c>
      <c r="O990" s="11">
        <f>IF(MATCH_ENGINE!H990="","",INDEX(BANK_CLEAN!$C$2:$C$1001,MATCH_ENGINE!H990))</f>
        <v/>
      </c>
      <c r="P990" s="11" t="inlineStr"/>
    </row>
    <row r="991">
      <c r="A991" s="11">
        <f>IF(MATCH_ENGINE!A991="","",MATCH_ENGINE!N991)</f>
        <v/>
      </c>
      <c r="B991" s="11">
        <f>IF(MATCH_ENGINE!A991="","",MATCH_ENGINE!C991)</f>
        <v/>
      </c>
      <c r="C991" s="10">
        <f>IF(MATCH_ENGINE!A991="","",MATCH_ENGINE!B991)</f>
        <v/>
      </c>
      <c r="D991" s="16">
        <f>IF(MATCH_ENGINE!A991="","",MATCH_ENGINE!D991)</f>
        <v/>
      </c>
      <c r="E991" s="11">
        <f>IF(MATCH_ENGINE!A991="","",MATCH_ENGINE!F991)</f>
        <v/>
      </c>
      <c r="F991" s="10">
        <f>IF(MATCH_ENGINE!A991="","",MATCH_ENGINE!I991)</f>
        <v/>
      </c>
      <c r="G991" s="16">
        <f>IF(MATCH_ENGINE!H991="","",IF(MATCH_ENGINE!F991="IN",MATCH_ENGINE!J991,""))</f>
        <v/>
      </c>
      <c r="H991" s="16">
        <f>IF(MATCH_ENGINE!H991="","",IF(MATCH_ENGINE!F991="OUT",MATCH_ENGINE!J991,""))</f>
        <v/>
      </c>
      <c r="I991" s="16">
        <f>IF(MATCH_ENGINE!H991="","",MATCH_ENGINE!J991)</f>
        <v/>
      </c>
      <c r="J991" s="12">
        <f>IF(MATCH_ENGINE!A991="","",MATCH_ENGINE!K991)</f>
        <v/>
      </c>
      <c r="K991" s="11">
        <f>IF(MATCH_ENGINE!A991="","",MATCH_ENGINE!L991)</f>
        <v/>
      </c>
      <c r="L991" s="17">
        <f>IF(MATCH_ENGINE!A991="","",MATCH_ENGINE!M991)</f>
        <v/>
      </c>
      <c r="M991" s="11">
        <f>IF(MATCH_ENGINE!A991="","",GL_CLEAN!F991)</f>
        <v/>
      </c>
      <c r="N991" s="11">
        <f>IF(MATCH_ENGINE!A991="","",GL_CLEAN!G991)</f>
        <v/>
      </c>
      <c r="O991" s="11">
        <f>IF(MATCH_ENGINE!H991="","",INDEX(BANK_CLEAN!$C$2:$C$1001,MATCH_ENGINE!H991))</f>
        <v/>
      </c>
      <c r="P991" s="11" t="inlineStr"/>
    </row>
    <row r="992">
      <c r="A992" s="11">
        <f>IF(MATCH_ENGINE!A992="","",MATCH_ENGINE!N992)</f>
        <v/>
      </c>
      <c r="B992" s="11">
        <f>IF(MATCH_ENGINE!A992="","",MATCH_ENGINE!C992)</f>
        <v/>
      </c>
      <c r="C992" s="10">
        <f>IF(MATCH_ENGINE!A992="","",MATCH_ENGINE!B992)</f>
        <v/>
      </c>
      <c r="D992" s="16">
        <f>IF(MATCH_ENGINE!A992="","",MATCH_ENGINE!D992)</f>
        <v/>
      </c>
      <c r="E992" s="11">
        <f>IF(MATCH_ENGINE!A992="","",MATCH_ENGINE!F992)</f>
        <v/>
      </c>
      <c r="F992" s="10">
        <f>IF(MATCH_ENGINE!A992="","",MATCH_ENGINE!I992)</f>
        <v/>
      </c>
      <c r="G992" s="16">
        <f>IF(MATCH_ENGINE!H992="","",IF(MATCH_ENGINE!F992="IN",MATCH_ENGINE!J992,""))</f>
        <v/>
      </c>
      <c r="H992" s="16">
        <f>IF(MATCH_ENGINE!H992="","",IF(MATCH_ENGINE!F992="OUT",MATCH_ENGINE!J992,""))</f>
        <v/>
      </c>
      <c r="I992" s="16">
        <f>IF(MATCH_ENGINE!H992="","",MATCH_ENGINE!J992)</f>
        <v/>
      </c>
      <c r="J992" s="12">
        <f>IF(MATCH_ENGINE!A992="","",MATCH_ENGINE!K992)</f>
        <v/>
      </c>
      <c r="K992" s="11">
        <f>IF(MATCH_ENGINE!A992="","",MATCH_ENGINE!L992)</f>
        <v/>
      </c>
      <c r="L992" s="17">
        <f>IF(MATCH_ENGINE!A992="","",MATCH_ENGINE!M992)</f>
        <v/>
      </c>
      <c r="M992" s="11">
        <f>IF(MATCH_ENGINE!A992="","",GL_CLEAN!F992)</f>
        <v/>
      </c>
      <c r="N992" s="11">
        <f>IF(MATCH_ENGINE!A992="","",GL_CLEAN!G992)</f>
        <v/>
      </c>
      <c r="O992" s="11">
        <f>IF(MATCH_ENGINE!H992="","",INDEX(BANK_CLEAN!$C$2:$C$1001,MATCH_ENGINE!H992))</f>
        <v/>
      </c>
      <c r="P992" s="11" t="inlineStr"/>
    </row>
    <row r="993">
      <c r="A993" s="11">
        <f>IF(MATCH_ENGINE!A993="","",MATCH_ENGINE!N993)</f>
        <v/>
      </c>
      <c r="B993" s="11">
        <f>IF(MATCH_ENGINE!A993="","",MATCH_ENGINE!C993)</f>
        <v/>
      </c>
      <c r="C993" s="10">
        <f>IF(MATCH_ENGINE!A993="","",MATCH_ENGINE!B993)</f>
        <v/>
      </c>
      <c r="D993" s="16">
        <f>IF(MATCH_ENGINE!A993="","",MATCH_ENGINE!D993)</f>
        <v/>
      </c>
      <c r="E993" s="11">
        <f>IF(MATCH_ENGINE!A993="","",MATCH_ENGINE!F993)</f>
        <v/>
      </c>
      <c r="F993" s="10">
        <f>IF(MATCH_ENGINE!A993="","",MATCH_ENGINE!I993)</f>
        <v/>
      </c>
      <c r="G993" s="16">
        <f>IF(MATCH_ENGINE!H993="","",IF(MATCH_ENGINE!F993="IN",MATCH_ENGINE!J993,""))</f>
        <v/>
      </c>
      <c r="H993" s="16">
        <f>IF(MATCH_ENGINE!H993="","",IF(MATCH_ENGINE!F993="OUT",MATCH_ENGINE!J993,""))</f>
        <v/>
      </c>
      <c r="I993" s="16">
        <f>IF(MATCH_ENGINE!H993="","",MATCH_ENGINE!J993)</f>
        <v/>
      </c>
      <c r="J993" s="12">
        <f>IF(MATCH_ENGINE!A993="","",MATCH_ENGINE!K993)</f>
        <v/>
      </c>
      <c r="K993" s="11">
        <f>IF(MATCH_ENGINE!A993="","",MATCH_ENGINE!L993)</f>
        <v/>
      </c>
      <c r="L993" s="17">
        <f>IF(MATCH_ENGINE!A993="","",MATCH_ENGINE!M993)</f>
        <v/>
      </c>
      <c r="M993" s="11">
        <f>IF(MATCH_ENGINE!A993="","",GL_CLEAN!F993)</f>
        <v/>
      </c>
      <c r="N993" s="11">
        <f>IF(MATCH_ENGINE!A993="","",GL_CLEAN!G993)</f>
        <v/>
      </c>
      <c r="O993" s="11">
        <f>IF(MATCH_ENGINE!H993="","",INDEX(BANK_CLEAN!$C$2:$C$1001,MATCH_ENGINE!H993))</f>
        <v/>
      </c>
      <c r="P993" s="11" t="inlineStr"/>
    </row>
    <row r="994">
      <c r="A994" s="11">
        <f>IF(MATCH_ENGINE!A994="","",MATCH_ENGINE!N994)</f>
        <v/>
      </c>
      <c r="B994" s="11">
        <f>IF(MATCH_ENGINE!A994="","",MATCH_ENGINE!C994)</f>
        <v/>
      </c>
      <c r="C994" s="10">
        <f>IF(MATCH_ENGINE!A994="","",MATCH_ENGINE!B994)</f>
        <v/>
      </c>
      <c r="D994" s="16">
        <f>IF(MATCH_ENGINE!A994="","",MATCH_ENGINE!D994)</f>
        <v/>
      </c>
      <c r="E994" s="11">
        <f>IF(MATCH_ENGINE!A994="","",MATCH_ENGINE!F994)</f>
        <v/>
      </c>
      <c r="F994" s="10">
        <f>IF(MATCH_ENGINE!A994="","",MATCH_ENGINE!I994)</f>
        <v/>
      </c>
      <c r="G994" s="16">
        <f>IF(MATCH_ENGINE!H994="","",IF(MATCH_ENGINE!F994="IN",MATCH_ENGINE!J994,""))</f>
        <v/>
      </c>
      <c r="H994" s="16">
        <f>IF(MATCH_ENGINE!H994="","",IF(MATCH_ENGINE!F994="OUT",MATCH_ENGINE!J994,""))</f>
        <v/>
      </c>
      <c r="I994" s="16">
        <f>IF(MATCH_ENGINE!H994="","",MATCH_ENGINE!J994)</f>
        <v/>
      </c>
      <c r="J994" s="12">
        <f>IF(MATCH_ENGINE!A994="","",MATCH_ENGINE!K994)</f>
        <v/>
      </c>
      <c r="K994" s="11">
        <f>IF(MATCH_ENGINE!A994="","",MATCH_ENGINE!L994)</f>
        <v/>
      </c>
      <c r="L994" s="17">
        <f>IF(MATCH_ENGINE!A994="","",MATCH_ENGINE!M994)</f>
        <v/>
      </c>
      <c r="M994" s="11">
        <f>IF(MATCH_ENGINE!A994="","",GL_CLEAN!F994)</f>
        <v/>
      </c>
      <c r="N994" s="11">
        <f>IF(MATCH_ENGINE!A994="","",GL_CLEAN!G994)</f>
        <v/>
      </c>
      <c r="O994" s="11">
        <f>IF(MATCH_ENGINE!H994="","",INDEX(BANK_CLEAN!$C$2:$C$1001,MATCH_ENGINE!H994))</f>
        <v/>
      </c>
      <c r="P994" s="11" t="inlineStr"/>
    </row>
    <row r="995">
      <c r="A995" s="11">
        <f>IF(MATCH_ENGINE!A995="","",MATCH_ENGINE!N995)</f>
        <v/>
      </c>
      <c r="B995" s="11">
        <f>IF(MATCH_ENGINE!A995="","",MATCH_ENGINE!C995)</f>
        <v/>
      </c>
      <c r="C995" s="10">
        <f>IF(MATCH_ENGINE!A995="","",MATCH_ENGINE!B995)</f>
        <v/>
      </c>
      <c r="D995" s="16">
        <f>IF(MATCH_ENGINE!A995="","",MATCH_ENGINE!D995)</f>
        <v/>
      </c>
      <c r="E995" s="11">
        <f>IF(MATCH_ENGINE!A995="","",MATCH_ENGINE!F995)</f>
        <v/>
      </c>
      <c r="F995" s="10">
        <f>IF(MATCH_ENGINE!A995="","",MATCH_ENGINE!I995)</f>
        <v/>
      </c>
      <c r="G995" s="16">
        <f>IF(MATCH_ENGINE!H995="","",IF(MATCH_ENGINE!F995="IN",MATCH_ENGINE!J995,""))</f>
        <v/>
      </c>
      <c r="H995" s="16">
        <f>IF(MATCH_ENGINE!H995="","",IF(MATCH_ENGINE!F995="OUT",MATCH_ENGINE!J995,""))</f>
        <v/>
      </c>
      <c r="I995" s="16">
        <f>IF(MATCH_ENGINE!H995="","",MATCH_ENGINE!J995)</f>
        <v/>
      </c>
      <c r="J995" s="12">
        <f>IF(MATCH_ENGINE!A995="","",MATCH_ENGINE!K995)</f>
        <v/>
      </c>
      <c r="K995" s="11">
        <f>IF(MATCH_ENGINE!A995="","",MATCH_ENGINE!L995)</f>
        <v/>
      </c>
      <c r="L995" s="17">
        <f>IF(MATCH_ENGINE!A995="","",MATCH_ENGINE!M995)</f>
        <v/>
      </c>
      <c r="M995" s="11">
        <f>IF(MATCH_ENGINE!A995="","",GL_CLEAN!F995)</f>
        <v/>
      </c>
      <c r="N995" s="11">
        <f>IF(MATCH_ENGINE!A995="","",GL_CLEAN!G995)</f>
        <v/>
      </c>
      <c r="O995" s="11">
        <f>IF(MATCH_ENGINE!H995="","",INDEX(BANK_CLEAN!$C$2:$C$1001,MATCH_ENGINE!H995))</f>
        <v/>
      </c>
      <c r="P995" s="11" t="inlineStr"/>
    </row>
    <row r="996">
      <c r="A996" s="11">
        <f>IF(MATCH_ENGINE!A996="","",MATCH_ENGINE!N996)</f>
        <v/>
      </c>
      <c r="B996" s="11">
        <f>IF(MATCH_ENGINE!A996="","",MATCH_ENGINE!C996)</f>
        <v/>
      </c>
      <c r="C996" s="10">
        <f>IF(MATCH_ENGINE!A996="","",MATCH_ENGINE!B996)</f>
        <v/>
      </c>
      <c r="D996" s="16">
        <f>IF(MATCH_ENGINE!A996="","",MATCH_ENGINE!D996)</f>
        <v/>
      </c>
      <c r="E996" s="11">
        <f>IF(MATCH_ENGINE!A996="","",MATCH_ENGINE!F996)</f>
        <v/>
      </c>
      <c r="F996" s="10">
        <f>IF(MATCH_ENGINE!A996="","",MATCH_ENGINE!I996)</f>
        <v/>
      </c>
      <c r="G996" s="16">
        <f>IF(MATCH_ENGINE!H996="","",IF(MATCH_ENGINE!F996="IN",MATCH_ENGINE!J996,""))</f>
        <v/>
      </c>
      <c r="H996" s="16">
        <f>IF(MATCH_ENGINE!H996="","",IF(MATCH_ENGINE!F996="OUT",MATCH_ENGINE!J996,""))</f>
        <v/>
      </c>
      <c r="I996" s="16">
        <f>IF(MATCH_ENGINE!H996="","",MATCH_ENGINE!J996)</f>
        <v/>
      </c>
      <c r="J996" s="12">
        <f>IF(MATCH_ENGINE!A996="","",MATCH_ENGINE!K996)</f>
        <v/>
      </c>
      <c r="K996" s="11">
        <f>IF(MATCH_ENGINE!A996="","",MATCH_ENGINE!L996)</f>
        <v/>
      </c>
      <c r="L996" s="17">
        <f>IF(MATCH_ENGINE!A996="","",MATCH_ENGINE!M996)</f>
        <v/>
      </c>
      <c r="M996" s="11">
        <f>IF(MATCH_ENGINE!A996="","",GL_CLEAN!F996)</f>
        <v/>
      </c>
      <c r="N996" s="11">
        <f>IF(MATCH_ENGINE!A996="","",GL_CLEAN!G996)</f>
        <v/>
      </c>
      <c r="O996" s="11">
        <f>IF(MATCH_ENGINE!H996="","",INDEX(BANK_CLEAN!$C$2:$C$1001,MATCH_ENGINE!H996))</f>
        <v/>
      </c>
      <c r="P996" s="11" t="inlineStr"/>
    </row>
    <row r="997">
      <c r="A997" s="11">
        <f>IF(MATCH_ENGINE!A997="","",MATCH_ENGINE!N997)</f>
        <v/>
      </c>
      <c r="B997" s="11">
        <f>IF(MATCH_ENGINE!A997="","",MATCH_ENGINE!C997)</f>
        <v/>
      </c>
      <c r="C997" s="10">
        <f>IF(MATCH_ENGINE!A997="","",MATCH_ENGINE!B997)</f>
        <v/>
      </c>
      <c r="D997" s="16">
        <f>IF(MATCH_ENGINE!A997="","",MATCH_ENGINE!D997)</f>
        <v/>
      </c>
      <c r="E997" s="11">
        <f>IF(MATCH_ENGINE!A997="","",MATCH_ENGINE!F997)</f>
        <v/>
      </c>
      <c r="F997" s="10">
        <f>IF(MATCH_ENGINE!A997="","",MATCH_ENGINE!I997)</f>
        <v/>
      </c>
      <c r="G997" s="16">
        <f>IF(MATCH_ENGINE!H997="","",IF(MATCH_ENGINE!F997="IN",MATCH_ENGINE!J997,""))</f>
        <v/>
      </c>
      <c r="H997" s="16">
        <f>IF(MATCH_ENGINE!H997="","",IF(MATCH_ENGINE!F997="OUT",MATCH_ENGINE!J997,""))</f>
        <v/>
      </c>
      <c r="I997" s="16">
        <f>IF(MATCH_ENGINE!H997="","",MATCH_ENGINE!J997)</f>
        <v/>
      </c>
      <c r="J997" s="12">
        <f>IF(MATCH_ENGINE!A997="","",MATCH_ENGINE!K997)</f>
        <v/>
      </c>
      <c r="K997" s="11">
        <f>IF(MATCH_ENGINE!A997="","",MATCH_ENGINE!L997)</f>
        <v/>
      </c>
      <c r="L997" s="17">
        <f>IF(MATCH_ENGINE!A997="","",MATCH_ENGINE!M997)</f>
        <v/>
      </c>
      <c r="M997" s="11">
        <f>IF(MATCH_ENGINE!A997="","",GL_CLEAN!F997)</f>
        <v/>
      </c>
      <c r="N997" s="11">
        <f>IF(MATCH_ENGINE!A997="","",GL_CLEAN!G997)</f>
        <v/>
      </c>
      <c r="O997" s="11">
        <f>IF(MATCH_ENGINE!H997="","",INDEX(BANK_CLEAN!$C$2:$C$1001,MATCH_ENGINE!H997))</f>
        <v/>
      </c>
      <c r="P997" s="11" t="inlineStr"/>
    </row>
    <row r="998">
      <c r="A998" s="11">
        <f>IF(MATCH_ENGINE!A998="","",MATCH_ENGINE!N998)</f>
        <v/>
      </c>
      <c r="B998" s="11">
        <f>IF(MATCH_ENGINE!A998="","",MATCH_ENGINE!C998)</f>
        <v/>
      </c>
      <c r="C998" s="10">
        <f>IF(MATCH_ENGINE!A998="","",MATCH_ENGINE!B998)</f>
        <v/>
      </c>
      <c r="D998" s="16">
        <f>IF(MATCH_ENGINE!A998="","",MATCH_ENGINE!D998)</f>
        <v/>
      </c>
      <c r="E998" s="11">
        <f>IF(MATCH_ENGINE!A998="","",MATCH_ENGINE!F998)</f>
        <v/>
      </c>
      <c r="F998" s="10">
        <f>IF(MATCH_ENGINE!A998="","",MATCH_ENGINE!I998)</f>
        <v/>
      </c>
      <c r="G998" s="16">
        <f>IF(MATCH_ENGINE!H998="","",IF(MATCH_ENGINE!F998="IN",MATCH_ENGINE!J998,""))</f>
        <v/>
      </c>
      <c r="H998" s="16">
        <f>IF(MATCH_ENGINE!H998="","",IF(MATCH_ENGINE!F998="OUT",MATCH_ENGINE!J998,""))</f>
        <v/>
      </c>
      <c r="I998" s="16">
        <f>IF(MATCH_ENGINE!H998="","",MATCH_ENGINE!J998)</f>
        <v/>
      </c>
      <c r="J998" s="12">
        <f>IF(MATCH_ENGINE!A998="","",MATCH_ENGINE!K998)</f>
        <v/>
      </c>
      <c r="K998" s="11">
        <f>IF(MATCH_ENGINE!A998="","",MATCH_ENGINE!L998)</f>
        <v/>
      </c>
      <c r="L998" s="17">
        <f>IF(MATCH_ENGINE!A998="","",MATCH_ENGINE!M998)</f>
        <v/>
      </c>
      <c r="M998" s="11">
        <f>IF(MATCH_ENGINE!A998="","",GL_CLEAN!F998)</f>
        <v/>
      </c>
      <c r="N998" s="11">
        <f>IF(MATCH_ENGINE!A998="","",GL_CLEAN!G998)</f>
        <v/>
      </c>
      <c r="O998" s="11">
        <f>IF(MATCH_ENGINE!H998="","",INDEX(BANK_CLEAN!$C$2:$C$1001,MATCH_ENGINE!H998))</f>
        <v/>
      </c>
      <c r="P998" s="11" t="inlineStr"/>
    </row>
    <row r="999">
      <c r="A999" s="11">
        <f>IF(MATCH_ENGINE!A999="","",MATCH_ENGINE!N999)</f>
        <v/>
      </c>
      <c r="B999" s="11">
        <f>IF(MATCH_ENGINE!A999="","",MATCH_ENGINE!C999)</f>
        <v/>
      </c>
      <c r="C999" s="10">
        <f>IF(MATCH_ENGINE!A999="","",MATCH_ENGINE!B999)</f>
        <v/>
      </c>
      <c r="D999" s="16">
        <f>IF(MATCH_ENGINE!A999="","",MATCH_ENGINE!D999)</f>
        <v/>
      </c>
      <c r="E999" s="11">
        <f>IF(MATCH_ENGINE!A999="","",MATCH_ENGINE!F999)</f>
        <v/>
      </c>
      <c r="F999" s="10">
        <f>IF(MATCH_ENGINE!A999="","",MATCH_ENGINE!I999)</f>
        <v/>
      </c>
      <c r="G999" s="16">
        <f>IF(MATCH_ENGINE!H999="","",IF(MATCH_ENGINE!F999="IN",MATCH_ENGINE!J999,""))</f>
        <v/>
      </c>
      <c r="H999" s="16">
        <f>IF(MATCH_ENGINE!H999="","",IF(MATCH_ENGINE!F999="OUT",MATCH_ENGINE!J999,""))</f>
        <v/>
      </c>
      <c r="I999" s="16">
        <f>IF(MATCH_ENGINE!H999="","",MATCH_ENGINE!J999)</f>
        <v/>
      </c>
      <c r="J999" s="12">
        <f>IF(MATCH_ENGINE!A999="","",MATCH_ENGINE!K999)</f>
        <v/>
      </c>
      <c r="K999" s="11">
        <f>IF(MATCH_ENGINE!A999="","",MATCH_ENGINE!L999)</f>
        <v/>
      </c>
      <c r="L999" s="17">
        <f>IF(MATCH_ENGINE!A999="","",MATCH_ENGINE!M999)</f>
        <v/>
      </c>
      <c r="M999" s="11">
        <f>IF(MATCH_ENGINE!A999="","",GL_CLEAN!F999)</f>
        <v/>
      </c>
      <c r="N999" s="11">
        <f>IF(MATCH_ENGINE!A999="","",GL_CLEAN!G999)</f>
        <v/>
      </c>
      <c r="O999" s="11">
        <f>IF(MATCH_ENGINE!H999="","",INDEX(BANK_CLEAN!$C$2:$C$1001,MATCH_ENGINE!H999))</f>
        <v/>
      </c>
      <c r="P999" s="11" t="inlineStr"/>
    </row>
    <row r="1000">
      <c r="A1000" s="11">
        <f>IF(MATCH_ENGINE!A1000="","",MATCH_ENGINE!N1000)</f>
        <v/>
      </c>
      <c r="B1000" s="11">
        <f>IF(MATCH_ENGINE!A1000="","",MATCH_ENGINE!C1000)</f>
        <v/>
      </c>
      <c r="C1000" s="10">
        <f>IF(MATCH_ENGINE!A1000="","",MATCH_ENGINE!B1000)</f>
        <v/>
      </c>
      <c r="D1000" s="16">
        <f>IF(MATCH_ENGINE!A1000="","",MATCH_ENGINE!D1000)</f>
        <v/>
      </c>
      <c r="E1000" s="11">
        <f>IF(MATCH_ENGINE!A1000="","",MATCH_ENGINE!F1000)</f>
        <v/>
      </c>
      <c r="F1000" s="10">
        <f>IF(MATCH_ENGINE!A1000="","",MATCH_ENGINE!I1000)</f>
        <v/>
      </c>
      <c r="G1000" s="16">
        <f>IF(MATCH_ENGINE!H1000="","",IF(MATCH_ENGINE!F1000="IN",MATCH_ENGINE!J1000,""))</f>
        <v/>
      </c>
      <c r="H1000" s="16">
        <f>IF(MATCH_ENGINE!H1000="","",IF(MATCH_ENGINE!F1000="OUT",MATCH_ENGINE!J1000,""))</f>
        <v/>
      </c>
      <c r="I1000" s="16">
        <f>IF(MATCH_ENGINE!H1000="","",MATCH_ENGINE!J1000)</f>
        <v/>
      </c>
      <c r="J1000" s="12">
        <f>IF(MATCH_ENGINE!A1000="","",MATCH_ENGINE!K1000)</f>
        <v/>
      </c>
      <c r="K1000" s="11">
        <f>IF(MATCH_ENGINE!A1000="","",MATCH_ENGINE!L1000)</f>
        <v/>
      </c>
      <c r="L1000" s="17">
        <f>IF(MATCH_ENGINE!A1000="","",MATCH_ENGINE!M1000)</f>
        <v/>
      </c>
      <c r="M1000" s="11">
        <f>IF(MATCH_ENGINE!A1000="","",GL_CLEAN!F1000)</f>
        <v/>
      </c>
      <c r="N1000" s="11">
        <f>IF(MATCH_ENGINE!A1000="","",GL_CLEAN!G1000)</f>
        <v/>
      </c>
      <c r="O1000" s="11">
        <f>IF(MATCH_ENGINE!H1000="","",INDEX(BANK_CLEAN!$C$2:$C$1001,MATCH_ENGINE!H1000))</f>
        <v/>
      </c>
      <c r="P1000" s="11" t="inlineStr"/>
    </row>
    <row r="1001">
      <c r="A1001" s="11">
        <f>IF(MATCH_ENGINE!A1001="","",MATCH_ENGINE!N1001)</f>
        <v/>
      </c>
      <c r="B1001" s="11">
        <f>IF(MATCH_ENGINE!A1001="","",MATCH_ENGINE!C1001)</f>
        <v/>
      </c>
      <c r="C1001" s="10">
        <f>IF(MATCH_ENGINE!A1001="","",MATCH_ENGINE!B1001)</f>
        <v/>
      </c>
      <c r="D1001" s="16">
        <f>IF(MATCH_ENGINE!A1001="","",MATCH_ENGINE!D1001)</f>
        <v/>
      </c>
      <c r="E1001" s="11">
        <f>IF(MATCH_ENGINE!A1001="","",MATCH_ENGINE!F1001)</f>
        <v/>
      </c>
      <c r="F1001" s="10">
        <f>IF(MATCH_ENGINE!A1001="","",MATCH_ENGINE!I1001)</f>
        <v/>
      </c>
      <c r="G1001" s="16">
        <f>IF(MATCH_ENGINE!H1001="","",IF(MATCH_ENGINE!F1001="IN",MATCH_ENGINE!J1001,""))</f>
        <v/>
      </c>
      <c r="H1001" s="16">
        <f>IF(MATCH_ENGINE!H1001="","",IF(MATCH_ENGINE!F1001="OUT",MATCH_ENGINE!J1001,""))</f>
        <v/>
      </c>
      <c r="I1001" s="16">
        <f>IF(MATCH_ENGINE!H1001="","",MATCH_ENGINE!J1001)</f>
        <v/>
      </c>
      <c r="J1001" s="12">
        <f>IF(MATCH_ENGINE!A1001="","",MATCH_ENGINE!K1001)</f>
        <v/>
      </c>
      <c r="K1001" s="11">
        <f>IF(MATCH_ENGINE!A1001="","",MATCH_ENGINE!L1001)</f>
        <v/>
      </c>
      <c r="L1001" s="17">
        <f>IF(MATCH_ENGINE!A1001="","",MATCH_ENGINE!M1001)</f>
        <v/>
      </c>
      <c r="M1001" s="11">
        <f>IF(MATCH_ENGINE!A1001="","",GL_CLEAN!F1001)</f>
        <v/>
      </c>
      <c r="N1001" s="11">
        <f>IF(MATCH_ENGINE!A1001="","",GL_CLEAN!G1001)</f>
        <v/>
      </c>
      <c r="O1001" s="11">
        <f>IF(MATCH_ENGINE!H1001="","",INDEX(BANK_CLEAN!$C$2:$C$1001,MATCH_ENGINE!H1001))</f>
        <v/>
      </c>
      <c r="P1001" s="11" t="inlineStr"/>
    </row>
  </sheetData>
  <conditionalFormatting sqref="A2:A1001">
    <cfRule type="cellIs" priority="1" operator="equal" dxfId="0">
      <formula>"Matched"</formula>
    </cfRule>
    <cfRule type="cellIs" priority="2" operator="equal" dxfId="1">
      <formula>"Near Match"</formula>
    </cfRule>
    <cfRule type="cellIs" priority="3" operator="equal" dxfId="2">
      <formula>"Unmatched GL"</formula>
    </cfRule>
    <cfRule type="cellIs" priority="4" operator="equal" dxfId="3">
      <formula>"Unmatched Bank"</formula>
    </cfRule>
  </conditionalFormatting>
  <conditionalFormatting sqref="A2:P1001">
    <cfRule type="expression" priority="5" dxfId="4">
      <formula>$A2="Matched"</formula>
    </cfRule>
    <cfRule type="expression" priority="6" dxfId="5">
      <formula>$A2="Near Match"</formula>
    </cfRule>
    <cfRule type="expression" priority="7" dxfId="6">
      <formula>$A2="Unmatched GL"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A3A7C"/>
    <outlinePr summaryBelow="1" summaryRight="1"/>
    <pageSetUpPr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" customWidth="1" min="8" max="8"/>
  </cols>
  <sheetData>
    <row r="1">
      <c r="A1" s="18" t="n"/>
      <c r="B1" s="18" t="n"/>
      <c r="C1" s="18" t="n"/>
      <c r="D1" s="18" t="n"/>
      <c r="E1" s="18" t="n"/>
      <c r="F1" s="18" t="n"/>
      <c r="G1" s="18" t="n"/>
      <c r="H1" s="18" t="n"/>
    </row>
    <row r="2">
      <c r="A2" s="19" t="n"/>
      <c r="B2" s="20">
        <f>Co_Name</f>
        <v/>
      </c>
      <c r="E2" s="21" t="inlineStr">
        <is>
          <t>تقرير مطابقة الحسابات البنكية</t>
        </is>
      </c>
      <c r="H2" s="19" t="n"/>
    </row>
    <row r="3">
      <c r="A3" s="19" t="n"/>
      <c r="E3" s="22">
        <f>Co_BankName&amp;" — "&amp;Co_IBAN&amp;" — "&amp;Rpt_Period</f>
        <v/>
      </c>
      <c r="H3" s="19" t="n"/>
    </row>
    <row r="4" ht="4" customHeight="1">
      <c r="A4" s="23" t="n"/>
      <c r="B4" s="23" t="n"/>
      <c r="C4" s="23" t="n"/>
      <c r="D4" s="23" t="n"/>
      <c r="E4" s="23" t="n"/>
      <c r="F4" s="23" t="n"/>
      <c r="G4" s="23" t="n"/>
      <c r="H4" s="23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</row>
    <row r="6">
      <c r="A6" s="18" t="n"/>
      <c r="B6" s="24" t="inlineStr">
        <is>
          <t>مؤشرات الأداء الرئيسية — KEY PERFORMANCE INDICATORS</t>
        </is>
      </c>
      <c r="H6" s="18" t="n"/>
    </row>
    <row r="7">
      <c r="A7" s="18" t="n"/>
      <c r="B7" s="25" t="inlineStr">
        <is>
          <t>معدل المطابقة</t>
        </is>
      </c>
      <c r="C7" s="25" t="inlineStr">
        <is>
          <t>مطابق</t>
        </is>
      </c>
      <c r="D7" s="25" t="inlineStr">
        <is>
          <t>قريب</t>
        </is>
      </c>
      <c r="E7" s="25" t="inlineStr">
        <is>
          <t>GL غير مطابق</t>
        </is>
      </c>
      <c r="F7" s="25" t="inlineStr">
        <is>
          <t>بنك غير مطابق</t>
        </is>
      </c>
      <c r="G7" s="25" t="inlineStr">
        <is>
          <t>إجمالي الاستثناءات</t>
        </is>
      </c>
      <c r="H7" s="18" t="n"/>
    </row>
    <row r="8">
      <c r="A8" s="18" t="n"/>
      <c r="B8" s="26" t="inlineStr">
        <is>
          <t>MATCH RATE</t>
        </is>
      </c>
      <c r="C8" s="26" t="inlineStr">
        <is>
          <t>MATCHED</t>
        </is>
      </c>
      <c r="D8" s="26" t="inlineStr">
        <is>
          <t>NEAR MATCH</t>
        </is>
      </c>
      <c r="E8" s="26" t="inlineStr">
        <is>
          <t>UNMATCHED GL</t>
        </is>
      </c>
      <c r="F8" s="26" t="inlineStr">
        <is>
          <t>UNMATCHED BANK</t>
        </is>
      </c>
      <c r="G8" s="26" t="inlineStr">
        <is>
          <t>EXCEPTIONS</t>
        </is>
      </c>
      <c r="H8" s="18" t="n"/>
    </row>
    <row r="9" ht="40" customHeight="1">
      <c r="A9" s="18" t="n"/>
      <c r="B9" s="27">
        <f>IFERROR((COUNTIF(MATCH_ENGINE!N$2:N$1001,"Matched")+COUNTIF(MATCH_ENGINE!N$2:N$1001,"Near Match"))/COUNTIF(MATCH_ENGINE!N$2:N$1001,"&lt;&gt;"),0)</f>
        <v/>
      </c>
      <c r="C9" s="28">
        <f>COUNTIF(MATCH_ENGINE!N$2:N$1001,"Matched")</f>
        <v/>
      </c>
      <c r="D9" s="29">
        <f>COUNTIF(MATCH_ENGINE!N$2:N$1001,"Near Match")</f>
        <v/>
      </c>
      <c r="E9" s="30">
        <f>COUNTIF(MATCH_ENGINE!N$2:N$1001,"Unmatched GL")</f>
        <v/>
      </c>
      <c r="F9" s="31">
        <f>COUNTIFS(BANK_CLEAN!A$2:A$1001,"&lt;&gt;",BANK_CLEAN!L$2:L$1001,"")-COUNTIF(BANK_CLEAN!A$2:A$1001,"")</f>
        <v/>
      </c>
      <c r="G9" s="30">
        <f>COUNTIF(MATCH_ENGINE!N$2:N$1001,"Unmatched GL")+COUNTIF(MATCH_ENGINE!N$2:N$1001,"Near Match")</f>
        <v/>
      </c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24" t="inlineStr">
        <is>
          <t>بيان التوفيق — RECONCILIATION WATERFALL</t>
        </is>
      </c>
      <c r="E12" s="18" t="n"/>
      <c r="F12" s="18" t="n"/>
      <c r="G12" s="18" t="n"/>
      <c r="H12" s="18" t="n"/>
    </row>
    <row r="13" ht="28" customHeight="1">
      <c r="A13" s="18" t="n"/>
      <c r="B13" s="32">
        <f>SUMPRODUCT((BANK_CLEAN!A$2:A$1001&lt;&gt;"")*BANK_CLEAN!E$2:E$1001)</f>
        <v/>
      </c>
      <c r="C13" s="33" t="inlineStr">
        <is>
          <t>الدائن البنكي</t>
        </is>
      </c>
      <c r="D13" s="34" t="inlineStr">
        <is>
          <t>Bank Credit</t>
        </is>
      </c>
      <c r="E13" s="18" t="n"/>
      <c r="F13" s="18" t="n"/>
      <c r="G13" s="18" t="n"/>
      <c r="H13" s="18" t="n"/>
    </row>
    <row r="14" ht="28" customHeight="1">
      <c r="A14" s="18" t="n"/>
      <c r="B14" s="35">
        <f>SUMPRODUCT((BANK_CLEAN!A$2:A$1001&lt;&gt;"")*BANK_CLEAN!F$2:F$1001)</f>
        <v/>
      </c>
      <c r="C14" s="36" t="inlineStr">
        <is>
          <t>ناقص: المدين البنكي</t>
        </is>
      </c>
      <c r="D14" s="34" t="inlineStr">
        <is>
          <t>Less: Bank Debit</t>
        </is>
      </c>
      <c r="E14" s="18" t="n"/>
      <c r="F14" s="18" t="n"/>
      <c r="G14" s="18" t="n"/>
      <c r="H14" s="18" t="n"/>
    </row>
    <row r="15" ht="28" customHeight="1">
      <c r="A15" s="18" t="n"/>
      <c r="B15" s="37">
        <f>B14-B15</f>
        <v/>
      </c>
      <c r="C15" s="33" t="inlineStr">
        <is>
          <t>صافي حركة البنك</t>
        </is>
      </c>
      <c r="D15" s="34" t="inlineStr">
        <is>
          <t>Net Bank Movement</t>
        </is>
      </c>
      <c r="E15" s="18" t="n"/>
      <c r="F15" s="18" t="n"/>
      <c r="G15" s="18" t="n"/>
      <c r="H15" s="18" t="n"/>
    </row>
    <row r="16" ht="28" customHeight="1">
      <c r="A16" s="18" t="n"/>
      <c r="B16" s="32">
        <f>SUMPRODUCT((GL_CLEAN!J$2:J$1001="IN")*(GL_CLEAN!A$2:A$1001&lt;&gt;"")*GL_CLEAN!H$2:H$1001)</f>
        <v/>
      </c>
      <c r="C16" s="33" t="inlineStr">
        <is>
          <t>GL الوارد</t>
        </is>
      </c>
      <c r="D16" s="34" t="inlineStr">
        <is>
          <t>GL Inward</t>
        </is>
      </c>
      <c r="E16" s="18" t="n"/>
      <c r="F16" s="18" t="n"/>
      <c r="G16" s="18" t="n"/>
      <c r="H16" s="18" t="n"/>
    </row>
    <row r="17" ht="28" customHeight="1">
      <c r="A17" s="18" t="n"/>
      <c r="B17" s="35">
        <f>SUMPRODUCT((GL_CLEAN!J$2:J$1001="OUT")*(GL_CLEAN!A$2:A$1001&lt;&gt;"")*ABS(GL_CLEAN!H$2:H$1001))</f>
        <v/>
      </c>
      <c r="C17" s="36" t="inlineStr">
        <is>
          <t>ناقص: GL الصادر</t>
        </is>
      </c>
      <c r="D17" s="34" t="inlineStr">
        <is>
          <t>GL Outward</t>
        </is>
      </c>
      <c r="E17" s="18" t="n"/>
      <c r="F17" s="18" t="n"/>
      <c r="G17" s="18" t="n"/>
      <c r="H17" s="18" t="n"/>
    </row>
    <row r="18" ht="28" customHeight="1">
      <c r="A18" s="18" t="n"/>
      <c r="B18" s="37">
        <f>B17-B18</f>
        <v/>
      </c>
      <c r="C18" s="33" t="inlineStr">
        <is>
          <t>صافي حركة GL</t>
        </is>
      </c>
      <c r="D18" s="34" t="inlineStr">
        <is>
          <t>Net GL Movement</t>
        </is>
      </c>
      <c r="E18" s="18" t="n"/>
      <c r="F18" s="18" t="n"/>
      <c r="G18" s="18" t="n"/>
      <c r="H18" s="18" t="n"/>
    </row>
    <row r="19" ht="28" customHeight="1">
      <c r="A19" s="18" t="n"/>
      <c r="B19" s="38">
        <f>ABS(B16-B19)</f>
        <v/>
      </c>
      <c r="C19" s="39" t="inlineStr">
        <is>
          <t>الفرق (بنك - GL)</t>
        </is>
      </c>
      <c r="D19" s="40" t="inlineStr">
        <is>
          <t>Difference</t>
        </is>
      </c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24" t="inlineStr">
        <is>
          <t>ملخص الحالات — STATUS SUMMARY</t>
        </is>
      </c>
      <c r="E22" s="18" t="n"/>
      <c r="F22" s="18" t="n"/>
      <c r="G22" s="18" t="n"/>
      <c r="H22" s="18" t="n"/>
    </row>
    <row r="23" ht="45" customHeight="1">
      <c r="A23" s="18" t="n"/>
      <c r="B23" s="41">
        <f>COUNTIF(MATCH_ENGINE!N$2:N$1001,"Matched")</f>
        <v/>
      </c>
      <c r="C23" s="42">
        <f>COUNTIF(MATCH_ENGINE!N$2:N$1001,"Near Match")</f>
        <v/>
      </c>
      <c r="D23" s="43">
        <f>COUNTIF(MATCH_ENGINE!N$2:N$1001,"Unmatched GL")</f>
        <v/>
      </c>
      <c r="E23" s="44">
        <f>COUNTIFS(BANK_CLEAN!A$2:A$1001,"&lt;&gt;",BANK_CLEAN!L$2:L$1001,"")-COUNTIF(BANK_CLEAN!A$2:A$1001,"")</f>
        <v/>
      </c>
      <c r="F23" s="18" t="n"/>
      <c r="G23" s="18" t="n"/>
      <c r="H23" s="18" t="n"/>
    </row>
    <row r="24">
      <c r="A24" s="18" t="n"/>
      <c r="B24" s="45" t="inlineStr">
        <is>
          <t>مطابق</t>
        </is>
      </c>
      <c r="C24" s="46" t="inlineStr">
        <is>
          <t>قريب</t>
        </is>
      </c>
      <c r="D24" s="47" t="inlineStr">
        <is>
          <t>GL غير مطابق</t>
        </is>
      </c>
      <c r="E24" s="48" t="inlineStr">
        <is>
          <t>بنك غير مطابق</t>
        </is>
      </c>
      <c r="F24" s="18" t="n"/>
      <c r="G24" s="18" t="n"/>
      <c r="H24" s="18" t="n"/>
    </row>
    <row r="25">
      <c r="A25" s="18" t="n"/>
      <c r="B25" s="49" t="inlineStr">
        <is>
          <t>MATCHED</t>
        </is>
      </c>
      <c r="C25" s="50" t="inlineStr">
        <is>
          <t>NEAR MATCH</t>
        </is>
      </c>
      <c r="D25" s="51" t="inlineStr">
        <is>
          <t>UNMATCHED GL</t>
        </is>
      </c>
      <c r="E25" s="52" t="inlineStr">
        <is>
          <t>UNMATCHED BANK</t>
        </is>
      </c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24" t="inlineStr">
        <is>
          <t>التعرض للاستثناءات — EXCEPTION EXPOSURE</t>
        </is>
      </c>
      <c r="E28" s="18" t="n"/>
      <c r="F28" s="18" t="n"/>
      <c r="G28" s="18" t="n"/>
      <c r="H28" s="18" t="n"/>
    </row>
    <row r="29" ht="28" customHeight="1">
      <c r="A29" s="18" t="n"/>
      <c r="B29" s="53">
        <f>SUMPRODUCT((RECON_RESULTS!A$2:A$1001="Unmatched Bank")*(RECON_RESULTS!I$2:I$1001))</f>
        <v/>
      </c>
      <c r="C29" s="54" t="inlineStr">
        <is>
          <t>إجمالي البنك غير المطابق</t>
        </is>
      </c>
      <c r="D29" s="55" t="inlineStr">
        <is>
          <t>Unmatched Bank Value</t>
        </is>
      </c>
      <c r="E29" s="18" t="n"/>
      <c r="F29" s="18" t="n"/>
      <c r="G29" s="18" t="n"/>
      <c r="H29" s="18" t="n"/>
    </row>
    <row r="30" ht="28" customHeight="1">
      <c r="A30" s="18" t="n"/>
      <c r="B30" s="53">
        <f>SUMPRODUCT((RECON_RESULTS!A$2:A$1001="Unmatched GL")*ABS(RECON_RESULTS!D$2:D$1001))</f>
        <v/>
      </c>
      <c r="C30" s="54" t="inlineStr">
        <is>
          <t>إجمالي GL غير المطابق</t>
        </is>
      </c>
      <c r="D30" s="55" t="inlineStr">
        <is>
          <t>Unmatched GL Value</t>
        </is>
      </c>
      <c r="E30" s="18" t="n"/>
      <c r="F30" s="18" t="n"/>
      <c r="G30" s="18" t="n"/>
      <c r="H30" s="18" t="n"/>
    </row>
    <row r="31" ht="28" customHeight="1">
      <c r="A31" s="18" t="n"/>
      <c r="B31" s="56">
        <f>SUMPRODUCT((RECON_RESULTS!A$2:A$1001="Near Match")*RECON_RESULTS!J$2:J$1001)</f>
        <v/>
      </c>
      <c r="C31" s="54" t="inlineStr">
        <is>
          <t>إجمالي المطابقات القريبة</t>
        </is>
      </c>
      <c r="D31" s="55" t="inlineStr">
        <is>
          <t>Near Match Exposure</t>
        </is>
      </c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</sheetData>
  <mergeCells count="7">
    <mergeCell ref="B2:D3"/>
    <mergeCell ref="B28:D28"/>
    <mergeCell ref="E2:G2"/>
    <mergeCell ref="B22:D22"/>
    <mergeCell ref="E3:G3"/>
    <mergeCell ref="B12:D12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202E"/>
    <outlinePr summaryBelow="1" summaryRight="1"/>
    <pageSetUpPr/>
  </sheetPr>
  <dimension ref="A1:L61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6" customWidth="1" min="4" max="4"/>
    <col width="15" customWidth="1" min="5" max="5"/>
    <col width="14" customWidth="1" min="6" max="6"/>
    <col width="15" customWidth="1" min="7" max="7"/>
    <col width="13" customWidth="1" min="8" max="8"/>
    <col width="10" customWidth="1" min="9" max="9"/>
    <col width="10" customWidth="1" min="10" max="10"/>
    <col width="12" customWidth="1" min="11" max="11"/>
    <col width="20" customWidth="1" min="12" max="12"/>
    <col width="10" customWidth="1" min="13" max="13"/>
  </cols>
  <sheetData>
    <row r="1" ht="32" customHeight="1">
      <c r="B1" s="57" t="inlineStr">
        <is>
          <t>حركات بنكية بدون قيد GL — UNMATCHED BANK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</row>
    <row r="2" ht="32" customHeight="1">
      <c r="A2" s="7" t="n"/>
      <c r="B2" s="7" t="inlineStr">
        <is>
          <t>الحالة
Status</t>
        </is>
      </c>
      <c r="C2" s="7" t="inlineStr">
        <is>
          <t>التاريخ
Date</t>
        </is>
      </c>
      <c r="D2" s="7" t="inlineStr">
        <is>
          <t>الوصف
Description</t>
        </is>
      </c>
      <c r="E2" s="7" t="inlineStr">
        <is>
          <t>الدائن
Credit</t>
        </is>
      </c>
      <c r="F2" s="7" t="inlineStr">
        <is>
          <t>المدين
Debit</t>
        </is>
      </c>
      <c r="G2" s="7" t="inlineStr">
        <is>
          <t>الرصيد
Balance</t>
        </is>
      </c>
      <c r="H2" s="7" t="inlineStr">
        <is>
          <t>الجانب
Side</t>
        </is>
      </c>
      <c r="I2" s="7" t="inlineStr">
        <is>
          <t>النوع
Type</t>
        </is>
      </c>
      <c r="J2" s="7" t="inlineStr">
        <is>
          <t>حالة المراجعة
Review</t>
        </is>
      </c>
      <c r="K2" s="7" t="inlineStr">
        <is>
          <t>الأولوية
Priority</t>
        </is>
      </c>
      <c r="L2" s="7" t="inlineStr">
        <is>
          <t>ملاحظات
Comments</t>
        </is>
      </c>
    </row>
    <row r="3">
      <c r="B3" s="11">
        <f>IFERROR(INDEX(RECON_RESULTS!$A$2:$A$1001,SMALL(IF(RECON_RESULTS!$A$2:$A$1001="Unmatched Bank",ROW(RECON_RESULTS!$A$2:$A$1001)-1),1)),"")</f>
        <v/>
      </c>
      <c r="C3" s="10">
        <f>IF(B3="","",INDEX(RECON_RESULTS!$F$2:$F$1001,SMALL(IF(RECON_RESULTS!$A$2:$A$1001="Unmatched Bank",ROW(RECON_RESULTS!$A$2:$A$1001)-1),1)))</f>
        <v/>
      </c>
      <c r="D3" s="11">
        <f>IF(B3="","",INDEX(RECON_RESULTS!$O$2:$O$1001,SMALL(IF(RECON_RESULTS!$A$2:$A$1001="Unmatched Bank",ROW(RECON_RESULTS!$A$2:$A$1001)-1),1)))</f>
        <v/>
      </c>
      <c r="E3" s="16">
        <f>IF(B3="","",INDEX(RECON_RESULTS!$G$2:$G$1001,SMALL(IF(RECON_RESULTS!$A$2:$A$1001="Unmatched Bank",ROW(RECON_RESULTS!$A$2:$A$1001)-1),1)))</f>
        <v/>
      </c>
      <c r="F3" s="16">
        <f>IF(B3="","",INDEX(RECON_RESULTS!$H$2:$H$1001,SMALL(IF(RECON_RESULTS!$A$2:$A$1001="Unmatched Bank",ROW(RECON_RESULTS!$A$2:$A$1001)-1),1)))</f>
        <v/>
      </c>
      <c r="G3" s="11" t="inlineStr"/>
      <c r="H3" s="11" t="inlineStr"/>
      <c r="I3" s="11" t="inlineStr"/>
      <c r="J3" s="11" t="inlineStr"/>
      <c r="K3" s="11" t="inlineStr"/>
      <c r="L3" s="11" t="inlineStr"/>
    </row>
    <row r="4">
      <c r="B4" s="11">
        <f>IFERROR(INDEX(RECON_RESULTS!$A$2:$A$1001,SMALL(IF(RECON_RESULTS!$A$2:$A$1001="Unmatched Bank",ROW(RECON_RESULTS!$A$2:$A$1001)-1),2)),"")</f>
        <v/>
      </c>
      <c r="C4" s="10">
        <f>IF(B4="","",INDEX(RECON_RESULTS!$F$2:$F$1001,SMALL(IF(RECON_RESULTS!$A$2:$A$1001="Unmatched Bank",ROW(RECON_RESULTS!$A$2:$A$1001)-1),2)))</f>
        <v/>
      </c>
      <c r="D4" s="11">
        <f>IF(B4="","",INDEX(RECON_RESULTS!$O$2:$O$1001,SMALL(IF(RECON_RESULTS!$A$2:$A$1001="Unmatched Bank",ROW(RECON_RESULTS!$A$2:$A$1001)-1),2)))</f>
        <v/>
      </c>
      <c r="E4" s="16">
        <f>IF(B4="","",INDEX(RECON_RESULTS!$G$2:$G$1001,SMALL(IF(RECON_RESULTS!$A$2:$A$1001="Unmatched Bank",ROW(RECON_RESULTS!$A$2:$A$1001)-1),2)))</f>
        <v/>
      </c>
      <c r="F4" s="16">
        <f>IF(B4="","",INDEX(RECON_RESULTS!$H$2:$H$1001,SMALL(IF(RECON_RESULTS!$A$2:$A$1001="Unmatched Bank",ROW(RECON_RESULTS!$A$2:$A$1001)-1),2)))</f>
        <v/>
      </c>
      <c r="G4" s="11" t="inlineStr"/>
      <c r="H4" s="11" t="inlineStr"/>
      <c r="I4" s="11" t="inlineStr"/>
      <c r="J4" s="11" t="inlineStr"/>
      <c r="K4" s="11" t="inlineStr"/>
      <c r="L4" s="11" t="inlineStr"/>
    </row>
    <row r="5">
      <c r="B5" s="11">
        <f>IFERROR(INDEX(RECON_RESULTS!$A$2:$A$1001,SMALL(IF(RECON_RESULTS!$A$2:$A$1001="Unmatched Bank",ROW(RECON_RESULTS!$A$2:$A$1001)-1),3)),"")</f>
        <v/>
      </c>
      <c r="C5" s="10">
        <f>IF(B5="","",INDEX(RECON_RESULTS!$F$2:$F$1001,SMALL(IF(RECON_RESULTS!$A$2:$A$1001="Unmatched Bank",ROW(RECON_RESULTS!$A$2:$A$1001)-1),3)))</f>
        <v/>
      </c>
      <c r="D5" s="11">
        <f>IF(B5="","",INDEX(RECON_RESULTS!$O$2:$O$1001,SMALL(IF(RECON_RESULTS!$A$2:$A$1001="Unmatched Bank",ROW(RECON_RESULTS!$A$2:$A$1001)-1),3)))</f>
        <v/>
      </c>
      <c r="E5" s="16">
        <f>IF(B5="","",INDEX(RECON_RESULTS!$G$2:$G$1001,SMALL(IF(RECON_RESULTS!$A$2:$A$1001="Unmatched Bank",ROW(RECON_RESULTS!$A$2:$A$1001)-1),3)))</f>
        <v/>
      </c>
      <c r="F5" s="16">
        <f>IF(B5="","",INDEX(RECON_RESULTS!$H$2:$H$1001,SMALL(IF(RECON_RESULTS!$A$2:$A$1001="Unmatched Bank",ROW(RECON_RESULTS!$A$2:$A$1001)-1),3)))</f>
        <v/>
      </c>
      <c r="G5" s="11" t="inlineStr"/>
      <c r="H5" s="11" t="inlineStr"/>
      <c r="I5" s="11" t="inlineStr"/>
      <c r="J5" s="11" t="inlineStr"/>
      <c r="K5" s="11" t="inlineStr"/>
      <c r="L5" s="11" t="inlineStr"/>
    </row>
    <row r="6">
      <c r="B6" s="11">
        <f>IFERROR(INDEX(RECON_RESULTS!$A$2:$A$1001,SMALL(IF(RECON_RESULTS!$A$2:$A$1001="Unmatched Bank",ROW(RECON_RESULTS!$A$2:$A$1001)-1),4)),"")</f>
        <v/>
      </c>
      <c r="C6" s="10">
        <f>IF(B6="","",INDEX(RECON_RESULTS!$F$2:$F$1001,SMALL(IF(RECON_RESULTS!$A$2:$A$1001="Unmatched Bank",ROW(RECON_RESULTS!$A$2:$A$1001)-1),4)))</f>
        <v/>
      </c>
      <c r="D6" s="11">
        <f>IF(B6="","",INDEX(RECON_RESULTS!$O$2:$O$1001,SMALL(IF(RECON_RESULTS!$A$2:$A$1001="Unmatched Bank",ROW(RECON_RESULTS!$A$2:$A$1001)-1),4)))</f>
        <v/>
      </c>
      <c r="E6" s="16">
        <f>IF(B6="","",INDEX(RECON_RESULTS!$G$2:$G$1001,SMALL(IF(RECON_RESULTS!$A$2:$A$1001="Unmatched Bank",ROW(RECON_RESULTS!$A$2:$A$1001)-1),4)))</f>
        <v/>
      </c>
      <c r="F6" s="16">
        <f>IF(B6="","",INDEX(RECON_RESULTS!$H$2:$H$1001,SMALL(IF(RECON_RESULTS!$A$2:$A$1001="Unmatched Bank",ROW(RECON_RESULTS!$A$2:$A$1001)-1),4)))</f>
        <v/>
      </c>
      <c r="G6" s="11" t="inlineStr"/>
      <c r="H6" s="11" t="inlineStr"/>
      <c r="I6" s="11" t="inlineStr"/>
      <c r="J6" s="11" t="inlineStr"/>
      <c r="K6" s="11" t="inlineStr"/>
      <c r="L6" s="11" t="inlineStr"/>
    </row>
    <row r="7">
      <c r="B7" s="11">
        <f>IFERROR(INDEX(RECON_RESULTS!$A$2:$A$1001,SMALL(IF(RECON_RESULTS!$A$2:$A$1001="Unmatched Bank",ROW(RECON_RESULTS!$A$2:$A$1001)-1),5)),"")</f>
        <v/>
      </c>
      <c r="C7" s="10">
        <f>IF(B7="","",INDEX(RECON_RESULTS!$F$2:$F$1001,SMALL(IF(RECON_RESULTS!$A$2:$A$1001="Unmatched Bank",ROW(RECON_RESULTS!$A$2:$A$1001)-1),5)))</f>
        <v/>
      </c>
      <c r="D7" s="11">
        <f>IF(B7="","",INDEX(RECON_RESULTS!$O$2:$O$1001,SMALL(IF(RECON_RESULTS!$A$2:$A$1001="Unmatched Bank",ROW(RECON_RESULTS!$A$2:$A$1001)-1),5)))</f>
        <v/>
      </c>
      <c r="E7" s="16">
        <f>IF(B7="","",INDEX(RECON_RESULTS!$G$2:$G$1001,SMALL(IF(RECON_RESULTS!$A$2:$A$1001="Unmatched Bank",ROW(RECON_RESULTS!$A$2:$A$1001)-1),5)))</f>
        <v/>
      </c>
      <c r="F7" s="16">
        <f>IF(B7="","",INDEX(RECON_RESULTS!$H$2:$H$1001,SMALL(IF(RECON_RESULTS!$A$2:$A$1001="Unmatched Bank",ROW(RECON_RESULTS!$A$2:$A$1001)-1),5)))</f>
        <v/>
      </c>
      <c r="G7" s="11" t="inlineStr"/>
      <c r="H7" s="11" t="inlineStr"/>
      <c r="I7" s="11" t="inlineStr"/>
      <c r="J7" s="11" t="inlineStr"/>
      <c r="K7" s="11" t="inlineStr"/>
      <c r="L7" s="11" t="inlineStr"/>
    </row>
    <row r="8">
      <c r="B8" s="11">
        <f>IFERROR(INDEX(RECON_RESULTS!$A$2:$A$1001,SMALL(IF(RECON_RESULTS!$A$2:$A$1001="Unmatched Bank",ROW(RECON_RESULTS!$A$2:$A$1001)-1),6)),"")</f>
        <v/>
      </c>
      <c r="C8" s="10">
        <f>IF(B8="","",INDEX(RECON_RESULTS!$F$2:$F$1001,SMALL(IF(RECON_RESULTS!$A$2:$A$1001="Unmatched Bank",ROW(RECON_RESULTS!$A$2:$A$1001)-1),6)))</f>
        <v/>
      </c>
      <c r="D8" s="11">
        <f>IF(B8="","",INDEX(RECON_RESULTS!$O$2:$O$1001,SMALL(IF(RECON_RESULTS!$A$2:$A$1001="Unmatched Bank",ROW(RECON_RESULTS!$A$2:$A$1001)-1),6)))</f>
        <v/>
      </c>
      <c r="E8" s="16">
        <f>IF(B8="","",INDEX(RECON_RESULTS!$G$2:$G$1001,SMALL(IF(RECON_RESULTS!$A$2:$A$1001="Unmatched Bank",ROW(RECON_RESULTS!$A$2:$A$1001)-1),6)))</f>
        <v/>
      </c>
      <c r="F8" s="16">
        <f>IF(B8="","",INDEX(RECON_RESULTS!$H$2:$H$1001,SMALL(IF(RECON_RESULTS!$A$2:$A$1001="Unmatched Bank",ROW(RECON_RESULTS!$A$2:$A$1001)-1),6)))</f>
        <v/>
      </c>
      <c r="G8" s="11" t="inlineStr"/>
      <c r="H8" s="11" t="inlineStr"/>
      <c r="I8" s="11" t="inlineStr"/>
      <c r="J8" s="11" t="inlineStr"/>
      <c r="K8" s="11" t="inlineStr"/>
      <c r="L8" s="11" t="inlineStr"/>
    </row>
    <row r="9">
      <c r="B9" s="11">
        <f>IFERROR(INDEX(RECON_RESULTS!$A$2:$A$1001,SMALL(IF(RECON_RESULTS!$A$2:$A$1001="Unmatched Bank",ROW(RECON_RESULTS!$A$2:$A$1001)-1),7)),"")</f>
        <v/>
      </c>
      <c r="C9" s="10">
        <f>IF(B9="","",INDEX(RECON_RESULTS!$F$2:$F$1001,SMALL(IF(RECON_RESULTS!$A$2:$A$1001="Unmatched Bank",ROW(RECON_RESULTS!$A$2:$A$1001)-1),7)))</f>
        <v/>
      </c>
      <c r="D9" s="11">
        <f>IF(B9="","",INDEX(RECON_RESULTS!$O$2:$O$1001,SMALL(IF(RECON_RESULTS!$A$2:$A$1001="Unmatched Bank",ROW(RECON_RESULTS!$A$2:$A$1001)-1),7)))</f>
        <v/>
      </c>
      <c r="E9" s="16">
        <f>IF(B9="","",INDEX(RECON_RESULTS!$G$2:$G$1001,SMALL(IF(RECON_RESULTS!$A$2:$A$1001="Unmatched Bank",ROW(RECON_RESULTS!$A$2:$A$1001)-1),7)))</f>
        <v/>
      </c>
      <c r="F9" s="16">
        <f>IF(B9="","",INDEX(RECON_RESULTS!$H$2:$H$1001,SMALL(IF(RECON_RESULTS!$A$2:$A$1001="Unmatched Bank",ROW(RECON_RESULTS!$A$2:$A$1001)-1),7)))</f>
        <v/>
      </c>
      <c r="G9" s="11" t="inlineStr"/>
      <c r="H9" s="11" t="inlineStr"/>
      <c r="I9" s="11" t="inlineStr"/>
      <c r="J9" s="11" t="inlineStr"/>
      <c r="K9" s="11" t="inlineStr"/>
      <c r="L9" s="11" t="inlineStr"/>
    </row>
    <row r="10">
      <c r="B10" s="11">
        <f>IFERROR(INDEX(RECON_RESULTS!$A$2:$A$1001,SMALL(IF(RECON_RESULTS!$A$2:$A$1001="Unmatched Bank",ROW(RECON_RESULTS!$A$2:$A$1001)-1),8)),"")</f>
        <v/>
      </c>
      <c r="C10" s="10">
        <f>IF(B10="","",INDEX(RECON_RESULTS!$F$2:$F$1001,SMALL(IF(RECON_RESULTS!$A$2:$A$1001="Unmatched Bank",ROW(RECON_RESULTS!$A$2:$A$1001)-1),8)))</f>
        <v/>
      </c>
      <c r="D10" s="11">
        <f>IF(B10="","",INDEX(RECON_RESULTS!$O$2:$O$1001,SMALL(IF(RECON_RESULTS!$A$2:$A$1001="Unmatched Bank",ROW(RECON_RESULTS!$A$2:$A$1001)-1),8)))</f>
        <v/>
      </c>
      <c r="E10" s="16">
        <f>IF(B10="","",INDEX(RECON_RESULTS!$G$2:$G$1001,SMALL(IF(RECON_RESULTS!$A$2:$A$1001="Unmatched Bank",ROW(RECON_RESULTS!$A$2:$A$1001)-1),8)))</f>
        <v/>
      </c>
      <c r="F10" s="16">
        <f>IF(B10="","",INDEX(RECON_RESULTS!$H$2:$H$1001,SMALL(IF(RECON_RESULTS!$A$2:$A$1001="Unmatched Bank",ROW(RECON_RESULTS!$A$2:$A$1001)-1),8)))</f>
        <v/>
      </c>
      <c r="G10" s="11" t="inlineStr"/>
      <c r="H10" s="11" t="inlineStr"/>
      <c r="I10" s="11" t="inlineStr"/>
      <c r="J10" s="11" t="inlineStr"/>
      <c r="K10" s="11" t="inlineStr"/>
      <c r="L10" s="11" t="inlineStr"/>
    </row>
    <row r="11">
      <c r="B11" s="11">
        <f>IFERROR(INDEX(RECON_RESULTS!$A$2:$A$1001,SMALL(IF(RECON_RESULTS!$A$2:$A$1001="Unmatched Bank",ROW(RECON_RESULTS!$A$2:$A$1001)-1),9)),"")</f>
        <v/>
      </c>
      <c r="C11" s="10">
        <f>IF(B11="","",INDEX(RECON_RESULTS!$F$2:$F$1001,SMALL(IF(RECON_RESULTS!$A$2:$A$1001="Unmatched Bank",ROW(RECON_RESULTS!$A$2:$A$1001)-1),9)))</f>
        <v/>
      </c>
      <c r="D11" s="11">
        <f>IF(B11="","",INDEX(RECON_RESULTS!$O$2:$O$1001,SMALL(IF(RECON_RESULTS!$A$2:$A$1001="Unmatched Bank",ROW(RECON_RESULTS!$A$2:$A$1001)-1),9)))</f>
        <v/>
      </c>
      <c r="E11" s="16">
        <f>IF(B11="","",INDEX(RECON_RESULTS!$G$2:$G$1001,SMALL(IF(RECON_RESULTS!$A$2:$A$1001="Unmatched Bank",ROW(RECON_RESULTS!$A$2:$A$1001)-1),9)))</f>
        <v/>
      </c>
      <c r="F11" s="16">
        <f>IF(B11="","",INDEX(RECON_RESULTS!$H$2:$H$1001,SMALL(IF(RECON_RESULTS!$A$2:$A$1001="Unmatched Bank",ROW(RECON_RESULTS!$A$2:$A$1001)-1),9)))</f>
        <v/>
      </c>
      <c r="G11" s="11" t="inlineStr"/>
      <c r="H11" s="11" t="inlineStr"/>
      <c r="I11" s="11" t="inlineStr"/>
      <c r="J11" s="11" t="inlineStr"/>
      <c r="K11" s="11" t="inlineStr"/>
      <c r="L11" s="11" t="inlineStr"/>
    </row>
    <row r="12">
      <c r="B12" s="11">
        <f>IFERROR(INDEX(RECON_RESULTS!$A$2:$A$1001,SMALL(IF(RECON_RESULTS!$A$2:$A$1001="Unmatched Bank",ROW(RECON_RESULTS!$A$2:$A$1001)-1),10)),"")</f>
        <v/>
      </c>
      <c r="C12" s="10">
        <f>IF(B12="","",INDEX(RECON_RESULTS!$F$2:$F$1001,SMALL(IF(RECON_RESULTS!$A$2:$A$1001="Unmatched Bank",ROW(RECON_RESULTS!$A$2:$A$1001)-1),10)))</f>
        <v/>
      </c>
      <c r="D12" s="11">
        <f>IF(B12="","",INDEX(RECON_RESULTS!$O$2:$O$1001,SMALL(IF(RECON_RESULTS!$A$2:$A$1001="Unmatched Bank",ROW(RECON_RESULTS!$A$2:$A$1001)-1),10)))</f>
        <v/>
      </c>
      <c r="E12" s="16">
        <f>IF(B12="","",INDEX(RECON_RESULTS!$G$2:$G$1001,SMALL(IF(RECON_RESULTS!$A$2:$A$1001="Unmatched Bank",ROW(RECON_RESULTS!$A$2:$A$1001)-1),10)))</f>
        <v/>
      </c>
      <c r="F12" s="16">
        <f>IF(B12="","",INDEX(RECON_RESULTS!$H$2:$H$1001,SMALL(IF(RECON_RESULTS!$A$2:$A$1001="Unmatched Bank",ROW(RECON_RESULTS!$A$2:$A$1001)-1),10)))</f>
        <v/>
      </c>
      <c r="G12" s="11" t="inlineStr"/>
      <c r="H12" s="11" t="inlineStr"/>
      <c r="I12" s="11" t="inlineStr"/>
      <c r="J12" s="11" t="inlineStr"/>
      <c r="K12" s="11" t="inlineStr"/>
      <c r="L12" s="11" t="inlineStr"/>
    </row>
    <row r="13">
      <c r="B13" s="11">
        <f>IFERROR(INDEX(RECON_RESULTS!$A$2:$A$1001,SMALL(IF(RECON_RESULTS!$A$2:$A$1001="Unmatched Bank",ROW(RECON_RESULTS!$A$2:$A$1001)-1),11)),"")</f>
        <v/>
      </c>
      <c r="C13" s="10">
        <f>IF(B13="","",INDEX(RECON_RESULTS!$F$2:$F$1001,SMALL(IF(RECON_RESULTS!$A$2:$A$1001="Unmatched Bank",ROW(RECON_RESULTS!$A$2:$A$1001)-1),11)))</f>
        <v/>
      </c>
      <c r="D13" s="11">
        <f>IF(B13="","",INDEX(RECON_RESULTS!$O$2:$O$1001,SMALL(IF(RECON_RESULTS!$A$2:$A$1001="Unmatched Bank",ROW(RECON_RESULTS!$A$2:$A$1001)-1),11)))</f>
        <v/>
      </c>
      <c r="E13" s="16">
        <f>IF(B13="","",INDEX(RECON_RESULTS!$G$2:$G$1001,SMALL(IF(RECON_RESULTS!$A$2:$A$1001="Unmatched Bank",ROW(RECON_RESULTS!$A$2:$A$1001)-1),11)))</f>
        <v/>
      </c>
      <c r="F13" s="16">
        <f>IF(B13="","",INDEX(RECON_RESULTS!$H$2:$H$1001,SMALL(IF(RECON_RESULTS!$A$2:$A$1001="Unmatched Bank",ROW(RECON_RESULTS!$A$2:$A$1001)-1),11)))</f>
        <v/>
      </c>
      <c r="G13" s="11" t="inlineStr"/>
      <c r="H13" s="11" t="inlineStr"/>
      <c r="I13" s="11" t="inlineStr"/>
      <c r="J13" s="11" t="inlineStr"/>
      <c r="K13" s="11" t="inlineStr"/>
      <c r="L13" s="11" t="inlineStr"/>
    </row>
    <row r="14">
      <c r="B14" s="11">
        <f>IFERROR(INDEX(RECON_RESULTS!$A$2:$A$1001,SMALL(IF(RECON_RESULTS!$A$2:$A$1001="Unmatched Bank",ROW(RECON_RESULTS!$A$2:$A$1001)-1),12)),"")</f>
        <v/>
      </c>
      <c r="C14" s="10">
        <f>IF(B14="","",INDEX(RECON_RESULTS!$F$2:$F$1001,SMALL(IF(RECON_RESULTS!$A$2:$A$1001="Unmatched Bank",ROW(RECON_RESULTS!$A$2:$A$1001)-1),12)))</f>
        <v/>
      </c>
      <c r="D14" s="11">
        <f>IF(B14="","",INDEX(RECON_RESULTS!$O$2:$O$1001,SMALL(IF(RECON_RESULTS!$A$2:$A$1001="Unmatched Bank",ROW(RECON_RESULTS!$A$2:$A$1001)-1),12)))</f>
        <v/>
      </c>
      <c r="E14" s="16">
        <f>IF(B14="","",INDEX(RECON_RESULTS!$G$2:$G$1001,SMALL(IF(RECON_RESULTS!$A$2:$A$1001="Unmatched Bank",ROW(RECON_RESULTS!$A$2:$A$1001)-1),12)))</f>
        <v/>
      </c>
      <c r="F14" s="16">
        <f>IF(B14="","",INDEX(RECON_RESULTS!$H$2:$H$1001,SMALL(IF(RECON_RESULTS!$A$2:$A$1001="Unmatched Bank",ROW(RECON_RESULTS!$A$2:$A$1001)-1),12)))</f>
        <v/>
      </c>
      <c r="G14" s="11" t="inlineStr"/>
      <c r="H14" s="11" t="inlineStr"/>
      <c r="I14" s="11" t="inlineStr"/>
      <c r="J14" s="11" t="inlineStr"/>
      <c r="K14" s="11" t="inlineStr"/>
      <c r="L14" s="11" t="inlineStr"/>
    </row>
    <row r="15">
      <c r="B15" s="11">
        <f>IFERROR(INDEX(RECON_RESULTS!$A$2:$A$1001,SMALL(IF(RECON_RESULTS!$A$2:$A$1001="Unmatched Bank",ROW(RECON_RESULTS!$A$2:$A$1001)-1),13)),"")</f>
        <v/>
      </c>
      <c r="C15" s="10">
        <f>IF(B15="","",INDEX(RECON_RESULTS!$F$2:$F$1001,SMALL(IF(RECON_RESULTS!$A$2:$A$1001="Unmatched Bank",ROW(RECON_RESULTS!$A$2:$A$1001)-1),13)))</f>
        <v/>
      </c>
      <c r="D15" s="11">
        <f>IF(B15="","",INDEX(RECON_RESULTS!$O$2:$O$1001,SMALL(IF(RECON_RESULTS!$A$2:$A$1001="Unmatched Bank",ROW(RECON_RESULTS!$A$2:$A$1001)-1),13)))</f>
        <v/>
      </c>
      <c r="E15" s="16">
        <f>IF(B15="","",INDEX(RECON_RESULTS!$G$2:$G$1001,SMALL(IF(RECON_RESULTS!$A$2:$A$1001="Unmatched Bank",ROW(RECON_RESULTS!$A$2:$A$1001)-1),13)))</f>
        <v/>
      </c>
      <c r="F15" s="16">
        <f>IF(B15="","",INDEX(RECON_RESULTS!$H$2:$H$1001,SMALL(IF(RECON_RESULTS!$A$2:$A$1001="Unmatched Bank",ROW(RECON_RESULTS!$A$2:$A$1001)-1),13)))</f>
        <v/>
      </c>
      <c r="G15" s="11" t="inlineStr"/>
      <c r="H15" s="11" t="inlineStr"/>
      <c r="I15" s="11" t="inlineStr"/>
      <c r="J15" s="11" t="inlineStr"/>
      <c r="K15" s="11" t="inlineStr"/>
      <c r="L15" s="11" t="inlineStr"/>
    </row>
    <row r="16">
      <c r="B16" s="11">
        <f>IFERROR(INDEX(RECON_RESULTS!$A$2:$A$1001,SMALL(IF(RECON_RESULTS!$A$2:$A$1001="Unmatched Bank",ROW(RECON_RESULTS!$A$2:$A$1001)-1),14)),"")</f>
        <v/>
      </c>
      <c r="C16" s="10">
        <f>IF(B16="","",INDEX(RECON_RESULTS!$F$2:$F$1001,SMALL(IF(RECON_RESULTS!$A$2:$A$1001="Unmatched Bank",ROW(RECON_RESULTS!$A$2:$A$1001)-1),14)))</f>
        <v/>
      </c>
      <c r="D16" s="11">
        <f>IF(B16="","",INDEX(RECON_RESULTS!$O$2:$O$1001,SMALL(IF(RECON_RESULTS!$A$2:$A$1001="Unmatched Bank",ROW(RECON_RESULTS!$A$2:$A$1001)-1),14)))</f>
        <v/>
      </c>
      <c r="E16" s="16">
        <f>IF(B16="","",INDEX(RECON_RESULTS!$G$2:$G$1001,SMALL(IF(RECON_RESULTS!$A$2:$A$1001="Unmatched Bank",ROW(RECON_RESULTS!$A$2:$A$1001)-1),14)))</f>
        <v/>
      </c>
      <c r="F16" s="16">
        <f>IF(B16="","",INDEX(RECON_RESULTS!$H$2:$H$1001,SMALL(IF(RECON_RESULTS!$A$2:$A$1001="Unmatched Bank",ROW(RECON_RESULTS!$A$2:$A$1001)-1),14)))</f>
        <v/>
      </c>
      <c r="G16" s="11" t="inlineStr"/>
      <c r="H16" s="11" t="inlineStr"/>
      <c r="I16" s="11" t="inlineStr"/>
      <c r="J16" s="11" t="inlineStr"/>
      <c r="K16" s="11" t="inlineStr"/>
      <c r="L16" s="11" t="inlineStr"/>
    </row>
    <row r="17">
      <c r="B17" s="11">
        <f>IFERROR(INDEX(RECON_RESULTS!$A$2:$A$1001,SMALL(IF(RECON_RESULTS!$A$2:$A$1001="Unmatched Bank",ROW(RECON_RESULTS!$A$2:$A$1001)-1),15)),"")</f>
        <v/>
      </c>
      <c r="C17" s="10">
        <f>IF(B17="","",INDEX(RECON_RESULTS!$F$2:$F$1001,SMALL(IF(RECON_RESULTS!$A$2:$A$1001="Unmatched Bank",ROW(RECON_RESULTS!$A$2:$A$1001)-1),15)))</f>
        <v/>
      </c>
      <c r="D17" s="11">
        <f>IF(B17="","",INDEX(RECON_RESULTS!$O$2:$O$1001,SMALL(IF(RECON_RESULTS!$A$2:$A$1001="Unmatched Bank",ROW(RECON_RESULTS!$A$2:$A$1001)-1),15)))</f>
        <v/>
      </c>
      <c r="E17" s="16">
        <f>IF(B17="","",INDEX(RECON_RESULTS!$G$2:$G$1001,SMALL(IF(RECON_RESULTS!$A$2:$A$1001="Unmatched Bank",ROW(RECON_RESULTS!$A$2:$A$1001)-1),15)))</f>
        <v/>
      </c>
      <c r="F17" s="16">
        <f>IF(B17="","",INDEX(RECON_RESULTS!$H$2:$H$1001,SMALL(IF(RECON_RESULTS!$A$2:$A$1001="Unmatched Bank",ROW(RECON_RESULTS!$A$2:$A$1001)-1),15)))</f>
        <v/>
      </c>
      <c r="G17" s="11" t="inlineStr"/>
      <c r="H17" s="11" t="inlineStr"/>
      <c r="I17" s="11" t="inlineStr"/>
      <c r="J17" s="11" t="inlineStr"/>
      <c r="K17" s="11" t="inlineStr"/>
      <c r="L17" s="11" t="inlineStr"/>
    </row>
    <row r="18">
      <c r="B18" s="11">
        <f>IFERROR(INDEX(RECON_RESULTS!$A$2:$A$1001,SMALL(IF(RECON_RESULTS!$A$2:$A$1001="Unmatched Bank",ROW(RECON_RESULTS!$A$2:$A$1001)-1),16)),"")</f>
        <v/>
      </c>
      <c r="C18" s="10">
        <f>IF(B18="","",INDEX(RECON_RESULTS!$F$2:$F$1001,SMALL(IF(RECON_RESULTS!$A$2:$A$1001="Unmatched Bank",ROW(RECON_RESULTS!$A$2:$A$1001)-1),16)))</f>
        <v/>
      </c>
      <c r="D18" s="11">
        <f>IF(B18="","",INDEX(RECON_RESULTS!$O$2:$O$1001,SMALL(IF(RECON_RESULTS!$A$2:$A$1001="Unmatched Bank",ROW(RECON_RESULTS!$A$2:$A$1001)-1),16)))</f>
        <v/>
      </c>
      <c r="E18" s="16">
        <f>IF(B18="","",INDEX(RECON_RESULTS!$G$2:$G$1001,SMALL(IF(RECON_RESULTS!$A$2:$A$1001="Unmatched Bank",ROW(RECON_RESULTS!$A$2:$A$1001)-1),16)))</f>
        <v/>
      </c>
      <c r="F18" s="16">
        <f>IF(B18="","",INDEX(RECON_RESULTS!$H$2:$H$1001,SMALL(IF(RECON_RESULTS!$A$2:$A$1001="Unmatched Bank",ROW(RECON_RESULTS!$A$2:$A$1001)-1),16)))</f>
        <v/>
      </c>
      <c r="G18" s="11" t="inlineStr"/>
      <c r="H18" s="11" t="inlineStr"/>
      <c r="I18" s="11" t="inlineStr"/>
      <c r="J18" s="11" t="inlineStr"/>
      <c r="K18" s="11" t="inlineStr"/>
      <c r="L18" s="11" t="inlineStr"/>
    </row>
    <row r="19">
      <c r="B19" s="11">
        <f>IFERROR(INDEX(RECON_RESULTS!$A$2:$A$1001,SMALL(IF(RECON_RESULTS!$A$2:$A$1001="Unmatched Bank",ROW(RECON_RESULTS!$A$2:$A$1001)-1),17)),"")</f>
        <v/>
      </c>
      <c r="C19" s="10">
        <f>IF(B19="","",INDEX(RECON_RESULTS!$F$2:$F$1001,SMALL(IF(RECON_RESULTS!$A$2:$A$1001="Unmatched Bank",ROW(RECON_RESULTS!$A$2:$A$1001)-1),17)))</f>
        <v/>
      </c>
      <c r="D19" s="11">
        <f>IF(B19="","",INDEX(RECON_RESULTS!$O$2:$O$1001,SMALL(IF(RECON_RESULTS!$A$2:$A$1001="Unmatched Bank",ROW(RECON_RESULTS!$A$2:$A$1001)-1),17)))</f>
        <v/>
      </c>
      <c r="E19" s="16">
        <f>IF(B19="","",INDEX(RECON_RESULTS!$G$2:$G$1001,SMALL(IF(RECON_RESULTS!$A$2:$A$1001="Unmatched Bank",ROW(RECON_RESULTS!$A$2:$A$1001)-1),17)))</f>
        <v/>
      </c>
      <c r="F19" s="16">
        <f>IF(B19="","",INDEX(RECON_RESULTS!$H$2:$H$1001,SMALL(IF(RECON_RESULTS!$A$2:$A$1001="Unmatched Bank",ROW(RECON_RESULTS!$A$2:$A$1001)-1),17)))</f>
        <v/>
      </c>
      <c r="G19" s="11" t="inlineStr"/>
      <c r="H19" s="11" t="inlineStr"/>
      <c r="I19" s="11" t="inlineStr"/>
      <c r="J19" s="11" t="inlineStr"/>
      <c r="K19" s="11" t="inlineStr"/>
      <c r="L19" s="11" t="inlineStr"/>
    </row>
    <row r="20">
      <c r="B20" s="11">
        <f>IFERROR(INDEX(RECON_RESULTS!$A$2:$A$1001,SMALL(IF(RECON_RESULTS!$A$2:$A$1001="Unmatched Bank",ROW(RECON_RESULTS!$A$2:$A$1001)-1),18)),"")</f>
        <v/>
      </c>
      <c r="C20" s="10">
        <f>IF(B20="","",INDEX(RECON_RESULTS!$F$2:$F$1001,SMALL(IF(RECON_RESULTS!$A$2:$A$1001="Unmatched Bank",ROW(RECON_RESULTS!$A$2:$A$1001)-1),18)))</f>
        <v/>
      </c>
      <c r="D20" s="11">
        <f>IF(B20="","",INDEX(RECON_RESULTS!$O$2:$O$1001,SMALL(IF(RECON_RESULTS!$A$2:$A$1001="Unmatched Bank",ROW(RECON_RESULTS!$A$2:$A$1001)-1),18)))</f>
        <v/>
      </c>
      <c r="E20" s="16">
        <f>IF(B20="","",INDEX(RECON_RESULTS!$G$2:$G$1001,SMALL(IF(RECON_RESULTS!$A$2:$A$1001="Unmatched Bank",ROW(RECON_RESULTS!$A$2:$A$1001)-1),18)))</f>
        <v/>
      </c>
      <c r="F20" s="16">
        <f>IF(B20="","",INDEX(RECON_RESULTS!$H$2:$H$1001,SMALL(IF(RECON_RESULTS!$A$2:$A$1001="Unmatched Bank",ROW(RECON_RESULTS!$A$2:$A$1001)-1),18)))</f>
        <v/>
      </c>
      <c r="G20" s="11" t="inlineStr"/>
      <c r="H20" s="11" t="inlineStr"/>
      <c r="I20" s="11" t="inlineStr"/>
      <c r="J20" s="11" t="inlineStr"/>
      <c r="K20" s="11" t="inlineStr"/>
      <c r="L20" s="11" t="inlineStr"/>
    </row>
    <row r="21">
      <c r="B21" s="11">
        <f>IFERROR(INDEX(RECON_RESULTS!$A$2:$A$1001,SMALL(IF(RECON_RESULTS!$A$2:$A$1001="Unmatched Bank",ROW(RECON_RESULTS!$A$2:$A$1001)-1),19)),"")</f>
        <v/>
      </c>
      <c r="C21" s="10">
        <f>IF(B21="","",INDEX(RECON_RESULTS!$F$2:$F$1001,SMALL(IF(RECON_RESULTS!$A$2:$A$1001="Unmatched Bank",ROW(RECON_RESULTS!$A$2:$A$1001)-1),19)))</f>
        <v/>
      </c>
      <c r="D21" s="11">
        <f>IF(B21="","",INDEX(RECON_RESULTS!$O$2:$O$1001,SMALL(IF(RECON_RESULTS!$A$2:$A$1001="Unmatched Bank",ROW(RECON_RESULTS!$A$2:$A$1001)-1),19)))</f>
        <v/>
      </c>
      <c r="E21" s="16">
        <f>IF(B21="","",INDEX(RECON_RESULTS!$G$2:$G$1001,SMALL(IF(RECON_RESULTS!$A$2:$A$1001="Unmatched Bank",ROW(RECON_RESULTS!$A$2:$A$1001)-1),19)))</f>
        <v/>
      </c>
      <c r="F21" s="16">
        <f>IF(B21="","",INDEX(RECON_RESULTS!$H$2:$H$1001,SMALL(IF(RECON_RESULTS!$A$2:$A$1001="Unmatched Bank",ROW(RECON_RESULTS!$A$2:$A$1001)-1),19)))</f>
        <v/>
      </c>
      <c r="G21" s="11" t="inlineStr"/>
      <c r="H21" s="11" t="inlineStr"/>
      <c r="I21" s="11" t="inlineStr"/>
      <c r="J21" s="11" t="inlineStr"/>
      <c r="K21" s="11" t="inlineStr"/>
      <c r="L21" s="11" t="inlineStr"/>
    </row>
    <row r="22">
      <c r="B22" s="11">
        <f>IFERROR(INDEX(RECON_RESULTS!$A$2:$A$1001,SMALL(IF(RECON_RESULTS!$A$2:$A$1001="Unmatched Bank",ROW(RECON_RESULTS!$A$2:$A$1001)-1),20)),"")</f>
        <v/>
      </c>
      <c r="C22" s="10">
        <f>IF(B22="","",INDEX(RECON_RESULTS!$F$2:$F$1001,SMALL(IF(RECON_RESULTS!$A$2:$A$1001="Unmatched Bank",ROW(RECON_RESULTS!$A$2:$A$1001)-1),20)))</f>
        <v/>
      </c>
      <c r="D22" s="11">
        <f>IF(B22="","",INDEX(RECON_RESULTS!$O$2:$O$1001,SMALL(IF(RECON_RESULTS!$A$2:$A$1001="Unmatched Bank",ROW(RECON_RESULTS!$A$2:$A$1001)-1),20)))</f>
        <v/>
      </c>
      <c r="E22" s="16">
        <f>IF(B22="","",INDEX(RECON_RESULTS!$G$2:$G$1001,SMALL(IF(RECON_RESULTS!$A$2:$A$1001="Unmatched Bank",ROW(RECON_RESULTS!$A$2:$A$1001)-1),20)))</f>
        <v/>
      </c>
      <c r="F22" s="16">
        <f>IF(B22="","",INDEX(RECON_RESULTS!$H$2:$H$1001,SMALL(IF(RECON_RESULTS!$A$2:$A$1001="Unmatched Bank",ROW(RECON_RESULTS!$A$2:$A$1001)-1),20)))</f>
        <v/>
      </c>
      <c r="G22" s="11" t="inlineStr"/>
      <c r="H22" s="11" t="inlineStr"/>
      <c r="I22" s="11" t="inlineStr"/>
      <c r="J22" s="11" t="inlineStr"/>
      <c r="K22" s="11" t="inlineStr"/>
      <c r="L22" s="11" t="inlineStr"/>
    </row>
    <row r="23">
      <c r="B23" s="11">
        <f>IFERROR(INDEX(RECON_RESULTS!$A$2:$A$1001,SMALL(IF(RECON_RESULTS!$A$2:$A$1001="Unmatched Bank",ROW(RECON_RESULTS!$A$2:$A$1001)-1),21)),"")</f>
        <v/>
      </c>
      <c r="C23" s="10">
        <f>IF(B23="","",INDEX(RECON_RESULTS!$F$2:$F$1001,SMALL(IF(RECON_RESULTS!$A$2:$A$1001="Unmatched Bank",ROW(RECON_RESULTS!$A$2:$A$1001)-1),21)))</f>
        <v/>
      </c>
      <c r="D23" s="11">
        <f>IF(B23="","",INDEX(RECON_RESULTS!$O$2:$O$1001,SMALL(IF(RECON_RESULTS!$A$2:$A$1001="Unmatched Bank",ROW(RECON_RESULTS!$A$2:$A$1001)-1),21)))</f>
        <v/>
      </c>
      <c r="E23" s="16">
        <f>IF(B23="","",INDEX(RECON_RESULTS!$G$2:$G$1001,SMALL(IF(RECON_RESULTS!$A$2:$A$1001="Unmatched Bank",ROW(RECON_RESULTS!$A$2:$A$1001)-1),21)))</f>
        <v/>
      </c>
      <c r="F23" s="16">
        <f>IF(B23="","",INDEX(RECON_RESULTS!$H$2:$H$1001,SMALL(IF(RECON_RESULTS!$A$2:$A$1001="Unmatched Bank",ROW(RECON_RESULTS!$A$2:$A$1001)-1),21)))</f>
        <v/>
      </c>
      <c r="G23" s="11" t="inlineStr"/>
      <c r="H23" s="11" t="inlineStr"/>
      <c r="I23" s="11" t="inlineStr"/>
      <c r="J23" s="11" t="inlineStr"/>
      <c r="K23" s="11" t="inlineStr"/>
      <c r="L23" s="11" t="inlineStr"/>
    </row>
    <row r="24">
      <c r="B24" s="11">
        <f>IFERROR(INDEX(RECON_RESULTS!$A$2:$A$1001,SMALL(IF(RECON_RESULTS!$A$2:$A$1001="Unmatched Bank",ROW(RECON_RESULTS!$A$2:$A$1001)-1),22)),"")</f>
        <v/>
      </c>
      <c r="C24" s="10">
        <f>IF(B24="","",INDEX(RECON_RESULTS!$F$2:$F$1001,SMALL(IF(RECON_RESULTS!$A$2:$A$1001="Unmatched Bank",ROW(RECON_RESULTS!$A$2:$A$1001)-1),22)))</f>
        <v/>
      </c>
      <c r="D24" s="11">
        <f>IF(B24="","",INDEX(RECON_RESULTS!$O$2:$O$1001,SMALL(IF(RECON_RESULTS!$A$2:$A$1001="Unmatched Bank",ROW(RECON_RESULTS!$A$2:$A$1001)-1),22)))</f>
        <v/>
      </c>
      <c r="E24" s="16">
        <f>IF(B24="","",INDEX(RECON_RESULTS!$G$2:$G$1001,SMALL(IF(RECON_RESULTS!$A$2:$A$1001="Unmatched Bank",ROW(RECON_RESULTS!$A$2:$A$1001)-1),22)))</f>
        <v/>
      </c>
      <c r="F24" s="16">
        <f>IF(B24="","",INDEX(RECON_RESULTS!$H$2:$H$1001,SMALL(IF(RECON_RESULTS!$A$2:$A$1001="Unmatched Bank",ROW(RECON_RESULTS!$A$2:$A$1001)-1),22)))</f>
        <v/>
      </c>
      <c r="G24" s="11" t="inlineStr"/>
      <c r="H24" s="11" t="inlineStr"/>
      <c r="I24" s="11" t="inlineStr"/>
      <c r="J24" s="11" t="inlineStr"/>
      <c r="K24" s="11" t="inlineStr"/>
      <c r="L24" s="11" t="inlineStr"/>
    </row>
    <row r="25">
      <c r="B25" s="11">
        <f>IFERROR(INDEX(RECON_RESULTS!$A$2:$A$1001,SMALL(IF(RECON_RESULTS!$A$2:$A$1001="Unmatched Bank",ROW(RECON_RESULTS!$A$2:$A$1001)-1),23)),"")</f>
        <v/>
      </c>
      <c r="C25" s="10">
        <f>IF(B25="","",INDEX(RECON_RESULTS!$F$2:$F$1001,SMALL(IF(RECON_RESULTS!$A$2:$A$1001="Unmatched Bank",ROW(RECON_RESULTS!$A$2:$A$1001)-1),23)))</f>
        <v/>
      </c>
      <c r="D25" s="11">
        <f>IF(B25="","",INDEX(RECON_RESULTS!$O$2:$O$1001,SMALL(IF(RECON_RESULTS!$A$2:$A$1001="Unmatched Bank",ROW(RECON_RESULTS!$A$2:$A$1001)-1),23)))</f>
        <v/>
      </c>
      <c r="E25" s="16">
        <f>IF(B25="","",INDEX(RECON_RESULTS!$G$2:$G$1001,SMALL(IF(RECON_RESULTS!$A$2:$A$1001="Unmatched Bank",ROW(RECON_RESULTS!$A$2:$A$1001)-1),23)))</f>
        <v/>
      </c>
      <c r="F25" s="16">
        <f>IF(B25="","",INDEX(RECON_RESULTS!$H$2:$H$1001,SMALL(IF(RECON_RESULTS!$A$2:$A$1001="Unmatched Bank",ROW(RECON_RESULTS!$A$2:$A$1001)-1),23)))</f>
        <v/>
      </c>
      <c r="G25" s="11" t="inlineStr"/>
      <c r="H25" s="11" t="inlineStr"/>
      <c r="I25" s="11" t="inlineStr"/>
      <c r="J25" s="11" t="inlineStr"/>
      <c r="K25" s="11" t="inlineStr"/>
      <c r="L25" s="11" t="inlineStr"/>
    </row>
    <row r="26">
      <c r="B26" s="11">
        <f>IFERROR(INDEX(RECON_RESULTS!$A$2:$A$1001,SMALL(IF(RECON_RESULTS!$A$2:$A$1001="Unmatched Bank",ROW(RECON_RESULTS!$A$2:$A$1001)-1),24)),"")</f>
        <v/>
      </c>
      <c r="C26" s="10">
        <f>IF(B26="","",INDEX(RECON_RESULTS!$F$2:$F$1001,SMALL(IF(RECON_RESULTS!$A$2:$A$1001="Unmatched Bank",ROW(RECON_RESULTS!$A$2:$A$1001)-1),24)))</f>
        <v/>
      </c>
      <c r="D26" s="11">
        <f>IF(B26="","",INDEX(RECON_RESULTS!$O$2:$O$1001,SMALL(IF(RECON_RESULTS!$A$2:$A$1001="Unmatched Bank",ROW(RECON_RESULTS!$A$2:$A$1001)-1),24)))</f>
        <v/>
      </c>
      <c r="E26" s="16">
        <f>IF(B26="","",INDEX(RECON_RESULTS!$G$2:$G$1001,SMALL(IF(RECON_RESULTS!$A$2:$A$1001="Unmatched Bank",ROW(RECON_RESULTS!$A$2:$A$1001)-1),24)))</f>
        <v/>
      </c>
      <c r="F26" s="16">
        <f>IF(B26="","",INDEX(RECON_RESULTS!$H$2:$H$1001,SMALL(IF(RECON_RESULTS!$A$2:$A$1001="Unmatched Bank",ROW(RECON_RESULTS!$A$2:$A$1001)-1),24)))</f>
        <v/>
      </c>
      <c r="G26" s="11" t="inlineStr"/>
      <c r="H26" s="11" t="inlineStr"/>
      <c r="I26" s="11" t="inlineStr"/>
      <c r="J26" s="11" t="inlineStr"/>
      <c r="K26" s="11" t="inlineStr"/>
      <c r="L26" s="11" t="inlineStr"/>
    </row>
    <row r="27">
      <c r="B27" s="11">
        <f>IFERROR(INDEX(RECON_RESULTS!$A$2:$A$1001,SMALL(IF(RECON_RESULTS!$A$2:$A$1001="Unmatched Bank",ROW(RECON_RESULTS!$A$2:$A$1001)-1),25)),"")</f>
        <v/>
      </c>
      <c r="C27" s="10">
        <f>IF(B27="","",INDEX(RECON_RESULTS!$F$2:$F$1001,SMALL(IF(RECON_RESULTS!$A$2:$A$1001="Unmatched Bank",ROW(RECON_RESULTS!$A$2:$A$1001)-1),25)))</f>
        <v/>
      </c>
      <c r="D27" s="11">
        <f>IF(B27="","",INDEX(RECON_RESULTS!$O$2:$O$1001,SMALL(IF(RECON_RESULTS!$A$2:$A$1001="Unmatched Bank",ROW(RECON_RESULTS!$A$2:$A$1001)-1),25)))</f>
        <v/>
      </c>
      <c r="E27" s="16">
        <f>IF(B27="","",INDEX(RECON_RESULTS!$G$2:$G$1001,SMALL(IF(RECON_RESULTS!$A$2:$A$1001="Unmatched Bank",ROW(RECON_RESULTS!$A$2:$A$1001)-1),25)))</f>
        <v/>
      </c>
      <c r="F27" s="16">
        <f>IF(B27="","",INDEX(RECON_RESULTS!$H$2:$H$1001,SMALL(IF(RECON_RESULTS!$A$2:$A$1001="Unmatched Bank",ROW(RECON_RESULTS!$A$2:$A$1001)-1),25)))</f>
        <v/>
      </c>
      <c r="G27" s="11" t="inlineStr"/>
      <c r="H27" s="11" t="inlineStr"/>
      <c r="I27" s="11" t="inlineStr"/>
      <c r="J27" s="11" t="inlineStr"/>
      <c r="K27" s="11" t="inlineStr"/>
      <c r="L27" s="11" t="inlineStr"/>
    </row>
    <row r="28">
      <c r="B28" s="11">
        <f>IFERROR(INDEX(RECON_RESULTS!$A$2:$A$1001,SMALL(IF(RECON_RESULTS!$A$2:$A$1001="Unmatched Bank",ROW(RECON_RESULTS!$A$2:$A$1001)-1),26)),"")</f>
        <v/>
      </c>
      <c r="C28" s="10">
        <f>IF(B28="","",INDEX(RECON_RESULTS!$F$2:$F$1001,SMALL(IF(RECON_RESULTS!$A$2:$A$1001="Unmatched Bank",ROW(RECON_RESULTS!$A$2:$A$1001)-1),26)))</f>
        <v/>
      </c>
      <c r="D28" s="11">
        <f>IF(B28="","",INDEX(RECON_RESULTS!$O$2:$O$1001,SMALL(IF(RECON_RESULTS!$A$2:$A$1001="Unmatched Bank",ROW(RECON_RESULTS!$A$2:$A$1001)-1),26)))</f>
        <v/>
      </c>
      <c r="E28" s="16">
        <f>IF(B28="","",INDEX(RECON_RESULTS!$G$2:$G$1001,SMALL(IF(RECON_RESULTS!$A$2:$A$1001="Unmatched Bank",ROW(RECON_RESULTS!$A$2:$A$1001)-1),26)))</f>
        <v/>
      </c>
      <c r="F28" s="16">
        <f>IF(B28="","",INDEX(RECON_RESULTS!$H$2:$H$1001,SMALL(IF(RECON_RESULTS!$A$2:$A$1001="Unmatched Bank",ROW(RECON_RESULTS!$A$2:$A$1001)-1),26)))</f>
        <v/>
      </c>
      <c r="G28" s="11" t="inlineStr"/>
      <c r="H28" s="11" t="inlineStr"/>
      <c r="I28" s="11" t="inlineStr"/>
      <c r="J28" s="11" t="inlineStr"/>
      <c r="K28" s="11" t="inlineStr"/>
      <c r="L28" s="11" t="inlineStr"/>
    </row>
    <row r="29">
      <c r="B29" s="11">
        <f>IFERROR(INDEX(RECON_RESULTS!$A$2:$A$1001,SMALL(IF(RECON_RESULTS!$A$2:$A$1001="Unmatched Bank",ROW(RECON_RESULTS!$A$2:$A$1001)-1),27)),"")</f>
        <v/>
      </c>
      <c r="C29" s="10">
        <f>IF(B29="","",INDEX(RECON_RESULTS!$F$2:$F$1001,SMALL(IF(RECON_RESULTS!$A$2:$A$1001="Unmatched Bank",ROW(RECON_RESULTS!$A$2:$A$1001)-1),27)))</f>
        <v/>
      </c>
      <c r="D29" s="11">
        <f>IF(B29="","",INDEX(RECON_RESULTS!$O$2:$O$1001,SMALL(IF(RECON_RESULTS!$A$2:$A$1001="Unmatched Bank",ROW(RECON_RESULTS!$A$2:$A$1001)-1),27)))</f>
        <v/>
      </c>
      <c r="E29" s="16">
        <f>IF(B29="","",INDEX(RECON_RESULTS!$G$2:$G$1001,SMALL(IF(RECON_RESULTS!$A$2:$A$1001="Unmatched Bank",ROW(RECON_RESULTS!$A$2:$A$1001)-1),27)))</f>
        <v/>
      </c>
      <c r="F29" s="16">
        <f>IF(B29="","",INDEX(RECON_RESULTS!$H$2:$H$1001,SMALL(IF(RECON_RESULTS!$A$2:$A$1001="Unmatched Bank",ROW(RECON_RESULTS!$A$2:$A$1001)-1),27)))</f>
        <v/>
      </c>
      <c r="G29" s="11" t="inlineStr"/>
      <c r="H29" s="11" t="inlineStr"/>
      <c r="I29" s="11" t="inlineStr"/>
      <c r="J29" s="11" t="inlineStr"/>
      <c r="K29" s="11" t="inlineStr"/>
      <c r="L29" s="11" t="inlineStr"/>
    </row>
    <row r="30">
      <c r="B30" s="11">
        <f>IFERROR(INDEX(RECON_RESULTS!$A$2:$A$1001,SMALL(IF(RECON_RESULTS!$A$2:$A$1001="Unmatched Bank",ROW(RECON_RESULTS!$A$2:$A$1001)-1),28)),"")</f>
        <v/>
      </c>
      <c r="C30" s="10">
        <f>IF(B30="","",INDEX(RECON_RESULTS!$F$2:$F$1001,SMALL(IF(RECON_RESULTS!$A$2:$A$1001="Unmatched Bank",ROW(RECON_RESULTS!$A$2:$A$1001)-1),28)))</f>
        <v/>
      </c>
      <c r="D30" s="11">
        <f>IF(B30="","",INDEX(RECON_RESULTS!$O$2:$O$1001,SMALL(IF(RECON_RESULTS!$A$2:$A$1001="Unmatched Bank",ROW(RECON_RESULTS!$A$2:$A$1001)-1),28)))</f>
        <v/>
      </c>
      <c r="E30" s="16">
        <f>IF(B30="","",INDEX(RECON_RESULTS!$G$2:$G$1001,SMALL(IF(RECON_RESULTS!$A$2:$A$1001="Unmatched Bank",ROW(RECON_RESULTS!$A$2:$A$1001)-1),28)))</f>
        <v/>
      </c>
      <c r="F30" s="16">
        <f>IF(B30="","",INDEX(RECON_RESULTS!$H$2:$H$1001,SMALL(IF(RECON_RESULTS!$A$2:$A$1001="Unmatched Bank",ROW(RECON_RESULTS!$A$2:$A$1001)-1),28)))</f>
        <v/>
      </c>
      <c r="G30" s="11" t="inlineStr"/>
      <c r="H30" s="11" t="inlineStr"/>
      <c r="I30" s="11" t="inlineStr"/>
      <c r="J30" s="11" t="inlineStr"/>
      <c r="K30" s="11" t="inlineStr"/>
      <c r="L30" s="11" t="inlineStr"/>
    </row>
    <row r="31">
      <c r="B31" s="11">
        <f>IFERROR(INDEX(RECON_RESULTS!$A$2:$A$1001,SMALL(IF(RECON_RESULTS!$A$2:$A$1001="Unmatched Bank",ROW(RECON_RESULTS!$A$2:$A$1001)-1),29)),"")</f>
        <v/>
      </c>
      <c r="C31" s="10">
        <f>IF(B31="","",INDEX(RECON_RESULTS!$F$2:$F$1001,SMALL(IF(RECON_RESULTS!$A$2:$A$1001="Unmatched Bank",ROW(RECON_RESULTS!$A$2:$A$1001)-1),29)))</f>
        <v/>
      </c>
      <c r="D31" s="11">
        <f>IF(B31="","",INDEX(RECON_RESULTS!$O$2:$O$1001,SMALL(IF(RECON_RESULTS!$A$2:$A$1001="Unmatched Bank",ROW(RECON_RESULTS!$A$2:$A$1001)-1),29)))</f>
        <v/>
      </c>
      <c r="E31" s="16">
        <f>IF(B31="","",INDEX(RECON_RESULTS!$G$2:$G$1001,SMALL(IF(RECON_RESULTS!$A$2:$A$1001="Unmatched Bank",ROW(RECON_RESULTS!$A$2:$A$1001)-1),29)))</f>
        <v/>
      </c>
      <c r="F31" s="16">
        <f>IF(B31="","",INDEX(RECON_RESULTS!$H$2:$H$1001,SMALL(IF(RECON_RESULTS!$A$2:$A$1001="Unmatched Bank",ROW(RECON_RESULTS!$A$2:$A$1001)-1),29)))</f>
        <v/>
      </c>
      <c r="G31" s="11" t="inlineStr"/>
      <c r="H31" s="11" t="inlineStr"/>
      <c r="I31" s="11" t="inlineStr"/>
      <c r="J31" s="11" t="inlineStr"/>
      <c r="K31" s="11" t="inlineStr"/>
      <c r="L31" s="11" t="inlineStr"/>
    </row>
    <row r="32">
      <c r="B32" s="11">
        <f>IFERROR(INDEX(RECON_RESULTS!$A$2:$A$1001,SMALL(IF(RECON_RESULTS!$A$2:$A$1001="Unmatched Bank",ROW(RECON_RESULTS!$A$2:$A$1001)-1),30)),"")</f>
        <v/>
      </c>
      <c r="C32" s="10">
        <f>IF(B32="","",INDEX(RECON_RESULTS!$F$2:$F$1001,SMALL(IF(RECON_RESULTS!$A$2:$A$1001="Unmatched Bank",ROW(RECON_RESULTS!$A$2:$A$1001)-1),30)))</f>
        <v/>
      </c>
      <c r="D32" s="11">
        <f>IF(B32="","",INDEX(RECON_RESULTS!$O$2:$O$1001,SMALL(IF(RECON_RESULTS!$A$2:$A$1001="Unmatched Bank",ROW(RECON_RESULTS!$A$2:$A$1001)-1),30)))</f>
        <v/>
      </c>
      <c r="E32" s="16">
        <f>IF(B32="","",INDEX(RECON_RESULTS!$G$2:$G$1001,SMALL(IF(RECON_RESULTS!$A$2:$A$1001="Unmatched Bank",ROW(RECON_RESULTS!$A$2:$A$1001)-1),30)))</f>
        <v/>
      </c>
      <c r="F32" s="16">
        <f>IF(B32="","",INDEX(RECON_RESULTS!$H$2:$H$1001,SMALL(IF(RECON_RESULTS!$A$2:$A$1001="Unmatched Bank",ROW(RECON_RESULTS!$A$2:$A$1001)-1),30)))</f>
        <v/>
      </c>
      <c r="G32" s="11" t="inlineStr"/>
      <c r="H32" s="11" t="inlineStr"/>
      <c r="I32" s="11" t="inlineStr"/>
      <c r="J32" s="11" t="inlineStr"/>
      <c r="K32" s="11" t="inlineStr"/>
      <c r="L32" s="11" t="inlineStr"/>
    </row>
    <row r="33">
      <c r="B33" s="11">
        <f>IFERROR(INDEX(RECON_RESULTS!$A$2:$A$1001,SMALL(IF(RECON_RESULTS!$A$2:$A$1001="Unmatched Bank",ROW(RECON_RESULTS!$A$2:$A$1001)-1),31)),"")</f>
        <v/>
      </c>
      <c r="C33" s="10">
        <f>IF(B33="","",INDEX(RECON_RESULTS!$F$2:$F$1001,SMALL(IF(RECON_RESULTS!$A$2:$A$1001="Unmatched Bank",ROW(RECON_RESULTS!$A$2:$A$1001)-1),31)))</f>
        <v/>
      </c>
      <c r="D33" s="11">
        <f>IF(B33="","",INDEX(RECON_RESULTS!$O$2:$O$1001,SMALL(IF(RECON_RESULTS!$A$2:$A$1001="Unmatched Bank",ROW(RECON_RESULTS!$A$2:$A$1001)-1),31)))</f>
        <v/>
      </c>
      <c r="E33" s="16">
        <f>IF(B33="","",INDEX(RECON_RESULTS!$G$2:$G$1001,SMALL(IF(RECON_RESULTS!$A$2:$A$1001="Unmatched Bank",ROW(RECON_RESULTS!$A$2:$A$1001)-1),31)))</f>
        <v/>
      </c>
      <c r="F33" s="16">
        <f>IF(B33="","",INDEX(RECON_RESULTS!$H$2:$H$1001,SMALL(IF(RECON_RESULTS!$A$2:$A$1001="Unmatched Bank",ROW(RECON_RESULTS!$A$2:$A$1001)-1),31)))</f>
        <v/>
      </c>
      <c r="G33" s="11" t="inlineStr"/>
      <c r="H33" s="11" t="inlineStr"/>
      <c r="I33" s="11" t="inlineStr"/>
      <c r="J33" s="11" t="inlineStr"/>
      <c r="K33" s="11" t="inlineStr"/>
      <c r="L33" s="11" t="inlineStr"/>
    </row>
    <row r="34">
      <c r="B34" s="11">
        <f>IFERROR(INDEX(RECON_RESULTS!$A$2:$A$1001,SMALL(IF(RECON_RESULTS!$A$2:$A$1001="Unmatched Bank",ROW(RECON_RESULTS!$A$2:$A$1001)-1),32)),"")</f>
        <v/>
      </c>
      <c r="C34" s="10">
        <f>IF(B34="","",INDEX(RECON_RESULTS!$F$2:$F$1001,SMALL(IF(RECON_RESULTS!$A$2:$A$1001="Unmatched Bank",ROW(RECON_RESULTS!$A$2:$A$1001)-1),32)))</f>
        <v/>
      </c>
      <c r="D34" s="11">
        <f>IF(B34="","",INDEX(RECON_RESULTS!$O$2:$O$1001,SMALL(IF(RECON_RESULTS!$A$2:$A$1001="Unmatched Bank",ROW(RECON_RESULTS!$A$2:$A$1001)-1),32)))</f>
        <v/>
      </c>
      <c r="E34" s="16">
        <f>IF(B34="","",INDEX(RECON_RESULTS!$G$2:$G$1001,SMALL(IF(RECON_RESULTS!$A$2:$A$1001="Unmatched Bank",ROW(RECON_RESULTS!$A$2:$A$1001)-1),32)))</f>
        <v/>
      </c>
      <c r="F34" s="16">
        <f>IF(B34="","",INDEX(RECON_RESULTS!$H$2:$H$1001,SMALL(IF(RECON_RESULTS!$A$2:$A$1001="Unmatched Bank",ROW(RECON_RESULTS!$A$2:$A$1001)-1),32)))</f>
        <v/>
      </c>
      <c r="G34" s="11" t="inlineStr"/>
      <c r="H34" s="11" t="inlineStr"/>
      <c r="I34" s="11" t="inlineStr"/>
      <c r="J34" s="11" t="inlineStr"/>
      <c r="K34" s="11" t="inlineStr"/>
      <c r="L34" s="11" t="inlineStr"/>
    </row>
    <row r="35">
      <c r="B35" s="11">
        <f>IFERROR(INDEX(RECON_RESULTS!$A$2:$A$1001,SMALL(IF(RECON_RESULTS!$A$2:$A$1001="Unmatched Bank",ROW(RECON_RESULTS!$A$2:$A$1001)-1),33)),"")</f>
        <v/>
      </c>
      <c r="C35" s="10">
        <f>IF(B35="","",INDEX(RECON_RESULTS!$F$2:$F$1001,SMALL(IF(RECON_RESULTS!$A$2:$A$1001="Unmatched Bank",ROW(RECON_RESULTS!$A$2:$A$1001)-1),33)))</f>
        <v/>
      </c>
      <c r="D35" s="11">
        <f>IF(B35="","",INDEX(RECON_RESULTS!$O$2:$O$1001,SMALL(IF(RECON_RESULTS!$A$2:$A$1001="Unmatched Bank",ROW(RECON_RESULTS!$A$2:$A$1001)-1),33)))</f>
        <v/>
      </c>
      <c r="E35" s="16">
        <f>IF(B35="","",INDEX(RECON_RESULTS!$G$2:$G$1001,SMALL(IF(RECON_RESULTS!$A$2:$A$1001="Unmatched Bank",ROW(RECON_RESULTS!$A$2:$A$1001)-1),33)))</f>
        <v/>
      </c>
      <c r="F35" s="16">
        <f>IF(B35="","",INDEX(RECON_RESULTS!$H$2:$H$1001,SMALL(IF(RECON_RESULTS!$A$2:$A$1001="Unmatched Bank",ROW(RECON_RESULTS!$A$2:$A$1001)-1),33)))</f>
        <v/>
      </c>
      <c r="G35" s="11" t="inlineStr"/>
      <c r="H35" s="11" t="inlineStr"/>
      <c r="I35" s="11" t="inlineStr"/>
      <c r="J35" s="11" t="inlineStr"/>
      <c r="K35" s="11" t="inlineStr"/>
      <c r="L35" s="11" t="inlineStr"/>
    </row>
    <row r="36">
      <c r="B36" s="11">
        <f>IFERROR(INDEX(RECON_RESULTS!$A$2:$A$1001,SMALL(IF(RECON_RESULTS!$A$2:$A$1001="Unmatched Bank",ROW(RECON_RESULTS!$A$2:$A$1001)-1),34)),"")</f>
        <v/>
      </c>
      <c r="C36" s="10">
        <f>IF(B36="","",INDEX(RECON_RESULTS!$F$2:$F$1001,SMALL(IF(RECON_RESULTS!$A$2:$A$1001="Unmatched Bank",ROW(RECON_RESULTS!$A$2:$A$1001)-1),34)))</f>
        <v/>
      </c>
      <c r="D36" s="11">
        <f>IF(B36="","",INDEX(RECON_RESULTS!$O$2:$O$1001,SMALL(IF(RECON_RESULTS!$A$2:$A$1001="Unmatched Bank",ROW(RECON_RESULTS!$A$2:$A$1001)-1),34)))</f>
        <v/>
      </c>
      <c r="E36" s="16">
        <f>IF(B36="","",INDEX(RECON_RESULTS!$G$2:$G$1001,SMALL(IF(RECON_RESULTS!$A$2:$A$1001="Unmatched Bank",ROW(RECON_RESULTS!$A$2:$A$1001)-1),34)))</f>
        <v/>
      </c>
      <c r="F36" s="16">
        <f>IF(B36="","",INDEX(RECON_RESULTS!$H$2:$H$1001,SMALL(IF(RECON_RESULTS!$A$2:$A$1001="Unmatched Bank",ROW(RECON_RESULTS!$A$2:$A$1001)-1),34)))</f>
        <v/>
      </c>
      <c r="G36" s="11" t="inlineStr"/>
      <c r="H36" s="11" t="inlineStr"/>
      <c r="I36" s="11" t="inlineStr"/>
      <c r="J36" s="11" t="inlineStr"/>
      <c r="K36" s="11" t="inlineStr"/>
      <c r="L36" s="11" t="inlineStr"/>
    </row>
    <row r="37">
      <c r="B37" s="11">
        <f>IFERROR(INDEX(RECON_RESULTS!$A$2:$A$1001,SMALL(IF(RECON_RESULTS!$A$2:$A$1001="Unmatched Bank",ROW(RECON_RESULTS!$A$2:$A$1001)-1),35)),"")</f>
        <v/>
      </c>
      <c r="C37" s="10">
        <f>IF(B37="","",INDEX(RECON_RESULTS!$F$2:$F$1001,SMALL(IF(RECON_RESULTS!$A$2:$A$1001="Unmatched Bank",ROW(RECON_RESULTS!$A$2:$A$1001)-1),35)))</f>
        <v/>
      </c>
      <c r="D37" s="11">
        <f>IF(B37="","",INDEX(RECON_RESULTS!$O$2:$O$1001,SMALL(IF(RECON_RESULTS!$A$2:$A$1001="Unmatched Bank",ROW(RECON_RESULTS!$A$2:$A$1001)-1),35)))</f>
        <v/>
      </c>
      <c r="E37" s="16">
        <f>IF(B37="","",INDEX(RECON_RESULTS!$G$2:$G$1001,SMALL(IF(RECON_RESULTS!$A$2:$A$1001="Unmatched Bank",ROW(RECON_RESULTS!$A$2:$A$1001)-1),35)))</f>
        <v/>
      </c>
      <c r="F37" s="16">
        <f>IF(B37="","",INDEX(RECON_RESULTS!$H$2:$H$1001,SMALL(IF(RECON_RESULTS!$A$2:$A$1001="Unmatched Bank",ROW(RECON_RESULTS!$A$2:$A$1001)-1),35)))</f>
        <v/>
      </c>
      <c r="G37" s="11" t="inlineStr"/>
      <c r="H37" s="11" t="inlineStr"/>
      <c r="I37" s="11" t="inlineStr"/>
      <c r="J37" s="11" t="inlineStr"/>
      <c r="K37" s="11" t="inlineStr"/>
      <c r="L37" s="11" t="inlineStr"/>
    </row>
    <row r="38">
      <c r="B38" s="11">
        <f>IFERROR(INDEX(RECON_RESULTS!$A$2:$A$1001,SMALL(IF(RECON_RESULTS!$A$2:$A$1001="Unmatched Bank",ROW(RECON_RESULTS!$A$2:$A$1001)-1),36)),"")</f>
        <v/>
      </c>
      <c r="C38" s="10">
        <f>IF(B38="","",INDEX(RECON_RESULTS!$F$2:$F$1001,SMALL(IF(RECON_RESULTS!$A$2:$A$1001="Unmatched Bank",ROW(RECON_RESULTS!$A$2:$A$1001)-1),36)))</f>
        <v/>
      </c>
      <c r="D38" s="11">
        <f>IF(B38="","",INDEX(RECON_RESULTS!$O$2:$O$1001,SMALL(IF(RECON_RESULTS!$A$2:$A$1001="Unmatched Bank",ROW(RECON_RESULTS!$A$2:$A$1001)-1),36)))</f>
        <v/>
      </c>
      <c r="E38" s="16">
        <f>IF(B38="","",INDEX(RECON_RESULTS!$G$2:$G$1001,SMALL(IF(RECON_RESULTS!$A$2:$A$1001="Unmatched Bank",ROW(RECON_RESULTS!$A$2:$A$1001)-1),36)))</f>
        <v/>
      </c>
      <c r="F38" s="16">
        <f>IF(B38="","",INDEX(RECON_RESULTS!$H$2:$H$1001,SMALL(IF(RECON_RESULTS!$A$2:$A$1001="Unmatched Bank",ROW(RECON_RESULTS!$A$2:$A$1001)-1),36)))</f>
        <v/>
      </c>
      <c r="G38" s="11" t="inlineStr"/>
      <c r="H38" s="11" t="inlineStr"/>
      <c r="I38" s="11" t="inlineStr"/>
      <c r="J38" s="11" t="inlineStr"/>
      <c r="K38" s="11" t="inlineStr"/>
      <c r="L38" s="11" t="inlineStr"/>
    </row>
    <row r="39">
      <c r="B39" s="11">
        <f>IFERROR(INDEX(RECON_RESULTS!$A$2:$A$1001,SMALL(IF(RECON_RESULTS!$A$2:$A$1001="Unmatched Bank",ROW(RECON_RESULTS!$A$2:$A$1001)-1),37)),"")</f>
        <v/>
      </c>
      <c r="C39" s="10">
        <f>IF(B39="","",INDEX(RECON_RESULTS!$F$2:$F$1001,SMALL(IF(RECON_RESULTS!$A$2:$A$1001="Unmatched Bank",ROW(RECON_RESULTS!$A$2:$A$1001)-1),37)))</f>
        <v/>
      </c>
      <c r="D39" s="11">
        <f>IF(B39="","",INDEX(RECON_RESULTS!$O$2:$O$1001,SMALL(IF(RECON_RESULTS!$A$2:$A$1001="Unmatched Bank",ROW(RECON_RESULTS!$A$2:$A$1001)-1),37)))</f>
        <v/>
      </c>
      <c r="E39" s="16">
        <f>IF(B39="","",INDEX(RECON_RESULTS!$G$2:$G$1001,SMALL(IF(RECON_RESULTS!$A$2:$A$1001="Unmatched Bank",ROW(RECON_RESULTS!$A$2:$A$1001)-1),37)))</f>
        <v/>
      </c>
      <c r="F39" s="16">
        <f>IF(B39="","",INDEX(RECON_RESULTS!$H$2:$H$1001,SMALL(IF(RECON_RESULTS!$A$2:$A$1001="Unmatched Bank",ROW(RECON_RESULTS!$A$2:$A$1001)-1),37)))</f>
        <v/>
      </c>
      <c r="G39" s="11" t="inlineStr"/>
      <c r="H39" s="11" t="inlineStr"/>
      <c r="I39" s="11" t="inlineStr"/>
      <c r="J39" s="11" t="inlineStr"/>
      <c r="K39" s="11" t="inlineStr"/>
      <c r="L39" s="11" t="inlineStr"/>
    </row>
    <row r="40">
      <c r="B40" s="11">
        <f>IFERROR(INDEX(RECON_RESULTS!$A$2:$A$1001,SMALL(IF(RECON_RESULTS!$A$2:$A$1001="Unmatched Bank",ROW(RECON_RESULTS!$A$2:$A$1001)-1),38)),"")</f>
        <v/>
      </c>
      <c r="C40" s="10">
        <f>IF(B40="","",INDEX(RECON_RESULTS!$F$2:$F$1001,SMALL(IF(RECON_RESULTS!$A$2:$A$1001="Unmatched Bank",ROW(RECON_RESULTS!$A$2:$A$1001)-1),38)))</f>
        <v/>
      </c>
      <c r="D40" s="11">
        <f>IF(B40="","",INDEX(RECON_RESULTS!$O$2:$O$1001,SMALL(IF(RECON_RESULTS!$A$2:$A$1001="Unmatched Bank",ROW(RECON_RESULTS!$A$2:$A$1001)-1),38)))</f>
        <v/>
      </c>
      <c r="E40" s="16">
        <f>IF(B40="","",INDEX(RECON_RESULTS!$G$2:$G$1001,SMALL(IF(RECON_RESULTS!$A$2:$A$1001="Unmatched Bank",ROW(RECON_RESULTS!$A$2:$A$1001)-1),38)))</f>
        <v/>
      </c>
      <c r="F40" s="16">
        <f>IF(B40="","",INDEX(RECON_RESULTS!$H$2:$H$1001,SMALL(IF(RECON_RESULTS!$A$2:$A$1001="Unmatched Bank",ROW(RECON_RESULTS!$A$2:$A$1001)-1),38)))</f>
        <v/>
      </c>
      <c r="G40" s="11" t="inlineStr"/>
      <c r="H40" s="11" t="inlineStr"/>
      <c r="I40" s="11" t="inlineStr"/>
      <c r="J40" s="11" t="inlineStr"/>
      <c r="K40" s="11" t="inlineStr"/>
      <c r="L40" s="11" t="inlineStr"/>
    </row>
    <row r="41">
      <c r="B41" s="11">
        <f>IFERROR(INDEX(RECON_RESULTS!$A$2:$A$1001,SMALL(IF(RECON_RESULTS!$A$2:$A$1001="Unmatched Bank",ROW(RECON_RESULTS!$A$2:$A$1001)-1),39)),"")</f>
        <v/>
      </c>
      <c r="C41" s="10">
        <f>IF(B41="","",INDEX(RECON_RESULTS!$F$2:$F$1001,SMALL(IF(RECON_RESULTS!$A$2:$A$1001="Unmatched Bank",ROW(RECON_RESULTS!$A$2:$A$1001)-1),39)))</f>
        <v/>
      </c>
      <c r="D41" s="11">
        <f>IF(B41="","",INDEX(RECON_RESULTS!$O$2:$O$1001,SMALL(IF(RECON_RESULTS!$A$2:$A$1001="Unmatched Bank",ROW(RECON_RESULTS!$A$2:$A$1001)-1),39)))</f>
        <v/>
      </c>
      <c r="E41" s="16">
        <f>IF(B41="","",INDEX(RECON_RESULTS!$G$2:$G$1001,SMALL(IF(RECON_RESULTS!$A$2:$A$1001="Unmatched Bank",ROW(RECON_RESULTS!$A$2:$A$1001)-1),39)))</f>
        <v/>
      </c>
      <c r="F41" s="16">
        <f>IF(B41="","",INDEX(RECON_RESULTS!$H$2:$H$1001,SMALL(IF(RECON_RESULTS!$A$2:$A$1001="Unmatched Bank",ROW(RECON_RESULTS!$A$2:$A$1001)-1),39)))</f>
        <v/>
      </c>
      <c r="G41" s="11" t="inlineStr"/>
      <c r="H41" s="11" t="inlineStr"/>
      <c r="I41" s="11" t="inlineStr"/>
      <c r="J41" s="11" t="inlineStr"/>
      <c r="K41" s="11" t="inlineStr"/>
      <c r="L41" s="11" t="inlineStr"/>
    </row>
    <row r="42">
      <c r="B42" s="11">
        <f>IFERROR(INDEX(RECON_RESULTS!$A$2:$A$1001,SMALL(IF(RECON_RESULTS!$A$2:$A$1001="Unmatched Bank",ROW(RECON_RESULTS!$A$2:$A$1001)-1),40)),"")</f>
        <v/>
      </c>
      <c r="C42" s="10">
        <f>IF(B42="","",INDEX(RECON_RESULTS!$F$2:$F$1001,SMALL(IF(RECON_RESULTS!$A$2:$A$1001="Unmatched Bank",ROW(RECON_RESULTS!$A$2:$A$1001)-1),40)))</f>
        <v/>
      </c>
      <c r="D42" s="11">
        <f>IF(B42="","",INDEX(RECON_RESULTS!$O$2:$O$1001,SMALL(IF(RECON_RESULTS!$A$2:$A$1001="Unmatched Bank",ROW(RECON_RESULTS!$A$2:$A$1001)-1),40)))</f>
        <v/>
      </c>
      <c r="E42" s="16">
        <f>IF(B42="","",INDEX(RECON_RESULTS!$G$2:$G$1001,SMALL(IF(RECON_RESULTS!$A$2:$A$1001="Unmatched Bank",ROW(RECON_RESULTS!$A$2:$A$1001)-1),40)))</f>
        <v/>
      </c>
      <c r="F42" s="16">
        <f>IF(B42="","",INDEX(RECON_RESULTS!$H$2:$H$1001,SMALL(IF(RECON_RESULTS!$A$2:$A$1001="Unmatched Bank",ROW(RECON_RESULTS!$A$2:$A$1001)-1),40)))</f>
        <v/>
      </c>
      <c r="G42" s="11" t="inlineStr"/>
      <c r="H42" s="11" t="inlineStr"/>
      <c r="I42" s="11" t="inlineStr"/>
      <c r="J42" s="11" t="inlineStr"/>
      <c r="K42" s="11" t="inlineStr"/>
      <c r="L42" s="11" t="inlineStr"/>
    </row>
    <row r="43">
      <c r="B43" s="11">
        <f>IFERROR(INDEX(RECON_RESULTS!$A$2:$A$1001,SMALL(IF(RECON_RESULTS!$A$2:$A$1001="Unmatched Bank",ROW(RECON_RESULTS!$A$2:$A$1001)-1),41)),"")</f>
        <v/>
      </c>
      <c r="C43" s="10">
        <f>IF(B43="","",INDEX(RECON_RESULTS!$F$2:$F$1001,SMALL(IF(RECON_RESULTS!$A$2:$A$1001="Unmatched Bank",ROW(RECON_RESULTS!$A$2:$A$1001)-1),41)))</f>
        <v/>
      </c>
      <c r="D43" s="11">
        <f>IF(B43="","",INDEX(RECON_RESULTS!$O$2:$O$1001,SMALL(IF(RECON_RESULTS!$A$2:$A$1001="Unmatched Bank",ROW(RECON_RESULTS!$A$2:$A$1001)-1),41)))</f>
        <v/>
      </c>
      <c r="E43" s="16">
        <f>IF(B43="","",INDEX(RECON_RESULTS!$G$2:$G$1001,SMALL(IF(RECON_RESULTS!$A$2:$A$1001="Unmatched Bank",ROW(RECON_RESULTS!$A$2:$A$1001)-1),41)))</f>
        <v/>
      </c>
      <c r="F43" s="16">
        <f>IF(B43="","",INDEX(RECON_RESULTS!$H$2:$H$1001,SMALL(IF(RECON_RESULTS!$A$2:$A$1001="Unmatched Bank",ROW(RECON_RESULTS!$A$2:$A$1001)-1),41)))</f>
        <v/>
      </c>
      <c r="G43" s="11" t="inlineStr"/>
      <c r="H43" s="11" t="inlineStr"/>
      <c r="I43" s="11" t="inlineStr"/>
      <c r="J43" s="11" t="inlineStr"/>
      <c r="K43" s="11" t="inlineStr"/>
      <c r="L43" s="11" t="inlineStr"/>
    </row>
    <row r="44">
      <c r="B44" s="11">
        <f>IFERROR(INDEX(RECON_RESULTS!$A$2:$A$1001,SMALL(IF(RECON_RESULTS!$A$2:$A$1001="Unmatched Bank",ROW(RECON_RESULTS!$A$2:$A$1001)-1),42)),"")</f>
        <v/>
      </c>
      <c r="C44" s="10">
        <f>IF(B44="","",INDEX(RECON_RESULTS!$F$2:$F$1001,SMALL(IF(RECON_RESULTS!$A$2:$A$1001="Unmatched Bank",ROW(RECON_RESULTS!$A$2:$A$1001)-1),42)))</f>
        <v/>
      </c>
      <c r="D44" s="11">
        <f>IF(B44="","",INDEX(RECON_RESULTS!$O$2:$O$1001,SMALL(IF(RECON_RESULTS!$A$2:$A$1001="Unmatched Bank",ROW(RECON_RESULTS!$A$2:$A$1001)-1),42)))</f>
        <v/>
      </c>
      <c r="E44" s="16">
        <f>IF(B44="","",INDEX(RECON_RESULTS!$G$2:$G$1001,SMALL(IF(RECON_RESULTS!$A$2:$A$1001="Unmatched Bank",ROW(RECON_RESULTS!$A$2:$A$1001)-1),42)))</f>
        <v/>
      </c>
      <c r="F44" s="16">
        <f>IF(B44="","",INDEX(RECON_RESULTS!$H$2:$H$1001,SMALL(IF(RECON_RESULTS!$A$2:$A$1001="Unmatched Bank",ROW(RECON_RESULTS!$A$2:$A$1001)-1),42)))</f>
        <v/>
      </c>
      <c r="G44" s="11" t="inlineStr"/>
      <c r="H44" s="11" t="inlineStr"/>
      <c r="I44" s="11" t="inlineStr"/>
      <c r="J44" s="11" t="inlineStr"/>
      <c r="K44" s="11" t="inlineStr"/>
      <c r="L44" s="11" t="inlineStr"/>
    </row>
    <row r="45">
      <c r="B45" s="11">
        <f>IFERROR(INDEX(RECON_RESULTS!$A$2:$A$1001,SMALL(IF(RECON_RESULTS!$A$2:$A$1001="Unmatched Bank",ROW(RECON_RESULTS!$A$2:$A$1001)-1),43)),"")</f>
        <v/>
      </c>
      <c r="C45" s="10">
        <f>IF(B45="","",INDEX(RECON_RESULTS!$F$2:$F$1001,SMALL(IF(RECON_RESULTS!$A$2:$A$1001="Unmatched Bank",ROW(RECON_RESULTS!$A$2:$A$1001)-1),43)))</f>
        <v/>
      </c>
      <c r="D45" s="11">
        <f>IF(B45="","",INDEX(RECON_RESULTS!$O$2:$O$1001,SMALL(IF(RECON_RESULTS!$A$2:$A$1001="Unmatched Bank",ROW(RECON_RESULTS!$A$2:$A$1001)-1),43)))</f>
        <v/>
      </c>
      <c r="E45" s="16">
        <f>IF(B45="","",INDEX(RECON_RESULTS!$G$2:$G$1001,SMALL(IF(RECON_RESULTS!$A$2:$A$1001="Unmatched Bank",ROW(RECON_RESULTS!$A$2:$A$1001)-1),43)))</f>
        <v/>
      </c>
      <c r="F45" s="16">
        <f>IF(B45="","",INDEX(RECON_RESULTS!$H$2:$H$1001,SMALL(IF(RECON_RESULTS!$A$2:$A$1001="Unmatched Bank",ROW(RECON_RESULTS!$A$2:$A$1001)-1),43)))</f>
        <v/>
      </c>
      <c r="G45" s="11" t="inlineStr"/>
      <c r="H45" s="11" t="inlineStr"/>
      <c r="I45" s="11" t="inlineStr"/>
      <c r="J45" s="11" t="inlineStr"/>
      <c r="K45" s="11" t="inlineStr"/>
      <c r="L45" s="11" t="inlineStr"/>
    </row>
    <row r="46">
      <c r="B46" s="11">
        <f>IFERROR(INDEX(RECON_RESULTS!$A$2:$A$1001,SMALL(IF(RECON_RESULTS!$A$2:$A$1001="Unmatched Bank",ROW(RECON_RESULTS!$A$2:$A$1001)-1),44)),"")</f>
        <v/>
      </c>
      <c r="C46" s="10">
        <f>IF(B46="","",INDEX(RECON_RESULTS!$F$2:$F$1001,SMALL(IF(RECON_RESULTS!$A$2:$A$1001="Unmatched Bank",ROW(RECON_RESULTS!$A$2:$A$1001)-1),44)))</f>
        <v/>
      </c>
      <c r="D46" s="11">
        <f>IF(B46="","",INDEX(RECON_RESULTS!$O$2:$O$1001,SMALL(IF(RECON_RESULTS!$A$2:$A$1001="Unmatched Bank",ROW(RECON_RESULTS!$A$2:$A$1001)-1),44)))</f>
        <v/>
      </c>
      <c r="E46" s="16">
        <f>IF(B46="","",INDEX(RECON_RESULTS!$G$2:$G$1001,SMALL(IF(RECON_RESULTS!$A$2:$A$1001="Unmatched Bank",ROW(RECON_RESULTS!$A$2:$A$1001)-1),44)))</f>
        <v/>
      </c>
      <c r="F46" s="16">
        <f>IF(B46="","",INDEX(RECON_RESULTS!$H$2:$H$1001,SMALL(IF(RECON_RESULTS!$A$2:$A$1001="Unmatched Bank",ROW(RECON_RESULTS!$A$2:$A$1001)-1),44)))</f>
        <v/>
      </c>
      <c r="G46" s="11" t="inlineStr"/>
      <c r="H46" s="11" t="inlineStr"/>
      <c r="I46" s="11" t="inlineStr"/>
      <c r="J46" s="11" t="inlineStr"/>
      <c r="K46" s="11" t="inlineStr"/>
      <c r="L46" s="11" t="inlineStr"/>
    </row>
    <row r="47">
      <c r="B47" s="11">
        <f>IFERROR(INDEX(RECON_RESULTS!$A$2:$A$1001,SMALL(IF(RECON_RESULTS!$A$2:$A$1001="Unmatched Bank",ROW(RECON_RESULTS!$A$2:$A$1001)-1),45)),"")</f>
        <v/>
      </c>
      <c r="C47" s="10">
        <f>IF(B47="","",INDEX(RECON_RESULTS!$F$2:$F$1001,SMALL(IF(RECON_RESULTS!$A$2:$A$1001="Unmatched Bank",ROW(RECON_RESULTS!$A$2:$A$1001)-1),45)))</f>
        <v/>
      </c>
      <c r="D47" s="11">
        <f>IF(B47="","",INDEX(RECON_RESULTS!$O$2:$O$1001,SMALL(IF(RECON_RESULTS!$A$2:$A$1001="Unmatched Bank",ROW(RECON_RESULTS!$A$2:$A$1001)-1),45)))</f>
        <v/>
      </c>
      <c r="E47" s="16">
        <f>IF(B47="","",INDEX(RECON_RESULTS!$G$2:$G$1001,SMALL(IF(RECON_RESULTS!$A$2:$A$1001="Unmatched Bank",ROW(RECON_RESULTS!$A$2:$A$1001)-1),45)))</f>
        <v/>
      </c>
      <c r="F47" s="16">
        <f>IF(B47="","",INDEX(RECON_RESULTS!$H$2:$H$1001,SMALL(IF(RECON_RESULTS!$A$2:$A$1001="Unmatched Bank",ROW(RECON_RESULTS!$A$2:$A$1001)-1),45)))</f>
        <v/>
      </c>
      <c r="G47" s="11" t="inlineStr"/>
      <c r="H47" s="11" t="inlineStr"/>
      <c r="I47" s="11" t="inlineStr"/>
      <c r="J47" s="11" t="inlineStr"/>
      <c r="K47" s="11" t="inlineStr"/>
      <c r="L47" s="11" t="inlineStr"/>
    </row>
    <row r="48">
      <c r="B48" s="11">
        <f>IFERROR(INDEX(RECON_RESULTS!$A$2:$A$1001,SMALL(IF(RECON_RESULTS!$A$2:$A$1001="Unmatched Bank",ROW(RECON_RESULTS!$A$2:$A$1001)-1),46)),"")</f>
        <v/>
      </c>
      <c r="C48" s="10">
        <f>IF(B48="","",INDEX(RECON_RESULTS!$F$2:$F$1001,SMALL(IF(RECON_RESULTS!$A$2:$A$1001="Unmatched Bank",ROW(RECON_RESULTS!$A$2:$A$1001)-1),46)))</f>
        <v/>
      </c>
      <c r="D48" s="11">
        <f>IF(B48="","",INDEX(RECON_RESULTS!$O$2:$O$1001,SMALL(IF(RECON_RESULTS!$A$2:$A$1001="Unmatched Bank",ROW(RECON_RESULTS!$A$2:$A$1001)-1),46)))</f>
        <v/>
      </c>
      <c r="E48" s="16">
        <f>IF(B48="","",INDEX(RECON_RESULTS!$G$2:$G$1001,SMALL(IF(RECON_RESULTS!$A$2:$A$1001="Unmatched Bank",ROW(RECON_RESULTS!$A$2:$A$1001)-1),46)))</f>
        <v/>
      </c>
      <c r="F48" s="16">
        <f>IF(B48="","",INDEX(RECON_RESULTS!$H$2:$H$1001,SMALL(IF(RECON_RESULTS!$A$2:$A$1001="Unmatched Bank",ROW(RECON_RESULTS!$A$2:$A$1001)-1),46)))</f>
        <v/>
      </c>
      <c r="G48" s="11" t="inlineStr"/>
      <c r="H48" s="11" t="inlineStr"/>
      <c r="I48" s="11" t="inlineStr"/>
      <c r="J48" s="11" t="inlineStr"/>
      <c r="K48" s="11" t="inlineStr"/>
      <c r="L48" s="11" t="inlineStr"/>
    </row>
    <row r="49">
      <c r="B49" s="11">
        <f>IFERROR(INDEX(RECON_RESULTS!$A$2:$A$1001,SMALL(IF(RECON_RESULTS!$A$2:$A$1001="Unmatched Bank",ROW(RECON_RESULTS!$A$2:$A$1001)-1),47)),"")</f>
        <v/>
      </c>
      <c r="C49" s="10">
        <f>IF(B49="","",INDEX(RECON_RESULTS!$F$2:$F$1001,SMALL(IF(RECON_RESULTS!$A$2:$A$1001="Unmatched Bank",ROW(RECON_RESULTS!$A$2:$A$1001)-1),47)))</f>
        <v/>
      </c>
      <c r="D49" s="11">
        <f>IF(B49="","",INDEX(RECON_RESULTS!$O$2:$O$1001,SMALL(IF(RECON_RESULTS!$A$2:$A$1001="Unmatched Bank",ROW(RECON_RESULTS!$A$2:$A$1001)-1),47)))</f>
        <v/>
      </c>
      <c r="E49" s="16">
        <f>IF(B49="","",INDEX(RECON_RESULTS!$G$2:$G$1001,SMALL(IF(RECON_RESULTS!$A$2:$A$1001="Unmatched Bank",ROW(RECON_RESULTS!$A$2:$A$1001)-1),47)))</f>
        <v/>
      </c>
      <c r="F49" s="16">
        <f>IF(B49="","",INDEX(RECON_RESULTS!$H$2:$H$1001,SMALL(IF(RECON_RESULTS!$A$2:$A$1001="Unmatched Bank",ROW(RECON_RESULTS!$A$2:$A$1001)-1),47)))</f>
        <v/>
      </c>
      <c r="G49" s="11" t="inlineStr"/>
      <c r="H49" s="11" t="inlineStr"/>
      <c r="I49" s="11" t="inlineStr"/>
      <c r="J49" s="11" t="inlineStr"/>
      <c r="K49" s="11" t="inlineStr"/>
      <c r="L49" s="11" t="inlineStr"/>
    </row>
    <row r="50">
      <c r="B50" s="11">
        <f>IFERROR(INDEX(RECON_RESULTS!$A$2:$A$1001,SMALL(IF(RECON_RESULTS!$A$2:$A$1001="Unmatched Bank",ROW(RECON_RESULTS!$A$2:$A$1001)-1),48)),"")</f>
        <v/>
      </c>
      <c r="C50" s="10">
        <f>IF(B50="","",INDEX(RECON_RESULTS!$F$2:$F$1001,SMALL(IF(RECON_RESULTS!$A$2:$A$1001="Unmatched Bank",ROW(RECON_RESULTS!$A$2:$A$1001)-1),48)))</f>
        <v/>
      </c>
      <c r="D50" s="11">
        <f>IF(B50="","",INDEX(RECON_RESULTS!$O$2:$O$1001,SMALL(IF(RECON_RESULTS!$A$2:$A$1001="Unmatched Bank",ROW(RECON_RESULTS!$A$2:$A$1001)-1),48)))</f>
        <v/>
      </c>
      <c r="E50" s="16">
        <f>IF(B50="","",INDEX(RECON_RESULTS!$G$2:$G$1001,SMALL(IF(RECON_RESULTS!$A$2:$A$1001="Unmatched Bank",ROW(RECON_RESULTS!$A$2:$A$1001)-1),48)))</f>
        <v/>
      </c>
      <c r="F50" s="16">
        <f>IF(B50="","",INDEX(RECON_RESULTS!$H$2:$H$1001,SMALL(IF(RECON_RESULTS!$A$2:$A$1001="Unmatched Bank",ROW(RECON_RESULTS!$A$2:$A$1001)-1),48)))</f>
        <v/>
      </c>
      <c r="G50" s="11" t="inlineStr"/>
      <c r="H50" s="11" t="inlineStr"/>
      <c r="I50" s="11" t="inlineStr"/>
      <c r="J50" s="11" t="inlineStr"/>
      <c r="K50" s="11" t="inlineStr"/>
      <c r="L50" s="11" t="inlineStr"/>
    </row>
    <row r="51">
      <c r="B51" s="11">
        <f>IFERROR(INDEX(RECON_RESULTS!$A$2:$A$1001,SMALL(IF(RECON_RESULTS!$A$2:$A$1001="Unmatched Bank",ROW(RECON_RESULTS!$A$2:$A$1001)-1),49)),"")</f>
        <v/>
      </c>
      <c r="C51" s="10">
        <f>IF(B51="","",INDEX(RECON_RESULTS!$F$2:$F$1001,SMALL(IF(RECON_RESULTS!$A$2:$A$1001="Unmatched Bank",ROW(RECON_RESULTS!$A$2:$A$1001)-1),49)))</f>
        <v/>
      </c>
      <c r="D51" s="11">
        <f>IF(B51="","",INDEX(RECON_RESULTS!$O$2:$O$1001,SMALL(IF(RECON_RESULTS!$A$2:$A$1001="Unmatched Bank",ROW(RECON_RESULTS!$A$2:$A$1001)-1),49)))</f>
        <v/>
      </c>
      <c r="E51" s="16">
        <f>IF(B51="","",INDEX(RECON_RESULTS!$G$2:$G$1001,SMALL(IF(RECON_RESULTS!$A$2:$A$1001="Unmatched Bank",ROW(RECON_RESULTS!$A$2:$A$1001)-1),49)))</f>
        <v/>
      </c>
      <c r="F51" s="16">
        <f>IF(B51="","",INDEX(RECON_RESULTS!$H$2:$H$1001,SMALL(IF(RECON_RESULTS!$A$2:$A$1001="Unmatched Bank",ROW(RECON_RESULTS!$A$2:$A$1001)-1),49)))</f>
        <v/>
      </c>
      <c r="G51" s="11" t="inlineStr"/>
      <c r="H51" s="11" t="inlineStr"/>
      <c r="I51" s="11" t="inlineStr"/>
      <c r="J51" s="11" t="inlineStr"/>
      <c r="K51" s="11" t="inlineStr"/>
      <c r="L51" s="11" t="inlineStr"/>
    </row>
    <row r="52">
      <c r="B52" s="11">
        <f>IFERROR(INDEX(RECON_RESULTS!$A$2:$A$1001,SMALL(IF(RECON_RESULTS!$A$2:$A$1001="Unmatched Bank",ROW(RECON_RESULTS!$A$2:$A$1001)-1),50)),"")</f>
        <v/>
      </c>
      <c r="C52" s="10">
        <f>IF(B52="","",INDEX(RECON_RESULTS!$F$2:$F$1001,SMALL(IF(RECON_RESULTS!$A$2:$A$1001="Unmatched Bank",ROW(RECON_RESULTS!$A$2:$A$1001)-1),50)))</f>
        <v/>
      </c>
      <c r="D52" s="11">
        <f>IF(B52="","",INDEX(RECON_RESULTS!$O$2:$O$1001,SMALL(IF(RECON_RESULTS!$A$2:$A$1001="Unmatched Bank",ROW(RECON_RESULTS!$A$2:$A$1001)-1),50)))</f>
        <v/>
      </c>
      <c r="E52" s="16">
        <f>IF(B52="","",INDEX(RECON_RESULTS!$G$2:$G$1001,SMALL(IF(RECON_RESULTS!$A$2:$A$1001="Unmatched Bank",ROW(RECON_RESULTS!$A$2:$A$1001)-1),50)))</f>
        <v/>
      </c>
      <c r="F52" s="16">
        <f>IF(B52="","",INDEX(RECON_RESULTS!$H$2:$H$1001,SMALL(IF(RECON_RESULTS!$A$2:$A$1001="Unmatched Bank",ROW(RECON_RESULTS!$A$2:$A$1001)-1),50)))</f>
        <v/>
      </c>
      <c r="G52" s="11" t="inlineStr"/>
      <c r="H52" s="11" t="inlineStr"/>
      <c r="I52" s="11" t="inlineStr"/>
      <c r="J52" s="11" t="inlineStr"/>
      <c r="K52" s="11" t="inlineStr"/>
      <c r="L52" s="11" t="inlineStr"/>
    </row>
    <row r="53">
      <c r="B53" s="11">
        <f>IFERROR(INDEX(RECON_RESULTS!$A$2:$A$1001,SMALL(IF(RECON_RESULTS!$A$2:$A$1001="Unmatched Bank",ROW(RECON_RESULTS!$A$2:$A$1001)-1),51)),"")</f>
        <v/>
      </c>
      <c r="C53" s="10">
        <f>IF(B53="","",INDEX(RECON_RESULTS!$F$2:$F$1001,SMALL(IF(RECON_RESULTS!$A$2:$A$1001="Unmatched Bank",ROW(RECON_RESULTS!$A$2:$A$1001)-1),51)))</f>
        <v/>
      </c>
      <c r="D53" s="11">
        <f>IF(B53="","",INDEX(RECON_RESULTS!$O$2:$O$1001,SMALL(IF(RECON_RESULTS!$A$2:$A$1001="Unmatched Bank",ROW(RECON_RESULTS!$A$2:$A$1001)-1),51)))</f>
        <v/>
      </c>
      <c r="E53" s="16">
        <f>IF(B53="","",INDEX(RECON_RESULTS!$G$2:$G$1001,SMALL(IF(RECON_RESULTS!$A$2:$A$1001="Unmatched Bank",ROW(RECON_RESULTS!$A$2:$A$1001)-1),51)))</f>
        <v/>
      </c>
      <c r="F53" s="16">
        <f>IF(B53="","",INDEX(RECON_RESULTS!$H$2:$H$1001,SMALL(IF(RECON_RESULTS!$A$2:$A$1001="Unmatched Bank",ROW(RECON_RESULTS!$A$2:$A$1001)-1),51)))</f>
        <v/>
      </c>
      <c r="G53" s="11" t="inlineStr"/>
      <c r="H53" s="11" t="inlineStr"/>
      <c r="I53" s="11" t="inlineStr"/>
      <c r="J53" s="11" t="inlineStr"/>
      <c r="K53" s="11" t="inlineStr"/>
      <c r="L53" s="11" t="inlineStr"/>
    </row>
    <row r="54">
      <c r="B54" s="11">
        <f>IFERROR(INDEX(RECON_RESULTS!$A$2:$A$1001,SMALL(IF(RECON_RESULTS!$A$2:$A$1001="Unmatched Bank",ROW(RECON_RESULTS!$A$2:$A$1001)-1),52)),"")</f>
        <v/>
      </c>
      <c r="C54" s="10">
        <f>IF(B54="","",INDEX(RECON_RESULTS!$F$2:$F$1001,SMALL(IF(RECON_RESULTS!$A$2:$A$1001="Unmatched Bank",ROW(RECON_RESULTS!$A$2:$A$1001)-1),52)))</f>
        <v/>
      </c>
      <c r="D54" s="11">
        <f>IF(B54="","",INDEX(RECON_RESULTS!$O$2:$O$1001,SMALL(IF(RECON_RESULTS!$A$2:$A$1001="Unmatched Bank",ROW(RECON_RESULTS!$A$2:$A$1001)-1),52)))</f>
        <v/>
      </c>
      <c r="E54" s="16">
        <f>IF(B54="","",INDEX(RECON_RESULTS!$G$2:$G$1001,SMALL(IF(RECON_RESULTS!$A$2:$A$1001="Unmatched Bank",ROW(RECON_RESULTS!$A$2:$A$1001)-1),52)))</f>
        <v/>
      </c>
      <c r="F54" s="16">
        <f>IF(B54="","",INDEX(RECON_RESULTS!$H$2:$H$1001,SMALL(IF(RECON_RESULTS!$A$2:$A$1001="Unmatched Bank",ROW(RECON_RESULTS!$A$2:$A$1001)-1),52)))</f>
        <v/>
      </c>
      <c r="G54" s="11" t="inlineStr"/>
      <c r="H54" s="11" t="inlineStr"/>
      <c r="I54" s="11" t="inlineStr"/>
      <c r="J54" s="11" t="inlineStr"/>
      <c r="K54" s="11" t="inlineStr"/>
      <c r="L54" s="11" t="inlineStr"/>
    </row>
    <row r="55">
      <c r="B55" s="11">
        <f>IFERROR(INDEX(RECON_RESULTS!$A$2:$A$1001,SMALL(IF(RECON_RESULTS!$A$2:$A$1001="Unmatched Bank",ROW(RECON_RESULTS!$A$2:$A$1001)-1),53)),"")</f>
        <v/>
      </c>
      <c r="C55" s="10">
        <f>IF(B55="","",INDEX(RECON_RESULTS!$F$2:$F$1001,SMALL(IF(RECON_RESULTS!$A$2:$A$1001="Unmatched Bank",ROW(RECON_RESULTS!$A$2:$A$1001)-1),53)))</f>
        <v/>
      </c>
      <c r="D55" s="11">
        <f>IF(B55="","",INDEX(RECON_RESULTS!$O$2:$O$1001,SMALL(IF(RECON_RESULTS!$A$2:$A$1001="Unmatched Bank",ROW(RECON_RESULTS!$A$2:$A$1001)-1),53)))</f>
        <v/>
      </c>
      <c r="E55" s="16">
        <f>IF(B55="","",INDEX(RECON_RESULTS!$G$2:$G$1001,SMALL(IF(RECON_RESULTS!$A$2:$A$1001="Unmatched Bank",ROW(RECON_RESULTS!$A$2:$A$1001)-1),53)))</f>
        <v/>
      </c>
      <c r="F55" s="16">
        <f>IF(B55="","",INDEX(RECON_RESULTS!$H$2:$H$1001,SMALL(IF(RECON_RESULTS!$A$2:$A$1001="Unmatched Bank",ROW(RECON_RESULTS!$A$2:$A$1001)-1),53)))</f>
        <v/>
      </c>
      <c r="G55" s="11" t="inlineStr"/>
      <c r="H55" s="11" t="inlineStr"/>
      <c r="I55" s="11" t="inlineStr"/>
      <c r="J55" s="11" t="inlineStr"/>
      <c r="K55" s="11" t="inlineStr"/>
      <c r="L55" s="11" t="inlineStr"/>
    </row>
    <row r="56">
      <c r="B56" s="11">
        <f>IFERROR(INDEX(RECON_RESULTS!$A$2:$A$1001,SMALL(IF(RECON_RESULTS!$A$2:$A$1001="Unmatched Bank",ROW(RECON_RESULTS!$A$2:$A$1001)-1),54)),"")</f>
        <v/>
      </c>
      <c r="C56" s="10">
        <f>IF(B56="","",INDEX(RECON_RESULTS!$F$2:$F$1001,SMALL(IF(RECON_RESULTS!$A$2:$A$1001="Unmatched Bank",ROW(RECON_RESULTS!$A$2:$A$1001)-1),54)))</f>
        <v/>
      </c>
      <c r="D56" s="11">
        <f>IF(B56="","",INDEX(RECON_RESULTS!$O$2:$O$1001,SMALL(IF(RECON_RESULTS!$A$2:$A$1001="Unmatched Bank",ROW(RECON_RESULTS!$A$2:$A$1001)-1),54)))</f>
        <v/>
      </c>
      <c r="E56" s="16">
        <f>IF(B56="","",INDEX(RECON_RESULTS!$G$2:$G$1001,SMALL(IF(RECON_RESULTS!$A$2:$A$1001="Unmatched Bank",ROW(RECON_RESULTS!$A$2:$A$1001)-1),54)))</f>
        <v/>
      </c>
      <c r="F56" s="16">
        <f>IF(B56="","",INDEX(RECON_RESULTS!$H$2:$H$1001,SMALL(IF(RECON_RESULTS!$A$2:$A$1001="Unmatched Bank",ROW(RECON_RESULTS!$A$2:$A$1001)-1),54)))</f>
        <v/>
      </c>
      <c r="G56" s="11" t="inlineStr"/>
      <c r="H56" s="11" t="inlineStr"/>
      <c r="I56" s="11" t="inlineStr"/>
      <c r="J56" s="11" t="inlineStr"/>
      <c r="K56" s="11" t="inlineStr"/>
      <c r="L56" s="11" t="inlineStr"/>
    </row>
    <row r="57">
      <c r="B57" s="11">
        <f>IFERROR(INDEX(RECON_RESULTS!$A$2:$A$1001,SMALL(IF(RECON_RESULTS!$A$2:$A$1001="Unmatched Bank",ROW(RECON_RESULTS!$A$2:$A$1001)-1),55)),"")</f>
        <v/>
      </c>
      <c r="C57" s="10">
        <f>IF(B57="","",INDEX(RECON_RESULTS!$F$2:$F$1001,SMALL(IF(RECON_RESULTS!$A$2:$A$1001="Unmatched Bank",ROW(RECON_RESULTS!$A$2:$A$1001)-1),55)))</f>
        <v/>
      </c>
      <c r="D57" s="11">
        <f>IF(B57="","",INDEX(RECON_RESULTS!$O$2:$O$1001,SMALL(IF(RECON_RESULTS!$A$2:$A$1001="Unmatched Bank",ROW(RECON_RESULTS!$A$2:$A$1001)-1),55)))</f>
        <v/>
      </c>
      <c r="E57" s="16">
        <f>IF(B57="","",INDEX(RECON_RESULTS!$G$2:$G$1001,SMALL(IF(RECON_RESULTS!$A$2:$A$1001="Unmatched Bank",ROW(RECON_RESULTS!$A$2:$A$1001)-1),55)))</f>
        <v/>
      </c>
      <c r="F57" s="16">
        <f>IF(B57="","",INDEX(RECON_RESULTS!$H$2:$H$1001,SMALL(IF(RECON_RESULTS!$A$2:$A$1001="Unmatched Bank",ROW(RECON_RESULTS!$A$2:$A$1001)-1),55)))</f>
        <v/>
      </c>
      <c r="G57" s="11" t="inlineStr"/>
      <c r="H57" s="11" t="inlineStr"/>
      <c r="I57" s="11" t="inlineStr"/>
      <c r="J57" s="11" t="inlineStr"/>
      <c r="K57" s="11" t="inlineStr"/>
      <c r="L57" s="11" t="inlineStr"/>
    </row>
    <row r="58">
      <c r="B58" s="11">
        <f>IFERROR(INDEX(RECON_RESULTS!$A$2:$A$1001,SMALL(IF(RECON_RESULTS!$A$2:$A$1001="Unmatched Bank",ROW(RECON_RESULTS!$A$2:$A$1001)-1),56)),"")</f>
        <v/>
      </c>
      <c r="C58" s="10">
        <f>IF(B58="","",INDEX(RECON_RESULTS!$F$2:$F$1001,SMALL(IF(RECON_RESULTS!$A$2:$A$1001="Unmatched Bank",ROW(RECON_RESULTS!$A$2:$A$1001)-1),56)))</f>
        <v/>
      </c>
      <c r="D58" s="11">
        <f>IF(B58="","",INDEX(RECON_RESULTS!$O$2:$O$1001,SMALL(IF(RECON_RESULTS!$A$2:$A$1001="Unmatched Bank",ROW(RECON_RESULTS!$A$2:$A$1001)-1),56)))</f>
        <v/>
      </c>
      <c r="E58" s="16">
        <f>IF(B58="","",INDEX(RECON_RESULTS!$G$2:$G$1001,SMALL(IF(RECON_RESULTS!$A$2:$A$1001="Unmatched Bank",ROW(RECON_RESULTS!$A$2:$A$1001)-1),56)))</f>
        <v/>
      </c>
      <c r="F58" s="16">
        <f>IF(B58="","",INDEX(RECON_RESULTS!$H$2:$H$1001,SMALL(IF(RECON_RESULTS!$A$2:$A$1001="Unmatched Bank",ROW(RECON_RESULTS!$A$2:$A$1001)-1),56)))</f>
        <v/>
      </c>
      <c r="G58" s="11" t="inlineStr"/>
      <c r="H58" s="11" t="inlineStr"/>
      <c r="I58" s="11" t="inlineStr"/>
      <c r="J58" s="11" t="inlineStr"/>
      <c r="K58" s="11" t="inlineStr"/>
      <c r="L58" s="11" t="inlineStr"/>
    </row>
    <row r="59">
      <c r="B59" s="11">
        <f>IFERROR(INDEX(RECON_RESULTS!$A$2:$A$1001,SMALL(IF(RECON_RESULTS!$A$2:$A$1001="Unmatched Bank",ROW(RECON_RESULTS!$A$2:$A$1001)-1),57)),"")</f>
        <v/>
      </c>
      <c r="C59" s="10">
        <f>IF(B59="","",INDEX(RECON_RESULTS!$F$2:$F$1001,SMALL(IF(RECON_RESULTS!$A$2:$A$1001="Unmatched Bank",ROW(RECON_RESULTS!$A$2:$A$1001)-1),57)))</f>
        <v/>
      </c>
      <c r="D59" s="11">
        <f>IF(B59="","",INDEX(RECON_RESULTS!$O$2:$O$1001,SMALL(IF(RECON_RESULTS!$A$2:$A$1001="Unmatched Bank",ROW(RECON_RESULTS!$A$2:$A$1001)-1),57)))</f>
        <v/>
      </c>
      <c r="E59" s="16">
        <f>IF(B59="","",INDEX(RECON_RESULTS!$G$2:$G$1001,SMALL(IF(RECON_RESULTS!$A$2:$A$1001="Unmatched Bank",ROW(RECON_RESULTS!$A$2:$A$1001)-1),57)))</f>
        <v/>
      </c>
      <c r="F59" s="16">
        <f>IF(B59="","",INDEX(RECON_RESULTS!$H$2:$H$1001,SMALL(IF(RECON_RESULTS!$A$2:$A$1001="Unmatched Bank",ROW(RECON_RESULTS!$A$2:$A$1001)-1),57)))</f>
        <v/>
      </c>
      <c r="G59" s="11" t="inlineStr"/>
      <c r="H59" s="11" t="inlineStr"/>
      <c r="I59" s="11" t="inlineStr"/>
      <c r="J59" s="11" t="inlineStr"/>
      <c r="K59" s="11" t="inlineStr"/>
      <c r="L59" s="11" t="inlineStr"/>
    </row>
    <row r="60">
      <c r="B60" s="11">
        <f>IFERROR(INDEX(RECON_RESULTS!$A$2:$A$1001,SMALL(IF(RECON_RESULTS!$A$2:$A$1001="Unmatched Bank",ROW(RECON_RESULTS!$A$2:$A$1001)-1),58)),"")</f>
        <v/>
      </c>
      <c r="C60" s="10">
        <f>IF(B60="","",INDEX(RECON_RESULTS!$F$2:$F$1001,SMALL(IF(RECON_RESULTS!$A$2:$A$1001="Unmatched Bank",ROW(RECON_RESULTS!$A$2:$A$1001)-1),58)))</f>
        <v/>
      </c>
      <c r="D60" s="11">
        <f>IF(B60="","",INDEX(RECON_RESULTS!$O$2:$O$1001,SMALL(IF(RECON_RESULTS!$A$2:$A$1001="Unmatched Bank",ROW(RECON_RESULTS!$A$2:$A$1001)-1),58)))</f>
        <v/>
      </c>
      <c r="E60" s="16">
        <f>IF(B60="","",INDEX(RECON_RESULTS!$G$2:$G$1001,SMALL(IF(RECON_RESULTS!$A$2:$A$1001="Unmatched Bank",ROW(RECON_RESULTS!$A$2:$A$1001)-1),58)))</f>
        <v/>
      </c>
      <c r="F60" s="16">
        <f>IF(B60="","",INDEX(RECON_RESULTS!$H$2:$H$1001,SMALL(IF(RECON_RESULTS!$A$2:$A$1001="Unmatched Bank",ROW(RECON_RESULTS!$A$2:$A$1001)-1),58)))</f>
        <v/>
      </c>
      <c r="G60" s="11" t="inlineStr"/>
      <c r="H60" s="11" t="inlineStr"/>
      <c r="I60" s="11" t="inlineStr"/>
      <c r="J60" s="11" t="inlineStr"/>
      <c r="K60" s="11" t="inlineStr"/>
      <c r="L60" s="11" t="inlineStr"/>
    </row>
    <row r="61">
      <c r="B61" s="11">
        <f>IFERROR(INDEX(RECON_RESULTS!$A$2:$A$1001,SMALL(IF(RECON_RESULTS!$A$2:$A$1001="Unmatched Bank",ROW(RECON_RESULTS!$A$2:$A$1001)-1),59)),"")</f>
        <v/>
      </c>
      <c r="C61" s="10">
        <f>IF(B61="","",INDEX(RECON_RESULTS!$F$2:$F$1001,SMALL(IF(RECON_RESULTS!$A$2:$A$1001="Unmatched Bank",ROW(RECON_RESULTS!$A$2:$A$1001)-1),59)))</f>
        <v/>
      </c>
      <c r="D61" s="11">
        <f>IF(B61="","",INDEX(RECON_RESULTS!$O$2:$O$1001,SMALL(IF(RECON_RESULTS!$A$2:$A$1001="Unmatched Bank",ROW(RECON_RESULTS!$A$2:$A$1001)-1),59)))</f>
        <v/>
      </c>
      <c r="E61" s="16">
        <f>IF(B61="","",INDEX(RECON_RESULTS!$G$2:$G$1001,SMALL(IF(RECON_RESULTS!$A$2:$A$1001="Unmatched Bank",ROW(RECON_RESULTS!$A$2:$A$1001)-1),59)))</f>
        <v/>
      </c>
      <c r="F61" s="16">
        <f>IF(B61="","",INDEX(RECON_RESULTS!$H$2:$H$1001,SMALL(IF(RECON_RESULTS!$A$2:$A$1001="Unmatched Bank",ROW(RECON_RESULTS!$A$2:$A$1001)-1),59)))</f>
        <v/>
      </c>
      <c r="G61" s="11" t="inlineStr"/>
      <c r="H61" s="11" t="inlineStr"/>
      <c r="I61" s="11" t="inlineStr"/>
      <c r="J61" s="11" t="inlineStr"/>
      <c r="K61" s="11" t="inlineStr"/>
      <c r="L61" s="11" t="inlineStr"/>
    </row>
    <row r="62">
      <c r="B62" s="11">
        <f>IFERROR(INDEX(RECON_RESULTS!$A$2:$A$1001,SMALL(IF(RECON_RESULTS!$A$2:$A$1001="Unmatched Bank",ROW(RECON_RESULTS!$A$2:$A$1001)-1),60)),"")</f>
        <v/>
      </c>
      <c r="C62" s="10">
        <f>IF(B62="","",INDEX(RECON_RESULTS!$F$2:$F$1001,SMALL(IF(RECON_RESULTS!$A$2:$A$1001="Unmatched Bank",ROW(RECON_RESULTS!$A$2:$A$1001)-1),60)))</f>
        <v/>
      </c>
      <c r="D62" s="11">
        <f>IF(B62="","",INDEX(RECON_RESULTS!$O$2:$O$1001,SMALL(IF(RECON_RESULTS!$A$2:$A$1001="Unmatched Bank",ROW(RECON_RESULTS!$A$2:$A$1001)-1),60)))</f>
        <v/>
      </c>
      <c r="E62" s="16">
        <f>IF(B62="","",INDEX(RECON_RESULTS!$G$2:$G$1001,SMALL(IF(RECON_RESULTS!$A$2:$A$1001="Unmatched Bank",ROW(RECON_RESULTS!$A$2:$A$1001)-1),60)))</f>
        <v/>
      </c>
      <c r="F62" s="16">
        <f>IF(B62="","",INDEX(RECON_RESULTS!$H$2:$H$1001,SMALL(IF(RECON_RESULTS!$A$2:$A$1001="Unmatched Bank",ROW(RECON_RESULTS!$A$2:$A$1001)-1),60)))</f>
        <v/>
      </c>
      <c r="G62" s="11" t="inlineStr"/>
      <c r="H62" s="11" t="inlineStr"/>
      <c r="I62" s="11" t="inlineStr"/>
      <c r="J62" s="11" t="inlineStr"/>
      <c r="K62" s="11" t="inlineStr"/>
      <c r="L62" s="11" t="inlineStr"/>
    </row>
    <row r="63">
      <c r="B63" s="11">
        <f>IFERROR(INDEX(RECON_RESULTS!$A$2:$A$1001,SMALL(IF(RECON_RESULTS!$A$2:$A$1001="Unmatched Bank",ROW(RECON_RESULTS!$A$2:$A$1001)-1),61)),"")</f>
        <v/>
      </c>
      <c r="C63" s="10">
        <f>IF(B63="","",INDEX(RECON_RESULTS!$F$2:$F$1001,SMALL(IF(RECON_RESULTS!$A$2:$A$1001="Unmatched Bank",ROW(RECON_RESULTS!$A$2:$A$1001)-1),61)))</f>
        <v/>
      </c>
      <c r="D63" s="11">
        <f>IF(B63="","",INDEX(RECON_RESULTS!$O$2:$O$1001,SMALL(IF(RECON_RESULTS!$A$2:$A$1001="Unmatched Bank",ROW(RECON_RESULTS!$A$2:$A$1001)-1),61)))</f>
        <v/>
      </c>
      <c r="E63" s="16">
        <f>IF(B63="","",INDEX(RECON_RESULTS!$G$2:$G$1001,SMALL(IF(RECON_RESULTS!$A$2:$A$1001="Unmatched Bank",ROW(RECON_RESULTS!$A$2:$A$1001)-1),61)))</f>
        <v/>
      </c>
      <c r="F63" s="16">
        <f>IF(B63="","",INDEX(RECON_RESULTS!$H$2:$H$1001,SMALL(IF(RECON_RESULTS!$A$2:$A$1001="Unmatched Bank",ROW(RECON_RESULTS!$A$2:$A$1001)-1),61)))</f>
        <v/>
      </c>
      <c r="G63" s="11" t="inlineStr"/>
      <c r="H63" s="11" t="inlineStr"/>
      <c r="I63" s="11" t="inlineStr"/>
      <c r="J63" s="11" t="inlineStr"/>
      <c r="K63" s="11" t="inlineStr"/>
      <c r="L63" s="11" t="inlineStr"/>
    </row>
    <row r="64">
      <c r="B64" s="11">
        <f>IFERROR(INDEX(RECON_RESULTS!$A$2:$A$1001,SMALL(IF(RECON_RESULTS!$A$2:$A$1001="Unmatched Bank",ROW(RECON_RESULTS!$A$2:$A$1001)-1),62)),"")</f>
        <v/>
      </c>
      <c r="C64" s="10">
        <f>IF(B64="","",INDEX(RECON_RESULTS!$F$2:$F$1001,SMALL(IF(RECON_RESULTS!$A$2:$A$1001="Unmatched Bank",ROW(RECON_RESULTS!$A$2:$A$1001)-1),62)))</f>
        <v/>
      </c>
      <c r="D64" s="11">
        <f>IF(B64="","",INDEX(RECON_RESULTS!$O$2:$O$1001,SMALL(IF(RECON_RESULTS!$A$2:$A$1001="Unmatched Bank",ROW(RECON_RESULTS!$A$2:$A$1001)-1),62)))</f>
        <v/>
      </c>
      <c r="E64" s="16">
        <f>IF(B64="","",INDEX(RECON_RESULTS!$G$2:$G$1001,SMALL(IF(RECON_RESULTS!$A$2:$A$1001="Unmatched Bank",ROW(RECON_RESULTS!$A$2:$A$1001)-1),62)))</f>
        <v/>
      </c>
      <c r="F64" s="16">
        <f>IF(B64="","",INDEX(RECON_RESULTS!$H$2:$H$1001,SMALL(IF(RECON_RESULTS!$A$2:$A$1001="Unmatched Bank",ROW(RECON_RESULTS!$A$2:$A$1001)-1),62)))</f>
        <v/>
      </c>
      <c r="G64" s="11" t="inlineStr"/>
      <c r="H64" s="11" t="inlineStr"/>
      <c r="I64" s="11" t="inlineStr"/>
      <c r="J64" s="11" t="inlineStr"/>
      <c r="K64" s="11" t="inlineStr"/>
      <c r="L64" s="11" t="inlineStr"/>
    </row>
    <row r="65">
      <c r="B65" s="11">
        <f>IFERROR(INDEX(RECON_RESULTS!$A$2:$A$1001,SMALL(IF(RECON_RESULTS!$A$2:$A$1001="Unmatched Bank",ROW(RECON_RESULTS!$A$2:$A$1001)-1),63)),"")</f>
        <v/>
      </c>
      <c r="C65" s="10">
        <f>IF(B65="","",INDEX(RECON_RESULTS!$F$2:$F$1001,SMALL(IF(RECON_RESULTS!$A$2:$A$1001="Unmatched Bank",ROW(RECON_RESULTS!$A$2:$A$1001)-1),63)))</f>
        <v/>
      </c>
      <c r="D65" s="11">
        <f>IF(B65="","",INDEX(RECON_RESULTS!$O$2:$O$1001,SMALL(IF(RECON_RESULTS!$A$2:$A$1001="Unmatched Bank",ROW(RECON_RESULTS!$A$2:$A$1001)-1),63)))</f>
        <v/>
      </c>
      <c r="E65" s="16">
        <f>IF(B65="","",INDEX(RECON_RESULTS!$G$2:$G$1001,SMALL(IF(RECON_RESULTS!$A$2:$A$1001="Unmatched Bank",ROW(RECON_RESULTS!$A$2:$A$1001)-1),63)))</f>
        <v/>
      </c>
      <c r="F65" s="16">
        <f>IF(B65="","",INDEX(RECON_RESULTS!$H$2:$H$1001,SMALL(IF(RECON_RESULTS!$A$2:$A$1001="Unmatched Bank",ROW(RECON_RESULTS!$A$2:$A$1001)-1),63)))</f>
        <v/>
      </c>
      <c r="G65" s="11" t="inlineStr"/>
      <c r="H65" s="11" t="inlineStr"/>
      <c r="I65" s="11" t="inlineStr"/>
      <c r="J65" s="11" t="inlineStr"/>
      <c r="K65" s="11" t="inlineStr"/>
      <c r="L65" s="11" t="inlineStr"/>
    </row>
    <row r="66">
      <c r="B66" s="11">
        <f>IFERROR(INDEX(RECON_RESULTS!$A$2:$A$1001,SMALL(IF(RECON_RESULTS!$A$2:$A$1001="Unmatched Bank",ROW(RECON_RESULTS!$A$2:$A$1001)-1),64)),"")</f>
        <v/>
      </c>
      <c r="C66" s="10">
        <f>IF(B66="","",INDEX(RECON_RESULTS!$F$2:$F$1001,SMALL(IF(RECON_RESULTS!$A$2:$A$1001="Unmatched Bank",ROW(RECON_RESULTS!$A$2:$A$1001)-1),64)))</f>
        <v/>
      </c>
      <c r="D66" s="11">
        <f>IF(B66="","",INDEX(RECON_RESULTS!$O$2:$O$1001,SMALL(IF(RECON_RESULTS!$A$2:$A$1001="Unmatched Bank",ROW(RECON_RESULTS!$A$2:$A$1001)-1),64)))</f>
        <v/>
      </c>
      <c r="E66" s="16">
        <f>IF(B66="","",INDEX(RECON_RESULTS!$G$2:$G$1001,SMALL(IF(RECON_RESULTS!$A$2:$A$1001="Unmatched Bank",ROW(RECON_RESULTS!$A$2:$A$1001)-1),64)))</f>
        <v/>
      </c>
      <c r="F66" s="16">
        <f>IF(B66="","",INDEX(RECON_RESULTS!$H$2:$H$1001,SMALL(IF(RECON_RESULTS!$A$2:$A$1001="Unmatched Bank",ROW(RECON_RESULTS!$A$2:$A$1001)-1),64)))</f>
        <v/>
      </c>
      <c r="G66" s="11" t="inlineStr"/>
      <c r="H66" s="11" t="inlineStr"/>
      <c r="I66" s="11" t="inlineStr"/>
      <c r="J66" s="11" t="inlineStr"/>
      <c r="K66" s="11" t="inlineStr"/>
      <c r="L66" s="11" t="inlineStr"/>
    </row>
    <row r="67">
      <c r="B67" s="11">
        <f>IFERROR(INDEX(RECON_RESULTS!$A$2:$A$1001,SMALL(IF(RECON_RESULTS!$A$2:$A$1001="Unmatched Bank",ROW(RECON_RESULTS!$A$2:$A$1001)-1),65)),"")</f>
        <v/>
      </c>
      <c r="C67" s="10">
        <f>IF(B67="","",INDEX(RECON_RESULTS!$F$2:$F$1001,SMALL(IF(RECON_RESULTS!$A$2:$A$1001="Unmatched Bank",ROW(RECON_RESULTS!$A$2:$A$1001)-1),65)))</f>
        <v/>
      </c>
      <c r="D67" s="11">
        <f>IF(B67="","",INDEX(RECON_RESULTS!$O$2:$O$1001,SMALL(IF(RECON_RESULTS!$A$2:$A$1001="Unmatched Bank",ROW(RECON_RESULTS!$A$2:$A$1001)-1),65)))</f>
        <v/>
      </c>
      <c r="E67" s="16">
        <f>IF(B67="","",INDEX(RECON_RESULTS!$G$2:$G$1001,SMALL(IF(RECON_RESULTS!$A$2:$A$1001="Unmatched Bank",ROW(RECON_RESULTS!$A$2:$A$1001)-1),65)))</f>
        <v/>
      </c>
      <c r="F67" s="16">
        <f>IF(B67="","",INDEX(RECON_RESULTS!$H$2:$H$1001,SMALL(IF(RECON_RESULTS!$A$2:$A$1001="Unmatched Bank",ROW(RECON_RESULTS!$A$2:$A$1001)-1),65)))</f>
        <v/>
      </c>
      <c r="G67" s="11" t="inlineStr"/>
      <c r="H67" s="11" t="inlineStr"/>
      <c r="I67" s="11" t="inlineStr"/>
      <c r="J67" s="11" t="inlineStr"/>
      <c r="K67" s="11" t="inlineStr"/>
      <c r="L67" s="11" t="inlineStr"/>
    </row>
    <row r="68">
      <c r="B68" s="11">
        <f>IFERROR(INDEX(RECON_RESULTS!$A$2:$A$1001,SMALL(IF(RECON_RESULTS!$A$2:$A$1001="Unmatched Bank",ROW(RECON_RESULTS!$A$2:$A$1001)-1),66)),"")</f>
        <v/>
      </c>
      <c r="C68" s="10">
        <f>IF(B68="","",INDEX(RECON_RESULTS!$F$2:$F$1001,SMALL(IF(RECON_RESULTS!$A$2:$A$1001="Unmatched Bank",ROW(RECON_RESULTS!$A$2:$A$1001)-1),66)))</f>
        <v/>
      </c>
      <c r="D68" s="11">
        <f>IF(B68="","",INDEX(RECON_RESULTS!$O$2:$O$1001,SMALL(IF(RECON_RESULTS!$A$2:$A$1001="Unmatched Bank",ROW(RECON_RESULTS!$A$2:$A$1001)-1),66)))</f>
        <v/>
      </c>
      <c r="E68" s="16">
        <f>IF(B68="","",INDEX(RECON_RESULTS!$G$2:$G$1001,SMALL(IF(RECON_RESULTS!$A$2:$A$1001="Unmatched Bank",ROW(RECON_RESULTS!$A$2:$A$1001)-1),66)))</f>
        <v/>
      </c>
      <c r="F68" s="16">
        <f>IF(B68="","",INDEX(RECON_RESULTS!$H$2:$H$1001,SMALL(IF(RECON_RESULTS!$A$2:$A$1001="Unmatched Bank",ROW(RECON_RESULTS!$A$2:$A$1001)-1),66)))</f>
        <v/>
      </c>
      <c r="G68" s="11" t="inlineStr"/>
      <c r="H68" s="11" t="inlineStr"/>
      <c r="I68" s="11" t="inlineStr"/>
      <c r="J68" s="11" t="inlineStr"/>
      <c r="K68" s="11" t="inlineStr"/>
      <c r="L68" s="11" t="inlineStr"/>
    </row>
    <row r="69">
      <c r="B69" s="11">
        <f>IFERROR(INDEX(RECON_RESULTS!$A$2:$A$1001,SMALL(IF(RECON_RESULTS!$A$2:$A$1001="Unmatched Bank",ROW(RECON_RESULTS!$A$2:$A$1001)-1),67)),"")</f>
        <v/>
      </c>
      <c r="C69" s="10">
        <f>IF(B69="","",INDEX(RECON_RESULTS!$F$2:$F$1001,SMALL(IF(RECON_RESULTS!$A$2:$A$1001="Unmatched Bank",ROW(RECON_RESULTS!$A$2:$A$1001)-1),67)))</f>
        <v/>
      </c>
      <c r="D69" s="11">
        <f>IF(B69="","",INDEX(RECON_RESULTS!$O$2:$O$1001,SMALL(IF(RECON_RESULTS!$A$2:$A$1001="Unmatched Bank",ROW(RECON_RESULTS!$A$2:$A$1001)-1),67)))</f>
        <v/>
      </c>
      <c r="E69" s="16">
        <f>IF(B69="","",INDEX(RECON_RESULTS!$G$2:$G$1001,SMALL(IF(RECON_RESULTS!$A$2:$A$1001="Unmatched Bank",ROW(RECON_RESULTS!$A$2:$A$1001)-1),67)))</f>
        <v/>
      </c>
      <c r="F69" s="16">
        <f>IF(B69="","",INDEX(RECON_RESULTS!$H$2:$H$1001,SMALL(IF(RECON_RESULTS!$A$2:$A$1001="Unmatched Bank",ROW(RECON_RESULTS!$A$2:$A$1001)-1),67)))</f>
        <v/>
      </c>
      <c r="G69" s="11" t="inlineStr"/>
      <c r="H69" s="11" t="inlineStr"/>
      <c r="I69" s="11" t="inlineStr"/>
      <c r="J69" s="11" t="inlineStr"/>
      <c r="K69" s="11" t="inlineStr"/>
      <c r="L69" s="11" t="inlineStr"/>
    </row>
    <row r="70">
      <c r="B70" s="11">
        <f>IFERROR(INDEX(RECON_RESULTS!$A$2:$A$1001,SMALL(IF(RECON_RESULTS!$A$2:$A$1001="Unmatched Bank",ROW(RECON_RESULTS!$A$2:$A$1001)-1),68)),"")</f>
        <v/>
      </c>
      <c r="C70" s="10">
        <f>IF(B70="","",INDEX(RECON_RESULTS!$F$2:$F$1001,SMALL(IF(RECON_RESULTS!$A$2:$A$1001="Unmatched Bank",ROW(RECON_RESULTS!$A$2:$A$1001)-1),68)))</f>
        <v/>
      </c>
      <c r="D70" s="11">
        <f>IF(B70="","",INDEX(RECON_RESULTS!$O$2:$O$1001,SMALL(IF(RECON_RESULTS!$A$2:$A$1001="Unmatched Bank",ROW(RECON_RESULTS!$A$2:$A$1001)-1),68)))</f>
        <v/>
      </c>
      <c r="E70" s="16">
        <f>IF(B70="","",INDEX(RECON_RESULTS!$G$2:$G$1001,SMALL(IF(RECON_RESULTS!$A$2:$A$1001="Unmatched Bank",ROW(RECON_RESULTS!$A$2:$A$1001)-1),68)))</f>
        <v/>
      </c>
      <c r="F70" s="16">
        <f>IF(B70="","",INDEX(RECON_RESULTS!$H$2:$H$1001,SMALL(IF(RECON_RESULTS!$A$2:$A$1001="Unmatched Bank",ROW(RECON_RESULTS!$A$2:$A$1001)-1),68)))</f>
        <v/>
      </c>
      <c r="G70" s="11" t="inlineStr"/>
      <c r="H70" s="11" t="inlineStr"/>
      <c r="I70" s="11" t="inlineStr"/>
      <c r="J70" s="11" t="inlineStr"/>
      <c r="K70" s="11" t="inlineStr"/>
      <c r="L70" s="11" t="inlineStr"/>
    </row>
    <row r="71">
      <c r="B71" s="11">
        <f>IFERROR(INDEX(RECON_RESULTS!$A$2:$A$1001,SMALL(IF(RECON_RESULTS!$A$2:$A$1001="Unmatched Bank",ROW(RECON_RESULTS!$A$2:$A$1001)-1),69)),"")</f>
        <v/>
      </c>
      <c r="C71" s="10">
        <f>IF(B71="","",INDEX(RECON_RESULTS!$F$2:$F$1001,SMALL(IF(RECON_RESULTS!$A$2:$A$1001="Unmatched Bank",ROW(RECON_RESULTS!$A$2:$A$1001)-1),69)))</f>
        <v/>
      </c>
      <c r="D71" s="11">
        <f>IF(B71="","",INDEX(RECON_RESULTS!$O$2:$O$1001,SMALL(IF(RECON_RESULTS!$A$2:$A$1001="Unmatched Bank",ROW(RECON_RESULTS!$A$2:$A$1001)-1),69)))</f>
        <v/>
      </c>
      <c r="E71" s="16">
        <f>IF(B71="","",INDEX(RECON_RESULTS!$G$2:$G$1001,SMALL(IF(RECON_RESULTS!$A$2:$A$1001="Unmatched Bank",ROW(RECON_RESULTS!$A$2:$A$1001)-1),69)))</f>
        <v/>
      </c>
      <c r="F71" s="16">
        <f>IF(B71="","",INDEX(RECON_RESULTS!$H$2:$H$1001,SMALL(IF(RECON_RESULTS!$A$2:$A$1001="Unmatched Bank",ROW(RECON_RESULTS!$A$2:$A$1001)-1),69)))</f>
        <v/>
      </c>
      <c r="G71" s="11" t="inlineStr"/>
      <c r="H71" s="11" t="inlineStr"/>
      <c r="I71" s="11" t="inlineStr"/>
      <c r="J71" s="11" t="inlineStr"/>
      <c r="K71" s="11" t="inlineStr"/>
      <c r="L71" s="11" t="inlineStr"/>
    </row>
    <row r="72">
      <c r="B72" s="11">
        <f>IFERROR(INDEX(RECON_RESULTS!$A$2:$A$1001,SMALL(IF(RECON_RESULTS!$A$2:$A$1001="Unmatched Bank",ROW(RECON_RESULTS!$A$2:$A$1001)-1),70)),"")</f>
        <v/>
      </c>
      <c r="C72" s="10">
        <f>IF(B72="","",INDEX(RECON_RESULTS!$F$2:$F$1001,SMALL(IF(RECON_RESULTS!$A$2:$A$1001="Unmatched Bank",ROW(RECON_RESULTS!$A$2:$A$1001)-1),70)))</f>
        <v/>
      </c>
      <c r="D72" s="11">
        <f>IF(B72="","",INDEX(RECON_RESULTS!$O$2:$O$1001,SMALL(IF(RECON_RESULTS!$A$2:$A$1001="Unmatched Bank",ROW(RECON_RESULTS!$A$2:$A$1001)-1),70)))</f>
        <v/>
      </c>
      <c r="E72" s="16">
        <f>IF(B72="","",INDEX(RECON_RESULTS!$G$2:$G$1001,SMALL(IF(RECON_RESULTS!$A$2:$A$1001="Unmatched Bank",ROW(RECON_RESULTS!$A$2:$A$1001)-1),70)))</f>
        <v/>
      </c>
      <c r="F72" s="16">
        <f>IF(B72="","",INDEX(RECON_RESULTS!$H$2:$H$1001,SMALL(IF(RECON_RESULTS!$A$2:$A$1001="Unmatched Bank",ROW(RECON_RESULTS!$A$2:$A$1001)-1),70)))</f>
        <v/>
      </c>
      <c r="G72" s="11" t="inlineStr"/>
      <c r="H72" s="11" t="inlineStr"/>
      <c r="I72" s="11" t="inlineStr"/>
      <c r="J72" s="11" t="inlineStr"/>
      <c r="K72" s="11" t="inlineStr"/>
      <c r="L72" s="11" t="inlineStr"/>
    </row>
    <row r="73">
      <c r="B73" s="11">
        <f>IFERROR(INDEX(RECON_RESULTS!$A$2:$A$1001,SMALL(IF(RECON_RESULTS!$A$2:$A$1001="Unmatched Bank",ROW(RECON_RESULTS!$A$2:$A$1001)-1),71)),"")</f>
        <v/>
      </c>
      <c r="C73" s="10">
        <f>IF(B73="","",INDEX(RECON_RESULTS!$F$2:$F$1001,SMALL(IF(RECON_RESULTS!$A$2:$A$1001="Unmatched Bank",ROW(RECON_RESULTS!$A$2:$A$1001)-1),71)))</f>
        <v/>
      </c>
      <c r="D73" s="11">
        <f>IF(B73="","",INDEX(RECON_RESULTS!$O$2:$O$1001,SMALL(IF(RECON_RESULTS!$A$2:$A$1001="Unmatched Bank",ROW(RECON_RESULTS!$A$2:$A$1001)-1),71)))</f>
        <v/>
      </c>
      <c r="E73" s="16">
        <f>IF(B73="","",INDEX(RECON_RESULTS!$G$2:$G$1001,SMALL(IF(RECON_RESULTS!$A$2:$A$1001="Unmatched Bank",ROW(RECON_RESULTS!$A$2:$A$1001)-1),71)))</f>
        <v/>
      </c>
      <c r="F73" s="16">
        <f>IF(B73="","",INDEX(RECON_RESULTS!$H$2:$H$1001,SMALL(IF(RECON_RESULTS!$A$2:$A$1001="Unmatched Bank",ROW(RECON_RESULTS!$A$2:$A$1001)-1),71)))</f>
        <v/>
      </c>
      <c r="G73" s="11" t="inlineStr"/>
      <c r="H73" s="11" t="inlineStr"/>
      <c r="I73" s="11" t="inlineStr"/>
      <c r="J73" s="11" t="inlineStr"/>
      <c r="K73" s="11" t="inlineStr"/>
      <c r="L73" s="11" t="inlineStr"/>
    </row>
    <row r="74">
      <c r="B74" s="11">
        <f>IFERROR(INDEX(RECON_RESULTS!$A$2:$A$1001,SMALL(IF(RECON_RESULTS!$A$2:$A$1001="Unmatched Bank",ROW(RECON_RESULTS!$A$2:$A$1001)-1),72)),"")</f>
        <v/>
      </c>
      <c r="C74" s="10">
        <f>IF(B74="","",INDEX(RECON_RESULTS!$F$2:$F$1001,SMALL(IF(RECON_RESULTS!$A$2:$A$1001="Unmatched Bank",ROW(RECON_RESULTS!$A$2:$A$1001)-1),72)))</f>
        <v/>
      </c>
      <c r="D74" s="11">
        <f>IF(B74="","",INDEX(RECON_RESULTS!$O$2:$O$1001,SMALL(IF(RECON_RESULTS!$A$2:$A$1001="Unmatched Bank",ROW(RECON_RESULTS!$A$2:$A$1001)-1),72)))</f>
        <v/>
      </c>
      <c r="E74" s="16">
        <f>IF(B74="","",INDEX(RECON_RESULTS!$G$2:$G$1001,SMALL(IF(RECON_RESULTS!$A$2:$A$1001="Unmatched Bank",ROW(RECON_RESULTS!$A$2:$A$1001)-1),72)))</f>
        <v/>
      </c>
      <c r="F74" s="16">
        <f>IF(B74="","",INDEX(RECON_RESULTS!$H$2:$H$1001,SMALL(IF(RECON_RESULTS!$A$2:$A$1001="Unmatched Bank",ROW(RECON_RESULTS!$A$2:$A$1001)-1),72)))</f>
        <v/>
      </c>
      <c r="G74" s="11" t="inlineStr"/>
      <c r="H74" s="11" t="inlineStr"/>
      <c r="I74" s="11" t="inlineStr"/>
      <c r="J74" s="11" t="inlineStr"/>
      <c r="K74" s="11" t="inlineStr"/>
      <c r="L74" s="11" t="inlineStr"/>
    </row>
    <row r="75">
      <c r="B75" s="11">
        <f>IFERROR(INDEX(RECON_RESULTS!$A$2:$A$1001,SMALL(IF(RECON_RESULTS!$A$2:$A$1001="Unmatched Bank",ROW(RECON_RESULTS!$A$2:$A$1001)-1),73)),"")</f>
        <v/>
      </c>
      <c r="C75" s="10">
        <f>IF(B75="","",INDEX(RECON_RESULTS!$F$2:$F$1001,SMALL(IF(RECON_RESULTS!$A$2:$A$1001="Unmatched Bank",ROW(RECON_RESULTS!$A$2:$A$1001)-1),73)))</f>
        <v/>
      </c>
      <c r="D75" s="11">
        <f>IF(B75="","",INDEX(RECON_RESULTS!$O$2:$O$1001,SMALL(IF(RECON_RESULTS!$A$2:$A$1001="Unmatched Bank",ROW(RECON_RESULTS!$A$2:$A$1001)-1),73)))</f>
        <v/>
      </c>
      <c r="E75" s="16">
        <f>IF(B75="","",INDEX(RECON_RESULTS!$G$2:$G$1001,SMALL(IF(RECON_RESULTS!$A$2:$A$1001="Unmatched Bank",ROW(RECON_RESULTS!$A$2:$A$1001)-1),73)))</f>
        <v/>
      </c>
      <c r="F75" s="16">
        <f>IF(B75="","",INDEX(RECON_RESULTS!$H$2:$H$1001,SMALL(IF(RECON_RESULTS!$A$2:$A$1001="Unmatched Bank",ROW(RECON_RESULTS!$A$2:$A$1001)-1),73)))</f>
        <v/>
      </c>
      <c r="G75" s="11" t="inlineStr"/>
      <c r="H75" s="11" t="inlineStr"/>
      <c r="I75" s="11" t="inlineStr"/>
      <c r="J75" s="11" t="inlineStr"/>
      <c r="K75" s="11" t="inlineStr"/>
      <c r="L75" s="11" t="inlineStr"/>
    </row>
    <row r="76">
      <c r="B76" s="11">
        <f>IFERROR(INDEX(RECON_RESULTS!$A$2:$A$1001,SMALL(IF(RECON_RESULTS!$A$2:$A$1001="Unmatched Bank",ROW(RECON_RESULTS!$A$2:$A$1001)-1),74)),"")</f>
        <v/>
      </c>
      <c r="C76" s="10">
        <f>IF(B76="","",INDEX(RECON_RESULTS!$F$2:$F$1001,SMALL(IF(RECON_RESULTS!$A$2:$A$1001="Unmatched Bank",ROW(RECON_RESULTS!$A$2:$A$1001)-1),74)))</f>
        <v/>
      </c>
      <c r="D76" s="11">
        <f>IF(B76="","",INDEX(RECON_RESULTS!$O$2:$O$1001,SMALL(IF(RECON_RESULTS!$A$2:$A$1001="Unmatched Bank",ROW(RECON_RESULTS!$A$2:$A$1001)-1),74)))</f>
        <v/>
      </c>
      <c r="E76" s="16">
        <f>IF(B76="","",INDEX(RECON_RESULTS!$G$2:$G$1001,SMALL(IF(RECON_RESULTS!$A$2:$A$1001="Unmatched Bank",ROW(RECON_RESULTS!$A$2:$A$1001)-1),74)))</f>
        <v/>
      </c>
      <c r="F76" s="16">
        <f>IF(B76="","",INDEX(RECON_RESULTS!$H$2:$H$1001,SMALL(IF(RECON_RESULTS!$A$2:$A$1001="Unmatched Bank",ROW(RECON_RESULTS!$A$2:$A$1001)-1),74)))</f>
        <v/>
      </c>
      <c r="G76" s="11" t="inlineStr"/>
      <c r="H76" s="11" t="inlineStr"/>
      <c r="I76" s="11" t="inlineStr"/>
      <c r="J76" s="11" t="inlineStr"/>
      <c r="K76" s="11" t="inlineStr"/>
      <c r="L76" s="11" t="inlineStr"/>
    </row>
    <row r="77">
      <c r="B77" s="11">
        <f>IFERROR(INDEX(RECON_RESULTS!$A$2:$A$1001,SMALL(IF(RECON_RESULTS!$A$2:$A$1001="Unmatched Bank",ROW(RECON_RESULTS!$A$2:$A$1001)-1),75)),"")</f>
        <v/>
      </c>
      <c r="C77" s="10">
        <f>IF(B77="","",INDEX(RECON_RESULTS!$F$2:$F$1001,SMALL(IF(RECON_RESULTS!$A$2:$A$1001="Unmatched Bank",ROW(RECON_RESULTS!$A$2:$A$1001)-1),75)))</f>
        <v/>
      </c>
      <c r="D77" s="11">
        <f>IF(B77="","",INDEX(RECON_RESULTS!$O$2:$O$1001,SMALL(IF(RECON_RESULTS!$A$2:$A$1001="Unmatched Bank",ROW(RECON_RESULTS!$A$2:$A$1001)-1),75)))</f>
        <v/>
      </c>
      <c r="E77" s="16">
        <f>IF(B77="","",INDEX(RECON_RESULTS!$G$2:$G$1001,SMALL(IF(RECON_RESULTS!$A$2:$A$1001="Unmatched Bank",ROW(RECON_RESULTS!$A$2:$A$1001)-1),75)))</f>
        <v/>
      </c>
      <c r="F77" s="16">
        <f>IF(B77="","",INDEX(RECON_RESULTS!$H$2:$H$1001,SMALL(IF(RECON_RESULTS!$A$2:$A$1001="Unmatched Bank",ROW(RECON_RESULTS!$A$2:$A$1001)-1),75)))</f>
        <v/>
      </c>
      <c r="G77" s="11" t="inlineStr"/>
      <c r="H77" s="11" t="inlineStr"/>
      <c r="I77" s="11" t="inlineStr"/>
      <c r="J77" s="11" t="inlineStr"/>
      <c r="K77" s="11" t="inlineStr"/>
      <c r="L77" s="11" t="inlineStr"/>
    </row>
    <row r="78">
      <c r="B78" s="11">
        <f>IFERROR(INDEX(RECON_RESULTS!$A$2:$A$1001,SMALL(IF(RECON_RESULTS!$A$2:$A$1001="Unmatched Bank",ROW(RECON_RESULTS!$A$2:$A$1001)-1),76)),"")</f>
        <v/>
      </c>
      <c r="C78" s="10">
        <f>IF(B78="","",INDEX(RECON_RESULTS!$F$2:$F$1001,SMALL(IF(RECON_RESULTS!$A$2:$A$1001="Unmatched Bank",ROW(RECON_RESULTS!$A$2:$A$1001)-1),76)))</f>
        <v/>
      </c>
      <c r="D78" s="11">
        <f>IF(B78="","",INDEX(RECON_RESULTS!$O$2:$O$1001,SMALL(IF(RECON_RESULTS!$A$2:$A$1001="Unmatched Bank",ROW(RECON_RESULTS!$A$2:$A$1001)-1),76)))</f>
        <v/>
      </c>
      <c r="E78" s="16">
        <f>IF(B78="","",INDEX(RECON_RESULTS!$G$2:$G$1001,SMALL(IF(RECON_RESULTS!$A$2:$A$1001="Unmatched Bank",ROW(RECON_RESULTS!$A$2:$A$1001)-1),76)))</f>
        <v/>
      </c>
      <c r="F78" s="16">
        <f>IF(B78="","",INDEX(RECON_RESULTS!$H$2:$H$1001,SMALL(IF(RECON_RESULTS!$A$2:$A$1001="Unmatched Bank",ROW(RECON_RESULTS!$A$2:$A$1001)-1),76)))</f>
        <v/>
      </c>
      <c r="G78" s="11" t="inlineStr"/>
      <c r="H78" s="11" t="inlineStr"/>
      <c r="I78" s="11" t="inlineStr"/>
      <c r="J78" s="11" t="inlineStr"/>
      <c r="K78" s="11" t="inlineStr"/>
      <c r="L78" s="11" t="inlineStr"/>
    </row>
    <row r="79">
      <c r="B79" s="11">
        <f>IFERROR(INDEX(RECON_RESULTS!$A$2:$A$1001,SMALL(IF(RECON_RESULTS!$A$2:$A$1001="Unmatched Bank",ROW(RECON_RESULTS!$A$2:$A$1001)-1),77)),"")</f>
        <v/>
      </c>
      <c r="C79" s="10">
        <f>IF(B79="","",INDEX(RECON_RESULTS!$F$2:$F$1001,SMALL(IF(RECON_RESULTS!$A$2:$A$1001="Unmatched Bank",ROW(RECON_RESULTS!$A$2:$A$1001)-1),77)))</f>
        <v/>
      </c>
      <c r="D79" s="11">
        <f>IF(B79="","",INDEX(RECON_RESULTS!$O$2:$O$1001,SMALL(IF(RECON_RESULTS!$A$2:$A$1001="Unmatched Bank",ROW(RECON_RESULTS!$A$2:$A$1001)-1),77)))</f>
        <v/>
      </c>
      <c r="E79" s="16">
        <f>IF(B79="","",INDEX(RECON_RESULTS!$G$2:$G$1001,SMALL(IF(RECON_RESULTS!$A$2:$A$1001="Unmatched Bank",ROW(RECON_RESULTS!$A$2:$A$1001)-1),77)))</f>
        <v/>
      </c>
      <c r="F79" s="16">
        <f>IF(B79="","",INDEX(RECON_RESULTS!$H$2:$H$1001,SMALL(IF(RECON_RESULTS!$A$2:$A$1001="Unmatched Bank",ROW(RECON_RESULTS!$A$2:$A$1001)-1),77)))</f>
        <v/>
      </c>
      <c r="G79" s="11" t="inlineStr"/>
      <c r="H79" s="11" t="inlineStr"/>
      <c r="I79" s="11" t="inlineStr"/>
      <c r="J79" s="11" t="inlineStr"/>
      <c r="K79" s="11" t="inlineStr"/>
      <c r="L79" s="11" t="inlineStr"/>
    </row>
    <row r="80">
      <c r="B80" s="11">
        <f>IFERROR(INDEX(RECON_RESULTS!$A$2:$A$1001,SMALL(IF(RECON_RESULTS!$A$2:$A$1001="Unmatched Bank",ROW(RECON_RESULTS!$A$2:$A$1001)-1),78)),"")</f>
        <v/>
      </c>
      <c r="C80" s="10">
        <f>IF(B80="","",INDEX(RECON_RESULTS!$F$2:$F$1001,SMALL(IF(RECON_RESULTS!$A$2:$A$1001="Unmatched Bank",ROW(RECON_RESULTS!$A$2:$A$1001)-1),78)))</f>
        <v/>
      </c>
      <c r="D80" s="11">
        <f>IF(B80="","",INDEX(RECON_RESULTS!$O$2:$O$1001,SMALL(IF(RECON_RESULTS!$A$2:$A$1001="Unmatched Bank",ROW(RECON_RESULTS!$A$2:$A$1001)-1),78)))</f>
        <v/>
      </c>
      <c r="E80" s="16">
        <f>IF(B80="","",INDEX(RECON_RESULTS!$G$2:$G$1001,SMALL(IF(RECON_RESULTS!$A$2:$A$1001="Unmatched Bank",ROW(RECON_RESULTS!$A$2:$A$1001)-1),78)))</f>
        <v/>
      </c>
      <c r="F80" s="16">
        <f>IF(B80="","",INDEX(RECON_RESULTS!$H$2:$H$1001,SMALL(IF(RECON_RESULTS!$A$2:$A$1001="Unmatched Bank",ROW(RECON_RESULTS!$A$2:$A$1001)-1),78)))</f>
        <v/>
      </c>
      <c r="G80" s="11" t="inlineStr"/>
      <c r="H80" s="11" t="inlineStr"/>
      <c r="I80" s="11" t="inlineStr"/>
      <c r="J80" s="11" t="inlineStr"/>
      <c r="K80" s="11" t="inlineStr"/>
      <c r="L80" s="11" t="inlineStr"/>
    </row>
    <row r="81">
      <c r="B81" s="11">
        <f>IFERROR(INDEX(RECON_RESULTS!$A$2:$A$1001,SMALL(IF(RECON_RESULTS!$A$2:$A$1001="Unmatched Bank",ROW(RECON_RESULTS!$A$2:$A$1001)-1),79)),"")</f>
        <v/>
      </c>
      <c r="C81" s="10">
        <f>IF(B81="","",INDEX(RECON_RESULTS!$F$2:$F$1001,SMALL(IF(RECON_RESULTS!$A$2:$A$1001="Unmatched Bank",ROW(RECON_RESULTS!$A$2:$A$1001)-1),79)))</f>
        <v/>
      </c>
      <c r="D81" s="11">
        <f>IF(B81="","",INDEX(RECON_RESULTS!$O$2:$O$1001,SMALL(IF(RECON_RESULTS!$A$2:$A$1001="Unmatched Bank",ROW(RECON_RESULTS!$A$2:$A$1001)-1),79)))</f>
        <v/>
      </c>
      <c r="E81" s="16">
        <f>IF(B81="","",INDEX(RECON_RESULTS!$G$2:$G$1001,SMALL(IF(RECON_RESULTS!$A$2:$A$1001="Unmatched Bank",ROW(RECON_RESULTS!$A$2:$A$1001)-1),79)))</f>
        <v/>
      </c>
      <c r="F81" s="16">
        <f>IF(B81="","",INDEX(RECON_RESULTS!$H$2:$H$1001,SMALL(IF(RECON_RESULTS!$A$2:$A$1001="Unmatched Bank",ROW(RECON_RESULTS!$A$2:$A$1001)-1),79)))</f>
        <v/>
      </c>
      <c r="G81" s="11" t="inlineStr"/>
      <c r="H81" s="11" t="inlineStr"/>
      <c r="I81" s="11" t="inlineStr"/>
      <c r="J81" s="11" t="inlineStr"/>
      <c r="K81" s="11" t="inlineStr"/>
      <c r="L81" s="11" t="inlineStr"/>
    </row>
    <row r="82">
      <c r="B82" s="11">
        <f>IFERROR(INDEX(RECON_RESULTS!$A$2:$A$1001,SMALL(IF(RECON_RESULTS!$A$2:$A$1001="Unmatched Bank",ROW(RECON_RESULTS!$A$2:$A$1001)-1),80)),"")</f>
        <v/>
      </c>
      <c r="C82" s="10">
        <f>IF(B82="","",INDEX(RECON_RESULTS!$F$2:$F$1001,SMALL(IF(RECON_RESULTS!$A$2:$A$1001="Unmatched Bank",ROW(RECON_RESULTS!$A$2:$A$1001)-1),80)))</f>
        <v/>
      </c>
      <c r="D82" s="11">
        <f>IF(B82="","",INDEX(RECON_RESULTS!$O$2:$O$1001,SMALL(IF(RECON_RESULTS!$A$2:$A$1001="Unmatched Bank",ROW(RECON_RESULTS!$A$2:$A$1001)-1),80)))</f>
        <v/>
      </c>
      <c r="E82" s="16">
        <f>IF(B82="","",INDEX(RECON_RESULTS!$G$2:$G$1001,SMALL(IF(RECON_RESULTS!$A$2:$A$1001="Unmatched Bank",ROW(RECON_RESULTS!$A$2:$A$1001)-1),80)))</f>
        <v/>
      </c>
      <c r="F82" s="16">
        <f>IF(B82="","",INDEX(RECON_RESULTS!$H$2:$H$1001,SMALL(IF(RECON_RESULTS!$A$2:$A$1001="Unmatched Bank",ROW(RECON_RESULTS!$A$2:$A$1001)-1),80)))</f>
        <v/>
      </c>
      <c r="G82" s="11" t="inlineStr"/>
      <c r="H82" s="11" t="inlineStr"/>
      <c r="I82" s="11" t="inlineStr"/>
      <c r="J82" s="11" t="inlineStr"/>
      <c r="K82" s="11" t="inlineStr"/>
      <c r="L82" s="11" t="inlineStr"/>
    </row>
    <row r="83">
      <c r="B83" s="11">
        <f>IFERROR(INDEX(RECON_RESULTS!$A$2:$A$1001,SMALL(IF(RECON_RESULTS!$A$2:$A$1001="Unmatched Bank",ROW(RECON_RESULTS!$A$2:$A$1001)-1),81)),"")</f>
        <v/>
      </c>
      <c r="C83" s="10">
        <f>IF(B83="","",INDEX(RECON_RESULTS!$F$2:$F$1001,SMALL(IF(RECON_RESULTS!$A$2:$A$1001="Unmatched Bank",ROW(RECON_RESULTS!$A$2:$A$1001)-1),81)))</f>
        <v/>
      </c>
      <c r="D83" s="11">
        <f>IF(B83="","",INDEX(RECON_RESULTS!$O$2:$O$1001,SMALL(IF(RECON_RESULTS!$A$2:$A$1001="Unmatched Bank",ROW(RECON_RESULTS!$A$2:$A$1001)-1),81)))</f>
        <v/>
      </c>
      <c r="E83" s="16">
        <f>IF(B83="","",INDEX(RECON_RESULTS!$G$2:$G$1001,SMALL(IF(RECON_RESULTS!$A$2:$A$1001="Unmatched Bank",ROW(RECON_RESULTS!$A$2:$A$1001)-1),81)))</f>
        <v/>
      </c>
      <c r="F83" s="16">
        <f>IF(B83="","",INDEX(RECON_RESULTS!$H$2:$H$1001,SMALL(IF(RECON_RESULTS!$A$2:$A$1001="Unmatched Bank",ROW(RECON_RESULTS!$A$2:$A$1001)-1),81)))</f>
        <v/>
      </c>
      <c r="G83" s="11" t="inlineStr"/>
      <c r="H83" s="11" t="inlineStr"/>
      <c r="I83" s="11" t="inlineStr"/>
      <c r="J83" s="11" t="inlineStr"/>
      <c r="K83" s="11" t="inlineStr"/>
      <c r="L83" s="11" t="inlineStr"/>
    </row>
    <row r="84">
      <c r="B84" s="11">
        <f>IFERROR(INDEX(RECON_RESULTS!$A$2:$A$1001,SMALL(IF(RECON_RESULTS!$A$2:$A$1001="Unmatched Bank",ROW(RECON_RESULTS!$A$2:$A$1001)-1),82)),"")</f>
        <v/>
      </c>
      <c r="C84" s="10">
        <f>IF(B84="","",INDEX(RECON_RESULTS!$F$2:$F$1001,SMALL(IF(RECON_RESULTS!$A$2:$A$1001="Unmatched Bank",ROW(RECON_RESULTS!$A$2:$A$1001)-1),82)))</f>
        <v/>
      </c>
      <c r="D84" s="11">
        <f>IF(B84="","",INDEX(RECON_RESULTS!$O$2:$O$1001,SMALL(IF(RECON_RESULTS!$A$2:$A$1001="Unmatched Bank",ROW(RECON_RESULTS!$A$2:$A$1001)-1),82)))</f>
        <v/>
      </c>
      <c r="E84" s="16">
        <f>IF(B84="","",INDEX(RECON_RESULTS!$G$2:$G$1001,SMALL(IF(RECON_RESULTS!$A$2:$A$1001="Unmatched Bank",ROW(RECON_RESULTS!$A$2:$A$1001)-1),82)))</f>
        <v/>
      </c>
      <c r="F84" s="16">
        <f>IF(B84="","",INDEX(RECON_RESULTS!$H$2:$H$1001,SMALL(IF(RECON_RESULTS!$A$2:$A$1001="Unmatched Bank",ROW(RECON_RESULTS!$A$2:$A$1001)-1),82)))</f>
        <v/>
      </c>
      <c r="G84" s="11" t="inlineStr"/>
      <c r="H84" s="11" t="inlineStr"/>
      <c r="I84" s="11" t="inlineStr"/>
      <c r="J84" s="11" t="inlineStr"/>
      <c r="K84" s="11" t="inlineStr"/>
      <c r="L84" s="11" t="inlineStr"/>
    </row>
    <row r="85">
      <c r="B85" s="11">
        <f>IFERROR(INDEX(RECON_RESULTS!$A$2:$A$1001,SMALL(IF(RECON_RESULTS!$A$2:$A$1001="Unmatched Bank",ROW(RECON_RESULTS!$A$2:$A$1001)-1),83)),"")</f>
        <v/>
      </c>
      <c r="C85" s="10">
        <f>IF(B85="","",INDEX(RECON_RESULTS!$F$2:$F$1001,SMALL(IF(RECON_RESULTS!$A$2:$A$1001="Unmatched Bank",ROW(RECON_RESULTS!$A$2:$A$1001)-1),83)))</f>
        <v/>
      </c>
      <c r="D85" s="11">
        <f>IF(B85="","",INDEX(RECON_RESULTS!$O$2:$O$1001,SMALL(IF(RECON_RESULTS!$A$2:$A$1001="Unmatched Bank",ROW(RECON_RESULTS!$A$2:$A$1001)-1),83)))</f>
        <v/>
      </c>
      <c r="E85" s="16">
        <f>IF(B85="","",INDEX(RECON_RESULTS!$G$2:$G$1001,SMALL(IF(RECON_RESULTS!$A$2:$A$1001="Unmatched Bank",ROW(RECON_RESULTS!$A$2:$A$1001)-1),83)))</f>
        <v/>
      </c>
      <c r="F85" s="16">
        <f>IF(B85="","",INDEX(RECON_RESULTS!$H$2:$H$1001,SMALL(IF(RECON_RESULTS!$A$2:$A$1001="Unmatched Bank",ROW(RECON_RESULTS!$A$2:$A$1001)-1),83)))</f>
        <v/>
      </c>
      <c r="G85" s="11" t="inlineStr"/>
      <c r="H85" s="11" t="inlineStr"/>
      <c r="I85" s="11" t="inlineStr"/>
      <c r="J85" s="11" t="inlineStr"/>
      <c r="K85" s="11" t="inlineStr"/>
      <c r="L85" s="11" t="inlineStr"/>
    </row>
    <row r="86">
      <c r="B86" s="11">
        <f>IFERROR(INDEX(RECON_RESULTS!$A$2:$A$1001,SMALL(IF(RECON_RESULTS!$A$2:$A$1001="Unmatched Bank",ROW(RECON_RESULTS!$A$2:$A$1001)-1),84)),"")</f>
        <v/>
      </c>
      <c r="C86" s="10">
        <f>IF(B86="","",INDEX(RECON_RESULTS!$F$2:$F$1001,SMALL(IF(RECON_RESULTS!$A$2:$A$1001="Unmatched Bank",ROW(RECON_RESULTS!$A$2:$A$1001)-1),84)))</f>
        <v/>
      </c>
      <c r="D86" s="11">
        <f>IF(B86="","",INDEX(RECON_RESULTS!$O$2:$O$1001,SMALL(IF(RECON_RESULTS!$A$2:$A$1001="Unmatched Bank",ROW(RECON_RESULTS!$A$2:$A$1001)-1),84)))</f>
        <v/>
      </c>
      <c r="E86" s="16">
        <f>IF(B86="","",INDEX(RECON_RESULTS!$G$2:$G$1001,SMALL(IF(RECON_RESULTS!$A$2:$A$1001="Unmatched Bank",ROW(RECON_RESULTS!$A$2:$A$1001)-1),84)))</f>
        <v/>
      </c>
      <c r="F86" s="16">
        <f>IF(B86="","",INDEX(RECON_RESULTS!$H$2:$H$1001,SMALL(IF(RECON_RESULTS!$A$2:$A$1001="Unmatched Bank",ROW(RECON_RESULTS!$A$2:$A$1001)-1),84)))</f>
        <v/>
      </c>
      <c r="G86" s="11" t="inlineStr"/>
      <c r="H86" s="11" t="inlineStr"/>
      <c r="I86" s="11" t="inlineStr"/>
      <c r="J86" s="11" t="inlineStr"/>
      <c r="K86" s="11" t="inlineStr"/>
      <c r="L86" s="11" t="inlineStr"/>
    </row>
    <row r="87">
      <c r="B87" s="11">
        <f>IFERROR(INDEX(RECON_RESULTS!$A$2:$A$1001,SMALL(IF(RECON_RESULTS!$A$2:$A$1001="Unmatched Bank",ROW(RECON_RESULTS!$A$2:$A$1001)-1),85)),"")</f>
        <v/>
      </c>
      <c r="C87" s="10">
        <f>IF(B87="","",INDEX(RECON_RESULTS!$F$2:$F$1001,SMALL(IF(RECON_RESULTS!$A$2:$A$1001="Unmatched Bank",ROW(RECON_RESULTS!$A$2:$A$1001)-1),85)))</f>
        <v/>
      </c>
      <c r="D87" s="11">
        <f>IF(B87="","",INDEX(RECON_RESULTS!$O$2:$O$1001,SMALL(IF(RECON_RESULTS!$A$2:$A$1001="Unmatched Bank",ROW(RECON_RESULTS!$A$2:$A$1001)-1),85)))</f>
        <v/>
      </c>
      <c r="E87" s="16">
        <f>IF(B87="","",INDEX(RECON_RESULTS!$G$2:$G$1001,SMALL(IF(RECON_RESULTS!$A$2:$A$1001="Unmatched Bank",ROW(RECON_RESULTS!$A$2:$A$1001)-1),85)))</f>
        <v/>
      </c>
      <c r="F87" s="16">
        <f>IF(B87="","",INDEX(RECON_RESULTS!$H$2:$H$1001,SMALL(IF(RECON_RESULTS!$A$2:$A$1001="Unmatched Bank",ROW(RECON_RESULTS!$A$2:$A$1001)-1),85)))</f>
        <v/>
      </c>
      <c r="G87" s="11" t="inlineStr"/>
      <c r="H87" s="11" t="inlineStr"/>
      <c r="I87" s="11" t="inlineStr"/>
      <c r="J87" s="11" t="inlineStr"/>
      <c r="K87" s="11" t="inlineStr"/>
      <c r="L87" s="11" t="inlineStr"/>
    </row>
    <row r="88">
      <c r="B88" s="11">
        <f>IFERROR(INDEX(RECON_RESULTS!$A$2:$A$1001,SMALL(IF(RECON_RESULTS!$A$2:$A$1001="Unmatched Bank",ROW(RECON_RESULTS!$A$2:$A$1001)-1),86)),"")</f>
        <v/>
      </c>
      <c r="C88" s="10">
        <f>IF(B88="","",INDEX(RECON_RESULTS!$F$2:$F$1001,SMALL(IF(RECON_RESULTS!$A$2:$A$1001="Unmatched Bank",ROW(RECON_RESULTS!$A$2:$A$1001)-1),86)))</f>
        <v/>
      </c>
      <c r="D88" s="11">
        <f>IF(B88="","",INDEX(RECON_RESULTS!$O$2:$O$1001,SMALL(IF(RECON_RESULTS!$A$2:$A$1001="Unmatched Bank",ROW(RECON_RESULTS!$A$2:$A$1001)-1),86)))</f>
        <v/>
      </c>
      <c r="E88" s="16">
        <f>IF(B88="","",INDEX(RECON_RESULTS!$G$2:$G$1001,SMALL(IF(RECON_RESULTS!$A$2:$A$1001="Unmatched Bank",ROW(RECON_RESULTS!$A$2:$A$1001)-1),86)))</f>
        <v/>
      </c>
      <c r="F88" s="16">
        <f>IF(B88="","",INDEX(RECON_RESULTS!$H$2:$H$1001,SMALL(IF(RECON_RESULTS!$A$2:$A$1001="Unmatched Bank",ROW(RECON_RESULTS!$A$2:$A$1001)-1),86)))</f>
        <v/>
      </c>
      <c r="G88" s="11" t="inlineStr"/>
      <c r="H88" s="11" t="inlineStr"/>
      <c r="I88" s="11" t="inlineStr"/>
      <c r="J88" s="11" t="inlineStr"/>
      <c r="K88" s="11" t="inlineStr"/>
      <c r="L88" s="11" t="inlineStr"/>
    </row>
    <row r="89">
      <c r="B89" s="11">
        <f>IFERROR(INDEX(RECON_RESULTS!$A$2:$A$1001,SMALL(IF(RECON_RESULTS!$A$2:$A$1001="Unmatched Bank",ROW(RECON_RESULTS!$A$2:$A$1001)-1),87)),"")</f>
        <v/>
      </c>
      <c r="C89" s="10">
        <f>IF(B89="","",INDEX(RECON_RESULTS!$F$2:$F$1001,SMALL(IF(RECON_RESULTS!$A$2:$A$1001="Unmatched Bank",ROW(RECON_RESULTS!$A$2:$A$1001)-1),87)))</f>
        <v/>
      </c>
      <c r="D89" s="11">
        <f>IF(B89="","",INDEX(RECON_RESULTS!$O$2:$O$1001,SMALL(IF(RECON_RESULTS!$A$2:$A$1001="Unmatched Bank",ROW(RECON_RESULTS!$A$2:$A$1001)-1),87)))</f>
        <v/>
      </c>
      <c r="E89" s="16">
        <f>IF(B89="","",INDEX(RECON_RESULTS!$G$2:$G$1001,SMALL(IF(RECON_RESULTS!$A$2:$A$1001="Unmatched Bank",ROW(RECON_RESULTS!$A$2:$A$1001)-1),87)))</f>
        <v/>
      </c>
      <c r="F89" s="16">
        <f>IF(B89="","",INDEX(RECON_RESULTS!$H$2:$H$1001,SMALL(IF(RECON_RESULTS!$A$2:$A$1001="Unmatched Bank",ROW(RECON_RESULTS!$A$2:$A$1001)-1),87)))</f>
        <v/>
      </c>
      <c r="G89" s="11" t="inlineStr"/>
      <c r="H89" s="11" t="inlineStr"/>
      <c r="I89" s="11" t="inlineStr"/>
      <c r="J89" s="11" t="inlineStr"/>
      <c r="K89" s="11" t="inlineStr"/>
      <c r="L89" s="11" t="inlineStr"/>
    </row>
    <row r="90">
      <c r="B90" s="11">
        <f>IFERROR(INDEX(RECON_RESULTS!$A$2:$A$1001,SMALL(IF(RECON_RESULTS!$A$2:$A$1001="Unmatched Bank",ROW(RECON_RESULTS!$A$2:$A$1001)-1),88)),"")</f>
        <v/>
      </c>
      <c r="C90" s="10">
        <f>IF(B90="","",INDEX(RECON_RESULTS!$F$2:$F$1001,SMALL(IF(RECON_RESULTS!$A$2:$A$1001="Unmatched Bank",ROW(RECON_RESULTS!$A$2:$A$1001)-1),88)))</f>
        <v/>
      </c>
      <c r="D90" s="11">
        <f>IF(B90="","",INDEX(RECON_RESULTS!$O$2:$O$1001,SMALL(IF(RECON_RESULTS!$A$2:$A$1001="Unmatched Bank",ROW(RECON_RESULTS!$A$2:$A$1001)-1),88)))</f>
        <v/>
      </c>
      <c r="E90" s="16">
        <f>IF(B90="","",INDEX(RECON_RESULTS!$G$2:$G$1001,SMALL(IF(RECON_RESULTS!$A$2:$A$1001="Unmatched Bank",ROW(RECON_RESULTS!$A$2:$A$1001)-1),88)))</f>
        <v/>
      </c>
      <c r="F90" s="16">
        <f>IF(B90="","",INDEX(RECON_RESULTS!$H$2:$H$1001,SMALL(IF(RECON_RESULTS!$A$2:$A$1001="Unmatched Bank",ROW(RECON_RESULTS!$A$2:$A$1001)-1),88)))</f>
        <v/>
      </c>
      <c r="G90" s="11" t="inlineStr"/>
      <c r="H90" s="11" t="inlineStr"/>
      <c r="I90" s="11" t="inlineStr"/>
      <c r="J90" s="11" t="inlineStr"/>
      <c r="K90" s="11" t="inlineStr"/>
      <c r="L90" s="11" t="inlineStr"/>
    </row>
    <row r="91">
      <c r="B91" s="11">
        <f>IFERROR(INDEX(RECON_RESULTS!$A$2:$A$1001,SMALL(IF(RECON_RESULTS!$A$2:$A$1001="Unmatched Bank",ROW(RECON_RESULTS!$A$2:$A$1001)-1),89)),"")</f>
        <v/>
      </c>
      <c r="C91" s="10">
        <f>IF(B91="","",INDEX(RECON_RESULTS!$F$2:$F$1001,SMALL(IF(RECON_RESULTS!$A$2:$A$1001="Unmatched Bank",ROW(RECON_RESULTS!$A$2:$A$1001)-1),89)))</f>
        <v/>
      </c>
      <c r="D91" s="11">
        <f>IF(B91="","",INDEX(RECON_RESULTS!$O$2:$O$1001,SMALL(IF(RECON_RESULTS!$A$2:$A$1001="Unmatched Bank",ROW(RECON_RESULTS!$A$2:$A$1001)-1),89)))</f>
        <v/>
      </c>
      <c r="E91" s="16">
        <f>IF(B91="","",INDEX(RECON_RESULTS!$G$2:$G$1001,SMALL(IF(RECON_RESULTS!$A$2:$A$1001="Unmatched Bank",ROW(RECON_RESULTS!$A$2:$A$1001)-1),89)))</f>
        <v/>
      </c>
      <c r="F91" s="16">
        <f>IF(B91="","",INDEX(RECON_RESULTS!$H$2:$H$1001,SMALL(IF(RECON_RESULTS!$A$2:$A$1001="Unmatched Bank",ROW(RECON_RESULTS!$A$2:$A$1001)-1),89)))</f>
        <v/>
      </c>
      <c r="G91" s="11" t="inlineStr"/>
      <c r="H91" s="11" t="inlineStr"/>
      <c r="I91" s="11" t="inlineStr"/>
      <c r="J91" s="11" t="inlineStr"/>
      <c r="K91" s="11" t="inlineStr"/>
      <c r="L91" s="11" t="inlineStr"/>
    </row>
    <row r="92">
      <c r="B92" s="11">
        <f>IFERROR(INDEX(RECON_RESULTS!$A$2:$A$1001,SMALL(IF(RECON_RESULTS!$A$2:$A$1001="Unmatched Bank",ROW(RECON_RESULTS!$A$2:$A$1001)-1),90)),"")</f>
        <v/>
      </c>
      <c r="C92" s="10">
        <f>IF(B92="","",INDEX(RECON_RESULTS!$F$2:$F$1001,SMALL(IF(RECON_RESULTS!$A$2:$A$1001="Unmatched Bank",ROW(RECON_RESULTS!$A$2:$A$1001)-1),90)))</f>
        <v/>
      </c>
      <c r="D92" s="11">
        <f>IF(B92="","",INDEX(RECON_RESULTS!$O$2:$O$1001,SMALL(IF(RECON_RESULTS!$A$2:$A$1001="Unmatched Bank",ROW(RECON_RESULTS!$A$2:$A$1001)-1),90)))</f>
        <v/>
      </c>
      <c r="E92" s="16">
        <f>IF(B92="","",INDEX(RECON_RESULTS!$G$2:$G$1001,SMALL(IF(RECON_RESULTS!$A$2:$A$1001="Unmatched Bank",ROW(RECON_RESULTS!$A$2:$A$1001)-1),90)))</f>
        <v/>
      </c>
      <c r="F92" s="16">
        <f>IF(B92="","",INDEX(RECON_RESULTS!$H$2:$H$1001,SMALL(IF(RECON_RESULTS!$A$2:$A$1001="Unmatched Bank",ROW(RECON_RESULTS!$A$2:$A$1001)-1),90)))</f>
        <v/>
      </c>
      <c r="G92" s="11" t="inlineStr"/>
      <c r="H92" s="11" t="inlineStr"/>
      <c r="I92" s="11" t="inlineStr"/>
      <c r="J92" s="11" t="inlineStr"/>
      <c r="K92" s="11" t="inlineStr"/>
      <c r="L92" s="11" t="inlineStr"/>
    </row>
    <row r="93">
      <c r="B93" s="11">
        <f>IFERROR(INDEX(RECON_RESULTS!$A$2:$A$1001,SMALL(IF(RECON_RESULTS!$A$2:$A$1001="Unmatched Bank",ROW(RECON_RESULTS!$A$2:$A$1001)-1),91)),"")</f>
        <v/>
      </c>
      <c r="C93" s="10">
        <f>IF(B93="","",INDEX(RECON_RESULTS!$F$2:$F$1001,SMALL(IF(RECON_RESULTS!$A$2:$A$1001="Unmatched Bank",ROW(RECON_RESULTS!$A$2:$A$1001)-1),91)))</f>
        <v/>
      </c>
      <c r="D93" s="11">
        <f>IF(B93="","",INDEX(RECON_RESULTS!$O$2:$O$1001,SMALL(IF(RECON_RESULTS!$A$2:$A$1001="Unmatched Bank",ROW(RECON_RESULTS!$A$2:$A$1001)-1),91)))</f>
        <v/>
      </c>
      <c r="E93" s="16">
        <f>IF(B93="","",INDEX(RECON_RESULTS!$G$2:$G$1001,SMALL(IF(RECON_RESULTS!$A$2:$A$1001="Unmatched Bank",ROW(RECON_RESULTS!$A$2:$A$1001)-1),91)))</f>
        <v/>
      </c>
      <c r="F93" s="16">
        <f>IF(B93="","",INDEX(RECON_RESULTS!$H$2:$H$1001,SMALL(IF(RECON_RESULTS!$A$2:$A$1001="Unmatched Bank",ROW(RECON_RESULTS!$A$2:$A$1001)-1),91)))</f>
        <v/>
      </c>
      <c r="G93" s="11" t="inlineStr"/>
      <c r="H93" s="11" t="inlineStr"/>
      <c r="I93" s="11" t="inlineStr"/>
      <c r="J93" s="11" t="inlineStr"/>
      <c r="K93" s="11" t="inlineStr"/>
      <c r="L93" s="11" t="inlineStr"/>
    </row>
    <row r="94">
      <c r="B94" s="11">
        <f>IFERROR(INDEX(RECON_RESULTS!$A$2:$A$1001,SMALL(IF(RECON_RESULTS!$A$2:$A$1001="Unmatched Bank",ROW(RECON_RESULTS!$A$2:$A$1001)-1),92)),"")</f>
        <v/>
      </c>
      <c r="C94" s="10">
        <f>IF(B94="","",INDEX(RECON_RESULTS!$F$2:$F$1001,SMALL(IF(RECON_RESULTS!$A$2:$A$1001="Unmatched Bank",ROW(RECON_RESULTS!$A$2:$A$1001)-1),92)))</f>
        <v/>
      </c>
      <c r="D94" s="11">
        <f>IF(B94="","",INDEX(RECON_RESULTS!$O$2:$O$1001,SMALL(IF(RECON_RESULTS!$A$2:$A$1001="Unmatched Bank",ROW(RECON_RESULTS!$A$2:$A$1001)-1),92)))</f>
        <v/>
      </c>
      <c r="E94" s="16">
        <f>IF(B94="","",INDEX(RECON_RESULTS!$G$2:$G$1001,SMALL(IF(RECON_RESULTS!$A$2:$A$1001="Unmatched Bank",ROW(RECON_RESULTS!$A$2:$A$1001)-1),92)))</f>
        <v/>
      </c>
      <c r="F94" s="16">
        <f>IF(B94="","",INDEX(RECON_RESULTS!$H$2:$H$1001,SMALL(IF(RECON_RESULTS!$A$2:$A$1001="Unmatched Bank",ROW(RECON_RESULTS!$A$2:$A$1001)-1),92)))</f>
        <v/>
      </c>
      <c r="G94" s="11" t="inlineStr"/>
      <c r="H94" s="11" t="inlineStr"/>
      <c r="I94" s="11" t="inlineStr"/>
      <c r="J94" s="11" t="inlineStr"/>
      <c r="K94" s="11" t="inlineStr"/>
      <c r="L94" s="11" t="inlineStr"/>
    </row>
    <row r="95">
      <c r="B95" s="11">
        <f>IFERROR(INDEX(RECON_RESULTS!$A$2:$A$1001,SMALL(IF(RECON_RESULTS!$A$2:$A$1001="Unmatched Bank",ROW(RECON_RESULTS!$A$2:$A$1001)-1),93)),"")</f>
        <v/>
      </c>
      <c r="C95" s="10">
        <f>IF(B95="","",INDEX(RECON_RESULTS!$F$2:$F$1001,SMALL(IF(RECON_RESULTS!$A$2:$A$1001="Unmatched Bank",ROW(RECON_RESULTS!$A$2:$A$1001)-1),93)))</f>
        <v/>
      </c>
      <c r="D95" s="11">
        <f>IF(B95="","",INDEX(RECON_RESULTS!$O$2:$O$1001,SMALL(IF(RECON_RESULTS!$A$2:$A$1001="Unmatched Bank",ROW(RECON_RESULTS!$A$2:$A$1001)-1),93)))</f>
        <v/>
      </c>
      <c r="E95" s="16">
        <f>IF(B95="","",INDEX(RECON_RESULTS!$G$2:$G$1001,SMALL(IF(RECON_RESULTS!$A$2:$A$1001="Unmatched Bank",ROW(RECON_RESULTS!$A$2:$A$1001)-1),93)))</f>
        <v/>
      </c>
      <c r="F95" s="16">
        <f>IF(B95="","",INDEX(RECON_RESULTS!$H$2:$H$1001,SMALL(IF(RECON_RESULTS!$A$2:$A$1001="Unmatched Bank",ROW(RECON_RESULTS!$A$2:$A$1001)-1),93)))</f>
        <v/>
      </c>
      <c r="G95" s="11" t="inlineStr"/>
      <c r="H95" s="11" t="inlineStr"/>
      <c r="I95" s="11" t="inlineStr"/>
      <c r="J95" s="11" t="inlineStr"/>
      <c r="K95" s="11" t="inlineStr"/>
      <c r="L95" s="11" t="inlineStr"/>
    </row>
    <row r="96">
      <c r="B96" s="11">
        <f>IFERROR(INDEX(RECON_RESULTS!$A$2:$A$1001,SMALL(IF(RECON_RESULTS!$A$2:$A$1001="Unmatched Bank",ROW(RECON_RESULTS!$A$2:$A$1001)-1),94)),"")</f>
        <v/>
      </c>
      <c r="C96" s="10">
        <f>IF(B96="","",INDEX(RECON_RESULTS!$F$2:$F$1001,SMALL(IF(RECON_RESULTS!$A$2:$A$1001="Unmatched Bank",ROW(RECON_RESULTS!$A$2:$A$1001)-1),94)))</f>
        <v/>
      </c>
      <c r="D96" s="11">
        <f>IF(B96="","",INDEX(RECON_RESULTS!$O$2:$O$1001,SMALL(IF(RECON_RESULTS!$A$2:$A$1001="Unmatched Bank",ROW(RECON_RESULTS!$A$2:$A$1001)-1),94)))</f>
        <v/>
      </c>
      <c r="E96" s="16">
        <f>IF(B96="","",INDEX(RECON_RESULTS!$G$2:$G$1001,SMALL(IF(RECON_RESULTS!$A$2:$A$1001="Unmatched Bank",ROW(RECON_RESULTS!$A$2:$A$1001)-1),94)))</f>
        <v/>
      </c>
      <c r="F96" s="16">
        <f>IF(B96="","",INDEX(RECON_RESULTS!$H$2:$H$1001,SMALL(IF(RECON_RESULTS!$A$2:$A$1001="Unmatched Bank",ROW(RECON_RESULTS!$A$2:$A$1001)-1),94)))</f>
        <v/>
      </c>
      <c r="G96" s="11" t="inlineStr"/>
      <c r="H96" s="11" t="inlineStr"/>
      <c r="I96" s="11" t="inlineStr"/>
      <c r="J96" s="11" t="inlineStr"/>
      <c r="K96" s="11" t="inlineStr"/>
      <c r="L96" s="11" t="inlineStr"/>
    </row>
    <row r="97">
      <c r="B97" s="11">
        <f>IFERROR(INDEX(RECON_RESULTS!$A$2:$A$1001,SMALL(IF(RECON_RESULTS!$A$2:$A$1001="Unmatched Bank",ROW(RECON_RESULTS!$A$2:$A$1001)-1),95)),"")</f>
        <v/>
      </c>
      <c r="C97" s="10">
        <f>IF(B97="","",INDEX(RECON_RESULTS!$F$2:$F$1001,SMALL(IF(RECON_RESULTS!$A$2:$A$1001="Unmatched Bank",ROW(RECON_RESULTS!$A$2:$A$1001)-1),95)))</f>
        <v/>
      </c>
      <c r="D97" s="11">
        <f>IF(B97="","",INDEX(RECON_RESULTS!$O$2:$O$1001,SMALL(IF(RECON_RESULTS!$A$2:$A$1001="Unmatched Bank",ROW(RECON_RESULTS!$A$2:$A$1001)-1),95)))</f>
        <v/>
      </c>
      <c r="E97" s="16">
        <f>IF(B97="","",INDEX(RECON_RESULTS!$G$2:$G$1001,SMALL(IF(RECON_RESULTS!$A$2:$A$1001="Unmatched Bank",ROW(RECON_RESULTS!$A$2:$A$1001)-1),95)))</f>
        <v/>
      </c>
      <c r="F97" s="16">
        <f>IF(B97="","",INDEX(RECON_RESULTS!$H$2:$H$1001,SMALL(IF(RECON_RESULTS!$A$2:$A$1001="Unmatched Bank",ROW(RECON_RESULTS!$A$2:$A$1001)-1),95)))</f>
        <v/>
      </c>
      <c r="G97" s="11" t="inlineStr"/>
      <c r="H97" s="11" t="inlineStr"/>
      <c r="I97" s="11" t="inlineStr"/>
      <c r="J97" s="11" t="inlineStr"/>
      <c r="K97" s="11" t="inlineStr"/>
      <c r="L97" s="11" t="inlineStr"/>
    </row>
    <row r="98">
      <c r="B98" s="11">
        <f>IFERROR(INDEX(RECON_RESULTS!$A$2:$A$1001,SMALL(IF(RECON_RESULTS!$A$2:$A$1001="Unmatched Bank",ROW(RECON_RESULTS!$A$2:$A$1001)-1),96)),"")</f>
        <v/>
      </c>
      <c r="C98" s="10">
        <f>IF(B98="","",INDEX(RECON_RESULTS!$F$2:$F$1001,SMALL(IF(RECON_RESULTS!$A$2:$A$1001="Unmatched Bank",ROW(RECON_RESULTS!$A$2:$A$1001)-1),96)))</f>
        <v/>
      </c>
      <c r="D98" s="11">
        <f>IF(B98="","",INDEX(RECON_RESULTS!$O$2:$O$1001,SMALL(IF(RECON_RESULTS!$A$2:$A$1001="Unmatched Bank",ROW(RECON_RESULTS!$A$2:$A$1001)-1),96)))</f>
        <v/>
      </c>
      <c r="E98" s="16">
        <f>IF(B98="","",INDEX(RECON_RESULTS!$G$2:$G$1001,SMALL(IF(RECON_RESULTS!$A$2:$A$1001="Unmatched Bank",ROW(RECON_RESULTS!$A$2:$A$1001)-1),96)))</f>
        <v/>
      </c>
      <c r="F98" s="16">
        <f>IF(B98="","",INDEX(RECON_RESULTS!$H$2:$H$1001,SMALL(IF(RECON_RESULTS!$A$2:$A$1001="Unmatched Bank",ROW(RECON_RESULTS!$A$2:$A$1001)-1),96)))</f>
        <v/>
      </c>
      <c r="G98" s="11" t="inlineStr"/>
      <c r="H98" s="11" t="inlineStr"/>
      <c r="I98" s="11" t="inlineStr"/>
      <c r="J98" s="11" t="inlineStr"/>
      <c r="K98" s="11" t="inlineStr"/>
      <c r="L98" s="11" t="inlineStr"/>
    </row>
    <row r="99">
      <c r="B99" s="11">
        <f>IFERROR(INDEX(RECON_RESULTS!$A$2:$A$1001,SMALL(IF(RECON_RESULTS!$A$2:$A$1001="Unmatched Bank",ROW(RECON_RESULTS!$A$2:$A$1001)-1),97)),"")</f>
        <v/>
      </c>
      <c r="C99" s="10">
        <f>IF(B99="","",INDEX(RECON_RESULTS!$F$2:$F$1001,SMALL(IF(RECON_RESULTS!$A$2:$A$1001="Unmatched Bank",ROW(RECON_RESULTS!$A$2:$A$1001)-1),97)))</f>
        <v/>
      </c>
      <c r="D99" s="11">
        <f>IF(B99="","",INDEX(RECON_RESULTS!$O$2:$O$1001,SMALL(IF(RECON_RESULTS!$A$2:$A$1001="Unmatched Bank",ROW(RECON_RESULTS!$A$2:$A$1001)-1),97)))</f>
        <v/>
      </c>
      <c r="E99" s="16">
        <f>IF(B99="","",INDEX(RECON_RESULTS!$G$2:$G$1001,SMALL(IF(RECON_RESULTS!$A$2:$A$1001="Unmatched Bank",ROW(RECON_RESULTS!$A$2:$A$1001)-1),97)))</f>
        <v/>
      </c>
      <c r="F99" s="16">
        <f>IF(B99="","",INDEX(RECON_RESULTS!$H$2:$H$1001,SMALL(IF(RECON_RESULTS!$A$2:$A$1001="Unmatched Bank",ROW(RECON_RESULTS!$A$2:$A$1001)-1),97)))</f>
        <v/>
      </c>
      <c r="G99" s="11" t="inlineStr"/>
      <c r="H99" s="11" t="inlineStr"/>
      <c r="I99" s="11" t="inlineStr"/>
      <c r="J99" s="11" t="inlineStr"/>
      <c r="K99" s="11" t="inlineStr"/>
      <c r="L99" s="11" t="inlineStr"/>
    </row>
    <row r="100">
      <c r="B100" s="11">
        <f>IFERROR(INDEX(RECON_RESULTS!$A$2:$A$1001,SMALL(IF(RECON_RESULTS!$A$2:$A$1001="Unmatched Bank",ROW(RECON_RESULTS!$A$2:$A$1001)-1),98)),"")</f>
        <v/>
      </c>
      <c r="C100" s="10">
        <f>IF(B100="","",INDEX(RECON_RESULTS!$F$2:$F$1001,SMALL(IF(RECON_RESULTS!$A$2:$A$1001="Unmatched Bank",ROW(RECON_RESULTS!$A$2:$A$1001)-1),98)))</f>
        <v/>
      </c>
      <c r="D100" s="11">
        <f>IF(B100="","",INDEX(RECON_RESULTS!$O$2:$O$1001,SMALL(IF(RECON_RESULTS!$A$2:$A$1001="Unmatched Bank",ROW(RECON_RESULTS!$A$2:$A$1001)-1),98)))</f>
        <v/>
      </c>
      <c r="E100" s="16">
        <f>IF(B100="","",INDEX(RECON_RESULTS!$G$2:$G$1001,SMALL(IF(RECON_RESULTS!$A$2:$A$1001="Unmatched Bank",ROW(RECON_RESULTS!$A$2:$A$1001)-1),98)))</f>
        <v/>
      </c>
      <c r="F100" s="16">
        <f>IF(B100="","",INDEX(RECON_RESULTS!$H$2:$H$1001,SMALL(IF(RECON_RESULTS!$A$2:$A$1001="Unmatched Bank",ROW(RECON_RESULTS!$A$2:$A$1001)-1),98)))</f>
        <v/>
      </c>
      <c r="G100" s="11" t="inlineStr"/>
      <c r="H100" s="11" t="inlineStr"/>
      <c r="I100" s="11" t="inlineStr"/>
      <c r="J100" s="11" t="inlineStr"/>
      <c r="K100" s="11" t="inlineStr"/>
      <c r="L100" s="11" t="inlineStr"/>
    </row>
    <row r="101">
      <c r="B101" s="11">
        <f>IFERROR(INDEX(RECON_RESULTS!$A$2:$A$1001,SMALL(IF(RECON_RESULTS!$A$2:$A$1001="Unmatched Bank",ROW(RECON_RESULTS!$A$2:$A$1001)-1),99)),"")</f>
        <v/>
      </c>
      <c r="C101" s="10">
        <f>IF(B101="","",INDEX(RECON_RESULTS!$F$2:$F$1001,SMALL(IF(RECON_RESULTS!$A$2:$A$1001="Unmatched Bank",ROW(RECON_RESULTS!$A$2:$A$1001)-1),99)))</f>
        <v/>
      </c>
      <c r="D101" s="11">
        <f>IF(B101="","",INDEX(RECON_RESULTS!$O$2:$O$1001,SMALL(IF(RECON_RESULTS!$A$2:$A$1001="Unmatched Bank",ROW(RECON_RESULTS!$A$2:$A$1001)-1),99)))</f>
        <v/>
      </c>
      <c r="E101" s="16">
        <f>IF(B101="","",INDEX(RECON_RESULTS!$G$2:$G$1001,SMALL(IF(RECON_RESULTS!$A$2:$A$1001="Unmatched Bank",ROW(RECON_RESULTS!$A$2:$A$1001)-1),99)))</f>
        <v/>
      </c>
      <c r="F101" s="16">
        <f>IF(B101="","",INDEX(RECON_RESULTS!$H$2:$H$1001,SMALL(IF(RECON_RESULTS!$A$2:$A$1001="Unmatched Bank",ROW(RECON_RESULTS!$A$2:$A$1001)-1),99)))</f>
        <v/>
      </c>
      <c r="G101" s="11" t="inlineStr"/>
      <c r="H101" s="11" t="inlineStr"/>
      <c r="I101" s="11" t="inlineStr"/>
      <c r="J101" s="11" t="inlineStr"/>
      <c r="K101" s="11" t="inlineStr"/>
      <c r="L101" s="11" t="inlineStr"/>
    </row>
    <row r="102">
      <c r="B102" s="11">
        <f>IFERROR(INDEX(RECON_RESULTS!$A$2:$A$1001,SMALL(IF(RECON_RESULTS!$A$2:$A$1001="Unmatched Bank",ROW(RECON_RESULTS!$A$2:$A$1001)-1),100)),"")</f>
        <v/>
      </c>
      <c r="C102" s="10">
        <f>IF(B102="","",INDEX(RECON_RESULTS!$F$2:$F$1001,SMALL(IF(RECON_RESULTS!$A$2:$A$1001="Unmatched Bank",ROW(RECON_RESULTS!$A$2:$A$1001)-1),100)))</f>
        <v/>
      </c>
      <c r="D102" s="11">
        <f>IF(B102="","",INDEX(RECON_RESULTS!$O$2:$O$1001,SMALL(IF(RECON_RESULTS!$A$2:$A$1001="Unmatched Bank",ROW(RECON_RESULTS!$A$2:$A$1001)-1),100)))</f>
        <v/>
      </c>
      <c r="E102" s="16">
        <f>IF(B102="","",INDEX(RECON_RESULTS!$G$2:$G$1001,SMALL(IF(RECON_RESULTS!$A$2:$A$1001="Unmatched Bank",ROW(RECON_RESULTS!$A$2:$A$1001)-1),100)))</f>
        <v/>
      </c>
      <c r="F102" s="16">
        <f>IF(B102="","",INDEX(RECON_RESULTS!$H$2:$H$1001,SMALL(IF(RECON_RESULTS!$A$2:$A$1001="Unmatched Bank",ROW(RECON_RESULTS!$A$2:$A$1001)-1),100)))</f>
        <v/>
      </c>
      <c r="G102" s="11" t="inlineStr"/>
      <c r="H102" s="11" t="inlineStr"/>
      <c r="I102" s="11" t="inlineStr"/>
      <c r="J102" s="11" t="inlineStr"/>
      <c r="K102" s="11" t="inlineStr"/>
      <c r="L102" s="11" t="inlineStr"/>
    </row>
    <row r="103">
      <c r="B103" s="11">
        <f>IFERROR(INDEX(RECON_RESULTS!$A$2:$A$1001,SMALL(IF(RECON_RESULTS!$A$2:$A$1001="Unmatched Bank",ROW(RECON_RESULTS!$A$2:$A$1001)-1),101)),"")</f>
        <v/>
      </c>
      <c r="C103" s="10">
        <f>IF(B103="","",INDEX(RECON_RESULTS!$F$2:$F$1001,SMALL(IF(RECON_RESULTS!$A$2:$A$1001="Unmatched Bank",ROW(RECON_RESULTS!$A$2:$A$1001)-1),101)))</f>
        <v/>
      </c>
      <c r="D103" s="11">
        <f>IF(B103="","",INDEX(RECON_RESULTS!$O$2:$O$1001,SMALL(IF(RECON_RESULTS!$A$2:$A$1001="Unmatched Bank",ROW(RECON_RESULTS!$A$2:$A$1001)-1),101)))</f>
        <v/>
      </c>
      <c r="E103" s="16">
        <f>IF(B103="","",INDEX(RECON_RESULTS!$G$2:$G$1001,SMALL(IF(RECON_RESULTS!$A$2:$A$1001="Unmatched Bank",ROW(RECON_RESULTS!$A$2:$A$1001)-1),101)))</f>
        <v/>
      </c>
      <c r="F103" s="16">
        <f>IF(B103="","",INDEX(RECON_RESULTS!$H$2:$H$1001,SMALL(IF(RECON_RESULTS!$A$2:$A$1001="Unmatched Bank",ROW(RECON_RESULTS!$A$2:$A$1001)-1),101)))</f>
        <v/>
      </c>
      <c r="G103" s="11" t="inlineStr"/>
      <c r="H103" s="11" t="inlineStr"/>
      <c r="I103" s="11" t="inlineStr"/>
      <c r="J103" s="11" t="inlineStr"/>
      <c r="K103" s="11" t="inlineStr"/>
      <c r="L103" s="11" t="inlineStr"/>
    </row>
    <row r="104">
      <c r="B104" s="11">
        <f>IFERROR(INDEX(RECON_RESULTS!$A$2:$A$1001,SMALL(IF(RECON_RESULTS!$A$2:$A$1001="Unmatched Bank",ROW(RECON_RESULTS!$A$2:$A$1001)-1),102)),"")</f>
        <v/>
      </c>
      <c r="C104" s="10">
        <f>IF(B104="","",INDEX(RECON_RESULTS!$F$2:$F$1001,SMALL(IF(RECON_RESULTS!$A$2:$A$1001="Unmatched Bank",ROW(RECON_RESULTS!$A$2:$A$1001)-1),102)))</f>
        <v/>
      </c>
      <c r="D104" s="11">
        <f>IF(B104="","",INDEX(RECON_RESULTS!$O$2:$O$1001,SMALL(IF(RECON_RESULTS!$A$2:$A$1001="Unmatched Bank",ROW(RECON_RESULTS!$A$2:$A$1001)-1),102)))</f>
        <v/>
      </c>
      <c r="E104" s="16">
        <f>IF(B104="","",INDEX(RECON_RESULTS!$G$2:$G$1001,SMALL(IF(RECON_RESULTS!$A$2:$A$1001="Unmatched Bank",ROW(RECON_RESULTS!$A$2:$A$1001)-1),102)))</f>
        <v/>
      </c>
      <c r="F104" s="16">
        <f>IF(B104="","",INDEX(RECON_RESULTS!$H$2:$H$1001,SMALL(IF(RECON_RESULTS!$A$2:$A$1001="Unmatched Bank",ROW(RECON_RESULTS!$A$2:$A$1001)-1),102)))</f>
        <v/>
      </c>
      <c r="G104" s="11" t="inlineStr"/>
      <c r="H104" s="11" t="inlineStr"/>
      <c r="I104" s="11" t="inlineStr"/>
      <c r="J104" s="11" t="inlineStr"/>
      <c r="K104" s="11" t="inlineStr"/>
      <c r="L104" s="11" t="inlineStr"/>
    </row>
    <row r="105">
      <c r="B105" s="11">
        <f>IFERROR(INDEX(RECON_RESULTS!$A$2:$A$1001,SMALL(IF(RECON_RESULTS!$A$2:$A$1001="Unmatched Bank",ROW(RECON_RESULTS!$A$2:$A$1001)-1),103)),"")</f>
        <v/>
      </c>
      <c r="C105" s="10">
        <f>IF(B105="","",INDEX(RECON_RESULTS!$F$2:$F$1001,SMALL(IF(RECON_RESULTS!$A$2:$A$1001="Unmatched Bank",ROW(RECON_RESULTS!$A$2:$A$1001)-1),103)))</f>
        <v/>
      </c>
      <c r="D105" s="11">
        <f>IF(B105="","",INDEX(RECON_RESULTS!$O$2:$O$1001,SMALL(IF(RECON_RESULTS!$A$2:$A$1001="Unmatched Bank",ROW(RECON_RESULTS!$A$2:$A$1001)-1),103)))</f>
        <v/>
      </c>
      <c r="E105" s="16">
        <f>IF(B105="","",INDEX(RECON_RESULTS!$G$2:$G$1001,SMALL(IF(RECON_RESULTS!$A$2:$A$1001="Unmatched Bank",ROW(RECON_RESULTS!$A$2:$A$1001)-1),103)))</f>
        <v/>
      </c>
      <c r="F105" s="16">
        <f>IF(B105="","",INDEX(RECON_RESULTS!$H$2:$H$1001,SMALL(IF(RECON_RESULTS!$A$2:$A$1001="Unmatched Bank",ROW(RECON_RESULTS!$A$2:$A$1001)-1),103)))</f>
        <v/>
      </c>
      <c r="G105" s="11" t="inlineStr"/>
      <c r="H105" s="11" t="inlineStr"/>
      <c r="I105" s="11" t="inlineStr"/>
      <c r="J105" s="11" t="inlineStr"/>
      <c r="K105" s="11" t="inlineStr"/>
      <c r="L105" s="11" t="inlineStr"/>
    </row>
    <row r="106">
      <c r="B106" s="11">
        <f>IFERROR(INDEX(RECON_RESULTS!$A$2:$A$1001,SMALL(IF(RECON_RESULTS!$A$2:$A$1001="Unmatched Bank",ROW(RECON_RESULTS!$A$2:$A$1001)-1),104)),"")</f>
        <v/>
      </c>
      <c r="C106" s="10">
        <f>IF(B106="","",INDEX(RECON_RESULTS!$F$2:$F$1001,SMALL(IF(RECON_RESULTS!$A$2:$A$1001="Unmatched Bank",ROW(RECON_RESULTS!$A$2:$A$1001)-1),104)))</f>
        <v/>
      </c>
      <c r="D106" s="11">
        <f>IF(B106="","",INDEX(RECON_RESULTS!$O$2:$O$1001,SMALL(IF(RECON_RESULTS!$A$2:$A$1001="Unmatched Bank",ROW(RECON_RESULTS!$A$2:$A$1001)-1),104)))</f>
        <v/>
      </c>
      <c r="E106" s="16">
        <f>IF(B106="","",INDEX(RECON_RESULTS!$G$2:$G$1001,SMALL(IF(RECON_RESULTS!$A$2:$A$1001="Unmatched Bank",ROW(RECON_RESULTS!$A$2:$A$1001)-1),104)))</f>
        <v/>
      </c>
      <c r="F106" s="16">
        <f>IF(B106="","",INDEX(RECON_RESULTS!$H$2:$H$1001,SMALL(IF(RECON_RESULTS!$A$2:$A$1001="Unmatched Bank",ROW(RECON_RESULTS!$A$2:$A$1001)-1),104)))</f>
        <v/>
      </c>
      <c r="G106" s="11" t="inlineStr"/>
      <c r="H106" s="11" t="inlineStr"/>
      <c r="I106" s="11" t="inlineStr"/>
      <c r="J106" s="11" t="inlineStr"/>
      <c r="K106" s="11" t="inlineStr"/>
      <c r="L106" s="11" t="inlineStr"/>
    </row>
    <row r="107">
      <c r="B107" s="11">
        <f>IFERROR(INDEX(RECON_RESULTS!$A$2:$A$1001,SMALL(IF(RECON_RESULTS!$A$2:$A$1001="Unmatched Bank",ROW(RECON_RESULTS!$A$2:$A$1001)-1),105)),"")</f>
        <v/>
      </c>
      <c r="C107" s="10">
        <f>IF(B107="","",INDEX(RECON_RESULTS!$F$2:$F$1001,SMALL(IF(RECON_RESULTS!$A$2:$A$1001="Unmatched Bank",ROW(RECON_RESULTS!$A$2:$A$1001)-1),105)))</f>
        <v/>
      </c>
      <c r="D107" s="11">
        <f>IF(B107="","",INDEX(RECON_RESULTS!$O$2:$O$1001,SMALL(IF(RECON_RESULTS!$A$2:$A$1001="Unmatched Bank",ROW(RECON_RESULTS!$A$2:$A$1001)-1),105)))</f>
        <v/>
      </c>
      <c r="E107" s="16">
        <f>IF(B107="","",INDEX(RECON_RESULTS!$G$2:$G$1001,SMALL(IF(RECON_RESULTS!$A$2:$A$1001="Unmatched Bank",ROW(RECON_RESULTS!$A$2:$A$1001)-1),105)))</f>
        <v/>
      </c>
      <c r="F107" s="16">
        <f>IF(B107="","",INDEX(RECON_RESULTS!$H$2:$H$1001,SMALL(IF(RECON_RESULTS!$A$2:$A$1001="Unmatched Bank",ROW(RECON_RESULTS!$A$2:$A$1001)-1),105)))</f>
        <v/>
      </c>
      <c r="G107" s="11" t="inlineStr"/>
      <c r="H107" s="11" t="inlineStr"/>
      <c r="I107" s="11" t="inlineStr"/>
      <c r="J107" s="11" t="inlineStr"/>
      <c r="K107" s="11" t="inlineStr"/>
      <c r="L107" s="11" t="inlineStr"/>
    </row>
    <row r="108">
      <c r="B108" s="11">
        <f>IFERROR(INDEX(RECON_RESULTS!$A$2:$A$1001,SMALL(IF(RECON_RESULTS!$A$2:$A$1001="Unmatched Bank",ROW(RECON_RESULTS!$A$2:$A$1001)-1),106)),"")</f>
        <v/>
      </c>
      <c r="C108" s="10">
        <f>IF(B108="","",INDEX(RECON_RESULTS!$F$2:$F$1001,SMALL(IF(RECON_RESULTS!$A$2:$A$1001="Unmatched Bank",ROW(RECON_RESULTS!$A$2:$A$1001)-1),106)))</f>
        <v/>
      </c>
      <c r="D108" s="11">
        <f>IF(B108="","",INDEX(RECON_RESULTS!$O$2:$O$1001,SMALL(IF(RECON_RESULTS!$A$2:$A$1001="Unmatched Bank",ROW(RECON_RESULTS!$A$2:$A$1001)-1),106)))</f>
        <v/>
      </c>
      <c r="E108" s="16">
        <f>IF(B108="","",INDEX(RECON_RESULTS!$G$2:$G$1001,SMALL(IF(RECON_RESULTS!$A$2:$A$1001="Unmatched Bank",ROW(RECON_RESULTS!$A$2:$A$1001)-1),106)))</f>
        <v/>
      </c>
      <c r="F108" s="16">
        <f>IF(B108="","",INDEX(RECON_RESULTS!$H$2:$H$1001,SMALL(IF(RECON_RESULTS!$A$2:$A$1001="Unmatched Bank",ROW(RECON_RESULTS!$A$2:$A$1001)-1),106)))</f>
        <v/>
      </c>
      <c r="G108" s="11" t="inlineStr"/>
      <c r="H108" s="11" t="inlineStr"/>
      <c r="I108" s="11" t="inlineStr"/>
      <c r="J108" s="11" t="inlineStr"/>
      <c r="K108" s="11" t="inlineStr"/>
      <c r="L108" s="11" t="inlineStr"/>
    </row>
    <row r="109">
      <c r="B109" s="11">
        <f>IFERROR(INDEX(RECON_RESULTS!$A$2:$A$1001,SMALL(IF(RECON_RESULTS!$A$2:$A$1001="Unmatched Bank",ROW(RECON_RESULTS!$A$2:$A$1001)-1),107)),"")</f>
        <v/>
      </c>
      <c r="C109" s="10">
        <f>IF(B109="","",INDEX(RECON_RESULTS!$F$2:$F$1001,SMALL(IF(RECON_RESULTS!$A$2:$A$1001="Unmatched Bank",ROW(RECON_RESULTS!$A$2:$A$1001)-1),107)))</f>
        <v/>
      </c>
      <c r="D109" s="11">
        <f>IF(B109="","",INDEX(RECON_RESULTS!$O$2:$O$1001,SMALL(IF(RECON_RESULTS!$A$2:$A$1001="Unmatched Bank",ROW(RECON_RESULTS!$A$2:$A$1001)-1),107)))</f>
        <v/>
      </c>
      <c r="E109" s="16">
        <f>IF(B109="","",INDEX(RECON_RESULTS!$G$2:$G$1001,SMALL(IF(RECON_RESULTS!$A$2:$A$1001="Unmatched Bank",ROW(RECON_RESULTS!$A$2:$A$1001)-1),107)))</f>
        <v/>
      </c>
      <c r="F109" s="16">
        <f>IF(B109="","",INDEX(RECON_RESULTS!$H$2:$H$1001,SMALL(IF(RECON_RESULTS!$A$2:$A$1001="Unmatched Bank",ROW(RECON_RESULTS!$A$2:$A$1001)-1),107)))</f>
        <v/>
      </c>
      <c r="G109" s="11" t="inlineStr"/>
      <c r="H109" s="11" t="inlineStr"/>
      <c r="I109" s="11" t="inlineStr"/>
      <c r="J109" s="11" t="inlineStr"/>
      <c r="K109" s="11" t="inlineStr"/>
      <c r="L109" s="11" t="inlineStr"/>
    </row>
    <row r="110">
      <c r="B110" s="11">
        <f>IFERROR(INDEX(RECON_RESULTS!$A$2:$A$1001,SMALL(IF(RECON_RESULTS!$A$2:$A$1001="Unmatched Bank",ROW(RECON_RESULTS!$A$2:$A$1001)-1),108)),"")</f>
        <v/>
      </c>
      <c r="C110" s="10">
        <f>IF(B110="","",INDEX(RECON_RESULTS!$F$2:$F$1001,SMALL(IF(RECON_RESULTS!$A$2:$A$1001="Unmatched Bank",ROW(RECON_RESULTS!$A$2:$A$1001)-1),108)))</f>
        <v/>
      </c>
      <c r="D110" s="11">
        <f>IF(B110="","",INDEX(RECON_RESULTS!$O$2:$O$1001,SMALL(IF(RECON_RESULTS!$A$2:$A$1001="Unmatched Bank",ROW(RECON_RESULTS!$A$2:$A$1001)-1),108)))</f>
        <v/>
      </c>
      <c r="E110" s="16">
        <f>IF(B110="","",INDEX(RECON_RESULTS!$G$2:$G$1001,SMALL(IF(RECON_RESULTS!$A$2:$A$1001="Unmatched Bank",ROW(RECON_RESULTS!$A$2:$A$1001)-1),108)))</f>
        <v/>
      </c>
      <c r="F110" s="16">
        <f>IF(B110="","",INDEX(RECON_RESULTS!$H$2:$H$1001,SMALL(IF(RECON_RESULTS!$A$2:$A$1001="Unmatched Bank",ROW(RECON_RESULTS!$A$2:$A$1001)-1),108)))</f>
        <v/>
      </c>
      <c r="G110" s="11" t="inlineStr"/>
      <c r="H110" s="11" t="inlineStr"/>
      <c r="I110" s="11" t="inlineStr"/>
      <c r="J110" s="11" t="inlineStr"/>
      <c r="K110" s="11" t="inlineStr"/>
      <c r="L110" s="11" t="inlineStr"/>
    </row>
    <row r="111">
      <c r="B111" s="11">
        <f>IFERROR(INDEX(RECON_RESULTS!$A$2:$A$1001,SMALL(IF(RECON_RESULTS!$A$2:$A$1001="Unmatched Bank",ROW(RECON_RESULTS!$A$2:$A$1001)-1),109)),"")</f>
        <v/>
      </c>
      <c r="C111" s="10">
        <f>IF(B111="","",INDEX(RECON_RESULTS!$F$2:$F$1001,SMALL(IF(RECON_RESULTS!$A$2:$A$1001="Unmatched Bank",ROW(RECON_RESULTS!$A$2:$A$1001)-1),109)))</f>
        <v/>
      </c>
      <c r="D111" s="11">
        <f>IF(B111="","",INDEX(RECON_RESULTS!$O$2:$O$1001,SMALL(IF(RECON_RESULTS!$A$2:$A$1001="Unmatched Bank",ROW(RECON_RESULTS!$A$2:$A$1001)-1),109)))</f>
        <v/>
      </c>
      <c r="E111" s="16">
        <f>IF(B111="","",INDEX(RECON_RESULTS!$G$2:$G$1001,SMALL(IF(RECON_RESULTS!$A$2:$A$1001="Unmatched Bank",ROW(RECON_RESULTS!$A$2:$A$1001)-1),109)))</f>
        <v/>
      </c>
      <c r="F111" s="16">
        <f>IF(B111="","",INDEX(RECON_RESULTS!$H$2:$H$1001,SMALL(IF(RECON_RESULTS!$A$2:$A$1001="Unmatched Bank",ROW(RECON_RESULTS!$A$2:$A$1001)-1),109)))</f>
        <v/>
      </c>
      <c r="G111" s="11" t="inlineStr"/>
      <c r="H111" s="11" t="inlineStr"/>
      <c r="I111" s="11" t="inlineStr"/>
      <c r="J111" s="11" t="inlineStr"/>
      <c r="K111" s="11" t="inlineStr"/>
      <c r="L111" s="11" t="inlineStr"/>
    </row>
    <row r="112">
      <c r="B112" s="11">
        <f>IFERROR(INDEX(RECON_RESULTS!$A$2:$A$1001,SMALL(IF(RECON_RESULTS!$A$2:$A$1001="Unmatched Bank",ROW(RECON_RESULTS!$A$2:$A$1001)-1),110)),"")</f>
        <v/>
      </c>
      <c r="C112" s="10">
        <f>IF(B112="","",INDEX(RECON_RESULTS!$F$2:$F$1001,SMALL(IF(RECON_RESULTS!$A$2:$A$1001="Unmatched Bank",ROW(RECON_RESULTS!$A$2:$A$1001)-1),110)))</f>
        <v/>
      </c>
      <c r="D112" s="11">
        <f>IF(B112="","",INDEX(RECON_RESULTS!$O$2:$O$1001,SMALL(IF(RECON_RESULTS!$A$2:$A$1001="Unmatched Bank",ROW(RECON_RESULTS!$A$2:$A$1001)-1),110)))</f>
        <v/>
      </c>
      <c r="E112" s="16">
        <f>IF(B112="","",INDEX(RECON_RESULTS!$G$2:$G$1001,SMALL(IF(RECON_RESULTS!$A$2:$A$1001="Unmatched Bank",ROW(RECON_RESULTS!$A$2:$A$1001)-1),110)))</f>
        <v/>
      </c>
      <c r="F112" s="16">
        <f>IF(B112="","",INDEX(RECON_RESULTS!$H$2:$H$1001,SMALL(IF(RECON_RESULTS!$A$2:$A$1001="Unmatched Bank",ROW(RECON_RESULTS!$A$2:$A$1001)-1),110)))</f>
        <v/>
      </c>
      <c r="G112" s="11" t="inlineStr"/>
      <c r="H112" s="11" t="inlineStr"/>
      <c r="I112" s="11" t="inlineStr"/>
      <c r="J112" s="11" t="inlineStr"/>
      <c r="K112" s="11" t="inlineStr"/>
      <c r="L112" s="11" t="inlineStr"/>
    </row>
    <row r="113">
      <c r="B113" s="11">
        <f>IFERROR(INDEX(RECON_RESULTS!$A$2:$A$1001,SMALL(IF(RECON_RESULTS!$A$2:$A$1001="Unmatched Bank",ROW(RECON_RESULTS!$A$2:$A$1001)-1),111)),"")</f>
        <v/>
      </c>
      <c r="C113" s="10">
        <f>IF(B113="","",INDEX(RECON_RESULTS!$F$2:$F$1001,SMALL(IF(RECON_RESULTS!$A$2:$A$1001="Unmatched Bank",ROW(RECON_RESULTS!$A$2:$A$1001)-1),111)))</f>
        <v/>
      </c>
      <c r="D113" s="11">
        <f>IF(B113="","",INDEX(RECON_RESULTS!$O$2:$O$1001,SMALL(IF(RECON_RESULTS!$A$2:$A$1001="Unmatched Bank",ROW(RECON_RESULTS!$A$2:$A$1001)-1),111)))</f>
        <v/>
      </c>
      <c r="E113" s="16">
        <f>IF(B113="","",INDEX(RECON_RESULTS!$G$2:$G$1001,SMALL(IF(RECON_RESULTS!$A$2:$A$1001="Unmatched Bank",ROW(RECON_RESULTS!$A$2:$A$1001)-1),111)))</f>
        <v/>
      </c>
      <c r="F113" s="16">
        <f>IF(B113="","",INDEX(RECON_RESULTS!$H$2:$H$1001,SMALL(IF(RECON_RESULTS!$A$2:$A$1001="Unmatched Bank",ROW(RECON_RESULTS!$A$2:$A$1001)-1),111)))</f>
        <v/>
      </c>
      <c r="G113" s="11" t="inlineStr"/>
      <c r="H113" s="11" t="inlineStr"/>
      <c r="I113" s="11" t="inlineStr"/>
      <c r="J113" s="11" t="inlineStr"/>
      <c r="K113" s="11" t="inlineStr"/>
      <c r="L113" s="11" t="inlineStr"/>
    </row>
    <row r="114">
      <c r="B114" s="11">
        <f>IFERROR(INDEX(RECON_RESULTS!$A$2:$A$1001,SMALL(IF(RECON_RESULTS!$A$2:$A$1001="Unmatched Bank",ROW(RECON_RESULTS!$A$2:$A$1001)-1),112)),"")</f>
        <v/>
      </c>
      <c r="C114" s="10">
        <f>IF(B114="","",INDEX(RECON_RESULTS!$F$2:$F$1001,SMALL(IF(RECON_RESULTS!$A$2:$A$1001="Unmatched Bank",ROW(RECON_RESULTS!$A$2:$A$1001)-1),112)))</f>
        <v/>
      </c>
      <c r="D114" s="11">
        <f>IF(B114="","",INDEX(RECON_RESULTS!$O$2:$O$1001,SMALL(IF(RECON_RESULTS!$A$2:$A$1001="Unmatched Bank",ROW(RECON_RESULTS!$A$2:$A$1001)-1),112)))</f>
        <v/>
      </c>
      <c r="E114" s="16">
        <f>IF(B114="","",INDEX(RECON_RESULTS!$G$2:$G$1001,SMALL(IF(RECON_RESULTS!$A$2:$A$1001="Unmatched Bank",ROW(RECON_RESULTS!$A$2:$A$1001)-1),112)))</f>
        <v/>
      </c>
      <c r="F114" s="16">
        <f>IF(B114="","",INDEX(RECON_RESULTS!$H$2:$H$1001,SMALL(IF(RECON_RESULTS!$A$2:$A$1001="Unmatched Bank",ROW(RECON_RESULTS!$A$2:$A$1001)-1),112)))</f>
        <v/>
      </c>
      <c r="G114" s="11" t="inlineStr"/>
      <c r="H114" s="11" t="inlineStr"/>
      <c r="I114" s="11" t="inlineStr"/>
      <c r="J114" s="11" t="inlineStr"/>
      <c r="K114" s="11" t="inlineStr"/>
      <c r="L114" s="11" t="inlineStr"/>
    </row>
    <row r="115">
      <c r="B115" s="11">
        <f>IFERROR(INDEX(RECON_RESULTS!$A$2:$A$1001,SMALL(IF(RECON_RESULTS!$A$2:$A$1001="Unmatched Bank",ROW(RECON_RESULTS!$A$2:$A$1001)-1),113)),"")</f>
        <v/>
      </c>
      <c r="C115" s="10">
        <f>IF(B115="","",INDEX(RECON_RESULTS!$F$2:$F$1001,SMALL(IF(RECON_RESULTS!$A$2:$A$1001="Unmatched Bank",ROW(RECON_RESULTS!$A$2:$A$1001)-1),113)))</f>
        <v/>
      </c>
      <c r="D115" s="11">
        <f>IF(B115="","",INDEX(RECON_RESULTS!$O$2:$O$1001,SMALL(IF(RECON_RESULTS!$A$2:$A$1001="Unmatched Bank",ROW(RECON_RESULTS!$A$2:$A$1001)-1),113)))</f>
        <v/>
      </c>
      <c r="E115" s="16">
        <f>IF(B115="","",INDEX(RECON_RESULTS!$G$2:$G$1001,SMALL(IF(RECON_RESULTS!$A$2:$A$1001="Unmatched Bank",ROW(RECON_RESULTS!$A$2:$A$1001)-1),113)))</f>
        <v/>
      </c>
      <c r="F115" s="16">
        <f>IF(B115="","",INDEX(RECON_RESULTS!$H$2:$H$1001,SMALL(IF(RECON_RESULTS!$A$2:$A$1001="Unmatched Bank",ROW(RECON_RESULTS!$A$2:$A$1001)-1),113)))</f>
        <v/>
      </c>
      <c r="G115" s="11" t="inlineStr"/>
      <c r="H115" s="11" t="inlineStr"/>
      <c r="I115" s="11" t="inlineStr"/>
      <c r="J115" s="11" t="inlineStr"/>
      <c r="K115" s="11" t="inlineStr"/>
      <c r="L115" s="11" t="inlineStr"/>
    </row>
    <row r="116">
      <c r="B116" s="11">
        <f>IFERROR(INDEX(RECON_RESULTS!$A$2:$A$1001,SMALL(IF(RECON_RESULTS!$A$2:$A$1001="Unmatched Bank",ROW(RECON_RESULTS!$A$2:$A$1001)-1),114)),"")</f>
        <v/>
      </c>
      <c r="C116" s="10">
        <f>IF(B116="","",INDEX(RECON_RESULTS!$F$2:$F$1001,SMALL(IF(RECON_RESULTS!$A$2:$A$1001="Unmatched Bank",ROW(RECON_RESULTS!$A$2:$A$1001)-1),114)))</f>
        <v/>
      </c>
      <c r="D116" s="11">
        <f>IF(B116="","",INDEX(RECON_RESULTS!$O$2:$O$1001,SMALL(IF(RECON_RESULTS!$A$2:$A$1001="Unmatched Bank",ROW(RECON_RESULTS!$A$2:$A$1001)-1),114)))</f>
        <v/>
      </c>
      <c r="E116" s="16">
        <f>IF(B116="","",INDEX(RECON_RESULTS!$G$2:$G$1001,SMALL(IF(RECON_RESULTS!$A$2:$A$1001="Unmatched Bank",ROW(RECON_RESULTS!$A$2:$A$1001)-1),114)))</f>
        <v/>
      </c>
      <c r="F116" s="16">
        <f>IF(B116="","",INDEX(RECON_RESULTS!$H$2:$H$1001,SMALL(IF(RECON_RESULTS!$A$2:$A$1001="Unmatched Bank",ROW(RECON_RESULTS!$A$2:$A$1001)-1),114)))</f>
        <v/>
      </c>
      <c r="G116" s="11" t="inlineStr"/>
      <c r="H116" s="11" t="inlineStr"/>
      <c r="I116" s="11" t="inlineStr"/>
      <c r="J116" s="11" t="inlineStr"/>
      <c r="K116" s="11" t="inlineStr"/>
      <c r="L116" s="11" t="inlineStr"/>
    </row>
    <row r="117">
      <c r="B117" s="11">
        <f>IFERROR(INDEX(RECON_RESULTS!$A$2:$A$1001,SMALL(IF(RECON_RESULTS!$A$2:$A$1001="Unmatched Bank",ROW(RECON_RESULTS!$A$2:$A$1001)-1),115)),"")</f>
        <v/>
      </c>
      <c r="C117" s="10">
        <f>IF(B117="","",INDEX(RECON_RESULTS!$F$2:$F$1001,SMALL(IF(RECON_RESULTS!$A$2:$A$1001="Unmatched Bank",ROW(RECON_RESULTS!$A$2:$A$1001)-1),115)))</f>
        <v/>
      </c>
      <c r="D117" s="11">
        <f>IF(B117="","",INDEX(RECON_RESULTS!$O$2:$O$1001,SMALL(IF(RECON_RESULTS!$A$2:$A$1001="Unmatched Bank",ROW(RECON_RESULTS!$A$2:$A$1001)-1),115)))</f>
        <v/>
      </c>
      <c r="E117" s="16">
        <f>IF(B117="","",INDEX(RECON_RESULTS!$G$2:$G$1001,SMALL(IF(RECON_RESULTS!$A$2:$A$1001="Unmatched Bank",ROW(RECON_RESULTS!$A$2:$A$1001)-1),115)))</f>
        <v/>
      </c>
      <c r="F117" s="16">
        <f>IF(B117="","",INDEX(RECON_RESULTS!$H$2:$H$1001,SMALL(IF(RECON_RESULTS!$A$2:$A$1001="Unmatched Bank",ROW(RECON_RESULTS!$A$2:$A$1001)-1),115)))</f>
        <v/>
      </c>
      <c r="G117" s="11" t="inlineStr"/>
      <c r="H117" s="11" t="inlineStr"/>
      <c r="I117" s="11" t="inlineStr"/>
      <c r="J117" s="11" t="inlineStr"/>
      <c r="K117" s="11" t="inlineStr"/>
      <c r="L117" s="11" t="inlineStr"/>
    </row>
    <row r="118">
      <c r="B118" s="11">
        <f>IFERROR(INDEX(RECON_RESULTS!$A$2:$A$1001,SMALL(IF(RECON_RESULTS!$A$2:$A$1001="Unmatched Bank",ROW(RECON_RESULTS!$A$2:$A$1001)-1),116)),"")</f>
        <v/>
      </c>
      <c r="C118" s="10">
        <f>IF(B118="","",INDEX(RECON_RESULTS!$F$2:$F$1001,SMALL(IF(RECON_RESULTS!$A$2:$A$1001="Unmatched Bank",ROW(RECON_RESULTS!$A$2:$A$1001)-1),116)))</f>
        <v/>
      </c>
      <c r="D118" s="11">
        <f>IF(B118="","",INDEX(RECON_RESULTS!$O$2:$O$1001,SMALL(IF(RECON_RESULTS!$A$2:$A$1001="Unmatched Bank",ROW(RECON_RESULTS!$A$2:$A$1001)-1),116)))</f>
        <v/>
      </c>
      <c r="E118" s="16">
        <f>IF(B118="","",INDEX(RECON_RESULTS!$G$2:$G$1001,SMALL(IF(RECON_RESULTS!$A$2:$A$1001="Unmatched Bank",ROW(RECON_RESULTS!$A$2:$A$1001)-1),116)))</f>
        <v/>
      </c>
      <c r="F118" s="16">
        <f>IF(B118="","",INDEX(RECON_RESULTS!$H$2:$H$1001,SMALL(IF(RECON_RESULTS!$A$2:$A$1001="Unmatched Bank",ROW(RECON_RESULTS!$A$2:$A$1001)-1),116)))</f>
        <v/>
      </c>
      <c r="G118" s="11" t="inlineStr"/>
      <c r="H118" s="11" t="inlineStr"/>
      <c r="I118" s="11" t="inlineStr"/>
      <c r="J118" s="11" t="inlineStr"/>
      <c r="K118" s="11" t="inlineStr"/>
      <c r="L118" s="11" t="inlineStr"/>
    </row>
    <row r="119">
      <c r="B119" s="11">
        <f>IFERROR(INDEX(RECON_RESULTS!$A$2:$A$1001,SMALL(IF(RECON_RESULTS!$A$2:$A$1001="Unmatched Bank",ROW(RECON_RESULTS!$A$2:$A$1001)-1),117)),"")</f>
        <v/>
      </c>
      <c r="C119" s="10">
        <f>IF(B119="","",INDEX(RECON_RESULTS!$F$2:$F$1001,SMALL(IF(RECON_RESULTS!$A$2:$A$1001="Unmatched Bank",ROW(RECON_RESULTS!$A$2:$A$1001)-1),117)))</f>
        <v/>
      </c>
      <c r="D119" s="11">
        <f>IF(B119="","",INDEX(RECON_RESULTS!$O$2:$O$1001,SMALL(IF(RECON_RESULTS!$A$2:$A$1001="Unmatched Bank",ROW(RECON_RESULTS!$A$2:$A$1001)-1),117)))</f>
        <v/>
      </c>
      <c r="E119" s="16">
        <f>IF(B119="","",INDEX(RECON_RESULTS!$G$2:$G$1001,SMALL(IF(RECON_RESULTS!$A$2:$A$1001="Unmatched Bank",ROW(RECON_RESULTS!$A$2:$A$1001)-1),117)))</f>
        <v/>
      </c>
      <c r="F119" s="16">
        <f>IF(B119="","",INDEX(RECON_RESULTS!$H$2:$H$1001,SMALL(IF(RECON_RESULTS!$A$2:$A$1001="Unmatched Bank",ROW(RECON_RESULTS!$A$2:$A$1001)-1),117)))</f>
        <v/>
      </c>
      <c r="G119" s="11" t="inlineStr"/>
      <c r="H119" s="11" t="inlineStr"/>
      <c r="I119" s="11" t="inlineStr"/>
      <c r="J119" s="11" t="inlineStr"/>
      <c r="K119" s="11" t="inlineStr"/>
      <c r="L119" s="11" t="inlineStr"/>
    </row>
    <row r="120">
      <c r="B120" s="11">
        <f>IFERROR(INDEX(RECON_RESULTS!$A$2:$A$1001,SMALL(IF(RECON_RESULTS!$A$2:$A$1001="Unmatched Bank",ROW(RECON_RESULTS!$A$2:$A$1001)-1),118)),"")</f>
        <v/>
      </c>
      <c r="C120" s="10">
        <f>IF(B120="","",INDEX(RECON_RESULTS!$F$2:$F$1001,SMALL(IF(RECON_RESULTS!$A$2:$A$1001="Unmatched Bank",ROW(RECON_RESULTS!$A$2:$A$1001)-1),118)))</f>
        <v/>
      </c>
      <c r="D120" s="11">
        <f>IF(B120="","",INDEX(RECON_RESULTS!$O$2:$O$1001,SMALL(IF(RECON_RESULTS!$A$2:$A$1001="Unmatched Bank",ROW(RECON_RESULTS!$A$2:$A$1001)-1),118)))</f>
        <v/>
      </c>
      <c r="E120" s="16">
        <f>IF(B120="","",INDEX(RECON_RESULTS!$G$2:$G$1001,SMALL(IF(RECON_RESULTS!$A$2:$A$1001="Unmatched Bank",ROW(RECON_RESULTS!$A$2:$A$1001)-1),118)))</f>
        <v/>
      </c>
      <c r="F120" s="16">
        <f>IF(B120="","",INDEX(RECON_RESULTS!$H$2:$H$1001,SMALL(IF(RECON_RESULTS!$A$2:$A$1001="Unmatched Bank",ROW(RECON_RESULTS!$A$2:$A$1001)-1),118)))</f>
        <v/>
      </c>
      <c r="G120" s="11" t="inlineStr"/>
      <c r="H120" s="11" t="inlineStr"/>
      <c r="I120" s="11" t="inlineStr"/>
      <c r="J120" s="11" t="inlineStr"/>
      <c r="K120" s="11" t="inlineStr"/>
      <c r="L120" s="11" t="inlineStr"/>
    </row>
    <row r="121">
      <c r="B121" s="11">
        <f>IFERROR(INDEX(RECON_RESULTS!$A$2:$A$1001,SMALL(IF(RECON_RESULTS!$A$2:$A$1001="Unmatched Bank",ROW(RECON_RESULTS!$A$2:$A$1001)-1),119)),"")</f>
        <v/>
      </c>
      <c r="C121" s="10">
        <f>IF(B121="","",INDEX(RECON_RESULTS!$F$2:$F$1001,SMALL(IF(RECON_RESULTS!$A$2:$A$1001="Unmatched Bank",ROW(RECON_RESULTS!$A$2:$A$1001)-1),119)))</f>
        <v/>
      </c>
      <c r="D121" s="11">
        <f>IF(B121="","",INDEX(RECON_RESULTS!$O$2:$O$1001,SMALL(IF(RECON_RESULTS!$A$2:$A$1001="Unmatched Bank",ROW(RECON_RESULTS!$A$2:$A$1001)-1),119)))</f>
        <v/>
      </c>
      <c r="E121" s="16">
        <f>IF(B121="","",INDEX(RECON_RESULTS!$G$2:$G$1001,SMALL(IF(RECON_RESULTS!$A$2:$A$1001="Unmatched Bank",ROW(RECON_RESULTS!$A$2:$A$1001)-1),119)))</f>
        <v/>
      </c>
      <c r="F121" s="16">
        <f>IF(B121="","",INDEX(RECON_RESULTS!$H$2:$H$1001,SMALL(IF(RECON_RESULTS!$A$2:$A$1001="Unmatched Bank",ROW(RECON_RESULTS!$A$2:$A$1001)-1),119)))</f>
        <v/>
      </c>
      <c r="G121" s="11" t="inlineStr"/>
      <c r="H121" s="11" t="inlineStr"/>
      <c r="I121" s="11" t="inlineStr"/>
      <c r="J121" s="11" t="inlineStr"/>
      <c r="K121" s="11" t="inlineStr"/>
      <c r="L121" s="11" t="inlineStr"/>
    </row>
    <row r="122">
      <c r="B122" s="11">
        <f>IFERROR(INDEX(RECON_RESULTS!$A$2:$A$1001,SMALL(IF(RECON_RESULTS!$A$2:$A$1001="Unmatched Bank",ROW(RECON_RESULTS!$A$2:$A$1001)-1),120)),"")</f>
        <v/>
      </c>
      <c r="C122" s="10">
        <f>IF(B122="","",INDEX(RECON_RESULTS!$F$2:$F$1001,SMALL(IF(RECON_RESULTS!$A$2:$A$1001="Unmatched Bank",ROW(RECON_RESULTS!$A$2:$A$1001)-1),120)))</f>
        <v/>
      </c>
      <c r="D122" s="11">
        <f>IF(B122="","",INDEX(RECON_RESULTS!$O$2:$O$1001,SMALL(IF(RECON_RESULTS!$A$2:$A$1001="Unmatched Bank",ROW(RECON_RESULTS!$A$2:$A$1001)-1),120)))</f>
        <v/>
      </c>
      <c r="E122" s="16">
        <f>IF(B122="","",INDEX(RECON_RESULTS!$G$2:$G$1001,SMALL(IF(RECON_RESULTS!$A$2:$A$1001="Unmatched Bank",ROW(RECON_RESULTS!$A$2:$A$1001)-1),120)))</f>
        <v/>
      </c>
      <c r="F122" s="16">
        <f>IF(B122="","",INDEX(RECON_RESULTS!$H$2:$H$1001,SMALL(IF(RECON_RESULTS!$A$2:$A$1001="Unmatched Bank",ROW(RECON_RESULTS!$A$2:$A$1001)-1),120)))</f>
        <v/>
      </c>
      <c r="G122" s="11" t="inlineStr"/>
      <c r="H122" s="11" t="inlineStr"/>
      <c r="I122" s="11" t="inlineStr"/>
      <c r="J122" s="11" t="inlineStr"/>
      <c r="K122" s="11" t="inlineStr"/>
      <c r="L122" s="11" t="inlineStr"/>
    </row>
    <row r="123">
      <c r="B123" s="11">
        <f>IFERROR(INDEX(RECON_RESULTS!$A$2:$A$1001,SMALL(IF(RECON_RESULTS!$A$2:$A$1001="Unmatched Bank",ROW(RECON_RESULTS!$A$2:$A$1001)-1),121)),"")</f>
        <v/>
      </c>
      <c r="C123" s="10">
        <f>IF(B123="","",INDEX(RECON_RESULTS!$F$2:$F$1001,SMALL(IF(RECON_RESULTS!$A$2:$A$1001="Unmatched Bank",ROW(RECON_RESULTS!$A$2:$A$1001)-1),121)))</f>
        <v/>
      </c>
      <c r="D123" s="11">
        <f>IF(B123="","",INDEX(RECON_RESULTS!$O$2:$O$1001,SMALL(IF(RECON_RESULTS!$A$2:$A$1001="Unmatched Bank",ROW(RECON_RESULTS!$A$2:$A$1001)-1),121)))</f>
        <v/>
      </c>
      <c r="E123" s="16">
        <f>IF(B123="","",INDEX(RECON_RESULTS!$G$2:$G$1001,SMALL(IF(RECON_RESULTS!$A$2:$A$1001="Unmatched Bank",ROW(RECON_RESULTS!$A$2:$A$1001)-1),121)))</f>
        <v/>
      </c>
      <c r="F123" s="16">
        <f>IF(B123="","",INDEX(RECON_RESULTS!$H$2:$H$1001,SMALL(IF(RECON_RESULTS!$A$2:$A$1001="Unmatched Bank",ROW(RECON_RESULTS!$A$2:$A$1001)-1),121)))</f>
        <v/>
      </c>
      <c r="G123" s="11" t="inlineStr"/>
      <c r="H123" s="11" t="inlineStr"/>
      <c r="I123" s="11" t="inlineStr"/>
      <c r="J123" s="11" t="inlineStr"/>
      <c r="K123" s="11" t="inlineStr"/>
      <c r="L123" s="11" t="inlineStr"/>
    </row>
    <row r="124">
      <c r="B124" s="11">
        <f>IFERROR(INDEX(RECON_RESULTS!$A$2:$A$1001,SMALL(IF(RECON_RESULTS!$A$2:$A$1001="Unmatched Bank",ROW(RECON_RESULTS!$A$2:$A$1001)-1),122)),"")</f>
        <v/>
      </c>
      <c r="C124" s="10">
        <f>IF(B124="","",INDEX(RECON_RESULTS!$F$2:$F$1001,SMALL(IF(RECON_RESULTS!$A$2:$A$1001="Unmatched Bank",ROW(RECON_RESULTS!$A$2:$A$1001)-1),122)))</f>
        <v/>
      </c>
      <c r="D124" s="11">
        <f>IF(B124="","",INDEX(RECON_RESULTS!$O$2:$O$1001,SMALL(IF(RECON_RESULTS!$A$2:$A$1001="Unmatched Bank",ROW(RECON_RESULTS!$A$2:$A$1001)-1),122)))</f>
        <v/>
      </c>
      <c r="E124" s="16">
        <f>IF(B124="","",INDEX(RECON_RESULTS!$G$2:$G$1001,SMALL(IF(RECON_RESULTS!$A$2:$A$1001="Unmatched Bank",ROW(RECON_RESULTS!$A$2:$A$1001)-1),122)))</f>
        <v/>
      </c>
      <c r="F124" s="16">
        <f>IF(B124="","",INDEX(RECON_RESULTS!$H$2:$H$1001,SMALL(IF(RECON_RESULTS!$A$2:$A$1001="Unmatched Bank",ROW(RECON_RESULTS!$A$2:$A$1001)-1),122)))</f>
        <v/>
      </c>
      <c r="G124" s="11" t="inlineStr"/>
      <c r="H124" s="11" t="inlineStr"/>
      <c r="I124" s="11" t="inlineStr"/>
      <c r="J124" s="11" t="inlineStr"/>
      <c r="K124" s="11" t="inlineStr"/>
      <c r="L124" s="11" t="inlineStr"/>
    </row>
    <row r="125">
      <c r="B125" s="11">
        <f>IFERROR(INDEX(RECON_RESULTS!$A$2:$A$1001,SMALL(IF(RECON_RESULTS!$A$2:$A$1001="Unmatched Bank",ROW(RECON_RESULTS!$A$2:$A$1001)-1),123)),"")</f>
        <v/>
      </c>
      <c r="C125" s="10">
        <f>IF(B125="","",INDEX(RECON_RESULTS!$F$2:$F$1001,SMALL(IF(RECON_RESULTS!$A$2:$A$1001="Unmatched Bank",ROW(RECON_RESULTS!$A$2:$A$1001)-1),123)))</f>
        <v/>
      </c>
      <c r="D125" s="11">
        <f>IF(B125="","",INDEX(RECON_RESULTS!$O$2:$O$1001,SMALL(IF(RECON_RESULTS!$A$2:$A$1001="Unmatched Bank",ROW(RECON_RESULTS!$A$2:$A$1001)-1),123)))</f>
        <v/>
      </c>
      <c r="E125" s="16">
        <f>IF(B125="","",INDEX(RECON_RESULTS!$G$2:$G$1001,SMALL(IF(RECON_RESULTS!$A$2:$A$1001="Unmatched Bank",ROW(RECON_RESULTS!$A$2:$A$1001)-1),123)))</f>
        <v/>
      </c>
      <c r="F125" s="16">
        <f>IF(B125="","",INDEX(RECON_RESULTS!$H$2:$H$1001,SMALL(IF(RECON_RESULTS!$A$2:$A$1001="Unmatched Bank",ROW(RECON_RESULTS!$A$2:$A$1001)-1),123)))</f>
        <v/>
      </c>
      <c r="G125" s="11" t="inlineStr"/>
      <c r="H125" s="11" t="inlineStr"/>
      <c r="I125" s="11" t="inlineStr"/>
      <c r="J125" s="11" t="inlineStr"/>
      <c r="K125" s="11" t="inlineStr"/>
      <c r="L125" s="11" t="inlineStr"/>
    </row>
    <row r="126">
      <c r="B126" s="11">
        <f>IFERROR(INDEX(RECON_RESULTS!$A$2:$A$1001,SMALL(IF(RECON_RESULTS!$A$2:$A$1001="Unmatched Bank",ROW(RECON_RESULTS!$A$2:$A$1001)-1),124)),"")</f>
        <v/>
      </c>
      <c r="C126" s="10">
        <f>IF(B126="","",INDEX(RECON_RESULTS!$F$2:$F$1001,SMALL(IF(RECON_RESULTS!$A$2:$A$1001="Unmatched Bank",ROW(RECON_RESULTS!$A$2:$A$1001)-1),124)))</f>
        <v/>
      </c>
      <c r="D126" s="11">
        <f>IF(B126="","",INDEX(RECON_RESULTS!$O$2:$O$1001,SMALL(IF(RECON_RESULTS!$A$2:$A$1001="Unmatched Bank",ROW(RECON_RESULTS!$A$2:$A$1001)-1),124)))</f>
        <v/>
      </c>
      <c r="E126" s="16">
        <f>IF(B126="","",INDEX(RECON_RESULTS!$G$2:$G$1001,SMALL(IF(RECON_RESULTS!$A$2:$A$1001="Unmatched Bank",ROW(RECON_RESULTS!$A$2:$A$1001)-1),124)))</f>
        <v/>
      </c>
      <c r="F126" s="16">
        <f>IF(B126="","",INDEX(RECON_RESULTS!$H$2:$H$1001,SMALL(IF(RECON_RESULTS!$A$2:$A$1001="Unmatched Bank",ROW(RECON_RESULTS!$A$2:$A$1001)-1),124)))</f>
        <v/>
      </c>
      <c r="G126" s="11" t="inlineStr"/>
      <c r="H126" s="11" t="inlineStr"/>
      <c r="I126" s="11" t="inlineStr"/>
      <c r="J126" s="11" t="inlineStr"/>
      <c r="K126" s="11" t="inlineStr"/>
      <c r="L126" s="11" t="inlineStr"/>
    </row>
    <row r="127">
      <c r="B127" s="11">
        <f>IFERROR(INDEX(RECON_RESULTS!$A$2:$A$1001,SMALL(IF(RECON_RESULTS!$A$2:$A$1001="Unmatched Bank",ROW(RECON_RESULTS!$A$2:$A$1001)-1),125)),"")</f>
        <v/>
      </c>
      <c r="C127" s="10">
        <f>IF(B127="","",INDEX(RECON_RESULTS!$F$2:$F$1001,SMALL(IF(RECON_RESULTS!$A$2:$A$1001="Unmatched Bank",ROW(RECON_RESULTS!$A$2:$A$1001)-1),125)))</f>
        <v/>
      </c>
      <c r="D127" s="11">
        <f>IF(B127="","",INDEX(RECON_RESULTS!$O$2:$O$1001,SMALL(IF(RECON_RESULTS!$A$2:$A$1001="Unmatched Bank",ROW(RECON_RESULTS!$A$2:$A$1001)-1),125)))</f>
        <v/>
      </c>
      <c r="E127" s="16">
        <f>IF(B127="","",INDEX(RECON_RESULTS!$G$2:$G$1001,SMALL(IF(RECON_RESULTS!$A$2:$A$1001="Unmatched Bank",ROW(RECON_RESULTS!$A$2:$A$1001)-1),125)))</f>
        <v/>
      </c>
      <c r="F127" s="16">
        <f>IF(B127="","",INDEX(RECON_RESULTS!$H$2:$H$1001,SMALL(IF(RECON_RESULTS!$A$2:$A$1001="Unmatched Bank",ROW(RECON_RESULTS!$A$2:$A$1001)-1),125)))</f>
        <v/>
      </c>
      <c r="G127" s="11" t="inlineStr"/>
      <c r="H127" s="11" t="inlineStr"/>
      <c r="I127" s="11" t="inlineStr"/>
      <c r="J127" s="11" t="inlineStr"/>
      <c r="K127" s="11" t="inlineStr"/>
      <c r="L127" s="11" t="inlineStr"/>
    </row>
    <row r="128">
      <c r="B128" s="11">
        <f>IFERROR(INDEX(RECON_RESULTS!$A$2:$A$1001,SMALL(IF(RECON_RESULTS!$A$2:$A$1001="Unmatched Bank",ROW(RECON_RESULTS!$A$2:$A$1001)-1),126)),"")</f>
        <v/>
      </c>
      <c r="C128" s="10">
        <f>IF(B128="","",INDEX(RECON_RESULTS!$F$2:$F$1001,SMALL(IF(RECON_RESULTS!$A$2:$A$1001="Unmatched Bank",ROW(RECON_RESULTS!$A$2:$A$1001)-1),126)))</f>
        <v/>
      </c>
      <c r="D128" s="11">
        <f>IF(B128="","",INDEX(RECON_RESULTS!$O$2:$O$1001,SMALL(IF(RECON_RESULTS!$A$2:$A$1001="Unmatched Bank",ROW(RECON_RESULTS!$A$2:$A$1001)-1),126)))</f>
        <v/>
      </c>
      <c r="E128" s="16">
        <f>IF(B128="","",INDEX(RECON_RESULTS!$G$2:$G$1001,SMALL(IF(RECON_RESULTS!$A$2:$A$1001="Unmatched Bank",ROW(RECON_RESULTS!$A$2:$A$1001)-1),126)))</f>
        <v/>
      </c>
      <c r="F128" s="16">
        <f>IF(B128="","",INDEX(RECON_RESULTS!$H$2:$H$1001,SMALL(IF(RECON_RESULTS!$A$2:$A$1001="Unmatched Bank",ROW(RECON_RESULTS!$A$2:$A$1001)-1),126)))</f>
        <v/>
      </c>
      <c r="G128" s="11" t="inlineStr"/>
      <c r="H128" s="11" t="inlineStr"/>
      <c r="I128" s="11" t="inlineStr"/>
      <c r="J128" s="11" t="inlineStr"/>
      <c r="K128" s="11" t="inlineStr"/>
      <c r="L128" s="11" t="inlineStr"/>
    </row>
    <row r="129">
      <c r="B129" s="11">
        <f>IFERROR(INDEX(RECON_RESULTS!$A$2:$A$1001,SMALL(IF(RECON_RESULTS!$A$2:$A$1001="Unmatched Bank",ROW(RECON_RESULTS!$A$2:$A$1001)-1),127)),"")</f>
        <v/>
      </c>
      <c r="C129" s="10">
        <f>IF(B129="","",INDEX(RECON_RESULTS!$F$2:$F$1001,SMALL(IF(RECON_RESULTS!$A$2:$A$1001="Unmatched Bank",ROW(RECON_RESULTS!$A$2:$A$1001)-1),127)))</f>
        <v/>
      </c>
      <c r="D129" s="11">
        <f>IF(B129="","",INDEX(RECON_RESULTS!$O$2:$O$1001,SMALL(IF(RECON_RESULTS!$A$2:$A$1001="Unmatched Bank",ROW(RECON_RESULTS!$A$2:$A$1001)-1),127)))</f>
        <v/>
      </c>
      <c r="E129" s="16">
        <f>IF(B129="","",INDEX(RECON_RESULTS!$G$2:$G$1001,SMALL(IF(RECON_RESULTS!$A$2:$A$1001="Unmatched Bank",ROW(RECON_RESULTS!$A$2:$A$1001)-1),127)))</f>
        <v/>
      </c>
      <c r="F129" s="16">
        <f>IF(B129="","",INDEX(RECON_RESULTS!$H$2:$H$1001,SMALL(IF(RECON_RESULTS!$A$2:$A$1001="Unmatched Bank",ROW(RECON_RESULTS!$A$2:$A$1001)-1),127)))</f>
        <v/>
      </c>
      <c r="G129" s="11" t="inlineStr"/>
      <c r="H129" s="11" t="inlineStr"/>
      <c r="I129" s="11" t="inlineStr"/>
      <c r="J129" s="11" t="inlineStr"/>
      <c r="K129" s="11" t="inlineStr"/>
      <c r="L129" s="11" t="inlineStr"/>
    </row>
    <row r="130">
      <c r="B130" s="11">
        <f>IFERROR(INDEX(RECON_RESULTS!$A$2:$A$1001,SMALL(IF(RECON_RESULTS!$A$2:$A$1001="Unmatched Bank",ROW(RECON_RESULTS!$A$2:$A$1001)-1),128)),"")</f>
        <v/>
      </c>
      <c r="C130" s="10">
        <f>IF(B130="","",INDEX(RECON_RESULTS!$F$2:$F$1001,SMALL(IF(RECON_RESULTS!$A$2:$A$1001="Unmatched Bank",ROW(RECON_RESULTS!$A$2:$A$1001)-1),128)))</f>
        <v/>
      </c>
      <c r="D130" s="11">
        <f>IF(B130="","",INDEX(RECON_RESULTS!$O$2:$O$1001,SMALL(IF(RECON_RESULTS!$A$2:$A$1001="Unmatched Bank",ROW(RECON_RESULTS!$A$2:$A$1001)-1),128)))</f>
        <v/>
      </c>
      <c r="E130" s="16">
        <f>IF(B130="","",INDEX(RECON_RESULTS!$G$2:$G$1001,SMALL(IF(RECON_RESULTS!$A$2:$A$1001="Unmatched Bank",ROW(RECON_RESULTS!$A$2:$A$1001)-1),128)))</f>
        <v/>
      </c>
      <c r="F130" s="16">
        <f>IF(B130="","",INDEX(RECON_RESULTS!$H$2:$H$1001,SMALL(IF(RECON_RESULTS!$A$2:$A$1001="Unmatched Bank",ROW(RECON_RESULTS!$A$2:$A$1001)-1),128)))</f>
        <v/>
      </c>
      <c r="G130" s="11" t="inlineStr"/>
      <c r="H130" s="11" t="inlineStr"/>
      <c r="I130" s="11" t="inlineStr"/>
      <c r="J130" s="11" t="inlineStr"/>
      <c r="K130" s="11" t="inlineStr"/>
      <c r="L130" s="11" t="inlineStr"/>
    </row>
    <row r="131">
      <c r="B131" s="11">
        <f>IFERROR(INDEX(RECON_RESULTS!$A$2:$A$1001,SMALL(IF(RECON_RESULTS!$A$2:$A$1001="Unmatched Bank",ROW(RECON_RESULTS!$A$2:$A$1001)-1),129)),"")</f>
        <v/>
      </c>
      <c r="C131" s="10">
        <f>IF(B131="","",INDEX(RECON_RESULTS!$F$2:$F$1001,SMALL(IF(RECON_RESULTS!$A$2:$A$1001="Unmatched Bank",ROW(RECON_RESULTS!$A$2:$A$1001)-1),129)))</f>
        <v/>
      </c>
      <c r="D131" s="11">
        <f>IF(B131="","",INDEX(RECON_RESULTS!$O$2:$O$1001,SMALL(IF(RECON_RESULTS!$A$2:$A$1001="Unmatched Bank",ROW(RECON_RESULTS!$A$2:$A$1001)-1),129)))</f>
        <v/>
      </c>
      <c r="E131" s="16">
        <f>IF(B131="","",INDEX(RECON_RESULTS!$G$2:$G$1001,SMALL(IF(RECON_RESULTS!$A$2:$A$1001="Unmatched Bank",ROW(RECON_RESULTS!$A$2:$A$1001)-1),129)))</f>
        <v/>
      </c>
      <c r="F131" s="16">
        <f>IF(B131="","",INDEX(RECON_RESULTS!$H$2:$H$1001,SMALL(IF(RECON_RESULTS!$A$2:$A$1001="Unmatched Bank",ROW(RECON_RESULTS!$A$2:$A$1001)-1),129)))</f>
        <v/>
      </c>
      <c r="G131" s="11" t="inlineStr"/>
      <c r="H131" s="11" t="inlineStr"/>
      <c r="I131" s="11" t="inlineStr"/>
      <c r="J131" s="11" t="inlineStr"/>
      <c r="K131" s="11" t="inlineStr"/>
      <c r="L131" s="11" t="inlineStr"/>
    </row>
    <row r="132">
      <c r="B132" s="11">
        <f>IFERROR(INDEX(RECON_RESULTS!$A$2:$A$1001,SMALL(IF(RECON_RESULTS!$A$2:$A$1001="Unmatched Bank",ROW(RECON_RESULTS!$A$2:$A$1001)-1),130)),"")</f>
        <v/>
      </c>
      <c r="C132" s="10">
        <f>IF(B132="","",INDEX(RECON_RESULTS!$F$2:$F$1001,SMALL(IF(RECON_RESULTS!$A$2:$A$1001="Unmatched Bank",ROW(RECON_RESULTS!$A$2:$A$1001)-1),130)))</f>
        <v/>
      </c>
      <c r="D132" s="11">
        <f>IF(B132="","",INDEX(RECON_RESULTS!$O$2:$O$1001,SMALL(IF(RECON_RESULTS!$A$2:$A$1001="Unmatched Bank",ROW(RECON_RESULTS!$A$2:$A$1001)-1),130)))</f>
        <v/>
      </c>
      <c r="E132" s="16">
        <f>IF(B132="","",INDEX(RECON_RESULTS!$G$2:$G$1001,SMALL(IF(RECON_RESULTS!$A$2:$A$1001="Unmatched Bank",ROW(RECON_RESULTS!$A$2:$A$1001)-1),130)))</f>
        <v/>
      </c>
      <c r="F132" s="16">
        <f>IF(B132="","",INDEX(RECON_RESULTS!$H$2:$H$1001,SMALL(IF(RECON_RESULTS!$A$2:$A$1001="Unmatched Bank",ROW(RECON_RESULTS!$A$2:$A$1001)-1),130)))</f>
        <v/>
      </c>
      <c r="G132" s="11" t="inlineStr"/>
      <c r="H132" s="11" t="inlineStr"/>
      <c r="I132" s="11" t="inlineStr"/>
      <c r="J132" s="11" t="inlineStr"/>
      <c r="K132" s="11" t="inlineStr"/>
      <c r="L132" s="11" t="inlineStr"/>
    </row>
    <row r="133">
      <c r="B133" s="11">
        <f>IFERROR(INDEX(RECON_RESULTS!$A$2:$A$1001,SMALL(IF(RECON_RESULTS!$A$2:$A$1001="Unmatched Bank",ROW(RECON_RESULTS!$A$2:$A$1001)-1),131)),"")</f>
        <v/>
      </c>
      <c r="C133" s="10">
        <f>IF(B133="","",INDEX(RECON_RESULTS!$F$2:$F$1001,SMALL(IF(RECON_RESULTS!$A$2:$A$1001="Unmatched Bank",ROW(RECON_RESULTS!$A$2:$A$1001)-1),131)))</f>
        <v/>
      </c>
      <c r="D133" s="11">
        <f>IF(B133="","",INDEX(RECON_RESULTS!$O$2:$O$1001,SMALL(IF(RECON_RESULTS!$A$2:$A$1001="Unmatched Bank",ROW(RECON_RESULTS!$A$2:$A$1001)-1),131)))</f>
        <v/>
      </c>
      <c r="E133" s="16">
        <f>IF(B133="","",INDEX(RECON_RESULTS!$G$2:$G$1001,SMALL(IF(RECON_RESULTS!$A$2:$A$1001="Unmatched Bank",ROW(RECON_RESULTS!$A$2:$A$1001)-1),131)))</f>
        <v/>
      </c>
      <c r="F133" s="16">
        <f>IF(B133="","",INDEX(RECON_RESULTS!$H$2:$H$1001,SMALL(IF(RECON_RESULTS!$A$2:$A$1001="Unmatched Bank",ROW(RECON_RESULTS!$A$2:$A$1001)-1),131)))</f>
        <v/>
      </c>
      <c r="G133" s="11" t="inlineStr"/>
      <c r="H133" s="11" t="inlineStr"/>
      <c r="I133" s="11" t="inlineStr"/>
      <c r="J133" s="11" t="inlineStr"/>
      <c r="K133" s="11" t="inlineStr"/>
      <c r="L133" s="11" t="inlineStr"/>
    </row>
    <row r="134">
      <c r="B134" s="11">
        <f>IFERROR(INDEX(RECON_RESULTS!$A$2:$A$1001,SMALL(IF(RECON_RESULTS!$A$2:$A$1001="Unmatched Bank",ROW(RECON_RESULTS!$A$2:$A$1001)-1),132)),"")</f>
        <v/>
      </c>
      <c r="C134" s="10">
        <f>IF(B134="","",INDEX(RECON_RESULTS!$F$2:$F$1001,SMALL(IF(RECON_RESULTS!$A$2:$A$1001="Unmatched Bank",ROW(RECON_RESULTS!$A$2:$A$1001)-1),132)))</f>
        <v/>
      </c>
      <c r="D134" s="11">
        <f>IF(B134="","",INDEX(RECON_RESULTS!$O$2:$O$1001,SMALL(IF(RECON_RESULTS!$A$2:$A$1001="Unmatched Bank",ROW(RECON_RESULTS!$A$2:$A$1001)-1),132)))</f>
        <v/>
      </c>
      <c r="E134" s="16">
        <f>IF(B134="","",INDEX(RECON_RESULTS!$G$2:$G$1001,SMALL(IF(RECON_RESULTS!$A$2:$A$1001="Unmatched Bank",ROW(RECON_RESULTS!$A$2:$A$1001)-1),132)))</f>
        <v/>
      </c>
      <c r="F134" s="16">
        <f>IF(B134="","",INDEX(RECON_RESULTS!$H$2:$H$1001,SMALL(IF(RECON_RESULTS!$A$2:$A$1001="Unmatched Bank",ROW(RECON_RESULTS!$A$2:$A$1001)-1),132)))</f>
        <v/>
      </c>
      <c r="G134" s="11" t="inlineStr"/>
      <c r="H134" s="11" t="inlineStr"/>
      <c r="I134" s="11" t="inlineStr"/>
      <c r="J134" s="11" t="inlineStr"/>
      <c r="K134" s="11" t="inlineStr"/>
      <c r="L134" s="11" t="inlineStr"/>
    </row>
    <row r="135">
      <c r="B135" s="11">
        <f>IFERROR(INDEX(RECON_RESULTS!$A$2:$A$1001,SMALL(IF(RECON_RESULTS!$A$2:$A$1001="Unmatched Bank",ROW(RECON_RESULTS!$A$2:$A$1001)-1),133)),"")</f>
        <v/>
      </c>
      <c r="C135" s="10">
        <f>IF(B135="","",INDEX(RECON_RESULTS!$F$2:$F$1001,SMALL(IF(RECON_RESULTS!$A$2:$A$1001="Unmatched Bank",ROW(RECON_RESULTS!$A$2:$A$1001)-1),133)))</f>
        <v/>
      </c>
      <c r="D135" s="11">
        <f>IF(B135="","",INDEX(RECON_RESULTS!$O$2:$O$1001,SMALL(IF(RECON_RESULTS!$A$2:$A$1001="Unmatched Bank",ROW(RECON_RESULTS!$A$2:$A$1001)-1),133)))</f>
        <v/>
      </c>
      <c r="E135" s="16">
        <f>IF(B135="","",INDEX(RECON_RESULTS!$G$2:$G$1001,SMALL(IF(RECON_RESULTS!$A$2:$A$1001="Unmatched Bank",ROW(RECON_RESULTS!$A$2:$A$1001)-1),133)))</f>
        <v/>
      </c>
      <c r="F135" s="16">
        <f>IF(B135="","",INDEX(RECON_RESULTS!$H$2:$H$1001,SMALL(IF(RECON_RESULTS!$A$2:$A$1001="Unmatched Bank",ROW(RECON_RESULTS!$A$2:$A$1001)-1),133)))</f>
        <v/>
      </c>
      <c r="G135" s="11" t="inlineStr"/>
      <c r="H135" s="11" t="inlineStr"/>
      <c r="I135" s="11" t="inlineStr"/>
      <c r="J135" s="11" t="inlineStr"/>
      <c r="K135" s="11" t="inlineStr"/>
      <c r="L135" s="11" t="inlineStr"/>
    </row>
    <row r="136">
      <c r="B136" s="11">
        <f>IFERROR(INDEX(RECON_RESULTS!$A$2:$A$1001,SMALL(IF(RECON_RESULTS!$A$2:$A$1001="Unmatched Bank",ROW(RECON_RESULTS!$A$2:$A$1001)-1),134)),"")</f>
        <v/>
      </c>
      <c r="C136" s="10">
        <f>IF(B136="","",INDEX(RECON_RESULTS!$F$2:$F$1001,SMALL(IF(RECON_RESULTS!$A$2:$A$1001="Unmatched Bank",ROW(RECON_RESULTS!$A$2:$A$1001)-1),134)))</f>
        <v/>
      </c>
      <c r="D136" s="11">
        <f>IF(B136="","",INDEX(RECON_RESULTS!$O$2:$O$1001,SMALL(IF(RECON_RESULTS!$A$2:$A$1001="Unmatched Bank",ROW(RECON_RESULTS!$A$2:$A$1001)-1),134)))</f>
        <v/>
      </c>
      <c r="E136" s="16">
        <f>IF(B136="","",INDEX(RECON_RESULTS!$G$2:$G$1001,SMALL(IF(RECON_RESULTS!$A$2:$A$1001="Unmatched Bank",ROW(RECON_RESULTS!$A$2:$A$1001)-1),134)))</f>
        <v/>
      </c>
      <c r="F136" s="16">
        <f>IF(B136="","",INDEX(RECON_RESULTS!$H$2:$H$1001,SMALL(IF(RECON_RESULTS!$A$2:$A$1001="Unmatched Bank",ROW(RECON_RESULTS!$A$2:$A$1001)-1),134)))</f>
        <v/>
      </c>
      <c r="G136" s="11" t="inlineStr"/>
      <c r="H136" s="11" t="inlineStr"/>
      <c r="I136" s="11" t="inlineStr"/>
      <c r="J136" s="11" t="inlineStr"/>
      <c r="K136" s="11" t="inlineStr"/>
      <c r="L136" s="11" t="inlineStr"/>
    </row>
    <row r="137">
      <c r="B137" s="11">
        <f>IFERROR(INDEX(RECON_RESULTS!$A$2:$A$1001,SMALL(IF(RECON_RESULTS!$A$2:$A$1001="Unmatched Bank",ROW(RECON_RESULTS!$A$2:$A$1001)-1),135)),"")</f>
        <v/>
      </c>
      <c r="C137" s="10">
        <f>IF(B137="","",INDEX(RECON_RESULTS!$F$2:$F$1001,SMALL(IF(RECON_RESULTS!$A$2:$A$1001="Unmatched Bank",ROW(RECON_RESULTS!$A$2:$A$1001)-1),135)))</f>
        <v/>
      </c>
      <c r="D137" s="11">
        <f>IF(B137="","",INDEX(RECON_RESULTS!$O$2:$O$1001,SMALL(IF(RECON_RESULTS!$A$2:$A$1001="Unmatched Bank",ROW(RECON_RESULTS!$A$2:$A$1001)-1),135)))</f>
        <v/>
      </c>
      <c r="E137" s="16">
        <f>IF(B137="","",INDEX(RECON_RESULTS!$G$2:$G$1001,SMALL(IF(RECON_RESULTS!$A$2:$A$1001="Unmatched Bank",ROW(RECON_RESULTS!$A$2:$A$1001)-1),135)))</f>
        <v/>
      </c>
      <c r="F137" s="16">
        <f>IF(B137="","",INDEX(RECON_RESULTS!$H$2:$H$1001,SMALL(IF(RECON_RESULTS!$A$2:$A$1001="Unmatched Bank",ROW(RECON_RESULTS!$A$2:$A$1001)-1),135)))</f>
        <v/>
      </c>
      <c r="G137" s="11" t="inlineStr"/>
      <c r="H137" s="11" t="inlineStr"/>
      <c r="I137" s="11" t="inlineStr"/>
      <c r="J137" s="11" t="inlineStr"/>
      <c r="K137" s="11" t="inlineStr"/>
      <c r="L137" s="11" t="inlineStr"/>
    </row>
    <row r="138">
      <c r="B138" s="11">
        <f>IFERROR(INDEX(RECON_RESULTS!$A$2:$A$1001,SMALL(IF(RECON_RESULTS!$A$2:$A$1001="Unmatched Bank",ROW(RECON_RESULTS!$A$2:$A$1001)-1),136)),"")</f>
        <v/>
      </c>
      <c r="C138" s="10">
        <f>IF(B138="","",INDEX(RECON_RESULTS!$F$2:$F$1001,SMALL(IF(RECON_RESULTS!$A$2:$A$1001="Unmatched Bank",ROW(RECON_RESULTS!$A$2:$A$1001)-1),136)))</f>
        <v/>
      </c>
      <c r="D138" s="11">
        <f>IF(B138="","",INDEX(RECON_RESULTS!$O$2:$O$1001,SMALL(IF(RECON_RESULTS!$A$2:$A$1001="Unmatched Bank",ROW(RECON_RESULTS!$A$2:$A$1001)-1),136)))</f>
        <v/>
      </c>
      <c r="E138" s="16">
        <f>IF(B138="","",INDEX(RECON_RESULTS!$G$2:$G$1001,SMALL(IF(RECON_RESULTS!$A$2:$A$1001="Unmatched Bank",ROW(RECON_RESULTS!$A$2:$A$1001)-1),136)))</f>
        <v/>
      </c>
      <c r="F138" s="16">
        <f>IF(B138="","",INDEX(RECON_RESULTS!$H$2:$H$1001,SMALL(IF(RECON_RESULTS!$A$2:$A$1001="Unmatched Bank",ROW(RECON_RESULTS!$A$2:$A$1001)-1),136)))</f>
        <v/>
      </c>
      <c r="G138" s="11" t="inlineStr"/>
      <c r="H138" s="11" t="inlineStr"/>
      <c r="I138" s="11" t="inlineStr"/>
      <c r="J138" s="11" t="inlineStr"/>
      <c r="K138" s="11" t="inlineStr"/>
      <c r="L138" s="11" t="inlineStr"/>
    </row>
    <row r="139">
      <c r="B139" s="11">
        <f>IFERROR(INDEX(RECON_RESULTS!$A$2:$A$1001,SMALL(IF(RECON_RESULTS!$A$2:$A$1001="Unmatched Bank",ROW(RECON_RESULTS!$A$2:$A$1001)-1),137)),"")</f>
        <v/>
      </c>
      <c r="C139" s="10">
        <f>IF(B139="","",INDEX(RECON_RESULTS!$F$2:$F$1001,SMALL(IF(RECON_RESULTS!$A$2:$A$1001="Unmatched Bank",ROW(RECON_RESULTS!$A$2:$A$1001)-1),137)))</f>
        <v/>
      </c>
      <c r="D139" s="11">
        <f>IF(B139="","",INDEX(RECON_RESULTS!$O$2:$O$1001,SMALL(IF(RECON_RESULTS!$A$2:$A$1001="Unmatched Bank",ROW(RECON_RESULTS!$A$2:$A$1001)-1),137)))</f>
        <v/>
      </c>
      <c r="E139" s="16">
        <f>IF(B139="","",INDEX(RECON_RESULTS!$G$2:$G$1001,SMALL(IF(RECON_RESULTS!$A$2:$A$1001="Unmatched Bank",ROW(RECON_RESULTS!$A$2:$A$1001)-1),137)))</f>
        <v/>
      </c>
      <c r="F139" s="16">
        <f>IF(B139="","",INDEX(RECON_RESULTS!$H$2:$H$1001,SMALL(IF(RECON_RESULTS!$A$2:$A$1001="Unmatched Bank",ROW(RECON_RESULTS!$A$2:$A$1001)-1),137)))</f>
        <v/>
      </c>
      <c r="G139" s="11" t="inlineStr"/>
      <c r="H139" s="11" t="inlineStr"/>
      <c r="I139" s="11" t="inlineStr"/>
      <c r="J139" s="11" t="inlineStr"/>
      <c r="K139" s="11" t="inlineStr"/>
      <c r="L139" s="11" t="inlineStr"/>
    </row>
    <row r="140">
      <c r="B140" s="11">
        <f>IFERROR(INDEX(RECON_RESULTS!$A$2:$A$1001,SMALL(IF(RECON_RESULTS!$A$2:$A$1001="Unmatched Bank",ROW(RECON_RESULTS!$A$2:$A$1001)-1),138)),"")</f>
        <v/>
      </c>
      <c r="C140" s="10">
        <f>IF(B140="","",INDEX(RECON_RESULTS!$F$2:$F$1001,SMALL(IF(RECON_RESULTS!$A$2:$A$1001="Unmatched Bank",ROW(RECON_RESULTS!$A$2:$A$1001)-1),138)))</f>
        <v/>
      </c>
      <c r="D140" s="11">
        <f>IF(B140="","",INDEX(RECON_RESULTS!$O$2:$O$1001,SMALL(IF(RECON_RESULTS!$A$2:$A$1001="Unmatched Bank",ROW(RECON_RESULTS!$A$2:$A$1001)-1),138)))</f>
        <v/>
      </c>
      <c r="E140" s="16">
        <f>IF(B140="","",INDEX(RECON_RESULTS!$G$2:$G$1001,SMALL(IF(RECON_RESULTS!$A$2:$A$1001="Unmatched Bank",ROW(RECON_RESULTS!$A$2:$A$1001)-1),138)))</f>
        <v/>
      </c>
      <c r="F140" s="16">
        <f>IF(B140="","",INDEX(RECON_RESULTS!$H$2:$H$1001,SMALL(IF(RECON_RESULTS!$A$2:$A$1001="Unmatched Bank",ROW(RECON_RESULTS!$A$2:$A$1001)-1),138)))</f>
        <v/>
      </c>
      <c r="G140" s="11" t="inlineStr"/>
      <c r="H140" s="11" t="inlineStr"/>
      <c r="I140" s="11" t="inlineStr"/>
      <c r="J140" s="11" t="inlineStr"/>
      <c r="K140" s="11" t="inlineStr"/>
      <c r="L140" s="11" t="inlineStr"/>
    </row>
    <row r="141">
      <c r="B141" s="11">
        <f>IFERROR(INDEX(RECON_RESULTS!$A$2:$A$1001,SMALL(IF(RECON_RESULTS!$A$2:$A$1001="Unmatched Bank",ROW(RECON_RESULTS!$A$2:$A$1001)-1),139)),"")</f>
        <v/>
      </c>
      <c r="C141" s="10">
        <f>IF(B141="","",INDEX(RECON_RESULTS!$F$2:$F$1001,SMALL(IF(RECON_RESULTS!$A$2:$A$1001="Unmatched Bank",ROW(RECON_RESULTS!$A$2:$A$1001)-1),139)))</f>
        <v/>
      </c>
      <c r="D141" s="11">
        <f>IF(B141="","",INDEX(RECON_RESULTS!$O$2:$O$1001,SMALL(IF(RECON_RESULTS!$A$2:$A$1001="Unmatched Bank",ROW(RECON_RESULTS!$A$2:$A$1001)-1),139)))</f>
        <v/>
      </c>
      <c r="E141" s="16">
        <f>IF(B141="","",INDEX(RECON_RESULTS!$G$2:$G$1001,SMALL(IF(RECON_RESULTS!$A$2:$A$1001="Unmatched Bank",ROW(RECON_RESULTS!$A$2:$A$1001)-1),139)))</f>
        <v/>
      </c>
      <c r="F141" s="16">
        <f>IF(B141="","",INDEX(RECON_RESULTS!$H$2:$H$1001,SMALL(IF(RECON_RESULTS!$A$2:$A$1001="Unmatched Bank",ROW(RECON_RESULTS!$A$2:$A$1001)-1),139)))</f>
        <v/>
      </c>
      <c r="G141" s="11" t="inlineStr"/>
      <c r="H141" s="11" t="inlineStr"/>
      <c r="I141" s="11" t="inlineStr"/>
      <c r="J141" s="11" t="inlineStr"/>
      <c r="K141" s="11" t="inlineStr"/>
      <c r="L141" s="11" t="inlineStr"/>
    </row>
    <row r="142">
      <c r="B142" s="11">
        <f>IFERROR(INDEX(RECON_RESULTS!$A$2:$A$1001,SMALL(IF(RECON_RESULTS!$A$2:$A$1001="Unmatched Bank",ROW(RECON_RESULTS!$A$2:$A$1001)-1),140)),"")</f>
        <v/>
      </c>
      <c r="C142" s="10">
        <f>IF(B142="","",INDEX(RECON_RESULTS!$F$2:$F$1001,SMALL(IF(RECON_RESULTS!$A$2:$A$1001="Unmatched Bank",ROW(RECON_RESULTS!$A$2:$A$1001)-1),140)))</f>
        <v/>
      </c>
      <c r="D142" s="11">
        <f>IF(B142="","",INDEX(RECON_RESULTS!$O$2:$O$1001,SMALL(IF(RECON_RESULTS!$A$2:$A$1001="Unmatched Bank",ROW(RECON_RESULTS!$A$2:$A$1001)-1),140)))</f>
        <v/>
      </c>
      <c r="E142" s="16">
        <f>IF(B142="","",INDEX(RECON_RESULTS!$G$2:$G$1001,SMALL(IF(RECON_RESULTS!$A$2:$A$1001="Unmatched Bank",ROW(RECON_RESULTS!$A$2:$A$1001)-1),140)))</f>
        <v/>
      </c>
      <c r="F142" s="16">
        <f>IF(B142="","",INDEX(RECON_RESULTS!$H$2:$H$1001,SMALL(IF(RECON_RESULTS!$A$2:$A$1001="Unmatched Bank",ROW(RECON_RESULTS!$A$2:$A$1001)-1),140)))</f>
        <v/>
      </c>
      <c r="G142" s="11" t="inlineStr"/>
      <c r="H142" s="11" t="inlineStr"/>
      <c r="I142" s="11" t="inlineStr"/>
      <c r="J142" s="11" t="inlineStr"/>
      <c r="K142" s="11" t="inlineStr"/>
      <c r="L142" s="11" t="inlineStr"/>
    </row>
    <row r="143">
      <c r="B143" s="11">
        <f>IFERROR(INDEX(RECON_RESULTS!$A$2:$A$1001,SMALL(IF(RECON_RESULTS!$A$2:$A$1001="Unmatched Bank",ROW(RECON_RESULTS!$A$2:$A$1001)-1),141)),"")</f>
        <v/>
      </c>
      <c r="C143" s="10">
        <f>IF(B143="","",INDEX(RECON_RESULTS!$F$2:$F$1001,SMALL(IF(RECON_RESULTS!$A$2:$A$1001="Unmatched Bank",ROW(RECON_RESULTS!$A$2:$A$1001)-1),141)))</f>
        <v/>
      </c>
      <c r="D143" s="11">
        <f>IF(B143="","",INDEX(RECON_RESULTS!$O$2:$O$1001,SMALL(IF(RECON_RESULTS!$A$2:$A$1001="Unmatched Bank",ROW(RECON_RESULTS!$A$2:$A$1001)-1),141)))</f>
        <v/>
      </c>
      <c r="E143" s="16">
        <f>IF(B143="","",INDEX(RECON_RESULTS!$G$2:$G$1001,SMALL(IF(RECON_RESULTS!$A$2:$A$1001="Unmatched Bank",ROW(RECON_RESULTS!$A$2:$A$1001)-1),141)))</f>
        <v/>
      </c>
      <c r="F143" s="16">
        <f>IF(B143="","",INDEX(RECON_RESULTS!$H$2:$H$1001,SMALL(IF(RECON_RESULTS!$A$2:$A$1001="Unmatched Bank",ROW(RECON_RESULTS!$A$2:$A$1001)-1),141)))</f>
        <v/>
      </c>
      <c r="G143" s="11" t="inlineStr"/>
      <c r="H143" s="11" t="inlineStr"/>
      <c r="I143" s="11" t="inlineStr"/>
      <c r="J143" s="11" t="inlineStr"/>
      <c r="K143" s="11" t="inlineStr"/>
      <c r="L143" s="11" t="inlineStr"/>
    </row>
    <row r="144">
      <c r="B144" s="11">
        <f>IFERROR(INDEX(RECON_RESULTS!$A$2:$A$1001,SMALL(IF(RECON_RESULTS!$A$2:$A$1001="Unmatched Bank",ROW(RECON_RESULTS!$A$2:$A$1001)-1),142)),"")</f>
        <v/>
      </c>
      <c r="C144" s="10">
        <f>IF(B144="","",INDEX(RECON_RESULTS!$F$2:$F$1001,SMALL(IF(RECON_RESULTS!$A$2:$A$1001="Unmatched Bank",ROW(RECON_RESULTS!$A$2:$A$1001)-1),142)))</f>
        <v/>
      </c>
      <c r="D144" s="11">
        <f>IF(B144="","",INDEX(RECON_RESULTS!$O$2:$O$1001,SMALL(IF(RECON_RESULTS!$A$2:$A$1001="Unmatched Bank",ROW(RECON_RESULTS!$A$2:$A$1001)-1),142)))</f>
        <v/>
      </c>
      <c r="E144" s="16">
        <f>IF(B144="","",INDEX(RECON_RESULTS!$G$2:$G$1001,SMALL(IF(RECON_RESULTS!$A$2:$A$1001="Unmatched Bank",ROW(RECON_RESULTS!$A$2:$A$1001)-1),142)))</f>
        <v/>
      </c>
      <c r="F144" s="16">
        <f>IF(B144="","",INDEX(RECON_RESULTS!$H$2:$H$1001,SMALL(IF(RECON_RESULTS!$A$2:$A$1001="Unmatched Bank",ROW(RECON_RESULTS!$A$2:$A$1001)-1),142)))</f>
        <v/>
      </c>
      <c r="G144" s="11" t="inlineStr"/>
      <c r="H144" s="11" t="inlineStr"/>
      <c r="I144" s="11" t="inlineStr"/>
      <c r="J144" s="11" t="inlineStr"/>
      <c r="K144" s="11" t="inlineStr"/>
      <c r="L144" s="11" t="inlineStr"/>
    </row>
    <row r="145">
      <c r="B145" s="11">
        <f>IFERROR(INDEX(RECON_RESULTS!$A$2:$A$1001,SMALL(IF(RECON_RESULTS!$A$2:$A$1001="Unmatched Bank",ROW(RECON_RESULTS!$A$2:$A$1001)-1),143)),"")</f>
        <v/>
      </c>
      <c r="C145" s="10">
        <f>IF(B145="","",INDEX(RECON_RESULTS!$F$2:$F$1001,SMALL(IF(RECON_RESULTS!$A$2:$A$1001="Unmatched Bank",ROW(RECON_RESULTS!$A$2:$A$1001)-1),143)))</f>
        <v/>
      </c>
      <c r="D145" s="11">
        <f>IF(B145="","",INDEX(RECON_RESULTS!$O$2:$O$1001,SMALL(IF(RECON_RESULTS!$A$2:$A$1001="Unmatched Bank",ROW(RECON_RESULTS!$A$2:$A$1001)-1),143)))</f>
        <v/>
      </c>
      <c r="E145" s="16">
        <f>IF(B145="","",INDEX(RECON_RESULTS!$G$2:$G$1001,SMALL(IF(RECON_RESULTS!$A$2:$A$1001="Unmatched Bank",ROW(RECON_RESULTS!$A$2:$A$1001)-1),143)))</f>
        <v/>
      </c>
      <c r="F145" s="16">
        <f>IF(B145="","",INDEX(RECON_RESULTS!$H$2:$H$1001,SMALL(IF(RECON_RESULTS!$A$2:$A$1001="Unmatched Bank",ROW(RECON_RESULTS!$A$2:$A$1001)-1),143)))</f>
        <v/>
      </c>
      <c r="G145" s="11" t="inlineStr"/>
      <c r="H145" s="11" t="inlineStr"/>
      <c r="I145" s="11" t="inlineStr"/>
      <c r="J145" s="11" t="inlineStr"/>
      <c r="K145" s="11" t="inlineStr"/>
      <c r="L145" s="11" t="inlineStr"/>
    </row>
    <row r="146">
      <c r="B146" s="11">
        <f>IFERROR(INDEX(RECON_RESULTS!$A$2:$A$1001,SMALL(IF(RECON_RESULTS!$A$2:$A$1001="Unmatched Bank",ROW(RECON_RESULTS!$A$2:$A$1001)-1),144)),"")</f>
        <v/>
      </c>
      <c r="C146" s="10">
        <f>IF(B146="","",INDEX(RECON_RESULTS!$F$2:$F$1001,SMALL(IF(RECON_RESULTS!$A$2:$A$1001="Unmatched Bank",ROW(RECON_RESULTS!$A$2:$A$1001)-1),144)))</f>
        <v/>
      </c>
      <c r="D146" s="11">
        <f>IF(B146="","",INDEX(RECON_RESULTS!$O$2:$O$1001,SMALL(IF(RECON_RESULTS!$A$2:$A$1001="Unmatched Bank",ROW(RECON_RESULTS!$A$2:$A$1001)-1),144)))</f>
        <v/>
      </c>
      <c r="E146" s="16">
        <f>IF(B146="","",INDEX(RECON_RESULTS!$G$2:$G$1001,SMALL(IF(RECON_RESULTS!$A$2:$A$1001="Unmatched Bank",ROW(RECON_RESULTS!$A$2:$A$1001)-1),144)))</f>
        <v/>
      </c>
      <c r="F146" s="16">
        <f>IF(B146="","",INDEX(RECON_RESULTS!$H$2:$H$1001,SMALL(IF(RECON_RESULTS!$A$2:$A$1001="Unmatched Bank",ROW(RECON_RESULTS!$A$2:$A$1001)-1),144)))</f>
        <v/>
      </c>
      <c r="G146" s="11" t="inlineStr"/>
      <c r="H146" s="11" t="inlineStr"/>
      <c r="I146" s="11" t="inlineStr"/>
      <c r="J146" s="11" t="inlineStr"/>
      <c r="K146" s="11" t="inlineStr"/>
      <c r="L146" s="11" t="inlineStr"/>
    </row>
    <row r="147">
      <c r="B147" s="11">
        <f>IFERROR(INDEX(RECON_RESULTS!$A$2:$A$1001,SMALL(IF(RECON_RESULTS!$A$2:$A$1001="Unmatched Bank",ROW(RECON_RESULTS!$A$2:$A$1001)-1),145)),"")</f>
        <v/>
      </c>
      <c r="C147" s="10">
        <f>IF(B147="","",INDEX(RECON_RESULTS!$F$2:$F$1001,SMALL(IF(RECON_RESULTS!$A$2:$A$1001="Unmatched Bank",ROW(RECON_RESULTS!$A$2:$A$1001)-1),145)))</f>
        <v/>
      </c>
      <c r="D147" s="11">
        <f>IF(B147="","",INDEX(RECON_RESULTS!$O$2:$O$1001,SMALL(IF(RECON_RESULTS!$A$2:$A$1001="Unmatched Bank",ROW(RECON_RESULTS!$A$2:$A$1001)-1),145)))</f>
        <v/>
      </c>
      <c r="E147" s="16">
        <f>IF(B147="","",INDEX(RECON_RESULTS!$G$2:$G$1001,SMALL(IF(RECON_RESULTS!$A$2:$A$1001="Unmatched Bank",ROW(RECON_RESULTS!$A$2:$A$1001)-1),145)))</f>
        <v/>
      </c>
      <c r="F147" s="16">
        <f>IF(B147="","",INDEX(RECON_RESULTS!$H$2:$H$1001,SMALL(IF(RECON_RESULTS!$A$2:$A$1001="Unmatched Bank",ROW(RECON_RESULTS!$A$2:$A$1001)-1),145)))</f>
        <v/>
      </c>
      <c r="G147" s="11" t="inlineStr"/>
      <c r="H147" s="11" t="inlineStr"/>
      <c r="I147" s="11" t="inlineStr"/>
      <c r="J147" s="11" t="inlineStr"/>
      <c r="K147" s="11" t="inlineStr"/>
      <c r="L147" s="11" t="inlineStr"/>
    </row>
    <row r="148">
      <c r="B148" s="11">
        <f>IFERROR(INDEX(RECON_RESULTS!$A$2:$A$1001,SMALL(IF(RECON_RESULTS!$A$2:$A$1001="Unmatched Bank",ROW(RECON_RESULTS!$A$2:$A$1001)-1),146)),"")</f>
        <v/>
      </c>
      <c r="C148" s="10">
        <f>IF(B148="","",INDEX(RECON_RESULTS!$F$2:$F$1001,SMALL(IF(RECON_RESULTS!$A$2:$A$1001="Unmatched Bank",ROW(RECON_RESULTS!$A$2:$A$1001)-1),146)))</f>
        <v/>
      </c>
      <c r="D148" s="11">
        <f>IF(B148="","",INDEX(RECON_RESULTS!$O$2:$O$1001,SMALL(IF(RECON_RESULTS!$A$2:$A$1001="Unmatched Bank",ROW(RECON_RESULTS!$A$2:$A$1001)-1),146)))</f>
        <v/>
      </c>
      <c r="E148" s="16">
        <f>IF(B148="","",INDEX(RECON_RESULTS!$G$2:$G$1001,SMALL(IF(RECON_RESULTS!$A$2:$A$1001="Unmatched Bank",ROW(RECON_RESULTS!$A$2:$A$1001)-1),146)))</f>
        <v/>
      </c>
      <c r="F148" s="16">
        <f>IF(B148="","",INDEX(RECON_RESULTS!$H$2:$H$1001,SMALL(IF(RECON_RESULTS!$A$2:$A$1001="Unmatched Bank",ROW(RECON_RESULTS!$A$2:$A$1001)-1),146)))</f>
        <v/>
      </c>
      <c r="G148" s="11" t="inlineStr"/>
      <c r="H148" s="11" t="inlineStr"/>
      <c r="I148" s="11" t="inlineStr"/>
      <c r="J148" s="11" t="inlineStr"/>
      <c r="K148" s="11" t="inlineStr"/>
      <c r="L148" s="11" t="inlineStr"/>
    </row>
    <row r="149">
      <c r="B149" s="11">
        <f>IFERROR(INDEX(RECON_RESULTS!$A$2:$A$1001,SMALL(IF(RECON_RESULTS!$A$2:$A$1001="Unmatched Bank",ROW(RECON_RESULTS!$A$2:$A$1001)-1),147)),"")</f>
        <v/>
      </c>
      <c r="C149" s="10">
        <f>IF(B149="","",INDEX(RECON_RESULTS!$F$2:$F$1001,SMALL(IF(RECON_RESULTS!$A$2:$A$1001="Unmatched Bank",ROW(RECON_RESULTS!$A$2:$A$1001)-1),147)))</f>
        <v/>
      </c>
      <c r="D149" s="11">
        <f>IF(B149="","",INDEX(RECON_RESULTS!$O$2:$O$1001,SMALL(IF(RECON_RESULTS!$A$2:$A$1001="Unmatched Bank",ROW(RECON_RESULTS!$A$2:$A$1001)-1),147)))</f>
        <v/>
      </c>
      <c r="E149" s="16">
        <f>IF(B149="","",INDEX(RECON_RESULTS!$G$2:$G$1001,SMALL(IF(RECON_RESULTS!$A$2:$A$1001="Unmatched Bank",ROW(RECON_RESULTS!$A$2:$A$1001)-1),147)))</f>
        <v/>
      </c>
      <c r="F149" s="16">
        <f>IF(B149="","",INDEX(RECON_RESULTS!$H$2:$H$1001,SMALL(IF(RECON_RESULTS!$A$2:$A$1001="Unmatched Bank",ROW(RECON_RESULTS!$A$2:$A$1001)-1),147)))</f>
        <v/>
      </c>
      <c r="G149" s="11" t="inlineStr"/>
      <c r="H149" s="11" t="inlineStr"/>
      <c r="I149" s="11" t="inlineStr"/>
      <c r="J149" s="11" t="inlineStr"/>
      <c r="K149" s="11" t="inlineStr"/>
      <c r="L149" s="11" t="inlineStr"/>
    </row>
    <row r="150">
      <c r="B150" s="11">
        <f>IFERROR(INDEX(RECON_RESULTS!$A$2:$A$1001,SMALL(IF(RECON_RESULTS!$A$2:$A$1001="Unmatched Bank",ROW(RECON_RESULTS!$A$2:$A$1001)-1),148)),"")</f>
        <v/>
      </c>
      <c r="C150" s="10">
        <f>IF(B150="","",INDEX(RECON_RESULTS!$F$2:$F$1001,SMALL(IF(RECON_RESULTS!$A$2:$A$1001="Unmatched Bank",ROW(RECON_RESULTS!$A$2:$A$1001)-1),148)))</f>
        <v/>
      </c>
      <c r="D150" s="11">
        <f>IF(B150="","",INDEX(RECON_RESULTS!$O$2:$O$1001,SMALL(IF(RECON_RESULTS!$A$2:$A$1001="Unmatched Bank",ROW(RECON_RESULTS!$A$2:$A$1001)-1),148)))</f>
        <v/>
      </c>
      <c r="E150" s="16">
        <f>IF(B150="","",INDEX(RECON_RESULTS!$G$2:$G$1001,SMALL(IF(RECON_RESULTS!$A$2:$A$1001="Unmatched Bank",ROW(RECON_RESULTS!$A$2:$A$1001)-1),148)))</f>
        <v/>
      </c>
      <c r="F150" s="16">
        <f>IF(B150="","",INDEX(RECON_RESULTS!$H$2:$H$1001,SMALL(IF(RECON_RESULTS!$A$2:$A$1001="Unmatched Bank",ROW(RECON_RESULTS!$A$2:$A$1001)-1),148)))</f>
        <v/>
      </c>
      <c r="G150" s="11" t="inlineStr"/>
      <c r="H150" s="11" t="inlineStr"/>
      <c r="I150" s="11" t="inlineStr"/>
      <c r="J150" s="11" t="inlineStr"/>
      <c r="K150" s="11" t="inlineStr"/>
      <c r="L150" s="11" t="inlineStr"/>
    </row>
    <row r="151">
      <c r="B151" s="11">
        <f>IFERROR(INDEX(RECON_RESULTS!$A$2:$A$1001,SMALL(IF(RECON_RESULTS!$A$2:$A$1001="Unmatched Bank",ROW(RECON_RESULTS!$A$2:$A$1001)-1),149)),"")</f>
        <v/>
      </c>
      <c r="C151" s="10">
        <f>IF(B151="","",INDEX(RECON_RESULTS!$F$2:$F$1001,SMALL(IF(RECON_RESULTS!$A$2:$A$1001="Unmatched Bank",ROW(RECON_RESULTS!$A$2:$A$1001)-1),149)))</f>
        <v/>
      </c>
      <c r="D151" s="11">
        <f>IF(B151="","",INDEX(RECON_RESULTS!$O$2:$O$1001,SMALL(IF(RECON_RESULTS!$A$2:$A$1001="Unmatched Bank",ROW(RECON_RESULTS!$A$2:$A$1001)-1),149)))</f>
        <v/>
      </c>
      <c r="E151" s="16">
        <f>IF(B151="","",INDEX(RECON_RESULTS!$G$2:$G$1001,SMALL(IF(RECON_RESULTS!$A$2:$A$1001="Unmatched Bank",ROW(RECON_RESULTS!$A$2:$A$1001)-1),149)))</f>
        <v/>
      </c>
      <c r="F151" s="16">
        <f>IF(B151="","",INDEX(RECON_RESULTS!$H$2:$H$1001,SMALL(IF(RECON_RESULTS!$A$2:$A$1001="Unmatched Bank",ROW(RECON_RESULTS!$A$2:$A$1001)-1),149)))</f>
        <v/>
      </c>
      <c r="G151" s="11" t="inlineStr"/>
      <c r="H151" s="11" t="inlineStr"/>
      <c r="I151" s="11" t="inlineStr"/>
      <c r="J151" s="11" t="inlineStr"/>
      <c r="K151" s="11" t="inlineStr"/>
      <c r="L151" s="11" t="inlineStr"/>
    </row>
    <row r="152">
      <c r="B152" s="11">
        <f>IFERROR(INDEX(RECON_RESULTS!$A$2:$A$1001,SMALL(IF(RECON_RESULTS!$A$2:$A$1001="Unmatched Bank",ROW(RECON_RESULTS!$A$2:$A$1001)-1),150)),"")</f>
        <v/>
      </c>
      <c r="C152" s="10">
        <f>IF(B152="","",INDEX(RECON_RESULTS!$F$2:$F$1001,SMALL(IF(RECON_RESULTS!$A$2:$A$1001="Unmatched Bank",ROW(RECON_RESULTS!$A$2:$A$1001)-1),150)))</f>
        <v/>
      </c>
      <c r="D152" s="11">
        <f>IF(B152="","",INDEX(RECON_RESULTS!$O$2:$O$1001,SMALL(IF(RECON_RESULTS!$A$2:$A$1001="Unmatched Bank",ROW(RECON_RESULTS!$A$2:$A$1001)-1),150)))</f>
        <v/>
      </c>
      <c r="E152" s="16">
        <f>IF(B152="","",INDEX(RECON_RESULTS!$G$2:$G$1001,SMALL(IF(RECON_RESULTS!$A$2:$A$1001="Unmatched Bank",ROW(RECON_RESULTS!$A$2:$A$1001)-1),150)))</f>
        <v/>
      </c>
      <c r="F152" s="16">
        <f>IF(B152="","",INDEX(RECON_RESULTS!$H$2:$H$1001,SMALL(IF(RECON_RESULTS!$A$2:$A$1001="Unmatched Bank",ROW(RECON_RESULTS!$A$2:$A$1001)-1),150)))</f>
        <v/>
      </c>
      <c r="G152" s="11" t="inlineStr"/>
      <c r="H152" s="11" t="inlineStr"/>
      <c r="I152" s="11" t="inlineStr"/>
      <c r="J152" s="11" t="inlineStr"/>
      <c r="K152" s="11" t="inlineStr"/>
      <c r="L152" s="11" t="inlineStr"/>
    </row>
    <row r="153">
      <c r="B153" s="11">
        <f>IFERROR(INDEX(RECON_RESULTS!$A$2:$A$1001,SMALL(IF(RECON_RESULTS!$A$2:$A$1001="Unmatched Bank",ROW(RECON_RESULTS!$A$2:$A$1001)-1),151)),"")</f>
        <v/>
      </c>
      <c r="C153" s="10">
        <f>IF(B153="","",INDEX(RECON_RESULTS!$F$2:$F$1001,SMALL(IF(RECON_RESULTS!$A$2:$A$1001="Unmatched Bank",ROW(RECON_RESULTS!$A$2:$A$1001)-1),151)))</f>
        <v/>
      </c>
      <c r="D153" s="11">
        <f>IF(B153="","",INDEX(RECON_RESULTS!$O$2:$O$1001,SMALL(IF(RECON_RESULTS!$A$2:$A$1001="Unmatched Bank",ROW(RECON_RESULTS!$A$2:$A$1001)-1),151)))</f>
        <v/>
      </c>
      <c r="E153" s="16">
        <f>IF(B153="","",INDEX(RECON_RESULTS!$G$2:$G$1001,SMALL(IF(RECON_RESULTS!$A$2:$A$1001="Unmatched Bank",ROW(RECON_RESULTS!$A$2:$A$1001)-1),151)))</f>
        <v/>
      </c>
      <c r="F153" s="16">
        <f>IF(B153="","",INDEX(RECON_RESULTS!$H$2:$H$1001,SMALL(IF(RECON_RESULTS!$A$2:$A$1001="Unmatched Bank",ROW(RECON_RESULTS!$A$2:$A$1001)-1),151)))</f>
        <v/>
      </c>
      <c r="G153" s="11" t="inlineStr"/>
      <c r="H153" s="11" t="inlineStr"/>
      <c r="I153" s="11" t="inlineStr"/>
      <c r="J153" s="11" t="inlineStr"/>
      <c r="K153" s="11" t="inlineStr"/>
      <c r="L153" s="11" t="inlineStr"/>
    </row>
    <row r="154">
      <c r="B154" s="11">
        <f>IFERROR(INDEX(RECON_RESULTS!$A$2:$A$1001,SMALL(IF(RECON_RESULTS!$A$2:$A$1001="Unmatched Bank",ROW(RECON_RESULTS!$A$2:$A$1001)-1),152)),"")</f>
        <v/>
      </c>
      <c r="C154" s="10">
        <f>IF(B154="","",INDEX(RECON_RESULTS!$F$2:$F$1001,SMALL(IF(RECON_RESULTS!$A$2:$A$1001="Unmatched Bank",ROW(RECON_RESULTS!$A$2:$A$1001)-1),152)))</f>
        <v/>
      </c>
      <c r="D154" s="11">
        <f>IF(B154="","",INDEX(RECON_RESULTS!$O$2:$O$1001,SMALL(IF(RECON_RESULTS!$A$2:$A$1001="Unmatched Bank",ROW(RECON_RESULTS!$A$2:$A$1001)-1),152)))</f>
        <v/>
      </c>
      <c r="E154" s="16">
        <f>IF(B154="","",INDEX(RECON_RESULTS!$G$2:$G$1001,SMALL(IF(RECON_RESULTS!$A$2:$A$1001="Unmatched Bank",ROW(RECON_RESULTS!$A$2:$A$1001)-1),152)))</f>
        <v/>
      </c>
      <c r="F154" s="16">
        <f>IF(B154="","",INDEX(RECON_RESULTS!$H$2:$H$1001,SMALL(IF(RECON_RESULTS!$A$2:$A$1001="Unmatched Bank",ROW(RECON_RESULTS!$A$2:$A$1001)-1),152)))</f>
        <v/>
      </c>
      <c r="G154" s="11" t="inlineStr"/>
      <c r="H154" s="11" t="inlineStr"/>
      <c r="I154" s="11" t="inlineStr"/>
      <c r="J154" s="11" t="inlineStr"/>
      <c r="K154" s="11" t="inlineStr"/>
      <c r="L154" s="11" t="inlineStr"/>
    </row>
    <row r="155">
      <c r="B155" s="11">
        <f>IFERROR(INDEX(RECON_RESULTS!$A$2:$A$1001,SMALL(IF(RECON_RESULTS!$A$2:$A$1001="Unmatched Bank",ROW(RECON_RESULTS!$A$2:$A$1001)-1),153)),"")</f>
        <v/>
      </c>
      <c r="C155" s="10">
        <f>IF(B155="","",INDEX(RECON_RESULTS!$F$2:$F$1001,SMALL(IF(RECON_RESULTS!$A$2:$A$1001="Unmatched Bank",ROW(RECON_RESULTS!$A$2:$A$1001)-1),153)))</f>
        <v/>
      </c>
      <c r="D155" s="11">
        <f>IF(B155="","",INDEX(RECON_RESULTS!$O$2:$O$1001,SMALL(IF(RECON_RESULTS!$A$2:$A$1001="Unmatched Bank",ROW(RECON_RESULTS!$A$2:$A$1001)-1),153)))</f>
        <v/>
      </c>
      <c r="E155" s="16">
        <f>IF(B155="","",INDEX(RECON_RESULTS!$G$2:$G$1001,SMALL(IF(RECON_RESULTS!$A$2:$A$1001="Unmatched Bank",ROW(RECON_RESULTS!$A$2:$A$1001)-1),153)))</f>
        <v/>
      </c>
      <c r="F155" s="16">
        <f>IF(B155="","",INDEX(RECON_RESULTS!$H$2:$H$1001,SMALL(IF(RECON_RESULTS!$A$2:$A$1001="Unmatched Bank",ROW(RECON_RESULTS!$A$2:$A$1001)-1),153)))</f>
        <v/>
      </c>
      <c r="G155" s="11" t="inlineStr"/>
      <c r="H155" s="11" t="inlineStr"/>
      <c r="I155" s="11" t="inlineStr"/>
      <c r="J155" s="11" t="inlineStr"/>
      <c r="K155" s="11" t="inlineStr"/>
      <c r="L155" s="11" t="inlineStr"/>
    </row>
    <row r="156">
      <c r="B156" s="11">
        <f>IFERROR(INDEX(RECON_RESULTS!$A$2:$A$1001,SMALL(IF(RECON_RESULTS!$A$2:$A$1001="Unmatched Bank",ROW(RECON_RESULTS!$A$2:$A$1001)-1),154)),"")</f>
        <v/>
      </c>
      <c r="C156" s="10">
        <f>IF(B156="","",INDEX(RECON_RESULTS!$F$2:$F$1001,SMALL(IF(RECON_RESULTS!$A$2:$A$1001="Unmatched Bank",ROW(RECON_RESULTS!$A$2:$A$1001)-1),154)))</f>
        <v/>
      </c>
      <c r="D156" s="11">
        <f>IF(B156="","",INDEX(RECON_RESULTS!$O$2:$O$1001,SMALL(IF(RECON_RESULTS!$A$2:$A$1001="Unmatched Bank",ROW(RECON_RESULTS!$A$2:$A$1001)-1),154)))</f>
        <v/>
      </c>
      <c r="E156" s="16">
        <f>IF(B156="","",INDEX(RECON_RESULTS!$G$2:$G$1001,SMALL(IF(RECON_RESULTS!$A$2:$A$1001="Unmatched Bank",ROW(RECON_RESULTS!$A$2:$A$1001)-1),154)))</f>
        <v/>
      </c>
      <c r="F156" s="16">
        <f>IF(B156="","",INDEX(RECON_RESULTS!$H$2:$H$1001,SMALL(IF(RECON_RESULTS!$A$2:$A$1001="Unmatched Bank",ROW(RECON_RESULTS!$A$2:$A$1001)-1),154)))</f>
        <v/>
      </c>
      <c r="G156" s="11" t="inlineStr"/>
      <c r="H156" s="11" t="inlineStr"/>
      <c r="I156" s="11" t="inlineStr"/>
      <c r="J156" s="11" t="inlineStr"/>
      <c r="K156" s="11" t="inlineStr"/>
      <c r="L156" s="11" t="inlineStr"/>
    </row>
    <row r="157">
      <c r="B157" s="11">
        <f>IFERROR(INDEX(RECON_RESULTS!$A$2:$A$1001,SMALL(IF(RECON_RESULTS!$A$2:$A$1001="Unmatched Bank",ROW(RECON_RESULTS!$A$2:$A$1001)-1),155)),"")</f>
        <v/>
      </c>
      <c r="C157" s="10">
        <f>IF(B157="","",INDEX(RECON_RESULTS!$F$2:$F$1001,SMALL(IF(RECON_RESULTS!$A$2:$A$1001="Unmatched Bank",ROW(RECON_RESULTS!$A$2:$A$1001)-1),155)))</f>
        <v/>
      </c>
      <c r="D157" s="11">
        <f>IF(B157="","",INDEX(RECON_RESULTS!$O$2:$O$1001,SMALL(IF(RECON_RESULTS!$A$2:$A$1001="Unmatched Bank",ROW(RECON_RESULTS!$A$2:$A$1001)-1),155)))</f>
        <v/>
      </c>
      <c r="E157" s="16">
        <f>IF(B157="","",INDEX(RECON_RESULTS!$G$2:$G$1001,SMALL(IF(RECON_RESULTS!$A$2:$A$1001="Unmatched Bank",ROW(RECON_RESULTS!$A$2:$A$1001)-1),155)))</f>
        <v/>
      </c>
      <c r="F157" s="16">
        <f>IF(B157="","",INDEX(RECON_RESULTS!$H$2:$H$1001,SMALL(IF(RECON_RESULTS!$A$2:$A$1001="Unmatched Bank",ROW(RECON_RESULTS!$A$2:$A$1001)-1),155)))</f>
        <v/>
      </c>
      <c r="G157" s="11" t="inlineStr"/>
      <c r="H157" s="11" t="inlineStr"/>
      <c r="I157" s="11" t="inlineStr"/>
      <c r="J157" s="11" t="inlineStr"/>
      <c r="K157" s="11" t="inlineStr"/>
      <c r="L157" s="11" t="inlineStr"/>
    </row>
    <row r="158">
      <c r="B158" s="11">
        <f>IFERROR(INDEX(RECON_RESULTS!$A$2:$A$1001,SMALL(IF(RECON_RESULTS!$A$2:$A$1001="Unmatched Bank",ROW(RECON_RESULTS!$A$2:$A$1001)-1),156)),"")</f>
        <v/>
      </c>
      <c r="C158" s="10">
        <f>IF(B158="","",INDEX(RECON_RESULTS!$F$2:$F$1001,SMALL(IF(RECON_RESULTS!$A$2:$A$1001="Unmatched Bank",ROW(RECON_RESULTS!$A$2:$A$1001)-1),156)))</f>
        <v/>
      </c>
      <c r="D158" s="11">
        <f>IF(B158="","",INDEX(RECON_RESULTS!$O$2:$O$1001,SMALL(IF(RECON_RESULTS!$A$2:$A$1001="Unmatched Bank",ROW(RECON_RESULTS!$A$2:$A$1001)-1),156)))</f>
        <v/>
      </c>
      <c r="E158" s="16">
        <f>IF(B158="","",INDEX(RECON_RESULTS!$G$2:$G$1001,SMALL(IF(RECON_RESULTS!$A$2:$A$1001="Unmatched Bank",ROW(RECON_RESULTS!$A$2:$A$1001)-1),156)))</f>
        <v/>
      </c>
      <c r="F158" s="16">
        <f>IF(B158="","",INDEX(RECON_RESULTS!$H$2:$H$1001,SMALL(IF(RECON_RESULTS!$A$2:$A$1001="Unmatched Bank",ROW(RECON_RESULTS!$A$2:$A$1001)-1),156)))</f>
        <v/>
      </c>
      <c r="G158" s="11" t="inlineStr"/>
      <c r="H158" s="11" t="inlineStr"/>
      <c r="I158" s="11" t="inlineStr"/>
      <c r="J158" s="11" t="inlineStr"/>
      <c r="K158" s="11" t="inlineStr"/>
      <c r="L158" s="11" t="inlineStr"/>
    </row>
    <row r="159">
      <c r="B159" s="11">
        <f>IFERROR(INDEX(RECON_RESULTS!$A$2:$A$1001,SMALL(IF(RECON_RESULTS!$A$2:$A$1001="Unmatched Bank",ROW(RECON_RESULTS!$A$2:$A$1001)-1),157)),"")</f>
        <v/>
      </c>
      <c r="C159" s="10">
        <f>IF(B159="","",INDEX(RECON_RESULTS!$F$2:$F$1001,SMALL(IF(RECON_RESULTS!$A$2:$A$1001="Unmatched Bank",ROW(RECON_RESULTS!$A$2:$A$1001)-1),157)))</f>
        <v/>
      </c>
      <c r="D159" s="11">
        <f>IF(B159="","",INDEX(RECON_RESULTS!$O$2:$O$1001,SMALL(IF(RECON_RESULTS!$A$2:$A$1001="Unmatched Bank",ROW(RECON_RESULTS!$A$2:$A$1001)-1),157)))</f>
        <v/>
      </c>
      <c r="E159" s="16">
        <f>IF(B159="","",INDEX(RECON_RESULTS!$G$2:$G$1001,SMALL(IF(RECON_RESULTS!$A$2:$A$1001="Unmatched Bank",ROW(RECON_RESULTS!$A$2:$A$1001)-1),157)))</f>
        <v/>
      </c>
      <c r="F159" s="16">
        <f>IF(B159="","",INDEX(RECON_RESULTS!$H$2:$H$1001,SMALL(IF(RECON_RESULTS!$A$2:$A$1001="Unmatched Bank",ROW(RECON_RESULTS!$A$2:$A$1001)-1),157)))</f>
        <v/>
      </c>
      <c r="G159" s="11" t="inlineStr"/>
      <c r="H159" s="11" t="inlineStr"/>
      <c r="I159" s="11" t="inlineStr"/>
      <c r="J159" s="11" t="inlineStr"/>
      <c r="K159" s="11" t="inlineStr"/>
      <c r="L159" s="11" t="inlineStr"/>
    </row>
    <row r="160">
      <c r="B160" s="11">
        <f>IFERROR(INDEX(RECON_RESULTS!$A$2:$A$1001,SMALL(IF(RECON_RESULTS!$A$2:$A$1001="Unmatched Bank",ROW(RECON_RESULTS!$A$2:$A$1001)-1),158)),"")</f>
        <v/>
      </c>
      <c r="C160" s="10">
        <f>IF(B160="","",INDEX(RECON_RESULTS!$F$2:$F$1001,SMALL(IF(RECON_RESULTS!$A$2:$A$1001="Unmatched Bank",ROW(RECON_RESULTS!$A$2:$A$1001)-1),158)))</f>
        <v/>
      </c>
      <c r="D160" s="11">
        <f>IF(B160="","",INDEX(RECON_RESULTS!$O$2:$O$1001,SMALL(IF(RECON_RESULTS!$A$2:$A$1001="Unmatched Bank",ROW(RECON_RESULTS!$A$2:$A$1001)-1),158)))</f>
        <v/>
      </c>
      <c r="E160" s="16">
        <f>IF(B160="","",INDEX(RECON_RESULTS!$G$2:$G$1001,SMALL(IF(RECON_RESULTS!$A$2:$A$1001="Unmatched Bank",ROW(RECON_RESULTS!$A$2:$A$1001)-1),158)))</f>
        <v/>
      </c>
      <c r="F160" s="16">
        <f>IF(B160="","",INDEX(RECON_RESULTS!$H$2:$H$1001,SMALL(IF(RECON_RESULTS!$A$2:$A$1001="Unmatched Bank",ROW(RECON_RESULTS!$A$2:$A$1001)-1),158)))</f>
        <v/>
      </c>
      <c r="G160" s="11" t="inlineStr"/>
      <c r="H160" s="11" t="inlineStr"/>
      <c r="I160" s="11" t="inlineStr"/>
      <c r="J160" s="11" t="inlineStr"/>
      <c r="K160" s="11" t="inlineStr"/>
      <c r="L160" s="11" t="inlineStr"/>
    </row>
    <row r="161">
      <c r="B161" s="11">
        <f>IFERROR(INDEX(RECON_RESULTS!$A$2:$A$1001,SMALL(IF(RECON_RESULTS!$A$2:$A$1001="Unmatched Bank",ROW(RECON_RESULTS!$A$2:$A$1001)-1),159)),"")</f>
        <v/>
      </c>
      <c r="C161" s="10">
        <f>IF(B161="","",INDEX(RECON_RESULTS!$F$2:$F$1001,SMALL(IF(RECON_RESULTS!$A$2:$A$1001="Unmatched Bank",ROW(RECON_RESULTS!$A$2:$A$1001)-1),159)))</f>
        <v/>
      </c>
      <c r="D161" s="11">
        <f>IF(B161="","",INDEX(RECON_RESULTS!$O$2:$O$1001,SMALL(IF(RECON_RESULTS!$A$2:$A$1001="Unmatched Bank",ROW(RECON_RESULTS!$A$2:$A$1001)-1),159)))</f>
        <v/>
      </c>
      <c r="E161" s="16">
        <f>IF(B161="","",INDEX(RECON_RESULTS!$G$2:$G$1001,SMALL(IF(RECON_RESULTS!$A$2:$A$1001="Unmatched Bank",ROW(RECON_RESULTS!$A$2:$A$1001)-1),159)))</f>
        <v/>
      </c>
      <c r="F161" s="16">
        <f>IF(B161="","",INDEX(RECON_RESULTS!$H$2:$H$1001,SMALL(IF(RECON_RESULTS!$A$2:$A$1001="Unmatched Bank",ROW(RECON_RESULTS!$A$2:$A$1001)-1),159)))</f>
        <v/>
      </c>
      <c r="G161" s="11" t="inlineStr"/>
      <c r="H161" s="11" t="inlineStr"/>
      <c r="I161" s="11" t="inlineStr"/>
      <c r="J161" s="11" t="inlineStr"/>
      <c r="K161" s="11" t="inlineStr"/>
      <c r="L161" s="11" t="inlineStr"/>
    </row>
    <row r="162">
      <c r="B162" s="11">
        <f>IFERROR(INDEX(RECON_RESULTS!$A$2:$A$1001,SMALL(IF(RECON_RESULTS!$A$2:$A$1001="Unmatched Bank",ROW(RECON_RESULTS!$A$2:$A$1001)-1),160)),"")</f>
        <v/>
      </c>
      <c r="C162" s="10">
        <f>IF(B162="","",INDEX(RECON_RESULTS!$F$2:$F$1001,SMALL(IF(RECON_RESULTS!$A$2:$A$1001="Unmatched Bank",ROW(RECON_RESULTS!$A$2:$A$1001)-1),160)))</f>
        <v/>
      </c>
      <c r="D162" s="11">
        <f>IF(B162="","",INDEX(RECON_RESULTS!$O$2:$O$1001,SMALL(IF(RECON_RESULTS!$A$2:$A$1001="Unmatched Bank",ROW(RECON_RESULTS!$A$2:$A$1001)-1),160)))</f>
        <v/>
      </c>
      <c r="E162" s="16">
        <f>IF(B162="","",INDEX(RECON_RESULTS!$G$2:$G$1001,SMALL(IF(RECON_RESULTS!$A$2:$A$1001="Unmatched Bank",ROW(RECON_RESULTS!$A$2:$A$1001)-1),160)))</f>
        <v/>
      </c>
      <c r="F162" s="16">
        <f>IF(B162="","",INDEX(RECON_RESULTS!$H$2:$H$1001,SMALL(IF(RECON_RESULTS!$A$2:$A$1001="Unmatched Bank",ROW(RECON_RESULTS!$A$2:$A$1001)-1),160)))</f>
        <v/>
      </c>
      <c r="G162" s="11" t="inlineStr"/>
      <c r="H162" s="11" t="inlineStr"/>
      <c r="I162" s="11" t="inlineStr"/>
      <c r="J162" s="11" t="inlineStr"/>
      <c r="K162" s="11" t="inlineStr"/>
      <c r="L162" s="11" t="inlineStr"/>
    </row>
    <row r="163">
      <c r="B163" s="11">
        <f>IFERROR(INDEX(RECON_RESULTS!$A$2:$A$1001,SMALL(IF(RECON_RESULTS!$A$2:$A$1001="Unmatched Bank",ROW(RECON_RESULTS!$A$2:$A$1001)-1),161)),"")</f>
        <v/>
      </c>
      <c r="C163" s="10">
        <f>IF(B163="","",INDEX(RECON_RESULTS!$F$2:$F$1001,SMALL(IF(RECON_RESULTS!$A$2:$A$1001="Unmatched Bank",ROW(RECON_RESULTS!$A$2:$A$1001)-1),161)))</f>
        <v/>
      </c>
      <c r="D163" s="11">
        <f>IF(B163="","",INDEX(RECON_RESULTS!$O$2:$O$1001,SMALL(IF(RECON_RESULTS!$A$2:$A$1001="Unmatched Bank",ROW(RECON_RESULTS!$A$2:$A$1001)-1),161)))</f>
        <v/>
      </c>
      <c r="E163" s="16">
        <f>IF(B163="","",INDEX(RECON_RESULTS!$G$2:$G$1001,SMALL(IF(RECON_RESULTS!$A$2:$A$1001="Unmatched Bank",ROW(RECON_RESULTS!$A$2:$A$1001)-1),161)))</f>
        <v/>
      </c>
      <c r="F163" s="16">
        <f>IF(B163="","",INDEX(RECON_RESULTS!$H$2:$H$1001,SMALL(IF(RECON_RESULTS!$A$2:$A$1001="Unmatched Bank",ROW(RECON_RESULTS!$A$2:$A$1001)-1),161)))</f>
        <v/>
      </c>
      <c r="G163" s="11" t="inlineStr"/>
      <c r="H163" s="11" t="inlineStr"/>
      <c r="I163" s="11" t="inlineStr"/>
      <c r="J163" s="11" t="inlineStr"/>
      <c r="K163" s="11" t="inlineStr"/>
      <c r="L163" s="11" t="inlineStr"/>
    </row>
    <row r="164">
      <c r="B164" s="11">
        <f>IFERROR(INDEX(RECON_RESULTS!$A$2:$A$1001,SMALL(IF(RECON_RESULTS!$A$2:$A$1001="Unmatched Bank",ROW(RECON_RESULTS!$A$2:$A$1001)-1),162)),"")</f>
        <v/>
      </c>
      <c r="C164" s="10">
        <f>IF(B164="","",INDEX(RECON_RESULTS!$F$2:$F$1001,SMALL(IF(RECON_RESULTS!$A$2:$A$1001="Unmatched Bank",ROW(RECON_RESULTS!$A$2:$A$1001)-1),162)))</f>
        <v/>
      </c>
      <c r="D164" s="11">
        <f>IF(B164="","",INDEX(RECON_RESULTS!$O$2:$O$1001,SMALL(IF(RECON_RESULTS!$A$2:$A$1001="Unmatched Bank",ROW(RECON_RESULTS!$A$2:$A$1001)-1),162)))</f>
        <v/>
      </c>
      <c r="E164" s="16">
        <f>IF(B164="","",INDEX(RECON_RESULTS!$G$2:$G$1001,SMALL(IF(RECON_RESULTS!$A$2:$A$1001="Unmatched Bank",ROW(RECON_RESULTS!$A$2:$A$1001)-1),162)))</f>
        <v/>
      </c>
      <c r="F164" s="16">
        <f>IF(B164="","",INDEX(RECON_RESULTS!$H$2:$H$1001,SMALL(IF(RECON_RESULTS!$A$2:$A$1001="Unmatched Bank",ROW(RECON_RESULTS!$A$2:$A$1001)-1),162)))</f>
        <v/>
      </c>
      <c r="G164" s="11" t="inlineStr"/>
      <c r="H164" s="11" t="inlineStr"/>
      <c r="I164" s="11" t="inlineStr"/>
      <c r="J164" s="11" t="inlineStr"/>
      <c r="K164" s="11" t="inlineStr"/>
      <c r="L164" s="11" t="inlineStr"/>
    </row>
    <row r="165">
      <c r="B165" s="11">
        <f>IFERROR(INDEX(RECON_RESULTS!$A$2:$A$1001,SMALL(IF(RECON_RESULTS!$A$2:$A$1001="Unmatched Bank",ROW(RECON_RESULTS!$A$2:$A$1001)-1),163)),"")</f>
        <v/>
      </c>
      <c r="C165" s="10">
        <f>IF(B165="","",INDEX(RECON_RESULTS!$F$2:$F$1001,SMALL(IF(RECON_RESULTS!$A$2:$A$1001="Unmatched Bank",ROW(RECON_RESULTS!$A$2:$A$1001)-1),163)))</f>
        <v/>
      </c>
      <c r="D165" s="11">
        <f>IF(B165="","",INDEX(RECON_RESULTS!$O$2:$O$1001,SMALL(IF(RECON_RESULTS!$A$2:$A$1001="Unmatched Bank",ROW(RECON_RESULTS!$A$2:$A$1001)-1),163)))</f>
        <v/>
      </c>
      <c r="E165" s="16">
        <f>IF(B165="","",INDEX(RECON_RESULTS!$G$2:$G$1001,SMALL(IF(RECON_RESULTS!$A$2:$A$1001="Unmatched Bank",ROW(RECON_RESULTS!$A$2:$A$1001)-1),163)))</f>
        <v/>
      </c>
      <c r="F165" s="16">
        <f>IF(B165="","",INDEX(RECON_RESULTS!$H$2:$H$1001,SMALL(IF(RECON_RESULTS!$A$2:$A$1001="Unmatched Bank",ROW(RECON_RESULTS!$A$2:$A$1001)-1),163)))</f>
        <v/>
      </c>
      <c r="G165" s="11" t="inlineStr"/>
      <c r="H165" s="11" t="inlineStr"/>
      <c r="I165" s="11" t="inlineStr"/>
      <c r="J165" s="11" t="inlineStr"/>
      <c r="K165" s="11" t="inlineStr"/>
      <c r="L165" s="11" t="inlineStr"/>
    </row>
    <row r="166">
      <c r="B166" s="11">
        <f>IFERROR(INDEX(RECON_RESULTS!$A$2:$A$1001,SMALL(IF(RECON_RESULTS!$A$2:$A$1001="Unmatched Bank",ROW(RECON_RESULTS!$A$2:$A$1001)-1),164)),"")</f>
        <v/>
      </c>
      <c r="C166" s="10">
        <f>IF(B166="","",INDEX(RECON_RESULTS!$F$2:$F$1001,SMALL(IF(RECON_RESULTS!$A$2:$A$1001="Unmatched Bank",ROW(RECON_RESULTS!$A$2:$A$1001)-1),164)))</f>
        <v/>
      </c>
      <c r="D166" s="11">
        <f>IF(B166="","",INDEX(RECON_RESULTS!$O$2:$O$1001,SMALL(IF(RECON_RESULTS!$A$2:$A$1001="Unmatched Bank",ROW(RECON_RESULTS!$A$2:$A$1001)-1),164)))</f>
        <v/>
      </c>
      <c r="E166" s="16">
        <f>IF(B166="","",INDEX(RECON_RESULTS!$G$2:$G$1001,SMALL(IF(RECON_RESULTS!$A$2:$A$1001="Unmatched Bank",ROW(RECON_RESULTS!$A$2:$A$1001)-1),164)))</f>
        <v/>
      </c>
      <c r="F166" s="16">
        <f>IF(B166="","",INDEX(RECON_RESULTS!$H$2:$H$1001,SMALL(IF(RECON_RESULTS!$A$2:$A$1001="Unmatched Bank",ROW(RECON_RESULTS!$A$2:$A$1001)-1),164)))</f>
        <v/>
      </c>
      <c r="G166" s="11" t="inlineStr"/>
      <c r="H166" s="11" t="inlineStr"/>
      <c r="I166" s="11" t="inlineStr"/>
      <c r="J166" s="11" t="inlineStr"/>
      <c r="K166" s="11" t="inlineStr"/>
      <c r="L166" s="11" t="inlineStr"/>
    </row>
    <row r="167">
      <c r="B167" s="11">
        <f>IFERROR(INDEX(RECON_RESULTS!$A$2:$A$1001,SMALL(IF(RECON_RESULTS!$A$2:$A$1001="Unmatched Bank",ROW(RECON_RESULTS!$A$2:$A$1001)-1),165)),"")</f>
        <v/>
      </c>
      <c r="C167" s="10">
        <f>IF(B167="","",INDEX(RECON_RESULTS!$F$2:$F$1001,SMALL(IF(RECON_RESULTS!$A$2:$A$1001="Unmatched Bank",ROW(RECON_RESULTS!$A$2:$A$1001)-1),165)))</f>
        <v/>
      </c>
      <c r="D167" s="11">
        <f>IF(B167="","",INDEX(RECON_RESULTS!$O$2:$O$1001,SMALL(IF(RECON_RESULTS!$A$2:$A$1001="Unmatched Bank",ROW(RECON_RESULTS!$A$2:$A$1001)-1),165)))</f>
        <v/>
      </c>
      <c r="E167" s="16">
        <f>IF(B167="","",INDEX(RECON_RESULTS!$G$2:$G$1001,SMALL(IF(RECON_RESULTS!$A$2:$A$1001="Unmatched Bank",ROW(RECON_RESULTS!$A$2:$A$1001)-1),165)))</f>
        <v/>
      </c>
      <c r="F167" s="16">
        <f>IF(B167="","",INDEX(RECON_RESULTS!$H$2:$H$1001,SMALL(IF(RECON_RESULTS!$A$2:$A$1001="Unmatched Bank",ROW(RECON_RESULTS!$A$2:$A$1001)-1),165)))</f>
        <v/>
      </c>
      <c r="G167" s="11" t="inlineStr"/>
      <c r="H167" s="11" t="inlineStr"/>
      <c r="I167" s="11" t="inlineStr"/>
      <c r="J167" s="11" t="inlineStr"/>
      <c r="K167" s="11" t="inlineStr"/>
      <c r="L167" s="11" t="inlineStr"/>
    </row>
    <row r="168">
      <c r="B168" s="11">
        <f>IFERROR(INDEX(RECON_RESULTS!$A$2:$A$1001,SMALL(IF(RECON_RESULTS!$A$2:$A$1001="Unmatched Bank",ROW(RECON_RESULTS!$A$2:$A$1001)-1),166)),"")</f>
        <v/>
      </c>
      <c r="C168" s="10">
        <f>IF(B168="","",INDEX(RECON_RESULTS!$F$2:$F$1001,SMALL(IF(RECON_RESULTS!$A$2:$A$1001="Unmatched Bank",ROW(RECON_RESULTS!$A$2:$A$1001)-1),166)))</f>
        <v/>
      </c>
      <c r="D168" s="11">
        <f>IF(B168="","",INDEX(RECON_RESULTS!$O$2:$O$1001,SMALL(IF(RECON_RESULTS!$A$2:$A$1001="Unmatched Bank",ROW(RECON_RESULTS!$A$2:$A$1001)-1),166)))</f>
        <v/>
      </c>
      <c r="E168" s="16">
        <f>IF(B168="","",INDEX(RECON_RESULTS!$G$2:$G$1001,SMALL(IF(RECON_RESULTS!$A$2:$A$1001="Unmatched Bank",ROW(RECON_RESULTS!$A$2:$A$1001)-1),166)))</f>
        <v/>
      </c>
      <c r="F168" s="16">
        <f>IF(B168="","",INDEX(RECON_RESULTS!$H$2:$H$1001,SMALL(IF(RECON_RESULTS!$A$2:$A$1001="Unmatched Bank",ROW(RECON_RESULTS!$A$2:$A$1001)-1),166)))</f>
        <v/>
      </c>
      <c r="G168" s="11" t="inlineStr"/>
      <c r="H168" s="11" t="inlineStr"/>
      <c r="I168" s="11" t="inlineStr"/>
      <c r="J168" s="11" t="inlineStr"/>
      <c r="K168" s="11" t="inlineStr"/>
      <c r="L168" s="11" t="inlineStr"/>
    </row>
    <row r="169">
      <c r="B169" s="11">
        <f>IFERROR(INDEX(RECON_RESULTS!$A$2:$A$1001,SMALL(IF(RECON_RESULTS!$A$2:$A$1001="Unmatched Bank",ROW(RECON_RESULTS!$A$2:$A$1001)-1),167)),"")</f>
        <v/>
      </c>
      <c r="C169" s="10">
        <f>IF(B169="","",INDEX(RECON_RESULTS!$F$2:$F$1001,SMALL(IF(RECON_RESULTS!$A$2:$A$1001="Unmatched Bank",ROW(RECON_RESULTS!$A$2:$A$1001)-1),167)))</f>
        <v/>
      </c>
      <c r="D169" s="11">
        <f>IF(B169="","",INDEX(RECON_RESULTS!$O$2:$O$1001,SMALL(IF(RECON_RESULTS!$A$2:$A$1001="Unmatched Bank",ROW(RECON_RESULTS!$A$2:$A$1001)-1),167)))</f>
        <v/>
      </c>
      <c r="E169" s="16">
        <f>IF(B169="","",INDEX(RECON_RESULTS!$G$2:$G$1001,SMALL(IF(RECON_RESULTS!$A$2:$A$1001="Unmatched Bank",ROW(RECON_RESULTS!$A$2:$A$1001)-1),167)))</f>
        <v/>
      </c>
      <c r="F169" s="16">
        <f>IF(B169="","",INDEX(RECON_RESULTS!$H$2:$H$1001,SMALL(IF(RECON_RESULTS!$A$2:$A$1001="Unmatched Bank",ROW(RECON_RESULTS!$A$2:$A$1001)-1),167)))</f>
        <v/>
      </c>
      <c r="G169" s="11" t="inlineStr"/>
      <c r="H169" s="11" t="inlineStr"/>
      <c r="I169" s="11" t="inlineStr"/>
      <c r="J169" s="11" t="inlineStr"/>
      <c r="K169" s="11" t="inlineStr"/>
      <c r="L169" s="11" t="inlineStr"/>
    </row>
    <row r="170">
      <c r="B170" s="11">
        <f>IFERROR(INDEX(RECON_RESULTS!$A$2:$A$1001,SMALL(IF(RECON_RESULTS!$A$2:$A$1001="Unmatched Bank",ROW(RECON_RESULTS!$A$2:$A$1001)-1),168)),"")</f>
        <v/>
      </c>
      <c r="C170" s="10">
        <f>IF(B170="","",INDEX(RECON_RESULTS!$F$2:$F$1001,SMALL(IF(RECON_RESULTS!$A$2:$A$1001="Unmatched Bank",ROW(RECON_RESULTS!$A$2:$A$1001)-1),168)))</f>
        <v/>
      </c>
      <c r="D170" s="11">
        <f>IF(B170="","",INDEX(RECON_RESULTS!$O$2:$O$1001,SMALL(IF(RECON_RESULTS!$A$2:$A$1001="Unmatched Bank",ROW(RECON_RESULTS!$A$2:$A$1001)-1),168)))</f>
        <v/>
      </c>
      <c r="E170" s="16">
        <f>IF(B170="","",INDEX(RECON_RESULTS!$G$2:$G$1001,SMALL(IF(RECON_RESULTS!$A$2:$A$1001="Unmatched Bank",ROW(RECON_RESULTS!$A$2:$A$1001)-1),168)))</f>
        <v/>
      </c>
      <c r="F170" s="16">
        <f>IF(B170="","",INDEX(RECON_RESULTS!$H$2:$H$1001,SMALL(IF(RECON_RESULTS!$A$2:$A$1001="Unmatched Bank",ROW(RECON_RESULTS!$A$2:$A$1001)-1),168)))</f>
        <v/>
      </c>
      <c r="G170" s="11" t="inlineStr"/>
      <c r="H170" s="11" t="inlineStr"/>
      <c r="I170" s="11" t="inlineStr"/>
      <c r="J170" s="11" t="inlineStr"/>
      <c r="K170" s="11" t="inlineStr"/>
      <c r="L170" s="11" t="inlineStr"/>
    </row>
    <row r="171">
      <c r="B171" s="11">
        <f>IFERROR(INDEX(RECON_RESULTS!$A$2:$A$1001,SMALL(IF(RECON_RESULTS!$A$2:$A$1001="Unmatched Bank",ROW(RECON_RESULTS!$A$2:$A$1001)-1),169)),"")</f>
        <v/>
      </c>
      <c r="C171" s="10">
        <f>IF(B171="","",INDEX(RECON_RESULTS!$F$2:$F$1001,SMALL(IF(RECON_RESULTS!$A$2:$A$1001="Unmatched Bank",ROW(RECON_RESULTS!$A$2:$A$1001)-1),169)))</f>
        <v/>
      </c>
      <c r="D171" s="11">
        <f>IF(B171="","",INDEX(RECON_RESULTS!$O$2:$O$1001,SMALL(IF(RECON_RESULTS!$A$2:$A$1001="Unmatched Bank",ROW(RECON_RESULTS!$A$2:$A$1001)-1),169)))</f>
        <v/>
      </c>
      <c r="E171" s="16">
        <f>IF(B171="","",INDEX(RECON_RESULTS!$G$2:$G$1001,SMALL(IF(RECON_RESULTS!$A$2:$A$1001="Unmatched Bank",ROW(RECON_RESULTS!$A$2:$A$1001)-1),169)))</f>
        <v/>
      </c>
      <c r="F171" s="16">
        <f>IF(B171="","",INDEX(RECON_RESULTS!$H$2:$H$1001,SMALL(IF(RECON_RESULTS!$A$2:$A$1001="Unmatched Bank",ROW(RECON_RESULTS!$A$2:$A$1001)-1),169)))</f>
        <v/>
      </c>
      <c r="G171" s="11" t="inlineStr"/>
      <c r="H171" s="11" t="inlineStr"/>
      <c r="I171" s="11" t="inlineStr"/>
      <c r="J171" s="11" t="inlineStr"/>
      <c r="K171" s="11" t="inlineStr"/>
      <c r="L171" s="11" t="inlineStr"/>
    </row>
    <row r="172">
      <c r="B172" s="11">
        <f>IFERROR(INDEX(RECON_RESULTS!$A$2:$A$1001,SMALL(IF(RECON_RESULTS!$A$2:$A$1001="Unmatched Bank",ROW(RECON_RESULTS!$A$2:$A$1001)-1),170)),"")</f>
        <v/>
      </c>
      <c r="C172" s="10">
        <f>IF(B172="","",INDEX(RECON_RESULTS!$F$2:$F$1001,SMALL(IF(RECON_RESULTS!$A$2:$A$1001="Unmatched Bank",ROW(RECON_RESULTS!$A$2:$A$1001)-1),170)))</f>
        <v/>
      </c>
      <c r="D172" s="11">
        <f>IF(B172="","",INDEX(RECON_RESULTS!$O$2:$O$1001,SMALL(IF(RECON_RESULTS!$A$2:$A$1001="Unmatched Bank",ROW(RECON_RESULTS!$A$2:$A$1001)-1),170)))</f>
        <v/>
      </c>
      <c r="E172" s="16">
        <f>IF(B172="","",INDEX(RECON_RESULTS!$G$2:$G$1001,SMALL(IF(RECON_RESULTS!$A$2:$A$1001="Unmatched Bank",ROW(RECON_RESULTS!$A$2:$A$1001)-1),170)))</f>
        <v/>
      </c>
      <c r="F172" s="16">
        <f>IF(B172="","",INDEX(RECON_RESULTS!$H$2:$H$1001,SMALL(IF(RECON_RESULTS!$A$2:$A$1001="Unmatched Bank",ROW(RECON_RESULTS!$A$2:$A$1001)-1),170)))</f>
        <v/>
      </c>
      <c r="G172" s="11" t="inlineStr"/>
      <c r="H172" s="11" t="inlineStr"/>
      <c r="I172" s="11" t="inlineStr"/>
      <c r="J172" s="11" t="inlineStr"/>
      <c r="K172" s="11" t="inlineStr"/>
      <c r="L172" s="11" t="inlineStr"/>
    </row>
    <row r="173">
      <c r="B173" s="11">
        <f>IFERROR(INDEX(RECON_RESULTS!$A$2:$A$1001,SMALL(IF(RECON_RESULTS!$A$2:$A$1001="Unmatched Bank",ROW(RECON_RESULTS!$A$2:$A$1001)-1),171)),"")</f>
        <v/>
      </c>
      <c r="C173" s="10">
        <f>IF(B173="","",INDEX(RECON_RESULTS!$F$2:$F$1001,SMALL(IF(RECON_RESULTS!$A$2:$A$1001="Unmatched Bank",ROW(RECON_RESULTS!$A$2:$A$1001)-1),171)))</f>
        <v/>
      </c>
      <c r="D173" s="11">
        <f>IF(B173="","",INDEX(RECON_RESULTS!$O$2:$O$1001,SMALL(IF(RECON_RESULTS!$A$2:$A$1001="Unmatched Bank",ROW(RECON_RESULTS!$A$2:$A$1001)-1),171)))</f>
        <v/>
      </c>
      <c r="E173" s="16">
        <f>IF(B173="","",INDEX(RECON_RESULTS!$G$2:$G$1001,SMALL(IF(RECON_RESULTS!$A$2:$A$1001="Unmatched Bank",ROW(RECON_RESULTS!$A$2:$A$1001)-1),171)))</f>
        <v/>
      </c>
      <c r="F173" s="16">
        <f>IF(B173="","",INDEX(RECON_RESULTS!$H$2:$H$1001,SMALL(IF(RECON_RESULTS!$A$2:$A$1001="Unmatched Bank",ROW(RECON_RESULTS!$A$2:$A$1001)-1),171)))</f>
        <v/>
      </c>
      <c r="G173" s="11" t="inlineStr"/>
      <c r="H173" s="11" t="inlineStr"/>
      <c r="I173" s="11" t="inlineStr"/>
      <c r="J173" s="11" t="inlineStr"/>
      <c r="K173" s="11" t="inlineStr"/>
      <c r="L173" s="11" t="inlineStr"/>
    </row>
    <row r="174">
      <c r="B174" s="11">
        <f>IFERROR(INDEX(RECON_RESULTS!$A$2:$A$1001,SMALL(IF(RECON_RESULTS!$A$2:$A$1001="Unmatched Bank",ROW(RECON_RESULTS!$A$2:$A$1001)-1),172)),"")</f>
        <v/>
      </c>
      <c r="C174" s="10">
        <f>IF(B174="","",INDEX(RECON_RESULTS!$F$2:$F$1001,SMALL(IF(RECON_RESULTS!$A$2:$A$1001="Unmatched Bank",ROW(RECON_RESULTS!$A$2:$A$1001)-1),172)))</f>
        <v/>
      </c>
      <c r="D174" s="11">
        <f>IF(B174="","",INDEX(RECON_RESULTS!$O$2:$O$1001,SMALL(IF(RECON_RESULTS!$A$2:$A$1001="Unmatched Bank",ROW(RECON_RESULTS!$A$2:$A$1001)-1),172)))</f>
        <v/>
      </c>
      <c r="E174" s="16">
        <f>IF(B174="","",INDEX(RECON_RESULTS!$G$2:$G$1001,SMALL(IF(RECON_RESULTS!$A$2:$A$1001="Unmatched Bank",ROW(RECON_RESULTS!$A$2:$A$1001)-1),172)))</f>
        <v/>
      </c>
      <c r="F174" s="16">
        <f>IF(B174="","",INDEX(RECON_RESULTS!$H$2:$H$1001,SMALL(IF(RECON_RESULTS!$A$2:$A$1001="Unmatched Bank",ROW(RECON_RESULTS!$A$2:$A$1001)-1),172)))</f>
        <v/>
      </c>
      <c r="G174" s="11" t="inlineStr"/>
      <c r="H174" s="11" t="inlineStr"/>
      <c r="I174" s="11" t="inlineStr"/>
      <c r="J174" s="11" t="inlineStr"/>
      <c r="K174" s="11" t="inlineStr"/>
      <c r="L174" s="11" t="inlineStr"/>
    </row>
    <row r="175">
      <c r="B175" s="11">
        <f>IFERROR(INDEX(RECON_RESULTS!$A$2:$A$1001,SMALL(IF(RECON_RESULTS!$A$2:$A$1001="Unmatched Bank",ROW(RECON_RESULTS!$A$2:$A$1001)-1),173)),"")</f>
        <v/>
      </c>
      <c r="C175" s="10">
        <f>IF(B175="","",INDEX(RECON_RESULTS!$F$2:$F$1001,SMALL(IF(RECON_RESULTS!$A$2:$A$1001="Unmatched Bank",ROW(RECON_RESULTS!$A$2:$A$1001)-1),173)))</f>
        <v/>
      </c>
      <c r="D175" s="11">
        <f>IF(B175="","",INDEX(RECON_RESULTS!$O$2:$O$1001,SMALL(IF(RECON_RESULTS!$A$2:$A$1001="Unmatched Bank",ROW(RECON_RESULTS!$A$2:$A$1001)-1),173)))</f>
        <v/>
      </c>
      <c r="E175" s="16">
        <f>IF(B175="","",INDEX(RECON_RESULTS!$G$2:$G$1001,SMALL(IF(RECON_RESULTS!$A$2:$A$1001="Unmatched Bank",ROW(RECON_RESULTS!$A$2:$A$1001)-1),173)))</f>
        <v/>
      </c>
      <c r="F175" s="16">
        <f>IF(B175="","",INDEX(RECON_RESULTS!$H$2:$H$1001,SMALL(IF(RECON_RESULTS!$A$2:$A$1001="Unmatched Bank",ROW(RECON_RESULTS!$A$2:$A$1001)-1),173)))</f>
        <v/>
      </c>
      <c r="G175" s="11" t="inlineStr"/>
      <c r="H175" s="11" t="inlineStr"/>
      <c r="I175" s="11" t="inlineStr"/>
      <c r="J175" s="11" t="inlineStr"/>
      <c r="K175" s="11" t="inlineStr"/>
      <c r="L175" s="11" t="inlineStr"/>
    </row>
    <row r="176">
      <c r="B176" s="11">
        <f>IFERROR(INDEX(RECON_RESULTS!$A$2:$A$1001,SMALL(IF(RECON_RESULTS!$A$2:$A$1001="Unmatched Bank",ROW(RECON_RESULTS!$A$2:$A$1001)-1),174)),"")</f>
        <v/>
      </c>
      <c r="C176" s="10">
        <f>IF(B176="","",INDEX(RECON_RESULTS!$F$2:$F$1001,SMALL(IF(RECON_RESULTS!$A$2:$A$1001="Unmatched Bank",ROW(RECON_RESULTS!$A$2:$A$1001)-1),174)))</f>
        <v/>
      </c>
      <c r="D176" s="11">
        <f>IF(B176="","",INDEX(RECON_RESULTS!$O$2:$O$1001,SMALL(IF(RECON_RESULTS!$A$2:$A$1001="Unmatched Bank",ROW(RECON_RESULTS!$A$2:$A$1001)-1),174)))</f>
        <v/>
      </c>
      <c r="E176" s="16">
        <f>IF(B176="","",INDEX(RECON_RESULTS!$G$2:$G$1001,SMALL(IF(RECON_RESULTS!$A$2:$A$1001="Unmatched Bank",ROW(RECON_RESULTS!$A$2:$A$1001)-1),174)))</f>
        <v/>
      </c>
      <c r="F176" s="16">
        <f>IF(B176="","",INDEX(RECON_RESULTS!$H$2:$H$1001,SMALL(IF(RECON_RESULTS!$A$2:$A$1001="Unmatched Bank",ROW(RECON_RESULTS!$A$2:$A$1001)-1),174)))</f>
        <v/>
      </c>
      <c r="G176" s="11" t="inlineStr"/>
      <c r="H176" s="11" t="inlineStr"/>
      <c r="I176" s="11" t="inlineStr"/>
      <c r="J176" s="11" t="inlineStr"/>
      <c r="K176" s="11" t="inlineStr"/>
      <c r="L176" s="11" t="inlineStr"/>
    </row>
    <row r="177">
      <c r="B177" s="11">
        <f>IFERROR(INDEX(RECON_RESULTS!$A$2:$A$1001,SMALL(IF(RECON_RESULTS!$A$2:$A$1001="Unmatched Bank",ROW(RECON_RESULTS!$A$2:$A$1001)-1),175)),"")</f>
        <v/>
      </c>
      <c r="C177" s="10">
        <f>IF(B177="","",INDEX(RECON_RESULTS!$F$2:$F$1001,SMALL(IF(RECON_RESULTS!$A$2:$A$1001="Unmatched Bank",ROW(RECON_RESULTS!$A$2:$A$1001)-1),175)))</f>
        <v/>
      </c>
      <c r="D177" s="11">
        <f>IF(B177="","",INDEX(RECON_RESULTS!$O$2:$O$1001,SMALL(IF(RECON_RESULTS!$A$2:$A$1001="Unmatched Bank",ROW(RECON_RESULTS!$A$2:$A$1001)-1),175)))</f>
        <v/>
      </c>
      <c r="E177" s="16">
        <f>IF(B177="","",INDEX(RECON_RESULTS!$G$2:$G$1001,SMALL(IF(RECON_RESULTS!$A$2:$A$1001="Unmatched Bank",ROW(RECON_RESULTS!$A$2:$A$1001)-1),175)))</f>
        <v/>
      </c>
      <c r="F177" s="16">
        <f>IF(B177="","",INDEX(RECON_RESULTS!$H$2:$H$1001,SMALL(IF(RECON_RESULTS!$A$2:$A$1001="Unmatched Bank",ROW(RECON_RESULTS!$A$2:$A$1001)-1),175)))</f>
        <v/>
      </c>
      <c r="G177" s="11" t="inlineStr"/>
      <c r="H177" s="11" t="inlineStr"/>
      <c r="I177" s="11" t="inlineStr"/>
      <c r="J177" s="11" t="inlineStr"/>
      <c r="K177" s="11" t="inlineStr"/>
      <c r="L177" s="11" t="inlineStr"/>
    </row>
    <row r="178">
      <c r="B178" s="11">
        <f>IFERROR(INDEX(RECON_RESULTS!$A$2:$A$1001,SMALL(IF(RECON_RESULTS!$A$2:$A$1001="Unmatched Bank",ROW(RECON_RESULTS!$A$2:$A$1001)-1),176)),"")</f>
        <v/>
      </c>
      <c r="C178" s="10">
        <f>IF(B178="","",INDEX(RECON_RESULTS!$F$2:$F$1001,SMALL(IF(RECON_RESULTS!$A$2:$A$1001="Unmatched Bank",ROW(RECON_RESULTS!$A$2:$A$1001)-1),176)))</f>
        <v/>
      </c>
      <c r="D178" s="11">
        <f>IF(B178="","",INDEX(RECON_RESULTS!$O$2:$O$1001,SMALL(IF(RECON_RESULTS!$A$2:$A$1001="Unmatched Bank",ROW(RECON_RESULTS!$A$2:$A$1001)-1),176)))</f>
        <v/>
      </c>
      <c r="E178" s="16">
        <f>IF(B178="","",INDEX(RECON_RESULTS!$G$2:$G$1001,SMALL(IF(RECON_RESULTS!$A$2:$A$1001="Unmatched Bank",ROW(RECON_RESULTS!$A$2:$A$1001)-1),176)))</f>
        <v/>
      </c>
      <c r="F178" s="16">
        <f>IF(B178="","",INDEX(RECON_RESULTS!$H$2:$H$1001,SMALL(IF(RECON_RESULTS!$A$2:$A$1001="Unmatched Bank",ROW(RECON_RESULTS!$A$2:$A$1001)-1),176)))</f>
        <v/>
      </c>
      <c r="G178" s="11" t="inlineStr"/>
      <c r="H178" s="11" t="inlineStr"/>
      <c r="I178" s="11" t="inlineStr"/>
      <c r="J178" s="11" t="inlineStr"/>
      <c r="K178" s="11" t="inlineStr"/>
      <c r="L178" s="11" t="inlineStr"/>
    </row>
    <row r="179">
      <c r="B179" s="11">
        <f>IFERROR(INDEX(RECON_RESULTS!$A$2:$A$1001,SMALL(IF(RECON_RESULTS!$A$2:$A$1001="Unmatched Bank",ROW(RECON_RESULTS!$A$2:$A$1001)-1),177)),"")</f>
        <v/>
      </c>
      <c r="C179" s="10">
        <f>IF(B179="","",INDEX(RECON_RESULTS!$F$2:$F$1001,SMALL(IF(RECON_RESULTS!$A$2:$A$1001="Unmatched Bank",ROW(RECON_RESULTS!$A$2:$A$1001)-1),177)))</f>
        <v/>
      </c>
      <c r="D179" s="11">
        <f>IF(B179="","",INDEX(RECON_RESULTS!$O$2:$O$1001,SMALL(IF(RECON_RESULTS!$A$2:$A$1001="Unmatched Bank",ROW(RECON_RESULTS!$A$2:$A$1001)-1),177)))</f>
        <v/>
      </c>
      <c r="E179" s="16">
        <f>IF(B179="","",INDEX(RECON_RESULTS!$G$2:$G$1001,SMALL(IF(RECON_RESULTS!$A$2:$A$1001="Unmatched Bank",ROW(RECON_RESULTS!$A$2:$A$1001)-1),177)))</f>
        <v/>
      </c>
      <c r="F179" s="16">
        <f>IF(B179="","",INDEX(RECON_RESULTS!$H$2:$H$1001,SMALL(IF(RECON_RESULTS!$A$2:$A$1001="Unmatched Bank",ROW(RECON_RESULTS!$A$2:$A$1001)-1),177)))</f>
        <v/>
      </c>
      <c r="G179" s="11" t="inlineStr"/>
      <c r="H179" s="11" t="inlineStr"/>
      <c r="I179" s="11" t="inlineStr"/>
      <c r="J179" s="11" t="inlineStr"/>
      <c r="K179" s="11" t="inlineStr"/>
      <c r="L179" s="11" t="inlineStr"/>
    </row>
    <row r="180">
      <c r="B180" s="11">
        <f>IFERROR(INDEX(RECON_RESULTS!$A$2:$A$1001,SMALL(IF(RECON_RESULTS!$A$2:$A$1001="Unmatched Bank",ROW(RECON_RESULTS!$A$2:$A$1001)-1),178)),"")</f>
        <v/>
      </c>
      <c r="C180" s="10">
        <f>IF(B180="","",INDEX(RECON_RESULTS!$F$2:$F$1001,SMALL(IF(RECON_RESULTS!$A$2:$A$1001="Unmatched Bank",ROW(RECON_RESULTS!$A$2:$A$1001)-1),178)))</f>
        <v/>
      </c>
      <c r="D180" s="11">
        <f>IF(B180="","",INDEX(RECON_RESULTS!$O$2:$O$1001,SMALL(IF(RECON_RESULTS!$A$2:$A$1001="Unmatched Bank",ROW(RECON_RESULTS!$A$2:$A$1001)-1),178)))</f>
        <v/>
      </c>
      <c r="E180" s="16">
        <f>IF(B180="","",INDEX(RECON_RESULTS!$G$2:$G$1001,SMALL(IF(RECON_RESULTS!$A$2:$A$1001="Unmatched Bank",ROW(RECON_RESULTS!$A$2:$A$1001)-1),178)))</f>
        <v/>
      </c>
      <c r="F180" s="16">
        <f>IF(B180="","",INDEX(RECON_RESULTS!$H$2:$H$1001,SMALL(IF(RECON_RESULTS!$A$2:$A$1001="Unmatched Bank",ROW(RECON_RESULTS!$A$2:$A$1001)-1),178)))</f>
        <v/>
      </c>
      <c r="G180" s="11" t="inlineStr"/>
      <c r="H180" s="11" t="inlineStr"/>
      <c r="I180" s="11" t="inlineStr"/>
      <c r="J180" s="11" t="inlineStr"/>
      <c r="K180" s="11" t="inlineStr"/>
      <c r="L180" s="11" t="inlineStr"/>
    </row>
    <row r="181">
      <c r="B181" s="11">
        <f>IFERROR(INDEX(RECON_RESULTS!$A$2:$A$1001,SMALL(IF(RECON_RESULTS!$A$2:$A$1001="Unmatched Bank",ROW(RECON_RESULTS!$A$2:$A$1001)-1),179)),"")</f>
        <v/>
      </c>
      <c r="C181" s="10">
        <f>IF(B181="","",INDEX(RECON_RESULTS!$F$2:$F$1001,SMALL(IF(RECON_RESULTS!$A$2:$A$1001="Unmatched Bank",ROW(RECON_RESULTS!$A$2:$A$1001)-1),179)))</f>
        <v/>
      </c>
      <c r="D181" s="11">
        <f>IF(B181="","",INDEX(RECON_RESULTS!$O$2:$O$1001,SMALL(IF(RECON_RESULTS!$A$2:$A$1001="Unmatched Bank",ROW(RECON_RESULTS!$A$2:$A$1001)-1),179)))</f>
        <v/>
      </c>
      <c r="E181" s="16">
        <f>IF(B181="","",INDEX(RECON_RESULTS!$G$2:$G$1001,SMALL(IF(RECON_RESULTS!$A$2:$A$1001="Unmatched Bank",ROW(RECON_RESULTS!$A$2:$A$1001)-1),179)))</f>
        <v/>
      </c>
      <c r="F181" s="16">
        <f>IF(B181="","",INDEX(RECON_RESULTS!$H$2:$H$1001,SMALL(IF(RECON_RESULTS!$A$2:$A$1001="Unmatched Bank",ROW(RECON_RESULTS!$A$2:$A$1001)-1),179)))</f>
        <v/>
      </c>
      <c r="G181" s="11" t="inlineStr"/>
      <c r="H181" s="11" t="inlineStr"/>
      <c r="I181" s="11" t="inlineStr"/>
      <c r="J181" s="11" t="inlineStr"/>
      <c r="K181" s="11" t="inlineStr"/>
      <c r="L181" s="11" t="inlineStr"/>
    </row>
    <row r="182">
      <c r="B182" s="11">
        <f>IFERROR(INDEX(RECON_RESULTS!$A$2:$A$1001,SMALL(IF(RECON_RESULTS!$A$2:$A$1001="Unmatched Bank",ROW(RECON_RESULTS!$A$2:$A$1001)-1),180)),"")</f>
        <v/>
      </c>
      <c r="C182" s="10">
        <f>IF(B182="","",INDEX(RECON_RESULTS!$F$2:$F$1001,SMALL(IF(RECON_RESULTS!$A$2:$A$1001="Unmatched Bank",ROW(RECON_RESULTS!$A$2:$A$1001)-1),180)))</f>
        <v/>
      </c>
      <c r="D182" s="11">
        <f>IF(B182="","",INDEX(RECON_RESULTS!$O$2:$O$1001,SMALL(IF(RECON_RESULTS!$A$2:$A$1001="Unmatched Bank",ROW(RECON_RESULTS!$A$2:$A$1001)-1),180)))</f>
        <v/>
      </c>
      <c r="E182" s="16">
        <f>IF(B182="","",INDEX(RECON_RESULTS!$G$2:$G$1001,SMALL(IF(RECON_RESULTS!$A$2:$A$1001="Unmatched Bank",ROW(RECON_RESULTS!$A$2:$A$1001)-1),180)))</f>
        <v/>
      </c>
      <c r="F182" s="16">
        <f>IF(B182="","",INDEX(RECON_RESULTS!$H$2:$H$1001,SMALL(IF(RECON_RESULTS!$A$2:$A$1001="Unmatched Bank",ROW(RECON_RESULTS!$A$2:$A$1001)-1),180)))</f>
        <v/>
      </c>
      <c r="G182" s="11" t="inlineStr"/>
      <c r="H182" s="11" t="inlineStr"/>
      <c r="I182" s="11" t="inlineStr"/>
      <c r="J182" s="11" t="inlineStr"/>
      <c r="K182" s="11" t="inlineStr"/>
      <c r="L182" s="11" t="inlineStr"/>
    </row>
    <row r="183">
      <c r="B183" s="11">
        <f>IFERROR(INDEX(RECON_RESULTS!$A$2:$A$1001,SMALL(IF(RECON_RESULTS!$A$2:$A$1001="Unmatched Bank",ROW(RECON_RESULTS!$A$2:$A$1001)-1),181)),"")</f>
        <v/>
      </c>
      <c r="C183" s="10">
        <f>IF(B183="","",INDEX(RECON_RESULTS!$F$2:$F$1001,SMALL(IF(RECON_RESULTS!$A$2:$A$1001="Unmatched Bank",ROW(RECON_RESULTS!$A$2:$A$1001)-1),181)))</f>
        <v/>
      </c>
      <c r="D183" s="11">
        <f>IF(B183="","",INDEX(RECON_RESULTS!$O$2:$O$1001,SMALL(IF(RECON_RESULTS!$A$2:$A$1001="Unmatched Bank",ROW(RECON_RESULTS!$A$2:$A$1001)-1),181)))</f>
        <v/>
      </c>
      <c r="E183" s="16">
        <f>IF(B183="","",INDEX(RECON_RESULTS!$G$2:$G$1001,SMALL(IF(RECON_RESULTS!$A$2:$A$1001="Unmatched Bank",ROW(RECON_RESULTS!$A$2:$A$1001)-1),181)))</f>
        <v/>
      </c>
      <c r="F183" s="16">
        <f>IF(B183="","",INDEX(RECON_RESULTS!$H$2:$H$1001,SMALL(IF(RECON_RESULTS!$A$2:$A$1001="Unmatched Bank",ROW(RECON_RESULTS!$A$2:$A$1001)-1),181)))</f>
        <v/>
      </c>
      <c r="G183" s="11" t="inlineStr"/>
      <c r="H183" s="11" t="inlineStr"/>
      <c r="I183" s="11" t="inlineStr"/>
      <c r="J183" s="11" t="inlineStr"/>
      <c r="K183" s="11" t="inlineStr"/>
      <c r="L183" s="11" t="inlineStr"/>
    </row>
    <row r="184">
      <c r="B184" s="11">
        <f>IFERROR(INDEX(RECON_RESULTS!$A$2:$A$1001,SMALL(IF(RECON_RESULTS!$A$2:$A$1001="Unmatched Bank",ROW(RECON_RESULTS!$A$2:$A$1001)-1),182)),"")</f>
        <v/>
      </c>
      <c r="C184" s="10">
        <f>IF(B184="","",INDEX(RECON_RESULTS!$F$2:$F$1001,SMALL(IF(RECON_RESULTS!$A$2:$A$1001="Unmatched Bank",ROW(RECON_RESULTS!$A$2:$A$1001)-1),182)))</f>
        <v/>
      </c>
      <c r="D184" s="11">
        <f>IF(B184="","",INDEX(RECON_RESULTS!$O$2:$O$1001,SMALL(IF(RECON_RESULTS!$A$2:$A$1001="Unmatched Bank",ROW(RECON_RESULTS!$A$2:$A$1001)-1),182)))</f>
        <v/>
      </c>
      <c r="E184" s="16">
        <f>IF(B184="","",INDEX(RECON_RESULTS!$G$2:$G$1001,SMALL(IF(RECON_RESULTS!$A$2:$A$1001="Unmatched Bank",ROW(RECON_RESULTS!$A$2:$A$1001)-1),182)))</f>
        <v/>
      </c>
      <c r="F184" s="16">
        <f>IF(B184="","",INDEX(RECON_RESULTS!$H$2:$H$1001,SMALL(IF(RECON_RESULTS!$A$2:$A$1001="Unmatched Bank",ROW(RECON_RESULTS!$A$2:$A$1001)-1),182)))</f>
        <v/>
      </c>
      <c r="G184" s="11" t="inlineStr"/>
      <c r="H184" s="11" t="inlineStr"/>
      <c r="I184" s="11" t="inlineStr"/>
      <c r="J184" s="11" t="inlineStr"/>
      <c r="K184" s="11" t="inlineStr"/>
      <c r="L184" s="11" t="inlineStr"/>
    </row>
    <row r="185">
      <c r="B185" s="11">
        <f>IFERROR(INDEX(RECON_RESULTS!$A$2:$A$1001,SMALL(IF(RECON_RESULTS!$A$2:$A$1001="Unmatched Bank",ROW(RECON_RESULTS!$A$2:$A$1001)-1),183)),"")</f>
        <v/>
      </c>
      <c r="C185" s="10">
        <f>IF(B185="","",INDEX(RECON_RESULTS!$F$2:$F$1001,SMALL(IF(RECON_RESULTS!$A$2:$A$1001="Unmatched Bank",ROW(RECON_RESULTS!$A$2:$A$1001)-1),183)))</f>
        <v/>
      </c>
      <c r="D185" s="11">
        <f>IF(B185="","",INDEX(RECON_RESULTS!$O$2:$O$1001,SMALL(IF(RECON_RESULTS!$A$2:$A$1001="Unmatched Bank",ROW(RECON_RESULTS!$A$2:$A$1001)-1),183)))</f>
        <v/>
      </c>
      <c r="E185" s="16">
        <f>IF(B185="","",INDEX(RECON_RESULTS!$G$2:$G$1001,SMALL(IF(RECON_RESULTS!$A$2:$A$1001="Unmatched Bank",ROW(RECON_RESULTS!$A$2:$A$1001)-1),183)))</f>
        <v/>
      </c>
      <c r="F185" s="16">
        <f>IF(B185="","",INDEX(RECON_RESULTS!$H$2:$H$1001,SMALL(IF(RECON_RESULTS!$A$2:$A$1001="Unmatched Bank",ROW(RECON_RESULTS!$A$2:$A$1001)-1),183)))</f>
        <v/>
      </c>
      <c r="G185" s="11" t="inlineStr"/>
      <c r="H185" s="11" t="inlineStr"/>
      <c r="I185" s="11" t="inlineStr"/>
      <c r="J185" s="11" t="inlineStr"/>
      <c r="K185" s="11" t="inlineStr"/>
      <c r="L185" s="11" t="inlineStr"/>
    </row>
    <row r="186">
      <c r="B186" s="11">
        <f>IFERROR(INDEX(RECON_RESULTS!$A$2:$A$1001,SMALL(IF(RECON_RESULTS!$A$2:$A$1001="Unmatched Bank",ROW(RECON_RESULTS!$A$2:$A$1001)-1),184)),"")</f>
        <v/>
      </c>
      <c r="C186" s="10">
        <f>IF(B186="","",INDEX(RECON_RESULTS!$F$2:$F$1001,SMALL(IF(RECON_RESULTS!$A$2:$A$1001="Unmatched Bank",ROW(RECON_RESULTS!$A$2:$A$1001)-1),184)))</f>
        <v/>
      </c>
      <c r="D186" s="11">
        <f>IF(B186="","",INDEX(RECON_RESULTS!$O$2:$O$1001,SMALL(IF(RECON_RESULTS!$A$2:$A$1001="Unmatched Bank",ROW(RECON_RESULTS!$A$2:$A$1001)-1),184)))</f>
        <v/>
      </c>
      <c r="E186" s="16">
        <f>IF(B186="","",INDEX(RECON_RESULTS!$G$2:$G$1001,SMALL(IF(RECON_RESULTS!$A$2:$A$1001="Unmatched Bank",ROW(RECON_RESULTS!$A$2:$A$1001)-1),184)))</f>
        <v/>
      </c>
      <c r="F186" s="16">
        <f>IF(B186="","",INDEX(RECON_RESULTS!$H$2:$H$1001,SMALL(IF(RECON_RESULTS!$A$2:$A$1001="Unmatched Bank",ROW(RECON_RESULTS!$A$2:$A$1001)-1),184)))</f>
        <v/>
      </c>
      <c r="G186" s="11" t="inlineStr"/>
      <c r="H186" s="11" t="inlineStr"/>
      <c r="I186" s="11" t="inlineStr"/>
      <c r="J186" s="11" t="inlineStr"/>
      <c r="K186" s="11" t="inlineStr"/>
      <c r="L186" s="11" t="inlineStr"/>
    </row>
    <row r="187">
      <c r="B187" s="11">
        <f>IFERROR(INDEX(RECON_RESULTS!$A$2:$A$1001,SMALL(IF(RECON_RESULTS!$A$2:$A$1001="Unmatched Bank",ROW(RECON_RESULTS!$A$2:$A$1001)-1),185)),"")</f>
        <v/>
      </c>
      <c r="C187" s="10">
        <f>IF(B187="","",INDEX(RECON_RESULTS!$F$2:$F$1001,SMALL(IF(RECON_RESULTS!$A$2:$A$1001="Unmatched Bank",ROW(RECON_RESULTS!$A$2:$A$1001)-1),185)))</f>
        <v/>
      </c>
      <c r="D187" s="11">
        <f>IF(B187="","",INDEX(RECON_RESULTS!$O$2:$O$1001,SMALL(IF(RECON_RESULTS!$A$2:$A$1001="Unmatched Bank",ROW(RECON_RESULTS!$A$2:$A$1001)-1),185)))</f>
        <v/>
      </c>
      <c r="E187" s="16">
        <f>IF(B187="","",INDEX(RECON_RESULTS!$G$2:$G$1001,SMALL(IF(RECON_RESULTS!$A$2:$A$1001="Unmatched Bank",ROW(RECON_RESULTS!$A$2:$A$1001)-1),185)))</f>
        <v/>
      </c>
      <c r="F187" s="16">
        <f>IF(B187="","",INDEX(RECON_RESULTS!$H$2:$H$1001,SMALL(IF(RECON_RESULTS!$A$2:$A$1001="Unmatched Bank",ROW(RECON_RESULTS!$A$2:$A$1001)-1),185)))</f>
        <v/>
      </c>
      <c r="G187" s="11" t="inlineStr"/>
      <c r="H187" s="11" t="inlineStr"/>
      <c r="I187" s="11" t="inlineStr"/>
      <c r="J187" s="11" t="inlineStr"/>
      <c r="K187" s="11" t="inlineStr"/>
      <c r="L187" s="11" t="inlineStr"/>
    </row>
    <row r="188">
      <c r="B188" s="11">
        <f>IFERROR(INDEX(RECON_RESULTS!$A$2:$A$1001,SMALL(IF(RECON_RESULTS!$A$2:$A$1001="Unmatched Bank",ROW(RECON_RESULTS!$A$2:$A$1001)-1),186)),"")</f>
        <v/>
      </c>
      <c r="C188" s="10">
        <f>IF(B188="","",INDEX(RECON_RESULTS!$F$2:$F$1001,SMALL(IF(RECON_RESULTS!$A$2:$A$1001="Unmatched Bank",ROW(RECON_RESULTS!$A$2:$A$1001)-1),186)))</f>
        <v/>
      </c>
      <c r="D188" s="11">
        <f>IF(B188="","",INDEX(RECON_RESULTS!$O$2:$O$1001,SMALL(IF(RECON_RESULTS!$A$2:$A$1001="Unmatched Bank",ROW(RECON_RESULTS!$A$2:$A$1001)-1),186)))</f>
        <v/>
      </c>
      <c r="E188" s="16">
        <f>IF(B188="","",INDEX(RECON_RESULTS!$G$2:$G$1001,SMALL(IF(RECON_RESULTS!$A$2:$A$1001="Unmatched Bank",ROW(RECON_RESULTS!$A$2:$A$1001)-1),186)))</f>
        <v/>
      </c>
      <c r="F188" s="16">
        <f>IF(B188="","",INDEX(RECON_RESULTS!$H$2:$H$1001,SMALL(IF(RECON_RESULTS!$A$2:$A$1001="Unmatched Bank",ROW(RECON_RESULTS!$A$2:$A$1001)-1),186)))</f>
        <v/>
      </c>
      <c r="G188" s="11" t="inlineStr"/>
      <c r="H188" s="11" t="inlineStr"/>
      <c r="I188" s="11" t="inlineStr"/>
      <c r="J188" s="11" t="inlineStr"/>
      <c r="K188" s="11" t="inlineStr"/>
      <c r="L188" s="11" t="inlineStr"/>
    </row>
    <row r="189">
      <c r="B189" s="11">
        <f>IFERROR(INDEX(RECON_RESULTS!$A$2:$A$1001,SMALL(IF(RECON_RESULTS!$A$2:$A$1001="Unmatched Bank",ROW(RECON_RESULTS!$A$2:$A$1001)-1),187)),"")</f>
        <v/>
      </c>
      <c r="C189" s="10">
        <f>IF(B189="","",INDEX(RECON_RESULTS!$F$2:$F$1001,SMALL(IF(RECON_RESULTS!$A$2:$A$1001="Unmatched Bank",ROW(RECON_RESULTS!$A$2:$A$1001)-1),187)))</f>
        <v/>
      </c>
      <c r="D189" s="11">
        <f>IF(B189="","",INDEX(RECON_RESULTS!$O$2:$O$1001,SMALL(IF(RECON_RESULTS!$A$2:$A$1001="Unmatched Bank",ROW(RECON_RESULTS!$A$2:$A$1001)-1),187)))</f>
        <v/>
      </c>
      <c r="E189" s="16">
        <f>IF(B189="","",INDEX(RECON_RESULTS!$G$2:$G$1001,SMALL(IF(RECON_RESULTS!$A$2:$A$1001="Unmatched Bank",ROW(RECON_RESULTS!$A$2:$A$1001)-1),187)))</f>
        <v/>
      </c>
      <c r="F189" s="16">
        <f>IF(B189="","",INDEX(RECON_RESULTS!$H$2:$H$1001,SMALL(IF(RECON_RESULTS!$A$2:$A$1001="Unmatched Bank",ROW(RECON_RESULTS!$A$2:$A$1001)-1),187)))</f>
        <v/>
      </c>
      <c r="G189" s="11" t="inlineStr"/>
      <c r="H189" s="11" t="inlineStr"/>
      <c r="I189" s="11" t="inlineStr"/>
      <c r="J189" s="11" t="inlineStr"/>
      <c r="K189" s="11" t="inlineStr"/>
      <c r="L189" s="11" t="inlineStr"/>
    </row>
    <row r="190">
      <c r="B190" s="11">
        <f>IFERROR(INDEX(RECON_RESULTS!$A$2:$A$1001,SMALL(IF(RECON_RESULTS!$A$2:$A$1001="Unmatched Bank",ROW(RECON_RESULTS!$A$2:$A$1001)-1),188)),"")</f>
        <v/>
      </c>
      <c r="C190" s="10">
        <f>IF(B190="","",INDEX(RECON_RESULTS!$F$2:$F$1001,SMALL(IF(RECON_RESULTS!$A$2:$A$1001="Unmatched Bank",ROW(RECON_RESULTS!$A$2:$A$1001)-1),188)))</f>
        <v/>
      </c>
      <c r="D190" s="11">
        <f>IF(B190="","",INDEX(RECON_RESULTS!$O$2:$O$1001,SMALL(IF(RECON_RESULTS!$A$2:$A$1001="Unmatched Bank",ROW(RECON_RESULTS!$A$2:$A$1001)-1),188)))</f>
        <v/>
      </c>
      <c r="E190" s="16">
        <f>IF(B190="","",INDEX(RECON_RESULTS!$G$2:$G$1001,SMALL(IF(RECON_RESULTS!$A$2:$A$1001="Unmatched Bank",ROW(RECON_RESULTS!$A$2:$A$1001)-1),188)))</f>
        <v/>
      </c>
      <c r="F190" s="16">
        <f>IF(B190="","",INDEX(RECON_RESULTS!$H$2:$H$1001,SMALL(IF(RECON_RESULTS!$A$2:$A$1001="Unmatched Bank",ROW(RECON_RESULTS!$A$2:$A$1001)-1),188)))</f>
        <v/>
      </c>
      <c r="G190" s="11" t="inlineStr"/>
      <c r="H190" s="11" t="inlineStr"/>
      <c r="I190" s="11" t="inlineStr"/>
      <c r="J190" s="11" t="inlineStr"/>
      <c r="K190" s="11" t="inlineStr"/>
      <c r="L190" s="11" t="inlineStr"/>
    </row>
    <row r="191">
      <c r="B191" s="11">
        <f>IFERROR(INDEX(RECON_RESULTS!$A$2:$A$1001,SMALL(IF(RECON_RESULTS!$A$2:$A$1001="Unmatched Bank",ROW(RECON_RESULTS!$A$2:$A$1001)-1),189)),"")</f>
        <v/>
      </c>
      <c r="C191" s="10">
        <f>IF(B191="","",INDEX(RECON_RESULTS!$F$2:$F$1001,SMALL(IF(RECON_RESULTS!$A$2:$A$1001="Unmatched Bank",ROW(RECON_RESULTS!$A$2:$A$1001)-1),189)))</f>
        <v/>
      </c>
      <c r="D191" s="11">
        <f>IF(B191="","",INDEX(RECON_RESULTS!$O$2:$O$1001,SMALL(IF(RECON_RESULTS!$A$2:$A$1001="Unmatched Bank",ROW(RECON_RESULTS!$A$2:$A$1001)-1),189)))</f>
        <v/>
      </c>
      <c r="E191" s="16">
        <f>IF(B191="","",INDEX(RECON_RESULTS!$G$2:$G$1001,SMALL(IF(RECON_RESULTS!$A$2:$A$1001="Unmatched Bank",ROW(RECON_RESULTS!$A$2:$A$1001)-1),189)))</f>
        <v/>
      </c>
      <c r="F191" s="16">
        <f>IF(B191="","",INDEX(RECON_RESULTS!$H$2:$H$1001,SMALL(IF(RECON_RESULTS!$A$2:$A$1001="Unmatched Bank",ROW(RECON_RESULTS!$A$2:$A$1001)-1),189)))</f>
        <v/>
      </c>
      <c r="G191" s="11" t="inlineStr"/>
      <c r="H191" s="11" t="inlineStr"/>
      <c r="I191" s="11" t="inlineStr"/>
      <c r="J191" s="11" t="inlineStr"/>
      <c r="K191" s="11" t="inlineStr"/>
      <c r="L191" s="11" t="inlineStr"/>
    </row>
    <row r="192">
      <c r="B192" s="11">
        <f>IFERROR(INDEX(RECON_RESULTS!$A$2:$A$1001,SMALL(IF(RECON_RESULTS!$A$2:$A$1001="Unmatched Bank",ROW(RECON_RESULTS!$A$2:$A$1001)-1),190)),"")</f>
        <v/>
      </c>
      <c r="C192" s="10">
        <f>IF(B192="","",INDEX(RECON_RESULTS!$F$2:$F$1001,SMALL(IF(RECON_RESULTS!$A$2:$A$1001="Unmatched Bank",ROW(RECON_RESULTS!$A$2:$A$1001)-1),190)))</f>
        <v/>
      </c>
      <c r="D192" s="11">
        <f>IF(B192="","",INDEX(RECON_RESULTS!$O$2:$O$1001,SMALL(IF(RECON_RESULTS!$A$2:$A$1001="Unmatched Bank",ROW(RECON_RESULTS!$A$2:$A$1001)-1),190)))</f>
        <v/>
      </c>
      <c r="E192" s="16">
        <f>IF(B192="","",INDEX(RECON_RESULTS!$G$2:$G$1001,SMALL(IF(RECON_RESULTS!$A$2:$A$1001="Unmatched Bank",ROW(RECON_RESULTS!$A$2:$A$1001)-1),190)))</f>
        <v/>
      </c>
      <c r="F192" s="16">
        <f>IF(B192="","",INDEX(RECON_RESULTS!$H$2:$H$1001,SMALL(IF(RECON_RESULTS!$A$2:$A$1001="Unmatched Bank",ROW(RECON_RESULTS!$A$2:$A$1001)-1),190)))</f>
        <v/>
      </c>
      <c r="G192" s="11" t="inlineStr"/>
      <c r="H192" s="11" t="inlineStr"/>
      <c r="I192" s="11" t="inlineStr"/>
      <c r="J192" s="11" t="inlineStr"/>
      <c r="K192" s="11" t="inlineStr"/>
      <c r="L192" s="11" t="inlineStr"/>
    </row>
    <row r="193">
      <c r="B193" s="11">
        <f>IFERROR(INDEX(RECON_RESULTS!$A$2:$A$1001,SMALL(IF(RECON_RESULTS!$A$2:$A$1001="Unmatched Bank",ROW(RECON_RESULTS!$A$2:$A$1001)-1),191)),"")</f>
        <v/>
      </c>
      <c r="C193" s="10">
        <f>IF(B193="","",INDEX(RECON_RESULTS!$F$2:$F$1001,SMALL(IF(RECON_RESULTS!$A$2:$A$1001="Unmatched Bank",ROW(RECON_RESULTS!$A$2:$A$1001)-1),191)))</f>
        <v/>
      </c>
      <c r="D193" s="11">
        <f>IF(B193="","",INDEX(RECON_RESULTS!$O$2:$O$1001,SMALL(IF(RECON_RESULTS!$A$2:$A$1001="Unmatched Bank",ROW(RECON_RESULTS!$A$2:$A$1001)-1),191)))</f>
        <v/>
      </c>
      <c r="E193" s="16">
        <f>IF(B193="","",INDEX(RECON_RESULTS!$G$2:$G$1001,SMALL(IF(RECON_RESULTS!$A$2:$A$1001="Unmatched Bank",ROW(RECON_RESULTS!$A$2:$A$1001)-1),191)))</f>
        <v/>
      </c>
      <c r="F193" s="16">
        <f>IF(B193="","",INDEX(RECON_RESULTS!$H$2:$H$1001,SMALL(IF(RECON_RESULTS!$A$2:$A$1001="Unmatched Bank",ROW(RECON_RESULTS!$A$2:$A$1001)-1),191)))</f>
        <v/>
      </c>
      <c r="G193" s="11" t="inlineStr"/>
      <c r="H193" s="11" t="inlineStr"/>
      <c r="I193" s="11" t="inlineStr"/>
      <c r="J193" s="11" t="inlineStr"/>
      <c r="K193" s="11" t="inlineStr"/>
      <c r="L193" s="11" t="inlineStr"/>
    </row>
    <row r="194">
      <c r="B194" s="11">
        <f>IFERROR(INDEX(RECON_RESULTS!$A$2:$A$1001,SMALL(IF(RECON_RESULTS!$A$2:$A$1001="Unmatched Bank",ROW(RECON_RESULTS!$A$2:$A$1001)-1),192)),"")</f>
        <v/>
      </c>
      <c r="C194" s="10">
        <f>IF(B194="","",INDEX(RECON_RESULTS!$F$2:$F$1001,SMALL(IF(RECON_RESULTS!$A$2:$A$1001="Unmatched Bank",ROW(RECON_RESULTS!$A$2:$A$1001)-1),192)))</f>
        <v/>
      </c>
      <c r="D194" s="11">
        <f>IF(B194="","",INDEX(RECON_RESULTS!$O$2:$O$1001,SMALL(IF(RECON_RESULTS!$A$2:$A$1001="Unmatched Bank",ROW(RECON_RESULTS!$A$2:$A$1001)-1),192)))</f>
        <v/>
      </c>
      <c r="E194" s="16">
        <f>IF(B194="","",INDEX(RECON_RESULTS!$G$2:$G$1001,SMALL(IF(RECON_RESULTS!$A$2:$A$1001="Unmatched Bank",ROW(RECON_RESULTS!$A$2:$A$1001)-1),192)))</f>
        <v/>
      </c>
      <c r="F194" s="16">
        <f>IF(B194="","",INDEX(RECON_RESULTS!$H$2:$H$1001,SMALL(IF(RECON_RESULTS!$A$2:$A$1001="Unmatched Bank",ROW(RECON_RESULTS!$A$2:$A$1001)-1),192)))</f>
        <v/>
      </c>
      <c r="G194" s="11" t="inlineStr"/>
      <c r="H194" s="11" t="inlineStr"/>
      <c r="I194" s="11" t="inlineStr"/>
      <c r="J194" s="11" t="inlineStr"/>
      <c r="K194" s="11" t="inlineStr"/>
      <c r="L194" s="11" t="inlineStr"/>
    </row>
    <row r="195">
      <c r="B195" s="11">
        <f>IFERROR(INDEX(RECON_RESULTS!$A$2:$A$1001,SMALL(IF(RECON_RESULTS!$A$2:$A$1001="Unmatched Bank",ROW(RECON_RESULTS!$A$2:$A$1001)-1),193)),"")</f>
        <v/>
      </c>
      <c r="C195" s="10">
        <f>IF(B195="","",INDEX(RECON_RESULTS!$F$2:$F$1001,SMALL(IF(RECON_RESULTS!$A$2:$A$1001="Unmatched Bank",ROW(RECON_RESULTS!$A$2:$A$1001)-1),193)))</f>
        <v/>
      </c>
      <c r="D195" s="11">
        <f>IF(B195="","",INDEX(RECON_RESULTS!$O$2:$O$1001,SMALL(IF(RECON_RESULTS!$A$2:$A$1001="Unmatched Bank",ROW(RECON_RESULTS!$A$2:$A$1001)-1),193)))</f>
        <v/>
      </c>
      <c r="E195" s="16">
        <f>IF(B195="","",INDEX(RECON_RESULTS!$G$2:$G$1001,SMALL(IF(RECON_RESULTS!$A$2:$A$1001="Unmatched Bank",ROW(RECON_RESULTS!$A$2:$A$1001)-1),193)))</f>
        <v/>
      </c>
      <c r="F195" s="16">
        <f>IF(B195="","",INDEX(RECON_RESULTS!$H$2:$H$1001,SMALL(IF(RECON_RESULTS!$A$2:$A$1001="Unmatched Bank",ROW(RECON_RESULTS!$A$2:$A$1001)-1),193)))</f>
        <v/>
      </c>
      <c r="G195" s="11" t="inlineStr"/>
      <c r="H195" s="11" t="inlineStr"/>
      <c r="I195" s="11" t="inlineStr"/>
      <c r="J195" s="11" t="inlineStr"/>
      <c r="K195" s="11" t="inlineStr"/>
      <c r="L195" s="11" t="inlineStr"/>
    </row>
    <row r="196">
      <c r="B196" s="11">
        <f>IFERROR(INDEX(RECON_RESULTS!$A$2:$A$1001,SMALL(IF(RECON_RESULTS!$A$2:$A$1001="Unmatched Bank",ROW(RECON_RESULTS!$A$2:$A$1001)-1),194)),"")</f>
        <v/>
      </c>
      <c r="C196" s="10">
        <f>IF(B196="","",INDEX(RECON_RESULTS!$F$2:$F$1001,SMALL(IF(RECON_RESULTS!$A$2:$A$1001="Unmatched Bank",ROW(RECON_RESULTS!$A$2:$A$1001)-1),194)))</f>
        <v/>
      </c>
      <c r="D196" s="11">
        <f>IF(B196="","",INDEX(RECON_RESULTS!$O$2:$O$1001,SMALL(IF(RECON_RESULTS!$A$2:$A$1001="Unmatched Bank",ROW(RECON_RESULTS!$A$2:$A$1001)-1),194)))</f>
        <v/>
      </c>
      <c r="E196" s="16">
        <f>IF(B196="","",INDEX(RECON_RESULTS!$G$2:$G$1001,SMALL(IF(RECON_RESULTS!$A$2:$A$1001="Unmatched Bank",ROW(RECON_RESULTS!$A$2:$A$1001)-1),194)))</f>
        <v/>
      </c>
      <c r="F196" s="16">
        <f>IF(B196="","",INDEX(RECON_RESULTS!$H$2:$H$1001,SMALL(IF(RECON_RESULTS!$A$2:$A$1001="Unmatched Bank",ROW(RECON_RESULTS!$A$2:$A$1001)-1),194)))</f>
        <v/>
      </c>
      <c r="G196" s="11" t="inlineStr"/>
      <c r="H196" s="11" t="inlineStr"/>
      <c r="I196" s="11" t="inlineStr"/>
      <c r="J196" s="11" t="inlineStr"/>
      <c r="K196" s="11" t="inlineStr"/>
      <c r="L196" s="11" t="inlineStr"/>
    </row>
    <row r="197">
      <c r="B197" s="11">
        <f>IFERROR(INDEX(RECON_RESULTS!$A$2:$A$1001,SMALL(IF(RECON_RESULTS!$A$2:$A$1001="Unmatched Bank",ROW(RECON_RESULTS!$A$2:$A$1001)-1),195)),"")</f>
        <v/>
      </c>
      <c r="C197" s="10">
        <f>IF(B197="","",INDEX(RECON_RESULTS!$F$2:$F$1001,SMALL(IF(RECON_RESULTS!$A$2:$A$1001="Unmatched Bank",ROW(RECON_RESULTS!$A$2:$A$1001)-1),195)))</f>
        <v/>
      </c>
      <c r="D197" s="11">
        <f>IF(B197="","",INDEX(RECON_RESULTS!$O$2:$O$1001,SMALL(IF(RECON_RESULTS!$A$2:$A$1001="Unmatched Bank",ROW(RECON_RESULTS!$A$2:$A$1001)-1),195)))</f>
        <v/>
      </c>
      <c r="E197" s="16">
        <f>IF(B197="","",INDEX(RECON_RESULTS!$G$2:$G$1001,SMALL(IF(RECON_RESULTS!$A$2:$A$1001="Unmatched Bank",ROW(RECON_RESULTS!$A$2:$A$1001)-1),195)))</f>
        <v/>
      </c>
      <c r="F197" s="16">
        <f>IF(B197="","",INDEX(RECON_RESULTS!$H$2:$H$1001,SMALL(IF(RECON_RESULTS!$A$2:$A$1001="Unmatched Bank",ROW(RECON_RESULTS!$A$2:$A$1001)-1),195)))</f>
        <v/>
      </c>
      <c r="G197" s="11" t="inlineStr"/>
      <c r="H197" s="11" t="inlineStr"/>
      <c r="I197" s="11" t="inlineStr"/>
      <c r="J197" s="11" t="inlineStr"/>
      <c r="K197" s="11" t="inlineStr"/>
      <c r="L197" s="11" t="inlineStr"/>
    </row>
    <row r="198">
      <c r="B198" s="11">
        <f>IFERROR(INDEX(RECON_RESULTS!$A$2:$A$1001,SMALL(IF(RECON_RESULTS!$A$2:$A$1001="Unmatched Bank",ROW(RECON_RESULTS!$A$2:$A$1001)-1),196)),"")</f>
        <v/>
      </c>
      <c r="C198" s="10">
        <f>IF(B198="","",INDEX(RECON_RESULTS!$F$2:$F$1001,SMALL(IF(RECON_RESULTS!$A$2:$A$1001="Unmatched Bank",ROW(RECON_RESULTS!$A$2:$A$1001)-1),196)))</f>
        <v/>
      </c>
      <c r="D198" s="11">
        <f>IF(B198="","",INDEX(RECON_RESULTS!$O$2:$O$1001,SMALL(IF(RECON_RESULTS!$A$2:$A$1001="Unmatched Bank",ROW(RECON_RESULTS!$A$2:$A$1001)-1),196)))</f>
        <v/>
      </c>
      <c r="E198" s="16">
        <f>IF(B198="","",INDEX(RECON_RESULTS!$G$2:$G$1001,SMALL(IF(RECON_RESULTS!$A$2:$A$1001="Unmatched Bank",ROW(RECON_RESULTS!$A$2:$A$1001)-1),196)))</f>
        <v/>
      </c>
      <c r="F198" s="16">
        <f>IF(B198="","",INDEX(RECON_RESULTS!$H$2:$H$1001,SMALL(IF(RECON_RESULTS!$A$2:$A$1001="Unmatched Bank",ROW(RECON_RESULTS!$A$2:$A$1001)-1),196)))</f>
        <v/>
      </c>
      <c r="G198" s="11" t="inlineStr"/>
      <c r="H198" s="11" t="inlineStr"/>
      <c r="I198" s="11" t="inlineStr"/>
      <c r="J198" s="11" t="inlineStr"/>
      <c r="K198" s="11" t="inlineStr"/>
      <c r="L198" s="11" t="inlineStr"/>
    </row>
    <row r="199">
      <c r="B199" s="11">
        <f>IFERROR(INDEX(RECON_RESULTS!$A$2:$A$1001,SMALL(IF(RECON_RESULTS!$A$2:$A$1001="Unmatched Bank",ROW(RECON_RESULTS!$A$2:$A$1001)-1),197)),"")</f>
        <v/>
      </c>
      <c r="C199" s="10">
        <f>IF(B199="","",INDEX(RECON_RESULTS!$F$2:$F$1001,SMALL(IF(RECON_RESULTS!$A$2:$A$1001="Unmatched Bank",ROW(RECON_RESULTS!$A$2:$A$1001)-1),197)))</f>
        <v/>
      </c>
      <c r="D199" s="11">
        <f>IF(B199="","",INDEX(RECON_RESULTS!$O$2:$O$1001,SMALL(IF(RECON_RESULTS!$A$2:$A$1001="Unmatched Bank",ROW(RECON_RESULTS!$A$2:$A$1001)-1),197)))</f>
        <v/>
      </c>
      <c r="E199" s="16">
        <f>IF(B199="","",INDEX(RECON_RESULTS!$G$2:$G$1001,SMALL(IF(RECON_RESULTS!$A$2:$A$1001="Unmatched Bank",ROW(RECON_RESULTS!$A$2:$A$1001)-1),197)))</f>
        <v/>
      </c>
      <c r="F199" s="16">
        <f>IF(B199="","",INDEX(RECON_RESULTS!$H$2:$H$1001,SMALL(IF(RECON_RESULTS!$A$2:$A$1001="Unmatched Bank",ROW(RECON_RESULTS!$A$2:$A$1001)-1),197)))</f>
        <v/>
      </c>
      <c r="G199" s="11" t="inlineStr"/>
      <c r="H199" s="11" t="inlineStr"/>
      <c r="I199" s="11" t="inlineStr"/>
      <c r="J199" s="11" t="inlineStr"/>
      <c r="K199" s="11" t="inlineStr"/>
      <c r="L199" s="11" t="inlineStr"/>
    </row>
    <row r="200">
      <c r="B200" s="11">
        <f>IFERROR(INDEX(RECON_RESULTS!$A$2:$A$1001,SMALL(IF(RECON_RESULTS!$A$2:$A$1001="Unmatched Bank",ROW(RECON_RESULTS!$A$2:$A$1001)-1),198)),"")</f>
        <v/>
      </c>
      <c r="C200" s="10">
        <f>IF(B200="","",INDEX(RECON_RESULTS!$F$2:$F$1001,SMALL(IF(RECON_RESULTS!$A$2:$A$1001="Unmatched Bank",ROW(RECON_RESULTS!$A$2:$A$1001)-1),198)))</f>
        <v/>
      </c>
      <c r="D200" s="11">
        <f>IF(B200="","",INDEX(RECON_RESULTS!$O$2:$O$1001,SMALL(IF(RECON_RESULTS!$A$2:$A$1001="Unmatched Bank",ROW(RECON_RESULTS!$A$2:$A$1001)-1),198)))</f>
        <v/>
      </c>
      <c r="E200" s="16">
        <f>IF(B200="","",INDEX(RECON_RESULTS!$G$2:$G$1001,SMALL(IF(RECON_RESULTS!$A$2:$A$1001="Unmatched Bank",ROW(RECON_RESULTS!$A$2:$A$1001)-1),198)))</f>
        <v/>
      </c>
      <c r="F200" s="16">
        <f>IF(B200="","",INDEX(RECON_RESULTS!$H$2:$H$1001,SMALL(IF(RECON_RESULTS!$A$2:$A$1001="Unmatched Bank",ROW(RECON_RESULTS!$A$2:$A$1001)-1),198)))</f>
        <v/>
      </c>
      <c r="G200" s="11" t="inlineStr"/>
      <c r="H200" s="11" t="inlineStr"/>
      <c r="I200" s="11" t="inlineStr"/>
      <c r="J200" s="11" t="inlineStr"/>
      <c r="K200" s="11" t="inlineStr"/>
      <c r="L200" s="11" t="inlineStr"/>
    </row>
    <row r="201">
      <c r="B201" s="11">
        <f>IFERROR(INDEX(RECON_RESULTS!$A$2:$A$1001,SMALL(IF(RECON_RESULTS!$A$2:$A$1001="Unmatched Bank",ROW(RECON_RESULTS!$A$2:$A$1001)-1),199)),"")</f>
        <v/>
      </c>
      <c r="C201" s="10">
        <f>IF(B201="","",INDEX(RECON_RESULTS!$F$2:$F$1001,SMALL(IF(RECON_RESULTS!$A$2:$A$1001="Unmatched Bank",ROW(RECON_RESULTS!$A$2:$A$1001)-1),199)))</f>
        <v/>
      </c>
      <c r="D201" s="11">
        <f>IF(B201="","",INDEX(RECON_RESULTS!$O$2:$O$1001,SMALL(IF(RECON_RESULTS!$A$2:$A$1001="Unmatched Bank",ROW(RECON_RESULTS!$A$2:$A$1001)-1),199)))</f>
        <v/>
      </c>
      <c r="E201" s="16">
        <f>IF(B201="","",INDEX(RECON_RESULTS!$G$2:$G$1001,SMALL(IF(RECON_RESULTS!$A$2:$A$1001="Unmatched Bank",ROW(RECON_RESULTS!$A$2:$A$1001)-1),199)))</f>
        <v/>
      </c>
      <c r="F201" s="16">
        <f>IF(B201="","",INDEX(RECON_RESULTS!$H$2:$H$1001,SMALL(IF(RECON_RESULTS!$A$2:$A$1001="Unmatched Bank",ROW(RECON_RESULTS!$A$2:$A$1001)-1),199)))</f>
        <v/>
      </c>
      <c r="G201" s="11" t="inlineStr"/>
      <c r="H201" s="11" t="inlineStr"/>
      <c r="I201" s="11" t="inlineStr"/>
      <c r="J201" s="11" t="inlineStr"/>
      <c r="K201" s="11" t="inlineStr"/>
      <c r="L201" s="11" t="inlineStr"/>
    </row>
    <row r="202">
      <c r="B202" s="11">
        <f>IFERROR(INDEX(RECON_RESULTS!$A$2:$A$1001,SMALL(IF(RECON_RESULTS!$A$2:$A$1001="Unmatched Bank",ROW(RECON_RESULTS!$A$2:$A$1001)-1),200)),"")</f>
        <v/>
      </c>
      <c r="C202" s="10">
        <f>IF(B202="","",INDEX(RECON_RESULTS!$F$2:$F$1001,SMALL(IF(RECON_RESULTS!$A$2:$A$1001="Unmatched Bank",ROW(RECON_RESULTS!$A$2:$A$1001)-1),200)))</f>
        <v/>
      </c>
      <c r="D202" s="11">
        <f>IF(B202="","",INDEX(RECON_RESULTS!$O$2:$O$1001,SMALL(IF(RECON_RESULTS!$A$2:$A$1001="Unmatched Bank",ROW(RECON_RESULTS!$A$2:$A$1001)-1),200)))</f>
        <v/>
      </c>
      <c r="E202" s="16">
        <f>IF(B202="","",INDEX(RECON_RESULTS!$G$2:$G$1001,SMALL(IF(RECON_RESULTS!$A$2:$A$1001="Unmatched Bank",ROW(RECON_RESULTS!$A$2:$A$1001)-1),200)))</f>
        <v/>
      </c>
      <c r="F202" s="16">
        <f>IF(B202="","",INDEX(RECON_RESULTS!$H$2:$H$1001,SMALL(IF(RECON_RESULTS!$A$2:$A$1001="Unmatched Bank",ROW(RECON_RESULTS!$A$2:$A$1001)-1),200)))</f>
        <v/>
      </c>
      <c r="G202" s="11" t="inlineStr"/>
      <c r="H202" s="11" t="inlineStr"/>
      <c r="I202" s="11" t="inlineStr"/>
      <c r="J202" s="11" t="inlineStr"/>
      <c r="K202" s="11" t="inlineStr"/>
      <c r="L202" s="11" t="inlineStr"/>
    </row>
    <row r="205" ht="32" customHeight="1">
      <c r="B205" s="57" t="inlineStr">
        <is>
          <t>قيود GL بدون حركة بنكية — UNMATCHED GL</t>
        </is>
      </c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</row>
    <row r="206" ht="32" customHeight="1">
      <c r="A206" s="7" t="n"/>
      <c r="B206" s="7" t="inlineStr">
        <is>
          <t>الحالة
Status</t>
        </is>
      </c>
      <c r="C206" s="7" t="inlineStr">
        <is>
          <t>تاريخ GL
GL Date</t>
        </is>
      </c>
      <c r="D206" s="7" t="inlineStr">
        <is>
          <t>رقم القيد
JE Number</t>
        </is>
      </c>
      <c r="E206" s="7" t="inlineStr">
        <is>
          <t>مبلغ GL
GL Amount</t>
        </is>
      </c>
      <c r="F206" s="7" t="inlineStr">
        <is>
          <t>الاتجاه
Direction</t>
        </is>
      </c>
      <c r="G206" s="7" t="inlineStr">
        <is>
          <t>الحساب
GL Account</t>
        </is>
      </c>
      <c r="H206" s="7" t="inlineStr">
        <is>
          <t>اسم الحساب
GL Name</t>
        </is>
      </c>
      <c r="I206" s="7" t="inlineStr">
        <is>
          <t>نوع القيد
JE Type</t>
        </is>
      </c>
      <c r="J206" s="7" t="inlineStr">
        <is>
          <t>حالة المراجعة
Review</t>
        </is>
      </c>
      <c r="K206" s="7" t="inlineStr">
        <is>
          <t>الأولوية
Priority</t>
        </is>
      </c>
      <c r="L206" s="7" t="inlineStr">
        <is>
          <t>ملاحظات
Comments</t>
        </is>
      </c>
    </row>
    <row r="207">
      <c r="B207" s="11">
        <f>IFERROR(INDEX(RECON_RESULTS!$A$2:$A$1001,SMALL(IF(RECON_RESULTS!$A$2:$A$1001="Unmatched GL",ROW(RECON_RESULTS!$A$2:$A$1001)-1),1)),"")</f>
        <v/>
      </c>
      <c r="C207" s="10">
        <f>IF(B207="","",INDEX(RECON_RESULTS!$C$2:$C$1001,SMALL(IF(RECON_RESULTS!$A$2:$A$1001="Unmatched GL",ROW(RECON_RESULTS!$A$2:$A$1001)-1),1)))</f>
        <v/>
      </c>
      <c r="D207" s="11">
        <f>IF(B207="","",INDEX(RECON_RESULTS!$B$2:$B$1001,SMALL(IF(RECON_RESULTS!$A$2:$A$1001="Unmatched GL",ROW(RECON_RESULTS!$A$2:$A$1001)-1),1)))</f>
        <v/>
      </c>
      <c r="E207" s="16">
        <f>IF(B207="","",INDEX(RECON_RESULTS!$D$2:$D$1001,SMALL(IF(RECON_RESULTS!$A$2:$A$1001="Unmatched GL",ROW(RECON_RESULTS!$A$2:$A$1001)-1),1)))</f>
        <v/>
      </c>
      <c r="F207" s="11">
        <f>IF(B207="","",INDEX(RECON_RESULTS!$E$2:$E$1001,SMALL(IF(RECON_RESULTS!$A$2:$A$1001="Unmatched GL",ROW(RECON_RESULTS!$A$2:$A$1001)-1),1)))</f>
        <v/>
      </c>
      <c r="G207" s="11">
        <f>IF(B207="","",INDEX(RECON_RESULTS!$M$2:$M$1001,SMALL(IF(RECON_RESULTS!$A$2:$A$1001="Unmatched GL",ROW(RECON_RESULTS!$A$2:$A$1001)-1),1)))</f>
        <v/>
      </c>
      <c r="H207" s="11">
        <f>IF(B207="","",INDEX(RECON_RESULTS!$N$2:$N$1001,SMALL(IF(RECON_RESULTS!$A$2:$A$1001="Unmatched GL",ROW(RECON_RESULTS!$A$2:$A$1001)-1),1)))</f>
        <v/>
      </c>
      <c r="I207" s="11" t="inlineStr"/>
      <c r="J207" s="11" t="inlineStr"/>
      <c r="K207" s="11" t="inlineStr"/>
      <c r="L207" s="11" t="inlineStr"/>
    </row>
    <row r="208">
      <c r="B208" s="11">
        <f>IFERROR(INDEX(RECON_RESULTS!$A$2:$A$1001,SMALL(IF(RECON_RESULTS!$A$2:$A$1001="Unmatched GL",ROW(RECON_RESULTS!$A$2:$A$1001)-1),2)),"")</f>
        <v/>
      </c>
      <c r="C208" s="10">
        <f>IF(B208="","",INDEX(RECON_RESULTS!$C$2:$C$1001,SMALL(IF(RECON_RESULTS!$A$2:$A$1001="Unmatched GL",ROW(RECON_RESULTS!$A$2:$A$1001)-1),2)))</f>
        <v/>
      </c>
      <c r="D208" s="11">
        <f>IF(B208="","",INDEX(RECON_RESULTS!$B$2:$B$1001,SMALL(IF(RECON_RESULTS!$A$2:$A$1001="Unmatched GL",ROW(RECON_RESULTS!$A$2:$A$1001)-1),2)))</f>
        <v/>
      </c>
      <c r="E208" s="16">
        <f>IF(B208="","",INDEX(RECON_RESULTS!$D$2:$D$1001,SMALL(IF(RECON_RESULTS!$A$2:$A$1001="Unmatched GL",ROW(RECON_RESULTS!$A$2:$A$1001)-1),2)))</f>
        <v/>
      </c>
      <c r="F208" s="11">
        <f>IF(B208="","",INDEX(RECON_RESULTS!$E$2:$E$1001,SMALL(IF(RECON_RESULTS!$A$2:$A$1001="Unmatched GL",ROW(RECON_RESULTS!$A$2:$A$1001)-1),2)))</f>
        <v/>
      </c>
      <c r="G208" s="11">
        <f>IF(B208="","",INDEX(RECON_RESULTS!$M$2:$M$1001,SMALL(IF(RECON_RESULTS!$A$2:$A$1001="Unmatched GL",ROW(RECON_RESULTS!$A$2:$A$1001)-1),2)))</f>
        <v/>
      </c>
      <c r="H208" s="11">
        <f>IF(B208="","",INDEX(RECON_RESULTS!$N$2:$N$1001,SMALL(IF(RECON_RESULTS!$A$2:$A$1001="Unmatched GL",ROW(RECON_RESULTS!$A$2:$A$1001)-1),2)))</f>
        <v/>
      </c>
      <c r="I208" s="11" t="inlineStr"/>
      <c r="J208" s="11" t="inlineStr"/>
      <c r="K208" s="11" t="inlineStr"/>
      <c r="L208" s="11" t="inlineStr"/>
    </row>
    <row r="209">
      <c r="B209" s="11">
        <f>IFERROR(INDEX(RECON_RESULTS!$A$2:$A$1001,SMALL(IF(RECON_RESULTS!$A$2:$A$1001="Unmatched GL",ROW(RECON_RESULTS!$A$2:$A$1001)-1),3)),"")</f>
        <v/>
      </c>
      <c r="C209" s="10">
        <f>IF(B209="","",INDEX(RECON_RESULTS!$C$2:$C$1001,SMALL(IF(RECON_RESULTS!$A$2:$A$1001="Unmatched GL",ROW(RECON_RESULTS!$A$2:$A$1001)-1),3)))</f>
        <v/>
      </c>
      <c r="D209" s="11">
        <f>IF(B209="","",INDEX(RECON_RESULTS!$B$2:$B$1001,SMALL(IF(RECON_RESULTS!$A$2:$A$1001="Unmatched GL",ROW(RECON_RESULTS!$A$2:$A$1001)-1),3)))</f>
        <v/>
      </c>
      <c r="E209" s="16">
        <f>IF(B209="","",INDEX(RECON_RESULTS!$D$2:$D$1001,SMALL(IF(RECON_RESULTS!$A$2:$A$1001="Unmatched GL",ROW(RECON_RESULTS!$A$2:$A$1001)-1),3)))</f>
        <v/>
      </c>
      <c r="F209" s="11">
        <f>IF(B209="","",INDEX(RECON_RESULTS!$E$2:$E$1001,SMALL(IF(RECON_RESULTS!$A$2:$A$1001="Unmatched GL",ROW(RECON_RESULTS!$A$2:$A$1001)-1),3)))</f>
        <v/>
      </c>
      <c r="G209" s="11">
        <f>IF(B209="","",INDEX(RECON_RESULTS!$M$2:$M$1001,SMALL(IF(RECON_RESULTS!$A$2:$A$1001="Unmatched GL",ROW(RECON_RESULTS!$A$2:$A$1001)-1),3)))</f>
        <v/>
      </c>
      <c r="H209" s="11">
        <f>IF(B209="","",INDEX(RECON_RESULTS!$N$2:$N$1001,SMALL(IF(RECON_RESULTS!$A$2:$A$1001="Unmatched GL",ROW(RECON_RESULTS!$A$2:$A$1001)-1),3)))</f>
        <v/>
      </c>
      <c r="I209" s="11" t="inlineStr"/>
      <c r="J209" s="11" t="inlineStr"/>
      <c r="K209" s="11" t="inlineStr"/>
      <c r="L209" s="11" t="inlineStr"/>
    </row>
    <row r="210">
      <c r="B210" s="11">
        <f>IFERROR(INDEX(RECON_RESULTS!$A$2:$A$1001,SMALL(IF(RECON_RESULTS!$A$2:$A$1001="Unmatched GL",ROW(RECON_RESULTS!$A$2:$A$1001)-1),4)),"")</f>
        <v/>
      </c>
      <c r="C210" s="10">
        <f>IF(B210="","",INDEX(RECON_RESULTS!$C$2:$C$1001,SMALL(IF(RECON_RESULTS!$A$2:$A$1001="Unmatched GL",ROW(RECON_RESULTS!$A$2:$A$1001)-1),4)))</f>
        <v/>
      </c>
      <c r="D210" s="11">
        <f>IF(B210="","",INDEX(RECON_RESULTS!$B$2:$B$1001,SMALL(IF(RECON_RESULTS!$A$2:$A$1001="Unmatched GL",ROW(RECON_RESULTS!$A$2:$A$1001)-1),4)))</f>
        <v/>
      </c>
      <c r="E210" s="16">
        <f>IF(B210="","",INDEX(RECON_RESULTS!$D$2:$D$1001,SMALL(IF(RECON_RESULTS!$A$2:$A$1001="Unmatched GL",ROW(RECON_RESULTS!$A$2:$A$1001)-1),4)))</f>
        <v/>
      </c>
      <c r="F210" s="11">
        <f>IF(B210="","",INDEX(RECON_RESULTS!$E$2:$E$1001,SMALL(IF(RECON_RESULTS!$A$2:$A$1001="Unmatched GL",ROW(RECON_RESULTS!$A$2:$A$1001)-1),4)))</f>
        <v/>
      </c>
      <c r="G210" s="11">
        <f>IF(B210="","",INDEX(RECON_RESULTS!$M$2:$M$1001,SMALL(IF(RECON_RESULTS!$A$2:$A$1001="Unmatched GL",ROW(RECON_RESULTS!$A$2:$A$1001)-1),4)))</f>
        <v/>
      </c>
      <c r="H210" s="11">
        <f>IF(B210="","",INDEX(RECON_RESULTS!$N$2:$N$1001,SMALL(IF(RECON_RESULTS!$A$2:$A$1001="Unmatched GL",ROW(RECON_RESULTS!$A$2:$A$1001)-1),4)))</f>
        <v/>
      </c>
      <c r="I210" s="11" t="inlineStr"/>
      <c r="J210" s="11" t="inlineStr"/>
      <c r="K210" s="11" t="inlineStr"/>
      <c r="L210" s="11" t="inlineStr"/>
    </row>
    <row r="211">
      <c r="B211" s="11">
        <f>IFERROR(INDEX(RECON_RESULTS!$A$2:$A$1001,SMALL(IF(RECON_RESULTS!$A$2:$A$1001="Unmatched GL",ROW(RECON_RESULTS!$A$2:$A$1001)-1),5)),"")</f>
        <v/>
      </c>
      <c r="C211" s="10">
        <f>IF(B211="","",INDEX(RECON_RESULTS!$C$2:$C$1001,SMALL(IF(RECON_RESULTS!$A$2:$A$1001="Unmatched GL",ROW(RECON_RESULTS!$A$2:$A$1001)-1),5)))</f>
        <v/>
      </c>
      <c r="D211" s="11">
        <f>IF(B211="","",INDEX(RECON_RESULTS!$B$2:$B$1001,SMALL(IF(RECON_RESULTS!$A$2:$A$1001="Unmatched GL",ROW(RECON_RESULTS!$A$2:$A$1001)-1),5)))</f>
        <v/>
      </c>
      <c r="E211" s="16">
        <f>IF(B211="","",INDEX(RECON_RESULTS!$D$2:$D$1001,SMALL(IF(RECON_RESULTS!$A$2:$A$1001="Unmatched GL",ROW(RECON_RESULTS!$A$2:$A$1001)-1),5)))</f>
        <v/>
      </c>
      <c r="F211" s="11">
        <f>IF(B211="","",INDEX(RECON_RESULTS!$E$2:$E$1001,SMALL(IF(RECON_RESULTS!$A$2:$A$1001="Unmatched GL",ROW(RECON_RESULTS!$A$2:$A$1001)-1),5)))</f>
        <v/>
      </c>
      <c r="G211" s="11">
        <f>IF(B211="","",INDEX(RECON_RESULTS!$M$2:$M$1001,SMALL(IF(RECON_RESULTS!$A$2:$A$1001="Unmatched GL",ROW(RECON_RESULTS!$A$2:$A$1001)-1),5)))</f>
        <v/>
      </c>
      <c r="H211" s="11">
        <f>IF(B211="","",INDEX(RECON_RESULTS!$N$2:$N$1001,SMALL(IF(RECON_RESULTS!$A$2:$A$1001="Unmatched GL",ROW(RECON_RESULTS!$A$2:$A$1001)-1),5)))</f>
        <v/>
      </c>
      <c r="I211" s="11" t="inlineStr"/>
      <c r="J211" s="11" t="inlineStr"/>
      <c r="K211" s="11" t="inlineStr"/>
      <c r="L211" s="11" t="inlineStr"/>
    </row>
    <row r="212">
      <c r="B212" s="11">
        <f>IFERROR(INDEX(RECON_RESULTS!$A$2:$A$1001,SMALL(IF(RECON_RESULTS!$A$2:$A$1001="Unmatched GL",ROW(RECON_RESULTS!$A$2:$A$1001)-1),6)),"")</f>
        <v/>
      </c>
      <c r="C212" s="10">
        <f>IF(B212="","",INDEX(RECON_RESULTS!$C$2:$C$1001,SMALL(IF(RECON_RESULTS!$A$2:$A$1001="Unmatched GL",ROW(RECON_RESULTS!$A$2:$A$1001)-1),6)))</f>
        <v/>
      </c>
      <c r="D212" s="11">
        <f>IF(B212="","",INDEX(RECON_RESULTS!$B$2:$B$1001,SMALL(IF(RECON_RESULTS!$A$2:$A$1001="Unmatched GL",ROW(RECON_RESULTS!$A$2:$A$1001)-1),6)))</f>
        <v/>
      </c>
      <c r="E212" s="16">
        <f>IF(B212="","",INDEX(RECON_RESULTS!$D$2:$D$1001,SMALL(IF(RECON_RESULTS!$A$2:$A$1001="Unmatched GL",ROW(RECON_RESULTS!$A$2:$A$1001)-1),6)))</f>
        <v/>
      </c>
      <c r="F212" s="11">
        <f>IF(B212="","",INDEX(RECON_RESULTS!$E$2:$E$1001,SMALL(IF(RECON_RESULTS!$A$2:$A$1001="Unmatched GL",ROW(RECON_RESULTS!$A$2:$A$1001)-1),6)))</f>
        <v/>
      </c>
      <c r="G212" s="11">
        <f>IF(B212="","",INDEX(RECON_RESULTS!$M$2:$M$1001,SMALL(IF(RECON_RESULTS!$A$2:$A$1001="Unmatched GL",ROW(RECON_RESULTS!$A$2:$A$1001)-1),6)))</f>
        <v/>
      </c>
      <c r="H212" s="11">
        <f>IF(B212="","",INDEX(RECON_RESULTS!$N$2:$N$1001,SMALL(IF(RECON_RESULTS!$A$2:$A$1001="Unmatched GL",ROW(RECON_RESULTS!$A$2:$A$1001)-1),6)))</f>
        <v/>
      </c>
      <c r="I212" s="11" t="inlineStr"/>
      <c r="J212" s="11" t="inlineStr"/>
      <c r="K212" s="11" t="inlineStr"/>
      <c r="L212" s="11" t="inlineStr"/>
    </row>
    <row r="213">
      <c r="B213" s="11">
        <f>IFERROR(INDEX(RECON_RESULTS!$A$2:$A$1001,SMALL(IF(RECON_RESULTS!$A$2:$A$1001="Unmatched GL",ROW(RECON_RESULTS!$A$2:$A$1001)-1),7)),"")</f>
        <v/>
      </c>
      <c r="C213" s="10">
        <f>IF(B213="","",INDEX(RECON_RESULTS!$C$2:$C$1001,SMALL(IF(RECON_RESULTS!$A$2:$A$1001="Unmatched GL",ROW(RECON_RESULTS!$A$2:$A$1001)-1),7)))</f>
        <v/>
      </c>
      <c r="D213" s="11">
        <f>IF(B213="","",INDEX(RECON_RESULTS!$B$2:$B$1001,SMALL(IF(RECON_RESULTS!$A$2:$A$1001="Unmatched GL",ROW(RECON_RESULTS!$A$2:$A$1001)-1),7)))</f>
        <v/>
      </c>
      <c r="E213" s="16">
        <f>IF(B213="","",INDEX(RECON_RESULTS!$D$2:$D$1001,SMALL(IF(RECON_RESULTS!$A$2:$A$1001="Unmatched GL",ROW(RECON_RESULTS!$A$2:$A$1001)-1),7)))</f>
        <v/>
      </c>
      <c r="F213" s="11">
        <f>IF(B213="","",INDEX(RECON_RESULTS!$E$2:$E$1001,SMALL(IF(RECON_RESULTS!$A$2:$A$1001="Unmatched GL",ROW(RECON_RESULTS!$A$2:$A$1001)-1),7)))</f>
        <v/>
      </c>
      <c r="G213" s="11">
        <f>IF(B213="","",INDEX(RECON_RESULTS!$M$2:$M$1001,SMALL(IF(RECON_RESULTS!$A$2:$A$1001="Unmatched GL",ROW(RECON_RESULTS!$A$2:$A$1001)-1),7)))</f>
        <v/>
      </c>
      <c r="H213" s="11">
        <f>IF(B213="","",INDEX(RECON_RESULTS!$N$2:$N$1001,SMALL(IF(RECON_RESULTS!$A$2:$A$1001="Unmatched GL",ROW(RECON_RESULTS!$A$2:$A$1001)-1),7)))</f>
        <v/>
      </c>
      <c r="I213" s="11" t="inlineStr"/>
      <c r="J213" s="11" t="inlineStr"/>
      <c r="K213" s="11" t="inlineStr"/>
      <c r="L213" s="11" t="inlineStr"/>
    </row>
    <row r="214">
      <c r="B214" s="11">
        <f>IFERROR(INDEX(RECON_RESULTS!$A$2:$A$1001,SMALL(IF(RECON_RESULTS!$A$2:$A$1001="Unmatched GL",ROW(RECON_RESULTS!$A$2:$A$1001)-1),8)),"")</f>
        <v/>
      </c>
      <c r="C214" s="10">
        <f>IF(B214="","",INDEX(RECON_RESULTS!$C$2:$C$1001,SMALL(IF(RECON_RESULTS!$A$2:$A$1001="Unmatched GL",ROW(RECON_RESULTS!$A$2:$A$1001)-1),8)))</f>
        <v/>
      </c>
      <c r="D214" s="11">
        <f>IF(B214="","",INDEX(RECON_RESULTS!$B$2:$B$1001,SMALL(IF(RECON_RESULTS!$A$2:$A$1001="Unmatched GL",ROW(RECON_RESULTS!$A$2:$A$1001)-1),8)))</f>
        <v/>
      </c>
      <c r="E214" s="16">
        <f>IF(B214="","",INDEX(RECON_RESULTS!$D$2:$D$1001,SMALL(IF(RECON_RESULTS!$A$2:$A$1001="Unmatched GL",ROW(RECON_RESULTS!$A$2:$A$1001)-1),8)))</f>
        <v/>
      </c>
      <c r="F214" s="11">
        <f>IF(B214="","",INDEX(RECON_RESULTS!$E$2:$E$1001,SMALL(IF(RECON_RESULTS!$A$2:$A$1001="Unmatched GL",ROW(RECON_RESULTS!$A$2:$A$1001)-1),8)))</f>
        <v/>
      </c>
      <c r="G214" s="11">
        <f>IF(B214="","",INDEX(RECON_RESULTS!$M$2:$M$1001,SMALL(IF(RECON_RESULTS!$A$2:$A$1001="Unmatched GL",ROW(RECON_RESULTS!$A$2:$A$1001)-1),8)))</f>
        <v/>
      </c>
      <c r="H214" s="11">
        <f>IF(B214="","",INDEX(RECON_RESULTS!$N$2:$N$1001,SMALL(IF(RECON_RESULTS!$A$2:$A$1001="Unmatched GL",ROW(RECON_RESULTS!$A$2:$A$1001)-1),8)))</f>
        <v/>
      </c>
      <c r="I214" s="11" t="inlineStr"/>
      <c r="J214" s="11" t="inlineStr"/>
      <c r="K214" s="11" t="inlineStr"/>
      <c r="L214" s="11" t="inlineStr"/>
    </row>
    <row r="215">
      <c r="B215" s="11">
        <f>IFERROR(INDEX(RECON_RESULTS!$A$2:$A$1001,SMALL(IF(RECON_RESULTS!$A$2:$A$1001="Unmatched GL",ROW(RECON_RESULTS!$A$2:$A$1001)-1),9)),"")</f>
        <v/>
      </c>
      <c r="C215" s="10">
        <f>IF(B215="","",INDEX(RECON_RESULTS!$C$2:$C$1001,SMALL(IF(RECON_RESULTS!$A$2:$A$1001="Unmatched GL",ROW(RECON_RESULTS!$A$2:$A$1001)-1),9)))</f>
        <v/>
      </c>
      <c r="D215" s="11">
        <f>IF(B215="","",INDEX(RECON_RESULTS!$B$2:$B$1001,SMALL(IF(RECON_RESULTS!$A$2:$A$1001="Unmatched GL",ROW(RECON_RESULTS!$A$2:$A$1001)-1),9)))</f>
        <v/>
      </c>
      <c r="E215" s="16">
        <f>IF(B215="","",INDEX(RECON_RESULTS!$D$2:$D$1001,SMALL(IF(RECON_RESULTS!$A$2:$A$1001="Unmatched GL",ROW(RECON_RESULTS!$A$2:$A$1001)-1),9)))</f>
        <v/>
      </c>
      <c r="F215" s="11">
        <f>IF(B215="","",INDEX(RECON_RESULTS!$E$2:$E$1001,SMALL(IF(RECON_RESULTS!$A$2:$A$1001="Unmatched GL",ROW(RECON_RESULTS!$A$2:$A$1001)-1),9)))</f>
        <v/>
      </c>
      <c r="G215" s="11">
        <f>IF(B215="","",INDEX(RECON_RESULTS!$M$2:$M$1001,SMALL(IF(RECON_RESULTS!$A$2:$A$1001="Unmatched GL",ROW(RECON_RESULTS!$A$2:$A$1001)-1),9)))</f>
        <v/>
      </c>
      <c r="H215" s="11">
        <f>IF(B215="","",INDEX(RECON_RESULTS!$N$2:$N$1001,SMALL(IF(RECON_RESULTS!$A$2:$A$1001="Unmatched GL",ROW(RECON_RESULTS!$A$2:$A$1001)-1),9)))</f>
        <v/>
      </c>
      <c r="I215" s="11" t="inlineStr"/>
      <c r="J215" s="11" t="inlineStr"/>
      <c r="K215" s="11" t="inlineStr"/>
      <c r="L215" s="11" t="inlineStr"/>
    </row>
    <row r="216">
      <c r="B216" s="11">
        <f>IFERROR(INDEX(RECON_RESULTS!$A$2:$A$1001,SMALL(IF(RECON_RESULTS!$A$2:$A$1001="Unmatched GL",ROW(RECON_RESULTS!$A$2:$A$1001)-1),10)),"")</f>
        <v/>
      </c>
      <c r="C216" s="10">
        <f>IF(B216="","",INDEX(RECON_RESULTS!$C$2:$C$1001,SMALL(IF(RECON_RESULTS!$A$2:$A$1001="Unmatched GL",ROW(RECON_RESULTS!$A$2:$A$1001)-1),10)))</f>
        <v/>
      </c>
      <c r="D216" s="11">
        <f>IF(B216="","",INDEX(RECON_RESULTS!$B$2:$B$1001,SMALL(IF(RECON_RESULTS!$A$2:$A$1001="Unmatched GL",ROW(RECON_RESULTS!$A$2:$A$1001)-1),10)))</f>
        <v/>
      </c>
      <c r="E216" s="16">
        <f>IF(B216="","",INDEX(RECON_RESULTS!$D$2:$D$1001,SMALL(IF(RECON_RESULTS!$A$2:$A$1001="Unmatched GL",ROW(RECON_RESULTS!$A$2:$A$1001)-1),10)))</f>
        <v/>
      </c>
      <c r="F216" s="11">
        <f>IF(B216="","",INDEX(RECON_RESULTS!$E$2:$E$1001,SMALL(IF(RECON_RESULTS!$A$2:$A$1001="Unmatched GL",ROW(RECON_RESULTS!$A$2:$A$1001)-1),10)))</f>
        <v/>
      </c>
      <c r="G216" s="11">
        <f>IF(B216="","",INDEX(RECON_RESULTS!$M$2:$M$1001,SMALL(IF(RECON_RESULTS!$A$2:$A$1001="Unmatched GL",ROW(RECON_RESULTS!$A$2:$A$1001)-1),10)))</f>
        <v/>
      </c>
      <c r="H216" s="11">
        <f>IF(B216="","",INDEX(RECON_RESULTS!$N$2:$N$1001,SMALL(IF(RECON_RESULTS!$A$2:$A$1001="Unmatched GL",ROW(RECON_RESULTS!$A$2:$A$1001)-1),10)))</f>
        <v/>
      </c>
      <c r="I216" s="11" t="inlineStr"/>
      <c r="J216" s="11" t="inlineStr"/>
      <c r="K216" s="11" t="inlineStr"/>
      <c r="L216" s="11" t="inlineStr"/>
    </row>
    <row r="217">
      <c r="B217" s="11">
        <f>IFERROR(INDEX(RECON_RESULTS!$A$2:$A$1001,SMALL(IF(RECON_RESULTS!$A$2:$A$1001="Unmatched GL",ROW(RECON_RESULTS!$A$2:$A$1001)-1),11)),"")</f>
        <v/>
      </c>
      <c r="C217" s="10">
        <f>IF(B217="","",INDEX(RECON_RESULTS!$C$2:$C$1001,SMALL(IF(RECON_RESULTS!$A$2:$A$1001="Unmatched GL",ROW(RECON_RESULTS!$A$2:$A$1001)-1),11)))</f>
        <v/>
      </c>
      <c r="D217" s="11">
        <f>IF(B217="","",INDEX(RECON_RESULTS!$B$2:$B$1001,SMALL(IF(RECON_RESULTS!$A$2:$A$1001="Unmatched GL",ROW(RECON_RESULTS!$A$2:$A$1001)-1),11)))</f>
        <v/>
      </c>
      <c r="E217" s="16">
        <f>IF(B217="","",INDEX(RECON_RESULTS!$D$2:$D$1001,SMALL(IF(RECON_RESULTS!$A$2:$A$1001="Unmatched GL",ROW(RECON_RESULTS!$A$2:$A$1001)-1),11)))</f>
        <v/>
      </c>
      <c r="F217" s="11">
        <f>IF(B217="","",INDEX(RECON_RESULTS!$E$2:$E$1001,SMALL(IF(RECON_RESULTS!$A$2:$A$1001="Unmatched GL",ROW(RECON_RESULTS!$A$2:$A$1001)-1),11)))</f>
        <v/>
      </c>
      <c r="G217" s="11">
        <f>IF(B217="","",INDEX(RECON_RESULTS!$M$2:$M$1001,SMALL(IF(RECON_RESULTS!$A$2:$A$1001="Unmatched GL",ROW(RECON_RESULTS!$A$2:$A$1001)-1),11)))</f>
        <v/>
      </c>
      <c r="H217" s="11">
        <f>IF(B217="","",INDEX(RECON_RESULTS!$N$2:$N$1001,SMALL(IF(RECON_RESULTS!$A$2:$A$1001="Unmatched GL",ROW(RECON_RESULTS!$A$2:$A$1001)-1),11)))</f>
        <v/>
      </c>
      <c r="I217" s="11" t="inlineStr"/>
      <c r="J217" s="11" t="inlineStr"/>
      <c r="K217" s="11" t="inlineStr"/>
      <c r="L217" s="11" t="inlineStr"/>
    </row>
    <row r="218">
      <c r="B218" s="11">
        <f>IFERROR(INDEX(RECON_RESULTS!$A$2:$A$1001,SMALL(IF(RECON_RESULTS!$A$2:$A$1001="Unmatched GL",ROW(RECON_RESULTS!$A$2:$A$1001)-1),12)),"")</f>
        <v/>
      </c>
      <c r="C218" s="10">
        <f>IF(B218="","",INDEX(RECON_RESULTS!$C$2:$C$1001,SMALL(IF(RECON_RESULTS!$A$2:$A$1001="Unmatched GL",ROW(RECON_RESULTS!$A$2:$A$1001)-1),12)))</f>
        <v/>
      </c>
      <c r="D218" s="11">
        <f>IF(B218="","",INDEX(RECON_RESULTS!$B$2:$B$1001,SMALL(IF(RECON_RESULTS!$A$2:$A$1001="Unmatched GL",ROW(RECON_RESULTS!$A$2:$A$1001)-1),12)))</f>
        <v/>
      </c>
      <c r="E218" s="16">
        <f>IF(B218="","",INDEX(RECON_RESULTS!$D$2:$D$1001,SMALL(IF(RECON_RESULTS!$A$2:$A$1001="Unmatched GL",ROW(RECON_RESULTS!$A$2:$A$1001)-1),12)))</f>
        <v/>
      </c>
      <c r="F218" s="11">
        <f>IF(B218="","",INDEX(RECON_RESULTS!$E$2:$E$1001,SMALL(IF(RECON_RESULTS!$A$2:$A$1001="Unmatched GL",ROW(RECON_RESULTS!$A$2:$A$1001)-1),12)))</f>
        <v/>
      </c>
      <c r="G218" s="11">
        <f>IF(B218="","",INDEX(RECON_RESULTS!$M$2:$M$1001,SMALL(IF(RECON_RESULTS!$A$2:$A$1001="Unmatched GL",ROW(RECON_RESULTS!$A$2:$A$1001)-1),12)))</f>
        <v/>
      </c>
      <c r="H218" s="11">
        <f>IF(B218="","",INDEX(RECON_RESULTS!$N$2:$N$1001,SMALL(IF(RECON_RESULTS!$A$2:$A$1001="Unmatched GL",ROW(RECON_RESULTS!$A$2:$A$1001)-1),12)))</f>
        <v/>
      </c>
      <c r="I218" s="11" t="inlineStr"/>
      <c r="J218" s="11" t="inlineStr"/>
      <c r="K218" s="11" t="inlineStr"/>
      <c r="L218" s="11" t="inlineStr"/>
    </row>
    <row r="219">
      <c r="B219" s="11">
        <f>IFERROR(INDEX(RECON_RESULTS!$A$2:$A$1001,SMALL(IF(RECON_RESULTS!$A$2:$A$1001="Unmatched GL",ROW(RECON_RESULTS!$A$2:$A$1001)-1),13)),"")</f>
        <v/>
      </c>
      <c r="C219" s="10">
        <f>IF(B219="","",INDEX(RECON_RESULTS!$C$2:$C$1001,SMALL(IF(RECON_RESULTS!$A$2:$A$1001="Unmatched GL",ROW(RECON_RESULTS!$A$2:$A$1001)-1),13)))</f>
        <v/>
      </c>
      <c r="D219" s="11">
        <f>IF(B219="","",INDEX(RECON_RESULTS!$B$2:$B$1001,SMALL(IF(RECON_RESULTS!$A$2:$A$1001="Unmatched GL",ROW(RECON_RESULTS!$A$2:$A$1001)-1),13)))</f>
        <v/>
      </c>
      <c r="E219" s="16">
        <f>IF(B219="","",INDEX(RECON_RESULTS!$D$2:$D$1001,SMALL(IF(RECON_RESULTS!$A$2:$A$1001="Unmatched GL",ROW(RECON_RESULTS!$A$2:$A$1001)-1),13)))</f>
        <v/>
      </c>
      <c r="F219" s="11">
        <f>IF(B219="","",INDEX(RECON_RESULTS!$E$2:$E$1001,SMALL(IF(RECON_RESULTS!$A$2:$A$1001="Unmatched GL",ROW(RECON_RESULTS!$A$2:$A$1001)-1),13)))</f>
        <v/>
      </c>
      <c r="G219" s="11">
        <f>IF(B219="","",INDEX(RECON_RESULTS!$M$2:$M$1001,SMALL(IF(RECON_RESULTS!$A$2:$A$1001="Unmatched GL",ROW(RECON_RESULTS!$A$2:$A$1001)-1),13)))</f>
        <v/>
      </c>
      <c r="H219" s="11">
        <f>IF(B219="","",INDEX(RECON_RESULTS!$N$2:$N$1001,SMALL(IF(RECON_RESULTS!$A$2:$A$1001="Unmatched GL",ROW(RECON_RESULTS!$A$2:$A$1001)-1),13)))</f>
        <v/>
      </c>
      <c r="I219" s="11" t="inlineStr"/>
      <c r="J219" s="11" t="inlineStr"/>
      <c r="K219" s="11" t="inlineStr"/>
      <c r="L219" s="11" t="inlineStr"/>
    </row>
    <row r="220">
      <c r="B220" s="11">
        <f>IFERROR(INDEX(RECON_RESULTS!$A$2:$A$1001,SMALL(IF(RECON_RESULTS!$A$2:$A$1001="Unmatched GL",ROW(RECON_RESULTS!$A$2:$A$1001)-1),14)),"")</f>
        <v/>
      </c>
      <c r="C220" s="10">
        <f>IF(B220="","",INDEX(RECON_RESULTS!$C$2:$C$1001,SMALL(IF(RECON_RESULTS!$A$2:$A$1001="Unmatched GL",ROW(RECON_RESULTS!$A$2:$A$1001)-1),14)))</f>
        <v/>
      </c>
      <c r="D220" s="11">
        <f>IF(B220="","",INDEX(RECON_RESULTS!$B$2:$B$1001,SMALL(IF(RECON_RESULTS!$A$2:$A$1001="Unmatched GL",ROW(RECON_RESULTS!$A$2:$A$1001)-1),14)))</f>
        <v/>
      </c>
      <c r="E220" s="16">
        <f>IF(B220="","",INDEX(RECON_RESULTS!$D$2:$D$1001,SMALL(IF(RECON_RESULTS!$A$2:$A$1001="Unmatched GL",ROW(RECON_RESULTS!$A$2:$A$1001)-1),14)))</f>
        <v/>
      </c>
      <c r="F220" s="11">
        <f>IF(B220="","",INDEX(RECON_RESULTS!$E$2:$E$1001,SMALL(IF(RECON_RESULTS!$A$2:$A$1001="Unmatched GL",ROW(RECON_RESULTS!$A$2:$A$1001)-1),14)))</f>
        <v/>
      </c>
      <c r="G220" s="11">
        <f>IF(B220="","",INDEX(RECON_RESULTS!$M$2:$M$1001,SMALL(IF(RECON_RESULTS!$A$2:$A$1001="Unmatched GL",ROW(RECON_RESULTS!$A$2:$A$1001)-1),14)))</f>
        <v/>
      </c>
      <c r="H220" s="11">
        <f>IF(B220="","",INDEX(RECON_RESULTS!$N$2:$N$1001,SMALL(IF(RECON_RESULTS!$A$2:$A$1001="Unmatched GL",ROW(RECON_RESULTS!$A$2:$A$1001)-1),14)))</f>
        <v/>
      </c>
      <c r="I220" s="11" t="inlineStr"/>
      <c r="J220" s="11" t="inlineStr"/>
      <c r="K220" s="11" t="inlineStr"/>
      <c r="L220" s="11" t="inlineStr"/>
    </row>
    <row r="221">
      <c r="B221" s="11">
        <f>IFERROR(INDEX(RECON_RESULTS!$A$2:$A$1001,SMALL(IF(RECON_RESULTS!$A$2:$A$1001="Unmatched GL",ROW(RECON_RESULTS!$A$2:$A$1001)-1),15)),"")</f>
        <v/>
      </c>
      <c r="C221" s="10">
        <f>IF(B221="","",INDEX(RECON_RESULTS!$C$2:$C$1001,SMALL(IF(RECON_RESULTS!$A$2:$A$1001="Unmatched GL",ROW(RECON_RESULTS!$A$2:$A$1001)-1),15)))</f>
        <v/>
      </c>
      <c r="D221" s="11">
        <f>IF(B221="","",INDEX(RECON_RESULTS!$B$2:$B$1001,SMALL(IF(RECON_RESULTS!$A$2:$A$1001="Unmatched GL",ROW(RECON_RESULTS!$A$2:$A$1001)-1),15)))</f>
        <v/>
      </c>
      <c r="E221" s="16">
        <f>IF(B221="","",INDEX(RECON_RESULTS!$D$2:$D$1001,SMALL(IF(RECON_RESULTS!$A$2:$A$1001="Unmatched GL",ROW(RECON_RESULTS!$A$2:$A$1001)-1),15)))</f>
        <v/>
      </c>
      <c r="F221" s="11">
        <f>IF(B221="","",INDEX(RECON_RESULTS!$E$2:$E$1001,SMALL(IF(RECON_RESULTS!$A$2:$A$1001="Unmatched GL",ROW(RECON_RESULTS!$A$2:$A$1001)-1),15)))</f>
        <v/>
      </c>
      <c r="G221" s="11">
        <f>IF(B221="","",INDEX(RECON_RESULTS!$M$2:$M$1001,SMALL(IF(RECON_RESULTS!$A$2:$A$1001="Unmatched GL",ROW(RECON_RESULTS!$A$2:$A$1001)-1),15)))</f>
        <v/>
      </c>
      <c r="H221" s="11">
        <f>IF(B221="","",INDEX(RECON_RESULTS!$N$2:$N$1001,SMALL(IF(RECON_RESULTS!$A$2:$A$1001="Unmatched GL",ROW(RECON_RESULTS!$A$2:$A$1001)-1),15)))</f>
        <v/>
      </c>
      <c r="I221" s="11" t="inlineStr"/>
      <c r="J221" s="11" t="inlineStr"/>
      <c r="K221" s="11" t="inlineStr"/>
      <c r="L221" s="11" t="inlineStr"/>
    </row>
    <row r="222">
      <c r="B222" s="11">
        <f>IFERROR(INDEX(RECON_RESULTS!$A$2:$A$1001,SMALL(IF(RECON_RESULTS!$A$2:$A$1001="Unmatched GL",ROW(RECON_RESULTS!$A$2:$A$1001)-1),16)),"")</f>
        <v/>
      </c>
      <c r="C222" s="10">
        <f>IF(B222="","",INDEX(RECON_RESULTS!$C$2:$C$1001,SMALL(IF(RECON_RESULTS!$A$2:$A$1001="Unmatched GL",ROW(RECON_RESULTS!$A$2:$A$1001)-1),16)))</f>
        <v/>
      </c>
      <c r="D222" s="11">
        <f>IF(B222="","",INDEX(RECON_RESULTS!$B$2:$B$1001,SMALL(IF(RECON_RESULTS!$A$2:$A$1001="Unmatched GL",ROW(RECON_RESULTS!$A$2:$A$1001)-1),16)))</f>
        <v/>
      </c>
      <c r="E222" s="16">
        <f>IF(B222="","",INDEX(RECON_RESULTS!$D$2:$D$1001,SMALL(IF(RECON_RESULTS!$A$2:$A$1001="Unmatched GL",ROW(RECON_RESULTS!$A$2:$A$1001)-1),16)))</f>
        <v/>
      </c>
      <c r="F222" s="11">
        <f>IF(B222="","",INDEX(RECON_RESULTS!$E$2:$E$1001,SMALL(IF(RECON_RESULTS!$A$2:$A$1001="Unmatched GL",ROW(RECON_RESULTS!$A$2:$A$1001)-1),16)))</f>
        <v/>
      </c>
      <c r="G222" s="11">
        <f>IF(B222="","",INDEX(RECON_RESULTS!$M$2:$M$1001,SMALL(IF(RECON_RESULTS!$A$2:$A$1001="Unmatched GL",ROW(RECON_RESULTS!$A$2:$A$1001)-1),16)))</f>
        <v/>
      </c>
      <c r="H222" s="11">
        <f>IF(B222="","",INDEX(RECON_RESULTS!$N$2:$N$1001,SMALL(IF(RECON_RESULTS!$A$2:$A$1001="Unmatched GL",ROW(RECON_RESULTS!$A$2:$A$1001)-1),16)))</f>
        <v/>
      </c>
      <c r="I222" s="11" t="inlineStr"/>
      <c r="J222" s="11" t="inlineStr"/>
      <c r="K222" s="11" t="inlineStr"/>
      <c r="L222" s="11" t="inlineStr"/>
    </row>
    <row r="223">
      <c r="B223" s="11">
        <f>IFERROR(INDEX(RECON_RESULTS!$A$2:$A$1001,SMALL(IF(RECON_RESULTS!$A$2:$A$1001="Unmatched GL",ROW(RECON_RESULTS!$A$2:$A$1001)-1),17)),"")</f>
        <v/>
      </c>
      <c r="C223" s="10">
        <f>IF(B223="","",INDEX(RECON_RESULTS!$C$2:$C$1001,SMALL(IF(RECON_RESULTS!$A$2:$A$1001="Unmatched GL",ROW(RECON_RESULTS!$A$2:$A$1001)-1),17)))</f>
        <v/>
      </c>
      <c r="D223" s="11">
        <f>IF(B223="","",INDEX(RECON_RESULTS!$B$2:$B$1001,SMALL(IF(RECON_RESULTS!$A$2:$A$1001="Unmatched GL",ROW(RECON_RESULTS!$A$2:$A$1001)-1),17)))</f>
        <v/>
      </c>
      <c r="E223" s="16">
        <f>IF(B223="","",INDEX(RECON_RESULTS!$D$2:$D$1001,SMALL(IF(RECON_RESULTS!$A$2:$A$1001="Unmatched GL",ROW(RECON_RESULTS!$A$2:$A$1001)-1),17)))</f>
        <v/>
      </c>
      <c r="F223" s="11">
        <f>IF(B223="","",INDEX(RECON_RESULTS!$E$2:$E$1001,SMALL(IF(RECON_RESULTS!$A$2:$A$1001="Unmatched GL",ROW(RECON_RESULTS!$A$2:$A$1001)-1),17)))</f>
        <v/>
      </c>
      <c r="G223" s="11">
        <f>IF(B223="","",INDEX(RECON_RESULTS!$M$2:$M$1001,SMALL(IF(RECON_RESULTS!$A$2:$A$1001="Unmatched GL",ROW(RECON_RESULTS!$A$2:$A$1001)-1),17)))</f>
        <v/>
      </c>
      <c r="H223" s="11">
        <f>IF(B223="","",INDEX(RECON_RESULTS!$N$2:$N$1001,SMALL(IF(RECON_RESULTS!$A$2:$A$1001="Unmatched GL",ROW(RECON_RESULTS!$A$2:$A$1001)-1),17)))</f>
        <v/>
      </c>
      <c r="I223" s="11" t="inlineStr"/>
      <c r="J223" s="11" t="inlineStr"/>
      <c r="K223" s="11" t="inlineStr"/>
      <c r="L223" s="11" t="inlineStr"/>
    </row>
    <row r="224">
      <c r="B224" s="11">
        <f>IFERROR(INDEX(RECON_RESULTS!$A$2:$A$1001,SMALL(IF(RECON_RESULTS!$A$2:$A$1001="Unmatched GL",ROW(RECON_RESULTS!$A$2:$A$1001)-1),18)),"")</f>
        <v/>
      </c>
      <c r="C224" s="10">
        <f>IF(B224="","",INDEX(RECON_RESULTS!$C$2:$C$1001,SMALL(IF(RECON_RESULTS!$A$2:$A$1001="Unmatched GL",ROW(RECON_RESULTS!$A$2:$A$1001)-1),18)))</f>
        <v/>
      </c>
      <c r="D224" s="11">
        <f>IF(B224="","",INDEX(RECON_RESULTS!$B$2:$B$1001,SMALL(IF(RECON_RESULTS!$A$2:$A$1001="Unmatched GL",ROW(RECON_RESULTS!$A$2:$A$1001)-1),18)))</f>
        <v/>
      </c>
      <c r="E224" s="16">
        <f>IF(B224="","",INDEX(RECON_RESULTS!$D$2:$D$1001,SMALL(IF(RECON_RESULTS!$A$2:$A$1001="Unmatched GL",ROW(RECON_RESULTS!$A$2:$A$1001)-1),18)))</f>
        <v/>
      </c>
      <c r="F224" s="11">
        <f>IF(B224="","",INDEX(RECON_RESULTS!$E$2:$E$1001,SMALL(IF(RECON_RESULTS!$A$2:$A$1001="Unmatched GL",ROW(RECON_RESULTS!$A$2:$A$1001)-1),18)))</f>
        <v/>
      </c>
      <c r="G224" s="11">
        <f>IF(B224="","",INDEX(RECON_RESULTS!$M$2:$M$1001,SMALL(IF(RECON_RESULTS!$A$2:$A$1001="Unmatched GL",ROW(RECON_RESULTS!$A$2:$A$1001)-1),18)))</f>
        <v/>
      </c>
      <c r="H224" s="11">
        <f>IF(B224="","",INDEX(RECON_RESULTS!$N$2:$N$1001,SMALL(IF(RECON_RESULTS!$A$2:$A$1001="Unmatched GL",ROW(RECON_RESULTS!$A$2:$A$1001)-1),18)))</f>
        <v/>
      </c>
      <c r="I224" s="11" t="inlineStr"/>
      <c r="J224" s="11" t="inlineStr"/>
      <c r="K224" s="11" t="inlineStr"/>
      <c r="L224" s="11" t="inlineStr"/>
    </row>
    <row r="225">
      <c r="B225" s="11">
        <f>IFERROR(INDEX(RECON_RESULTS!$A$2:$A$1001,SMALL(IF(RECON_RESULTS!$A$2:$A$1001="Unmatched GL",ROW(RECON_RESULTS!$A$2:$A$1001)-1),19)),"")</f>
        <v/>
      </c>
      <c r="C225" s="10">
        <f>IF(B225="","",INDEX(RECON_RESULTS!$C$2:$C$1001,SMALL(IF(RECON_RESULTS!$A$2:$A$1001="Unmatched GL",ROW(RECON_RESULTS!$A$2:$A$1001)-1),19)))</f>
        <v/>
      </c>
      <c r="D225" s="11">
        <f>IF(B225="","",INDEX(RECON_RESULTS!$B$2:$B$1001,SMALL(IF(RECON_RESULTS!$A$2:$A$1001="Unmatched GL",ROW(RECON_RESULTS!$A$2:$A$1001)-1),19)))</f>
        <v/>
      </c>
      <c r="E225" s="16">
        <f>IF(B225="","",INDEX(RECON_RESULTS!$D$2:$D$1001,SMALL(IF(RECON_RESULTS!$A$2:$A$1001="Unmatched GL",ROW(RECON_RESULTS!$A$2:$A$1001)-1),19)))</f>
        <v/>
      </c>
      <c r="F225" s="11">
        <f>IF(B225="","",INDEX(RECON_RESULTS!$E$2:$E$1001,SMALL(IF(RECON_RESULTS!$A$2:$A$1001="Unmatched GL",ROW(RECON_RESULTS!$A$2:$A$1001)-1),19)))</f>
        <v/>
      </c>
      <c r="G225" s="11">
        <f>IF(B225="","",INDEX(RECON_RESULTS!$M$2:$M$1001,SMALL(IF(RECON_RESULTS!$A$2:$A$1001="Unmatched GL",ROW(RECON_RESULTS!$A$2:$A$1001)-1),19)))</f>
        <v/>
      </c>
      <c r="H225" s="11">
        <f>IF(B225="","",INDEX(RECON_RESULTS!$N$2:$N$1001,SMALL(IF(RECON_RESULTS!$A$2:$A$1001="Unmatched GL",ROW(RECON_RESULTS!$A$2:$A$1001)-1),19)))</f>
        <v/>
      </c>
      <c r="I225" s="11" t="inlineStr"/>
      <c r="J225" s="11" t="inlineStr"/>
      <c r="K225" s="11" t="inlineStr"/>
      <c r="L225" s="11" t="inlineStr"/>
    </row>
    <row r="226">
      <c r="B226" s="11">
        <f>IFERROR(INDEX(RECON_RESULTS!$A$2:$A$1001,SMALL(IF(RECON_RESULTS!$A$2:$A$1001="Unmatched GL",ROW(RECON_RESULTS!$A$2:$A$1001)-1),20)),"")</f>
        <v/>
      </c>
      <c r="C226" s="10">
        <f>IF(B226="","",INDEX(RECON_RESULTS!$C$2:$C$1001,SMALL(IF(RECON_RESULTS!$A$2:$A$1001="Unmatched GL",ROW(RECON_RESULTS!$A$2:$A$1001)-1),20)))</f>
        <v/>
      </c>
      <c r="D226" s="11">
        <f>IF(B226="","",INDEX(RECON_RESULTS!$B$2:$B$1001,SMALL(IF(RECON_RESULTS!$A$2:$A$1001="Unmatched GL",ROW(RECON_RESULTS!$A$2:$A$1001)-1),20)))</f>
        <v/>
      </c>
      <c r="E226" s="16">
        <f>IF(B226="","",INDEX(RECON_RESULTS!$D$2:$D$1001,SMALL(IF(RECON_RESULTS!$A$2:$A$1001="Unmatched GL",ROW(RECON_RESULTS!$A$2:$A$1001)-1),20)))</f>
        <v/>
      </c>
      <c r="F226" s="11">
        <f>IF(B226="","",INDEX(RECON_RESULTS!$E$2:$E$1001,SMALL(IF(RECON_RESULTS!$A$2:$A$1001="Unmatched GL",ROW(RECON_RESULTS!$A$2:$A$1001)-1),20)))</f>
        <v/>
      </c>
      <c r="G226" s="11">
        <f>IF(B226="","",INDEX(RECON_RESULTS!$M$2:$M$1001,SMALL(IF(RECON_RESULTS!$A$2:$A$1001="Unmatched GL",ROW(RECON_RESULTS!$A$2:$A$1001)-1),20)))</f>
        <v/>
      </c>
      <c r="H226" s="11">
        <f>IF(B226="","",INDEX(RECON_RESULTS!$N$2:$N$1001,SMALL(IF(RECON_RESULTS!$A$2:$A$1001="Unmatched GL",ROW(RECON_RESULTS!$A$2:$A$1001)-1),20)))</f>
        <v/>
      </c>
      <c r="I226" s="11" t="inlineStr"/>
      <c r="J226" s="11" t="inlineStr"/>
      <c r="K226" s="11" t="inlineStr"/>
      <c r="L226" s="11" t="inlineStr"/>
    </row>
    <row r="227">
      <c r="B227" s="11">
        <f>IFERROR(INDEX(RECON_RESULTS!$A$2:$A$1001,SMALL(IF(RECON_RESULTS!$A$2:$A$1001="Unmatched GL",ROW(RECON_RESULTS!$A$2:$A$1001)-1),21)),"")</f>
        <v/>
      </c>
      <c r="C227" s="10">
        <f>IF(B227="","",INDEX(RECON_RESULTS!$C$2:$C$1001,SMALL(IF(RECON_RESULTS!$A$2:$A$1001="Unmatched GL",ROW(RECON_RESULTS!$A$2:$A$1001)-1),21)))</f>
        <v/>
      </c>
      <c r="D227" s="11">
        <f>IF(B227="","",INDEX(RECON_RESULTS!$B$2:$B$1001,SMALL(IF(RECON_RESULTS!$A$2:$A$1001="Unmatched GL",ROW(RECON_RESULTS!$A$2:$A$1001)-1),21)))</f>
        <v/>
      </c>
      <c r="E227" s="16">
        <f>IF(B227="","",INDEX(RECON_RESULTS!$D$2:$D$1001,SMALL(IF(RECON_RESULTS!$A$2:$A$1001="Unmatched GL",ROW(RECON_RESULTS!$A$2:$A$1001)-1),21)))</f>
        <v/>
      </c>
      <c r="F227" s="11">
        <f>IF(B227="","",INDEX(RECON_RESULTS!$E$2:$E$1001,SMALL(IF(RECON_RESULTS!$A$2:$A$1001="Unmatched GL",ROW(RECON_RESULTS!$A$2:$A$1001)-1),21)))</f>
        <v/>
      </c>
      <c r="G227" s="11">
        <f>IF(B227="","",INDEX(RECON_RESULTS!$M$2:$M$1001,SMALL(IF(RECON_RESULTS!$A$2:$A$1001="Unmatched GL",ROW(RECON_RESULTS!$A$2:$A$1001)-1),21)))</f>
        <v/>
      </c>
      <c r="H227" s="11">
        <f>IF(B227="","",INDEX(RECON_RESULTS!$N$2:$N$1001,SMALL(IF(RECON_RESULTS!$A$2:$A$1001="Unmatched GL",ROW(RECON_RESULTS!$A$2:$A$1001)-1),21)))</f>
        <v/>
      </c>
      <c r="I227" s="11" t="inlineStr"/>
      <c r="J227" s="11" t="inlineStr"/>
      <c r="K227" s="11" t="inlineStr"/>
      <c r="L227" s="11" t="inlineStr"/>
    </row>
    <row r="228">
      <c r="B228" s="11">
        <f>IFERROR(INDEX(RECON_RESULTS!$A$2:$A$1001,SMALL(IF(RECON_RESULTS!$A$2:$A$1001="Unmatched GL",ROW(RECON_RESULTS!$A$2:$A$1001)-1),22)),"")</f>
        <v/>
      </c>
      <c r="C228" s="10">
        <f>IF(B228="","",INDEX(RECON_RESULTS!$C$2:$C$1001,SMALL(IF(RECON_RESULTS!$A$2:$A$1001="Unmatched GL",ROW(RECON_RESULTS!$A$2:$A$1001)-1),22)))</f>
        <v/>
      </c>
      <c r="D228" s="11">
        <f>IF(B228="","",INDEX(RECON_RESULTS!$B$2:$B$1001,SMALL(IF(RECON_RESULTS!$A$2:$A$1001="Unmatched GL",ROW(RECON_RESULTS!$A$2:$A$1001)-1),22)))</f>
        <v/>
      </c>
      <c r="E228" s="16">
        <f>IF(B228="","",INDEX(RECON_RESULTS!$D$2:$D$1001,SMALL(IF(RECON_RESULTS!$A$2:$A$1001="Unmatched GL",ROW(RECON_RESULTS!$A$2:$A$1001)-1),22)))</f>
        <v/>
      </c>
      <c r="F228" s="11">
        <f>IF(B228="","",INDEX(RECON_RESULTS!$E$2:$E$1001,SMALL(IF(RECON_RESULTS!$A$2:$A$1001="Unmatched GL",ROW(RECON_RESULTS!$A$2:$A$1001)-1),22)))</f>
        <v/>
      </c>
      <c r="G228" s="11">
        <f>IF(B228="","",INDEX(RECON_RESULTS!$M$2:$M$1001,SMALL(IF(RECON_RESULTS!$A$2:$A$1001="Unmatched GL",ROW(RECON_RESULTS!$A$2:$A$1001)-1),22)))</f>
        <v/>
      </c>
      <c r="H228" s="11">
        <f>IF(B228="","",INDEX(RECON_RESULTS!$N$2:$N$1001,SMALL(IF(RECON_RESULTS!$A$2:$A$1001="Unmatched GL",ROW(RECON_RESULTS!$A$2:$A$1001)-1),22)))</f>
        <v/>
      </c>
      <c r="I228" s="11" t="inlineStr"/>
      <c r="J228" s="11" t="inlineStr"/>
      <c r="K228" s="11" t="inlineStr"/>
      <c r="L228" s="11" t="inlineStr"/>
    </row>
    <row r="229">
      <c r="B229" s="11">
        <f>IFERROR(INDEX(RECON_RESULTS!$A$2:$A$1001,SMALL(IF(RECON_RESULTS!$A$2:$A$1001="Unmatched GL",ROW(RECON_RESULTS!$A$2:$A$1001)-1),23)),"")</f>
        <v/>
      </c>
      <c r="C229" s="10">
        <f>IF(B229="","",INDEX(RECON_RESULTS!$C$2:$C$1001,SMALL(IF(RECON_RESULTS!$A$2:$A$1001="Unmatched GL",ROW(RECON_RESULTS!$A$2:$A$1001)-1),23)))</f>
        <v/>
      </c>
      <c r="D229" s="11">
        <f>IF(B229="","",INDEX(RECON_RESULTS!$B$2:$B$1001,SMALL(IF(RECON_RESULTS!$A$2:$A$1001="Unmatched GL",ROW(RECON_RESULTS!$A$2:$A$1001)-1),23)))</f>
        <v/>
      </c>
      <c r="E229" s="16">
        <f>IF(B229="","",INDEX(RECON_RESULTS!$D$2:$D$1001,SMALL(IF(RECON_RESULTS!$A$2:$A$1001="Unmatched GL",ROW(RECON_RESULTS!$A$2:$A$1001)-1),23)))</f>
        <v/>
      </c>
      <c r="F229" s="11">
        <f>IF(B229="","",INDEX(RECON_RESULTS!$E$2:$E$1001,SMALL(IF(RECON_RESULTS!$A$2:$A$1001="Unmatched GL",ROW(RECON_RESULTS!$A$2:$A$1001)-1),23)))</f>
        <v/>
      </c>
      <c r="G229" s="11">
        <f>IF(B229="","",INDEX(RECON_RESULTS!$M$2:$M$1001,SMALL(IF(RECON_RESULTS!$A$2:$A$1001="Unmatched GL",ROW(RECON_RESULTS!$A$2:$A$1001)-1),23)))</f>
        <v/>
      </c>
      <c r="H229" s="11">
        <f>IF(B229="","",INDEX(RECON_RESULTS!$N$2:$N$1001,SMALL(IF(RECON_RESULTS!$A$2:$A$1001="Unmatched GL",ROW(RECON_RESULTS!$A$2:$A$1001)-1),23)))</f>
        <v/>
      </c>
      <c r="I229" s="11" t="inlineStr"/>
      <c r="J229" s="11" t="inlineStr"/>
      <c r="K229" s="11" t="inlineStr"/>
      <c r="L229" s="11" t="inlineStr"/>
    </row>
    <row r="230">
      <c r="B230" s="11">
        <f>IFERROR(INDEX(RECON_RESULTS!$A$2:$A$1001,SMALL(IF(RECON_RESULTS!$A$2:$A$1001="Unmatched GL",ROW(RECON_RESULTS!$A$2:$A$1001)-1),24)),"")</f>
        <v/>
      </c>
      <c r="C230" s="10">
        <f>IF(B230="","",INDEX(RECON_RESULTS!$C$2:$C$1001,SMALL(IF(RECON_RESULTS!$A$2:$A$1001="Unmatched GL",ROW(RECON_RESULTS!$A$2:$A$1001)-1),24)))</f>
        <v/>
      </c>
      <c r="D230" s="11">
        <f>IF(B230="","",INDEX(RECON_RESULTS!$B$2:$B$1001,SMALL(IF(RECON_RESULTS!$A$2:$A$1001="Unmatched GL",ROW(RECON_RESULTS!$A$2:$A$1001)-1),24)))</f>
        <v/>
      </c>
      <c r="E230" s="16">
        <f>IF(B230="","",INDEX(RECON_RESULTS!$D$2:$D$1001,SMALL(IF(RECON_RESULTS!$A$2:$A$1001="Unmatched GL",ROW(RECON_RESULTS!$A$2:$A$1001)-1),24)))</f>
        <v/>
      </c>
      <c r="F230" s="11">
        <f>IF(B230="","",INDEX(RECON_RESULTS!$E$2:$E$1001,SMALL(IF(RECON_RESULTS!$A$2:$A$1001="Unmatched GL",ROW(RECON_RESULTS!$A$2:$A$1001)-1),24)))</f>
        <v/>
      </c>
      <c r="G230" s="11">
        <f>IF(B230="","",INDEX(RECON_RESULTS!$M$2:$M$1001,SMALL(IF(RECON_RESULTS!$A$2:$A$1001="Unmatched GL",ROW(RECON_RESULTS!$A$2:$A$1001)-1),24)))</f>
        <v/>
      </c>
      <c r="H230" s="11">
        <f>IF(B230="","",INDEX(RECON_RESULTS!$N$2:$N$1001,SMALL(IF(RECON_RESULTS!$A$2:$A$1001="Unmatched GL",ROW(RECON_RESULTS!$A$2:$A$1001)-1),24)))</f>
        <v/>
      </c>
      <c r="I230" s="11" t="inlineStr"/>
      <c r="J230" s="11" t="inlineStr"/>
      <c r="K230" s="11" t="inlineStr"/>
      <c r="L230" s="11" t="inlineStr"/>
    </row>
    <row r="231">
      <c r="B231" s="11">
        <f>IFERROR(INDEX(RECON_RESULTS!$A$2:$A$1001,SMALL(IF(RECON_RESULTS!$A$2:$A$1001="Unmatched GL",ROW(RECON_RESULTS!$A$2:$A$1001)-1),25)),"")</f>
        <v/>
      </c>
      <c r="C231" s="10">
        <f>IF(B231="","",INDEX(RECON_RESULTS!$C$2:$C$1001,SMALL(IF(RECON_RESULTS!$A$2:$A$1001="Unmatched GL",ROW(RECON_RESULTS!$A$2:$A$1001)-1),25)))</f>
        <v/>
      </c>
      <c r="D231" s="11">
        <f>IF(B231="","",INDEX(RECON_RESULTS!$B$2:$B$1001,SMALL(IF(RECON_RESULTS!$A$2:$A$1001="Unmatched GL",ROW(RECON_RESULTS!$A$2:$A$1001)-1),25)))</f>
        <v/>
      </c>
      <c r="E231" s="16">
        <f>IF(B231="","",INDEX(RECON_RESULTS!$D$2:$D$1001,SMALL(IF(RECON_RESULTS!$A$2:$A$1001="Unmatched GL",ROW(RECON_RESULTS!$A$2:$A$1001)-1),25)))</f>
        <v/>
      </c>
      <c r="F231" s="11">
        <f>IF(B231="","",INDEX(RECON_RESULTS!$E$2:$E$1001,SMALL(IF(RECON_RESULTS!$A$2:$A$1001="Unmatched GL",ROW(RECON_RESULTS!$A$2:$A$1001)-1),25)))</f>
        <v/>
      </c>
      <c r="G231" s="11">
        <f>IF(B231="","",INDEX(RECON_RESULTS!$M$2:$M$1001,SMALL(IF(RECON_RESULTS!$A$2:$A$1001="Unmatched GL",ROW(RECON_RESULTS!$A$2:$A$1001)-1),25)))</f>
        <v/>
      </c>
      <c r="H231" s="11">
        <f>IF(B231="","",INDEX(RECON_RESULTS!$N$2:$N$1001,SMALL(IF(RECON_RESULTS!$A$2:$A$1001="Unmatched GL",ROW(RECON_RESULTS!$A$2:$A$1001)-1),25)))</f>
        <v/>
      </c>
      <c r="I231" s="11" t="inlineStr"/>
      <c r="J231" s="11" t="inlineStr"/>
      <c r="K231" s="11" t="inlineStr"/>
      <c r="L231" s="11" t="inlineStr"/>
    </row>
    <row r="232">
      <c r="B232" s="11">
        <f>IFERROR(INDEX(RECON_RESULTS!$A$2:$A$1001,SMALL(IF(RECON_RESULTS!$A$2:$A$1001="Unmatched GL",ROW(RECON_RESULTS!$A$2:$A$1001)-1),26)),"")</f>
        <v/>
      </c>
      <c r="C232" s="10">
        <f>IF(B232="","",INDEX(RECON_RESULTS!$C$2:$C$1001,SMALL(IF(RECON_RESULTS!$A$2:$A$1001="Unmatched GL",ROW(RECON_RESULTS!$A$2:$A$1001)-1),26)))</f>
        <v/>
      </c>
      <c r="D232" s="11">
        <f>IF(B232="","",INDEX(RECON_RESULTS!$B$2:$B$1001,SMALL(IF(RECON_RESULTS!$A$2:$A$1001="Unmatched GL",ROW(RECON_RESULTS!$A$2:$A$1001)-1),26)))</f>
        <v/>
      </c>
      <c r="E232" s="16">
        <f>IF(B232="","",INDEX(RECON_RESULTS!$D$2:$D$1001,SMALL(IF(RECON_RESULTS!$A$2:$A$1001="Unmatched GL",ROW(RECON_RESULTS!$A$2:$A$1001)-1),26)))</f>
        <v/>
      </c>
      <c r="F232" s="11">
        <f>IF(B232="","",INDEX(RECON_RESULTS!$E$2:$E$1001,SMALL(IF(RECON_RESULTS!$A$2:$A$1001="Unmatched GL",ROW(RECON_RESULTS!$A$2:$A$1001)-1),26)))</f>
        <v/>
      </c>
      <c r="G232" s="11">
        <f>IF(B232="","",INDEX(RECON_RESULTS!$M$2:$M$1001,SMALL(IF(RECON_RESULTS!$A$2:$A$1001="Unmatched GL",ROW(RECON_RESULTS!$A$2:$A$1001)-1),26)))</f>
        <v/>
      </c>
      <c r="H232" s="11">
        <f>IF(B232="","",INDEX(RECON_RESULTS!$N$2:$N$1001,SMALL(IF(RECON_RESULTS!$A$2:$A$1001="Unmatched GL",ROW(RECON_RESULTS!$A$2:$A$1001)-1),26)))</f>
        <v/>
      </c>
      <c r="I232" s="11" t="inlineStr"/>
      <c r="J232" s="11" t="inlineStr"/>
      <c r="K232" s="11" t="inlineStr"/>
      <c r="L232" s="11" t="inlineStr"/>
    </row>
    <row r="233">
      <c r="B233" s="11">
        <f>IFERROR(INDEX(RECON_RESULTS!$A$2:$A$1001,SMALL(IF(RECON_RESULTS!$A$2:$A$1001="Unmatched GL",ROW(RECON_RESULTS!$A$2:$A$1001)-1),27)),"")</f>
        <v/>
      </c>
      <c r="C233" s="10">
        <f>IF(B233="","",INDEX(RECON_RESULTS!$C$2:$C$1001,SMALL(IF(RECON_RESULTS!$A$2:$A$1001="Unmatched GL",ROW(RECON_RESULTS!$A$2:$A$1001)-1),27)))</f>
        <v/>
      </c>
      <c r="D233" s="11">
        <f>IF(B233="","",INDEX(RECON_RESULTS!$B$2:$B$1001,SMALL(IF(RECON_RESULTS!$A$2:$A$1001="Unmatched GL",ROW(RECON_RESULTS!$A$2:$A$1001)-1),27)))</f>
        <v/>
      </c>
      <c r="E233" s="16">
        <f>IF(B233="","",INDEX(RECON_RESULTS!$D$2:$D$1001,SMALL(IF(RECON_RESULTS!$A$2:$A$1001="Unmatched GL",ROW(RECON_RESULTS!$A$2:$A$1001)-1),27)))</f>
        <v/>
      </c>
      <c r="F233" s="11">
        <f>IF(B233="","",INDEX(RECON_RESULTS!$E$2:$E$1001,SMALL(IF(RECON_RESULTS!$A$2:$A$1001="Unmatched GL",ROW(RECON_RESULTS!$A$2:$A$1001)-1),27)))</f>
        <v/>
      </c>
      <c r="G233" s="11">
        <f>IF(B233="","",INDEX(RECON_RESULTS!$M$2:$M$1001,SMALL(IF(RECON_RESULTS!$A$2:$A$1001="Unmatched GL",ROW(RECON_RESULTS!$A$2:$A$1001)-1),27)))</f>
        <v/>
      </c>
      <c r="H233" s="11">
        <f>IF(B233="","",INDEX(RECON_RESULTS!$N$2:$N$1001,SMALL(IF(RECON_RESULTS!$A$2:$A$1001="Unmatched GL",ROW(RECON_RESULTS!$A$2:$A$1001)-1),27)))</f>
        <v/>
      </c>
      <c r="I233" s="11" t="inlineStr"/>
      <c r="J233" s="11" t="inlineStr"/>
      <c r="K233" s="11" t="inlineStr"/>
      <c r="L233" s="11" t="inlineStr"/>
    </row>
    <row r="234">
      <c r="B234" s="11">
        <f>IFERROR(INDEX(RECON_RESULTS!$A$2:$A$1001,SMALL(IF(RECON_RESULTS!$A$2:$A$1001="Unmatched GL",ROW(RECON_RESULTS!$A$2:$A$1001)-1),28)),"")</f>
        <v/>
      </c>
      <c r="C234" s="10">
        <f>IF(B234="","",INDEX(RECON_RESULTS!$C$2:$C$1001,SMALL(IF(RECON_RESULTS!$A$2:$A$1001="Unmatched GL",ROW(RECON_RESULTS!$A$2:$A$1001)-1),28)))</f>
        <v/>
      </c>
      <c r="D234" s="11">
        <f>IF(B234="","",INDEX(RECON_RESULTS!$B$2:$B$1001,SMALL(IF(RECON_RESULTS!$A$2:$A$1001="Unmatched GL",ROW(RECON_RESULTS!$A$2:$A$1001)-1),28)))</f>
        <v/>
      </c>
      <c r="E234" s="16">
        <f>IF(B234="","",INDEX(RECON_RESULTS!$D$2:$D$1001,SMALL(IF(RECON_RESULTS!$A$2:$A$1001="Unmatched GL",ROW(RECON_RESULTS!$A$2:$A$1001)-1),28)))</f>
        <v/>
      </c>
      <c r="F234" s="11">
        <f>IF(B234="","",INDEX(RECON_RESULTS!$E$2:$E$1001,SMALL(IF(RECON_RESULTS!$A$2:$A$1001="Unmatched GL",ROW(RECON_RESULTS!$A$2:$A$1001)-1),28)))</f>
        <v/>
      </c>
      <c r="G234" s="11">
        <f>IF(B234="","",INDEX(RECON_RESULTS!$M$2:$M$1001,SMALL(IF(RECON_RESULTS!$A$2:$A$1001="Unmatched GL",ROW(RECON_RESULTS!$A$2:$A$1001)-1),28)))</f>
        <v/>
      </c>
      <c r="H234" s="11">
        <f>IF(B234="","",INDEX(RECON_RESULTS!$N$2:$N$1001,SMALL(IF(RECON_RESULTS!$A$2:$A$1001="Unmatched GL",ROW(RECON_RESULTS!$A$2:$A$1001)-1),28)))</f>
        <v/>
      </c>
      <c r="I234" s="11" t="inlineStr"/>
      <c r="J234" s="11" t="inlineStr"/>
      <c r="K234" s="11" t="inlineStr"/>
      <c r="L234" s="11" t="inlineStr"/>
    </row>
    <row r="235">
      <c r="B235" s="11">
        <f>IFERROR(INDEX(RECON_RESULTS!$A$2:$A$1001,SMALL(IF(RECON_RESULTS!$A$2:$A$1001="Unmatched GL",ROW(RECON_RESULTS!$A$2:$A$1001)-1),29)),"")</f>
        <v/>
      </c>
      <c r="C235" s="10">
        <f>IF(B235="","",INDEX(RECON_RESULTS!$C$2:$C$1001,SMALL(IF(RECON_RESULTS!$A$2:$A$1001="Unmatched GL",ROW(RECON_RESULTS!$A$2:$A$1001)-1),29)))</f>
        <v/>
      </c>
      <c r="D235" s="11">
        <f>IF(B235="","",INDEX(RECON_RESULTS!$B$2:$B$1001,SMALL(IF(RECON_RESULTS!$A$2:$A$1001="Unmatched GL",ROW(RECON_RESULTS!$A$2:$A$1001)-1),29)))</f>
        <v/>
      </c>
      <c r="E235" s="16">
        <f>IF(B235="","",INDEX(RECON_RESULTS!$D$2:$D$1001,SMALL(IF(RECON_RESULTS!$A$2:$A$1001="Unmatched GL",ROW(RECON_RESULTS!$A$2:$A$1001)-1),29)))</f>
        <v/>
      </c>
      <c r="F235" s="11">
        <f>IF(B235="","",INDEX(RECON_RESULTS!$E$2:$E$1001,SMALL(IF(RECON_RESULTS!$A$2:$A$1001="Unmatched GL",ROW(RECON_RESULTS!$A$2:$A$1001)-1),29)))</f>
        <v/>
      </c>
      <c r="G235" s="11">
        <f>IF(B235="","",INDEX(RECON_RESULTS!$M$2:$M$1001,SMALL(IF(RECON_RESULTS!$A$2:$A$1001="Unmatched GL",ROW(RECON_RESULTS!$A$2:$A$1001)-1),29)))</f>
        <v/>
      </c>
      <c r="H235" s="11">
        <f>IF(B235="","",INDEX(RECON_RESULTS!$N$2:$N$1001,SMALL(IF(RECON_RESULTS!$A$2:$A$1001="Unmatched GL",ROW(RECON_RESULTS!$A$2:$A$1001)-1),29)))</f>
        <v/>
      </c>
      <c r="I235" s="11" t="inlineStr"/>
      <c r="J235" s="11" t="inlineStr"/>
      <c r="K235" s="11" t="inlineStr"/>
      <c r="L235" s="11" t="inlineStr"/>
    </row>
    <row r="236">
      <c r="B236" s="11">
        <f>IFERROR(INDEX(RECON_RESULTS!$A$2:$A$1001,SMALL(IF(RECON_RESULTS!$A$2:$A$1001="Unmatched GL",ROW(RECON_RESULTS!$A$2:$A$1001)-1),30)),"")</f>
        <v/>
      </c>
      <c r="C236" s="10">
        <f>IF(B236="","",INDEX(RECON_RESULTS!$C$2:$C$1001,SMALL(IF(RECON_RESULTS!$A$2:$A$1001="Unmatched GL",ROW(RECON_RESULTS!$A$2:$A$1001)-1),30)))</f>
        <v/>
      </c>
      <c r="D236" s="11">
        <f>IF(B236="","",INDEX(RECON_RESULTS!$B$2:$B$1001,SMALL(IF(RECON_RESULTS!$A$2:$A$1001="Unmatched GL",ROW(RECON_RESULTS!$A$2:$A$1001)-1),30)))</f>
        <v/>
      </c>
      <c r="E236" s="16">
        <f>IF(B236="","",INDEX(RECON_RESULTS!$D$2:$D$1001,SMALL(IF(RECON_RESULTS!$A$2:$A$1001="Unmatched GL",ROW(RECON_RESULTS!$A$2:$A$1001)-1),30)))</f>
        <v/>
      </c>
      <c r="F236" s="11">
        <f>IF(B236="","",INDEX(RECON_RESULTS!$E$2:$E$1001,SMALL(IF(RECON_RESULTS!$A$2:$A$1001="Unmatched GL",ROW(RECON_RESULTS!$A$2:$A$1001)-1),30)))</f>
        <v/>
      </c>
      <c r="G236" s="11">
        <f>IF(B236="","",INDEX(RECON_RESULTS!$M$2:$M$1001,SMALL(IF(RECON_RESULTS!$A$2:$A$1001="Unmatched GL",ROW(RECON_RESULTS!$A$2:$A$1001)-1),30)))</f>
        <v/>
      </c>
      <c r="H236" s="11">
        <f>IF(B236="","",INDEX(RECON_RESULTS!$N$2:$N$1001,SMALL(IF(RECON_RESULTS!$A$2:$A$1001="Unmatched GL",ROW(RECON_RESULTS!$A$2:$A$1001)-1),30)))</f>
        <v/>
      </c>
      <c r="I236" s="11" t="inlineStr"/>
      <c r="J236" s="11" t="inlineStr"/>
      <c r="K236" s="11" t="inlineStr"/>
      <c r="L236" s="11" t="inlineStr"/>
    </row>
    <row r="237">
      <c r="B237" s="11">
        <f>IFERROR(INDEX(RECON_RESULTS!$A$2:$A$1001,SMALL(IF(RECON_RESULTS!$A$2:$A$1001="Unmatched GL",ROW(RECON_RESULTS!$A$2:$A$1001)-1),31)),"")</f>
        <v/>
      </c>
      <c r="C237" s="10">
        <f>IF(B237="","",INDEX(RECON_RESULTS!$C$2:$C$1001,SMALL(IF(RECON_RESULTS!$A$2:$A$1001="Unmatched GL",ROW(RECON_RESULTS!$A$2:$A$1001)-1),31)))</f>
        <v/>
      </c>
      <c r="D237" s="11">
        <f>IF(B237="","",INDEX(RECON_RESULTS!$B$2:$B$1001,SMALL(IF(RECON_RESULTS!$A$2:$A$1001="Unmatched GL",ROW(RECON_RESULTS!$A$2:$A$1001)-1),31)))</f>
        <v/>
      </c>
      <c r="E237" s="16">
        <f>IF(B237="","",INDEX(RECON_RESULTS!$D$2:$D$1001,SMALL(IF(RECON_RESULTS!$A$2:$A$1001="Unmatched GL",ROW(RECON_RESULTS!$A$2:$A$1001)-1),31)))</f>
        <v/>
      </c>
      <c r="F237" s="11">
        <f>IF(B237="","",INDEX(RECON_RESULTS!$E$2:$E$1001,SMALL(IF(RECON_RESULTS!$A$2:$A$1001="Unmatched GL",ROW(RECON_RESULTS!$A$2:$A$1001)-1),31)))</f>
        <v/>
      </c>
      <c r="G237" s="11">
        <f>IF(B237="","",INDEX(RECON_RESULTS!$M$2:$M$1001,SMALL(IF(RECON_RESULTS!$A$2:$A$1001="Unmatched GL",ROW(RECON_RESULTS!$A$2:$A$1001)-1),31)))</f>
        <v/>
      </c>
      <c r="H237" s="11">
        <f>IF(B237="","",INDEX(RECON_RESULTS!$N$2:$N$1001,SMALL(IF(RECON_RESULTS!$A$2:$A$1001="Unmatched GL",ROW(RECON_RESULTS!$A$2:$A$1001)-1),31)))</f>
        <v/>
      </c>
      <c r="I237" s="11" t="inlineStr"/>
      <c r="J237" s="11" t="inlineStr"/>
      <c r="K237" s="11" t="inlineStr"/>
      <c r="L237" s="11" t="inlineStr"/>
    </row>
    <row r="238">
      <c r="B238" s="11">
        <f>IFERROR(INDEX(RECON_RESULTS!$A$2:$A$1001,SMALL(IF(RECON_RESULTS!$A$2:$A$1001="Unmatched GL",ROW(RECON_RESULTS!$A$2:$A$1001)-1),32)),"")</f>
        <v/>
      </c>
      <c r="C238" s="10">
        <f>IF(B238="","",INDEX(RECON_RESULTS!$C$2:$C$1001,SMALL(IF(RECON_RESULTS!$A$2:$A$1001="Unmatched GL",ROW(RECON_RESULTS!$A$2:$A$1001)-1),32)))</f>
        <v/>
      </c>
      <c r="D238" s="11">
        <f>IF(B238="","",INDEX(RECON_RESULTS!$B$2:$B$1001,SMALL(IF(RECON_RESULTS!$A$2:$A$1001="Unmatched GL",ROW(RECON_RESULTS!$A$2:$A$1001)-1),32)))</f>
        <v/>
      </c>
      <c r="E238" s="16">
        <f>IF(B238="","",INDEX(RECON_RESULTS!$D$2:$D$1001,SMALL(IF(RECON_RESULTS!$A$2:$A$1001="Unmatched GL",ROW(RECON_RESULTS!$A$2:$A$1001)-1),32)))</f>
        <v/>
      </c>
      <c r="F238" s="11">
        <f>IF(B238="","",INDEX(RECON_RESULTS!$E$2:$E$1001,SMALL(IF(RECON_RESULTS!$A$2:$A$1001="Unmatched GL",ROW(RECON_RESULTS!$A$2:$A$1001)-1),32)))</f>
        <v/>
      </c>
      <c r="G238" s="11">
        <f>IF(B238="","",INDEX(RECON_RESULTS!$M$2:$M$1001,SMALL(IF(RECON_RESULTS!$A$2:$A$1001="Unmatched GL",ROW(RECON_RESULTS!$A$2:$A$1001)-1),32)))</f>
        <v/>
      </c>
      <c r="H238" s="11">
        <f>IF(B238="","",INDEX(RECON_RESULTS!$N$2:$N$1001,SMALL(IF(RECON_RESULTS!$A$2:$A$1001="Unmatched GL",ROW(RECON_RESULTS!$A$2:$A$1001)-1),32)))</f>
        <v/>
      </c>
      <c r="I238" s="11" t="inlineStr"/>
      <c r="J238" s="11" t="inlineStr"/>
      <c r="K238" s="11" t="inlineStr"/>
      <c r="L238" s="11" t="inlineStr"/>
    </row>
    <row r="239">
      <c r="B239" s="11">
        <f>IFERROR(INDEX(RECON_RESULTS!$A$2:$A$1001,SMALL(IF(RECON_RESULTS!$A$2:$A$1001="Unmatched GL",ROW(RECON_RESULTS!$A$2:$A$1001)-1),33)),"")</f>
        <v/>
      </c>
      <c r="C239" s="10">
        <f>IF(B239="","",INDEX(RECON_RESULTS!$C$2:$C$1001,SMALL(IF(RECON_RESULTS!$A$2:$A$1001="Unmatched GL",ROW(RECON_RESULTS!$A$2:$A$1001)-1),33)))</f>
        <v/>
      </c>
      <c r="D239" s="11">
        <f>IF(B239="","",INDEX(RECON_RESULTS!$B$2:$B$1001,SMALL(IF(RECON_RESULTS!$A$2:$A$1001="Unmatched GL",ROW(RECON_RESULTS!$A$2:$A$1001)-1),33)))</f>
        <v/>
      </c>
      <c r="E239" s="16">
        <f>IF(B239="","",INDEX(RECON_RESULTS!$D$2:$D$1001,SMALL(IF(RECON_RESULTS!$A$2:$A$1001="Unmatched GL",ROW(RECON_RESULTS!$A$2:$A$1001)-1),33)))</f>
        <v/>
      </c>
      <c r="F239" s="11">
        <f>IF(B239="","",INDEX(RECON_RESULTS!$E$2:$E$1001,SMALL(IF(RECON_RESULTS!$A$2:$A$1001="Unmatched GL",ROW(RECON_RESULTS!$A$2:$A$1001)-1),33)))</f>
        <v/>
      </c>
      <c r="G239" s="11">
        <f>IF(B239="","",INDEX(RECON_RESULTS!$M$2:$M$1001,SMALL(IF(RECON_RESULTS!$A$2:$A$1001="Unmatched GL",ROW(RECON_RESULTS!$A$2:$A$1001)-1),33)))</f>
        <v/>
      </c>
      <c r="H239" s="11">
        <f>IF(B239="","",INDEX(RECON_RESULTS!$N$2:$N$1001,SMALL(IF(RECON_RESULTS!$A$2:$A$1001="Unmatched GL",ROW(RECON_RESULTS!$A$2:$A$1001)-1),33)))</f>
        <v/>
      </c>
      <c r="I239" s="11" t="inlineStr"/>
      <c r="J239" s="11" t="inlineStr"/>
      <c r="K239" s="11" t="inlineStr"/>
      <c r="L239" s="11" t="inlineStr"/>
    </row>
    <row r="240">
      <c r="B240" s="11">
        <f>IFERROR(INDEX(RECON_RESULTS!$A$2:$A$1001,SMALL(IF(RECON_RESULTS!$A$2:$A$1001="Unmatched GL",ROW(RECON_RESULTS!$A$2:$A$1001)-1),34)),"")</f>
        <v/>
      </c>
      <c r="C240" s="10">
        <f>IF(B240="","",INDEX(RECON_RESULTS!$C$2:$C$1001,SMALL(IF(RECON_RESULTS!$A$2:$A$1001="Unmatched GL",ROW(RECON_RESULTS!$A$2:$A$1001)-1),34)))</f>
        <v/>
      </c>
      <c r="D240" s="11">
        <f>IF(B240="","",INDEX(RECON_RESULTS!$B$2:$B$1001,SMALL(IF(RECON_RESULTS!$A$2:$A$1001="Unmatched GL",ROW(RECON_RESULTS!$A$2:$A$1001)-1),34)))</f>
        <v/>
      </c>
      <c r="E240" s="16">
        <f>IF(B240="","",INDEX(RECON_RESULTS!$D$2:$D$1001,SMALL(IF(RECON_RESULTS!$A$2:$A$1001="Unmatched GL",ROW(RECON_RESULTS!$A$2:$A$1001)-1),34)))</f>
        <v/>
      </c>
      <c r="F240" s="11">
        <f>IF(B240="","",INDEX(RECON_RESULTS!$E$2:$E$1001,SMALL(IF(RECON_RESULTS!$A$2:$A$1001="Unmatched GL",ROW(RECON_RESULTS!$A$2:$A$1001)-1),34)))</f>
        <v/>
      </c>
      <c r="G240" s="11">
        <f>IF(B240="","",INDEX(RECON_RESULTS!$M$2:$M$1001,SMALL(IF(RECON_RESULTS!$A$2:$A$1001="Unmatched GL",ROW(RECON_RESULTS!$A$2:$A$1001)-1),34)))</f>
        <v/>
      </c>
      <c r="H240" s="11">
        <f>IF(B240="","",INDEX(RECON_RESULTS!$N$2:$N$1001,SMALL(IF(RECON_RESULTS!$A$2:$A$1001="Unmatched GL",ROW(RECON_RESULTS!$A$2:$A$1001)-1),34)))</f>
        <v/>
      </c>
      <c r="I240" s="11" t="inlineStr"/>
      <c r="J240" s="11" t="inlineStr"/>
      <c r="K240" s="11" t="inlineStr"/>
      <c r="L240" s="11" t="inlineStr"/>
    </row>
    <row r="241">
      <c r="B241" s="11">
        <f>IFERROR(INDEX(RECON_RESULTS!$A$2:$A$1001,SMALL(IF(RECON_RESULTS!$A$2:$A$1001="Unmatched GL",ROW(RECON_RESULTS!$A$2:$A$1001)-1),35)),"")</f>
        <v/>
      </c>
      <c r="C241" s="10">
        <f>IF(B241="","",INDEX(RECON_RESULTS!$C$2:$C$1001,SMALL(IF(RECON_RESULTS!$A$2:$A$1001="Unmatched GL",ROW(RECON_RESULTS!$A$2:$A$1001)-1),35)))</f>
        <v/>
      </c>
      <c r="D241" s="11">
        <f>IF(B241="","",INDEX(RECON_RESULTS!$B$2:$B$1001,SMALL(IF(RECON_RESULTS!$A$2:$A$1001="Unmatched GL",ROW(RECON_RESULTS!$A$2:$A$1001)-1),35)))</f>
        <v/>
      </c>
      <c r="E241" s="16">
        <f>IF(B241="","",INDEX(RECON_RESULTS!$D$2:$D$1001,SMALL(IF(RECON_RESULTS!$A$2:$A$1001="Unmatched GL",ROW(RECON_RESULTS!$A$2:$A$1001)-1),35)))</f>
        <v/>
      </c>
      <c r="F241" s="11">
        <f>IF(B241="","",INDEX(RECON_RESULTS!$E$2:$E$1001,SMALL(IF(RECON_RESULTS!$A$2:$A$1001="Unmatched GL",ROW(RECON_RESULTS!$A$2:$A$1001)-1),35)))</f>
        <v/>
      </c>
      <c r="G241" s="11">
        <f>IF(B241="","",INDEX(RECON_RESULTS!$M$2:$M$1001,SMALL(IF(RECON_RESULTS!$A$2:$A$1001="Unmatched GL",ROW(RECON_RESULTS!$A$2:$A$1001)-1),35)))</f>
        <v/>
      </c>
      <c r="H241" s="11">
        <f>IF(B241="","",INDEX(RECON_RESULTS!$N$2:$N$1001,SMALL(IF(RECON_RESULTS!$A$2:$A$1001="Unmatched GL",ROW(RECON_RESULTS!$A$2:$A$1001)-1),35)))</f>
        <v/>
      </c>
      <c r="I241" s="11" t="inlineStr"/>
      <c r="J241" s="11" t="inlineStr"/>
      <c r="K241" s="11" t="inlineStr"/>
      <c r="L241" s="11" t="inlineStr"/>
    </row>
    <row r="242">
      <c r="B242" s="11">
        <f>IFERROR(INDEX(RECON_RESULTS!$A$2:$A$1001,SMALL(IF(RECON_RESULTS!$A$2:$A$1001="Unmatched GL",ROW(RECON_RESULTS!$A$2:$A$1001)-1),36)),"")</f>
        <v/>
      </c>
      <c r="C242" s="10">
        <f>IF(B242="","",INDEX(RECON_RESULTS!$C$2:$C$1001,SMALL(IF(RECON_RESULTS!$A$2:$A$1001="Unmatched GL",ROW(RECON_RESULTS!$A$2:$A$1001)-1),36)))</f>
        <v/>
      </c>
      <c r="D242" s="11">
        <f>IF(B242="","",INDEX(RECON_RESULTS!$B$2:$B$1001,SMALL(IF(RECON_RESULTS!$A$2:$A$1001="Unmatched GL",ROW(RECON_RESULTS!$A$2:$A$1001)-1),36)))</f>
        <v/>
      </c>
      <c r="E242" s="16">
        <f>IF(B242="","",INDEX(RECON_RESULTS!$D$2:$D$1001,SMALL(IF(RECON_RESULTS!$A$2:$A$1001="Unmatched GL",ROW(RECON_RESULTS!$A$2:$A$1001)-1),36)))</f>
        <v/>
      </c>
      <c r="F242" s="11">
        <f>IF(B242="","",INDEX(RECON_RESULTS!$E$2:$E$1001,SMALL(IF(RECON_RESULTS!$A$2:$A$1001="Unmatched GL",ROW(RECON_RESULTS!$A$2:$A$1001)-1),36)))</f>
        <v/>
      </c>
      <c r="G242" s="11">
        <f>IF(B242="","",INDEX(RECON_RESULTS!$M$2:$M$1001,SMALL(IF(RECON_RESULTS!$A$2:$A$1001="Unmatched GL",ROW(RECON_RESULTS!$A$2:$A$1001)-1),36)))</f>
        <v/>
      </c>
      <c r="H242" s="11">
        <f>IF(B242="","",INDEX(RECON_RESULTS!$N$2:$N$1001,SMALL(IF(RECON_RESULTS!$A$2:$A$1001="Unmatched GL",ROW(RECON_RESULTS!$A$2:$A$1001)-1),36)))</f>
        <v/>
      </c>
      <c r="I242" s="11" t="inlineStr"/>
      <c r="J242" s="11" t="inlineStr"/>
      <c r="K242" s="11" t="inlineStr"/>
      <c r="L242" s="11" t="inlineStr"/>
    </row>
    <row r="243">
      <c r="B243" s="11">
        <f>IFERROR(INDEX(RECON_RESULTS!$A$2:$A$1001,SMALL(IF(RECON_RESULTS!$A$2:$A$1001="Unmatched GL",ROW(RECON_RESULTS!$A$2:$A$1001)-1),37)),"")</f>
        <v/>
      </c>
      <c r="C243" s="10">
        <f>IF(B243="","",INDEX(RECON_RESULTS!$C$2:$C$1001,SMALL(IF(RECON_RESULTS!$A$2:$A$1001="Unmatched GL",ROW(RECON_RESULTS!$A$2:$A$1001)-1),37)))</f>
        <v/>
      </c>
      <c r="D243" s="11">
        <f>IF(B243="","",INDEX(RECON_RESULTS!$B$2:$B$1001,SMALL(IF(RECON_RESULTS!$A$2:$A$1001="Unmatched GL",ROW(RECON_RESULTS!$A$2:$A$1001)-1),37)))</f>
        <v/>
      </c>
      <c r="E243" s="16">
        <f>IF(B243="","",INDEX(RECON_RESULTS!$D$2:$D$1001,SMALL(IF(RECON_RESULTS!$A$2:$A$1001="Unmatched GL",ROW(RECON_RESULTS!$A$2:$A$1001)-1),37)))</f>
        <v/>
      </c>
      <c r="F243" s="11">
        <f>IF(B243="","",INDEX(RECON_RESULTS!$E$2:$E$1001,SMALL(IF(RECON_RESULTS!$A$2:$A$1001="Unmatched GL",ROW(RECON_RESULTS!$A$2:$A$1001)-1),37)))</f>
        <v/>
      </c>
      <c r="G243" s="11">
        <f>IF(B243="","",INDEX(RECON_RESULTS!$M$2:$M$1001,SMALL(IF(RECON_RESULTS!$A$2:$A$1001="Unmatched GL",ROW(RECON_RESULTS!$A$2:$A$1001)-1),37)))</f>
        <v/>
      </c>
      <c r="H243" s="11">
        <f>IF(B243="","",INDEX(RECON_RESULTS!$N$2:$N$1001,SMALL(IF(RECON_RESULTS!$A$2:$A$1001="Unmatched GL",ROW(RECON_RESULTS!$A$2:$A$1001)-1),37)))</f>
        <v/>
      </c>
      <c r="I243" s="11" t="inlineStr"/>
      <c r="J243" s="11" t="inlineStr"/>
      <c r="K243" s="11" t="inlineStr"/>
      <c r="L243" s="11" t="inlineStr"/>
    </row>
    <row r="244">
      <c r="B244" s="11">
        <f>IFERROR(INDEX(RECON_RESULTS!$A$2:$A$1001,SMALL(IF(RECON_RESULTS!$A$2:$A$1001="Unmatched GL",ROW(RECON_RESULTS!$A$2:$A$1001)-1),38)),"")</f>
        <v/>
      </c>
      <c r="C244" s="10">
        <f>IF(B244="","",INDEX(RECON_RESULTS!$C$2:$C$1001,SMALL(IF(RECON_RESULTS!$A$2:$A$1001="Unmatched GL",ROW(RECON_RESULTS!$A$2:$A$1001)-1),38)))</f>
        <v/>
      </c>
      <c r="D244" s="11">
        <f>IF(B244="","",INDEX(RECON_RESULTS!$B$2:$B$1001,SMALL(IF(RECON_RESULTS!$A$2:$A$1001="Unmatched GL",ROW(RECON_RESULTS!$A$2:$A$1001)-1),38)))</f>
        <v/>
      </c>
      <c r="E244" s="16">
        <f>IF(B244="","",INDEX(RECON_RESULTS!$D$2:$D$1001,SMALL(IF(RECON_RESULTS!$A$2:$A$1001="Unmatched GL",ROW(RECON_RESULTS!$A$2:$A$1001)-1),38)))</f>
        <v/>
      </c>
      <c r="F244" s="11">
        <f>IF(B244="","",INDEX(RECON_RESULTS!$E$2:$E$1001,SMALL(IF(RECON_RESULTS!$A$2:$A$1001="Unmatched GL",ROW(RECON_RESULTS!$A$2:$A$1001)-1),38)))</f>
        <v/>
      </c>
      <c r="G244" s="11">
        <f>IF(B244="","",INDEX(RECON_RESULTS!$M$2:$M$1001,SMALL(IF(RECON_RESULTS!$A$2:$A$1001="Unmatched GL",ROW(RECON_RESULTS!$A$2:$A$1001)-1),38)))</f>
        <v/>
      </c>
      <c r="H244" s="11">
        <f>IF(B244="","",INDEX(RECON_RESULTS!$N$2:$N$1001,SMALL(IF(RECON_RESULTS!$A$2:$A$1001="Unmatched GL",ROW(RECON_RESULTS!$A$2:$A$1001)-1),38)))</f>
        <v/>
      </c>
      <c r="I244" s="11" t="inlineStr"/>
      <c r="J244" s="11" t="inlineStr"/>
      <c r="K244" s="11" t="inlineStr"/>
      <c r="L244" s="11" t="inlineStr"/>
    </row>
    <row r="245">
      <c r="B245" s="11">
        <f>IFERROR(INDEX(RECON_RESULTS!$A$2:$A$1001,SMALL(IF(RECON_RESULTS!$A$2:$A$1001="Unmatched GL",ROW(RECON_RESULTS!$A$2:$A$1001)-1),39)),"")</f>
        <v/>
      </c>
      <c r="C245" s="10">
        <f>IF(B245="","",INDEX(RECON_RESULTS!$C$2:$C$1001,SMALL(IF(RECON_RESULTS!$A$2:$A$1001="Unmatched GL",ROW(RECON_RESULTS!$A$2:$A$1001)-1),39)))</f>
        <v/>
      </c>
      <c r="D245" s="11">
        <f>IF(B245="","",INDEX(RECON_RESULTS!$B$2:$B$1001,SMALL(IF(RECON_RESULTS!$A$2:$A$1001="Unmatched GL",ROW(RECON_RESULTS!$A$2:$A$1001)-1),39)))</f>
        <v/>
      </c>
      <c r="E245" s="16">
        <f>IF(B245="","",INDEX(RECON_RESULTS!$D$2:$D$1001,SMALL(IF(RECON_RESULTS!$A$2:$A$1001="Unmatched GL",ROW(RECON_RESULTS!$A$2:$A$1001)-1),39)))</f>
        <v/>
      </c>
      <c r="F245" s="11">
        <f>IF(B245="","",INDEX(RECON_RESULTS!$E$2:$E$1001,SMALL(IF(RECON_RESULTS!$A$2:$A$1001="Unmatched GL",ROW(RECON_RESULTS!$A$2:$A$1001)-1),39)))</f>
        <v/>
      </c>
      <c r="G245" s="11">
        <f>IF(B245="","",INDEX(RECON_RESULTS!$M$2:$M$1001,SMALL(IF(RECON_RESULTS!$A$2:$A$1001="Unmatched GL",ROW(RECON_RESULTS!$A$2:$A$1001)-1),39)))</f>
        <v/>
      </c>
      <c r="H245" s="11">
        <f>IF(B245="","",INDEX(RECON_RESULTS!$N$2:$N$1001,SMALL(IF(RECON_RESULTS!$A$2:$A$1001="Unmatched GL",ROW(RECON_RESULTS!$A$2:$A$1001)-1),39)))</f>
        <v/>
      </c>
      <c r="I245" s="11" t="inlineStr"/>
      <c r="J245" s="11" t="inlineStr"/>
      <c r="K245" s="11" t="inlineStr"/>
      <c r="L245" s="11" t="inlineStr"/>
    </row>
    <row r="246">
      <c r="B246" s="11">
        <f>IFERROR(INDEX(RECON_RESULTS!$A$2:$A$1001,SMALL(IF(RECON_RESULTS!$A$2:$A$1001="Unmatched GL",ROW(RECON_RESULTS!$A$2:$A$1001)-1),40)),"")</f>
        <v/>
      </c>
      <c r="C246" s="10">
        <f>IF(B246="","",INDEX(RECON_RESULTS!$C$2:$C$1001,SMALL(IF(RECON_RESULTS!$A$2:$A$1001="Unmatched GL",ROW(RECON_RESULTS!$A$2:$A$1001)-1),40)))</f>
        <v/>
      </c>
      <c r="D246" s="11">
        <f>IF(B246="","",INDEX(RECON_RESULTS!$B$2:$B$1001,SMALL(IF(RECON_RESULTS!$A$2:$A$1001="Unmatched GL",ROW(RECON_RESULTS!$A$2:$A$1001)-1),40)))</f>
        <v/>
      </c>
      <c r="E246" s="16">
        <f>IF(B246="","",INDEX(RECON_RESULTS!$D$2:$D$1001,SMALL(IF(RECON_RESULTS!$A$2:$A$1001="Unmatched GL",ROW(RECON_RESULTS!$A$2:$A$1001)-1),40)))</f>
        <v/>
      </c>
      <c r="F246" s="11">
        <f>IF(B246="","",INDEX(RECON_RESULTS!$E$2:$E$1001,SMALL(IF(RECON_RESULTS!$A$2:$A$1001="Unmatched GL",ROW(RECON_RESULTS!$A$2:$A$1001)-1),40)))</f>
        <v/>
      </c>
      <c r="G246" s="11">
        <f>IF(B246="","",INDEX(RECON_RESULTS!$M$2:$M$1001,SMALL(IF(RECON_RESULTS!$A$2:$A$1001="Unmatched GL",ROW(RECON_RESULTS!$A$2:$A$1001)-1),40)))</f>
        <v/>
      </c>
      <c r="H246" s="11">
        <f>IF(B246="","",INDEX(RECON_RESULTS!$N$2:$N$1001,SMALL(IF(RECON_RESULTS!$A$2:$A$1001="Unmatched GL",ROW(RECON_RESULTS!$A$2:$A$1001)-1),40)))</f>
        <v/>
      </c>
      <c r="I246" s="11" t="inlineStr"/>
      <c r="J246" s="11" t="inlineStr"/>
      <c r="K246" s="11" t="inlineStr"/>
      <c r="L246" s="11" t="inlineStr"/>
    </row>
    <row r="247">
      <c r="B247" s="11">
        <f>IFERROR(INDEX(RECON_RESULTS!$A$2:$A$1001,SMALL(IF(RECON_RESULTS!$A$2:$A$1001="Unmatched GL",ROW(RECON_RESULTS!$A$2:$A$1001)-1),41)),"")</f>
        <v/>
      </c>
      <c r="C247" s="10">
        <f>IF(B247="","",INDEX(RECON_RESULTS!$C$2:$C$1001,SMALL(IF(RECON_RESULTS!$A$2:$A$1001="Unmatched GL",ROW(RECON_RESULTS!$A$2:$A$1001)-1),41)))</f>
        <v/>
      </c>
      <c r="D247" s="11">
        <f>IF(B247="","",INDEX(RECON_RESULTS!$B$2:$B$1001,SMALL(IF(RECON_RESULTS!$A$2:$A$1001="Unmatched GL",ROW(RECON_RESULTS!$A$2:$A$1001)-1),41)))</f>
        <v/>
      </c>
      <c r="E247" s="16">
        <f>IF(B247="","",INDEX(RECON_RESULTS!$D$2:$D$1001,SMALL(IF(RECON_RESULTS!$A$2:$A$1001="Unmatched GL",ROW(RECON_RESULTS!$A$2:$A$1001)-1),41)))</f>
        <v/>
      </c>
      <c r="F247" s="11">
        <f>IF(B247="","",INDEX(RECON_RESULTS!$E$2:$E$1001,SMALL(IF(RECON_RESULTS!$A$2:$A$1001="Unmatched GL",ROW(RECON_RESULTS!$A$2:$A$1001)-1),41)))</f>
        <v/>
      </c>
      <c r="G247" s="11">
        <f>IF(B247="","",INDEX(RECON_RESULTS!$M$2:$M$1001,SMALL(IF(RECON_RESULTS!$A$2:$A$1001="Unmatched GL",ROW(RECON_RESULTS!$A$2:$A$1001)-1),41)))</f>
        <v/>
      </c>
      <c r="H247" s="11">
        <f>IF(B247="","",INDEX(RECON_RESULTS!$N$2:$N$1001,SMALL(IF(RECON_RESULTS!$A$2:$A$1001="Unmatched GL",ROW(RECON_RESULTS!$A$2:$A$1001)-1),41)))</f>
        <v/>
      </c>
      <c r="I247" s="11" t="inlineStr"/>
      <c r="J247" s="11" t="inlineStr"/>
      <c r="K247" s="11" t="inlineStr"/>
      <c r="L247" s="11" t="inlineStr"/>
    </row>
    <row r="248">
      <c r="B248" s="11">
        <f>IFERROR(INDEX(RECON_RESULTS!$A$2:$A$1001,SMALL(IF(RECON_RESULTS!$A$2:$A$1001="Unmatched GL",ROW(RECON_RESULTS!$A$2:$A$1001)-1),42)),"")</f>
        <v/>
      </c>
      <c r="C248" s="10">
        <f>IF(B248="","",INDEX(RECON_RESULTS!$C$2:$C$1001,SMALL(IF(RECON_RESULTS!$A$2:$A$1001="Unmatched GL",ROW(RECON_RESULTS!$A$2:$A$1001)-1),42)))</f>
        <v/>
      </c>
      <c r="D248" s="11">
        <f>IF(B248="","",INDEX(RECON_RESULTS!$B$2:$B$1001,SMALL(IF(RECON_RESULTS!$A$2:$A$1001="Unmatched GL",ROW(RECON_RESULTS!$A$2:$A$1001)-1),42)))</f>
        <v/>
      </c>
      <c r="E248" s="16">
        <f>IF(B248="","",INDEX(RECON_RESULTS!$D$2:$D$1001,SMALL(IF(RECON_RESULTS!$A$2:$A$1001="Unmatched GL",ROW(RECON_RESULTS!$A$2:$A$1001)-1),42)))</f>
        <v/>
      </c>
      <c r="F248" s="11">
        <f>IF(B248="","",INDEX(RECON_RESULTS!$E$2:$E$1001,SMALL(IF(RECON_RESULTS!$A$2:$A$1001="Unmatched GL",ROW(RECON_RESULTS!$A$2:$A$1001)-1),42)))</f>
        <v/>
      </c>
      <c r="G248" s="11">
        <f>IF(B248="","",INDEX(RECON_RESULTS!$M$2:$M$1001,SMALL(IF(RECON_RESULTS!$A$2:$A$1001="Unmatched GL",ROW(RECON_RESULTS!$A$2:$A$1001)-1),42)))</f>
        <v/>
      </c>
      <c r="H248" s="11">
        <f>IF(B248="","",INDEX(RECON_RESULTS!$N$2:$N$1001,SMALL(IF(RECON_RESULTS!$A$2:$A$1001="Unmatched GL",ROW(RECON_RESULTS!$A$2:$A$1001)-1),42)))</f>
        <v/>
      </c>
      <c r="I248" s="11" t="inlineStr"/>
      <c r="J248" s="11" t="inlineStr"/>
      <c r="K248" s="11" t="inlineStr"/>
      <c r="L248" s="11" t="inlineStr"/>
    </row>
    <row r="249">
      <c r="B249" s="11">
        <f>IFERROR(INDEX(RECON_RESULTS!$A$2:$A$1001,SMALL(IF(RECON_RESULTS!$A$2:$A$1001="Unmatched GL",ROW(RECON_RESULTS!$A$2:$A$1001)-1),43)),"")</f>
        <v/>
      </c>
      <c r="C249" s="10">
        <f>IF(B249="","",INDEX(RECON_RESULTS!$C$2:$C$1001,SMALL(IF(RECON_RESULTS!$A$2:$A$1001="Unmatched GL",ROW(RECON_RESULTS!$A$2:$A$1001)-1),43)))</f>
        <v/>
      </c>
      <c r="D249" s="11">
        <f>IF(B249="","",INDEX(RECON_RESULTS!$B$2:$B$1001,SMALL(IF(RECON_RESULTS!$A$2:$A$1001="Unmatched GL",ROW(RECON_RESULTS!$A$2:$A$1001)-1),43)))</f>
        <v/>
      </c>
      <c r="E249" s="16">
        <f>IF(B249="","",INDEX(RECON_RESULTS!$D$2:$D$1001,SMALL(IF(RECON_RESULTS!$A$2:$A$1001="Unmatched GL",ROW(RECON_RESULTS!$A$2:$A$1001)-1),43)))</f>
        <v/>
      </c>
      <c r="F249" s="11">
        <f>IF(B249="","",INDEX(RECON_RESULTS!$E$2:$E$1001,SMALL(IF(RECON_RESULTS!$A$2:$A$1001="Unmatched GL",ROW(RECON_RESULTS!$A$2:$A$1001)-1),43)))</f>
        <v/>
      </c>
      <c r="G249" s="11">
        <f>IF(B249="","",INDEX(RECON_RESULTS!$M$2:$M$1001,SMALL(IF(RECON_RESULTS!$A$2:$A$1001="Unmatched GL",ROW(RECON_RESULTS!$A$2:$A$1001)-1),43)))</f>
        <v/>
      </c>
      <c r="H249" s="11">
        <f>IF(B249="","",INDEX(RECON_RESULTS!$N$2:$N$1001,SMALL(IF(RECON_RESULTS!$A$2:$A$1001="Unmatched GL",ROW(RECON_RESULTS!$A$2:$A$1001)-1),43)))</f>
        <v/>
      </c>
      <c r="I249" s="11" t="inlineStr"/>
      <c r="J249" s="11" t="inlineStr"/>
      <c r="K249" s="11" t="inlineStr"/>
      <c r="L249" s="11" t="inlineStr"/>
    </row>
    <row r="250">
      <c r="B250" s="11">
        <f>IFERROR(INDEX(RECON_RESULTS!$A$2:$A$1001,SMALL(IF(RECON_RESULTS!$A$2:$A$1001="Unmatched GL",ROW(RECON_RESULTS!$A$2:$A$1001)-1),44)),"")</f>
        <v/>
      </c>
      <c r="C250" s="10">
        <f>IF(B250="","",INDEX(RECON_RESULTS!$C$2:$C$1001,SMALL(IF(RECON_RESULTS!$A$2:$A$1001="Unmatched GL",ROW(RECON_RESULTS!$A$2:$A$1001)-1),44)))</f>
        <v/>
      </c>
      <c r="D250" s="11">
        <f>IF(B250="","",INDEX(RECON_RESULTS!$B$2:$B$1001,SMALL(IF(RECON_RESULTS!$A$2:$A$1001="Unmatched GL",ROW(RECON_RESULTS!$A$2:$A$1001)-1),44)))</f>
        <v/>
      </c>
      <c r="E250" s="16">
        <f>IF(B250="","",INDEX(RECON_RESULTS!$D$2:$D$1001,SMALL(IF(RECON_RESULTS!$A$2:$A$1001="Unmatched GL",ROW(RECON_RESULTS!$A$2:$A$1001)-1),44)))</f>
        <v/>
      </c>
      <c r="F250" s="11">
        <f>IF(B250="","",INDEX(RECON_RESULTS!$E$2:$E$1001,SMALL(IF(RECON_RESULTS!$A$2:$A$1001="Unmatched GL",ROW(RECON_RESULTS!$A$2:$A$1001)-1),44)))</f>
        <v/>
      </c>
      <c r="G250" s="11">
        <f>IF(B250="","",INDEX(RECON_RESULTS!$M$2:$M$1001,SMALL(IF(RECON_RESULTS!$A$2:$A$1001="Unmatched GL",ROW(RECON_RESULTS!$A$2:$A$1001)-1),44)))</f>
        <v/>
      </c>
      <c r="H250" s="11">
        <f>IF(B250="","",INDEX(RECON_RESULTS!$N$2:$N$1001,SMALL(IF(RECON_RESULTS!$A$2:$A$1001="Unmatched GL",ROW(RECON_RESULTS!$A$2:$A$1001)-1),44)))</f>
        <v/>
      </c>
      <c r="I250" s="11" t="inlineStr"/>
      <c r="J250" s="11" t="inlineStr"/>
      <c r="K250" s="11" t="inlineStr"/>
      <c r="L250" s="11" t="inlineStr"/>
    </row>
    <row r="251">
      <c r="B251" s="11">
        <f>IFERROR(INDEX(RECON_RESULTS!$A$2:$A$1001,SMALL(IF(RECON_RESULTS!$A$2:$A$1001="Unmatched GL",ROW(RECON_RESULTS!$A$2:$A$1001)-1),45)),"")</f>
        <v/>
      </c>
      <c r="C251" s="10">
        <f>IF(B251="","",INDEX(RECON_RESULTS!$C$2:$C$1001,SMALL(IF(RECON_RESULTS!$A$2:$A$1001="Unmatched GL",ROW(RECON_RESULTS!$A$2:$A$1001)-1),45)))</f>
        <v/>
      </c>
      <c r="D251" s="11">
        <f>IF(B251="","",INDEX(RECON_RESULTS!$B$2:$B$1001,SMALL(IF(RECON_RESULTS!$A$2:$A$1001="Unmatched GL",ROW(RECON_RESULTS!$A$2:$A$1001)-1),45)))</f>
        <v/>
      </c>
      <c r="E251" s="16">
        <f>IF(B251="","",INDEX(RECON_RESULTS!$D$2:$D$1001,SMALL(IF(RECON_RESULTS!$A$2:$A$1001="Unmatched GL",ROW(RECON_RESULTS!$A$2:$A$1001)-1),45)))</f>
        <v/>
      </c>
      <c r="F251" s="11">
        <f>IF(B251="","",INDEX(RECON_RESULTS!$E$2:$E$1001,SMALL(IF(RECON_RESULTS!$A$2:$A$1001="Unmatched GL",ROW(RECON_RESULTS!$A$2:$A$1001)-1),45)))</f>
        <v/>
      </c>
      <c r="G251" s="11">
        <f>IF(B251="","",INDEX(RECON_RESULTS!$M$2:$M$1001,SMALL(IF(RECON_RESULTS!$A$2:$A$1001="Unmatched GL",ROW(RECON_RESULTS!$A$2:$A$1001)-1),45)))</f>
        <v/>
      </c>
      <c r="H251" s="11">
        <f>IF(B251="","",INDEX(RECON_RESULTS!$N$2:$N$1001,SMALL(IF(RECON_RESULTS!$A$2:$A$1001="Unmatched GL",ROW(RECON_RESULTS!$A$2:$A$1001)-1),45)))</f>
        <v/>
      </c>
      <c r="I251" s="11" t="inlineStr"/>
      <c r="J251" s="11" t="inlineStr"/>
      <c r="K251" s="11" t="inlineStr"/>
      <c r="L251" s="11" t="inlineStr"/>
    </row>
    <row r="252">
      <c r="B252" s="11">
        <f>IFERROR(INDEX(RECON_RESULTS!$A$2:$A$1001,SMALL(IF(RECON_RESULTS!$A$2:$A$1001="Unmatched GL",ROW(RECON_RESULTS!$A$2:$A$1001)-1),46)),"")</f>
        <v/>
      </c>
      <c r="C252" s="10">
        <f>IF(B252="","",INDEX(RECON_RESULTS!$C$2:$C$1001,SMALL(IF(RECON_RESULTS!$A$2:$A$1001="Unmatched GL",ROW(RECON_RESULTS!$A$2:$A$1001)-1),46)))</f>
        <v/>
      </c>
      <c r="D252" s="11">
        <f>IF(B252="","",INDEX(RECON_RESULTS!$B$2:$B$1001,SMALL(IF(RECON_RESULTS!$A$2:$A$1001="Unmatched GL",ROW(RECON_RESULTS!$A$2:$A$1001)-1),46)))</f>
        <v/>
      </c>
      <c r="E252" s="16">
        <f>IF(B252="","",INDEX(RECON_RESULTS!$D$2:$D$1001,SMALL(IF(RECON_RESULTS!$A$2:$A$1001="Unmatched GL",ROW(RECON_RESULTS!$A$2:$A$1001)-1),46)))</f>
        <v/>
      </c>
      <c r="F252" s="11">
        <f>IF(B252="","",INDEX(RECON_RESULTS!$E$2:$E$1001,SMALL(IF(RECON_RESULTS!$A$2:$A$1001="Unmatched GL",ROW(RECON_RESULTS!$A$2:$A$1001)-1),46)))</f>
        <v/>
      </c>
      <c r="G252" s="11">
        <f>IF(B252="","",INDEX(RECON_RESULTS!$M$2:$M$1001,SMALL(IF(RECON_RESULTS!$A$2:$A$1001="Unmatched GL",ROW(RECON_RESULTS!$A$2:$A$1001)-1),46)))</f>
        <v/>
      </c>
      <c r="H252" s="11">
        <f>IF(B252="","",INDEX(RECON_RESULTS!$N$2:$N$1001,SMALL(IF(RECON_RESULTS!$A$2:$A$1001="Unmatched GL",ROW(RECON_RESULTS!$A$2:$A$1001)-1),46)))</f>
        <v/>
      </c>
      <c r="I252" s="11" t="inlineStr"/>
      <c r="J252" s="11" t="inlineStr"/>
      <c r="K252" s="11" t="inlineStr"/>
      <c r="L252" s="11" t="inlineStr"/>
    </row>
    <row r="253">
      <c r="B253" s="11">
        <f>IFERROR(INDEX(RECON_RESULTS!$A$2:$A$1001,SMALL(IF(RECON_RESULTS!$A$2:$A$1001="Unmatched GL",ROW(RECON_RESULTS!$A$2:$A$1001)-1),47)),"")</f>
        <v/>
      </c>
      <c r="C253" s="10">
        <f>IF(B253="","",INDEX(RECON_RESULTS!$C$2:$C$1001,SMALL(IF(RECON_RESULTS!$A$2:$A$1001="Unmatched GL",ROW(RECON_RESULTS!$A$2:$A$1001)-1),47)))</f>
        <v/>
      </c>
      <c r="D253" s="11">
        <f>IF(B253="","",INDEX(RECON_RESULTS!$B$2:$B$1001,SMALL(IF(RECON_RESULTS!$A$2:$A$1001="Unmatched GL",ROW(RECON_RESULTS!$A$2:$A$1001)-1),47)))</f>
        <v/>
      </c>
      <c r="E253" s="16">
        <f>IF(B253="","",INDEX(RECON_RESULTS!$D$2:$D$1001,SMALL(IF(RECON_RESULTS!$A$2:$A$1001="Unmatched GL",ROW(RECON_RESULTS!$A$2:$A$1001)-1),47)))</f>
        <v/>
      </c>
      <c r="F253" s="11">
        <f>IF(B253="","",INDEX(RECON_RESULTS!$E$2:$E$1001,SMALL(IF(RECON_RESULTS!$A$2:$A$1001="Unmatched GL",ROW(RECON_RESULTS!$A$2:$A$1001)-1),47)))</f>
        <v/>
      </c>
      <c r="G253" s="11">
        <f>IF(B253="","",INDEX(RECON_RESULTS!$M$2:$M$1001,SMALL(IF(RECON_RESULTS!$A$2:$A$1001="Unmatched GL",ROW(RECON_RESULTS!$A$2:$A$1001)-1),47)))</f>
        <v/>
      </c>
      <c r="H253" s="11">
        <f>IF(B253="","",INDEX(RECON_RESULTS!$N$2:$N$1001,SMALL(IF(RECON_RESULTS!$A$2:$A$1001="Unmatched GL",ROW(RECON_RESULTS!$A$2:$A$1001)-1),47)))</f>
        <v/>
      </c>
      <c r="I253" s="11" t="inlineStr"/>
      <c r="J253" s="11" t="inlineStr"/>
      <c r="K253" s="11" t="inlineStr"/>
      <c r="L253" s="11" t="inlineStr"/>
    </row>
    <row r="254">
      <c r="B254" s="11">
        <f>IFERROR(INDEX(RECON_RESULTS!$A$2:$A$1001,SMALL(IF(RECON_RESULTS!$A$2:$A$1001="Unmatched GL",ROW(RECON_RESULTS!$A$2:$A$1001)-1),48)),"")</f>
        <v/>
      </c>
      <c r="C254" s="10">
        <f>IF(B254="","",INDEX(RECON_RESULTS!$C$2:$C$1001,SMALL(IF(RECON_RESULTS!$A$2:$A$1001="Unmatched GL",ROW(RECON_RESULTS!$A$2:$A$1001)-1),48)))</f>
        <v/>
      </c>
      <c r="D254" s="11">
        <f>IF(B254="","",INDEX(RECON_RESULTS!$B$2:$B$1001,SMALL(IF(RECON_RESULTS!$A$2:$A$1001="Unmatched GL",ROW(RECON_RESULTS!$A$2:$A$1001)-1),48)))</f>
        <v/>
      </c>
      <c r="E254" s="16">
        <f>IF(B254="","",INDEX(RECON_RESULTS!$D$2:$D$1001,SMALL(IF(RECON_RESULTS!$A$2:$A$1001="Unmatched GL",ROW(RECON_RESULTS!$A$2:$A$1001)-1),48)))</f>
        <v/>
      </c>
      <c r="F254" s="11">
        <f>IF(B254="","",INDEX(RECON_RESULTS!$E$2:$E$1001,SMALL(IF(RECON_RESULTS!$A$2:$A$1001="Unmatched GL",ROW(RECON_RESULTS!$A$2:$A$1001)-1),48)))</f>
        <v/>
      </c>
      <c r="G254" s="11">
        <f>IF(B254="","",INDEX(RECON_RESULTS!$M$2:$M$1001,SMALL(IF(RECON_RESULTS!$A$2:$A$1001="Unmatched GL",ROW(RECON_RESULTS!$A$2:$A$1001)-1),48)))</f>
        <v/>
      </c>
      <c r="H254" s="11">
        <f>IF(B254="","",INDEX(RECON_RESULTS!$N$2:$N$1001,SMALL(IF(RECON_RESULTS!$A$2:$A$1001="Unmatched GL",ROW(RECON_RESULTS!$A$2:$A$1001)-1),48)))</f>
        <v/>
      </c>
      <c r="I254" s="11" t="inlineStr"/>
      <c r="J254" s="11" t="inlineStr"/>
      <c r="K254" s="11" t="inlineStr"/>
      <c r="L254" s="11" t="inlineStr"/>
    </row>
    <row r="255">
      <c r="B255" s="11">
        <f>IFERROR(INDEX(RECON_RESULTS!$A$2:$A$1001,SMALL(IF(RECON_RESULTS!$A$2:$A$1001="Unmatched GL",ROW(RECON_RESULTS!$A$2:$A$1001)-1),49)),"")</f>
        <v/>
      </c>
      <c r="C255" s="10">
        <f>IF(B255="","",INDEX(RECON_RESULTS!$C$2:$C$1001,SMALL(IF(RECON_RESULTS!$A$2:$A$1001="Unmatched GL",ROW(RECON_RESULTS!$A$2:$A$1001)-1),49)))</f>
        <v/>
      </c>
      <c r="D255" s="11">
        <f>IF(B255="","",INDEX(RECON_RESULTS!$B$2:$B$1001,SMALL(IF(RECON_RESULTS!$A$2:$A$1001="Unmatched GL",ROW(RECON_RESULTS!$A$2:$A$1001)-1),49)))</f>
        <v/>
      </c>
      <c r="E255" s="16">
        <f>IF(B255="","",INDEX(RECON_RESULTS!$D$2:$D$1001,SMALL(IF(RECON_RESULTS!$A$2:$A$1001="Unmatched GL",ROW(RECON_RESULTS!$A$2:$A$1001)-1),49)))</f>
        <v/>
      </c>
      <c r="F255" s="11">
        <f>IF(B255="","",INDEX(RECON_RESULTS!$E$2:$E$1001,SMALL(IF(RECON_RESULTS!$A$2:$A$1001="Unmatched GL",ROW(RECON_RESULTS!$A$2:$A$1001)-1),49)))</f>
        <v/>
      </c>
      <c r="G255" s="11">
        <f>IF(B255="","",INDEX(RECON_RESULTS!$M$2:$M$1001,SMALL(IF(RECON_RESULTS!$A$2:$A$1001="Unmatched GL",ROW(RECON_RESULTS!$A$2:$A$1001)-1),49)))</f>
        <v/>
      </c>
      <c r="H255" s="11">
        <f>IF(B255="","",INDEX(RECON_RESULTS!$N$2:$N$1001,SMALL(IF(RECON_RESULTS!$A$2:$A$1001="Unmatched GL",ROW(RECON_RESULTS!$A$2:$A$1001)-1),49)))</f>
        <v/>
      </c>
      <c r="I255" s="11" t="inlineStr"/>
      <c r="J255" s="11" t="inlineStr"/>
      <c r="K255" s="11" t="inlineStr"/>
      <c r="L255" s="11" t="inlineStr"/>
    </row>
    <row r="256">
      <c r="B256" s="11">
        <f>IFERROR(INDEX(RECON_RESULTS!$A$2:$A$1001,SMALL(IF(RECON_RESULTS!$A$2:$A$1001="Unmatched GL",ROW(RECON_RESULTS!$A$2:$A$1001)-1),50)),"")</f>
        <v/>
      </c>
      <c r="C256" s="10">
        <f>IF(B256="","",INDEX(RECON_RESULTS!$C$2:$C$1001,SMALL(IF(RECON_RESULTS!$A$2:$A$1001="Unmatched GL",ROW(RECON_RESULTS!$A$2:$A$1001)-1),50)))</f>
        <v/>
      </c>
      <c r="D256" s="11">
        <f>IF(B256="","",INDEX(RECON_RESULTS!$B$2:$B$1001,SMALL(IF(RECON_RESULTS!$A$2:$A$1001="Unmatched GL",ROW(RECON_RESULTS!$A$2:$A$1001)-1),50)))</f>
        <v/>
      </c>
      <c r="E256" s="16">
        <f>IF(B256="","",INDEX(RECON_RESULTS!$D$2:$D$1001,SMALL(IF(RECON_RESULTS!$A$2:$A$1001="Unmatched GL",ROW(RECON_RESULTS!$A$2:$A$1001)-1),50)))</f>
        <v/>
      </c>
      <c r="F256" s="11">
        <f>IF(B256="","",INDEX(RECON_RESULTS!$E$2:$E$1001,SMALL(IF(RECON_RESULTS!$A$2:$A$1001="Unmatched GL",ROW(RECON_RESULTS!$A$2:$A$1001)-1),50)))</f>
        <v/>
      </c>
      <c r="G256" s="11">
        <f>IF(B256="","",INDEX(RECON_RESULTS!$M$2:$M$1001,SMALL(IF(RECON_RESULTS!$A$2:$A$1001="Unmatched GL",ROW(RECON_RESULTS!$A$2:$A$1001)-1),50)))</f>
        <v/>
      </c>
      <c r="H256" s="11">
        <f>IF(B256="","",INDEX(RECON_RESULTS!$N$2:$N$1001,SMALL(IF(RECON_RESULTS!$A$2:$A$1001="Unmatched GL",ROW(RECON_RESULTS!$A$2:$A$1001)-1),50)))</f>
        <v/>
      </c>
      <c r="I256" s="11" t="inlineStr"/>
      <c r="J256" s="11" t="inlineStr"/>
      <c r="K256" s="11" t="inlineStr"/>
      <c r="L256" s="11" t="inlineStr"/>
    </row>
    <row r="257">
      <c r="B257" s="11">
        <f>IFERROR(INDEX(RECON_RESULTS!$A$2:$A$1001,SMALL(IF(RECON_RESULTS!$A$2:$A$1001="Unmatched GL",ROW(RECON_RESULTS!$A$2:$A$1001)-1),51)),"")</f>
        <v/>
      </c>
      <c r="C257" s="10">
        <f>IF(B257="","",INDEX(RECON_RESULTS!$C$2:$C$1001,SMALL(IF(RECON_RESULTS!$A$2:$A$1001="Unmatched GL",ROW(RECON_RESULTS!$A$2:$A$1001)-1),51)))</f>
        <v/>
      </c>
      <c r="D257" s="11">
        <f>IF(B257="","",INDEX(RECON_RESULTS!$B$2:$B$1001,SMALL(IF(RECON_RESULTS!$A$2:$A$1001="Unmatched GL",ROW(RECON_RESULTS!$A$2:$A$1001)-1),51)))</f>
        <v/>
      </c>
      <c r="E257" s="16">
        <f>IF(B257="","",INDEX(RECON_RESULTS!$D$2:$D$1001,SMALL(IF(RECON_RESULTS!$A$2:$A$1001="Unmatched GL",ROW(RECON_RESULTS!$A$2:$A$1001)-1),51)))</f>
        <v/>
      </c>
      <c r="F257" s="11">
        <f>IF(B257="","",INDEX(RECON_RESULTS!$E$2:$E$1001,SMALL(IF(RECON_RESULTS!$A$2:$A$1001="Unmatched GL",ROW(RECON_RESULTS!$A$2:$A$1001)-1),51)))</f>
        <v/>
      </c>
      <c r="G257" s="11">
        <f>IF(B257="","",INDEX(RECON_RESULTS!$M$2:$M$1001,SMALL(IF(RECON_RESULTS!$A$2:$A$1001="Unmatched GL",ROW(RECON_RESULTS!$A$2:$A$1001)-1),51)))</f>
        <v/>
      </c>
      <c r="H257" s="11">
        <f>IF(B257="","",INDEX(RECON_RESULTS!$N$2:$N$1001,SMALL(IF(RECON_RESULTS!$A$2:$A$1001="Unmatched GL",ROW(RECON_RESULTS!$A$2:$A$1001)-1),51)))</f>
        <v/>
      </c>
      <c r="I257" s="11" t="inlineStr"/>
      <c r="J257" s="11" t="inlineStr"/>
      <c r="K257" s="11" t="inlineStr"/>
      <c r="L257" s="11" t="inlineStr"/>
    </row>
    <row r="258">
      <c r="B258" s="11">
        <f>IFERROR(INDEX(RECON_RESULTS!$A$2:$A$1001,SMALL(IF(RECON_RESULTS!$A$2:$A$1001="Unmatched GL",ROW(RECON_RESULTS!$A$2:$A$1001)-1),52)),"")</f>
        <v/>
      </c>
      <c r="C258" s="10">
        <f>IF(B258="","",INDEX(RECON_RESULTS!$C$2:$C$1001,SMALL(IF(RECON_RESULTS!$A$2:$A$1001="Unmatched GL",ROW(RECON_RESULTS!$A$2:$A$1001)-1),52)))</f>
        <v/>
      </c>
      <c r="D258" s="11">
        <f>IF(B258="","",INDEX(RECON_RESULTS!$B$2:$B$1001,SMALL(IF(RECON_RESULTS!$A$2:$A$1001="Unmatched GL",ROW(RECON_RESULTS!$A$2:$A$1001)-1),52)))</f>
        <v/>
      </c>
      <c r="E258" s="16">
        <f>IF(B258="","",INDEX(RECON_RESULTS!$D$2:$D$1001,SMALL(IF(RECON_RESULTS!$A$2:$A$1001="Unmatched GL",ROW(RECON_RESULTS!$A$2:$A$1001)-1),52)))</f>
        <v/>
      </c>
      <c r="F258" s="11">
        <f>IF(B258="","",INDEX(RECON_RESULTS!$E$2:$E$1001,SMALL(IF(RECON_RESULTS!$A$2:$A$1001="Unmatched GL",ROW(RECON_RESULTS!$A$2:$A$1001)-1),52)))</f>
        <v/>
      </c>
      <c r="G258" s="11">
        <f>IF(B258="","",INDEX(RECON_RESULTS!$M$2:$M$1001,SMALL(IF(RECON_RESULTS!$A$2:$A$1001="Unmatched GL",ROW(RECON_RESULTS!$A$2:$A$1001)-1),52)))</f>
        <v/>
      </c>
      <c r="H258" s="11">
        <f>IF(B258="","",INDEX(RECON_RESULTS!$N$2:$N$1001,SMALL(IF(RECON_RESULTS!$A$2:$A$1001="Unmatched GL",ROW(RECON_RESULTS!$A$2:$A$1001)-1),52)))</f>
        <v/>
      </c>
      <c r="I258" s="11" t="inlineStr"/>
      <c r="J258" s="11" t="inlineStr"/>
      <c r="K258" s="11" t="inlineStr"/>
      <c r="L258" s="11" t="inlineStr"/>
    </row>
    <row r="259">
      <c r="B259" s="11">
        <f>IFERROR(INDEX(RECON_RESULTS!$A$2:$A$1001,SMALL(IF(RECON_RESULTS!$A$2:$A$1001="Unmatched GL",ROW(RECON_RESULTS!$A$2:$A$1001)-1),53)),"")</f>
        <v/>
      </c>
      <c r="C259" s="10">
        <f>IF(B259="","",INDEX(RECON_RESULTS!$C$2:$C$1001,SMALL(IF(RECON_RESULTS!$A$2:$A$1001="Unmatched GL",ROW(RECON_RESULTS!$A$2:$A$1001)-1),53)))</f>
        <v/>
      </c>
      <c r="D259" s="11">
        <f>IF(B259="","",INDEX(RECON_RESULTS!$B$2:$B$1001,SMALL(IF(RECON_RESULTS!$A$2:$A$1001="Unmatched GL",ROW(RECON_RESULTS!$A$2:$A$1001)-1),53)))</f>
        <v/>
      </c>
      <c r="E259" s="16">
        <f>IF(B259="","",INDEX(RECON_RESULTS!$D$2:$D$1001,SMALL(IF(RECON_RESULTS!$A$2:$A$1001="Unmatched GL",ROW(RECON_RESULTS!$A$2:$A$1001)-1),53)))</f>
        <v/>
      </c>
      <c r="F259" s="11">
        <f>IF(B259="","",INDEX(RECON_RESULTS!$E$2:$E$1001,SMALL(IF(RECON_RESULTS!$A$2:$A$1001="Unmatched GL",ROW(RECON_RESULTS!$A$2:$A$1001)-1),53)))</f>
        <v/>
      </c>
      <c r="G259" s="11">
        <f>IF(B259="","",INDEX(RECON_RESULTS!$M$2:$M$1001,SMALL(IF(RECON_RESULTS!$A$2:$A$1001="Unmatched GL",ROW(RECON_RESULTS!$A$2:$A$1001)-1),53)))</f>
        <v/>
      </c>
      <c r="H259" s="11">
        <f>IF(B259="","",INDEX(RECON_RESULTS!$N$2:$N$1001,SMALL(IF(RECON_RESULTS!$A$2:$A$1001="Unmatched GL",ROW(RECON_RESULTS!$A$2:$A$1001)-1),53)))</f>
        <v/>
      </c>
      <c r="I259" s="11" t="inlineStr"/>
      <c r="J259" s="11" t="inlineStr"/>
      <c r="K259" s="11" t="inlineStr"/>
      <c r="L259" s="11" t="inlineStr"/>
    </row>
    <row r="260">
      <c r="B260" s="11">
        <f>IFERROR(INDEX(RECON_RESULTS!$A$2:$A$1001,SMALL(IF(RECON_RESULTS!$A$2:$A$1001="Unmatched GL",ROW(RECON_RESULTS!$A$2:$A$1001)-1),54)),"")</f>
        <v/>
      </c>
      <c r="C260" s="10">
        <f>IF(B260="","",INDEX(RECON_RESULTS!$C$2:$C$1001,SMALL(IF(RECON_RESULTS!$A$2:$A$1001="Unmatched GL",ROW(RECON_RESULTS!$A$2:$A$1001)-1),54)))</f>
        <v/>
      </c>
      <c r="D260" s="11">
        <f>IF(B260="","",INDEX(RECON_RESULTS!$B$2:$B$1001,SMALL(IF(RECON_RESULTS!$A$2:$A$1001="Unmatched GL",ROW(RECON_RESULTS!$A$2:$A$1001)-1),54)))</f>
        <v/>
      </c>
      <c r="E260" s="16">
        <f>IF(B260="","",INDEX(RECON_RESULTS!$D$2:$D$1001,SMALL(IF(RECON_RESULTS!$A$2:$A$1001="Unmatched GL",ROW(RECON_RESULTS!$A$2:$A$1001)-1),54)))</f>
        <v/>
      </c>
      <c r="F260" s="11">
        <f>IF(B260="","",INDEX(RECON_RESULTS!$E$2:$E$1001,SMALL(IF(RECON_RESULTS!$A$2:$A$1001="Unmatched GL",ROW(RECON_RESULTS!$A$2:$A$1001)-1),54)))</f>
        <v/>
      </c>
      <c r="G260" s="11">
        <f>IF(B260="","",INDEX(RECON_RESULTS!$M$2:$M$1001,SMALL(IF(RECON_RESULTS!$A$2:$A$1001="Unmatched GL",ROW(RECON_RESULTS!$A$2:$A$1001)-1),54)))</f>
        <v/>
      </c>
      <c r="H260" s="11">
        <f>IF(B260="","",INDEX(RECON_RESULTS!$N$2:$N$1001,SMALL(IF(RECON_RESULTS!$A$2:$A$1001="Unmatched GL",ROW(RECON_RESULTS!$A$2:$A$1001)-1),54)))</f>
        <v/>
      </c>
      <c r="I260" s="11" t="inlineStr"/>
      <c r="J260" s="11" t="inlineStr"/>
      <c r="K260" s="11" t="inlineStr"/>
      <c r="L260" s="11" t="inlineStr"/>
    </row>
    <row r="261">
      <c r="B261" s="11">
        <f>IFERROR(INDEX(RECON_RESULTS!$A$2:$A$1001,SMALL(IF(RECON_RESULTS!$A$2:$A$1001="Unmatched GL",ROW(RECON_RESULTS!$A$2:$A$1001)-1),55)),"")</f>
        <v/>
      </c>
      <c r="C261" s="10">
        <f>IF(B261="","",INDEX(RECON_RESULTS!$C$2:$C$1001,SMALL(IF(RECON_RESULTS!$A$2:$A$1001="Unmatched GL",ROW(RECON_RESULTS!$A$2:$A$1001)-1),55)))</f>
        <v/>
      </c>
      <c r="D261" s="11">
        <f>IF(B261="","",INDEX(RECON_RESULTS!$B$2:$B$1001,SMALL(IF(RECON_RESULTS!$A$2:$A$1001="Unmatched GL",ROW(RECON_RESULTS!$A$2:$A$1001)-1),55)))</f>
        <v/>
      </c>
      <c r="E261" s="16">
        <f>IF(B261="","",INDEX(RECON_RESULTS!$D$2:$D$1001,SMALL(IF(RECON_RESULTS!$A$2:$A$1001="Unmatched GL",ROW(RECON_RESULTS!$A$2:$A$1001)-1),55)))</f>
        <v/>
      </c>
      <c r="F261" s="11">
        <f>IF(B261="","",INDEX(RECON_RESULTS!$E$2:$E$1001,SMALL(IF(RECON_RESULTS!$A$2:$A$1001="Unmatched GL",ROW(RECON_RESULTS!$A$2:$A$1001)-1),55)))</f>
        <v/>
      </c>
      <c r="G261" s="11">
        <f>IF(B261="","",INDEX(RECON_RESULTS!$M$2:$M$1001,SMALL(IF(RECON_RESULTS!$A$2:$A$1001="Unmatched GL",ROW(RECON_RESULTS!$A$2:$A$1001)-1),55)))</f>
        <v/>
      </c>
      <c r="H261" s="11">
        <f>IF(B261="","",INDEX(RECON_RESULTS!$N$2:$N$1001,SMALL(IF(RECON_RESULTS!$A$2:$A$1001="Unmatched GL",ROW(RECON_RESULTS!$A$2:$A$1001)-1),55)))</f>
        <v/>
      </c>
      <c r="I261" s="11" t="inlineStr"/>
      <c r="J261" s="11" t="inlineStr"/>
      <c r="K261" s="11" t="inlineStr"/>
      <c r="L261" s="11" t="inlineStr"/>
    </row>
    <row r="262">
      <c r="B262" s="11">
        <f>IFERROR(INDEX(RECON_RESULTS!$A$2:$A$1001,SMALL(IF(RECON_RESULTS!$A$2:$A$1001="Unmatched GL",ROW(RECON_RESULTS!$A$2:$A$1001)-1),56)),"")</f>
        <v/>
      </c>
      <c r="C262" s="10">
        <f>IF(B262="","",INDEX(RECON_RESULTS!$C$2:$C$1001,SMALL(IF(RECON_RESULTS!$A$2:$A$1001="Unmatched GL",ROW(RECON_RESULTS!$A$2:$A$1001)-1),56)))</f>
        <v/>
      </c>
      <c r="D262" s="11">
        <f>IF(B262="","",INDEX(RECON_RESULTS!$B$2:$B$1001,SMALL(IF(RECON_RESULTS!$A$2:$A$1001="Unmatched GL",ROW(RECON_RESULTS!$A$2:$A$1001)-1),56)))</f>
        <v/>
      </c>
      <c r="E262" s="16">
        <f>IF(B262="","",INDEX(RECON_RESULTS!$D$2:$D$1001,SMALL(IF(RECON_RESULTS!$A$2:$A$1001="Unmatched GL",ROW(RECON_RESULTS!$A$2:$A$1001)-1),56)))</f>
        <v/>
      </c>
      <c r="F262" s="11">
        <f>IF(B262="","",INDEX(RECON_RESULTS!$E$2:$E$1001,SMALL(IF(RECON_RESULTS!$A$2:$A$1001="Unmatched GL",ROW(RECON_RESULTS!$A$2:$A$1001)-1),56)))</f>
        <v/>
      </c>
      <c r="G262" s="11">
        <f>IF(B262="","",INDEX(RECON_RESULTS!$M$2:$M$1001,SMALL(IF(RECON_RESULTS!$A$2:$A$1001="Unmatched GL",ROW(RECON_RESULTS!$A$2:$A$1001)-1),56)))</f>
        <v/>
      </c>
      <c r="H262" s="11">
        <f>IF(B262="","",INDEX(RECON_RESULTS!$N$2:$N$1001,SMALL(IF(RECON_RESULTS!$A$2:$A$1001="Unmatched GL",ROW(RECON_RESULTS!$A$2:$A$1001)-1),56)))</f>
        <v/>
      </c>
      <c r="I262" s="11" t="inlineStr"/>
      <c r="J262" s="11" t="inlineStr"/>
      <c r="K262" s="11" t="inlineStr"/>
      <c r="L262" s="11" t="inlineStr"/>
    </row>
    <row r="263">
      <c r="B263" s="11">
        <f>IFERROR(INDEX(RECON_RESULTS!$A$2:$A$1001,SMALL(IF(RECON_RESULTS!$A$2:$A$1001="Unmatched GL",ROW(RECON_RESULTS!$A$2:$A$1001)-1),57)),"")</f>
        <v/>
      </c>
      <c r="C263" s="10">
        <f>IF(B263="","",INDEX(RECON_RESULTS!$C$2:$C$1001,SMALL(IF(RECON_RESULTS!$A$2:$A$1001="Unmatched GL",ROW(RECON_RESULTS!$A$2:$A$1001)-1),57)))</f>
        <v/>
      </c>
      <c r="D263" s="11">
        <f>IF(B263="","",INDEX(RECON_RESULTS!$B$2:$B$1001,SMALL(IF(RECON_RESULTS!$A$2:$A$1001="Unmatched GL",ROW(RECON_RESULTS!$A$2:$A$1001)-1),57)))</f>
        <v/>
      </c>
      <c r="E263" s="16">
        <f>IF(B263="","",INDEX(RECON_RESULTS!$D$2:$D$1001,SMALL(IF(RECON_RESULTS!$A$2:$A$1001="Unmatched GL",ROW(RECON_RESULTS!$A$2:$A$1001)-1),57)))</f>
        <v/>
      </c>
      <c r="F263" s="11">
        <f>IF(B263="","",INDEX(RECON_RESULTS!$E$2:$E$1001,SMALL(IF(RECON_RESULTS!$A$2:$A$1001="Unmatched GL",ROW(RECON_RESULTS!$A$2:$A$1001)-1),57)))</f>
        <v/>
      </c>
      <c r="G263" s="11">
        <f>IF(B263="","",INDEX(RECON_RESULTS!$M$2:$M$1001,SMALL(IF(RECON_RESULTS!$A$2:$A$1001="Unmatched GL",ROW(RECON_RESULTS!$A$2:$A$1001)-1),57)))</f>
        <v/>
      </c>
      <c r="H263" s="11">
        <f>IF(B263="","",INDEX(RECON_RESULTS!$N$2:$N$1001,SMALL(IF(RECON_RESULTS!$A$2:$A$1001="Unmatched GL",ROW(RECON_RESULTS!$A$2:$A$1001)-1),57)))</f>
        <v/>
      </c>
      <c r="I263" s="11" t="inlineStr"/>
      <c r="J263" s="11" t="inlineStr"/>
      <c r="K263" s="11" t="inlineStr"/>
      <c r="L263" s="11" t="inlineStr"/>
    </row>
    <row r="264">
      <c r="B264" s="11">
        <f>IFERROR(INDEX(RECON_RESULTS!$A$2:$A$1001,SMALL(IF(RECON_RESULTS!$A$2:$A$1001="Unmatched GL",ROW(RECON_RESULTS!$A$2:$A$1001)-1),58)),"")</f>
        <v/>
      </c>
      <c r="C264" s="10">
        <f>IF(B264="","",INDEX(RECON_RESULTS!$C$2:$C$1001,SMALL(IF(RECON_RESULTS!$A$2:$A$1001="Unmatched GL",ROW(RECON_RESULTS!$A$2:$A$1001)-1),58)))</f>
        <v/>
      </c>
      <c r="D264" s="11">
        <f>IF(B264="","",INDEX(RECON_RESULTS!$B$2:$B$1001,SMALL(IF(RECON_RESULTS!$A$2:$A$1001="Unmatched GL",ROW(RECON_RESULTS!$A$2:$A$1001)-1),58)))</f>
        <v/>
      </c>
      <c r="E264" s="16">
        <f>IF(B264="","",INDEX(RECON_RESULTS!$D$2:$D$1001,SMALL(IF(RECON_RESULTS!$A$2:$A$1001="Unmatched GL",ROW(RECON_RESULTS!$A$2:$A$1001)-1),58)))</f>
        <v/>
      </c>
      <c r="F264" s="11">
        <f>IF(B264="","",INDEX(RECON_RESULTS!$E$2:$E$1001,SMALL(IF(RECON_RESULTS!$A$2:$A$1001="Unmatched GL",ROW(RECON_RESULTS!$A$2:$A$1001)-1),58)))</f>
        <v/>
      </c>
      <c r="G264" s="11">
        <f>IF(B264="","",INDEX(RECON_RESULTS!$M$2:$M$1001,SMALL(IF(RECON_RESULTS!$A$2:$A$1001="Unmatched GL",ROW(RECON_RESULTS!$A$2:$A$1001)-1),58)))</f>
        <v/>
      </c>
      <c r="H264" s="11">
        <f>IF(B264="","",INDEX(RECON_RESULTS!$N$2:$N$1001,SMALL(IF(RECON_RESULTS!$A$2:$A$1001="Unmatched GL",ROW(RECON_RESULTS!$A$2:$A$1001)-1),58)))</f>
        <v/>
      </c>
      <c r="I264" s="11" t="inlineStr"/>
      <c r="J264" s="11" t="inlineStr"/>
      <c r="K264" s="11" t="inlineStr"/>
      <c r="L264" s="11" t="inlineStr"/>
    </row>
    <row r="265">
      <c r="B265" s="11">
        <f>IFERROR(INDEX(RECON_RESULTS!$A$2:$A$1001,SMALL(IF(RECON_RESULTS!$A$2:$A$1001="Unmatched GL",ROW(RECON_RESULTS!$A$2:$A$1001)-1),59)),"")</f>
        <v/>
      </c>
      <c r="C265" s="10">
        <f>IF(B265="","",INDEX(RECON_RESULTS!$C$2:$C$1001,SMALL(IF(RECON_RESULTS!$A$2:$A$1001="Unmatched GL",ROW(RECON_RESULTS!$A$2:$A$1001)-1),59)))</f>
        <v/>
      </c>
      <c r="D265" s="11">
        <f>IF(B265="","",INDEX(RECON_RESULTS!$B$2:$B$1001,SMALL(IF(RECON_RESULTS!$A$2:$A$1001="Unmatched GL",ROW(RECON_RESULTS!$A$2:$A$1001)-1),59)))</f>
        <v/>
      </c>
      <c r="E265" s="16">
        <f>IF(B265="","",INDEX(RECON_RESULTS!$D$2:$D$1001,SMALL(IF(RECON_RESULTS!$A$2:$A$1001="Unmatched GL",ROW(RECON_RESULTS!$A$2:$A$1001)-1),59)))</f>
        <v/>
      </c>
      <c r="F265" s="11">
        <f>IF(B265="","",INDEX(RECON_RESULTS!$E$2:$E$1001,SMALL(IF(RECON_RESULTS!$A$2:$A$1001="Unmatched GL",ROW(RECON_RESULTS!$A$2:$A$1001)-1),59)))</f>
        <v/>
      </c>
      <c r="G265" s="11">
        <f>IF(B265="","",INDEX(RECON_RESULTS!$M$2:$M$1001,SMALL(IF(RECON_RESULTS!$A$2:$A$1001="Unmatched GL",ROW(RECON_RESULTS!$A$2:$A$1001)-1),59)))</f>
        <v/>
      </c>
      <c r="H265" s="11">
        <f>IF(B265="","",INDEX(RECON_RESULTS!$N$2:$N$1001,SMALL(IF(RECON_RESULTS!$A$2:$A$1001="Unmatched GL",ROW(RECON_RESULTS!$A$2:$A$1001)-1),59)))</f>
        <v/>
      </c>
      <c r="I265" s="11" t="inlineStr"/>
      <c r="J265" s="11" t="inlineStr"/>
      <c r="K265" s="11" t="inlineStr"/>
      <c r="L265" s="11" t="inlineStr"/>
    </row>
    <row r="266">
      <c r="B266" s="11">
        <f>IFERROR(INDEX(RECON_RESULTS!$A$2:$A$1001,SMALL(IF(RECON_RESULTS!$A$2:$A$1001="Unmatched GL",ROW(RECON_RESULTS!$A$2:$A$1001)-1),60)),"")</f>
        <v/>
      </c>
      <c r="C266" s="10">
        <f>IF(B266="","",INDEX(RECON_RESULTS!$C$2:$C$1001,SMALL(IF(RECON_RESULTS!$A$2:$A$1001="Unmatched GL",ROW(RECON_RESULTS!$A$2:$A$1001)-1),60)))</f>
        <v/>
      </c>
      <c r="D266" s="11">
        <f>IF(B266="","",INDEX(RECON_RESULTS!$B$2:$B$1001,SMALL(IF(RECON_RESULTS!$A$2:$A$1001="Unmatched GL",ROW(RECON_RESULTS!$A$2:$A$1001)-1),60)))</f>
        <v/>
      </c>
      <c r="E266" s="16">
        <f>IF(B266="","",INDEX(RECON_RESULTS!$D$2:$D$1001,SMALL(IF(RECON_RESULTS!$A$2:$A$1001="Unmatched GL",ROW(RECON_RESULTS!$A$2:$A$1001)-1),60)))</f>
        <v/>
      </c>
      <c r="F266" s="11">
        <f>IF(B266="","",INDEX(RECON_RESULTS!$E$2:$E$1001,SMALL(IF(RECON_RESULTS!$A$2:$A$1001="Unmatched GL",ROW(RECON_RESULTS!$A$2:$A$1001)-1),60)))</f>
        <v/>
      </c>
      <c r="G266" s="11">
        <f>IF(B266="","",INDEX(RECON_RESULTS!$M$2:$M$1001,SMALL(IF(RECON_RESULTS!$A$2:$A$1001="Unmatched GL",ROW(RECON_RESULTS!$A$2:$A$1001)-1),60)))</f>
        <v/>
      </c>
      <c r="H266" s="11">
        <f>IF(B266="","",INDEX(RECON_RESULTS!$N$2:$N$1001,SMALL(IF(RECON_RESULTS!$A$2:$A$1001="Unmatched GL",ROW(RECON_RESULTS!$A$2:$A$1001)-1),60)))</f>
        <v/>
      </c>
      <c r="I266" s="11" t="inlineStr"/>
      <c r="J266" s="11" t="inlineStr"/>
      <c r="K266" s="11" t="inlineStr"/>
      <c r="L266" s="11" t="inlineStr"/>
    </row>
    <row r="267">
      <c r="B267" s="11">
        <f>IFERROR(INDEX(RECON_RESULTS!$A$2:$A$1001,SMALL(IF(RECON_RESULTS!$A$2:$A$1001="Unmatched GL",ROW(RECON_RESULTS!$A$2:$A$1001)-1),61)),"")</f>
        <v/>
      </c>
      <c r="C267" s="10">
        <f>IF(B267="","",INDEX(RECON_RESULTS!$C$2:$C$1001,SMALL(IF(RECON_RESULTS!$A$2:$A$1001="Unmatched GL",ROW(RECON_RESULTS!$A$2:$A$1001)-1),61)))</f>
        <v/>
      </c>
      <c r="D267" s="11">
        <f>IF(B267="","",INDEX(RECON_RESULTS!$B$2:$B$1001,SMALL(IF(RECON_RESULTS!$A$2:$A$1001="Unmatched GL",ROW(RECON_RESULTS!$A$2:$A$1001)-1),61)))</f>
        <v/>
      </c>
      <c r="E267" s="16">
        <f>IF(B267="","",INDEX(RECON_RESULTS!$D$2:$D$1001,SMALL(IF(RECON_RESULTS!$A$2:$A$1001="Unmatched GL",ROW(RECON_RESULTS!$A$2:$A$1001)-1),61)))</f>
        <v/>
      </c>
      <c r="F267" s="11">
        <f>IF(B267="","",INDEX(RECON_RESULTS!$E$2:$E$1001,SMALL(IF(RECON_RESULTS!$A$2:$A$1001="Unmatched GL",ROW(RECON_RESULTS!$A$2:$A$1001)-1),61)))</f>
        <v/>
      </c>
      <c r="G267" s="11">
        <f>IF(B267="","",INDEX(RECON_RESULTS!$M$2:$M$1001,SMALL(IF(RECON_RESULTS!$A$2:$A$1001="Unmatched GL",ROW(RECON_RESULTS!$A$2:$A$1001)-1),61)))</f>
        <v/>
      </c>
      <c r="H267" s="11">
        <f>IF(B267="","",INDEX(RECON_RESULTS!$N$2:$N$1001,SMALL(IF(RECON_RESULTS!$A$2:$A$1001="Unmatched GL",ROW(RECON_RESULTS!$A$2:$A$1001)-1),61)))</f>
        <v/>
      </c>
      <c r="I267" s="11" t="inlineStr"/>
      <c r="J267" s="11" t="inlineStr"/>
      <c r="K267" s="11" t="inlineStr"/>
      <c r="L267" s="11" t="inlineStr"/>
    </row>
    <row r="268">
      <c r="B268" s="11">
        <f>IFERROR(INDEX(RECON_RESULTS!$A$2:$A$1001,SMALL(IF(RECON_RESULTS!$A$2:$A$1001="Unmatched GL",ROW(RECON_RESULTS!$A$2:$A$1001)-1),62)),"")</f>
        <v/>
      </c>
      <c r="C268" s="10">
        <f>IF(B268="","",INDEX(RECON_RESULTS!$C$2:$C$1001,SMALL(IF(RECON_RESULTS!$A$2:$A$1001="Unmatched GL",ROW(RECON_RESULTS!$A$2:$A$1001)-1),62)))</f>
        <v/>
      </c>
      <c r="D268" s="11">
        <f>IF(B268="","",INDEX(RECON_RESULTS!$B$2:$B$1001,SMALL(IF(RECON_RESULTS!$A$2:$A$1001="Unmatched GL",ROW(RECON_RESULTS!$A$2:$A$1001)-1),62)))</f>
        <v/>
      </c>
      <c r="E268" s="16">
        <f>IF(B268="","",INDEX(RECON_RESULTS!$D$2:$D$1001,SMALL(IF(RECON_RESULTS!$A$2:$A$1001="Unmatched GL",ROW(RECON_RESULTS!$A$2:$A$1001)-1),62)))</f>
        <v/>
      </c>
      <c r="F268" s="11">
        <f>IF(B268="","",INDEX(RECON_RESULTS!$E$2:$E$1001,SMALL(IF(RECON_RESULTS!$A$2:$A$1001="Unmatched GL",ROW(RECON_RESULTS!$A$2:$A$1001)-1),62)))</f>
        <v/>
      </c>
      <c r="G268" s="11">
        <f>IF(B268="","",INDEX(RECON_RESULTS!$M$2:$M$1001,SMALL(IF(RECON_RESULTS!$A$2:$A$1001="Unmatched GL",ROW(RECON_RESULTS!$A$2:$A$1001)-1),62)))</f>
        <v/>
      </c>
      <c r="H268" s="11">
        <f>IF(B268="","",INDEX(RECON_RESULTS!$N$2:$N$1001,SMALL(IF(RECON_RESULTS!$A$2:$A$1001="Unmatched GL",ROW(RECON_RESULTS!$A$2:$A$1001)-1),62)))</f>
        <v/>
      </c>
      <c r="I268" s="11" t="inlineStr"/>
      <c r="J268" s="11" t="inlineStr"/>
      <c r="K268" s="11" t="inlineStr"/>
      <c r="L268" s="11" t="inlineStr"/>
    </row>
    <row r="269">
      <c r="B269" s="11">
        <f>IFERROR(INDEX(RECON_RESULTS!$A$2:$A$1001,SMALL(IF(RECON_RESULTS!$A$2:$A$1001="Unmatched GL",ROW(RECON_RESULTS!$A$2:$A$1001)-1),63)),"")</f>
        <v/>
      </c>
      <c r="C269" s="10">
        <f>IF(B269="","",INDEX(RECON_RESULTS!$C$2:$C$1001,SMALL(IF(RECON_RESULTS!$A$2:$A$1001="Unmatched GL",ROW(RECON_RESULTS!$A$2:$A$1001)-1),63)))</f>
        <v/>
      </c>
      <c r="D269" s="11">
        <f>IF(B269="","",INDEX(RECON_RESULTS!$B$2:$B$1001,SMALL(IF(RECON_RESULTS!$A$2:$A$1001="Unmatched GL",ROW(RECON_RESULTS!$A$2:$A$1001)-1),63)))</f>
        <v/>
      </c>
      <c r="E269" s="16">
        <f>IF(B269="","",INDEX(RECON_RESULTS!$D$2:$D$1001,SMALL(IF(RECON_RESULTS!$A$2:$A$1001="Unmatched GL",ROW(RECON_RESULTS!$A$2:$A$1001)-1),63)))</f>
        <v/>
      </c>
      <c r="F269" s="11">
        <f>IF(B269="","",INDEX(RECON_RESULTS!$E$2:$E$1001,SMALL(IF(RECON_RESULTS!$A$2:$A$1001="Unmatched GL",ROW(RECON_RESULTS!$A$2:$A$1001)-1),63)))</f>
        <v/>
      </c>
      <c r="G269" s="11">
        <f>IF(B269="","",INDEX(RECON_RESULTS!$M$2:$M$1001,SMALL(IF(RECON_RESULTS!$A$2:$A$1001="Unmatched GL",ROW(RECON_RESULTS!$A$2:$A$1001)-1),63)))</f>
        <v/>
      </c>
      <c r="H269" s="11">
        <f>IF(B269="","",INDEX(RECON_RESULTS!$N$2:$N$1001,SMALL(IF(RECON_RESULTS!$A$2:$A$1001="Unmatched GL",ROW(RECON_RESULTS!$A$2:$A$1001)-1),63)))</f>
        <v/>
      </c>
      <c r="I269" s="11" t="inlineStr"/>
      <c r="J269" s="11" t="inlineStr"/>
      <c r="K269" s="11" t="inlineStr"/>
      <c r="L269" s="11" t="inlineStr"/>
    </row>
    <row r="270">
      <c r="B270" s="11">
        <f>IFERROR(INDEX(RECON_RESULTS!$A$2:$A$1001,SMALL(IF(RECON_RESULTS!$A$2:$A$1001="Unmatched GL",ROW(RECON_RESULTS!$A$2:$A$1001)-1),64)),"")</f>
        <v/>
      </c>
      <c r="C270" s="10">
        <f>IF(B270="","",INDEX(RECON_RESULTS!$C$2:$C$1001,SMALL(IF(RECON_RESULTS!$A$2:$A$1001="Unmatched GL",ROW(RECON_RESULTS!$A$2:$A$1001)-1),64)))</f>
        <v/>
      </c>
      <c r="D270" s="11">
        <f>IF(B270="","",INDEX(RECON_RESULTS!$B$2:$B$1001,SMALL(IF(RECON_RESULTS!$A$2:$A$1001="Unmatched GL",ROW(RECON_RESULTS!$A$2:$A$1001)-1),64)))</f>
        <v/>
      </c>
      <c r="E270" s="16">
        <f>IF(B270="","",INDEX(RECON_RESULTS!$D$2:$D$1001,SMALL(IF(RECON_RESULTS!$A$2:$A$1001="Unmatched GL",ROW(RECON_RESULTS!$A$2:$A$1001)-1),64)))</f>
        <v/>
      </c>
      <c r="F270" s="11">
        <f>IF(B270="","",INDEX(RECON_RESULTS!$E$2:$E$1001,SMALL(IF(RECON_RESULTS!$A$2:$A$1001="Unmatched GL",ROW(RECON_RESULTS!$A$2:$A$1001)-1),64)))</f>
        <v/>
      </c>
      <c r="G270" s="11">
        <f>IF(B270="","",INDEX(RECON_RESULTS!$M$2:$M$1001,SMALL(IF(RECON_RESULTS!$A$2:$A$1001="Unmatched GL",ROW(RECON_RESULTS!$A$2:$A$1001)-1),64)))</f>
        <v/>
      </c>
      <c r="H270" s="11">
        <f>IF(B270="","",INDEX(RECON_RESULTS!$N$2:$N$1001,SMALL(IF(RECON_RESULTS!$A$2:$A$1001="Unmatched GL",ROW(RECON_RESULTS!$A$2:$A$1001)-1),64)))</f>
        <v/>
      </c>
      <c r="I270" s="11" t="inlineStr"/>
      <c r="J270" s="11" t="inlineStr"/>
      <c r="K270" s="11" t="inlineStr"/>
      <c r="L270" s="11" t="inlineStr"/>
    </row>
    <row r="271">
      <c r="B271" s="11">
        <f>IFERROR(INDEX(RECON_RESULTS!$A$2:$A$1001,SMALL(IF(RECON_RESULTS!$A$2:$A$1001="Unmatched GL",ROW(RECON_RESULTS!$A$2:$A$1001)-1),65)),"")</f>
        <v/>
      </c>
      <c r="C271" s="10">
        <f>IF(B271="","",INDEX(RECON_RESULTS!$C$2:$C$1001,SMALL(IF(RECON_RESULTS!$A$2:$A$1001="Unmatched GL",ROW(RECON_RESULTS!$A$2:$A$1001)-1),65)))</f>
        <v/>
      </c>
      <c r="D271" s="11">
        <f>IF(B271="","",INDEX(RECON_RESULTS!$B$2:$B$1001,SMALL(IF(RECON_RESULTS!$A$2:$A$1001="Unmatched GL",ROW(RECON_RESULTS!$A$2:$A$1001)-1),65)))</f>
        <v/>
      </c>
      <c r="E271" s="16">
        <f>IF(B271="","",INDEX(RECON_RESULTS!$D$2:$D$1001,SMALL(IF(RECON_RESULTS!$A$2:$A$1001="Unmatched GL",ROW(RECON_RESULTS!$A$2:$A$1001)-1),65)))</f>
        <v/>
      </c>
      <c r="F271" s="11">
        <f>IF(B271="","",INDEX(RECON_RESULTS!$E$2:$E$1001,SMALL(IF(RECON_RESULTS!$A$2:$A$1001="Unmatched GL",ROW(RECON_RESULTS!$A$2:$A$1001)-1),65)))</f>
        <v/>
      </c>
      <c r="G271" s="11">
        <f>IF(B271="","",INDEX(RECON_RESULTS!$M$2:$M$1001,SMALL(IF(RECON_RESULTS!$A$2:$A$1001="Unmatched GL",ROW(RECON_RESULTS!$A$2:$A$1001)-1),65)))</f>
        <v/>
      </c>
      <c r="H271" s="11">
        <f>IF(B271="","",INDEX(RECON_RESULTS!$N$2:$N$1001,SMALL(IF(RECON_RESULTS!$A$2:$A$1001="Unmatched GL",ROW(RECON_RESULTS!$A$2:$A$1001)-1),65)))</f>
        <v/>
      </c>
      <c r="I271" s="11" t="inlineStr"/>
      <c r="J271" s="11" t="inlineStr"/>
      <c r="K271" s="11" t="inlineStr"/>
      <c r="L271" s="11" t="inlineStr"/>
    </row>
    <row r="272">
      <c r="B272" s="11">
        <f>IFERROR(INDEX(RECON_RESULTS!$A$2:$A$1001,SMALL(IF(RECON_RESULTS!$A$2:$A$1001="Unmatched GL",ROW(RECON_RESULTS!$A$2:$A$1001)-1),66)),"")</f>
        <v/>
      </c>
      <c r="C272" s="10">
        <f>IF(B272="","",INDEX(RECON_RESULTS!$C$2:$C$1001,SMALL(IF(RECON_RESULTS!$A$2:$A$1001="Unmatched GL",ROW(RECON_RESULTS!$A$2:$A$1001)-1),66)))</f>
        <v/>
      </c>
      <c r="D272" s="11">
        <f>IF(B272="","",INDEX(RECON_RESULTS!$B$2:$B$1001,SMALL(IF(RECON_RESULTS!$A$2:$A$1001="Unmatched GL",ROW(RECON_RESULTS!$A$2:$A$1001)-1),66)))</f>
        <v/>
      </c>
      <c r="E272" s="16">
        <f>IF(B272="","",INDEX(RECON_RESULTS!$D$2:$D$1001,SMALL(IF(RECON_RESULTS!$A$2:$A$1001="Unmatched GL",ROW(RECON_RESULTS!$A$2:$A$1001)-1),66)))</f>
        <v/>
      </c>
      <c r="F272" s="11">
        <f>IF(B272="","",INDEX(RECON_RESULTS!$E$2:$E$1001,SMALL(IF(RECON_RESULTS!$A$2:$A$1001="Unmatched GL",ROW(RECON_RESULTS!$A$2:$A$1001)-1),66)))</f>
        <v/>
      </c>
      <c r="G272" s="11">
        <f>IF(B272="","",INDEX(RECON_RESULTS!$M$2:$M$1001,SMALL(IF(RECON_RESULTS!$A$2:$A$1001="Unmatched GL",ROW(RECON_RESULTS!$A$2:$A$1001)-1),66)))</f>
        <v/>
      </c>
      <c r="H272" s="11">
        <f>IF(B272="","",INDEX(RECON_RESULTS!$N$2:$N$1001,SMALL(IF(RECON_RESULTS!$A$2:$A$1001="Unmatched GL",ROW(RECON_RESULTS!$A$2:$A$1001)-1),66)))</f>
        <v/>
      </c>
      <c r="I272" s="11" t="inlineStr"/>
      <c r="J272" s="11" t="inlineStr"/>
      <c r="K272" s="11" t="inlineStr"/>
      <c r="L272" s="11" t="inlineStr"/>
    </row>
    <row r="273">
      <c r="B273" s="11">
        <f>IFERROR(INDEX(RECON_RESULTS!$A$2:$A$1001,SMALL(IF(RECON_RESULTS!$A$2:$A$1001="Unmatched GL",ROW(RECON_RESULTS!$A$2:$A$1001)-1),67)),"")</f>
        <v/>
      </c>
      <c r="C273" s="10">
        <f>IF(B273="","",INDEX(RECON_RESULTS!$C$2:$C$1001,SMALL(IF(RECON_RESULTS!$A$2:$A$1001="Unmatched GL",ROW(RECON_RESULTS!$A$2:$A$1001)-1),67)))</f>
        <v/>
      </c>
      <c r="D273" s="11">
        <f>IF(B273="","",INDEX(RECON_RESULTS!$B$2:$B$1001,SMALL(IF(RECON_RESULTS!$A$2:$A$1001="Unmatched GL",ROW(RECON_RESULTS!$A$2:$A$1001)-1),67)))</f>
        <v/>
      </c>
      <c r="E273" s="16">
        <f>IF(B273="","",INDEX(RECON_RESULTS!$D$2:$D$1001,SMALL(IF(RECON_RESULTS!$A$2:$A$1001="Unmatched GL",ROW(RECON_RESULTS!$A$2:$A$1001)-1),67)))</f>
        <v/>
      </c>
      <c r="F273" s="11">
        <f>IF(B273="","",INDEX(RECON_RESULTS!$E$2:$E$1001,SMALL(IF(RECON_RESULTS!$A$2:$A$1001="Unmatched GL",ROW(RECON_RESULTS!$A$2:$A$1001)-1),67)))</f>
        <v/>
      </c>
      <c r="G273" s="11">
        <f>IF(B273="","",INDEX(RECON_RESULTS!$M$2:$M$1001,SMALL(IF(RECON_RESULTS!$A$2:$A$1001="Unmatched GL",ROW(RECON_RESULTS!$A$2:$A$1001)-1),67)))</f>
        <v/>
      </c>
      <c r="H273" s="11">
        <f>IF(B273="","",INDEX(RECON_RESULTS!$N$2:$N$1001,SMALL(IF(RECON_RESULTS!$A$2:$A$1001="Unmatched GL",ROW(RECON_RESULTS!$A$2:$A$1001)-1),67)))</f>
        <v/>
      </c>
      <c r="I273" s="11" t="inlineStr"/>
      <c r="J273" s="11" t="inlineStr"/>
      <c r="K273" s="11" t="inlineStr"/>
      <c r="L273" s="11" t="inlineStr"/>
    </row>
    <row r="274">
      <c r="B274" s="11">
        <f>IFERROR(INDEX(RECON_RESULTS!$A$2:$A$1001,SMALL(IF(RECON_RESULTS!$A$2:$A$1001="Unmatched GL",ROW(RECON_RESULTS!$A$2:$A$1001)-1),68)),"")</f>
        <v/>
      </c>
      <c r="C274" s="10">
        <f>IF(B274="","",INDEX(RECON_RESULTS!$C$2:$C$1001,SMALL(IF(RECON_RESULTS!$A$2:$A$1001="Unmatched GL",ROW(RECON_RESULTS!$A$2:$A$1001)-1),68)))</f>
        <v/>
      </c>
      <c r="D274" s="11">
        <f>IF(B274="","",INDEX(RECON_RESULTS!$B$2:$B$1001,SMALL(IF(RECON_RESULTS!$A$2:$A$1001="Unmatched GL",ROW(RECON_RESULTS!$A$2:$A$1001)-1),68)))</f>
        <v/>
      </c>
      <c r="E274" s="16">
        <f>IF(B274="","",INDEX(RECON_RESULTS!$D$2:$D$1001,SMALL(IF(RECON_RESULTS!$A$2:$A$1001="Unmatched GL",ROW(RECON_RESULTS!$A$2:$A$1001)-1),68)))</f>
        <v/>
      </c>
      <c r="F274" s="11">
        <f>IF(B274="","",INDEX(RECON_RESULTS!$E$2:$E$1001,SMALL(IF(RECON_RESULTS!$A$2:$A$1001="Unmatched GL",ROW(RECON_RESULTS!$A$2:$A$1001)-1),68)))</f>
        <v/>
      </c>
      <c r="G274" s="11">
        <f>IF(B274="","",INDEX(RECON_RESULTS!$M$2:$M$1001,SMALL(IF(RECON_RESULTS!$A$2:$A$1001="Unmatched GL",ROW(RECON_RESULTS!$A$2:$A$1001)-1),68)))</f>
        <v/>
      </c>
      <c r="H274" s="11">
        <f>IF(B274="","",INDEX(RECON_RESULTS!$N$2:$N$1001,SMALL(IF(RECON_RESULTS!$A$2:$A$1001="Unmatched GL",ROW(RECON_RESULTS!$A$2:$A$1001)-1),68)))</f>
        <v/>
      </c>
      <c r="I274" s="11" t="inlineStr"/>
      <c r="J274" s="11" t="inlineStr"/>
      <c r="K274" s="11" t="inlineStr"/>
      <c r="L274" s="11" t="inlineStr"/>
    </row>
    <row r="275">
      <c r="B275" s="11">
        <f>IFERROR(INDEX(RECON_RESULTS!$A$2:$A$1001,SMALL(IF(RECON_RESULTS!$A$2:$A$1001="Unmatched GL",ROW(RECON_RESULTS!$A$2:$A$1001)-1),69)),"")</f>
        <v/>
      </c>
      <c r="C275" s="10">
        <f>IF(B275="","",INDEX(RECON_RESULTS!$C$2:$C$1001,SMALL(IF(RECON_RESULTS!$A$2:$A$1001="Unmatched GL",ROW(RECON_RESULTS!$A$2:$A$1001)-1),69)))</f>
        <v/>
      </c>
      <c r="D275" s="11">
        <f>IF(B275="","",INDEX(RECON_RESULTS!$B$2:$B$1001,SMALL(IF(RECON_RESULTS!$A$2:$A$1001="Unmatched GL",ROW(RECON_RESULTS!$A$2:$A$1001)-1),69)))</f>
        <v/>
      </c>
      <c r="E275" s="16">
        <f>IF(B275="","",INDEX(RECON_RESULTS!$D$2:$D$1001,SMALL(IF(RECON_RESULTS!$A$2:$A$1001="Unmatched GL",ROW(RECON_RESULTS!$A$2:$A$1001)-1),69)))</f>
        <v/>
      </c>
      <c r="F275" s="11">
        <f>IF(B275="","",INDEX(RECON_RESULTS!$E$2:$E$1001,SMALL(IF(RECON_RESULTS!$A$2:$A$1001="Unmatched GL",ROW(RECON_RESULTS!$A$2:$A$1001)-1),69)))</f>
        <v/>
      </c>
      <c r="G275" s="11">
        <f>IF(B275="","",INDEX(RECON_RESULTS!$M$2:$M$1001,SMALL(IF(RECON_RESULTS!$A$2:$A$1001="Unmatched GL",ROW(RECON_RESULTS!$A$2:$A$1001)-1),69)))</f>
        <v/>
      </c>
      <c r="H275" s="11">
        <f>IF(B275="","",INDEX(RECON_RESULTS!$N$2:$N$1001,SMALL(IF(RECON_RESULTS!$A$2:$A$1001="Unmatched GL",ROW(RECON_RESULTS!$A$2:$A$1001)-1),69)))</f>
        <v/>
      </c>
      <c r="I275" s="11" t="inlineStr"/>
      <c r="J275" s="11" t="inlineStr"/>
      <c r="K275" s="11" t="inlineStr"/>
      <c r="L275" s="11" t="inlineStr"/>
    </row>
    <row r="276">
      <c r="B276" s="11">
        <f>IFERROR(INDEX(RECON_RESULTS!$A$2:$A$1001,SMALL(IF(RECON_RESULTS!$A$2:$A$1001="Unmatched GL",ROW(RECON_RESULTS!$A$2:$A$1001)-1),70)),"")</f>
        <v/>
      </c>
      <c r="C276" s="10">
        <f>IF(B276="","",INDEX(RECON_RESULTS!$C$2:$C$1001,SMALL(IF(RECON_RESULTS!$A$2:$A$1001="Unmatched GL",ROW(RECON_RESULTS!$A$2:$A$1001)-1),70)))</f>
        <v/>
      </c>
      <c r="D276" s="11">
        <f>IF(B276="","",INDEX(RECON_RESULTS!$B$2:$B$1001,SMALL(IF(RECON_RESULTS!$A$2:$A$1001="Unmatched GL",ROW(RECON_RESULTS!$A$2:$A$1001)-1),70)))</f>
        <v/>
      </c>
      <c r="E276" s="16">
        <f>IF(B276="","",INDEX(RECON_RESULTS!$D$2:$D$1001,SMALL(IF(RECON_RESULTS!$A$2:$A$1001="Unmatched GL",ROW(RECON_RESULTS!$A$2:$A$1001)-1),70)))</f>
        <v/>
      </c>
      <c r="F276" s="11">
        <f>IF(B276="","",INDEX(RECON_RESULTS!$E$2:$E$1001,SMALL(IF(RECON_RESULTS!$A$2:$A$1001="Unmatched GL",ROW(RECON_RESULTS!$A$2:$A$1001)-1),70)))</f>
        <v/>
      </c>
      <c r="G276" s="11">
        <f>IF(B276="","",INDEX(RECON_RESULTS!$M$2:$M$1001,SMALL(IF(RECON_RESULTS!$A$2:$A$1001="Unmatched GL",ROW(RECON_RESULTS!$A$2:$A$1001)-1),70)))</f>
        <v/>
      </c>
      <c r="H276" s="11">
        <f>IF(B276="","",INDEX(RECON_RESULTS!$N$2:$N$1001,SMALL(IF(RECON_RESULTS!$A$2:$A$1001="Unmatched GL",ROW(RECON_RESULTS!$A$2:$A$1001)-1),70)))</f>
        <v/>
      </c>
      <c r="I276" s="11" t="inlineStr"/>
      <c r="J276" s="11" t="inlineStr"/>
      <c r="K276" s="11" t="inlineStr"/>
      <c r="L276" s="11" t="inlineStr"/>
    </row>
    <row r="277">
      <c r="B277" s="11">
        <f>IFERROR(INDEX(RECON_RESULTS!$A$2:$A$1001,SMALL(IF(RECON_RESULTS!$A$2:$A$1001="Unmatched GL",ROW(RECON_RESULTS!$A$2:$A$1001)-1),71)),"")</f>
        <v/>
      </c>
      <c r="C277" s="10">
        <f>IF(B277="","",INDEX(RECON_RESULTS!$C$2:$C$1001,SMALL(IF(RECON_RESULTS!$A$2:$A$1001="Unmatched GL",ROW(RECON_RESULTS!$A$2:$A$1001)-1),71)))</f>
        <v/>
      </c>
      <c r="D277" s="11">
        <f>IF(B277="","",INDEX(RECON_RESULTS!$B$2:$B$1001,SMALL(IF(RECON_RESULTS!$A$2:$A$1001="Unmatched GL",ROW(RECON_RESULTS!$A$2:$A$1001)-1),71)))</f>
        <v/>
      </c>
      <c r="E277" s="16">
        <f>IF(B277="","",INDEX(RECON_RESULTS!$D$2:$D$1001,SMALL(IF(RECON_RESULTS!$A$2:$A$1001="Unmatched GL",ROW(RECON_RESULTS!$A$2:$A$1001)-1),71)))</f>
        <v/>
      </c>
      <c r="F277" s="11">
        <f>IF(B277="","",INDEX(RECON_RESULTS!$E$2:$E$1001,SMALL(IF(RECON_RESULTS!$A$2:$A$1001="Unmatched GL",ROW(RECON_RESULTS!$A$2:$A$1001)-1),71)))</f>
        <v/>
      </c>
      <c r="G277" s="11">
        <f>IF(B277="","",INDEX(RECON_RESULTS!$M$2:$M$1001,SMALL(IF(RECON_RESULTS!$A$2:$A$1001="Unmatched GL",ROW(RECON_RESULTS!$A$2:$A$1001)-1),71)))</f>
        <v/>
      </c>
      <c r="H277" s="11">
        <f>IF(B277="","",INDEX(RECON_RESULTS!$N$2:$N$1001,SMALL(IF(RECON_RESULTS!$A$2:$A$1001="Unmatched GL",ROW(RECON_RESULTS!$A$2:$A$1001)-1),71)))</f>
        <v/>
      </c>
      <c r="I277" s="11" t="inlineStr"/>
      <c r="J277" s="11" t="inlineStr"/>
      <c r="K277" s="11" t="inlineStr"/>
      <c r="L277" s="11" t="inlineStr"/>
    </row>
    <row r="278">
      <c r="B278" s="11">
        <f>IFERROR(INDEX(RECON_RESULTS!$A$2:$A$1001,SMALL(IF(RECON_RESULTS!$A$2:$A$1001="Unmatched GL",ROW(RECON_RESULTS!$A$2:$A$1001)-1),72)),"")</f>
        <v/>
      </c>
      <c r="C278" s="10">
        <f>IF(B278="","",INDEX(RECON_RESULTS!$C$2:$C$1001,SMALL(IF(RECON_RESULTS!$A$2:$A$1001="Unmatched GL",ROW(RECON_RESULTS!$A$2:$A$1001)-1),72)))</f>
        <v/>
      </c>
      <c r="D278" s="11">
        <f>IF(B278="","",INDEX(RECON_RESULTS!$B$2:$B$1001,SMALL(IF(RECON_RESULTS!$A$2:$A$1001="Unmatched GL",ROW(RECON_RESULTS!$A$2:$A$1001)-1),72)))</f>
        <v/>
      </c>
      <c r="E278" s="16">
        <f>IF(B278="","",INDEX(RECON_RESULTS!$D$2:$D$1001,SMALL(IF(RECON_RESULTS!$A$2:$A$1001="Unmatched GL",ROW(RECON_RESULTS!$A$2:$A$1001)-1),72)))</f>
        <v/>
      </c>
      <c r="F278" s="11">
        <f>IF(B278="","",INDEX(RECON_RESULTS!$E$2:$E$1001,SMALL(IF(RECON_RESULTS!$A$2:$A$1001="Unmatched GL",ROW(RECON_RESULTS!$A$2:$A$1001)-1),72)))</f>
        <v/>
      </c>
      <c r="G278" s="11">
        <f>IF(B278="","",INDEX(RECON_RESULTS!$M$2:$M$1001,SMALL(IF(RECON_RESULTS!$A$2:$A$1001="Unmatched GL",ROW(RECON_RESULTS!$A$2:$A$1001)-1),72)))</f>
        <v/>
      </c>
      <c r="H278" s="11">
        <f>IF(B278="","",INDEX(RECON_RESULTS!$N$2:$N$1001,SMALL(IF(RECON_RESULTS!$A$2:$A$1001="Unmatched GL",ROW(RECON_RESULTS!$A$2:$A$1001)-1),72)))</f>
        <v/>
      </c>
      <c r="I278" s="11" t="inlineStr"/>
      <c r="J278" s="11" t="inlineStr"/>
      <c r="K278" s="11" t="inlineStr"/>
      <c r="L278" s="11" t="inlineStr"/>
    </row>
    <row r="279">
      <c r="B279" s="11">
        <f>IFERROR(INDEX(RECON_RESULTS!$A$2:$A$1001,SMALL(IF(RECON_RESULTS!$A$2:$A$1001="Unmatched GL",ROW(RECON_RESULTS!$A$2:$A$1001)-1),73)),"")</f>
        <v/>
      </c>
      <c r="C279" s="10">
        <f>IF(B279="","",INDEX(RECON_RESULTS!$C$2:$C$1001,SMALL(IF(RECON_RESULTS!$A$2:$A$1001="Unmatched GL",ROW(RECON_RESULTS!$A$2:$A$1001)-1),73)))</f>
        <v/>
      </c>
      <c r="D279" s="11">
        <f>IF(B279="","",INDEX(RECON_RESULTS!$B$2:$B$1001,SMALL(IF(RECON_RESULTS!$A$2:$A$1001="Unmatched GL",ROW(RECON_RESULTS!$A$2:$A$1001)-1),73)))</f>
        <v/>
      </c>
      <c r="E279" s="16">
        <f>IF(B279="","",INDEX(RECON_RESULTS!$D$2:$D$1001,SMALL(IF(RECON_RESULTS!$A$2:$A$1001="Unmatched GL",ROW(RECON_RESULTS!$A$2:$A$1001)-1),73)))</f>
        <v/>
      </c>
      <c r="F279" s="11">
        <f>IF(B279="","",INDEX(RECON_RESULTS!$E$2:$E$1001,SMALL(IF(RECON_RESULTS!$A$2:$A$1001="Unmatched GL",ROW(RECON_RESULTS!$A$2:$A$1001)-1),73)))</f>
        <v/>
      </c>
      <c r="G279" s="11">
        <f>IF(B279="","",INDEX(RECON_RESULTS!$M$2:$M$1001,SMALL(IF(RECON_RESULTS!$A$2:$A$1001="Unmatched GL",ROW(RECON_RESULTS!$A$2:$A$1001)-1),73)))</f>
        <v/>
      </c>
      <c r="H279" s="11">
        <f>IF(B279="","",INDEX(RECON_RESULTS!$N$2:$N$1001,SMALL(IF(RECON_RESULTS!$A$2:$A$1001="Unmatched GL",ROW(RECON_RESULTS!$A$2:$A$1001)-1),73)))</f>
        <v/>
      </c>
      <c r="I279" s="11" t="inlineStr"/>
      <c r="J279" s="11" t="inlineStr"/>
      <c r="K279" s="11" t="inlineStr"/>
      <c r="L279" s="11" t="inlineStr"/>
    </row>
    <row r="280">
      <c r="B280" s="11">
        <f>IFERROR(INDEX(RECON_RESULTS!$A$2:$A$1001,SMALL(IF(RECON_RESULTS!$A$2:$A$1001="Unmatched GL",ROW(RECON_RESULTS!$A$2:$A$1001)-1),74)),"")</f>
        <v/>
      </c>
      <c r="C280" s="10">
        <f>IF(B280="","",INDEX(RECON_RESULTS!$C$2:$C$1001,SMALL(IF(RECON_RESULTS!$A$2:$A$1001="Unmatched GL",ROW(RECON_RESULTS!$A$2:$A$1001)-1),74)))</f>
        <v/>
      </c>
      <c r="D280" s="11">
        <f>IF(B280="","",INDEX(RECON_RESULTS!$B$2:$B$1001,SMALL(IF(RECON_RESULTS!$A$2:$A$1001="Unmatched GL",ROW(RECON_RESULTS!$A$2:$A$1001)-1),74)))</f>
        <v/>
      </c>
      <c r="E280" s="16">
        <f>IF(B280="","",INDEX(RECON_RESULTS!$D$2:$D$1001,SMALL(IF(RECON_RESULTS!$A$2:$A$1001="Unmatched GL",ROW(RECON_RESULTS!$A$2:$A$1001)-1),74)))</f>
        <v/>
      </c>
      <c r="F280" s="11">
        <f>IF(B280="","",INDEX(RECON_RESULTS!$E$2:$E$1001,SMALL(IF(RECON_RESULTS!$A$2:$A$1001="Unmatched GL",ROW(RECON_RESULTS!$A$2:$A$1001)-1),74)))</f>
        <v/>
      </c>
      <c r="G280" s="11">
        <f>IF(B280="","",INDEX(RECON_RESULTS!$M$2:$M$1001,SMALL(IF(RECON_RESULTS!$A$2:$A$1001="Unmatched GL",ROW(RECON_RESULTS!$A$2:$A$1001)-1),74)))</f>
        <v/>
      </c>
      <c r="H280" s="11">
        <f>IF(B280="","",INDEX(RECON_RESULTS!$N$2:$N$1001,SMALL(IF(RECON_RESULTS!$A$2:$A$1001="Unmatched GL",ROW(RECON_RESULTS!$A$2:$A$1001)-1),74)))</f>
        <v/>
      </c>
      <c r="I280" s="11" t="inlineStr"/>
      <c r="J280" s="11" t="inlineStr"/>
      <c r="K280" s="11" t="inlineStr"/>
      <c r="L280" s="11" t="inlineStr"/>
    </row>
    <row r="281">
      <c r="B281" s="11">
        <f>IFERROR(INDEX(RECON_RESULTS!$A$2:$A$1001,SMALL(IF(RECON_RESULTS!$A$2:$A$1001="Unmatched GL",ROW(RECON_RESULTS!$A$2:$A$1001)-1),75)),"")</f>
        <v/>
      </c>
      <c r="C281" s="10">
        <f>IF(B281="","",INDEX(RECON_RESULTS!$C$2:$C$1001,SMALL(IF(RECON_RESULTS!$A$2:$A$1001="Unmatched GL",ROW(RECON_RESULTS!$A$2:$A$1001)-1),75)))</f>
        <v/>
      </c>
      <c r="D281" s="11">
        <f>IF(B281="","",INDEX(RECON_RESULTS!$B$2:$B$1001,SMALL(IF(RECON_RESULTS!$A$2:$A$1001="Unmatched GL",ROW(RECON_RESULTS!$A$2:$A$1001)-1),75)))</f>
        <v/>
      </c>
      <c r="E281" s="16">
        <f>IF(B281="","",INDEX(RECON_RESULTS!$D$2:$D$1001,SMALL(IF(RECON_RESULTS!$A$2:$A$1001="Unmatched GL",ROW(RECON_RESULTS!$A$2:$A$1001)-1),75)))</f>
        <v/>
      </c>
      <c r="F281" s="11">
        <f>IF(B281="","",INDEX(RECON_RESULTS!$E$2:$E$1001,SMALL(IF(RECON_RESULTS!$A$2:$A$1001="Unmatched GL",ROW(RECON_RESULTS!$A$2:$A$1001)-1),75)))</f>
        <v/>
      </c>
      <c r="G281" s="11">
        <f>IF(B281="","",INDEX(RECON_RESULTS!$M$2:$M$1001,SMALL(IF(RECON_RESULTS!$A$2:$A$1001="Unmatched GL",ROW(RECON_RESULTS!$A$2:$A$1001)-1),75)))</f>
        <v/>
      </c>
      <c r="H281" s="11">
        <f>IF(B281="","",INDEX(RECON_RESULTS!$N$2:$N$1001,SMALL(IF(RECON_RESULTS!$A$2:$A$1001="Unmatched GL",ROW(RECON_RESULTS!$A$2:$A$1001)-1),75)))</f>
        <v/>
      </c>
      <c r="I281" s="11" t="inlineStr"/>
      <c r="J281" s="11" t="inlineStr"/>
      <c r="K281" s="11" t="inlineStr"/>
      <c r="L281" s="11" t="inlineStr"/>
    </row>
    <row r="282">
      <c r="B282" s="11">
        <f>IFERROR(INDEX(RECON_RESULTS!$A$2:$A$1001,SMALL(IF(RECON_RESULTS!$A$2:$A$1001="Unmatched GL",ROW(RECON_RESULTS!$A$2:$A$1001)-1),76)),"")</f>
        <v/>
      </c>
      <c r="C282" s="10">
        <f>IF(B282="","",INDEX(RECON_RESULTS!$C$2:$C$1001,SMALL(IF(RECON_RESULTS!$A$2:$A$1001="Unmatched GL",ROW(RECON_RESULTS!$A$2:$A$1001)-1),76)))</f>
        <v/>
      </c>
      <c r="D282" s="11">
        <f>IF(B282="","",INDEX(RECON_RESULTS!$B$2:$B$1001,SMALL(IF(RECON_RESULTS!$A$2:$A$1001="Unmatched GL",ROW(RECON_RESULTS!$A$2:$A$1001)-1),76)))</f>
        <v/>
      </c>
      <c r="E282" s="16">
        <f>IF(B282="","",INDEX(RECON_RESULTS!$D$2:$D$1001,SMALL(IF(RECON_RESULTS!$A$2:$A$1001="Unmatched GL",ROW(RECON_RESULTS!$A$2:$A$1001)-1),76)))</f>
        <v/>
      </c>
      <c r="F282" s="11">
        <f>IF(B282="","",INDEX(RECON_RESULTS!$E$2:$E$1001,SMALL(IF(RECON_RESULTS!$A$2:$A$1001="Unmatched GL",ROW(RECON_RESULTS!$A$2:$A$1001)-1),76)))</f>
        <v/>
      </c>
      <c r="G282" s="11">
        <f>IF(B282="","",INDEX(RECON_RESULTS!$M$2:$M$1001,SMALL(IF(RECON_RESULTS!$A$2:$A$1001="Unmatched GL",ROW(RECON_RESULTS!$A$2:$A$1001)-1),76)))</f>
        <v/>
      </c>
      <c r="H282" s="11">
        <f>IF(B282="","",INDEX(RECON_RESULTS!$N$2:$N$1001,SMALL(IF(RECON_RESULTS!$A$2:$A$1001="Unmatched GL",ROW(RECON_RESULTS!$A$2:$A$1001)-1),76)))</f>
        <v/>
      </c>
      <c r="I282" s="11" t="inlineStr"/>
      <c r="J282" s="11" t="inlineStr"/>
      <c r="K282" s="11" t="inlineStr"/>
      <c r="L282" s="11" t="inlineStr"/>
    </row>
    <row r="283">
      <c r="B283" s="11">
        <f>IFERROR(INDEX(RECON_RESULTS!$A$2:$A$1001,SMALL(IF(RECON_RESULTS!$A$2:$A$1001="Unmatched GL",ROW(RECON_RESULTS!$A$2:$A$1001)-1),77)),"")</f>
        <v/>
      </c>
      <c r="C283" s="10">
        <f>IF(B283="","",INDEX(RECON_RESULTS!$C$2:$C$1001,SMALL(IF(RECON_RESULTS!$A$2:$A$1001="Unmatched GL",ROW(RECON_RESULTS!$A$2:$A$1001)-1),77)))</f>
        <v/>
      </c>
      <c r="D283" s="11">
        <f>IF(B283="","",INDEX(RECON_RESULTS!$B$2:$B$1001,SMALL(IF(RECON_RESULTS!$A$2:$A$1001="Unmatched GL",ROW(RECON_RESULTS!$A$2:$A$1001)-1),77)))</f>
        <v/>
      </c>
      <c r="E283" s="16">
        <f>IF(B283="","",INDEX(RECON_RESULTS!$D$2:$D$1001,SMALL(IF(RECON_RESULTS!$A$2:$A$1001="Unmatched GL",ROW(RECON_RESULTS!$A$2:$A$1001)-1),77)))</f>
        <v/>
      </c>
      <c r="F283" s="11">
        <f>IF(B283="","",INDEX(RECON_RESULTS!$E$2:$E$1001,SMALL(IF(RECON_RESULTS!$A$2:$A$1001="Unmatched GL",ROW(RECON_RESULTS!$A$2:$A$1001)-1),77)))</f>
        <v/>
      </c>
      <c r="G283" s="11">
        <f>IF(B283="","",INDEX(RECON_RESULTS!$M$2:$M$1001,SMALL(IF(RECON_RESULTS!$A$2:$A$1001="Unmatched GL",ROW(RECON_RESULTS!$A$2:$A$1001)-1),77)))</f>
        <v/>
      </c>
      <c r="H283" s="11">
        <f>IF(B283="","",INDEX(RECON_RESULTS!$N$2:$N$1001,SMALL(IF(RECON_RESULTS!$A$2:$A$1001="Unmatched GL",ROW(RECON_RESULTS!$A$2:$A$1001)-1),77)))</f>
        <v/>
      </c>
      <c r="I283" s="11" t="inlineStr"/>
      <c r="J283" s="11" t="inlineStr"/>
      <c r="K283" s="11" t="inlineStr"/>
      <c r="L283" s="11" t="inlineStr"/>
    </row>
    <row r="284">
      <c r="B284" s="11">
        <f>IFERROR(INDEX(RECON_RESULTS!$A$2:$A$1001,SMALL(IF(RECON_RESULTS!$A$2:$A$1001="Unmatched GL",ROW(RECON_RESULTS!$A$2:$A$1001)-1),78)),"")</f>
        <v/>
      </c>
      <c r="C284" s="10">
        <f>IF(B284="","",INDEX(RECON_RESULTS!$C$2:$C$1001,SMALL(IF(RECON_RESULTS!$A$2:$A$1001="Unmatched GL",ROW(RECON_RESULTS!$A$2:$A$1001)-1),78)))</f>
        <v/>
      </c>
      <c r="D284" s="11">
        <f>IF(B284="","",INDEX(RECON_RESULTS!$B$2:$B$1001,SMALL(IF(RECON_RESULTS!$A$2:$A$1001="Unmatched GL",ROW(RECON_RESULTS!$A$2:$A$1001)-1),78)))</f>
        <v/>
      </c>
      <c r="E284" s="16">
        <f>IF(B284="","",INDEX(RECON_RESULTS!$D$2:$D$1001,SMALL(IF(RECON_RESULTS!$A$2:$A$1001="Unmatched GL",ROW(RECON_RESULTS!$A$2:$A$1001)-1),78)))</f>
        <v/>
      </c>
      <c r="F284" s="11">
        <f>IF(B284="","",INDEX(RECON_RESULTS!$E$2:$E$1001,SMALL(IF(RECON_RESULTS!$A$2:$A$1001="Unmatched GL",ROW(RECON_RESULTS!$A$2:$A$1001)-1),78)))</f>
        <v/>
      </c>
      <c r="G284" s="11">
        <f>IF(B284="","",INDEX(RECON_RESULTS!$M$2:$M$1001,SMALL(IF(RECON_RESULTS!$A$2:$A$1001="Unmatched GL",ROW(RECON_RESULTS!$A$2:$A$1001)-1),78)))</f>
        <v/>
      </c>
      <c r="H284" s="11">
        <f>IF(B284="","",INDEX(RECON_RESULTS!$N$2:$N$1001,SMALL(IF(RECON_RESULTS!$A$2:$A$1001="Unmatched GL",ROW(RECON_RESULTS!$A$2:$A$1001)-1),78)))</f>
        <v/>
      </c>
      <c r="I284" s="11" t="inlineStr"/>
      <c r="J284" s="11" t="inlineStr"/>
      <c r="K284" s="11" t="inlineStr"/>
      <c r="L284" s="11" t="inlineStr"/>
    </row>
    <row r="285">
      <c r="B285" s="11">
        <f>IFERROR(INDEX(RECON_RESULTS!$A$2:$A$1001,SMALL(IF(RECON_RESULTS!$A$2:$A$1001="Unmatched GL",ROW(RECON_RESULTS!$A$2:$A$1001)-1),79)),"")</f>
        <v/>
      </c>
      <c r="C285" s="10">
        <f>IF(B285="","",INDEX(RECON_RESULTS!$C$2:$C$1001,SMALL(IF(RECON_RESULTS!$A$2:$A$1001="Unmatched GL",ROW(RECON_RESULTS!$A$2:$A$1001)-1),79)))</f>
        <v/>
      </c>
      <c r="D285" s="11">
        <f>IF(B285="","",INDEX(RECON_RESULTS!$B$2:$B$1001,SMALL(IF(RECON_RESULTS!$A$2:$A$1001="Unmatched GL",ROW(RECON_RESULTS!$A$2:$A$1001)-1),79)))</f>
        <v/>
      </c>
      <c r="E285" s="16">
        <f>IF(B285="","",INDEX(RECON_RESULTS!$D$2:$D$1001,SMALL(IF(RECON_RESULTS!$A$2:$A$1001="Unmatched GL",ROW(RECON_RESULTS!$A$2:$A$1001)-1),79)))</f>
        <v/>
      </c>
      <c r="F285" s="11">
        <f>IF(B285="","",INDEX(RECON_RESULTS!$E$2:$E$1001,SMALL(IF(RECON_RESULTS!$A$2:$A$1001="Unmatched GL",ROW(RECON_RESULTS!$A$2:$A$1001)-1),79)))</f>
        <v/>
      </c>
      <c r="G285" s="11">
        <f>IF(B285="","",INDEX(RECON_RESULTS!$M$2:$M$1001,SMALL(IF(RECON_RESULTS!$A$2:$A$1001="Unmatched GL",ROW(RECON_RESULTS!$A$2:$A$1001)-1),79)))</f>
        <v/>
      </c>
      <c r="H285" s="11">
        <f>IF(B285="","",INDEX(RECON_RESULTS!$N$2:$N$1001,SMALL(IF(RECON_RESULTS!$A$2:$A$1001="Unmatched GL",ROW(RECON_RESULTS!$A$2:$A$1001)-1),79)))</f>
        <v/>
      </c>
      <c r="I285" s="11" t="inlineStr"/>
      <c r="J285" s="11" t="inlineStr"/>
      <c r="K285" s="11" t="inlineStr"/>
      <c r="L285" s="11" t="inlineStr"/>
    </row>
    <row r="286">
      <c r="B286" s="11">
        <f>IFERROR(INDEX(RECON_RESULTS!$A$2:$A$1001,SMALL(IF(RECON_RESULTS!$A$2:$A$1001="Unmatched GL",ROW(RECON_RESULTS!$A$2:$A$1001)-1),80)),"")</f>
        <v/>
      </c>
      <c r="C286" s="10">
        <f>IF(B286="","",INDEX(RECON_RESULTS!$C$2:$C$1001,SMALL(IF(RECON_RESULTS!$A$2:$A$1001="Unmatched GL",ROW(RECON_RESULTS!$A$2:$A$1001)-1),80)))</f>
        <v/>
      </c>
      <c r="D286" s="11">
        <f>IF(B286="","",INDEX(RECON_RESULTS!$B$2:$B$1001,SMALL(IF(RECON_RESULTS!$A$2:$A$1001="Unmatched GL",ROW(RECON_RESULTS!$A$2:$A$1001)-1),80)))</f>
        <v/>
      </c>
      <c r="E286" s="16">
        <f>IF(B286="","",INDEX(RECON_RESULTS!$D$2:$D$1001,SMALL(IF(RECON_RESULTS!$A$2:$A$1001="Unmatched GL",ROW(RECON_RESULTS!$A$2:$A$1001)-1),80)))</f>
        <v/>
      </c>
      <c r="F286" s="11">
        <f>IF(B286="","",INDEX(RECON_RESULTS!$E$2:$E$1001,SMALL(IF(RECON_RESULTS!$A$2:$A$1001="Unmatched GL",ROW(RECON_RESULTS!$A$2:$A$1001)-1),80)))</f>
        <v/>
      </c>
      <c r="G286" s="11">
        <f>IF(B286="","",INDEX(RECON_RESULTS!$M$2:$M$1001,SMALL(IF(RECON_RESULTS!$A$2:$A$1001="Unmatched GL",ROW(RECON_RESULTS!$A$2:$A$1001)-1),80)))</f>
        <v/>
      </c>
      <c r="H286" s="11">
        <f>IF(B286="","",INDEX(RECON_RESULTS!$N$2:$N$1001,SMALL(IF(RECON_RESULTS!$A$2:$A$1001="Unmatched GL",ROW(RECON_RESULTS!$A$2:$A$1001)-1),80)))</f>
        <v/>
      </c>
      <c r="I286" s="11" t="inlineStr"/>
      <c r="J286" s="11" t="inlineStr"/>
      <c r="K286" s="11" t="inlineStr"/>
      <c r="L286" s="11" t="inlineStr"/>
    </row>
    <row r="287">
      <c r="B287" s="11">
        <f>IFERROR(INDEX(RECON_RESULTS!$A$2:$A$1001,SMALL(IF(RECON_RESULTS!$A$2:$A$1001="Unmatched GL",ROW(RECON_RESULTS!$A$2:$A$1001)-1),81)),"")</f>
        <v/>
      </c>
      <c r="C287" s="10">
        <f>IF(B287="","",INDEX(RECON_RESULTS!$C$2:$C$1001,SMALL(IF(RECON_RESULTS!$A$2:$A$1001="Unmatched GL",ROW(RECON_RESULTS!$A$2:$A$1001)-1),81)))</f>
        <v/>
      </c>
      <c r="D287" s="11">
        <f>IF(B287="","",INDEX(RECON_RESULTS!$B$2:$B$1001,SMALL(IF(RECON_RESULTS!$A$2:$A$1001="Unmatched GL",ROW(RECON_RESULTS!$A$2:$A$1001)-1),81)))</f>
        <v/>
      </c>
      <c r="E287" s="16">
        <f>IF(B287="","",INDEX(RECON_RESULTS!$D$2:$D$1001,SMALL(IF(RECON_RESULTS!$A$2:$A$1001="Unmatched GL",ROW(RECON_RESULTS!$A$2:$A$1001)-1),81)))</f>
        <v/>
      </c>
      <c r="F287" s="11">
        <f>IF(B287="","",INDEX(RECON_RESULTS!$E$2:$E$1001,SMALL(IF(RECON_RESULTS!$A$2:$A$1001="Unmatched GL",ROW(RECON_RESULTS!$A$2:$A$1001)-1),81)))</f>
        <v/>
      </c>
      <c r="G287" s="11">
        <f>IF(B287="","",INDEX(RECON_RESULTS!$M$2:$M$1001,SMALL(IF(RECON_RESULTS!$A$2:$A$1001="Unmatched GL",ROW(RECON_RESULTS!$A$2:$A$1001)-1),81)))</f>
        <v/>
      </c>
      <c r="H287" s="11">
        <f>IF(B287="","",INDEX(RECON_RESULTS!$N$2:$N$1001,SMALL(IF(RECON_RESULTS!$A$2:$A$1001="Unmatched GL",ROW(RECON_RESULTS!$A$2:$A$1001)-1),81)))</f>
        <v/>
      </c>
      <c r="I287" s="11" t="inlineStr"/>
      <c r="J287" s="11" t="inlineStr"/>
      <c r="K287" s="11" t="inlineStr"/>
      <c r="L287" s="11" t="inlineStr"/>
    </row>
    <row r="288">
      <c r="B288" s="11">
        <f>IFERROR(INDEX(RECON_RESULTS!$A$2:$A$1001,SMALL(IF(RECON_RESULTS!$A$2:$A$1001="Unmatched GL",ROW(RECON_RESULTS!$A$2:$A$1001)-1),82)),"")</f>
        <v/>
      </c>
      <c r="C288" s="10">
        <f>IF(B288="","",INDEX(RECON_RESULTS!$C$2:$C$1001,SMALL(IF(RECON_RESULTS!$A$2:$A$1001="Unmatched GL",ROW(RECON_RESULTS!$A$2:$A$1001)-1),82)))</f>
        <v/>
      </c>
      <c r="D288" s="11">
        <f>IF(B288="","",INDEX(RECON_RESULTS!$B$2:$B$1001,SMALL(IF(RECON_RESULTS!$A$2:$A$1001="Unmatched GL",ROW(RECON_RESULTS!$A$2:$A$1001)-1),82)))</f>
        <v/>
      </c>
      <c r="E288" s="16">
        <f>IF(B288="","",INDEX(RECON_RESULTS!$D$2:$D$1001,SMALL(IF(RECON_RESULTS!$A$2:$A$1001="Unmatched GL",ROW(RECON_RESULTS!$A$2:$A$1001)-1),82)))</f>
        <v/>
      </c>
      <c r="F288" s="11">
        <f>IF(B288="","",INDEX(RECON_RESULTS!$E$2:$E$1001,SMALL(IF(RECON_RESULTS!$A$2:$A$1001="Unmatched GL",ROW(RECON_RESULTS!$A$2:$A$1001)-1),82)))</f>
        <v/>
      </c>
      <c r="G288" s="11">
        <f>IF(B288="","",INDEX(RECON_RESULTS!$M$2:$M$1001,SMALL(IF(RECON_RESULTS!$A$2:$A$1001="Unmatched GL",ROW(RECON_RESULTS!$A$2:$A$1001)-1),82)))</f>
        <v/>
      </c>
      <c r="H288" s="11">
        <f>IF(B288="","",INDEX(RECON_RESULTS!$N$2:$N$1001,SMALL(IF(RECON_RESULTS!$A$2:$A$1001="Unmatched GL",ROW(RECON_RESULTS!$A$2:$A$1001)-1),82)))</f>
        <v/>
      </c>
      <c r="I288" s="11" t="inlineStr"/>
      <c r="J288" s="11" t="inlineStr"/>
      <c r="K288" s="11" t="inlineStr"/>
      <c r="L288" s="11" t="inlineStr"/>
    </row>
    <row r="289">
      <c r="B289" s="11">
        <f>IFERROR(INDEX(RECON_RESULTS!$A$2:$A$1001,SMALL(IF(RECON_RESULTS!$A$2:$A$1001="Unmatched GL",ROW(RECON_RESULTS!$A$2:$A$1001)-1),83)),"")</f>
        <v/>
      </c>
      <c r="C289" s="10">
        <f>IF(B289="","",INDEX(RECON_RESULTS!$C$2:$C$1001,SMALL(IF(RECON_RESULTS!$A$2:$A$1001="Unmatched GL",ROW(RECON_RESULTS!$A$2:$A$1001)-1),83)))</f>
        <v/>
      </c>
      <c r="D289" s="11">
        <f>IF(B289="","",INDEX(RECON_RESULTS!$B$2:$B$1001,SMALL(IF(RECON_RESULTS!$A$2:$A$1001="Unmatched GL",ROW(RECON_RESULTS!$A$2:$A$1001)-1),83)))</f>
        <v/>
      </c>
      <c r="E289" s="16">
        <f>IF(B289="","",INDEX(RECON_RESULTS!$D$2:$D$1001,SMALL(IF(RECON_RESULTS!$A$2:$A$1001="Unmatched GL",ROW(RECON_RESULTS!$A$2:$A$1001)-1),83)))</f>
        <v/>
      </c>
      <c r="F289" s="11">
        <f>IF(B289="","",INDEX(RECON_RESULTS!$E$2:$E$1001,SMALL(IF(RECON_RESULTS!$A$2:$A$1001="Unmatched GL",ROW(RECON_RESULTS!$A$2:$A$1001)-1),83)))</f>
        <v/>
      </c>
      <c r="G289" s="11">
        <f>IF(B289="","",INDEX(RECON_RESULTS!$M$2:$M$1001,SMALL(IF(RECON_RESULTS!$A$2:$A$1001="Unmatched GL",ROW(RECON_RESULTS!$A$2:$A$1001)-1),83)))</f>
        <v/>
      </c>
      <c r="H289" s="11">
        <f>IF(B289="","",INDEX(RECON_RESULTS!$N$2:$N$1001,SMALL(IF(RECON_RESULTS!$A$2:$A$1001="Unmatched GL",ROW(RECON_RESULTS!$A$2:$A$1001)-1),83)))</f>
        <v/>
      </c>
      <c r="I289" s="11" t="inlineStr"/>
      <c r="J289" s="11" t="inlineStr"/>
      <c r="K289" s="11" t="inlineStr"/>
      <c r="L289" s="11" t="inlineStr"/>
    </row>
    <row r="290">
      <c r="B290" s="11">
        <f>IFERROR(INDEX(RECON_RESULTS!$A$2:$A$1001,SMALL(IF(RECON_RESULTS!$A$2:$A$1001="Unmatched GL",ROW(RECON_RESULTS!$A$2:$A$1001)-1),84)),"")</f>
        <v/>
      </c>
      <c r="C290" s="10">
        <f>IF(B290="","",INDEX(RECON_RESULTS!$C$2:$C$1001,SMALL(IF(RECON_RESULTS!$A$2:$A$1001="Unmatched GL",ROW(RECON_RESULTS!$A$2:$A$1001)-1),84)))</f>
        <v/>
      </c>
      <c r="D290" s="11">
        <f>IF(B290="","",INDEX(RECON_RESULTS!$B$2:$B$1001,SMALL(IF(RECON_RESULTS!$A$2:$A$1001="Unmatched GL",ROW(RECON_RESULTS!$A$2:$A$1001)-1),84)))</f>
        <v/>
      </c>
      <c r="E290" s="16">
        <f>IF(B290="","",INDEX(RECON_RESULTS!$D$2:$D$1001,SMALL(IF(RECON_RESULTS!$A$2:$A$1001="Unmatched GL",ROW(RECON_RESULTS!$A$2:$A$1001)-1),84)))</f>
        <v/>
      </c>
      <c r="F290" s="11">
        <f>IF(B290="","",INDEX(RECON_RESULTS!$E$2:$E$1001,SMALL(IF(RECON_RESULTS!$A$2:$A$1001="Unmatched GL",ROW(RECON_RESULTS!$A$2:$A$1001)-1),84)))</f>
        <v/>
      </c>
      <c r="G290" s="11">
        <f>IF(B290="","",INDEX(RECON_RESULTS!$M$2:$M$1001,SMALL(IF(RECON_RESULTS!$A$2:$A$1001="Unmatched GL",ROW(RECON_RESULTS!$A$2:$A$1001)-1),84)))</f>
        <v/>
      </c>
      <c r="H290" s="11">
        <f>IF(B290="","",INDEX(RECON_RESULTS!$N$2:$N$1001,SMALL(IF(RECON_RESULTS!$A$2:$A$1001="Unmatched GL",ROW(RECON_RESULTS!$A$2:$A$1001)-1),84)))</f>
        <v/>
      </c>
      <c r="I290" s="11" t="inlineStr"/>
      <c r="J290" s="11" t="inlineStr"/>
      <c r="K290" s="11" t="inlineStr"/>
      <c r="L290" s="11" t="inlineStr"/>
    </row>
    <row r="291">
      <c r="B291" s="11">
        <f>IFERROR(INDEX(RECON_RESULTS!$A$2:$A$1001,SMALL(IF(RECON_RESULTS!$A$2:$A$1001="Unmatched GL",ROW(RECON_RESULTS!$A$2:$A$1001)-1),85)),"")</f>
        <v/>
      </c>
      <c r="C291" s="10">
        <f>IF(B291="","",INDEX(RECON_RESULTS!$C$2:$C$1001,SMALL(IF(RECON_RESULTS!$A$2:$A$1001="Unmatched GL",ROW(RECON_RESULTS!$A$2:$A$1001)-1),85)))</f>
        <v/>
      </c>
      <c r="D291" s="11">
        <f>IF(B291="","",INDEX(RECON_RESULTS!$B$2:$B$1001,SMALL(IF(RECON_RESULTS!$A$2:$A$1001="Unmatched GL",ROW(RECON_RESULTS!$A$2:$A$1001)-1),85)))</f>
        <v/>
      </c>
      <c r="E291" s="16">
        <f>IF(B291="","",INDEX(RECON_RESULTS!$D$2:$D$1001,SMALL(IF(RECON_RESULTS!$A$2:$A$1001="Unmatched GL",ROW(RECON_RESULTS!$A$2:$A$1001)-1),85)))</f>
        <v/>
      </c>
      <c r="F291" s="11">
        <f>IF(B291="","",INDEX(RECON_RESULTS!$E$2:$E$1001,SMALL(IF(RECON_RESULTS!$A$2:$A$1001="Unmatched GL",ROW(RECON_RESULTS!$A$2:$A$1001)-1),85)))</f>
        <v/>
      </c>
      <c r="G291" s="11">
        <f>IF(B291="","",INDEX(RECON_RESULTS!$M$2:$M$1001,SMALL(IF(RECON_RESULTS!$A$2:$A$1001="Unmatched GL",ROW(RECON_RESULTS!$A$2:$A$1001)-1),85)))</f>
        <v/>
      </c>
      <c r="H291" s="11">
        <f>IF(B291="","",INDEX(RECON_RESULTS!$N$2:$N$1001,SMALL(IF(RECON_RESULTS!$A$2:$A$1001="Unmatched GL",ROW(RECON_RESULTS!$A$2:$A$1001)-1),85)))</f>
        <v/>
      </c>
      <c r="I291" s="11" t="inlineStr"/>
      <c r="J291" s="11" t="inlineStr"/>
      <c r="K291" s="11" t="inlineStr"/>
      <c r="L291" s="11" t="inlineStr"/>
    </row>
    <row r="292">
      <c r="B292" s="11">
        <f>IFERROR(INDEX(RECON_RESULTS!$A$2:$A$1001,SMALL(IF(RECON_RESULTS!$A$2:$A$1001="Unmatched GL",ROW(RECON_RESULTS!$A$2:$A$1001)-1),86)),"")</f>
        <v/>
      </c>
      <c r="C292" s="10">
        <f>IF(B292="","",INDEX(RECON_RESULTS!$C$2:$C$1001,SMALL(IF(RECON_RESULTS!$A$2:$A$1001="Unmatched GL",ROW(RECON_RESULTS!$A$2:$A$1001)-1),86)))</f>
        <v/>
      </c>
      <c r="D292" s="11">
        <f>IF(B292="","",INDEX(RECON_RESULTS!$B$2:$B$1001,SMALL(IF(RECON_RESULTS!$A$2:$A$1001="Unmatched GL",ROW(RECON_RESULTS!$A$2:$A$1001)-1),86)))</f>
        <v/>
      </c>
      <c r="E292" s="16">
        <f>IF(B292="","",INDEX(RECON_RESULTS!$D$2:$D$1001,SMALL(IF(RECON_RESULTS!$A$2:$A$1001="Unmatched GL",ROW(RECON_RESULTS!$A$2:$A$1001)-1),86)))</f>
        <v/>
      </c>
      <c r="F292" s="11">
        <f>IF(B292="","",INDEX(RECON_RESULTS!$E$2:$E$1001,SMALL(IF(RECON_RESULTS!$A$2:$A$1001="Unmatched GL",ROW(RECON_RESULTS!$A$2:$A$1001)-1),86)))</f>
        <v/>
      </c>
      <c r="G292" s="11">
        <f>IF(B292="","",INDEX(RECON_RESULTS!$M$2:$M$1001,SMALL(IF(RECON_RESULTS!$A$2:$A$1001="Unmatched GL",ROW(RECON_RESULTS!$A$2:$A$1001)-1),86)))</f>
        <v/>
      </c>
      <c r="H292" s="11">
        <f>IF(B292="","",INDEX(RECON_RESULTS!$N$2:$N$1001,SMALL(IF(RECON_RESULTS!$A$2:$A$1001="Unmatched GL",ROW(RECON_RESULTS!$A$2:$A$1001)-1),86)))</f>
        <v/>
      </c>
      <c r="I292" s="11" t="inlineStr"/>
      <c r="J292" s="11" t="inlineStr"/>
      <c r="K292" s="11" t="inlineStr"/>
      <c r="L292" s="11" t="inlineStr"/>
    </row>
    <row r="293">
      <c r="B293" s="11">
        <f>IFERROR(INDEX(RECON_RESULTS!$A$2:$A$1001,SMALL(IF(RECON_RESULTS!$A$2:$A$1001="Unmatched GL",ROW(RECON_RESULTS!$A$2:$A$1001)-1),87)),"")</f>
        <v/>
      </c>
      <c r="C293" s="10">
        <f>IF(B293="","",INDEX(RECON_RESULTS!$C$2:$C$1001,SMALL(IF(RECON_RESULTS!$A$2:$A$1001="Unmatched GL",ROW(RECON_RESULTS!$A$2:$A$1001)-1),87)))</f>
        <v/>
      </c>
      <c r="D293" s="11">
        <f>IF(B293="","",INDEX(RECON_RESULTS!$B$2:$B$1001,SMALL(IF(RECON_RESULTS!$A$2:$A$1001="Unmatched GL",ROW(RECON_RESULTS!$A$2:$A$1001)-1),87)))</f>
        <v/>
      </c>
      <c r="E293" s="16">
        <f>IF(B293="","",INDEX(RECON_RESULTS!$D$2:$D$1001,SMALL(IF(RECON_RESULTS!$A$2:$A$1001="Unmatched GL",ROW(RECON_RESULTS!$A$2:$A$1001)-1),87)))</f>
        <v/>
      </c>
      <c r="F293" s="11">
        <f>IF(B293="","",INDEX(RECON_RESULTS!$E$2:$E$1001,SMALL(IF(RECON_RESULTS!$A$2:$A$1001="Unmatched GL",ROW(RECON_RESULTS!$A$2:$A$1001)-1),87)))</f>
        <v/>
      </c>
      <c r="G293" s="11">
        <f>IF(B293="","",INDEX(RECON_RESULTS!$M$2:$M$1001,SMALL(IF(RECON_RESULTS!$A$2:$A$1001="Unmatched GL",ROW(RECON_RESULTS!$A$2:$A$1001)-1),87)))</f>
        <v/>
      </c>
      <c r="H293" s="11">
        <f>IF(B293="","",INDEX(RECON_RESULTS!$N$2:$N$1001,SMALL(IF(RECON_RESULTS!$A$2:$A$1001="Unmatched GL",ROW(RECON_RESULTS!$A$2:$A$1001)-1),87)))</f>
        <v/>
      </c>
      <c r="I293" s="11" t="inlineStr"/>
      <c r="J293" s="11" t="inlineStr"/>
      <c r="K293" s="11" t="inlineStr"/>
      <c r="L293" s="11" t="inlineStr"/>
    </row>
    <row r="294">
      <c r="B294" s="11">
        <f>IFERROR(INDEX(RECON_RESULTS!$A$2:$A$1001,SMALL(IF(RECON_RESULTS!$A$2:$A$1001="Unmatched GL",ROW(RECON_RESULTS!$A$2:$A$1001)-1),88)),"")</f>
        <v/>
      </c>
      <c r="C294" s="10">
        <f>IF(B294="","",INDEX(RECON_RESULTS!$C$2:$C$1001,SMALL(IF(RECON_RESULTS!$A$2:$A$1001="Unmatched GL",ROW(RECON_RESULTS!$A$2:$A$1001)-1),88)))</f>
        <v/>
      </c>
      <c r="D294" s="11">
        <f>IF(B294="","",INDEX(RECON_RESULTS!$B$2:$B$1001,SMALL(IF(RECON_RESULTS!$A$2:$A$1001="Unmatched GL",ROW(RECON_RESULTS!$A$2:$A$1001)-1),88)))</f>
        <v/>
      </c>
      <c r="E294" s="16">
        <f>IF(B294="","",INDEX(RECON_RESULTS!$D$2:$D$1001,SMALL(IF(RECON_RESULTS!$A$2:$A$1001="Unmatched GL",ROW(RECON_RESULTS!$A$2:$A$1001)-1),88)))</f>
        <v/>
      </c>
      <c r="F294" s="11">
        <f>IF(B294="","",INDEX(RECON_RESULTS!$E$2:$E$1001,SMALL(IF(RECON_RESULTS!$A$2:$A$1001="Unmatched GL",ROW(RECON_RESULTS!$A$2:$A$1001)-1),88)))</f>
        <v/>
      </c>
      <c r="G294" s="11">
        <f>IF(B294="","",INDEX(RECON_RESULTS!$M$2:$M$1001,SMALL(IF(RECON_RESULTS!$A$2:$A$1001="Unmatched GL",ROW(RECON_RESULTS!$A$2:$A$1001)-1),88)))</f>
        <v/>
      </c>
      <c r="H294" s="11">
        <f>IF(B294="","",INDEX(RECON_RESULTS!$N$2:$N$1001,SMALL(IF(RECON_RESULTS!$A$2:$A$1001="Unmatched GL",ROW(RECON_RESULTS!$A$2:$A$1001)-1),88)))</f>
        <v/>
      </c>
      <c r="I294" s="11" t="inlineStr"/>
      <c r="J294" s="11" t="inlineStr"/>
      <c r="K294" s="11" t="inlineStr"/>
      <c r="L294" s="11" t="inlineStr"/>
    </row>
    <row r="295">
      <c r="B295" s="11">
        <f>IFERROR(INDEX(RECON_RESULTS!$A$2:$A$1001,SMALL(IF(RECON_RESULTS!$A$2:$A$1001="Unmatched GL",ROW(RECON_RESULTS!$A$2:$A$1001)-1),89)),"")</f>
        <v/>
      </c>
      <c r="C295" s="10">
        <f>IF(B295="","",INDEX(RECON_RESULTS!$C$2:$C$1001,SMALL(IF(RECON_RESULTS!$A$2:$A$1001="Unmatched GL",ROW(RECON_RESULTS!$A$2:$A$1001)-1),89)))</f>
        <v/>
      </c>
      <c r="D295" s="11">
        <f>IF(B295="","",INDEX(RECON_RESULTS!$B$2:$B$1001,SMALL(IF(RECON_RESULTS!$A$2:$A$1001="Unmatched GL",ROW(RECON_RESULTS!$A$2:$A$1001)-1),89)))</f>
        <v/>
      </c>
      <c r="E295" s="16">
        <f>IF(B295="","",INDEX(RECON_RESULTS!$D$2:$D$1001,SMALL(IF(RECON_RESULTS!$A$2:$A$1001="Unmatched GL",ROW(RECON_RESULTS!$A$2:$A$1001)-1),89)))</f>
        <v/>
      </c>
      <c r="F295" s="11">
        <f>IF(B295="","",INDEX(RECON_RESULTS!$E$2:$E$1001,SMALL(IF(RECON_RESULTS!$A$2:$A$1001="Unmatched GL",ROW(RECON_RESULTS!$A$2:$A$1001)-1),89)))</f>
        <v/>
      </c>
      <c r="G295" s="11">
        <f>IF(B295="","",INDEX(RECON_RESULTS!$M$2:$M$1001,SMALL(IF(RECON_RESULTS!$A$2:$A$1001="Unmatched GL",ROW(RECON_RESULTS!$A$2:$A$1001)-1),89)))</f>
        <v/>
      </c>
      <c r="H295" s="11">
        <f>IF(B295="","",INDEX(RECON_RESULTS!$N$2:$N$1001,SMALL(IF(RECON_RESULTS!$A$2:$A$1001="Unmatched GL",ROW(RECON_RESULTS!$A$2:$A$1001)-1),89)))</f>
        <v/>
      </c>
      <c r="I295" s="11" t="inlineStr"/>
      <c r="J295" s="11" t="inlineStr"/>
      <c r="K295" s="11" t="inlineStr"/>
      <c r="L295" s="11" t="inlineStr"/>
    </row>
    <row r="296">
      <c r="B296" s="11">
        <f>IFERROR(INDEX(RECON_RESULTS!$A$2:$A$1001,SMALL(IF(RECON_RESULTS!$A$2:$A$1001="Unmatched GL",ROW(RECON_RESULTS!$A$2:$A$1001)-1),90)),"")</f>
        <v/>
      </c>
      <c r="C296" s="10">
        <f>IF(B296="","",INDEX(RECON_RESULTS!$C$2:$C$1001,SMALL(IF(RECON_RESULTS!$A$2:$A$1001="Unmatched GL",ROW(RECON_RESULTS!$A$2:$A$1001)-1),90)))</f>
        <v/>
      </c>
      <c r="D296" s="11">
        <f>IF(B296="","",INDEX(RECON_RESULTS!$B$2:$B$1001,SMALL(IF(RECON_RESULTS!$A$2:$A$1001="Unmatched GL",ROW(RECON_RESULTS!$A$2:$A$1001)-1),90)))</f>
        <v/>
      </c>
      <c r="E296" s="16">
        <f>IF(B296="","",INDEX(RECON_RESULTS!$D$2:$D$1001,SMALL(IF(RECON_RESULTS!$A$2:$A$1001="Unmatched GL",ROW(RECON_RESULTS!$A$2:$A$1001)-1),90)))</f>
        <v/>
      </c>
      <c r="F296" s="11">
        <f>IF(B296="","",INDEX(RECON_RESULTS!$E$2:$E$1001,SMALL(IF(RECON_RESULTS!$A$2:$A$1001="Unmatched GL",ROW(RECON_RESULTS!$A$2:$A$1001)-1),90)))</f>
        <v/>
      </c>
      <c r="G296" s="11">
        <f>IF(B296="","",INDEX(RECON_RESULTS!$M$2:$M$1001,SMALL(IF(RECON_RESULTS!$A$2:$A$1001="Unmatched GL",ROW(RECON_RESULTS!$A$2:$A$1001)-1),90)))</f>
        <v/>
      </c>
      <c r="H296" s="11">
        <f>IF(B296="","",INDEX(RECON_RESULTS!$N$2:$N$1001,SMALL(IF(RECON_RESULTS!$A$2:$A$1001="Unmatched GL",ROW(RECON_RESULTS!$A$2:$A$1001)-1),90)))</f>
        <v/>
      </c>
      <c r="I296" s="11" t="inlineStr"/>
      <c r="J296" s="11" t="inlineStr"/>
      <c r="K296" s="11" t="inlineStr"/>
      <c r="L296" s="11" t="inlineStr"/>
    </row>
    <row r="297">
      <c r="B297" s="11">
        <f>IFERROR(INDEX(RECON_RESULTS!$A$2:$A$1001,SMALL(IF(RECON_RESULTS!$A$2:$A$1001="Unmatched GL",ROW(RECON_RESULTS!$A$2:$A$1001)-1),91)),"")</f>
        <v/>
      </c>
      <c r="C297" s="10">
        <f>IF(B297="","",INDEX(RECON_RESULTS!$C$2:$C$1001,SMALL(IF(RECON_RESULTS!$A$2:$A$1001="Unmatched GL",ROW(RECON_RESULTS!$A$2:$A$1001)-1),91)))</f>
        <v/>
      </c>
      <c r="D297" s="11">
        <f>IF(B297="","",INDEX(RECON_RESULTS!$B$2:$B$1001,SMALL(IF(RECON_RESULTS!$A$2:$A$1001="Unmatched GL",ROW(RECON_RESULTS!$A$2:$A$1001)-1),91)))</f>
        <v/>
      </c>
      <c r="E297" s="16">
        <f>IF(B297="","",INDEX(RECON_RESULTS!$D$2:$D$1001,SMALL(IF(RECON_RESULTS!$A$2:$A$1001="Unmatched GL",ROW(RECON_RESULTS!$A$2:$A$1001)-1),91)))</f>
        <v/>
      </c>
      <c r="F297" s="11">
        <f>IF(B297="","",INDEX(RECON_RESULTS!$E$2:$E$1001,SMALL(IF(RECON_RESULTS!$A$2:$A$1001="Unmatched GL",ROW(RECON_RESULTS!$A$2:$A$1001)-1),91)))</f>
        <v/>
      </c>
      <c r="G297" s="11">
        <f>IF(B297="","",INDEX(RECON_RESULTS!$M$2:$M$1001,SMALL(IF(RECON_RESULTS!$A$2:$A$1001="Unmatched GL",ROW(RECON_RESULTS!$A$2:$A$1001)-1),91)))</f>
        <v/>
      </c>
      <c r="H297" s="11">
        <f>IF(B297="","",INDEX(RECON_RESULTS!$N$2:$N$1001,SMALL(IF(RECON_RESULTS!$A$2:$A$1001="Unmatched GL",ROW(RECON_RESULTS!$A$2:$A$1001)-1),91)))</f>
        <v/>
      </c>
      <c r="I297" s="11" t="inlineStr"/>
      <c r="J297" s="11" t="inlineStr"/>
      <c r="K297" s="11" t="inlineStr"/>
      <c r="L297" s="11" t="inlineStr"/>
    </row>
    <row r="298">
      <c r="B298" s="11">
        <f>IFERROR(INDEX(RECON_RESULTS!$A$2:$A$1001,SMALL(IF(RECON_RESULTS!$A$2:$A$1001="Unmatched GL",ROW(RECON_RESULTS!$A$2:$A$1001)-1),92)),"")</f>
        <v/>
      </c>
      <c r="C298" s="10">
        <f>IF(B298="","",INDEX(RECON_RESULTS!$C$2:$C$1001,SMALL(IF(RECON_RESULTS!$A$2:$A$1001="Unmatched GL",ROW(RECON_RESULTS!$A$2:$A$1001)-1),92)))</f>
        <v/>
      </c>
      <c r="D298" s="11">
        <f>IF(B298="","",INDEX(RECON_RESULTS!$B$2:$B$1001,SMALL(IF(RECON_RESULTS!$A$2:$A$1001="Unmatched GL",ROW(RECON_RESULTS!$A$2:$A$1001)-1),92)))</f>
        <v/>
      </c>
      <c r="E298" s="16">
        <f>IF(B298="","",INDEX(RECON_RESULTS!$D$2:$D$1001,SMALL(IF(RECON_RESULTS!$A$2:$A$1001="Unmatched GL",ROW(RECON_RESULTS!$A$2:$A$1001)-1),92)))</f>
        <v/>
      </c>
      <c r="F298" s="11">
        <f>IF(B298="","",INDEX(RECON_RESULTS!$E$2:$E$1001,SMALL(IF(RECON_RESULTS!$A$2:$A$1001="Unmatched GL",ROW(RECON_RESULTS!$A$2:$A$1001)-1),92)))</f>
        <v/>
      </c>
      <c r="G298" s="11">
        <f>IF(B298="","",INDEX(RECON_RESULTS!$M$2:$M$1001,SMALL(IF(RECON_RESULTS!$A$2:$A$1001="Unmatched GL",ROW(RECON_RESULTS!$A$2:$A$1001)-1),92)))</f>
        <v/>
      </c>
      <c r="H298" s="11">
        <f>IF(B298="","",INDEX(RECON_RESULTS!$N$2:$N$1001,SMALL(IF(RECON_RESULTS!$A$2:$A$1001="Unmatched GL",ROW(RECON_RESULTS!$A$2:$A$1001)-1),92)))</f>
        <v/>
      </c>
      <c r="I298" s="11" t="inlineStr"/>
      <c r="J298" s="11" t="inlineStr"/>
      <c r="K298" s="11" t="inlineStr"/>
      <c r="L298" s="11" t="inlineStr"/>
    </row>
    <row r="299">
      <c r="B299" s="11">
        <f>IFERROR(INDEX(RECON_RESULTS!$A$2:$A$1001,SMALL(IF(RECON_RESULTS!$A$2:$A$1001="Unmatched GL",ROW(RECON_RESULTS!$A$2:$A$1001)-1),93)),"")</f>
        <v/>
      </c>
      <c r="C299" s="10">
        <f>IF(B299="","",INDEX(RECON_RESULTS!$C$2:$C$1001,SMALL(IF(RECON_RESULTS!$A$2:$A$1001="Unmatched GL",ROW(RECON_RESULTS!$A$2:$A$1001)-1),93)))</f>
        <v/>
      </c>
      <c r="D299" s="11">
        <f>IF(B299="","",INDEX(RECON_RESULTS!$B$2:$B$1001,SMALL(IF(RECON_RESULTS!$A$2:$A$1001="Unmatched GL",ROW(RECON_RESULTS!$A$2:$A$1001)-1),93)))</f>
        <v/>
      </c>
      <c r="E299" s="16">
        <f>IF(B299="","",INDEX(RECON_RESULTS!$D$2:$D$1001,SMALL(IF(RECON_RESULTS!$A$2:$A$1001="Unmatched GL",ROW(RECON_RESULTS!$A$2:$A$1001)-1),93)))</f>
        <v/>
      </c>
      <c r="F299" s="11">
        <f>IF(B299="","",INDEX(RECON_RESULTS!$E$2:$E$1001,SMALL(IF(RECON_RESULTS!$A$2:$A$1001="Unmatched GL",ROW(RECON_RESULTS!$A$2:$A$1001)-1),93)))</f>
        <v/>
      </c>
      <c r="G299" s="11">
        <f>IF(B299="","",INDEX(RECON_RESULTS!$M$2:$M$1001,SMALL(IF(RECON_RESULTS!$A$2:$A$1001="Unmatched GL",ROW(RECON_RESULTS!$A$2:$A$1001)-1),93)))</f>
        <v/>
      </c>
      <c r="H299" s="11">
        <f>IF(B299="","",INDEX(RECON_RESULTS!$N$2:$N$1001,SMALL(IF(RECON_RESULTS!$A$2:$A$1001="Unmatched GL",ROW(RECON_RESULTS!$A$2:$A$1001)-1),93)))</f>
        <v/>
      </c>
      <c r="I299" s="11" t="inlineStr"/>
      <c r="J299" s="11" t="inlineStr"/>
      <c r="K299" s="11" t="inlineStr"/>
      <c r="L299" s="11" t="inlineStr"/>
    </row>
    <row r="300">
      <c r="B300" s="11">
        <f>IFERROR(INDEX(RECON_RESULTS!$A$2:$A$1001,SMALL(IF(RECON_RESULTS!$A$2:$A$1001="Unmatched GL",ROW(RECON_RESULTS!$A$2:$A$1001)-1),94)),"")</f>
        <v/>
      </c>
      <c r="C300" s="10">
        <f>IF(B300="","",INDEX(RECON_RESULTS!$C$2:$C$1001,SMALL(IF(RECON_RESULTS!$A$2:$A$1001="Unmatched GL",ROW(RECON_RESULTS!$A$2:$A$1001)-1),94)))</f>
        <v/>
      </c>
      <c r="D300" s="11">
        <f>IF(B300="","",INDEX(RECON_RESULTS!$B$2:$B$1001,SMALL(IF(RECON_RESULTS!$A$2:$A$1001="Unmatched GL",ROW(RECON_RESULTS!$A$2:$A$1001)-1),94)))</f>
        <v/>
      </c>
      <c r="E300" s="16">
        <f>IF(B300="","",INDEX(RECON_RESULTS!$D$2:$D$1001,SMALL(IF(RECON_RESULTS!$A$2:$A$1001="Unmatched GL",ROW(RECON_RESULTS!$A$2:$A$1001)-1),94)))</f>
        <v/>
      </c>
      <c r="F300" s="11">
        <f>IF(B300="","",INDEX(RECON_RESULTS!$E$2:$E$1001,SMALL(IF(RECON_RESULTS!$A$2:$A$1001="Unmatched GL",ROW(RECON_RESULTS!$A$2:$A$1001)-1),94)))</f>
        <v/>
      </c>
      <c r="G300" s="11">
        <f>IF(B300="","",INDEX(RECON_RESULTS!$M$2:$M$1001,SMALL(IF(RECON_RESULTS!$A$2:$A$1001="Unmatched GL",ROW(RECON_RESULTS!$A$2:$A$1001)-1),94)))</f>
        <v/>
      </c>
      <c r="H300" s="11">
        <f>IF(B300="","",INDEX(RECON_RESULTS!$N$2:$N$1001,SMALL(IF(RECON_RESULTS!$A$2:$A$1001="Unmatched GL",ROW(RECON_RESULTS!$A$2:$A$1001)-1),94)))</f>
        <v/>
      </c>
      <c r="I300" s="11" t="inlineStr"/>
      <c r="J300" s="11" t="inlineStr"/>
      <c r="K300" s="11" t="inlineStr"/>
      <c r="L300" s="11" t="inlineStr"/>
    </row>
    <row r="301">
      <c r="B301" s="11">
        <f>IFERROR(INDEX(RECON_RESULTS!$A$2:$A$1001,SMALL(IF(RECON_RESULTS!$A$2:$A$1001="Unmatched GL",ROW(RECON_RESULTS!$A$2:$A$1001)-1),95)),"")</f>
        <v/>
      </c>
      <c r="C301" s="10">
        <f>IF(B301="","",INDEX(RECON_RESULTS!$C$2:$C$1001,SMALL(IF(RECON_RESULTS!$A$2:$A$1001="Unmatched GL",ROW(RECON_RESULTS!$A$2:$A$1001)-1),95)))</f>
        <v/>
      </c>
      <c r="D301" s="11">
        <f>IF(B301="","",INDEX(RECON_RESULTS!$B$2:$B$1001,SMALL(IF(RECON_RESULTS!$A$2:$A$1001="Unmatched GL",ROW(RECON_RESULTS!$A$2:$A$1001)-1),95)))</f>
        <v/>
      </c>
      <c r="E301" s="16">
        <f>IF(B301="","",INDEX(RECON_RESULTS!$D$2:$D$1001,SMALL(IF(RECON_RESULTS!$A$2:$A$1001="Unmatched GL",ROW(RECON_RESULTS!$A$2:$A$1001)-1),95)))</f>
        <v/>
      </c>
      <c r="F301" s="11">
        <f>IF(B301="","",INDEX(RECON_RESULTS!$E$2:$E$1001,SMALL(IF(RECON_RESULTS!$A$2:$A$1001="Unmatched GL",ROW(RECON_RESULTS!$A$2:$A$1001)-1),95)))</f>
        <v/>
      </c>
      <c r="G301" s="11">
        <f>IF(B301="","",INDEX(RECON_RESULTS!$M$2:$M$1001,SMALL(IF(RECON_RESULTS!$A$2:$A$1001="Unmatched GL",ROW(RECON_RESULTS!$A$2:$A$1001)-1),95)))</f>
        <v/>
      </c>
      <c r="H301" s="11">
        <f>IF(B301="","",INDEX(RECON_RESULTS!$N$2:$N$1001,SMALL(IF(RECON_RESULTS!$A$2:$A$1001="Unmatched GL",ROW(RECON_RESULTS!$A$2:$A$1001)-1),95)))</f>
        <v/>
      </c>
      <c r="I301" s="11" t="inlineStr"/>
      <c r="J301" s="11" t="inlineStr"/>
      <c r="K301" s="11" t="inlineStr"/>
      <c r="L301" s="11" t="inlineStr"/>
    </row>
    <row r="302">
      <c r="B302" s="11">
        <f>IFERROR(INDEX(RECON_RESULTS!$A$2:$A$1001,SMALL(IF(RECON_RESULTS!$A$2:$A$1001="Unmatched GL",ROW(RECON_RESULTS!$A$2:$A$1001)-1),96)),"")</f>
        <v/>
      </c>
      <c r="C302" s="10">
        <f>IF(B302="","",INDEX(RECON_RESULTS!$C$2:$C$1001,SMALL(IF(RECON_RESULTS!$A$2:$A$1001="Unmatched GL",ROW(RECON_RESULTS!$A$2:$A$1001)-1),96)))</f>
        <v/>
      </c>
      <c r="D302" s="11">
        <f>IF(B302="","",INDEX(RECON_RESULTS!$B$2:$B$1001,SMALL(IF(RECON_RESULTS!$A$2:$A$1001="Unmatched GL",ROW(RECON_RESULTS!$A$2:$A$1001)-1),96)))</f>
        <v/>
      </c>
      <c r="E302" s="16">
        <f>IF(B302="","",INDEX(RECON_RESULTS!$D$2:$D$1001,SMALL(IF(RECON_RESULTS!$A$2:$A$1001="Unmatched GL",ROW(RECON_RESULTS!$A$2:$A$1001)-1),96)))</f>
        <v/>
      </c>
      <c r="F302" s="11">
        <f>IF(B302="","",INDEX(RECON_RESULTS!$E$2:$E$1001,SMALL(IF(RECON_RESULTS!$A$2:$A$1001="Unmatched GL",ROW(RECON_RESULTS!$A$2:$A$1001)-1),96)))</f>
        <v/>
      </c>
      <c r="G302" s="11">
        <f>IF(B302="","",INDEX(RECON_RESULTS!$M$2:$M$1001,SMALL(IF(RECON_RESULTS!$A$2:$A$1001="Unmatched GL",ROW(RECON_RESULTS!$A$2:$A$1001)-1),96)))</f>
        <v/>
      </c>
      <c r="H302" s="11">
        <f>IF(B302="","",INDEX(RECON_RESULTS!$N$2:$N$1001,SMALL(IF(RECON_RESULTS!$A$2:$A$1001="Unmatched GL",ROW(RECON_RESULTS!$A$2:$A$1001)-1),96)))</f>
        <v/>
      </c>
      <c r="I302" s="11" t="inlineStr"/>
      <c r="J302" s="11" t="inlineStr"/>
      <c r="K302" s="11" t="inlineStr"/>
      <c r="L302" s="11" t="inlineStr"/>
    </row>
    <row r="303">
      <c r="B303" s="11">
        <f>IFERROR(INDEX(RECON_RESULTS!$A$2:$A$1001,SMALL(IF(RECON_RESULTS!$A$2:$A$1001="Unmatched GL",ROW(RECON_RESULTS!$A$2:$A$1001)-1),97)),"")</f>
        <v/>
      </c>
      <c r="C303" s="10">
        <f>IF(B303="","",INDEX(RECON_RESULTS!$C$2:$C$1001,SMALL(IF(RECON_RESULTS!$A$2:$A$1001="Unmatched GL",ROW(RECON_RESULTS!$A$2:$A$1001)-1),97)))</f>
        <v/>
      </c>
      <c r="D303" s="11">
        <f>IF(B303="","",INDEX(RECON_RESULTS!$B$2:$B$1001,SMALL(IF(RECON_RESULTS!$A$2:$A$1001="Unmatched GL",ROW(RECON_RESULTS!$A$2:$A$1001)-1),97)))</f>
        <v/>
      </c>
      <c r="E303" s="16">
        <f>IF(B303="","",INDEX(RECON_RESULTS!$D$2:$D$1001,SMALL(IF(RECON_RESULTS!$A$2:$A$1001="Unmatched GL",ROW(RECON_RESULTS!$A$2:$A$1001)-1),97)))</f>
        <v/>
      </c>
      <c r="F303" s="11">
        <f>IF(B303="","",INDEX(RECON_RESULTS!$E$2:$E$1001,SMALL(IF(RECON_RESULTS!$A$2:$A$1001="Unmatched GL",ROW(RECON_RESULTS!$A$2:$A$1001)-1),97)))</f>
        <v/>
      </c>
      <c r="G303" s="11">
        <f>IF(B303="","",INDEX(RECON_RESULTS!$M$2:$M$1001,SMALL(IF(RECON_RESULTS!$A$2:$A$1001="Unmatched GL",ROW(RECON_RESULTS!$A$2:$A$1001)-1),97)))</f>
        <v/>
      </c>
      <c r="H303" s="11">
        <f>IF(B303="","",INDEX(RECON_RESULTS!$N$2:$N$1001,SMALL(IF(RECON_RESULTS!$A$2:$A$1001="Unmatched GL",ROW(RECON_RESULTS!$A$2:$A$1001)-1),97)))</f>
        <v/>
      </c>
      <c r="I303" s="11" t="inlineStr"/>
      <c r="J303" s="11" t="inlineStr"/>
      <c r="K303" s="11" t="inlineStr"/>
      <c r="L303" s="11" t="inlineStr"/>
    </row>
    <row r="304">
      <c r="B304" s="11">
        <f>IFERROR(INDEX(RECON_RESULTS!$A$2:$A$1001,SMALL(IF(RECON_RESULTS!$A$2:$A$1001="Unmatched GL",ROW(RECON_RESULTS!$A$2:$A$1001)-1),98)),"")</f>
        <v/>
      </c>
      <c r="C304" s="10">
        <f>IF(B304="","",INDEX(RECON_RESULTS!$C$2:$C$1001,SMALL(IF(RECON_RESULTS!$A$2:$A$1001="Unmatched GL",ROW(RECON_RESULTS!$A$2:$A$1001)-1),98)))</f>
        <v/>
      </c>
      <c r="D304" s="11">
        <f>IF(B304="","",INDEX(RECON_RESULTS!$B$2:$B$1001,SMALL(IF(RECON_RESULTS!$A$2:$A$1001="Unmatched GL",ROW(RECON_RESULTS!$A$2:$A$1001)-1),98)))</f>
        <v/>
      </c>
      <c r="E304" s="16">
        <f>IF(B304="","",INDEX(RECON_RESULTS!$D$2:$D$1001,SMALL(IF(RECON_RESULTS!$A$2:$A$1001="Unmatched GL",ROW(RECON_RESULTS!$A$2:$A$1001)-1),98)))</f>
        <v/>
      </c>
      <c r="F304" s="11">
        <f>IF(B304="","",INDEX(RECON_RESULTS!$E$2:$E$1001,SMALL(IF(RECON_RESULTS!$A$2:$A$1001="Unmatched GL",ROW(RECON_RESULTS!$A$2:$A$1001)-1),98)))</f>
        <v/>
      </c>
      <c r="G304" s="11">
        <f>IF(B304="","",INDEX(RECON_RESULTS!$M$2:$M$1001,SMALL(IF(RECON_RESULTS!$A$2:$A$1001="Unmatched GL",ROW(RECON_RESULTS!$A$2:$A$1001)-1),98)))</f>
        <v/>
      </c>
      <c r="H304" s="11">
        <f>IF(B304="","",INDEX(RECON_RESULTS!$N$2:$N$1001,SMALL(IF(RECON_RESULTS!$A$2:$A$1001="Unmatched GL",ROW(RECON_RESULTS!$A$2:$A$1001)-1),98)))</f>
        <v/>
      </c>
      <c r="I304" s="11" t="inlineStr"/>
      <c r="J304" s="11" t="inlineStr"/>
      <c r="K304" s="11" t="inlineStr"/>
      <c r="L304" s="11" t="inlineStr"/>
    </row>
    <row r="305">
      <c r="B305" s="11">
        <f>IFERROR(INDEX(RECON_RESULTS!$A$2:$A$1001,SMALL(IF(RECON_RESULTS!$A$2:$A$1001="Unmatched GL",ROW(RECON_RESULTS!$A$2:$A$1001)-1),99)),"")</f>
        <v/>
      </c>
      <c r="C305" s="10">
        <f>IF(B305="","",INDEX(RECON_RESULTS!$C$2:$C$1001,SMALL(IF(RECON_RESULTS!$A$2:$A$1001="Unmatched GL",ROW(RECON_RESULTS!$A$2:$A$1001)-1),99)))</f>
        <v/>
      </c>
      <c r="D305" s="11">
        <f>IF(B305="","",INDEX(RECON_RESULTS!$B$2:$B$1001,SMALL(IF(RECON_RESULTS!$A$2:$A$1001="Unmatched GL",ROW(RECON_RESULTS!$A$2:$A$1001)-1),99)))</f>
        <v/>
      </c>
      <c r="E305" s="16">
        <f>IF(B305="","",INDEX(RECON_RESULTS!$D$2:$D$1001,SMALL(IF(RECON_RESULTS!$A$2:$A$1001="Unmatched GL",ROW(RECON_RESULTS!$A$2:$A$1001)-1),99)))</f>
        <v/>
      </c>
      <c r="F305" s="11">
        <f>IF(B305="","",INDEX(RECON_RESULTS!$E$2:$E$1001,SMALL(IF(RECON_RESULTS!$A$2:$A$1001="Unmatched GL",ROW(RECON_RESULTS!$A$2:$A$1001)-1),99)))</f>
        <v/>
      </c>
      <c r="G305" s="11">
        <f>IF(B305="","",INDEX(RECON_RESULTS!$M$2:$M$1001,SMALL(IF(RECON_RESULTS!$A$2:$A$1001="Unmatched GL",ROW(RECON_RESULTS!$A$2:$A$1001)-1),99)))</f>
        <v/>
      </c>
      <c r="H305" s="11">
        <f>IF(B305="","",INDEX(RECON_RESULTS!$N$2:$N$1001,SMALL(IF(RECON_RESULTS!$A$2:$A$1001="Unmatched GL",ROW(RECON_RESULTS!$A$2:$A$1001)-1),99)))</f>
        <v/>
      </c>
      <c r="I305" s="11" t="inlineStr"/>
      <c r="J305" s="11" t="inlineStr"/>
      <c r="K305" s="11" t="inlineStr"/>
      <c r="L305" s="11" t="inlineStr"/>
    </row>
    <row r="306">
      <c r="B306" s="11">
        <f>IFERROR(INDEX(RECON_RESULTS!$A$2:$A$1001,SMALL(IF(RECON_RESULTS!$A$2:$A$1001="Unmatched GL",ROW(RECON_RESULTS!$A$2:$A$1001)-1),100)),"")</f>
        <v/>
      </c>
      <c r="C306" s="10">
        <f>IF(B306="","",INDEX(RECON_RESULTS!$C$2:$C$1001,SMALL(IF(RECON_RESULTS!$A$2:$A$1001="Unmatched GL",ROW(RECON_RESULTS!$A$2:$A$1001)-1),100)))</f>
        <v/>
      </c>
      <c r="D306" s="11">
        <f>IF(B306="","",INDEX(RECON_RESULTS!$B$2:$B$1001,SMALL(IF(RECON_RESULTS!$A$2:$A$1001="Unmatched GL",ROW(RECON_RESULTS!$A$2:$A$1001)-1),100)))</f>
        <v/>
      </c>
      <c r="E306" s="16">
        <f>IF(B306="","",INDEX(RECON_RESULTS!$D$2:$D$1001,SMALL(IF(RECON_RESULTS!$A$2:$A$1001="Unmatched GL",ROW(RECON_RESULTS!$A$2:$A$1001)-1),100)))</f>
        <v/>
      </c>
      <c r="F306" s="11">
        <f>IF(B306="","",INDEX(RECON_RESULTS!$E$2:$E$1001,SMALL(IF(RECON_RESULTS!$A$2:$A$1001="Unmatched GL",ROW(RECON_RESULTS!$A$2:$A$1001)-1),100)))</f>
        <v/>
      </c>
      <c r="G306" s="11">
        <f>IF(B306="","",INDEX(RECON_RESULTS!$M$2:$M$1001,SMALL(IF(RECON_RESULTS!$A$2:$A$1001="Unmatched GL",ROW(RECON_RESULTS!$A$2:$A$1001)-1),100)))</f>
        <v/>
      </c>
      <c r="H306" s="11">
        <f>IF(B306="","",INDEX(RECON_RESULTS!$N$2:$N$1001,SMALL(IF(RECON_RESULTS!$A$2:$A$1001="Unmatched GL",ROW(RECON_RESULTS!$A$2:$A$1001)-1),100)))</f>
        <v/>
      </c>
      <c r="I306" s="11" t="inlineStr"/>
      <c r="J306" s="11" t="inlineStr"/>
      <c r="K306" s="11" t="inlineStr"/>
      <c r="L306" s="11" t="inlineStr"/>
    </row>
    <row r="307">
      <c r="B307" s="11">
        <f>IFERROR(INDEX(RECON_RESULTS!$A$2:$A$1001,SMALL(IF(RECON_RESULTS!$A$2:$A$1001="Unmatched GL",ROW(RECON_RESULTS!$A$2:$A$1001)-1),101)),"")</f>
        <v/>
      </c>
      <c r="C307" s="10">
        <f>IF(B307="","",INDEX(RECON_RESULTS!$C$2:$C$1001,SMALL(IF(RECON_RESULTS!$A$2:$A$1001="Unmatched GL",ROW(RECON_RESULTS!$A$2:$A$1001)-1),101)))</f>
        <v/>
      </c>
      <c r="D307" s="11">
        <f>IF(B307="","",INDEX(RECON_RESULTS!$B$2:$B$1001,SMALL(IF(RECON_RESULTS!$A$2:$A$1001="Unmatched GL",ROW(RECON_RESULTS!$A$2:$A$1001)-1),101)))</f>
        <v/>
      </c>
      <c r="E307" s="16">
        <f>IF(B307="","",INDEX(RECON_RESULTS!$D$2:$D$1001,SMALL(IF(RECON_RESULTS!$A$2:$A$1001="Unmatched GL",ROW(RECON_RESULTS!$A$2:$A$1001)-1),101)))</f>
        <v/>
      </c>
      <c r="F307" s="11">
        <f>IF(B307="","",INDEX(RECON_RESULTS!$E$2:$E$1001,SMALL(IF(RECON_RESULTS!$A$2:$A$1001="Unmatched GL",ROW(RECON_RESULTS!$A$2:$A$1001)-1),101)))</f>
        <v/>
      </c>
      <c r="G307" s="11">
        <f>IF(B307="","",INDEX(RECON_RESULTS!$M$2:$M$1001,SMALL(IF(RECON_RESULTS!$A$2:$A$1001="Unmatched GL",ROW(RECON_RESULTS!$A$2:$A$1001)-1),101)))</f>
        <v/>
      </c>
      <c r="H307" s="11">
        <f>IF(B307="","",INDEX(RECON_RESULTS!$N$2:$N$1001,SMALL(IF(RECON_RESULTS!$A$2:$A$1001="Unmatched GL",ROW(RECON_RESULTS!$A$2:$A$1001)-1),101)))</f>
        <v/>
      </c>
      <c r="I307" s="11" t="inlineStr"/>
      <c r="J307" s="11" t="inlineStr"/>
      <c r="K307" s="11" t="inlineStr"/>
      <c r="L307" s="11" t="inlineStr"/>
    </row>
    <row r="308">
      <c r="B308" s="11">
        <f>IFERROR(INDEX(RECON_RESULTS!$A$2:$A$1001,SMALL(IF(RECON_RESULTS!$A$2:$A$1001="Unmatched GL",ROW(RECON_RESULTS!$A$2:$A$1001)-1),102)),"")</f>
        <v/>
      </c>
      <c r="C308" s="10">
        <f>IF(B308="","",INDEX(RECON_RESULTS!$C$2:$C$1001,SMALL(IF(RECON_RESULTS!$A$2:$A$1001="Unmatched GL",ROW(RECON_RESULTS!$A$2:$A$1001)-1),102)))</f>
        <v/>
      </c>
      <c r="D308" s="11">
        <f>IF(B308="","",INDEX(RECON_RESULTS!$B$2:$B$1001,SMALL(IF(RECON_RESULTS!$A$2:$A$1001="Unmatched GL",ROW(RECON_RESULTS!$A$2:$A$1001)-1),102)))</f>
        <v/>
      </c>
      <c r="E308" s="16">
        <f>IF(B308="","",INDEX(RECON_RESULTS!$D$2:$D$1001,SMALL(IF(RECON_RESULTS!$A$2:$A$1001="Unmatched GL",ROW(RECON_RESULTS!$A$2:$A$1001)-1),102)))</f>
        <v/>
      </c>
      <c r="F308" s="11">
        <f>IF(B308="","",INDEX(RECON_RESULTS!$E$2:$E$1001,SMALL(IF(RECON_RESULTS!$A$2:$A$1001="Unmatched GL",ROW(RECON_RESULTS!$A$2:$A$1001)-1),102)))</f>
        <v/>
      </c>
      <c r="G308" s="11">
        <f>IF(B308="","",INDEX(RECON_RESULTS!$M$2:$M$1001,SMALL(IF(RECON_RESULTS!$A$2:$A$1001="Unmatched GL",ROW(RECON_RESULTS!$A$2:$A$1001)-1),102)))</f>
        <v/>
      </c>
      <c r="H308" s="11">
        <f>IF(B308="","",INDEX(RECON_RESULTS!$N$2:$N$1001,SMALL(IF(RECON_RESULTS!$A$2:$A$1001="Unmatched GL",ROW(RECON_RESULTS!$A$2:$A$1001)-1),102)))</f>
        <v/>
      </c>
      <c r="I308" s="11" t="inlineStr"/>
      <c r="J308" s="11" t="inlineStr"/>
      <c r="K308" s="11" t="inlineStr"/>
      <c r="L308" s="11" t="inlineStr"/>
    </row>
    <row r="309">
      <c r="B309" s="11">
        <f>IFERROR(INDEX(RECON_RESULTS!$A$2:$A$1001,SMALL(IF(RECON_RESULTS!$A$2:$A$1001="Unmatched GL",ROW(RECON_RESULTS!$A$2:$A$1001)-1),103)),"")</f>
        <v/>
      </c>
      <c r="C309" s="10">
        <f>IF(B309="","",INDEX(RECON_RESULTS!$C$2:$C$1001,SMALL(IF(RECON_RESULTS!$A$2:$A$1001="Unmatched GL",ROW(RECON_RESULTS!$A$2:$A$1001)-1),103)))</f>
        <v/>
      </c>
      <c r="D309" s="11">
        <f>IF(B309="","",INDEX(RECON_RESULTS!$B$2:$B$1001,SMALL(IF(RECON_RESULTS!$A$2:$A$1001="Unmatched GL",ROW(RECON_RESULTS!$A$2:$A$1001)-1),103)))</f>
        <v/>
      </c>
      <c r="E309" s="16">
        <f>IF(B309="","",INDEX(RECON_RESULTS!$D$2:$D$1001,SMALL(IF(RECON_RESULTS!$A$2:$A$1001="Unmatched GL",ROW(RECON_RESULTS!$A$2:$A$1001)-1),103)))</f>
        <v/>
      </c>
      <c r="F309" s="11">
        <f>IF(B309="","",INDEX(RECON_RESULTS!$E$2:$E$1001,SMALL(IF(RECON_RESULTS!$A$2:$A$1001="Unmatched GL",ROW(RECON_RESULTS!$A$2:$A$1001)-1),103)))</f>
        <v/>
      </c>
      <c r="G309" s="11">
        <f>IF(B309="","",INDEX(RECON_RESULTS!$M$2:$M$1001,SMALL(IF(RECON_RESULTS!$A$2:$A$1001="Unmatched GL",ROW(RECON_RESULTS!$A$2:$A$1001)-1),103)))</f>
        <v/>
      </c>
      <c r="H309" s="11">
        <f>IF(B309="","",INDEX(RECON_RESULTS!$N$2:$N$1001,SMALL(IF(RECON_RESULTS!$A$2:$A$1001="Unmatched GL",ROW(RECON_RESULTS!$A$2:$A$1001)-1),103)))</f>
        <v/>
      </c>
      <c r="I309" s="11" t="inlineStr"/>
      <c r="J309" s="11" t="inlineStr"/>
      <c r="K309" s="11" t="inlineStr"/>
      <c r="L309" s="11" t="inlineStr"/>
    </row>
    <row r="310">
      <c r="B310" s="11">
        <f>IFERROR(INDEX(RECON_RESULTS!$A$2:$A$1001,SMALL(IF(RECON_RESULTS!$A$2:$A$1001="Unmatched GL",ROW(RECON_RESULTS!$A$2:$A$1001)-1),104)),"")</f>
        <v/>
      </c>
      <c r="C310" s="10">
        <f>IF(B310="","",INDEX(RECON_RESULTS!$C$2:$C$1001,SMALL(IF(RECON_RESULTS!$A$2:$A$1001="Unmatched GL",ROW(RECON_RESULTS!$A$2:$A$1001)-1),104)))</f>
        <v/>
      </c>
      <c r="D310" s="11">
        <f>IF(B310="","",INDEX(RECON_RESULTS!$B$2:$B$1001,SMALL(IF(RECON_RESULTS!$A$2:$A$1001="Unmatched GL",ROW(RECON_RESULTS!$A$2:$A$1001)-1),104)))</f>
        <v/>
      </c>
      <c r="E310" s="16">
        <f>IF(B310="","",INDEX(RECON_RESULTS!$D$2:$D$1001,SMALL(IF(RECON_RESULTS!$A$2:$A$1001="Unmatched GL",ROW(RECON_RESULTS!$A$2:$A$1001)-1),104)))</f>
        <v/>
      </c>
      <c r="F310" s="11">
        <f>IF(B310="","",INDEX(RECON_RESULTS!$E$2:$E$1001,SMALL(IF(RECON_RESULTS!$A$2:$A$1001="Unmatched GL",ROW(RECON_RESULTS!$A$2:$A$1001)-1),104)))</f>
        <v/>
      </c>
      <c r="G310" s="11">
        <f>IF(B310="","",INDEX(RECON_RESULTS!$M$2:$M$1001,SMALL(IF(RECON_RESULTS!$A$2:$A$1001="Unmatched GL",ROW(RECON_RESULTS!$A$2:$A$1001)-1),104)))</f>
        <v/>
      </c>
      <c r="H310" s="11">
        <f>IF(B310="","",INDEX(RECON_RESULTS!$N$2:$N$1001,SMALL(IF(RECON_RESULTS!$A$2:$A$1001="Unmatched GL",ROW(RECON_RESULTS!$A$2:$A$1001)-1),104)))</f>
        <v/>
      </c>
      <c r="I310" s="11" t="inlineStr"/>
      <c r="J310" s="11" t="inlineStr"/>
      <c r="K310" s="11" t="inlineStr"/>
      <c r="L310" s="11" t="inlineStr"/>
    </row>
    <row r="311">
      <c r="B311" s="11">
        <f>IFERROR(INDEX(RECON_RESULTS!$A$2:$A$1001,SMALL(IF(RECON_RESULTS!$A$2:$A$1001="Unmatched GL",ROW(RECON_RESULTS!$A$2:$A$1001)-1),105)),"")</f>
        <v/>
      </c>
      <c r="C311" s="10">
        <f>IF(B311="","",INDEX(RECON_RESULTS!$C$2:$C$1001,SMALL(IF(RECON_RESULTS!$A$2:$A$1001="Unmatched GL",ROW(RECON_RESULTS!$A$2:$A$1001)-1),105)))</f>
        <v/>
      </c>
      <c r="D311" s="11">
        <f>IF(B311="","",INDEX(RECON_RESULTS!$B$2:$B$1001,SMALL(IF(RECON_RESULTS!$A$2:$A$1001="Unmatched GL",ROW(RECON_RESULTS!$A$2:$A$1001)-1),105)))</f>
        <v/>
      </c>
      <c r="E311" s="16">
        <f>IF(B311="","",INDEX(RECON_RESULTS!$D$2:$D$1001,SMALL(IF(RECON_RESULTS!$A$2:$A$1001="Unmatched GL",ROW(RECON_RESULTS!$A$2:$A$1001)-1),105)))</f>
        <v/>
      </c>
      <c r="F311" s="11">
        <f>IF(B311="","",INDEX(RECON_RESULTS!$E$2:$E$1001,SMALL(IF(RECON_RESULTS!$A$2:$A$1001="Unmatched GL",ROW(RECON_RESULTS!$A$2:$A$1001)-1),105)))</f>
        <v/>
      </c>
      <c r="G311" s="11">
        <f>IF(B311="","",INDEX(RECON_RESULTS!$M$2:$M$1001,SMALL(IF(RECON_RESULTS!$A$2:$A$1001="Unmatched GL",ROW(RECON_RESULTS!$A$2:$A$1001)-1),105)))</f>
        <v/>
      </c>
      <c r="H311" s="11">
        <f>IF(B311="","",INDEX(RECON_RESULTS!$N$2:$N$1001,SMALL(IF(RECON_RESULTS!$A$2:$A$1001="Unmatched GL",ROW(RECON_RESULTS!$A$2:$A$1001)-1),105)))</f>
        <v/>
      </c>
      <c r="I311" s="11" t="inlineStr"/>
      <c r="J311" s="11" t="inlineStr"/>
      <c r="K311" s="11" t="inlineStr"/>
      <c r="L311" s="11" t="inlineStr"/>
    </row>
    <row r="312">
      <c r="B312" s="11">
        <f>IFERROR(INDEX(RECON_RESULTS!$A$2:$A$1001,SMALL(IF(RECON_RESULTS!$A$2:$A$1001="Unmatched GL",ROW(RECON_RESULTS!$A$2:$A$1001)-1),106)),"")</f>
        <v/>
      </c>
      <c r="C312" s="10">
        <f>IF(B312="","",INDEX(RECON_RESULTS!$C$2:$C$1001,SMALL(IF(RECON_RESULTS!$A$2:$A$1001="Unmatched GL",ROW(RECON_RESULTS!$A$2:$A$1001)-1),106)))</f>
        <v/>
      </c>
      <c r="D312" s="11">
        <f>IF(B312="","",INDEX(RECON_RESULTS!$B$2:$B$1001,SMALL(IF(RECON_RESULTS!$A$2:$A$1001="Unmatched GL",ROW(RECON_RESULTS!$A$2:$A$1001)-1),106)))</f>
        <v/>
      </c>
      <c r="E312" s="16">
        <f>IF(B312="","",INDEX(RECON_RESULTS!$D$2:$D$1001,SMALL(IF(RECON_RESULTS!$A$2:$A$1001="Unmatched GL",ROW(RECON_RESULTS!$A$2:$A$1001)-1),106)))</f>
        <v/>
      </c>
      <c r="F312" s="11">
        <f>IF(B312="","",INDEX(RECON_RESULTS!$E$2:$E$1001,SMALL(IF(RECON_RESULTS!$A$2:$A$1001="Unmatched GL",ROW(RECON_RESULTS!$A$2:$A$1001)-1),106)))</f>
        <v/>
      </c>
      <c r="G312" s="11">
        <f>IF(B312="","",INDEX(RECON_RESULTS!$M$2:$M$1001,SMALL(IF(RECON_RESULTS!$A$2:$A$1001="Unmatched GL",ROW(RECON_RESULTS!$A$2:$A$1001)-1),106)))</f>
        <v/>
      </c>
      <c r="H312" s="11">
        <f>IF(B312="","",INDEX(RECON_RESULTS!$N$2:$N$1001,SMALL(IF(RECON_RESULTS!$A$2:$A$1001="Unmatched GL",ROW(RECON_RESULTS!$A$2:$A$1001)-1),106)))</f>
        <v/>
      </c>
      <c r="I312" s="11" t="inlineStr"/>
      <c r="J312" s="11" t="inlineStr"/>
      <c r="K312" s="11" t="inlineStr"/>
      <c r="L312" s="11" t="inlineStr"/>
    </row>
    <row r="313">
      <c r="B313" s="11">
        <f>IFERROR(INDEX(RECON_RESULTS!$A$2:$A$1001,SMALL(IF(RECON_RESULTS!$A$2:$A$1001="Unmatched GL",ROW(RECON_RESULTS!$A$2:$A$1001)-1),107)),"")</f>
        <v/>
      </c>
      <c r="C313" s="10">
        <f>IF(B313="","",INDEX(RECON_RESULTS!$C$2:$C$1001,SMALL(IF(RECON_RESULTS!$A$2:$A$1001="Unmatched GL",ROW(RECON_RESULTS!$A$2:$A$1001)-1),107)))</f>
        <v/>
      </c>
      <c r="D313" s="11">
        <f>IF(B313="","",INDEX(RECON_RESULTS!$B$2:$B$1001,SMALL(IF(RECON_RESULTS!$A$2:$A$1001="Unmatched GL",ROW(RECON_RESULTS!$A$2:$A$1001)-1),107)))</f>
        <v/>
      </c>
      <c r="E313" s="16">
        <f>IF(B313="","",INDEX(RECON_RESULTS!$D$2:$D$1001,SMALL(IF(RECON_RESULTS!$A$2:$A$1001="Unmatched GL",ROW(RECON_RESULTS!$A$2:$A$1001)-1),107)))</f>
        <v/>
      </c>
      <c r="F313" s="11">
        <f>IF(B313="","",INDEX(RECON_RESULTS!$E$2:$E$1001,SMALL(IF(RECON_RESULTS!$A$2:$A$1001="Unmatched GL",ROW(RECON_RESULTS!$A$2:$A$1001)-1),107)))</f>
        <v/>
      </c>
      <c r="G313" s="11">
        <f>IF(B313="","",INDEX(RECON_RESULTS!$M$2:$M$1001,SMALL(IF(RECON_RESULTS!$A$2:$A$1001="Unmatched GL",ROW(RECON_RESULTS!$A$2:$A$1001)-1),107)))</f>
        <v/>
      </c>
      <c r="H313" s="11">
        <f>IF(B313="","",INDEX(RECON_RESULTS!$N$2:$N$1001,SMALL(IF(RECON_RESULTS!$A$2:$A$1001="Unmatched GL",ROW(RECON_RESULTS!$A$2:$A$1001)-1),107)))</f>
        <v/>
      </c>
      <c r="I313" s="11" t="inlineStr"/>
      <c r="J313" s="11" t="inlineStr"/>
      <c r="K313" s="11" t="inlineStr"/>
      <c r="L313" s="11" t="inlineStr"/>
    </row>
    <row r="314">
      <c r="B314" s="11">
        <f>IFERROR(INDEX(RECON_RESULTS!$A$2:$A$1001,SMALL(IF(RECON_RESULTS!$A$2:$A$1001="Unmatched GL",ROW(RECON_RESULTS!$A$2:$A$1001)-1),108)),"")</f>
        <v/>
      </c>
      <c r="C314" s="10">
        <f>IF(B314="","",INDEX(RECON_RESULTS!$C$2:$C$1001,SMALL(IF(RECON_RESULTS!$A$2:$A$1001="Unmatched GL",ROW(RECON_RESULTS!$A$2:$A$1001)-1),108)))</f>
        <v/>
      </c>
      <c r="D314" s="11">
        <f>IF(B314="","",INDEX(RECON_RESULTS!$B$2:$B$1001,SMALL(IF(RECON_RESULTS!$A$2:$A$1001="Unmatched GL",ROW(RECON_RESULTS!$A$2:$A$1001)-1),108)))</f>
        <v/>
      </c>
      <c r="E314" s="16">
        <f>IF(B314="","",INDEX(RECON_RESULTS!$D$2:$D$1001,SMALL(IF(RECON_RESULTS!$A$2:$A$1001="Unmatched GL",ROW(RECON_RESULTS!$A$2:$A$1001)-1),108)))</f>
        <v/>
      </c>
      <c r="F314" s="11">
        <f>IF(B314="","",INDEX(RECON_RESULTS!$E$2:$E$1001,SMALL(IF(RECON_RESULTS!$A$2:$A$1001="Unmatched GL",ROW(RECON_RESULTS!$A$2:$A$1001)-1),108)))</f>
        <v/>
      </c>
      <c r="G314" s="11">
        <f>IF(B314="","",INDEX(RECON_RESULTS!$M$2:$M$1001,SMALL(IF(RECON_RESULTS!$A$2:$A$1001="Unmatched GL",ROW(RECON_RESULTS!$A$2:$A$1001)-1),108)))</f>
        <v/>
      </c>
      <c r="H314" s="11">
        <f>IF(B314="","",INDEX(RECON_RESULTS!$N$2:$N$1001,SMALL(IF(RECON_RESULTS!$A$2:$A$1001="Unmatched GL",ROW(RECON_RESULTS!$A$2:$A$1001)-1),108)))</f>
        <v/>
      </c>
      <c r="I314" s="11" t="inlineStr"/>
      <c r="J314" s="11" t="inlineStr"/>
      <c r="K314" s="11" t="inlineStr"/>
      <c r="L314" s="11" t="inlineStr"/>
    </row>
    <row r="315">
      <c r="B315" s="11">
        <f>IFERROR(INDEX(RECON_RESULTS!$A$2:$A$1001,SMALL(IF(RECON_RESULTS!$A$2:$A$1001="Unmatched GL",ROW(RECON_RESULTS!$A$2:$A$1001)-1),109)),"")</f>
        <v/>
      </c>
      <c r="C315" s="10">
        <f>IF(B315="","",INDEX(RECON_RESULTS!$C$2:$C$1001,SMALL(IF(RECON_RESULTS!$A$2:$A$1001="Unmatched GL",ROW(RECON_RESULTS!$A$2:$A$1001)-1),109)))</f>
        <v/>
      </c>
      <c r="D315" s="11">
        <f>IF(B315="","",INDEX(RECON_RESULTS!$B$2:$B$1001,SMALL(IF(RECON_RESULTS!$A$2:$A$1001="Unmatched GL",ROW(RECON_RESULTS!$A$2:$A$1001)-1),109)))</f>
        <v/>
      </c>
      <c r="E315" s="16">
        <f>IF(B315="","",INDEX(RECON_RESULTS!$D$2:$D$1001,SMALL(IF(RECON_RESULTS!$A$2:$A$1001="Unmatched GL",ROW(RECON_RESULTS!$A$2:$A$1001)-1),109)))</f>
        <v/>
      </c>
      <c r="F315" s="11">
        <f>IF(B315="","",INDEX(RECON_RESULTS!$E$2:$E$1001,SMALL(IF(RECON_RESULTS!$A$2:$A$1001="Unmatched GL",ROW(RECON_RESULTS!$A$2:$A$1001)-1),109)))</f>
        <v/>
      </c>
      <c r="G315" s="11">
        <f>IF(B315="","",INDEX(RECON_RESULTS!$M$2:$M$1001,SMALL(IF(RECON_RESULTS!$A$2:$A$1001="Unmatched GL",ROW(RECON_RESULTS!$A$2:$A$1001)-1),109)))</f>
        <v/>
      </c>
      <c r="H315" s="11">
        <f>IF(B315="","",INDEX(RECON_RESULTS!$N$2:$N$1001,SMALL(IF(RECON_RESULTS!$A$2:$A$1001="Unmatched GL",ROW(RECON_RESULTS!$A$2:$A$1001)-1),109)))</f>
        <v/>
      </c>
      <c r="I315" s="11" t="inlineStr"/>
      <c r="J315" s="11" t="inlineStr"/>
      <c r="K315" s="11" t="inlineStr"/>
      <c r="L315" s="11" t="inlineStr"/>
    </row>
    <row r="316">
      <c r="B316" s="11">
        <f>IFERROR(INDEX(RECON_RESULTS!$A$2:$A$1001,SMALL(IF(RECON_RESULTS!$A$2:$A$1001="Unmatched GL",ROW(RECON_RESULTS!$A$2:$A$1001)-1),110)),"")</f>
        <v/>
      </c>
      <c r="C316" s="10">
        <f>IF(B316="","",INDEX(RECON_RESULTS!$C$2:$C$1001,SMALL(IF(RECON_RESULTS!$A$2:$A$1001="Unmatched GL",ROW(RECON_RESULTS!$A$2:$A$1001)-1),110)))</f>
        <v/>
      </c>
      <c r="D316" s="11">
        <f>IF(B316="","",INDEX(RECON_RESULTS!$B$2:$B$1001,SMALL(IF(RECON_RESULTS!$A$2:$A$1001="Unmatched GL",ROW(RECON_RESULTS!$A$2:$A$1001)-1),110)))</f>
        <v/>
      </c>
      <c r="E316" s="16">
        <f>IF(B316="","",INDEX(RECON_RESULTS!$D$2:$D$1001,SMALL(IF(RECON_RESULTS!$A$2:$A$1001="Unmatched GL",ROW(RECON_RESULTS!$A$2:$A$1001)-1),110)))</f>
        <v/>
      </c>
      <c r="F316" s="11">
        <f>IF(B316="","",INDEX(RECON_RESULTS!$E$2:$E$1001,SMALL(IF(RECON_RESULTS!$A$2:$A$1001="Unmatched GL",ROW(RECON_RESULTS!$A$2:$A$1001)-1),110)))</f>
        <v/>
      </c>
      <c r="G316" s="11">
        <f>IF(B316="","",INDEX(RECON_RESULTS!$M$2:$M$1001,SMALL(IF(RECON_RESULTS!$A$2:$A$1001="Unmatched GL",ROW(RECON_RESULTS!$A$2:$A$1001)-1),110)))</f>
        <v/>
      </c>
      <c r="H316" s="11">
        <f>IF(B316="","",INDEX(RECON_RESULTS!$N$2:$N$1001,SMALL(IF(RECON_RESULTS!$A$2:$A$1001="Unmatched GL",ROW(RECON_RESULTS!$A$2:$A$1001)-1),110)))</f>
        <v/>
      </c>
      <c r="I316" s="11" t="inlineStr"/>
      <c r="J316" s="11" t="inlineStr"/>
      <c r="K316" s="11" t="inlineStr"/>
      <c r="L316" s="11" t="inlineStr"/>
    </row>
    <row r="317">
      <c r="B317" s="11">
        <f>IFERROR(INDEX(RECON_RESULTS!$A$2:$A$1001,SMALL(IF(RECON_RESULTS!$A$2:$A$1001="Unmatched GL",ROW(RECON_RESULTS!$A$2:$A$1001)-1),111)),"")</f>
        <v/>
      </c>
      <c r="C317" s="10">
        <f>IF(B317="","",INDEX(RECON_RESULTS!$C$2:$C$1001,SMALL(IF(RECON_RESULTS!$A$2:$A$1001="Unmatched GL",ROW(RECON_RESULTS!$A$2:$A$1001)-1),111)))</f>
        <v/>
      </c>
      <c r="D317" s="11">
        <f>IF(B317="","",INDEX(RECON_RESULTS!$B$2:$B$1001,SMALL(IF(RECON_RESULTS!$A$2:$A$1001="Unmatched GL",ROW(RECON_RESULTS!$A$2:$A$1001)-1),111)))</f>
        <v/>
      </c>
      <c r="E317" s="16">
        <f>IF(B317="","",INDEX(RECON_RESULTS!$D$2:$D$1001,SMALL(IF(RECON_RESULTS!$A$2:$A$1001="Unmatched GL",ROW(RECON_RESULTS!$A$2:$A$1001)-1),111)))</f>
        <v/>
      </c>
      <c r="F317" s="11">
        <f>IF(B317="","",INDEX(RECON_RESULTS!$E$2:$E$1001,SMALL(IF(RECON_RESULTS!$A$2:$A$1001="Unmatched GL",ROW(RECON_RESULTS!$A$2:$A$1001)-1),111)))</f>
        <v/>
      </c>
      <c r="G317" s="11">
        <f>IF(B317="","",INDEX(RECON_RESULTS!$M$2:$M$1001,SMALL(IF(RECON_RESULTS!$A$2:$A$1001="Unmatched GL",ROW(RECON_RESULTS!$A$2:$A$1001)-1),111)))</f>
        <v/>
      </c>
      <c r="H317" s="11">
        <f>IF(B317="","",INDEX(RECON_RESULTS!$N$2:$N$1001,SMALL(IF(RECON_RESULTS!$A$2:$A$1001="Unmatched GL",ROW(RECON_RESULTS!$A$2:$A$1001)-1),111)))</f>
        <v/>
      </c>
      <c r="I317" s="11" t="inlineStr"/>
      <c r="J317" s="11" t="inlineStr"/>
      <c r="K317" s="11" t="inlineStr"/>
      <c r="L317" s="11" t="inlineStr"/>
    </row>
    <row r="318">
      <c r="B318" s="11">
        <f>IFERROR(INDEX(RECON_RESULTS!$A$2:$A$1001,SMALL(IF(RECON_RESULTS!$A$2:$A$1001="Unmatched GL",ROW(RECON_RESULTS!$A$2:$A$1001)-1),112)),"")</f>
        <v/>
      </c>
      <c r="C318" s="10">
        <f>IF(B318="","",INDEX(RECON_RESULTS!$C$2:$C$1001,SMALL(IF(RECON_RESULTS!$A$2:$A$1001="Unmatched GL",ROW(RECON_RESULTS!$A$2:$A$1001)-1),112)))</f>
        <v/>
      </c>
      <c r="D318" s="11">
        <f>IF(B318="","",INDEX(RECON_RESULTS!$B$2:$B$1001,SMALL(IF(RECON_RESULTS!$A$2:$A$1001="Unmatched GL",ROW(RECON_RESULTS!$A$2:$A$1001)-1),112)))</f>
        <v/>
      </c>
      <c r="E318" s="16">
        <f>IF(B318="","",INDEX(RECON_RESULTS!$D$2:$D$1001,SMALL(IF(RECON_RESULTS!$A$2:$A$1001="Unmatched GL",ROW(RECON_RESULTS!$A$2:$A$1001)-1),112)))</f>
        <v/>
      </c>
      <c r="F318" s="11">
        <f>IF(B318="","",INDEX(RECON_RESULTS!$E$2:$E$1001,SMALL(IF(RECON_RESULTS!$A$2:$A$1001="Unmatched GL",ROW(RECON_RESULTS!$A$2:$A$1001)-1),112)))</f>
        <v/>
      </c>
      <c r="G318" s="11">
        <f>IF(B318="","",INDEX(RECON_RESULTS!$M$2:$M$1001,SMALL(IF(RECON_RESULTS!$A$2:$A$1001="Unmatched GL",ROW(RECON_RESULTS!$A$2:$A$1001)-1),112)))</f>
        <v/>
      </c>
      <c r="H318" s="11">
        <f>IF(B318="","",INDEX(RECON_RESULTS!$N$2:$N$1001,SMALL(IF(RECON_RESULTS!$A$2:$A$1001="Unmatched GL",ROW(RECON_RESULTS!$A$2:$A$1001)-1),112)))</f>
        <v/>
      </c>
      <c r="I318" s="11" t="inlineStr"/>
      <c r="J318" s="11" t="inlineStr"/>
      <c r="K318" s="11" t="inlineStr"/>
      <c r="L318" s="11" t="inlineStr"/>
    </row>
    <row r="319">
      <c r="B319" s="11">
        <f>IFERROR(INDEX(RECON_RESULTS!$A$2:$A$1001,SMALL(IF(RECON_RESULTS!$A$2:$A$1001="Unmatched GL",ROW(RECON_RESULTS!$A$2:$A$1001)-1),113)),"")</f>
        <v/>
      </c>
      <c r="C319" s="10">
        <f>IF(B319="","",INDEX(RECON_RESULTS!$C$2:$C$1001,SMALL(IF(RECON_RESULTS!$A$2:$A$1001="Unmatched GL",ROW(RECON_RESULTS!$A$2:$A$1001)-1),113)))</f>
        <v/>
      </c>
      <c r="D319" s="11">
        <f>IF(B319="","",INDEX(RECON_RESULTS!$B$2:$B$1001,SMALL(IF(RECON_RESULTS!$A$2:$A$1001="Unmatched GL",ROW(RECON_RESULTS!$A$2:$A$1001)-1),113)))</f>
        <v/>
      </c>
      <c r="E319" s="16">
        <f>IF(B319="","",INDEX(RECON_RESULTS!$D$2:$D$1001,SMALL(IF(RECON_RESULTS!$A$2:$A$1001="Unmatched GL",ROW(RECON_RESULTS!$A$2:$A$1001)-1),113)))</f>
        <v/>
      </c>
      <c r="F319" s="11">
        <f>IF(B319="","",INDEX(RECON_RESULTS!$E$2:$E$1001,SMALL(IF(RECON_RESULTS!$A$2:$A$1001="Unmatched GL",ROW(RECON_RESULTS!$A$2:$A$1001)-1),113)))</f>
        <v/>
      </c>
      <c r="G319" s="11">
        <f>IF(B319="","",INDEX(RECON_RESULTS!$M$2:$M$1001,SMALL(IF(RECON_RESULTS!$A$2:$A$1001="Unmatched GL",ROW(RECON_RESULTS!$A$2:$A$1001)-1),113)))</f>
        <v/>
      </c>
      <c r="H319" s="11">
        <f>IF(B319="","",INDEX(RECON_RESULTS!$N$2:$N$1001,SMALL(IF(RECON_RESULTS!$A$2:$A$1001="Unmatched GL",ROW(RECON_RESULTS!$A$2:$A$1001)-1),113)))</f>
        <v/>
      </c>
      <c r="I319" s="11" t="inlineStr"/>
      <c r="J319" s="11" t="inlineStr"/>
      <c r="K319" s="11" t="inlineStr"/>
      <c r="L319" s="11" t="inlineStr"/>
    </row>
    <row r="320">
      <c r="B320" s="11">
        <f>IFERROR(INDEX(RECON_RESULTS!$A$2:$A$1001,SMALL(IF(RECON_RESULTS!$A$2:$A$1001="Unmatched GL",ROW(RECON_RESULTS!$A$2:$A$1001)-1),114)),"")</f>
        <v/>
      </c>
      <c r="C320" s="10">
        <f>IF(B320="","",INDEX(RECON_RESULTS!$C$2:$C$1001,SMALL(IF(RECON_RESULTS!$A$2:$A$1001="Unmatched GL",ROW(RECON_RESULTS!$A$2:$A$1001)-1),114)))</f>
        <v/>
      </c>
      <c r="D320" s="11">
        <f>IF(B320="","",INDEX(RECON_RESULTS!$B$2:$B$1001,SMALL(IF(RECON_RESULTS!$A$2:$A$1001="Unmatched GL",ROW(RECON_RESULTS!$A$2:$A$1001)-1),114)))</f>
        <v/>
      </c>
      <c r="E320" s="16">
        <f>IF(B320="","",INDEX(RECON_RESULTS!$D$2:$D$1001,SMALL(IF(RECON_RESULTS!$A$2:$A$1001="Unmatched GL",ROW(RECON_RESULTS!$A$2:$A$1001)-1),114)))</f>
        <v/>
      </c>
      <c r="F320" s="11">
        <f>IF(B320="","",INDEX(RECON_RESULTS!$E$2:$E$1001,SMALL(IF(RECON_RESULTS!$A$2:$A$1001="Unmatched GL",ROW(RECON_RESULTS!$A$2:$A$1001)-1),114)))</f>
        <v/>
      </c>
      <c r="G320" s="11">
        <f>IF(B320="","",INDEX(RECON_RESULTS!$M$2:$M$1001,SMALL(IF(RECON_RESULTS!$A$2:$A$1001="Unmatched GL",ROW(RECON_RESULTS!$A$2:$A$1001)-1),114)))</f>
        <v/>
      </c>
      <c r="H320" s="11">
        <f>IF(B320="","",INDEX(RECON_RESULTS!$N$2:$N$1001,SMALL(IF(RECON_RESULTS!$A$2:$A$1001="Unmatched GL",ROW(RECON_RESULTS!$A$2:$A$1001)-1),114)))</f>
        <v/>
      </c>
      <c r="I320" s="11" t="inlineStr"/>
      <c r="J320" s="11" t="inlineStr"/>
      <c r="K320" s="11" t="inlineStr"/>
      <c r="L320" s="11" t="inlineStr"/>
    </row>
    <row r="321">
      <c r="B321" s="11">
        <f>IFERROR(INDEX(RECON_RESULTS!$A$2:$A$1001,SMALL(IF(RECON_RESULTS!$A$2:$A$1001="Unmatched GL",ROW(RECON_RESULTS!$A$2:$A$1001)-1),115)),"")</f>
        <v/>
      </c>
      <c r="C321" s="10">
        <f>IF(B321="","",INDEX(RECON_RESULTS!$C$2:$C$1001,SMALL(IF(RECON_RESULTS!$A$2:$A$1001="Unmatched GL",ROW(RECON_RESULTS!$A$2:$A$1001)-1),115)))</f>
        <v/>
      </c>
      <c r="D321" s="11">
        <f>IF(B321="","",INDEX(RECON_RESULTS!$B$2:$B$1001,SMALL(IF(RECON_RESULTS!$A$2:$A$1001="Unmatched GL",ROW(RECON_RESULTS!$A$2:$A$1001)-1),115)))</f>
        <v/>
      </c>
      <c r="E321" s="16">
        <f>IF(B321="","",INDEX(RECON_RESULTS!$D$2:$D$1001,SMALL(IF(RECON_RESULTS!$A$2:$A$1001="Unmatched GL",ROW(RECON_RESULTS!$A$2:$A$1001)-1),115)))</f>
        <v/>
      </c>
      <c r="F321" s="11">
        <f>IF(B321="","",INDEX(RECON_RESULTS!$E$2:$E$1001,SMALL(IF(RECON_RESULTS!$A$2:$A$1001="Unmatched GL",ROW(RECON_RESULTS!$A$2:$A$1001)-1),115)))</f>
        <v/>
      </c>
      <c r="G321" s="11">
        <f>IF(B321="","",INDEX(RECON_RESULTS!$M$2:$M$1001,SMALL(IF(RECON_RESULTS!$A$2:$A$1001="Unmatched GL",ROW(RECON_RESULTS!$A$2:$A$1001)-1),115)))</f>
        <v/>
      </c>
      <c r="H321" s="11">
        <f>IF(B321="","",INDEX(RECON_RESULTS!$N$2:$N$1001,SMALL(IF(RECON_RESULTS!$A$2:$A$1001="Unmatched GL",ROW(RECON_RESULTS!$A$2:$A$1001)-1),115)))</f>
        <v/>
      </c>
      <c r="I321" s="11" t="inlineStr"/>
      <c r="J321" s="11" t="inlineStr"/>
      <c r="K321" s="11" t="inlineStr"/>
      <c r="L321" s="11" t="inlineStr"/>
    </row>
    <row r="322">
      <c r="B322" s="11">
        <f>IFERROR(INDEX(RECON_RESULTS!$A$2:$A$1001,SMALL(IF(RECON_RESULTS!$A$2:$A$1001="Unmatched GL",ROW(RECON_RESULTS!$A$2:$A$1001)-1),116)),"")</f>
        <v/>
      </c>
      <c r="C322" s="10">
        <f>IF(B322="","",INDEX(RECON_RESULTS!$C$2:$C$1001,SMALL(IF(RECON_RESULTS!$A$2:$A$1001="Unmatched GL",ROW(RECON_RESULTS!$A$2:$A$1001)-1),116)))</f>
        <v/>
      </c>
      <c r="D322" s="11">
        <f>IF(B322="","",INDEX(RECON_RESULTS!$B$2:$B$1001,SMALL(IF(RECON_RESULTS!$A$2:$A$1001="Unmatched GL",ROW(RECON_RESULTS!$A$2:$A$1001)-1),116)))</f>
        <v/>
      </c>
      <c r="E322" s="16">
        <f>IF(B322="","",INDEX(RECON_RESULTS!$D$2:$D$1001,SMALL(IF(RECON_RESULTS!$A$2:$A$1001="Unmatched GL",ROW(RECON_RESULTS!$A$2:$A$1001)-1),116)))</f>
        <v/>
      </c>
      <c r="F322" s="11">
        <f>IF(B322="","",INDEX(RECON_RESULTS!$E$2:$E$1001,SMALL(IF(RECON_RESULTS!$A$2:$A$1001="Unmatched GL",ROW(RECON_RESULTS!$A$2:$A$1001)-1),116)))</f>
        <v/>
      </c>
      <c r="G322" s="11">
        <f>IF(B322="","",INDEX(RECON_RESULTS!$M$2:$M$1001,SMALL(IF(RECON_RESULTS!$A$2:$A$1001="Unmatched GL",ROW(RECON_RESULTS!$A$2:$A$1001)-1),116)))</f>
        <v/>
      </c>
      <c r="H322" s="11">
        <f>IF(B322="","",INDEX(RECON_RESULTS!$N$2:$N$1001,SMALL(IF(RECON_RESULTS!$A$2:$A$1001="Unmatched GL",ROW(RECON_RESULTS!$A$2:$A$1001)-1),116)))</f>
        <v/>
      </c>
      <c r="I322" s="11" t="inlineStr"/>
      <c r="J322" s="11" t="inlineStr"/>
      <c r="K322" s="11" t="inlineStr"/>
      <c r="L322" s="11" t="inlineStr"/>
    </row>
    <row r="323">
      <c r="B323" s="11">
        <f>IFERROR(INDEX(RECON_RESULTS!$A$2:$A$1001,SMALL(IF(RECON_RESULTS!$A$2:$A$1001="Unmatched GL",ROW(RECON_RESULTS!$A$2:$A$1001)-1),117)),"")</f>
        <v/>
      </c>
      <c r="C323" s="10">
        <f>IF(B323="","",INDEX(RECON_RESULTS!$C$2:$C$1001,SMALL(IF(RECON_RESULTS!$A$2:$A$1001="Unmatched GL",ROW(RECON_RESULTS!$A$2:$A$1001)-1),117)))</f>
        <v/>
      </c>
      <c r="D323" s="11">
        <f>IF(B323="","",INDEX(RECON_RESULTS!$B$2:$B$1001,SMALL(IF(RECON_RESULTS!$A$2:$A$1001="Unmatched GL",ROW(RECON_RESULTS!$A$2:$A$1001)-1),117)))</f>
        <v/>
      </c>
      <c r="E323" s="16">
        <f>IF(B323="","",INDEX(RECON_RESULTS!$D$2:$D$1001,SMALL(IF(RECON_RESULTS!$A$2:$A$1001="Unmatched GL",ROW(RECON_RESULTS!$A$2:$A$1001)-1),117)))</f>
        <v/>
      </c>
      <c r="F323" s="11">
        <f>IF(B323="","",INDEX(RECON_RESULTS!$E$2:$E$1001,SMALL(IF(RECON_RESULTS!$A$2:$A$1001="Unmatched GL",ROW(RECON_RESULTS!$A$2:$A$1001)-1),117)))</f>
        <v/>
      </c>
      <c r="G323" s="11">
        <f>IF(B323="","",INDEX(RECON_RESULTS!$M$2:$M$1001,SMALL(IF(RECON_RESULTS!$A$2:$A$1001="Unmatched GL",ROW(RECON_RESULTS!$A$2:$A$1001)-1),117)))</f>
        <v/>
      </c>
      <c r="H323" s="11">
        <f>IF(B323="","",INDEX(RECON_RESULTS!$N$2:$N$1001,SMALL(IF(RECON_RESULTS!$A$2:$A$1001="Unmatched GL",ROW(RECON_RESULTS!$A$2:$A$1001)-1),117)))</f>
        <v/>
      </c>
      <c r="I323" s="11" t="inlineStr"/>
      <c r="J323" s="11" t="inlineStr"/>
      <c r="K323" s="11" t="inlineStr"/>
      <c r="L323" s="11" t="inlineStr"/>
    </row>
    <row r="324">
      <c r="B324" s="11">
        <f>IFERROR(INDEX(RECON_RESULTS!$A$2:$A$1001,SMALL(IF(RECON_RESULTS!$A$2:$A$1001="Unmatched GL",ROW(RECON_RESULTS!$A$2:$A$1001)-1),118)),"")</f>
        <v/>
      </c>
      <c r="C324" s="10">
        <f>IF(B324="","",INDEX(RECON_RESULTS!$C$2:$C$1001,SMALL(IF(RECON_RESULTS!$A$2:$A$1001="Unmatched GL",ROW(RECON_RESULTS!$A$2:$A$1001)-1),118)))</f>
        <v/>
      </c>
      <c r="D324" s="11">
        <f>IF(B324="","",INDEX(RECON_RESULTS!$B$2:$B$1001,SMALL(IF(RECON_RESULTS!$A$2:$A$1001="Unmatched GL",ROW(RECON_RESULTS!$A$2:$A$1001)-1),118)))</f>
        <v/>
      </c>
      <c r="E324" s="16">
        <f>IF(B324="","",INDEX(RECON_RESULTS!$D$2:$D$1001,SMALL(IF(RECON_RESULTS!$A$2:$A$1001="Unmatched GL",ROW(RECON_RESULTS!$A$2:$A$1001)-1),118)))</f>
        <v/>
      </c>
      <c r="F324" s="11">
        <f>IF(B324="","",INDEX(RECON_RESULTS!$E$2:$E$1001,SMALL(IF(RECON_RESULTS!$A$2:$A$1001="Unmatched GL",ROW(RECON_RESULTS!$A$2:$A$1001)-1),118)))</f>
        <v/>
      </c>
      <c r="G324" s="11">
        <f>IF(B324="","",INDEX(RECON_RESULTS!$M$2:$M$1001,SMALL(IF(RECON_RESULTS!$A$2:$A$1001="Unmatched GL",ROW(RECON_RESULTS!$A$2:$A$1001)-1),118)))</f>
        <v/>
      </c>
      <c r="H324" s="11">
        <f>IF(B324="","",INDEX(RECON_RESULTS!$N$2:$N$1001,SMALL(IF(RECON_RESULTS!$A$2:$A$1001="Unmatched GL",ROW(RECON_RESULTS!$A$2:$A$1001)-1),118)))</f>
        <v/>
      </c>
      <c r="I324" s="11" t="inlineStr"/>
      <c r="J324" s="11" t="inlineStr"/>
      <c r="K324" s="11" t="inlineStr"/>
      <c r="L324" s="11" t="inlineStr"/>
    </row>
    <row r="325">
      <c r="B325" s="11">
        <f>IFERROR(INDEX(RECON_RESULTS!$A$2:$A$1001,SMALL(IF(RECON_RESULTS!$A$2:$A$1001="Unmatched GL",ROW(RECON_RESULTS!$A$2:$A$1001)-1),119)),"")</f>
        <v/>
      </c>
      <c r="C325" s="10">
        <f>IF(B325="","",INDEX(RECON_RESULTS!$C$2:$C$1001,SMALL(IF(RECON_RESULTS!$A$2:$A$1001="Unmatched GL",ROW(RECON_RESULTS!$A$2:$A$1001)-1),119)))</f>
        <v/>
      </c>
      <c r="D325" s="11">
        <f>IF(B325="","",INDEX(RECON_RESULTS!$B$2:$B$1001,SMALL(IF(RECON_RESULTS!$A$2:$A$1001="Unmatched GL",ROW(RECON_RESULTS!$A$2:$A$1001)-1),119)))</f>
        <v/>
      </c>
      <c r="E325" s="16">
        <f>IF(B325="","",INDEX(RECON_RESULTS!$D$2:$D$1001,SMALL(IF(RECON_RESULTS!$A$2:$A$1001="Unmatched GL",ROW(RECON_RESULTS!$A$2:$A$1001)-1),119)))</f>
        <v/>
      </c>
      <c r="F325" s="11">
        <f>IF(B325="","",INDEX(RECON_RESULTS!$E$2:$E$1001,SMALL(IF(RECON_RESULTS!$A$2:$A$1001="Unmatched GL",ROW(RECON_RESULTS!$A$2:$A$1001)-1),119)))</f>
        <v/>
      </c>
      <c r="G325" s="11">
        <f>IF(B325="","",INDEX(RECON_RESULTS!$M$2:$M$1001,SMALL(IF(RECON_RESULTS!$A$2:$A$1001="Unmatched GL",ROW(RECON_RESULTS!$A$2:$A$1001)-1),119)))</f>
        <v/>
      </c>
      <c r="H325" s="11">
        <f>IF(B325="","",INDEX(RECON_RESULTS!$N$2:$N$1001,SMALL(IF(RECON_RESULTS!$A$2:$A$1001="Unmatched GL",ROW(RECON_RESULTS!$A$2:$A$1001)-1),119)))</f>
        <v/>
      </c>
      <c r="I325" s="11" t="inlineStr"/>
      <c r="J325" s="11" t="inlineStr"/>
      <c r="K325" s="11" t="inlineStr"/>
      <c r="L325" s="11" t="inlineStr"/>
    </row>
    <row r="326">
      <c r="B326" s="11">
        <f>IFERROR(INDEX(RECON_RESULTS!$A$2:$A$1001,SMALL(IF(RECON_RESULTS!$A$2:$A$1001="Unmatched GL",ROW(RECON_RESULTS!$A$2:$A$1001)-1),120)),"")</f>
        <v/>
      </c>
      <c r="C326" s="10">
        <f>IF(B326="","",INDEX(RECON_RESULTS!$C$2:$C$1001,SMALL(IF(RECON_RESULTS!$A$2:$A$1001="Unmatched GL",ROW(RECON_RESULTS!$A$2:$A$1001)-1),120)))</f>
        <v/>
      </c>
      <c r="D326" s="11">
        <f>IF(B326="","",INDEX(RECON_RESULTS!$B$2:$B$1001,SMALL(IF(RECON_RESULTS!$A$2:$A$1001="Unmatched GL",ROW(RECON_RESULTS!$A$2:$A$1001)-1),120)))</f>
        <v/>
      </c>
      <c r="E326" s="16">
        <f>IF(B326="","",INDEX(RECON_RESULTS!$D$2:$D$1001,SMALL(IF(RECON_RESULTS!$A$2:$A$1001="Unmatched GL",ROW(RECON_RESULTS!$A$2:$A$1001)-1),120)))</f>
        <v/>
      </c>
      <c r="F326" s="11">
        <f>IF(B326="","",INDEX(RECON_RESULTS!$E$2:$E$1001,SMALL(IF(RECON_RESULTS!$A$2:$A$1001="Unmatched GL",ROW(RECON_RESULTS!$A$2:$A$1001)-1),120)))</f>
        <v/>
      </c>
      <c r="G326" s="11">
        <f>IF(B326="","",INDEX(RECON_RESULTS!$M$2:$M$1001,SMALL(IF(RECON_RESULTS!$A$2:$A$1001="Unmatched GL",ROW(RECON_RESULTS!$A$2:$A$1001)-1),120)))</f>
        <v/>
      </c>
      <c r="H326" s="11">
        <f>IF(B326="","",INDEX(RECON_RESULTS!$N$2:$N$1001,SMALL(IF(RECON_RESULTS!$A$2:$A$1001="Unmatched GL",ROW(RECON_RESULTS!$A$2:$A$1001)-1),120)))</f>
        <v/>
      </c>
      <c r="I326" s="11" t="inlineStr"/>
      <c r="J326" s="11" t="inlineStr"/>
      <c r="K326" s="11" t="inlineStr"/>
      <c r="L326" s="11" t="inlineStr"/>
    </row>
    <row r="327">
      <c r="B327" s="11">
        <f>IFERROR(INDEX(RECON_RESULTS!$A$2:$A$1001,SMALL(IF(RECON_RESULTS!$A$2:$A$1001="Unmatched GL",ROW(RECON_RESULTS!$A$2:$A$1001)-1),121)),"")</f>
        <v/>
      </c>
      <c r="C327" s="10">
        <f>IF(B327="","",INDEX(RECON_RESULTS!$C$2:$C$1001,SMALL(IF(RECON_RESULTS!$A$2:$A$1001="Unmatched GL",ROW(RECON_RESULTS!$A$2:$A$1001)-1),121)))</f>
        <v/>
      </c>
      <c r="D327" s="11">
        <f>IF(B327="","",INDEX(RECON_RESULTS!$B$2:$B$1001,SMALL(IF(RECON_RESULTS!$A$2:$A$1001="Unmatched GL",ROW(RECON_RESULTS!$A$2:$A$1001)-1),121)))</f>
        <v/>
      </c>
      <c r="E327" s="16">
        <f>IF(B327="","",INDEX(RECON_RESULTS!$D$2:$D$1001,SMALL(IF(RECON_RESULTS!$A$2:$A$1001="Unmatched GL",ROW(RECON_RESULTS!$A$2:$A$1001)-1),121)))</f>
        <v/>
      </c>
      <c r="F327" s="11">
        <f>IF(B327="","",INDEX(RECON_RESULTS!$E$2:$E$1001,SMALL(IF(RECON_RESULTS!$A$2:$A$1001="Unmatched GL",ROW(RECON_RESULTS!$A$2:$A$1001)-1),121)))</f>
        <v/>
      </c>
      <c r="G327" s="11">
        <f>IF(B327="","",INDEX(RECON_RESULTS!$M$2:$M$1001,SMALL(IF(RECON_RESULTS!$A$2:$A$1001="Unmatched GL",ROW(RECON_RESULTS!$A$2:$A$1001)-1),121)))</f>
        <v/>
      </c>
      <c r="H327" s="11">
        <f>IF(B327="","",INDEX(RECON_RESULTS!$N$2:$N$1001,SMALL(IF(RECON_RESULTS!$A$2:$A$1001="Unmatched GL",ROW(RECON_RESULTS!$A$2:$A$1001)-1),121)))</f>
        <v/>
      </c>
      <c r="I327" s="11" t="inlineStr"/>
      <c r="J327" s="11" t="inlineStr"/>
      <c r="K327" s="11" t="inlineStr"/>
      <c r="L327" s="11" t="inlineStr"/>
    </row>
    <row r="328">
      <c r="B328" s="11">
        <f>IFERROR(INDEX(RECON_RESULTS!$A$2:$A$1001,SMALL(IF(RECON_RESULTS!$A$2:$A$1001="Unmatched GL",ROW(RECON_RESULTS!$A$2:$A$1001)-1),122)),"")</f>
        <v/>
      </c>
      <c r="C328" s="10">
        <f>IF(B328="","",INDEX(RECON_RESULTS!$C$2:$C$1001,SMALL(IF(RECON_RESULTS!$A$2:$A$1001="Unmatched GL",ROW(RECON_RESULTS!$A$2:$A$1001)-1),122)))</f>
        <v/>
      </c>
      <c r="D328" s="11">
        <f>IF(B328="","",INDEX(RECON_RESULTS!$B$2:$B$1001,SMALL(IF(RECON_RESULTS!$A$2:$A$1001="Unmatched GL",ROW(RECON_RESULTS!$A$2:$A$1001)-1),122)))</f>
        <v/>
      </c>
      <c r="E328" s="16">
        <f>IF(B328="","",INDEX(RECON_RESULTS!$D$2:$D$1001,SMALL(IF(RECON_RESULTS!$A$2:$A$1001="Unmatched GL",ROW(RECON_RESULTS!$A$2:$A$1001)-1),122)))</f>
        <v/>
      </c>
      <c r="F328" s="11">
        <f>IF(B328="","",INDEX(RECON_RESULTS!$E$2:$E$1001,SMALL(IF(RECON_RESULTS!$A$2:$A$1001="Unmatched GL",ROW(RECON_RESULTS!$A$2:$A$1001)-1),122)))</f>
        <v/>
      </c>
      <c r="G328" s="11">
        <f>IF(B328="","",INDEX(RECON_RESULTS!$M$2:$M$1001,SMALL(IF(RECON_RESULTS!$A$2:$A$1001="Unmatched GL",ROW(RECON_RESULTS!$A$2:$A$1001)-1),122)))</f>
        <v/>
      </c>
      <c r="H328" s="11">
        <f>IF(B328="","",INDEX(RECON_RESULTS!$N$2:$N$1001,SMALL(IF(RECON_RESULTS!$A$2:$A$1001="Unmatched GL",ROW(RECON_RESULTS!$A$2:$A$1001)-1),122)))</f>
        <v/>
      </c>
      <c r="I328" s="11" t="inlineStr"/>
      <c r="J328" s="11" t="inlineStr"/>
      <c r="K328" s="11" t="inlineStr"/>
      <c r="L328" s="11" t="inlineStr"/>
    </row>
    <row r="329">
      <c r="B329" s="11">
        <f>IFERROR(INDEX(RECON_RESULTS!$A$2:$A$1001,SMALL(IF(RECON_RESULTS!$A$2:$A$1001="Unmatched GL",ROW(RECON_RESULTS!$A$2:$A$1001)-1),123)),"")</f>
        <v/>
      </c>
      <c r="C329" s="10">
        <f>IF(B329="","",INDEX(RECON_RESULTS!$C$2:$C$1001,SMALL(IF(RECON_RESULTS!$A$2:$A$1001="Unmatched GL",ROW(RECON_RESULTS!$A$2:$A$1001)-1),123)))</f>
        <v/>
      </c>
      <c r="D329" s="11">
        <f>IF(B329="","",INDEX(RECON_RESULTS!$B$2:$B$1001,SMALL(IF(RECON_RESULTS!$A$2:$A$1001="Unmatched GL",ROW(RECON_RESULTS!$A$2:$A$1001)-1),123)))</f>
        <v/>
      </c>
      <c r="E329" s="16">
        <f>IF(B329="","",INDEX(RECON_RESULTS!$D$2:$D$1001,SMALL(IF(RECON_RESULTS!$A$2:$A$1001="Unmatched GL",ROW(RECON_RESULTS!$A$2:$A$1001)-1),123)))</f>
        <v/>
      </c>
      <c r="F329" s="11">
        <f>IF(B329="","",INDEX(RECON_RESULTS!$E$2:$E$1001,SMALL(IF(RECON_RESULTS!$A$2:$A$1001="Unmatched GL",ROW(RECON_RESULTS!$A$2:$A$1001)-1),123)))</f>
        <v/>
      </c>
      <c r="G329" s="11">
        <f>IF(B329="","",INDEX(RECON_RESULTS!$M$2:$M$1001,SMALL(IF(RECON_RESULTS!$A$2:$A$1001="Unmatched GL",ROW(RECON_RESULTS!$A$2:$A$1001)-1),123)))</f>
        <v/>
      </c>
      <c r="H329" s="11">
        <f>IF(B329="","",INDEX(RECON_RESULTS!$N$2:$N$1001,SMALL(IF(RECON_RESULTS!$A$2:$A$1001="Unmatched GL",ROW(RECON_RESULTS!$A$2:$A$1001)-1),123)))</f>
        <v/>
      </c>
      <c r="I329" s="11" t="inlineStr"/>
      <c r="J329" s="11" t="inlineStr"/>
      <c r="K329" s="11" t="inlineStr"/>
      <c r="L329" s="11" t="inlineStr"/>
    </row>
    <row r="330">
      <c r="B330" s="11">
        <f>IFERROR(INDEX(RECON_RESULTS!$A$2:$A$1001,SMALL(IF(RECON_RESULTS!$A$2:$A$1001="Unmatched GL",ROW(RECON_RESULTS!$A$2:$A$1001)-1),124)),"")</f>
        <v/>
      </c>
      <c r="C330" s="10">
        <f>IF(B330="","",INDEX(RECON_RESULTS!$C$2:$C$1001,SMALL(IF(RECON_RESULTS!$A$2:$A$1001="Unmatched GL",ROW(RECON_RESULTS!$A$2:$A$1001)-1),124)))</f>
        <v/>
      </c>
      <c r="D330" s="11">
        <f>IF(B330="","",INDEX(RECON_RESULTS!$B$2:$B$1001,SMALL(IF(RECON_RESULTS!$A$2:$A$1001="Unmatched GL",ROW(RECON_RESULTS!$A$2:$A$1001)-1),124)))</f>
        <v/>
      </c>
      <c r="E330" s="16">
        <f>IF(B330="","",INDEX(RECON_RESULTS!$D$2:$D$1001,SMALL(IF(RECON_RESULTS!$A$2:$A$1001="Unmatched GL",ROW(RECON_RESULTS!$A$2:$A$1001)-1),124)))</f>
        <v/>
      </c>
      <c r="F330" s="11">
        <f>IF(B330="","",INDEX(RECON_RESULTS!$E$2:$E$1001,SMALL(IF(RECON_RESULTS!$A$2:$A$1001="Unmatched GL",ROW(RECON_RESULTS!$A$2:$A$1001)-1),124)))</f>
        <v/>
      </c>
      <c r="G330" s="11">
        <f>IF(B330="","",INDEX(RECON_RESULTS!$M$2:$M$1001,SMALL(IF(RECON_RESULTS!$A$2:$A$1001="Unmatched GL",ROW(RECON_RESULTS!$A$2:$A$1001)-1),124)))</f>
        <v/>
      </c>
      <c r="H330" s="11">
        <f>IF(B330="","",INDEX(RECON_RESULTS!$N$2:$N$1001,SMALL(IF(RECON_RESULTS!$A$2:$A$1001="Unmatched GL",ROW(RECON_RESULTS!$A$2:$A$1001)-1),124)))</f>
        <v/>
      </c>
      <c r="I330" s="11" t="inlineStr"/>
      <c r="J330" s="11" t="inlineStr"/>
      <c r="K330" s="11" t="inlineStr"/>
      <c r="L330" s="11" t="inlineStr"/>
    </row>
    <row r="331">
      <c r="B331" s="11">
        <f>IFERROR(INDEX(RECON_RESULTS!$A$2:$A$1001,SMALL(IF(RECON_RESULTS!$A$2:$A$1001="Unmatched GL",ROW(RECON_RESULTS!$A$2:$A$1001)-1),125)),"")</f>
        <v/>
      </c>
      <c r="C331" s="10">
        <f>IF(B331="","",INDEX(RECON_RESULTS!$C$2:$C$1001,SMALL(IF(RECON_RESULTS!$A$2:$A$1001="Unmatched GL",ROW(RECON_RESULTS!$A$2:$A$1001)-1),125)))</f>
        <v/>
      </c>
      <c r="D331" s="11">
        <f>IF(B331="","",INDEX(RECON_RESULTS!$B$2:$B$1001,SMALL(IF(RECON_RESULTS!$A$2:$A$1001="Unmatched GL",ROW(RECON_RESULTS!$A$2:$A$1001)-1),125)))</f>
        <v/>
      </c>
      <c r="E331" s="16">
        <f>IF(B331="","",INDEX(RECON_RESULTS!$D$2:$D$1001,SMALL(IF(RECON_RESULTS!$A$2:$A$1001="Unmatched GL",ROW(RECON_RESULTS!$A$2:$A$1001)-1),125)))</f>
        <v/>
      </c>
      <c r="F331" s="11">
        <f>IF(B331="","",INDEX(RECON_RESULTS!$E$2:$E$1001,SMALL(IF(RECON_RESULTS!$A$2:$A$1001="Unmatched GL",ROW(RECON_RESULTS!$A$2:$A$1001)-1),125)))</f>
        <v/>
      </c>
      <c r="G331" s="11">
        <f>IF(B331="","",INDEX(RECON_RESULTS!$M$2:$M$1001,SMALL(IF(RECON_RESULTS!$A$2:$A$1001="Unmatched GL",ROW(RECON_RESULTS!$A$2:$A$1001)-1),125)))</f>
        <v/>
      </c>
      <c r="H331" s="11">
        <f>IF(B331="","",INDEX(RECON_RESULTS!$N$2:$N$1001,SMALL(IF(RECON_RESULTS!$A$2:$A$1001="Unmatched GL",ROW(RECON_RESULTS!$A$2:$A$1001)-1),125)))</f>
        <v/>
      </c>
      <c r="I331" s="11" t="inlineStr"/>
      <c r="J331" s="11" t="inlineStr"/>
      <c r="K331" s="11" t="inlineStr"/>
      <c r="L331" s="11" t="inlineStr"/>
    </row>
    <row r="332">
      <c r="B332" s="11">
        <f>IFERROR(INDEX(RECON_RESULTS!$A$2:$A$1001,SMALL(IF(RECON_RESULTS!$A$2:$A$1001="Unmatched GL",ROW(RECON_RESULTS!$A$2:$A$1001)-1),126)),"")</f>
        <v/>
      </c>
      <c r="C332" s="10">
        <f>IF(B332="","",INDEX(RECON_RESULTS!$C$2:$C$1001,SMALL(IF(RECON_RESULTS!$A$2:$A$1001="Unmatched GL",ROW(RECON_RESULTS!$A$2:$A$1001)-1),126)))</f>
        <v/>
      </c>
      <c r="D332" s="11">
        <f>IF(B332="","",INDEX(RECON_RESULTS!$B$2:$B$1001,SMALL(IF(RECON_RESULTS!$A$2:$A$1001="Unmatched GL",ROW(RECON_RESULTS!$A$2:$A$1001)-1),126)))</f>
        <v/>
      </c>
      <c r="E332" s="16">
        <f>IF(B332="","",INDEX(RECON_RESULTS!$D$2:$D$1001,SMALL(IF(RECON_RESULTS!$A$2:$A$1001="Unmatched GL",ROW(RECON_RESULTS!$A$2:$A$1001)-1),126)))</f>
        <v/>
      </c>
      <c r="F332" s="11">
        <f>IF(B332="","",INDEX(RECON_RESULTS!$E$2:$E$1001,SMALL(IF(RECON_RESULTS!$A$2:$A$1001="Unmatched GL",ROW(RECON_RESULTS!$A$2:$A$1001)-1),126)))</f>
        <v/>
      </c>
      <c r="G332" s="11">
        <f>IF(B332="","",INDEX(RECON_RESULTS!$M$2:$M$1001,SMALL(IF(RECON_RESULTS!$A$2:$A$1001="Unmatched GL",ROW(RECON_RESULTS!$A$2:$A$1001)-1),126)))</f>
        <v/>
      </c>
      <c r="H332" s="11">
        <f>IF(B332="","",INDEX(RECON_RESULTS!$N$2:$N$1001,SMALL(IF(RECON_RESULTS!$A$2:$A$1001="Unmatched GL",ROW(RECON_RESULTS!$A$2:$A$1001)-1),126)))</f>
        <v/>
      </c>
      <c r="I332" s="11" t="inlineStr"/>
      <c r="J332" s="11" t="inlineStr"/>
      <c r="K332" s="11" t="inlineStr"/>
      <c r="L332" s="11" t="inlineStr"/>
    </row>
    <row r="333">
      <c r="B333" s="11">
        <f>IFERROR(INDEX(RECON_RESULTS!$A$2:$A$1001,SMALL(IF(RECON_RESULTS!$A$2:$A$1001="Unmatched GL",ROW(RECON_RESULTS!$A$2:$A$1001)-1),127)),"")</f>
        <v/>
      </c>
      <c r="C333" s="10">
        <f>IF(B333="","",INDEX(RECON_RESULTS!$C$2:$C$1001,SMALL(IF(RECON_RESULTS!$A$2:$A$1001="Unmatched GL",ROW(RECON_RESULTS!$A$2:$A$1001)-1),127)))</f>
        <v/>
      </c>
      <c r="D333" s="11">
        <f>IF(B333="","",INDEX(RECON_RESULTS!$B$2:$B$1001,SMALL(IF(RECON_RESULTS!$A$2:$A$1001="Unmatched GL",ROW(RECON_RESULTS!$A$2:$A$1001)-1),127)))</f>
        <v/>
      </c>
      <c r="E333" s="16">
        <f>IF(B333="","",INDEX(RECON_RESULTS!$D$2:$D$1001,SMALL(IF(RECON_RESULTS!$A$2:$A$1001="Unmatched GL",ROW(RECON_RESULTS!$A$2:$A$1001)-1),127)))</f>
        <v/>
      </c>
      <c r="F333" s="11">
        <f>IF(B333="","",INDEX(RECON_RESULTS!$E$2:$E$1001,SMALL(IF(RECON_RESULTS!$A$2:$A$1001="Unmatched GL",ROW(RECON_RESULTS!$A$2:$A$1001)-1),127)))</f>
        <v/>
      </c>
      <c r="G333" s="11">
        <f>IF(B333="","",INDEX(RECON_RESULTS!$M$2:$M$1001,SMALL(IF(RECON_RESULTS!$A$2:$A$1001="Unmatched GL",ROW(RECON_RESULTS!$A$2:$A$1001)-1),127)))</f>
        <v/>
      </c>
      <c r="H333" s="11">
        <f>IF(B333="","",INDEX(RECON_RESULTS!$N$2:$N$1001,SMALL(IF(RECON_RESULTS!$A$2:$A$1001="Unmatched GL",ROW(RECON_RESULTS!$A$2:$A$1001)-1),127)))</f>
        <v/>
      </c>
      <c r="I333" s="11" t="inlineStr"/>
      <c r="J333" s="11" t="inlineStr"/>
      <c r="K333" s="11" t="inlineStr"/>
      <c r="L333" s="11" t="inlineStr"/>
    </row>
    <row r="334">
      <c r="B334" s="11">
        <f>IFERROR(INDEX(RECON_RESULTS!$A$2:$A$1001,SMALL(IF(RECON_RESULTS!$A$2:$A$1001="Unmatched GL",ROW(RECON_RESULTS!$A$2:$A$1001)-1),128)),"")</f>
        <v/>
      </c>
      <c r="C334" s="10">
        <f>IF(B334="","",INDEX(RECON_RESULTS!$C$2:$C$1001,SMALL(IF(RECON_RESULTS!$A$2:$A$1001="Unmatched GL",ROW(RECON_RESULTS!$A$2:$A$1001)-1),128)))</f>
        <v/>
      </c>
      <c r="D334" s="11">
        <f>IF(B334="","",INDEX(RECON_RESULTS!$B$2:$B$1001,SMALL(IF(RECON_RESULTS!$A$2:$A$1001="Unmatched GL",ROW(RECON_RESULTS!$A$2:$A$1001)-1),128)))</f>
        <v/>
      </c>
      <c r="E334" s="16">
        <f>IF(B334="","",INDEX(RECON_RESULTS!$D$2:$D$1001,SMALL(IF(RECON_RESULTS!$A$2:$A$1001="Unmatched GL",ROW(RECON_RESULTS!$A$2:$A$1001)-1),128)))</f>
        <v/>
      </c>
      <c r="F334" s="11">
        <f>IF(B334="","",INDEX(RECON_RESULTS!$E$2:$E$1001,SMALL(IF(RECON_RESULTS!$A$2:$A$1001="Unmatched GL",ROW(RECON_RESULTS!$A$2:$A$1001)-1),128)))</f>
        <v/>
      </c>
      <c r="G334" s="11">
        <f>IF(B334="","",INDEX(RECON_RESULTS!$M$2:$M$1001,SMALL(IF(RECON_RESULTS!$A$2:$A$1001="Unmatched GL",ROW(RECON_RESULTS!$A$2:$A$1001)-1),128)))</f>
        <v/>
      </c>
      <c r="H334" s="11">
        <f>IF(B334="","",INDEX(RECON_RESULTS!$N$2:$N$1001,SMALL(IF(RECON_RESULTS!$A$2:$A$1001="Unmatched GL",ROW(RECON_RESULTS!$A$2:$A$1001)-1),128)))</f>
        <v/>
      </c>
      <c r="I334" s="11" t="inlineStr"/>
      <c r="J334" s="11" t="inlineStr"/>
      <c r="K334" s="11" t="inlineStr"/>
      <c r="L334" s="11" t="inlineStr"/>
    </row>
    <row r="335">
      <c r="B335" s="11">
        <f>IFERROR(INDEX(RECON_RESULTS!$A$2:$A$1001,SMALL(IF(RECON_RESULTS!$A$2:$A$1001="Unmatched GL",ROW(RECON_RESULTS!$A$2:$A$1001)-1),129)),"")</f>
        <v/>
      </c>
      <c r="C335" s="10">
        <f>IF(B335="","",INDEX(RECON_RESULTS!$C$2:$C$1001,SMALL(IF(RECON_RESULTS!$A$2:$A$1001="Unmatched GL",ROW(RECON_RESULTS!$A$2:$A$1001)-1),129)))</f>
        <v/>
      </c>
      <c r="D335" s="11">
        <f>IF(B335="","",INDEX(RECON_RESULTS!$B$2:$B$1001,SMALL(IF(RECON_RESULTS!$A$2:$A$1001="Unmatched GL",ROW(RECON_RESULTS!$A$2:$A$1001)-1),129)))</f>
        <v/>
      </c>
      <c r="E335" s="16">
        <f>IF(B335="","",INDEX(RECON_RESULTS!$D$2:$D$1001,SMALL(IF(RECON_RESULTS!$A$2:$A$1001="Unmatched GL",ROW(RECON_RESULTS!$A$2:$A$1001)-1),129)))</f>
        <v/>
      </c>
      <c r="F335" s="11">
        <f>IF(B335="","",INDEX(RECON_RESULTS!$E$2:$E$1001,SMALL(IF(RECON_RESULTS!$A$2:$A$1001="Unmatched GL",ROW(RECON_RESULTS!$A$2:$A$1001)-1),129)))</f>
        <v/>
      </c>
      <c r="G335" s="11">
        <f>IF(B335="","",INDEX(RECON_RESULTS!$M$2:$M$1001,SMALL(IF(RECON_RESULTS!$A$2:$A$1001="Unmatched GL",ROW(RECON_RESULTS!$A$2:$A$1001)-1),129)))</f>
        <v/>
      </c>
      <c r="H335" s="11">
        <f>IF(B335="","",INDEX(RECON_RESULTS!$N$2:$N$1001,SMALL(IF(RECON_RESULTS!$A$2:$A$1001="Unmatched GL",ROW(RECON_RESULTS!$A$2:$A$1001)-1),129)))</f>
        <v/>
      </c>
      <c r="I335" s="11" t="inlineStr"/>
      <c r="J335" s="11" t="inlineStr"/>
      <c r="K335" s="11" t="inlineStr"/>
      <c r="L335" s="11" t="inlineStr"/>
    </row>
    <row r="336">
      <c r="B336" s="11">
        <f>IFERROR(INDEX(RECON_RESULTS!$A$2:$A$1001,SMALL(IF(RECON_RESULTS!$A$2:$A$1001="Unmatched GL",ROW(RECON_RESULTS!$A$2:$A$1001)-1),130)),"")</f>
        <v/>
      </c>
      <c r="C336" s="10">
        <f>IF(B336="","",INDEX(RECON_RESULTS!$C$2:$C$1001,SMALL(IF(RECON_RESULTS!$A$2:$A$1001="Unmatched GL",ROW(RECON_RESULTS!$A$2:$A$1001)-1),130)))</f>
        <v/>
      </c>
      <c r="D336" s="11">
        <f>IF(B336="","",INDEX(RECON_RESULTS!$B$2:$B$1001,SMALL(IF(RECON_RESULTS!$A$2:$A$1001="Unmatched GL",ROW(RECON_RESULTS!$A$2:$A$1001)-1),130)))</f>
        <v/>
      </c>
      <c r="E336" s="16">
        <f>IF(B336="","",INDEX(RECON_RESULTS!$D$2:$D$1001,SMALL(IF(RECON_RESULTS!$A$2:$A$1001="Unmatched GL",ROW(RECON_RESULTS!$A$2:$A$1001)-1),130)))</f>
        <v/>
      </c>
      <c r="F336" s="11">
        <f>IF(B336="","",INDEX(RECON_RESULTS!$E$2:$E$1001,SMALL(IF(RECON_RESULTS!$A$2:$A$1001="Unmatched GL",ROW(RECON_RESULTS!$A$2:$A$1001)-1),130)))</f>
        <v/>
      </c>
      <c r="G336" s="11">
        <f>IF(B336="","",INDEX(RECON_RESULTS!$M$2:$M$1001,SMALL(IF(RECON_RESULTS!$A$2:$A$1001="Unmatched GL",ROW(RECON_RESULTS!$A$2:$A$1001)-1),130)))</f>
        <v/>
      </c>
      <c r="H336" s="11">
        <f>IF(B336="","",INDEX(RECON_RESULTS!$N$2:$N$1001,SMALL(IF(RECON_RESULTS!$A$2:$A$1001="Unmatched GL",ROW(RECON_RESULTS!$A$2:$A$1001)-1),130)))</f>
        <v/>
      </c>
      <c r="I336" s="11" t="inlineStr"/>
      <c r="J336" s="11" t="inlineStr"/>
      <c r="K336" s="11" t="inlineStr"/>
      <c r="L336" s="11" t="inlineStr"/>
    </row>
    <row r="337">
      <c r="B337" s="11">
        <f>IFERROR(INDEX(RECON_RESULTS!$A$2:$A$1001,SMALL(IF(RECON_RESULTS!$A$2:$A$1001="Unmatched GL",ROW(RECON_RESULTS!$A$2:$A$1001)-1),131)),"")</f>
        <v/>
      </c>
      <c r="C337" s="10">
        <f>IF(B337="","",INDEX(RECON_RESULTS!$C$2:$C$1001,SMALL(IF(RECON_RESULTS!$A$2:$A$1001="Unmatched GL",ROW(RECON_RESULTS!$A$2:$A$1001)-1),131)))</f>
        <v/>
      </c>
      <c r="D337" s="11">
        <f>IF(B337="","",INDEX(RECON_RESULTS!$B$2:$B$1001,SMALL(IF(RECON_RESULTS!$A$2:$A$1001="Unmatched GL",ROW(RECON_RESULTS!$A$2:$A$1001)-1),131)))</f>
        <v/>
      </c>
      <c r="E337" s="16">
        <f>IF(B337="","",INDEX(RECON_RESULTS!$D$2:$D$1001,SMALL(IF(RECON_RESULTS!$A$2:$A$1001="Unmatched GL",ROW(RECON_RESULTS!$A$2:$A$1001)-1),131)))</f>
        <v/>
      </c>
      <c r="F337" s="11">
        <f>IF(B337="","",INDEX(RECON_RESULTS!$E$2:$E$1001,SMALL(IF(RECON_RESULTS!$A$2:$A$1001="Unmatched GL",ROW(RECON_RESULTS!$A$2:$A$1001)-1),131)))</f>
        <v/>
      </c>
      <c r="G337" s="11">
        <f>IF(B337="","",INDEX(RECON_RESULTS!$M$2:$M$1001,SMALL(IF(RECON_RESULTS!$A$2:$A$1001="Unmatched GL",ROW(RECON_RESULTS!$A$2:$A$1001)-1),131)))</f>
        <v/>
      </c>
      <c r="H337" s="11">
        <f>IF(B337="","",INDEX(RECON_RESULTS!$N$2:$N$1001,SMALL(IF(RECON_RESULTS!$A$2:$A$1001="Unmatched GL",ROW(RECON_RESULTS!$A$2:$A$1001)-1),131)))</f>
        <v/>
      </c>
      <c r="I337" s="11" t="inlineStr"/>
      <c r="J337" s="11" t="inlineStr"/>
      <c r="K337" s="11" t="inlineStr"/>
      <c r="L337" s="11" t="inlineStr"/>
    </row>
    <row r="338">
      <c r="B338" s="11">
        <f>IFERROR(INDEX(RECON_RESULTS!$A$2:$A$1001,SMALL(IF(RECON_RESULTS!$A$2:$A$1001="Unmatched GL",ROW(RECON_RESULTS!$A$2:$A$1001)-1),132)),"")</f>
        <v/>
      </c>
      <c r="C338" s="10">
        <f>IF(B338="","",INDEX(RECON_RESULTS!$C$2:$C$1001,SMALL(IF(RECON_RESULTS!$A$2:$A$1001="Unmatched GL",ROW(RECON_RESULTS!$A$2:$A$1001)-1),132)))</f>
        <v/>
      </c>
      <c r="D338" s="11">
        <f>IF(B338="","",INDEX(RECON_RESULTS!$B$2:$B$1001,SMALL(IF(RECON_RESULTS!$A$2:$A$1001="Unmatched GL",ROW(RECON_RESULTS!$A$2:$A$1001)-1),132)))</f>
        <v/>
      </c>
      <c r="E338" s="16">
        <f>IF(B338="","",INDEX(RECON_RESULTS!$D$2:$D$1001,SMALL(IF(RECON_RESULTS!$A$2:$A$1001="Unmatched GL",ROW(RECON_RESULTS!$A$2:$A$1001)-1),132)))</f>
        <v/>
      </c>
      <c r="F338" s="11">
        <f>IF(B338="","",INDEX(RECON_RESULTS!$E$2:$E$1001,SMALL(IF(RECON_RESULTS!$A$2:$A$1001="Unmatched GL",ROW(RECON_RESULTS!$A$2:$A$1001)-1),132)))</f>
        <v/>
      </c>
      <c r="G338" s="11">
        <f>IF(B338="","",INDEX(RECON_RESULTS!$M$2:$M$1001,SMALL(IF(RECON_RESULTS!$A$2:$A$1001="Unmatched GL",ROW(RECON_RESULTS!$A$2:$A$1001)-1),132)))</f>
        <v/>
      </c>
      <c r="H338" s="11">
        <f>IF(B338="","",INDEX(RECON_RESULTS!$N$2:$N$1001,SMALL(IF(RECON_RESULTS!$A$2:$A$1001="Unmatched GL",ROW(RECON_RESULTS!$A$2:$A$1001)-1),132)))</f>
        <v/>
      </c>
      <c r="I338" s="11" t="inlineStr"/>
      <c r="J338" s="11" t="inlineStr"/>
      <c r="K338" s="11" t="inlineStr"/>
      <c r="L338" s="11" t="inlineStr"/>
    </row>
    <row r="339">
      <c r="B339" s="11">
        <f>IFERROR(INDEX(RECON_RESULTS!$A$2:$A$1001,SMALL(IF(RECON_RESULTS!$A$2:$A$1001="Unmatched GL",ROW(RECON_RESULTS!$A$2:$A$1001)-1),133)),"")</f>
        <v/>
      </c>
      <c r="C339" s="10">
        <f>IF(B339="","",INDEX(RECON_RESULTS!$C$2:$C$1001,SMALL(IF(RECON_RESULTS!$A$2:$A$1001="Unmatched GL",ROW(RECON_RESULTS!$A$2:$A$1001)-1),133)))</f>
        <v/>
      </c>
      <c r="D339" s="11">
        <f>IF(B339="","",INDEX(RECON_RESULTS!$B$2:$B$1001,SMALL(IF(RECON_RESULTS!$A$2:$A$1001="Unmatched GL",ROW(RECON_RESULTS!$A$2:$A$1001)-1),133)))</f>
        <v/>
      </c>
      <c r="E339" s="16">
        <f>IF(B339="","",INDEX(RECON_RESULTS!$D$2:$D$1001,SMALL(IF(RECON_RESULTS!$A$2:$A$1001="Unmatched GL",ROW(RECON_RESULTS!$A$2:$A$1001)-1),133)))</f>
        <v/>
      </c>
      <c r="F339" s="11">
        <f>IF(B339="","",INDEX(RECON_RESULTS!$E$2:$E$1001,SMALL(IF(RECON_RESULTS!$A$2:$A$1001="Unmatched GL",ROW(RECON_RESULTS!$A$2:$A$1001)-1),133)))</f>
        <v/>
      </c>
      <c r="G339" s="11">
        <f>IF(B339="","",INDEX(RECON_RESULTS!$M$2:$M$1001,SMALL(IF(RECON_RESULTS!$A$2:$A$1001="Unmatched GL",ROW(RECON_RESULTS!$A$2:$A$1001)-1),133)))</f>
        <v/>
      </c>
      <c r="H339" s="11">
        <f>IF(B339="","",INDEX(RECON_RESULTS!$N$2:$N$1001,SMALL(IF(RECON_RESULTS!$A$2:$A$1001="Unmatched GL",ROW(RECON_RESULTS!$A$2:$A$1001)-1),133)))</f>
        <v/>
      </c>
      <c r="I339" s="11" t="inlineStr"/>
      <c r="J339" s="11" t="inlineStr"/>
      <c r="K339" s="11" t="inlineStr"/>
      <c r="L339" s="11" t="inlineStr"/>
    </row>
    <row r="340">
      <c r="B340" s="11">
        <f>IFERROR(INDEX(RECON_RESULTS!$A$2:$A$1001,SMALL(IF(RECON_RESULTS!$A$2:$A$1001="Unmatched GL",ROW(RECON_RESULTS!$A$2:$A$1001)-1),134)),"")</f>
        <v/>
      </c>
      <c r="C340" s="10">
        <f>IF(B340="","",INDEX(RECON_RESULTS!$C$2:$C$1001,SMALL(IF(RECON_RESULTS!$A$2:$A$1001="Unmatched GL",ROW(RECON_RESULTS!$A$2:$A$1001)-1),134)))</f>
        <v/>
      </c>
      <c r="D340" s="11">
        <f>IF(B340="","",INDEX(RECON_RESULTS!$B$2:$B$1001,SMALL(IF(RECON_RESULTS!$A$2:$A$1001="Unmatched GL",ROW(RECON_RESULTS!$A$2:$A$1001)-1),134)))</f>
        <v/>
      </c>
      <c r="E340" s="16">
        <f>IF(B340="","",INDEX(RECON_RESULTS!$D$2:$D$1001,SMALL(IF(RECON_RESULTS!$A$2:$A$1001="Unmatched GL",ROW(RECON_RESULTS!$A$2:$A$1001)-1),134)))</f>
        <v/>
      </c>
      <c r="F340" s="11">
        <f>IF(B340="","",INDEX(RECON_RESULTS!$E$2:$E$1001,SMALL(IF(RECON_RESULTS!$A$2:$A$1001="Unmatched GL",ROW(RECON_RESULTS!$A$2:$A$1001)-1),134)))</f>
        <v/>
      </c>
      <c r="G340" s="11">
        <f>IF(B340="","",INDEX(RECON_RESULTS!$M$2:$M$1001,SMALL(IF(RECON_RESULTS!$A$2:$A$1001="Unmatched GL",ROW(RECON_RESULTS!$A$2:$A$1001)-1),134)))</f>
        <v/>
      </c>
      <c r="H340" s="11">
        <f>IF(B340="","",INDEX(RECON_RESULTS!$N$2:$N$1001,SMALL(IF(RECON_RESULTS!$A$2:$A$1001="Unmatched GL",ROW(RECON_RESULTS!$A$2:$A$1001)-1),134)))</f>
        <v/>
      </c>
      <c r="I340" s="11" t="inlineStr"/>
      <c r="J340" s="11" t="inlineStr"/>
      <c r="K340" s="11" t="inlineStr"/>
      <c r="L340" s="11" t="inlineStr"/>
    </row>
    <row r="341">
      <c r="B341" s="11">
        <f>IFERROR(INDEX(RECON_RESULTS!$A$2:$A$1001,SMALL(IF(RECON_RESULTS!$A$2:$A$1001="Unmatched GL",ROW(RECON_RESULTS!$A$2:$A$1001)-1),135)),"")</f>
        <v/>
      </c>
      <c r="C341" s="10">
        <f>IF(B341="","",INDEX(RECON_RESULTS!$C$2:$C$1001,SMALL(IF(RECON_RESULTS!$A$2:$A$1001="Unmatched GL",ROW(RECON_RESULTS!$A$2:$A$1001)-1),135)))</f>
        <v/>
      </c>
      <c r="D341" s="11">
        <f>IF(B341="","",INDEX(RECON_RESULTS!$B$2:$B$1001,SMALL(IF(RECON_RESULTS!$A$2:$A$1001="Unmatched GL",ROW(RECON_RESULTS!$A$2:$A$1001)-1),135)))</f>
        <v/>
      </c>
      <c r="E341" s="16">
        <f>IF(B341="","",INDEX(RECON_RESULTS!$D$2:$D$1001,SMALL(IF(RECON_RESULTS!$A$2:$A$1001="Unmatched GL",ROW(RECON_RESULTS!$A$2:$A$1001)-1),135)))</f>
        <v/>
      </c>
      <c r="F341" s="11">
        <f>IF(B341="","",INDEX(RECON_RESULTS!$E$2:$E$1001,SMALL(IF(RECON_RESULTS!$A$2:$A$1001="Unmatched GL",ROW(RECON_RESULTS!$A$2:$A$1001)-1),135)))</f>
        <v/>
      </c>
      <c r="G341" s="11">
        <f>IF(B341="","",INDEX(RECON_RESULTS!$M$2:$M$1001,SMALL(IF(RECON_RESULTS!$A$2:$A$1001="Unmatched GL",ROW(RECON_RESULTS!$A$2:$A$1001)-1),135)))</f>
        <v/>
      </c>
      <c r="H341" s="11">
        <f>IF(B341="","",INDEX(RECON_RESULTS!$N$2:$N$1001,SMALL(IF(RECON_RESULTS!$A$2:$A$1001="Unmatched GL",ROW(RECON_RESULTS!$A$2:$A$1001)-1),135)))</f>
        <v/>
      </c>
      <c r="I341" s="11" t="inlineStr"/>
      <c r="J341" s="11" t="inlineStr"/>
      <c r="K341" s="11" t="inlineStr"/>
      <c r="L341" s="11" t="inlineStr"/>
    </row>
    <row r="342">
      <c r="B342" s="11">
        <f>IFERROR(INDEX(RECON_RESULTS!$A$2:$A$1001,SMALL(IF(RECON_RESULTS!$A$2:$A$1001="Unmatched GL",ROW(RECON_RESULTS!$A$2:$A$1001)-1),136)),"")</f>
        <v/>
      </c>
      <c r="C342" s="10">
        <f>IF(B342="","",INDEX(RECON_RESULTS!$C$2:$C$1001,SMALL(IF(RECON_RESULTS!$A$2:$A$1001="Unmatched GL",ROW(RECON_RESULTS!$A$2:$A$1001)-1),136)))</f>
        <v/>
      </c>
      <c r="D342" s="11">
        <f>IF(B342="","",INDEX(RECON_RESULTS!$B$2:$B$1001,SMALL(IF(RECON_RESULTS!$A$2:$A$1001="Unmatched GL",ROW(RECON_RESULTS!$A$2:$A$1001)-1),136)))</f>
        <v/>
      </c>
      <c r="E342" s="16">
        <f>IF(B342="","",INDEX(RECON_RESULTS!$D$2:$D$1001,SMALL(IF(RECON_RESULTS!$A$2:$A$1001="Unmatched GL",ROW(RECON_RESULTS!$A$2:$A$1001)-1),136)))</f>
        <v/>
      </c>
      <c r="F342" s="11">
        <f>IF(B342="","",INDEX(RECON_RESULTS!$E$2:$E$1001,SMALL(IF(RECON_RESULTS!$A$2:$A$1001="Unmatched GL",ROW(RECON_RESULTS!$A$2:$A$1001)-1),136)))</f>
        <v/>
      </c>
      <c r="G342" s="11">
        <f>IF(B342="","",INDEX(RECON_RESULTS!$M$2:$M$1001,SMALL(IF(RECON_RESULTS!$A$2:$A$1001="Unmatched GL",ROW(RECON_RESULTS!$A$2:$A$1001)-1),136)))</f>
        <v/>
      </c>
      <c r="H342" s="11">
        <f>IF(B342="","",INDEX(RECON_RESULTS!$N$2:$N$1001,SMALL(IF(RECON_RESULTS!$A$2:$A$1001="Unmatched GL",ROW(RECON_RESULTS!$A$2:$A$1001)-1),136)))</f>
        <v/>
      </c>
      <c r="I342" s="11" t="inlineStr"/>
      <c r="J342" s="11" t="inlineStr"/>
      <c r="K342" s="11" t="inlineStr"/>
      <c r="L342" s="11" t="inlineStr"/>
    </row>
    <row r="343">
      <c r="B343" s="11">
        <f>IFERROR(INDEX(RECON_RESULTS!$A$2:$A$1001,SMALL(IF(RECON_RESULTS!$A$2:$A$1001="Unmatched GL",ROW(RECON_RESULTS!$A$2:$A$1001)-1),137)),"")</f>
        <v/>
      </c>
      <c r="C343" s="10">
        <f>IF(B343="","",INDEX(RECON_RESULTS!$C$2:$C$1001,SMALL(IF(RECON_RESULTS!$A$2:$A$1001="Unmatched GL",ROW(RECON_RESULTS!$A$2:$A$1001)-1),137)))</f>
        <v/>
      </c>
      <c r="D343" s="11">
        <f>IF(B343="","",INDEX(RECON_RESULTS!$B$2:$B$1001,SMALL(IF(RECON_RESULTS!$A$2:$A$1001="Unmatched GL",ROW(RECON_RESULTS!$A$2:$A$1001)-1),137)))</f>
        <v/>
      </c>
      <c r="E343" s="16">
        <f>IF(B343="","",INDEX(RECON_RESULTS!$D$2:$D$1001,SMALL(IF(RECON_RESULTS!$A$2:$A$1001="Unmatched GL",ROW(RECON_RESULTS!$A$2:$A$1001)-1),137)))</f>
        <v/>
      </c>
      <c r="F343" s="11">
        <f>IF(B343="","",INDEX(RECON_RESULTS!$E$2:$E$1001,SMALL(IF(RECON_RESULTS!$A$2:$A$1001="Unmatched GL",ROW(RECON_RESULTS!$A$2:$A$1001)-1),137)))</f>
        <v/>
      </c>
      <c r="G343" s="11">
        <f>IF(B343="","",INDEX(RECON_RESULTS!$M$2:$M$1001,SMALL(IF(RECON_RESULTS!$A$2:$A$1001="Unmatched GL",ROW(RECON_RESULTS!$A$2:$A$1001)-1),137)))</f>
        <v/>
      </c>
      <c r="H343" s="11">
        <f>IF(B343="","",INDEX(RECON_RESULTS!$N$2:$N$1001,SMALL(IF(RECON_RESULTS!$A$2:$A$1001="Unmatched GL",ROW(RECON_RESULTS!$A$2:$A$1001)-1),137)))</f>
        <v/>
      </c>
      <c r="I343" s="11" t="inlineStr"/>
      <c r="J343" s="11" t="inlineStr"/>
      <c r="K343" s="11" t="inlineStr"/>
      <c r="L343" s="11" t="inlineStr"/>
    </row>
    <row r="344">
      <c r="B344" s="11">
        <f>IFERROR(INDEX(RECON_RESULTS!$A$2:$A$1001,SMALL(IF(RECON_RESULTS!$A$2:$A$1001="Unmatched GL",ROW(RECON_RESULTS!$A$2:$A$1001)-1),138)),"")</f>
        <v/>
      </c>
      <c r="C344" s="10">
        <f>IF(B344="","",INDEX(RECON_RESULTS!$C$2:$C$1001,SMALL(IF(RECON_RESULTS!$A$2:$A$1001="Unmatched GL",ROW(RECON_RESULTS!$A$2:$A$1001)-1),138)))</f>
        <v/>
      </c>
      <c r="D344" s="11">
        <f>IF(B344="","",INDEX(RECON_RESULTS!$B$2:$B$1001,SMALL(IF(RECON_RESULTS!$A$2:$A$1001="Unmatched GL",ROW(RECON_RESULTS!$A$2:$A$1001)-1),138)))</f>
        <v/>
      </c>
      <c r="E344" s="16">
        <f>IF(B344="","",INDEX(RECON_RESULTS!$D$2:$D$1001,SMALL(IF(RECON_RESULTS!$A$2:$A$1001="Unmatched GL",ROW(RECON_RESULTS!$A$2:$A$1001)-1),138)))</f>
        <v/>
      </c>
      <c r="F344" s="11">
        <f>IF(B344="","",INDEX(RECON_RESULTS!$E$2:$E$1001,SMALL(IF(RECON_RESULTS!$A$2:$A$1001="Unmatched GL",ROW(RECON_RESULTS!$A$2:$A$1001)-1),138)))</f>
        <v/>
      </c>
      <c r="G344" s="11">
        <f>IF(B344="","",INDEX(RECON_RESULTS!$M$2:$M$1001,SMALL(IF(RECON_RESULTS!$A$2:$A$1001="Unmatched GL",ROW(RECON_RESULTS!$A$2:$A$1001)-1),138)))</f>
        <v/>
      </c>
      <c r="H344" s="11">
        <f>IF(B344="","",INDEX(RECON_RESULTS!$N$2:$N$1001,SMALL(IF(RECON_RESULTS!$A$2:$A$1001="Unmatched GL",ROW(RECON_RESULTS!$A$2:$A$1001)-1),138)))</f>
        <v/>
      </c>
      <c r="I344" s="11" t="inlineStr"/>
      <c r="J344" s="11" t="inlineStr"/>
      <c r="K344" s="11" t="inlineStr"/>
      <c r="L344" s="11" t="inlineStr"/>
    </row>
    <row r="345">
      <c r="B345" s="11">
        <f>IFERROR(INDEX(RECON_RESULTS!$A$2:$A$1001,SMALL(IF(RECON_RESULTS!$A$2:$A$1001="Unmatched GL",ROW(RECON_RESULTS!$A$2:$A$1001)-1),139)),"")</f>
        <v/>
      </c>
      <c r="C345" s="10">
        <f>IF(B345="","",INDEX(RECON_RESULTS!$C$2:$C$1001,SMALL(IF(RECON_RESULTS!$A$2:$A$1001="Unmatched GL",ROW(RECON_RESULTS!$A$2:$A$1001)-1),139)))</f>
        <v/>
      </c>
      <c r="D345" s="11">
        <f>IF(B345="","",INDEX(RECON_RESULTS!$B$2:$B$1001,SMALL(IF(RECON_RESULTS!$A$2:$A$1001="Unmatched GL",ROW(RECON_RESULTS!$A$2:$A$1001)-1),139)))</f>
        <v/>
      </c>
      <c r="E345" s="16">
        <f>IF(B345="","",INDEX(RECON_RESULTS!$D$2:$D$1001,SMALL(IF(RECON_RESULTS!$A$2:$A$1001="Unmatched GL",ROW(RECON_RESULTS!$A$2:$A$1001)-1),139)))</f>
        <v/>
      </c>
      <c r="F345" s="11">
        <f>IF(B345="","",INDEX(RECON_RESULTS!$E$2:$E$1001,SMALL(IF(RECON_RESULTS!$A$2:$A$1001="Unmatched GL",ROW(RECON_RESULTS!$A$2:$A$1001)-1),139)))</f>
        <v/>
      </c>
      <c r="G345" s="11">
        <f>IF(B345="","",INDEX(RECON_RESULTS!$M$2:$M$1001,SMALL(IF(RECON_RESULTS!$A$2:$A$1001="Unmatched GL",ROW(RECON_RESULTS!$A$2:$A$1001)-1),139)))</f>
        <v/>
      </c>
      <c r="H345" s="11">
        <f>IF(B345="","",INDEX(RECON_RESULTS!$N$2:$N$1001,SMALL(IF(RECON_RESULTS!$A$2:$A$1001="Unmatched GL",ROW(RECON_RESULTS!$A$2:$A$1001)-1),139)))</f>
        <v/>
      </c>
      <c r="I345" s="11" t="inlineStr"/>
      <c r="J345" s="11" t="inlineStr"/>
      <c r="K345" s="11" t="inlineStr"/>
      <c r="L345" s="11" t="inlineStr"/>
    </row>
    <row r="346">
      <c r="B346" s="11">
        <f>IFERROR(INDEX(RECON_RESULTS!$A$2:$A$1001,SMALL(IF(RECON_RESULTS!$A$2:$A$1001="Unmatched GL",ROW(RECON_RESULTS!$A$2:$A$1001)-1),140)),"")</f>
        <v/>
      </c>
      <c r="C346" s="10">
        <f>IF(B346="","",INDEX(RECON_RESULTS!$C$2:$C$1001,SMALL(IF(RECON_RESULTS!$A$2:$A$1001="Unmatched GL",ROW(RECON_RESULTS!$A$2:$A$1001)-1),140)))</f>
        <v/>
      </c>
      <c r="D346" s="11">
        <f>IF(B346="","",INDEX(RECON_RESULTS!$B$2:$B$1001,SMALL(IF(RECON_RESULTS!$A$2:$A$1001="Unmatched GL",ROW(RECON_RESULTS!$A$2:$A$1001)-1),140)))</f>
        <v/>
      </c>
      <c r="E346" s="16">
        <f>IF(B346="","",INDEX(RECON_RESULTS!$D$2:$D$1001,SMALL(IF(RECON_RESULTS!$A$2:$A$1001="Unmatched GL",ROW(RECON_RESULTS!$A$2:$A$1001)-1),140)))</f>
        <v/>
      </c>
      <c r="F346" s="11">
        <f>IF(B346="","",INDEX(RECON_RESULTS!$E$2:$E$1001,SMALL(IF(RECON_RESULTS!$A$2:$A$1001="Unmatched GL",ROW(RECON_RESULTS!$A$2:$A$1001)-1),140)))</f>
        <v/>
      </c>
      <c r="G346" s="11">
        <f>IF(B346="","",INDEX(RECON_RESULTS!$M$2:$M$1001,SMALL(IF(RECON_RESULTS!$A$2:$A$1001="Unmatched GL",ROW(RECON_RESULTS!$A$2:$A$1001)-1),140)))</f>
        <v/>
      </c>
      <c r="H346" s="11">
        <f>IF(B346="","",INDEX(RECON_RESULTS!$N$2:$N$1001,SMALL(IF(RECON_RESULTS!$A$2:$A$1001="Unmatched GL",ROW(RECON_RESULTS!$A$2:$A$1001)-1),140)))</f>
        <v/>
      </c>
      <c r="I346" s="11" t="inlineStr"/>
      <c r="J346" s="11" t="inlineStr"/>
      <c r="K346" s="11" t="inlineStr"/>
      <c r="L346" s="11" t="inlineStr"/>
    </row>
    <row r="347">
      <c r="B347" s="11">
        <f>IFERROR(INDEX(RECON_RESULTS!$A$2:$A$1001,SMALL(IF(RECON_RESULTS!$A$2:$A$1001="Unmatched GL",ROW(RECON_RESULTS!$A$2:$A$1001)-1),141)),"")</f>
        <v/>
      </c>
      <c r="C347" s="10">
        <f>IF(B347="","",INDEX(RECON_RESULTS!$C$2:$C$1001,SMALL(IF(RECON_RESULTS!$A$2:$A$1001="Unmatched GL",ROW(RECON_RESULTS!$A$2:$A$1001)-1),141)))</f>
        <v/>
      </c>
      <c r="D347" s="11">
        <f>IF(B347="","",INDEX(RECON_RESULTS!$B$2:$B$1001,SMALL(IF(RECON_RESULTS!$A$2:$A$1001="Unmatched GL",ROW(RECON_RESULTS!$A$2:$A$1001)-1),141)))</f>
        <v/>
      </c>
      <c r="E347" s="16">
        <f>IF(B347="","",INDEX(RECON_RESULTS!$D$2:$D$1001,SMALL(IF(RECON_RESULTS!$A$2:$A$1001="Unmatched GL",ROW(RECON_RESULTS!$A$2:$A$1001)-1),141)))</f>
        <v/>
      </c>
      <c r="F347" s="11">
        <f>IF(B347="","",INDEX(RECON_RESULTS!$E$2:$E$1001,SMALL(IF(RECON_RESULTS!$A$2:$A$1001="Unmatched GL",ROW(RECON_RESULTS!$A$2:$A$1001)-1),141)))</f>
        <v/>
      </c>
      <c r="G347" s="11">
        <f>IF(B347="","",INDEX(RECON_RESULTS!$M$2:$M$1001,SMALL(IF(RECON_RESULTS!$A$2:$A$1001="Unmatched GL",ROW(RECON_RESULTS!$A$2:$A$1001)-1),141)))</f>
        <v/>
      </c>
      <c r="H347" s="11">
        <f>IF(B347="","",INDEX(RECON_RESULTS!$N$2:$N$1001,SMALL(IF(RECON_RESULTS!$A$2:$A$1001="Unmatched GL",ROW(RECON_RESULTS!$A$2:$A$1001)-1),141)))</f>
        <v/>
      </c>
      <c r="I347" s="11" t="inlineStr"/>
      <c r="J347" s="11" t="inlineStr"/>
      <c r="K347" s="11" t="inlineStr"/>
      <c r="L347" s="11" t="inlineStr"/>
    </row>
    <row r="348">
      <c r="B348" s="11">
        <f>IFERROR(INDEX(RECON_RESULTS!$A$2:$A$1001,SMALL(IF(RECON_RESULTS!$A$2:$A$1001="Unmatched GL",ROW(RECON_RESULTS!$A$2:$A$1001)-1),142)),"")</f>
        <v/>
      </c>
      <c r="C348" s="10">
        <f>IF(B348="","",INDEX(RECON_RESULTS!$C$2:$C$1001,SMALL(IF(RECON_RESULTS!$A$2:$A$1001="Unmatched GL",ROW(RECON_RESULTS!$A$2:$A$1001)-1),142)))</f>
        <v/>
      </c>
      <c r="D348" s="11">
        <f>IF(B348="","",INDEX(RECON_RESULTS!$B$2:$B$1001,SMALL(IF(RECON_RESULTS!$A$2:$A$1001="Unmatched GL",ROW(RECON_RESULTS!$A$2:$A$1001)-1),142)))</f>
        <v/>
      </c>
      <c r="E348" s="16">
        <f>IF(B348="","",INDEX(RECON_RESULTS!$D$2:$D$1001,SMALL(IF(RECON_RESULTS!$A$2:$A$1001="Unmatched GL",ROW(RECON_RESULTS!$A$2:$A$1001)-1),142)))</f>
        <v/>
      </c>
      <c r="F348" s="11">
        <f>IF(B348="","",INDEX(RECON_RESULTS!$E$2:$E$1001,SMALL(IF(RECON_RESULTS!$A$2:$A$1001="Unmatched GL",ROW(RECON_RESULTS!$A$2:$A$1001)-1),142)))</f>
        <v/>
      </c>
      <c r="G348" s="11">
        <f>IF(B348="","",INDEX(RECON_RESULTS!$M$2:$M$1001,SMALL(IF(RECON_RESULTS!$A$2:$A$1001="Unmatched GL",ROW(RECON_RESULTS!$A$2:$A$1001)-1),142)))</f>
        <v/>
      </c>
      <c r="H348" s="11">
        <f>IF(B348="","",INDEX(RECON_RESULTS!$N$2:$N$1001,SMALL(IF(RECON_RESULTS!$A$2:$A$1001="Unmatched GL",ROW(RECON_RESULTS!$A$2:$A$1001)-1),142)))</f>
        <v/>
      </c>
      <c r="I348" s="11" t="inlineStr"/>
      <c r="J348" s="11" t="inlineStr"/>
      <c r="K348" s="11" t="inlineStr"/>
      <c r="L348" s="11" t="inlineStr"/>
    </row>
    <row r="349">
      <c r="B349" s="11">
        <f>IFERROR(INDEX(RECON_RESULTS!$A$2:$A$1001,SMALL(IF(RECON_RESULTS!$A$2:$A$1001="Unmatched GL",ROW(RECON_RESULTS!$A$2:$A$1001)-1),143)),"")</f>
        <v/>
      </c>
      <c r="C349" s="10">
        <f>IF(B349="","",INDEX(RECON_RESULTS!$C$2:$C$1001,SMALL(IF(RECON_RESULTS!$A$2:$A$1001="Unmatched GL",ROW(RECON_RESULTS!$A$2:$A$1001)-1),143)))</f>
        <v/>
      </c>
      <c r="D349" s="11">
        <f>IF(B349="","",INDEX(RECON_RESULTS!$B$2:$B$1001,SMALL(IF(RECON_RESULTS!$A$2:$A$1001="Unmatched GL",ROW(RECON_RESULTS!$A$2:$A$1001)-1),143)))</f>
        <v/>
      </c>
      <c r="E349" s="16">
        <f>IF(B349="","",INDEX(RECON_RESULTS!$D$2:$D$1001,SMALL(IF(RECON_RESULTS!$A$2:$A$1001="Unmatched GL",ROW(RECON_RESULTS!$A$2:$A$1001)-1),143)))</f>
        <v/>
      </c>
      <c r="F349" s="11">
        <f>IF(B349="","",INDEX(RECON_RESULTS!$E$2:$E$1001,SMALL(IF(RECON_RESULTS!$A$2:$A$1001="Unmatched GL",ROW(RECON_RESULTS!$A$2:$A$1001)-1),143)))</f>
        <v/>
      </c>
      <c r="G349" s="11">
        <f>IF(B349="","",INDEX(RECON_RESULTS!$M$2:$M$1001,SMALL(IF(RECON_RESULTS!$A$2:$A$1001="Unmatched GL",ROW(RECON_RESULTS!$A$2:$A$1001)-1),143)))</f>
        <v/>
      </c>
      <c r="H349" s="11">
        <f>IF(B349="","",INDEX(RECON_RESULTS!$N$2:$N$1001,SMALL(IF(RECON_RESULTS!$A$2:$A$1001="Unmatched GL",ROW(RECON_RESULTS!$A$2:$A$1001)-1),143)))</f>
        <v/>
      </c>
      <c r="I349" s="11" t="inlineStr"/>
      <c r="J349" s="11" t="inlineStr"/>
      <c r="K349" s="11" t="inlineStr"/>
      <c r="L349" s="11" t="inlineStr"/>
    </row>
    <row r="350">
      <c r="B350" s="11">
        <f>IFERROR(INDEX(RECON_RESULTS!$A$2:$A$1001,SMALL(IF(RECON_RESULTS!$A$2:$A$1001="Unmatched GL",ROW(RECON_RESULTS!$A$2:$A$1001)-1),144)),"")</f>
        <v/>
      </c>
      <c r="C350" s="10">
        <f>IF(B350="","",INDEX(RECON_RESULTS!$C$2:$C$1001,SMALL(IF(RECON_RESULTS!$A$2:$A$1001="Unmatched GL",ROW(RECON_RESULTS!$A$2:$A$1001)-1),144)))</f>
        <v/>
      </c>
      <c r="D350" s="11">
        <f>IF(B350="","",INDEX(RECON_RESULTS!$B$2:$B$1001,SMALL(IF(RECON_RESULTS!$A$2:$A$1001="Unmatched GL",ROW(RECON_RESULTS!$A$2:$A$1001)-1),144)))</f>
        <v/>
      </c>
      <c r="E350" s="16">
        <f>IF(B350="","",INDEX(RECON_RESULTS!$D$2:$D$1001,SMALL(IF(RECON_RESULTS!$A$2:$A$1001="Unmatched GL",ROW(RECON_RESULTS!$A$2:$A$1001)-1),144)))</f>
        <v/>
      </c>
      <c r="F350" s="11">
        <f>IF(B350="","",INDEX(RECON_RESULTS!$E$2:$E$1001,SMALL(IF(RECON_RESULTS!$A$2:$A$1001="Unmatched GL",ROW(RECON_RESULTS!$A$2:$A$1001)-1),144)))</f>
        <v/>
      </c>
      <c r="G350" s="11">
        <f>IF(B350="","",INDEX(RECON_RESULTS!$M$2:$M$1001,SMALL(IF(RECON_RESULTS!$A$2:$A$1001="Unmatched GL",ROW(RECON_RESULTS!$A$2:$A$1001)-1),144)))</f>
        <v/>
      </c>
      <c r="H350" s="11">
        <f>IF(B350="","",INDEX(RECON_RESULTS!$N$2:$N$1001,SMALL(IF(RECON_RESULTS!$A$2:$A$1001="Unmatched GL",ROW(RECON_RESULTS!$A$2:$A$1001)-1),144)))</f>
        <v/>
      </c>
      <c r="I350" s="11" t="inlineStr"/>
      <c r="J350" s="11" t="inlineStr"/>
      <c r="K350" s="11" t="inlineStr"/>
      <c r="L350" s="11" t="inlineStr"/>
    </row>
    <row r="351">
      <c r="B351" s="11">
        <f>IFERROR(INDEX(RECON_RESULTS!$A$2:$A$1001,SMALL(IF(RECON_RESULTS!$A$2:$A$1001="Unmatched GL",ROW(RECON_RESULTS!$A$2:$A$1001)-1),145)),"")</f>
        <v/>
      </c>
      <c r="C351" s="10">
        <f>IF(B351="","",INDEX(RECON_RESULTS!$C$2:$C$1001,SMALL(IF(RECON_RESULTS!$A$2:$A$1001="Unmatched GL",ROW(RECON_RESULTS!$A$2:$A$1001)-1),145)))</f>
        <v/>
      </c>
      <c r="D351" s="11">
        <f>IF(B351="","",INDEX(RECON_RESULTS!$B$2:$B$1001,SMALL(IF(RECON_RESULTS!$A$2:$A$1001="Unmatched GL",ROW(RECON_RESULTS!$A$2:$A$1001)-1),145)))</f>
        <v/>
      </c>
      <c r="E351" s="16">
        <f>IF(B351="","",INDEX(RECON_RESULTS!$D$2:$D$1001,SMALL(IF(RECON_RESULTS!$A$2:$A$1001="Unmatched GL",ROW(RECON_RESULTS!$A$2:$A$1001)-1),145)))</f>
        <v/>
      </c>
      <c r="F351" s="11">
        <f>IF(B351="","",INDEX(RECON_RESULTS!$E$2:$E$1001,SMALL(IF(RECON_RESULTS!$A$2:$A$1001="Unmatched GL",ROW(RECON_RESULTS!$A$2:$A$1001)-1),145)))</f>
        <v/>
      </c>
      <c r="G351" s="11">
        <f>IF(B351="","",INDEX(RECON_RESULTS!$M$2:$M$1001,SMALL(IF(RECON_RESULTS!$A$2:$A$1001="Unmatched GL",ROW(RECON_RESULTS!$A$2:$A$1001)-1),145)))</f>
        <v/>
      </c>
      <c r="H351" s="11">
        <f>IF(B351="","",INDEX(RECON_RESULTS!$N$2:$N$1001,SMALL(IF(RECON_RESULTS!$A$2:$A$1001="Unmatched GL",ROW(RECON_RESULTS!$A$2:$A$1001)-1),145)))</f>
        <v/>
      </c>
      <c r="I351" s="11" t="inlineStr"/>
      <c r="J351" s="11" t="inlineStr"/>
      <c r="K351" s="11" t="inlineStr"/>
      <c r="L351" s="11" t="inlineStr"/>
    </row>
    <row r="352">
      <c r="B352" s="11">
        <f>IFERROR(INDEX(RECON_RESULTS!$A$2:$A$1001,SMALL(IF(RECON_RESULTS!$A$2:$A$1001="Unmatched GL",ROW(RECON_RESULTS!$A$2:$A$1001)-1),146)),"")</f>
        <v/>
      </c>
      <c r="C352" s="10">
        <f>IF(B352="","",INDEX(RECON_RESULTS!$C$2:$C$1001,SMALL(IF(RECON_RESULTS!$A$2:$A$1001="Unmatched GL",ROW(RECON_RESULTS!$A$2:$A$1001)-1),146)))</f>
        <v/>
      </c>
      <c r="D352" s="11">
        <f>IF(B352="","",INDEX(RECON_RESULTS!$B$2:$B$1001,SMALL(IF(RECON_RESULTS!$A$2:$A$1001="Unmatched GL",ROW(RECON_RESULTS!$A$2:$A$1001)-1),146)))</f>
        <v/>
      </c>
      <c r="E352" s="16">
        <f>IF(B352="","",INDEX(RECON_RESULTS!$D$2:$D$1001,SMALL(IF(RECON_RESULTS!$A$2:$A$1001="Unmatched GL",ROW(RECON_RESULTS!$A$2:$A$1001)-1),146)))</f>
        <v/>
      </c>
      <c r="F352" s="11">
        <f>IF(B352="","",INDEX(RECON_RESULTS!$E$2:$E$1001,SMALL(IF(RECON_RESULTS!$A$2:$A$1001="Unmatched GL",ROW(RECON_RESULTS!$A$2:$A$1001)-1),146)))</f>
        <v/>
      </c>
      <c r="G352" s="11">
        <f>IF(B352="","",INDEX(RECON_RESULTS!$M$2:$M$1001,SMALL(IF(RECON_RESULTS!$A$2:$A$1001="Unmatched GL",ROW(RECON_RESULTS!$A$2:$A$1001)-1),146)))</f>
        <v/>
      </c>
      <c r="H352" s="11">
        <f>IF(B352="","",INDEX(RECON_RESULTS!$N$2:$N$1001,SMALL(IF(RECON_RESULTS!$A$2:$A$1001="Unmatched GL",ROW(RECON_RESULTS!$A$2:$A$1001)-1),146)))</f>
        <v/>
      </c>
      <c r="I352" s="11" t="inlineStr"/>
      <c r="J352" s="11" t="inlineStr"/>
      <c r="K352" s="11" t="inlineStr"/>
      <c r="L352" s="11" t="inlineStr"/>
    </row>
    <row r="353">
      <c r="B353" s="11">
        <f>IFERROR(INDEX(RECON_RESULTS!$A$2:$A$1001,SMALL(IF(RECON_RESULTS!$A$2:$A$1001="Unmatched GL",ROW(RECON_RESULTS!$A$2:$A$1001)-1),147)),"")</f>
        <v/>
      </c>
      <c r="C353" s="10">
        <f>IF(B353="","",INDEX(RECON_RESULTS!$C$2:$C$1001,SMALL(IF(RECON_RESULTS!$A$2:$A$1001="Unmatched GL",ROW(RECON_RESULTS!$A$2:$A$1001)-1),147)))</f>
        <v/>
      </c>
      <c r="D353" s="11">
        <f>IF(B353="","",INDEX(RECON_RESULTS!$B$2:$B$1001,SMALL(IF(RECON_RESULTS!$A$2:$A$1001="Unmatched GL",ROW(RECON_RESULTS!$A$2:$A$1001)-1),147)))</f>
        <v/>
      </c>
      <c r="E353" s="16">
        <f>IF(B353="","",INDEX(RECON_RESULTS!$D$2:$D$1001,SMALL(IF(RECON_RESULTS!$A$2:$A$1001="Unmatched GL",ROW(RECON_RESULTS!$A$2:$A$1001)-1),147)))</f>
        <v/>
      </c>
      <c r="F353" s="11">
        <f>IF(B353="","",INDEX(RECON_RESULTS!$E$2:$E$1001,SMALL(IF(RECON_RESULTS!$A$2:$A$1001="Unmatched GL",ROW(RECON_RESULTS!$A$2:$A$1001)-1),147)))</f>
        <v/>
      </c>
      <c r="G353" s="11">
        <f>IF(B353="","",INDEX(RECON_RESULTS!$M$2:$M$1001,SMALL(IF(RECON_RESULTS!$A$2:$A$1001="Unmatched GL",ROW(RECON_RESULTS!$A$2:$A$1001)-1),147)))</f>
        <v/>
      </c>
      <c r="H353" s="11">
        <f>IF(B353="","",INDEX(RECON_RESULTS!$N$2:$N$1001,SMALL(IF(RECON_RESULTS!$A$2:$A$1001="Unmatched GL",ROW(RECON_RESULTS!$A$2:$A$1001)-1),147)))</f>
        <v/>
      </c>
      <c r="I353" s="11" t="inlineStr"/>
      <c r="J353" s="11" t="inlineStr"/>
      <c r="K353" s="11" t="inlineStr"/>
      <c r="L353" s="11" t="inlineStr"/>
    </row>
    <row r="354">
      <c r="B354" s="11">
        <f>IFERROR(INDEX(RECON_RESULTS!$A$2:$A$1001,SMALL(IF(RECON_RESULTS!$A$2:$A$1001="Unmatched GL",ROW(RECON_RESULTS!$A$2:$A$1001)-1),148)),"")</f>
        <v/>
      </c>
      <c r="C354" s="10">
        <f>IF(B354="","",INDEX(RECON_RESULTS!$C$2:$C$1001,SMALL(IF(RECON_RESULTS!$A$2:$A$1001="Unmatched GL",ROW(RECON_RESULTS!$A$2:$A$1001)-1),148)))</f>
        <v/>
      </c>
      <c r="D354" s="11">
        <f>IF(B354="","",INDEX(RECON_RESULTS!$B$2:$B$1001,SMALL(IF(RECON_RESULTS!$A$2:$A$1001="Unmatched GL",ROW(RECON_RESULTS!$A$2:$A$1001)-1),148)))</f>
        <v/>
      </c>
      <c r="E354" s="16">
        <f>IF(B354="","",INDEX(RECON_RESULTS!$D$2:$D$1001,SMALL(IF(RECON_RESULTS!$A$2:$A$1001="Unmatched GL",ROW(RECON_RESULTS!$A$2:$A$1001)-1),148)))</f>
        <v/>
      </c>
      <c r="F354" s="11">
        <f>IF(B354="","",INDEX(RECON_RESULTS!$E$2:$E$1001,SMALL(IF(RECON_RESULTS!$A$2:$A$1001="Unmatched GL",ROW(RECON_RESULTS!$A$2:$A$1001)-1),148)))</f>
        <v/>
      </c>
      <c r="G354" s="11">
        <f>IF(B354="","",INDEX(RECON_RESULTS!$M$2:$M$1001,SMALL(IF(RECON_RESULTS!$A$2:$A$1001="Unmatched GL",ROW(RECON_RESULTS!$A$2:$A$1001)-1),148)))</f>
        <v/>
      </c>
      <c r="H354" s="11">
        <f>IF(B354="","",INDEX(RECON_RESULTS!$N$2:$N$1001,SMALL(IF(RECON_RESULTS!$A$2:$A$1001="Unmatched GL",ROW(RECON_RESULTS!$A$2:$A$1001)-1),148)))</f>
        <v/>
      </c>
      <c r="I354" s="11" t="inlineStr"/>
      <c r="J354" s="11" t="inlineStr"/>
      <c r="K354" s="11" t="inlineStr"/>
      <c r="L354" s="11" t="inlineStr"/>
    </row>
    <row r="355">
      <c r="B355" s="11">
        <f>IFERROR(INDEX(RECON_RESULTS!$A$2:$A$1001,SMALL(IF(RECON_RESULTS!$A$2:$A$1001="Unmatched GL",ROW(RECON_RESULTS!$A$2:$A$1001)-1),149)),"")</f>
        <v/>
      </c>
      <c r="C355" s="10">
        <f>IF(B355="","",INDEX(RECON_RESULTS!$C$2:$C$1001,SMALL(IF(RECON_RESULTS!$A$2:$A$1001="Unmatched GL",ROW(RECON_RESULTS!$A$2:$A$1001)-1),149)))</f>
        <v/>
      </c>
      <c r="D355" s="11">
        <f>IF(B355="","",INDEX(RECON_RESULTS!$B$2:$B$1001,SMALL(IF(RECON_RESULTS!$A$2:$A$1001="Unmatched GL",ROW(RECON_RESULTS!$A$2:$A$1001)-1),149)))</f>
        <v/>
      </c>
      <c r="E355" s="16">
        <f>IF(B355="","",INDEX(RECON_RESULTS!$D$2:$D$1001,SMALL(IF(RECON_RESULTS!$A$2:$A$1001="Unmatched GL",ROW(RECON_RESULTS!$A$2:$A$1001)-1),149)))</f>
        <v/>
      </c>
      <c r="F355" s="11">
        <f>IF(B355="","",INDEX(RECON_RESULTS!$E$2:$E$1001,SMALL(IF(RECON_RESULTS!$A$2:$A$1001="Unmatched GL",ROW(RECON_RESULTS!$A$2:$A$1001)-1),149)))</f>
        <v/>
      </c>
      <c r="G355" s="11">
        <f>IF(B355="","",INDEX(RECON_RESULTS!$M$2:$M$1001,SMALL(IF(RECON_RESULTS!$A$2:$A$1001="Unmatched GL",ROW(RECON_RESULTS!$A$2:$A$1001)-1),149)))</f>
        <v/>
      </c>
      <c r="H355" s="11">
        <f>IF(B355="","",INDEX(RECON_RESULTS!$N$2:$N$1001,SMALL(IF(RECON_RESULTS!$A$2:$A$1001="Unmatched GL",ROW(RECON_RESULTS!$A$2:$A$1001)-1),149)))</f>
        <v/>
      </c>
      <c r="I355" s="11" t="inlineStr"/>
      <c r="J355" s="11" t="inlineStr"/>
      <c r="K355" s="11" t="inlineStr"/>
      <c r="L355" s="11" t="inlineStr"/>
    </row>
    <row r="356">
      <c r="B356" s="11">
        <f>IFERROR(INDEX(RECON_RESULTS!$A$2:$A$1001,SMALL(IF(RECON_RESULTS!$A$2:$A$1001="Unmatched GL",ROW(RECON_RESULTS!$A$2:$A$1001)-1),150)),"")</f>
        <v/>
      </c>
      <c r="C356" s="10">
        <f>IF(B356="","",INDEX(RECON_RESULTS!$C$2:$C$1001,SMALL(IF(RECON_RESULTS!$A$2:$A$1001="Unmatched GL",ROW(RECON_RESULTS!$A$2:$A$1001)-1),150)))</f>
        <v/>
      </c>
      <c r="D356" s="11">
        <f>IF(B356="","",INDEX(RECON_RESULTS!$B$2:$B$1001,SMALL(IF(RECON_RESULTS!$A$2:$A$1001="Unmatched GL",ROW(RECON_RESULTS!$A$2:$A$1001)-1),150)))</f>
        <v/>
      </c>
      <c r="E356" s="16">
        <f>IF(B356="","",INDEX(RECON_RESULTS!$D$2:$D$1001,SMALL(IF(RECON_RESULTS!$A$2:$A$1001="Unmatched GL",ROW(RECON_RESULTS!$A$2:$A$1001)-1),150)))</f>
        <v/>
      </c>
      <c r="F356" s="11">
        <f>IF(B356="","",INDEX(RECON_RESULTS!$E$2:$E$1001,SMALL(IF(RECON_RESULTS!$A$2:$A$1001="Unmatched GL",ROW(RECON_RESULTS!$A$2:$A$1001)-1),150)))</f>
        <v/>
      </c>
      <c r="G356" s="11">
        <f>IF(B356="","",INDEX(RECON_RESULTS!$M$2:$M$1001,SMALL(IF(RECON_RESULTS!$A$2:$A$1001="Unmatched GL",ROW(RECON_RESULTS!$A$2:$A$1001)-1),150)))</f>
        <v/>
      </c>
      <c r="H356" s="11">
        <f>IF(B356="","",INDEX(RECON_RESULTS!$N$2:$N$1001,SMALL(IF(RECON_RESULTS!$A$2:$A$1001="Unmatched GL",ROW(RECON_RESULTS!$A$2:$A$1001)-1),150)))</f>
        <v/>
      </c>
      <c r="I356" s="11" t="inlineStr"/>
      <c r="J356" s="11" t="inlineStr"/>
      <c r="K356" s="11" t="inlineStr"/>
      <c r="L356" s="11" t="inlineStr"/>
    </row>
    <row r="357">
      <c r="B357" s="11">
        <f>IFERROR(INDEX(RECON_RESULTS!$A$2:$A$1001,SMALL(IF(RECON_RESULTS!$A$2:$A$1001="Unmatched GL",ROW(RECON_RESULTS!$A$2:$A$1001)-1),151)),"")</f>
        <v/>
      </c>
      <c r="C357" s="10">
        <f>IF(B357="","",INDEX(RECON_RESULTS!$C$2:$C$1001,SMALL(IF(RECON_RESULTS!$A$2:$A$1001="Unmatched GL",ROW(RECON_RESULTS!$A$2:$A$1001)-1),151)))</f>
        <v/>
      </c>
      <c r="D357" s="11">
        <f>IF(B357="","",INDEX(RECON_RESULTS!$B$2:$B$1001,SMALL(IF(RECON_RESULTS!$A$2:$A$1001="Unmatched GL",ROW(RECON_RESULTS!$A$2:$A$1001)-1),151)))</f>
        <v/>
      </c>
      <c r="E357" s="16">
        <f>IF(B357="","",INDEX(RECON_RESULTS!$D$2:$D$1001,SMALL(IF(RECON_RESULTS!$A$2:$A$1001="Unmatched GL",ROW(RECON_RESULTS!$A$2:$A$1001)-1),151)))</f>
        <v/>
      </c>
      <c r="F357" s="11">
        <f>IF(B357="","",INDEX(RECON_RESULTS!$E$2:$E$1001,SMALL(IF(RECON_RESULTS!$A$2:$A$1001="Unmatched GL",ROW(RECON_RESULTS!$A$2:$A$1001)-1),151)))</f>
        <v/>
      </c>
      <c r="G357" s="11">
        <f>IF(B357="","",INDEX(RECON_RESULTS!$M$2:$M$1001,SMALL(IF(RECON_RESULTS!$A$2:$A$1001="Unmatched GL",ROW(RECON_RESULTS!$A$2:$A$1001)-1),151)))</f>
        <v/>
      </c>
      <c r="H357" s="11">
        <f>IF(B357="","",INDEX(RECON_RESULTS!$N$2:$N$1001,SMALL(IF(RECON_RESULTS!$A$2:$A$1001="Unmatched GL",ROW(RECON_RESULTS!$A$2:$A$1001)-1),151)))</f>
        <v/>
      </c>
      <c r="I357" s="11" t="inlineStr"/>
      <c r="J357" s="11" t="inlineStr"/>
      <c r="K357" s="11" t="inlineStr"/>
      <c r="L357" s="11" t="inlineStr"/>
    </row>
    <row r="358">
      <c r="B358" s="11">
        <f>IFERROR(INDEX(RECON_RESULTS!$A$2:$A$1001,SMALL(IF(RECON_RESULTS!$A$2:$A$1001="Unmatched GL",ROW(RECON_RESULTS!$A$2:$A$1001)-1),152)),"")</f>
        <v/>
      </c>
      <c r="C358" s="10">
        <f>IF(B358="","",INDEX(RECON_RESULTS!$C$2:$C$1001,SMALL(IF(RECON_RESULTS!$A$2:$A$1001="Unmatched GL",ROW(RECON_RESULTS!$A$2:$A$1001)-1),152)))</f>
        <v/>
      </c>
      <c r="D358" s="11">
        <f>IF(B358="","",INDEX(RECON_RESULTS!$B$2:$B$1001,SMALL(IF(RECON_RESULTS!$A$2:$A$1001="Unmatched GL",ROW(RECON_RESULTS!$A$2:$A$1001)-1),152)))</f>
        <v/>
      </c>
      <c r="E358" s="16">
        <f>IF(B358="","",INDEX(RECON_RESULTS!$D$2:$D$1001,SMALL(IF(RECON_RESULTS!$A$2:$A$1001="Unmatched GL",ROW(RECON_RESULTS!$A$2:$A$1001)-1),152)))</f>
        <v/>
      </c>
      <c r="F358" s="11">
        <f>IF(B358="","",INDEX(RECON_RESULTS!$E$2:$E$1001,SMALL(IF(RECON_RESULTS!$A$2:$A$1001="Unmatched GL",ROW(RECON_RESULTS!$A$2:$A$1001)-1),152)))</f>
        <v/>
      </c>
      <c r="G358" s="11">
        <f>IF(B358="","",INDEX(RECON_RESULTS!$M$2:$M$1001,SMALL(IF(RECON_RESULTS!$A$2:$A$1001="Unmatched GL",ROW(RECON_RESULTS!$A$2:$A$1001)-1),152)))</f>
        <v/>
      </c>
      <c r="H358" s="11">
        <f>IF(B358="","",INDEX(RECON_RESULTS!$N$2:$N$1001,SMALL(IF(RECON_RESULTS!$A$2:$A$1001="Unmatched GL",ROW(RECON_RESULTS!$A$2:$A$1001)-1),152)))</f>
        <v/>
      </c>
      <c r="I358" s="11" t="inlineStr"/>
      <c r="J358" s="11" t="inlineStr"/>
      <c r="K358" s="11" t="inlineStr"/>
      <c r="L358" s="11" t="inlineStr"/>
    </row>
    <row r="359">
      <c r="B359" s="11">
        <f>IFERROR(INDEX(RECON_RESULTS!$A$2:$A$1001,SMALL(IF(RECON_RESULTS!$A$2:$A$1001="Unmatched GL",ROW(RECON_RESULTS!$A$2:$A$1001)-1),153)),"")</f>
        <v/>
      </c>
      <c r="C359" s="10">
        <f>IF(B359="","",INDEX(RECON_RESULTS!$C$2:$C$1001,SMALL(IF(RECON_RESULTS!$A$2:$A$1001="Unmatched GL",ROW(RECON_RESULTS!$A$2:$A$1001)-1),153)))</f>
        <v/>
      </c>
      <c r="D359" s="11">
        <f>IF(B359="","",INDEX(RECON_RESULTS!$B$2:$B$1001,SMALL(IF(RECON_RESULTS!$A$2:$A$1001="Unmatched GL",ROW(RECON_RESULTS!$A$2:$A$1001)-1),153)))</f>
        <v/>
      </c>
      <c r="E359" s="16">
        <f>IF(B359="","",INDEX(RECON_RESULTS!$D$2:$D$1001,SMALL(IF(RECON_RESULTS!$A$2:$A$1001="Unmatched GL",ROW(RECON_RESULTS!$A$2:$A$1001)-1),153)))</f>
        <v/>
      </c>
      <c r="F359" s="11">
        <f>IF(B359="","",INDEX(RECON_RESULTS!$E$2:$E$1001,SMALL(IF(RECON_RESULTS!$A$2:$A$1001="Unmatched GL",ROW(RECON_RESULTS!$A$2:$A$1001)-1),153)))</f>
        <v/>
      </c>
      <c r="G359" s="11">
        <f>IF(B359="","",INDEX(RECON_RESULTS!$M$2:$M$1001,SMALL(IF(RECON_RESULTS!$A$2:$A$1001="Unmatched GL",ROW(RECON_RESULTS!$A$2:$A$1001)-1),153)))</f>
        <v/>
      </c>
      <c r="H359" s="11">
        <f>IF(B359="","",INDEX(RECON_RESULTS!$N$2:$N$1001,SMALL(IF(RECON_RESULTS!$A$2:$A$1001="Unmatched GL",ROW(RECON_RESULTS!$A$2:$A$1001)-1),153)))</f>
        <v/>
      </c>
      <c r="I359" s="11" t="inlineStr"/>
      <c r="J359" s="11" t="inlineStr"/>
      <c r="K359" s="11" t="inlineStr"/>
      <c r="L359" s="11" t="inlineStr"/>
    </row>
    <row r="360">
      <c r="B360" s="11">
        <f>IFERROR(INDEX(RECON_RESULTS!$A$2:$A$1001,SMALL(IF(RECON_RESULTS!$A$2:$A$1001="Unmatched GL",ROW(RECON_RESULTS!$A$2:$A$1001)-1),154)),"")</f>
        <v/>
      </c>
      <c r="C360" s="10">
        <f>IF(B360="","",INDEX(RECON_RESULTS!$C$2:$C$1001,SMALL(IF(RECON_RESULTS!$A$2:$A$1001="Unmatched GL",ROW(RECON_RESULTS!$A$2:$A$1001)-1),154)))</f>
        <v/>
      </c>
      <c r="D360" s="11">
        <f>IF(B360="","",INDEX(RECON_RESULTS!$B$2:$B$1001,SMALL(IF(RECON_RESULTS!$A$2:$A$1001="Unmatched GL",ROW(RECON_RESULTS!$A$2:$A$1001)-1),154)))</f>
        <v/>
      </c>
      <c r="E360" s="16">
        <f>IF(B360="","",INDEX(RECON_RESULTS!$D$2:$D$1001,SMALL(IF(RECON_RESULTS!$A$2:$A$1001="Unmatched GL",ROW(RECON_RESULTS!$A$2:$A$1001)-1),154)))</f>
        <v/>
      </c>
      <c r="F360" s="11">
        <f>IF(B360="","",INDEX(RECON_RESULTS!$E$2:$E$1001,SMALL(IF(RECON_RESULTS!$A$2:$A$1001="Unmatched GL",ROW(RECON_RESULTS!$A$2:$A$1001)-1),154)))</f>
        <v/>
      </c>
      <c r="G360" s="11">
        <f>IF(B360="","",INDEX(RECON_RESULTS!$M$2:$M$1001,SMALL(IF(RECON_RESULTS!$A$2:$A$1001="Unmatched GL",ROW(RECON_RESULTS!$A$2:$A$1001)-1),154)))</f>
        <v/>
      </c>
      <c r="H360" s="11">
        <f>IF(B360="","",INDEX(RECON_RESULTS!$N$2:$N$1001,SMALL(IF(RECON_RESULTS!$A$2:$A$1001="Unmatched GL",ROW(RECON_RESULTS!$A$2:$A$1001)-1),154)))</f>
        <v/>
      </c>
      <c r="I360" s="11" t="inlineStr"/>
      <c r="J360" s="11" t="inlineStr"/>
      <c r="K360" s="11" t="inlineStr"/>
      <c r="L360" s="11" t="inlineStr"/>
    </row>
    <row r="361">
      <c r="B361" s="11">
        <f>IFERROR(INDEX(RECON_RESULTS!$A$2:$A$1001,SMALL(IF(RECON_RESULTS!$A$2:$A$1001="Unmatched GL",ROW(RECON_RESULTS!$A$2:$A$1001)-1),155)),"")</f>
        <v/>
      </c>
      <c r="C361" s="10">
        <f>IF(B361="","",INDEX(RECON_RESULTS!$C$2:$C$1001,SMALL(IF(RECON_RESULTS!$A$2:$A$1001="Unmatched GL",ROW(RECON_RESULTS!$A$2:$A$1001)-1),155)))</f>
        <v/>
      </c>
      <c r="D361" s="11">
        <f>IF(B361="","",INDEX(RECON_RESULTS!$B$2:$B$1001,SMALL(IF(RECON_RESULTS!$A$2:$A$1001="Unmatched GL",ROW(RECON_RESULTS!$A$2:$A$1001)-1),155)))</f>
        <v/>
      </c>
      <c r="E361" s="16">
        <f>IF(B361="","",INDEX(RECON_RESULTS!$D$2:$D$1001,SMALL(IF(RECON_RESULTS!$A$2:$A$1001="Unmatched GL",ROW(RECON_RESULTS!$A$2:$A$1001)-1),155)))</f>
        <v/>
      </c>
      <c r="F361" s="11">
        <f>IF(B361="","",INDEX(RECON_RESULTS!$E$2:$E$1001,SMALL(IF(RECON_RESULTS!$A$2:$A$1001="Unmatched GL",ROW(RECON_RESULTS!$A$2:$A$1001)-1),155)))</f>
        <v/>
      </c>
      <c r="G361" s="11">
        <f>IF(B361="","",INDEX(RECON_RESULTS!$M$2:$M$1001,SMALL(IF(RECON_RESULTS!$A$2:$A$1001="Unmatched GL",ROW(RECON_RESULTS!$A$2:$A$1001)-1),155)))</f>
        <v/>
      </c>
      <c r="H361" s="11">
        <f>IF(B361="","",INDEX(RECON_RESULTS!$N$2:$N$1001,SMALL(IF(RECON_RESULTS!$A$2:$A$1001="Unmatched GL",ROW(RECON_RESULTS!$A$2:$A$1001)-1),155)))</f>
        <v/>
      </c>
      <c r="I361" s="11" t="inlineStr"/>
      <c r="J361" s="11" t="inlineStr"/>
      <c r="K361" s="11" t="inlineStr"/>
      <c r="L361" s="11" t="inlineStr"/>
    </row>
    <row r="362">
      <c r="B362" s="11">
        <f>IFERROR(INDEX(RECON_RESULTS!$A$2:$A$1001,SMALL(IF(RECON_RESULTS!$A$2:$A$1001="Unmatched GL",ROW(RECON_RESULTS!$A$2:$A$1001)-1),156)),"")</f>
        <v/>
      </c>
      <c r="C362" s="10">
        <f>IF(B362="","",INDEX(RECON_RESULTS!$C$2:$C$1001,SMALL(IF(RECON_RESULTS!$A$2:$A$1001="Unmatched GL",ROW(RECON_RESULTS!$A$2:$A$1001)-1),156)))</f>
        <v/>
      </c>
      <c r="D362" s="11">
        <f>IF(B362="","",INDEX(RECON_RESULTS!$B$2:$B$1001,SMALL(IF(RECON_RESULTS!$A$2:$A$1001="Unmatched GL",ROW(RECON_RESULTS!$A$2:$A$1001)-1),156)))</f>
        <v/>
      </c>
      <c r="E362" s="16">
        <f>IF(B362="","",INDEX(RECON_RESULTS!$D$2:$D$1001,SMALL(IF(RECON_RESULTS!$A$2:$A$1001="Unmatched GL",ROW(RECON_RESULTS!$A$2:$A$1001)-1),156)))</f>
        <v/>
      </c>
      <c r="F362" s="11">
        <f>IF(B362="","",INDEX(RECON_RESULTS!$E$2:$E$1001,SMALL(IF(RECON_RESULTS!$A$2:$A$1001="Unmatched GL",ROW(RECON_RESULTS!$A$2:$A$1001)-1),156)))</f>
        <v/>
      </c>
      <c r="G362" s="11">
        <f>IF(B362="","",INDEX(RECON_RESULTS!$M$2:$M$1001,SMALL(IF(RECON_RESULTS!$A$2:$A$1001="Unmatched GL",ROW(RECON_RESULTS!$A$2:$A$1001)-1),156)))</f>
        <v/>
      </c>
      <c r="H362" s="11">
        <f>IF(B362="","",INDEX(RECON_RESULTS!$N$2:$N$1001,SMALL(IF(RECON_RESULTS!$A$2:$A$1001="Unmatched GL",ROW(RECON_RESULTS!$A$2:$A$1001)-1),156)))</f>
        <v/>
      </c>
      <c r="I362" s="11" t="inlineStr"/>
      <c r="J362" s="11" t="inlineStr"/>
      <c r="K362" s="11" t="inlineStr"/>
      <c r="L362" s="11" t="inlineStr"/>
    </row>
    <row r="363">
      <c r="B363" s="11">
        <f>IFERROR(INDEX(RECON_RESULTS!$A$2:$A$1001,SMALL(IF(RECON_RESULTS!$A$2:$A$1001="Unmatched GL",ROW(RECON_RESULTS!$A$2:$A$1001)-1),157)),"")</f>
        <v/>
      </c>
      <c r="C363" s="10">
        <f>IF(B363="","",INDEX(RECON_RESULTS!$C$2:$C$1001,SMALL(IF(RECON_RESULTS!$A$2:$A$1001="Unmatched GL",ROW(RECON_RESULTS!$A$2:$A$1001)-1),157)))</f>
        <v/>
      </c>
      <c r="D363" s="11">
        <f>IF(B363="","",INDEX(RECON_RESULTS!$B$2:$B$1001,SMALL(IF(RECON_RESULTS!$A$2:$A$1001="Unmatched GL",ROW(RECON_RESULTS!$A$2:$A$1001)-1),157)))</f>
        <v/>
      </c>
      <c r="E363" s="16">
        <f>IF(B363="","",INDEX(RECON_RESULTS!$D$2:$D$1001,SMALL(IF(RECON_RESULTS!$A$2:$A$1001="Unmatched GL",ROW(RECON_RESULTS!$A$2:$A$1001)-1),157)))</f>
        <v/>
      </c>
      <c r="F363" s="11">
        <f>IF(B363="","",INDEX(RECON_RESULTS!$E$2:$E$1001,SMALL(IF(RECON_RESULTS!$A$2:$A$1001="Unmatched GL",ROW(RECON_RESULTS!$A$2:$A$1001)-1),157)))</f>
        <v/>
      </c>
      <c r="G363" s="11">
        <f>IF(B363="","",INDEX(RECON_RESULTS!$M$2:$M$1001,SMALL(IF(RECON_RESULTS!$A$2:$A$1001="Unmatched GL",ROW(RECON_RESULTS!$A$2:$A$1001)-1),157)))</f>
        <v/>
      </c>
      <c r="H363" s="11">
        <f>IF(B363="","",INDEX(RECON_RESULTS!$N$2:$N$1001,SMALL(IF(RECON_RESULTS!$A$2:$A$1001="Unmatched GL",ROW(RECON_RESULTS!$A$2:$A$1001)-1),157)))</f>
        <v/>
      </c>
      <c r="I363" s="11" t="inlineStr"/>
      <c r="J363" s="11" t="inlineStr"/>
      <c r="K363" s="11" t="inlineStr"/>
      <c r="L363" s="11" t="inlineStr"/>
    </row>
    <row r="364">
      <c r="B364" s="11">
        <f>IFERROR(INDEX(RECON_RESULTS!$A$2:$A$1001,SMALL(IF(RECON_RESULTS!$A$2:$A$1001="Unmatched GL",ROW(RECON_RESULTS!$A$2:$A$1001)-1),158)),"")</f>
        <v/>
      </c>
      <c r="C364" s="10">
        <f>IF(B364="","",INDEX(RECON_RESULTS!$C$2:$C$1001,SMALL(IF(RECON_RESULTS!$A$2:$A$1001="Unmatched GL",ROW(RECON_RESULTS!$A$2:$A$1001)-1),158)))</f>
        <v/>
      </c>
      <c r="D364" s="11">
        <f>IF(B364="","",INDEX(RECON_RESULTS!$B$2:$B$1001,SMALL(IF(RECON_RESULTS!$A$2:$A$1001="Unmatched GL",ROW(RECON_RESULTS!$A$2:$A$1001)-1),158)))</f>
        <v/>
      </c>
      <c r="E364" s="16">
        <f>IF(B364="","",INDEX(RECON_RESULTS!$D$2:$D$1001,SMALL(IF(RECON_RESULTS!$A$2:$A$1001="Unmatched GL",ROW(RECON_RESULTS!$A$2:$A$1001)-1),158)))</f>
        <v/>
      </c>
      <c r="F364" s="11">
        <f>IF(B364="","",INDEX(RECON_RESULTS!$E$2:$E$1001,SMALL(IF(RECON_RESULTS!$A$2:$A$1001="Unmatched GL",ROW(RECON_RESULTS!$A$2:$A$1001)-1),158)))</f>
        <v/>
      </c>
      <c r="G364" s="11">
        <f>IF(B364="","",INDEX(RECON_RESULTS!$M$2:$M$1001,SMALL(IF(RECON_RESULTS!$A$2:$A$1001="Unmatched GL",ROW(RECON_RESULTS!$A$2:$A$1001)-1),158)))</f>
        <v/>
      </c>
      <c r="H364" s="11">
        <f>IF(B364="","",INDEX(RECON_RESULTS!$N$2:$N$1001,SMALL(IF(RECON_RESULTS!$A$2:$A$1001="Unmatched GL",ROW(RECON_RESULTS!$A$2:$A$1001)-1),158)))</f>
        <v/>
      </c>
      <c r="I364" s="11" t="inlineStr"/>
      <c r="J364" s="11" t="inlineStr"/>
      <c r="K364" s="11" t="inlineStr"/>
      <c r="L364" s="11" t="inlineStr"/>
    </row>
    <row r="365">
      <c r="B365" s="11">
        <f>IFERROR(INDEX(RECON_RESULTS!$A$2:$A$1001,SMALL(IF(RECON_RESULTS!$A$2:$A$1001="Unmatched GL",ROW(RECON_RESULTS!$A$2:$A$1001)-1),159)),"")</f>
        <v/>
      </c>
      <c r="C365" s="10">
        <f>IF(B365="","",INDEX(RECON_RESULTS!$C$2:$C$1001,SMALL(IF(RECON_RESULTS!$A$2:$A$1001="Unmatched GL",ROW(RECON_RESULTS!$A$2:$A$1001)-1),159)))</f>
        <v/>
      </c>
      <c r="D365" s="11">
        <f>IF(B365="","",INDEX(RECON_RESULTS!$B$2:$B$1001,SMALL(IF(RECON_RESULTS!$A$2:$A$1001="Unmatched GL",ROW(RECON_RESULTS!$A$2:$A$1001)-1),159)))</f>
        <v/>
      </c>
      <c r="E365" s="16">
        <f>IF(B365="","",INDEX(RECON_RESULTS!$D$2:$D$1001,SMALL(IF(RECON_RESULTS!$A$2:$A$1001="Unmatched GL",ROW(RECON_RESULTS!$A$2:$A$1001)-1),159)))</f>
        <v/>
      </c>
      <c r="F365" s="11">
        <f>IF(B365="","",INDEX(RECON_RESULTS!$E$2:$E$1001,SMALL(IF(RECON_RESULTS!$A$2:$A$1001="Unmatched GL",ROW(RECON_RESULTS!$A$2:$A$1001)-1),159)))</f>
        <v/>
      </c>
      <c r="G365" s="11">
        <f>IF(B365="","",INDEX(RECON_RESULTS!$M$2:$M$1001,SMALL(IF(RECON_RESULTS!$A$2:$A$1001="Unmatched GL",ROW(RECON_RESULTS!$A$2:$A$1001)-1),159)))</f>
        <v/>
      </c>
      <c r="H365" s="11">
        <f>IF(B365="","",INDEX(RECON_RESULTS!$N$2:$N$1001,SMALL(IF(RECON_RESULTS!$A$2:$A$1001="Unmatched GL",ROW(RECON_RESULTS!$A$2:$A$1001)-1),159)))</f>
        <v/>
      </c>
      <c r="I365" s="11" t="inlineStr"/>
      <c r="J365" s="11" t="inlineStr"/>
      <c r="K365" s="11" t="inlineStr"/>
      <c r="L365" s="11" t="inlineStr"/>
    </row>
    <row r="366">
      <c r="B366" s="11">
        <f>IFERROR(INDEX(RECON_RESULTS!$A$2:$A$1001,SMALL(IF(RECON_RESULTS!$A$2:$A$1001="Unmatched GL",ROW(RECON_RESULTS!$A$2:$A$1001)-1),160)),"")</f>
        <v/>
      </c>
      <c r="C366" s="10">
        <f>IF(B366="","",INDEX(RECON_RESULTS!$C$2:$C$1001,SMALL(IF(RECON_RESULTS!$A$2:$A$1001="Unmatched GL",ROW(RECON_RESULTS!$A$2:$A$1001)-1),160)))</f>
        <v/>
      </c>
      <c r="D366" s="11">
        <f>IF(B366="","",INDEX(RECON_RESULTS!$B$2:$B$1001,SMALL(IF(RECON_RESULTS!$A$2:$A$1001="Unmatched GL",ROW(RECON_RESULTS!$A$2:$A$1001)-1),160)))</f>
        <v/>
      </c>
      <c r="E366" s="16">
        <f>IF(B366="","",INDEX(RECON_RESULTS!$D$2:$D$1001,SMALL(IF(RECON_RESULTS!$A$2:$A$1001="Unmatched GL",ROW(RECON_RESULTS!$A$2:$A$1001)-1),160)))</f>
        <v/>
      </c>
      <c r="F366" s="11">
        <f>IF(B366="","",INDEX(RECON_RESULTS!$E$2:$E$1001,SMALL(IF(RECON_RESULTS!$A$2:$A$1001="Unmatched GL",ROW(RECON_RESULTS!$A$2:$A$1001)-1),160)))</f>
        <v/>
      </c>
      <c r="G366" s="11">
        <f>IF(B366="","",INDEX(RECON_RESULTS!$M$2:$M$1001,SMALL(IF(RECON_RESULTS!$A$2:$A$1001="Unmatched GL",ROW(RECON_RESULTS!$A$2:$A$1001)-1),160)))</f>
        <v/>
      </c>
      <c r="H366" s="11">
        <f>IF(B366="","",INDEX(RECON_RESULTS!$N$2:$N$1001,SMALL(IF(RECON_RESULTS!$A$2:$A$1001="Unmatched GL",ROW(RECON_RESULTS!$A$2:$A$1001)-1),160)))</f>
        <v/>
      </c>
      <c r="I366" s="11" t="inlineStr"/>
      <c r="J366" s="11" t="inlineStr"/>
      <c r="K366" s="11" t="inlineStr"/>
      <c r="L366" s="11" t="inlineStr"/>
    </row>
    <row r="367">
      <c r="B367" s="11">
        <f>IFERROR(INDEX(RECON_RESULTS!$A$2:$A$1001,SMALL(IF(RECON_RESULTS!$A$2:$A$1001="Unmatched GL",ROW(RECON_RESULTS!$A$2:$A$1001)-1),161)),"")</f>
        <v/>
      </c>
      <c r="C367" s="10">
        <f>IF(B367="","",INDEX(RECON_RESULTS!$C$2:$C$1001,SMALL(IF(RECON_RESULTS!$A$2:$A$1001="Unmatched GL",ROW(RECON_RESULTS!$A$2:$A$1001)-1),161)))</f>
        <v/>
      </c>
      <c r="D367" s="11">
        <f>IF(B367="","",INDEX(RECON_RESULTS!$B$2:$B$1001,SMALL(IF(RECON_RESULTS!$A$2:$A$1001="Unmatched GL",ROW(RECON_RESULTS!$A$2:$A$1001)-1),161)))</f>
        <v/>
      </c>
      <c r="E367" s="16">
        <f>IF(B367="","",INDEX(RECON_RESULTS!$D$2:$D$1001,SMALL(IF(RECON_RESULTS!$A$2:$A$1001="Unmatched GL",ROW(RECON_RESULTS!$A$2:$A$1001)-1),161)))</f>
        <v/>
      </c>
      <c r="F367" s="11">
        <f>IF(B367="","",INDEX(RECON_RESULTS!$E$2:$E$1001,SMALL(IF(RECON_RESULTS!$A$2:$A$1001="Unmatched GL",ROW(RECON_RESULTS!$A$2:$A$1001)-1),161)))</f>
        <v/>
      </c>
      <c r="G367" s="11">
        <f>IF(B367="","",INDEX(RECON_RESULTS!$M$2:$M$1001,SMALL(IF(RECON_RESULTS!$A$2:$A$1001="Unmatched GL",ROW(RECON_RESULTS!$A$2:$A$1001)-1),161)))</f>
        <v/>
      </c>
      <c r="H367" s="11">
        <f>IF(B367="","",INDEX(RECON_RESULTS!$N$2:$N$1001,SMALL(IF(RECON_RESULTS!$A$2:$A$1001="Unmatched GL",ROW(RECON_RESULTS!$A$2:$A$1001)-1),161)))</f>
        <v/>
      </c>
      <c r="I367" s="11" t="inlineStr"/>
      <c r="J367" s="11" t="inlineStr"/>
      <c r="K367" s="11" t="inlineStr"/>
      <c r="L367" s="11" t="inlineStr"/>
    </row>
    <row r="368">
      <c r="B368" s="11">
        <f>IFERROR(INDEX(RECON_RESULTS!$A$2:$A$1001,SMALL(IF(RECON_RESULTS!$A$2:$A$1001="Unmatched GL",ROW(RECON_RESULTS!$A$2:$A$1001)-1),162)),"")</f>
        <v/>
      </c>
      <c r="C368" s="10">
        <f>IF(B368="","",INDEX(RECON_RESULTS!$C$2:$C$1001,SMALL(IF(RECON_RESULTS!$A$2:$A$1001="Unmatched GL",ROW(RECON_RESULTS!$A$2:$A$1001)-1),162)))</f>
        <v/>
      </c>
      <c r="D368" s="11">
        <f>IF(B368="","",INDEX(RECON_RESULTS!$B$2:$B$1001,SMALL(IF(RECON_RESULTS!$A$2:$A$1001="Unmatched GL",ROW(RECON_RESULTS!$A$2:$A$1001)-1),162)))</f>
        <v/>
      </c>
      <c r="E368" s="16">
        <f>IF(B368="","",INDEX(RECON_RESULTS!$D$2:$D$1001,SMALL(IF(RECON_RESULTS!$A$2:$A$1001="Unmatched GL",ROW(RECON_RESULTS!$A$2:$A$1001)-1),162)))</f>
        <v/>
      </c>
      <c r="F368" s="11">
        <f>IF(B368="","",INDEX(RECON_RESULTS!$E$2:$E$1001,SMALL(IF(RECON_RESULTS!$A$2:$A$1001="Unmatched GL",ROW(RECON_RESULTS!$A$2:$A$1001)-1),162)))</f>
        <v/>
      </c>
      <c r="G368" s="11">
        <f>IF(B368="","",INDEX(RECON_RESULTS!$M$2:$M$1001,SMALL(IF(RECON_RESULTS!$A$2:$A$1001="Unmatched GL",ROW(RECON_RESULTS!$A$2:$A$1001)-1),162)))</f>
        <v/>
      </c>
      <c r="H368" s="11">
        <f>IF(B368="","",INDEX(RECON_RESULTS!$N$2:$N$1001,SMALL(IF(RECON_RESULTS!$A$2:$A$1001="Unmatched GL",ROW(RECON_RESULTS!$A$2:$A$1001)-1),162)))</f>
        <v/>
      </c>
      <c r="I368" s="11" t="inlineStr"/>
      <c r="J368" s="11" t="inlineStr"/>
      <c r="K368" s="11" t="inlineStr"/>
      <c r="L368" s="11" t="inlineStr"/>
    </row>
    <row r="369">
      <c r="B369" s="11">
        <f>IFERROR(INDEX(RECON_RESULTS!$A$2:$A$1001,SMALL(IF(RECON_RESULTS!$A$2:$A$1001="Unmatched GL",ROW(RECON_RESULTS!$A$2:$A$1001)-1),163)),"")</f>
        <v/>
      </c>
      <c r="C369" s="10">
        <f>IF(B369="","",INDEX(RECON_RESULTS!$C$2:$C$1001,SMALL(IF(RECON_RESULTS!$A$2:$A$1001="Unmatched GL",ROW(RECON_RESULTS!$A$2:$A$1001)-1),163)))</f>
        <v/>
      </c>
      <c r="D369" s="11">
        <f>IF(B369="","",INDEX(RECON_RESULTS!$B$2:$B$1001,SMALL(IF(RECON_RESULTS!$A$2:$A$1001="Unmatched GL",ROW(RECON_RESULTS!$A$2:$A$1001)-1),163)))</f>
        <v/>
      </c>
      <c r="E369" s="16">
        <f>IF(B369="","",INDEX(RECON_RESULTS!$D$2:$D$1001,SMALL(IF(RECON_RESULTS!$A$2:$A$1001="Unmatched GL",ROW(RECON_RESULTS!$A$2:$A$1001)-1),163)))</f>
        <v/>
      </c>
      <c r="F369" s="11">
        <f>IF(B369="","",INDEX(RECON_RESULTS!$E$2:$E$1001,SMALL(IF(RECON_RESULTS!$A$2:$A$1001="Unmatched GL",ROW(RECON_RESULTS!$A$2:$A$1001)-1),163)))</f>
        <v/>
      </c>
      <c r="G369" s="11">
        <f>IF(B369="","",INDEX(RECON_RESULTS!$M$2:$M$1001,SMALL(IF(RECON_RESULTS!$A$2:$A$1001="Unmatched GL",ROW(RECON_RESULTS!$A$2:$A$1001)-1),163)))</f>
        <v/>
      </c>
      <c r="H369" s="11">
        <f>IF(B369="","",INDEX(RECON_RESULTS!$N$2:$N$1001,SMALL(IF(RECON_RESULTS!$A$2:$A$1001="Unmatched GL",ROW(RECON_RESULTS!$A$2:$A$1001)-1),163)))</f>
        <v/>
      </c>
      <c r="I369" s="11" t="inlineStr"/>
      <c r="J369" s="11" t="inlineStr"/>
      <c r="K369" s="11" t="inlineStr"/>
      <c r="L369" s="11" t="inlineStr"/>
    </row>
    <row r="370">
      <c r="B370" s="11">
        <f>IFERROR(INDEX(RECON_RESULTS!$A$2:$A$1001,SMALL(IF(RECON_RESULTS!$A$2:$A$1001="Unmatched GL",ROW(RECON_RESULTS!$A$2:$A$1001)-1),164)),"")</f>
        <v/>
      </c>
      <c r="C370" s="10">
        <f>IF(B370="","",INDEX(RECON_RESULTS!$C$2:$C$1001,SMALL(IF(RECON_RESULTS!$A$2:$A$1001="Unmatched GL",ROW(RECON_RESULTS!$A$2:$A$1001)-1),164)))</f>
        <v/>
      </c>
      <c r="D370" s="11">
        <f>IF(B370="","",INDEX(RECON_RESULTS!$B$2:$B$1001,SMALL(IF(RECON_RESULTS!$A$2:$A$1001="Unmatched GL",ROW(RECON_RESULTS!$A$2:$A$1001)-1),164)))</f>
        <v/>
      </c>
      <c r="E370" s="16">
        <f>IF(B370="","",INDEX(RECON_RESULTS!$D$2:$D$1001,SMALL(IF(RECON_RESULTS!$A$2:$A$1001="Unmatched GL",ROW(RECON_RESULTS!$A$2:$A$1001)-1),164)))</f>
        <v/>
      </c>
      <c r="F370" s="11">
        <f>IF(B370="","",INDEX(RECON_RESULTS!$E$2:$E$1001,SMALL(IF(RECON_RESULTS!$A$2:$A$1001="Unmatched GL",ROW(RECON_RESULTS!$A$2:$A$1001)-1),164)))</f>
        <v/>
      </c>
      <c r="G370" s="11">
        <f>IF(B370="","",INDEX(RECON_RESULTS!$M$2:$M$1001,SMALL(IF(RECON_RESULTS!$A$2:$A$1001="Unmatched GL",ROW(RECON_RESULTS!$A$2:$A$1001)-1),164)))</f>
        <v/>
      </c>
      <c r="H370" s="11">
        <f>IF(B370="","",INDEX(RECON_RESULTS!$N$2:$N$1001,SMALL(IF(RECON_RESULTS!$A$2:$A$1001="Unmatched GL",ROW(RECON_RESULTS!$A$2:$A$1001)-1),164)))</f>
        <v/>
      </c>
      <c r="I370" s="11" t="inlineStr"/>
      <c r="J370" s="11" t="inlineStr"/>
      <c r="K370" s="11" t="inlineStr"/>
      <c r="L370" s="11" t="inlineStr"/>
    </row>
    <row r="371">
      <c r="B371" s="11">
        <f>IFERROR(INDEX(RECON_RESULTS!$A$2:$A$1001,SMALL(IF(RECON_RESULTS!$A$2:$A$1001="Unmatched GL",ROW(RECON_RESULTS!$A$2:$A$1001)-1),165)),"")</f>
        <v/>
      </c>
      <c r="C371" s="10">
        <f>IF(B371="","",INDEX(RECON_RESULTS!$C$2:$C$1001,SMALL(IF(RECON_RESULTS!$A$2:$A$1001="Unmatched GL",ROW(RECON_RESULTS!$A$2:$A$1001)-1),165)))</f>
        <v/>
      </c>
      <c r="D371" s="11">
        <f>IF(B371="","",INDEX(RECON_RESULTS!$B$2:$B$1001,SMALL(IF(RECON_RESULTS!$A$2:$A$1001="Unmatched GL",ROW(RECON_RESULTS!$A$2:$A$1001)-1),165)))</f>
        <v/>
      </c>
      <c r="E371" s="16">
        <f>IF(B371="","",INDEX(RECON_RESULTS!$D$2:$D$1001,SMALL(IF(RECON_RESULTS!$A$2:$A$1001="Unmatched GL",ROW(RECON_RESULTS!$A$2:$A$1001)-1),165)))</f>
        <v/>
      </c>
      <c r="F371" s="11">
        <f>IF(B371="","",INDEX(RECON_RESULTS!$E$2:$E$1001,SMALL(IF(RECON_RESULTS!$A$2:$A$1001="Unmatched GL",ROW(RECON_RESULTS!$A$2:$A$1001)-1),165)))</f>
        <v/>
      </c>
      <c r="G371" s="11">
        <f>IF(B371="","",INDEX(RECON_RESULTS!$M$2:$M$1001,SMALL(IF(RECON_RESULTS!$A$2:$A$1001="Unmatched GL",ROW(RECON_RESULTS!$A$2:$A$1001)-1),165)))</f>
        <v/>
      </c>
      <c r="H371" s="11">
        <f>IF(B371="","",INDEX(RECON_RESULTS!$N$2:$N$1001,SMALL(IF(RECON_RESULTS!$A$2:$A$1001="Unmatched GL",ROW(RECON_RESULTS!$A$2:$A$1001)-1),165)))</f>
        <v/>
      </c>
      <c r="I371" s="11" t="inlineStr"/>
      <c r="J371" s="11" t="inlineStr"/>
      <c r="K371" s="11" t="inlineStr"/>
      <c r="L371" s="11" t="inlineStr"/>
    </row>
    <row r="372">
      <c r="B372" s="11">
        <f>IFERROR(INDEX(RECON_RESULTS!$A$2:$A$1001,SMALL(IF(RECON_RESULTS!$A$2:$A$1001="Unmatched GL",ROW(RECON_RESULTS!$A$2:$A$1001)-1),166)),"")</f>
        <v/>
      </c>
      <c r="C372" s="10">
        <f>IF(B372="","",INDEX(RECON_RESULTS!$C$2:$C$1001,SMALL(IF(RECON_RESULTS!$A$2:$A$1001="Unmatched GL",ROW(RECON_RESULTS!$A$2:$A$1001)-1),166)))</f>
        <v/>
      </c>
      <c r="D372" s="11">
        <f>IF(B372="","",INDEX(RECON_RESULTS!$B$2:$B$1001,SMALL(IF(RECON_RESULTS!$A$2:$A$1001="Unmatched GL",ROW(RECON_RESULTS!$A$2:$A$1001)-1),166)))</f>
        <v/>
      </c>
      <c r="E372" s="16">
        <f>IF(B372="","",INDEX(RECON_RESULTS!$D$2:$D$1001,SMALL(IF(RECON_RESULTS!$A$2:$A$1001="Unmatched GL",ROW(RECON_RESULTS!$A$2:$A$1001)-1),166)))</f>
        <v/>
      </c>
      <c r="F372" s="11">
        <f>IF(B372="","",INDEX(RECON_RESULTS!$E$2:$E$1001,SMALL(IF(RECON_RESULTS!$A$2:$A$1001="Unmatched GL",ROW(RECON_RESULTS!$A$2:$A$1001)-1),166)))</f>
        <v/>
      </c>
      <c r="G372" s="11">
        <f>IF(B372="","",INDEX(RECON_RESULTS!$M$2:$M$1001,SMALL(IF(RECON_RESULTS!$A$2:$A$1001="Unmatched GL",ROW(RECON_RESULTS!$A$2:$A$1001)-1),166)))</f>
        <v/>
      </c>
      <c r="H372" s="11">
        <f>IF(B372="","",INDEX(RECON_RESULTS!$N$2:$N$1001,SMALL(IF(RECON_RESULTS!$A$2:$A$1001="Unmatched GL",ROW(RECON_RESULTS!$A$2:$A$1001)-1),166)))</f>
        <v/>
      </c>
      <c r="I372" s="11" t="inlineStr"/>
      <c r="J372" s="11" t="inlineStr"/>
      <c r="K372" s="11" t="inlineStr"/>
      <c r="L372" s="11" t="inlineStr"/>
    </row>
    <row r="373">
      <c r="B373" s="11">
        <f>IFERROR(INDEX(RECON_RESULTS!$A$2:$A$1001,SMALL(IF(RECON_RESULTS!$A$2:$A$1001="Unmatched GL",ROW(RECON_RESULTS!$A$2:$A$1001)-1),167)),"")</f>
        <v/>
      </c>
      <c r="C373" s="10">
        <f>IF(B373="","",INDEX(RECON_RESULTS!$C$2:$C$1001,SMALL(IF(RECON_RESULTS!$A$2:$A$1001="Unmatched GL",ROW(RECON_RESULTS!$A$2:$A$1001)-1),167)))</f>
        <v/>
      </c>
      <c r="D373" s="11">
        <f>IF(B373="","",INDEX(RECON_RESULTS!$B$2:$B$1001,SMALL(IF(RECON_RESULTS!$A$2:$A$1001="Unmatched GL",ROW(RECON_RESULTS!$A$2:$A$1001)-1),167)))</f>
        <v/>
      </c>
      <c r="E373" s="16">
        <f>IF(B373="","",INDEX(RECON_RESULTS!$D$2:$D$1001,SMALL(IF(RECON_RESULTS!$A$2:$A$1001="Unmatched GL",ROW(RECON_RESULTS!$A$2:$A$1001)-1),167)))</f>
        <v/>
      </c>
      <c r="F373" s="11">
        <f>IF(B373="","",INDEX(RECON_RESULTS!$E$2:$E$1001,SMALL(IF(RECON_RESULTS!$A$2:$A$1001="Unmatched GL",ROW(RECON_RESULTS!$A$2:$A$1001)-1),167)))</f>
        <v/>
      </c>
      <c r="G373" s="11">
        <f>IF(B373="","",INDEX(RECON_RESULTS!$M$2:$M$1001,SMALL(IF(RECON_RESULTS!$A$2:$A$1001="Unmatched GL",ROW(RECON_RESULTS!$A$2:$A$1001)-1),167)))</f>
        <v/>
      </c>
      <c r="H373" s="11">
        <f>IF(B373="","",INDEX(RECON_RESULTS!$N$2:$N$1001,SMALL(IF(RECON_RESULTS!$A$2:$A$1001="Unmatched GL",ROW(RECON_RESULTS!$A$2:$A$1001)-1),167)))</f>
        <v/>
      </c>
      <c r="I373" s="11" t="inlineStr"/>
      <c r="J373" s="11" t="inlineStr"/>
      <c r="K373" s="11" t="inlineStr"/>
      <c r="L373" s="11" t="inlineStr"/>
    </row>
    <row r="374">
      <c r="B374" s="11">
        <f>IFERROR(INDEX(RECON_RESULTS!$A$2:$A$1001,SMALL(IF(RECON_RESULTS!$A$2:$A$1001="Unmatched GL",ROW(RECON_RESULTS!$A$2:$A$1001)-1),168)),"")</f>
        <v/>
      </c>
      <c r="C374" s="10">
        <f>IF(B374="","",INDEX(RECON_RESULTS!$C$2:$C$1001,SMALL(IF(RECON_RESULTS!$A$2:$A$1001="Unmatched GL",ROW(RECON_RESULTS!$A$2:$A$1001)-1),168)))</f>
        <v/>
      </c>
      <c r="D374" s="11">
        <f>IF(B374="","",INDEX(RECON_RESULTS!$B$2:$B$1001,SMALL(IF(RECON_RESULTS!$A$2:$A$1001="Unmatched GL",ROW(RECON_RESULTS!$A$2:$A$1001)-1),168)))</f>
        <v/>
      </c>
      <c r="E374" s="16">
        <f>IF(B374="","",INDEX(RECON_RESULTS!$D$2:$D$1001,SMALL(IF(RECON_RESULTS!$A$2:$A$1001="Unmatched GL",ROW(RECON_RESULTS!$A$2:$A$1001)-1),168)))</f>
        <v/>
      </c>
      <c r="F374" s="11">
        <f>IF(B374="","",INDEX(RECON_RESULTS!$E$2:$E$1001,SMALL(IF(RECON_RESULTS!$A$2:$A$1001="Unmatched GL",ROW(RECON_RESULTS!$A$2:$A$1001)-1),168)))</f>
        <v/>
      </c>
      <c r="G374" s="11">
        <f>IF(B374="","",INDEX(RECON_RESULTS!$M$2:$M$1001,SMALL(IF(RECON_RESULTS!$A$2:$A$1001="Unmatched GL",ROW(RECON_RESULTS!$A$2:$A$1001)-1),168)))</f>
        <v/>
      </c>
      <c r="H374" s="11">
        <f>IF(B374="","",INDEX(RECON_RESULTS!$N$2:$N$1001,SMALL(IF(RECON_RESULTS!$A$2:$A$1001="Unmatched GL",ROW(RECON_RESULTS!$A$2:$A$1001)-1),168)))</f>
        <v/>
      </c>
      <c r="I374" s="11" t="inlineStr"/>
      <c r="J374" s="11" t="inlineStr"/>
      <c r="K374" s="11" t="inlineStr"/>
      <c r="L374" s="11" t="inlineStr"/>
    </row>
    <row r="375">
      <c r="B375" s="11">
        <f>IFERROR(INDEX(RECON_RESULTS!$A$2:$A$1001,SMALL(IF(RECON_RESULTS!$A$2:$A$1001="Unmatched GL",ROW(RECON_RESULTS!$A$2:$A$1001)-1),169)),"")</f>
        <v/>
      </c>
      <c r="C375" s="10">
        <f>IF(B375="","",INDEX(RECON_RESULTS!$C$2:$C$1001,SMALL(IF(RECON_RESULTS!$A$2:$A$1001="Unmatched GL",ROW(RECON_RESULTS!$A$2:$A$1001)-1),169)))</f>
        <v/>
      </c>
      <c r="D375" s="11">
        <f>IF(B375="","",INDEX(RECON_RESULTS!$B$2:$B$1001,SMALL(IF(RECON_RESULTS!$A$2:$A$1001="Unmatched GL",ROW(RECON_RESULTS!$A$2:$A$1001)-1),169)))</f>
        <v/>
      </c>
      <c r="E375" s="16">
        <f>IF(B375="","",INDEX(RECON_RESULTS!$D$2:$D$1001,SMALL(IF(RECON_RESULTS!$A$2:$A$1001="Unmatched GL",ROW(RECON_RESULTS!$A$2:$A$1001)-1),169)))</f>
        <v/>
      </c>
      <c r="F375" s="11">
        <f>IF(B375="","",INDEX(RECON_RESULTS!$E$2:$E$1001,SMALL(IF(RECON_RESULTS!$A$2:$A$1001="Unmatched GL",ROW(RECON_RESULTS!$A$2:$A$1001)-1),169)))</f>
        <v/>
      </c>
      <c r="G375" s="11">
        <f>IF(B375="","",INDEX(RECON_RESULTS!$M$2:$M$1001,SMALL(IF(RECON_RESULTS!$A$2:$A$1001="Unmatched GL",ROW(RECON_RESULTS!$A$2:$A$1001)-1),169)))</f>
        <v/>
      </c>
      <c r="H375" s="11">
        <f>IF(B375="","",INDEX(RECON_RESULTS!$N$2:$N$1001,SMALL(IF(RECON_RESULTS!$A$2:$A$1001="Unmatched GL",ROW(RECON_RESULTS!$A$2:$A$1001)-1),169)))</f>
        <v/>
      </c>
      <c r="I375" s="11" t="inlineStr"/>
      <c r="J375" s="11" t="inlineStr"/>
      <c r="K375" s="11" t="inlineStr"/>
      <c r="L375" s="11" t="inlineStr"/>
    </row>
    <row r="376">
      <c r="B376" s="11">
        <f>IFERROR(INDEX(RECON_RESULTS!$A$2:$A$1001,SMALL(IF(RECON_RESULTS!$A$2:$A$1001="Unmatched GL",ROW(RECON_RESULTS!$A$2:$A$1001)-1),170)),"")</f>
        <v/>
      </c>
      <c r="C376" s="10">
        <f>IF(B376="","",INDEX(RECON_RESULTS!$C$2:$C$1001,SMALL(IF(RECON_RESULTS!$A$2:$A$1001="Unmatched GL",ROW(RECON_RESULTS!$A$2:$A$1001)-1),170)))</f>
        <v/>
      </c>
      <c r="D376" s="11">
        <f>IF(B376="","",INDEX(RECON_RESULTS!$B$2:$B$1001,SMALL(IF(RECON_RESULTS!$A$2:$A$1001="Unmatched GL",ROW(RECON_RESULTS!$A$2:$A$1001)-1),170)))</f>
        <v/>
      </c>
      <c r="E376" s="16">
        <f>IF(B376="","",INDEX(RECON_RESULTS!$D$2:$D$1001,SMALL(IF(RECON_RESULTS!$A$2:$A$1001="Unmatched GL",ROW(RECON_RESULTS!$A$2:$A$1001)-1),170)))</f>
        <v/>
      </c>
      <c r="F376" s="11">
        <f>IF(B376="","",INDEX(RECON_RESULTS!$E$2:$E$1001,SMALL(IF(RECON_RESULTS!$A$2:$A$1001="Unmatched GL",ROW(RECON_RESULTS!$A$2:$A$1001)-1),170)))</f>
        <v/>
      </c>
      <c r="G376" s="11">
        <f>IF(B376="","",INDEX(RECON_RESULTS!$M$2:$M$1001,SMALL(IF(RECON_RESULTS!$A$2:$A$1001="Unmatched GL",ROW(RECON_RESULTS!$A$2:$A$1001)-1),170)))</f>
        <v/>
      </c>
      <c r="H376" s="11">
        <f>IF(B376="","",INDEX(RECON_RESULTS!$N$2:$N$1001,SMALL(IF(RECON_RESULTS!$A$2:$A$1001="Unmatched GL",ROW(RECON_RESULTS!$A$2:$A$1001)-1),170)))</f>
        <v/>
      </c>
      <c r="I376" s="11" t="inlineStr"/>
      <c r="J376" s="11" t="inlineStr"/>
      <c r="K376" s="11" t="inlineStr"/>
      <c r="L376" s="11" t="inlineStr"/>
    </row>
    <row r="377">
      <c r="B377" s="11">
        <f>IFERROR(INDEX(RECON_RESULTS!$A$2:$A$1001,SMALL(IF(RECON_RESULTS!$A$2:$A$1001="Unmatched GL",ROW(RECON_RESULTS!$A$2:$A$1001)-1),171)),"")</f>
        <v/>
      </c>
      <c r="C377" s="10">
        <f>IF(B377="","",INDEX(RECON_RESULTS!$C$2:$C$1001,SMALL(IF(RECON_RESULTS!$A$2:$A$1001="Unmatched GL",ROW(RECON_RESULTS!$A$2:$A$1001)-1),171)))</f>
        <v/>
      </c>
      <c r="D377" s="11">
        <f>IF(B377="","",INDEX(RECON_RESULTS!$B$2:$B$1001,SMALL(IF(RECON_RESULTS!$A$2:$A$1001="Unmatched GL",ROW(RECON_RESULTS!$A$2:$A$1001)-1),171)))</f>
        <v/>
      </c>
      <c r="E377" s="16">
        <f>IF(B377="","",INDEX(RECON_RESULTS!$D$2:$D$1001,SMALL(IF(RECON_RESULTS!$A$2:$A$1001="Unmatched GL",ROW(RECON_RESULTS!$A$2:$A$1001)-1),171)))</f>
        <v/>
      </c>
      <c r="F377" s="11">
        <f>IF(B377="","",INDEX(RECON_RESULTS!$E$2:$E$1001,SMALL(IF(RECON_RESULTS!$A$2:$A$1001="Unmatched GL",ROW(RECON_RESULTS!$A$2:$A$1001)-1),171)))</f>
        <v/>
      </c>
      <c r="G377" s="11">
        <f>IF(B377="","",INDEX(RECON_RESULTS!$M$2:$M$1001,SMALL(IF(RECON_RESULTS!$A$2:$A$1001="Unmatched GL",ROW(RECON_RESULTS!$A$2:$A$1001)-1),171)))</f>
        <v/>
      </c>
      <c r="H377" s="11">
        <f>IF(B377="","",INDEX(RECON_RESULTS!$N$2:$N$1001,SMALL(IF(RECON_RESULTS!$A$2:$A$1001="Unmatched GL",ROW(RECON_RESULTS!$A$2:$A$1001)-1),171)))</f>
        <v/>
      </c>
      <c r="I377" s="11" t="inlineStr"/>
      <c r="J377" s="11" t="inlineStr"/>
      <c r="K377" s="11" t="inlineStr"/>
      <c r="L377" s="11" t="inlineStr"/>
    </row>
    <row r="378">
      <c r="B378" s="11">
        <f>IFERROR(INDEX(RECON_RESULTS!$A$2:$A$1001,SMALL(IF(RECON_RESULTS!$A$2:$A$1001="Unmatched GL",ROW(RECON_RESULTS!$A$2:$A$1001)-1),172)),"")</f>
        <v/>
      </c>
      <c r="C378" s="10">
        <f>IF(B378="","",INDEX(RECON_RESULTS!$C$2:$C$1001,SMALL(IF(RECON_RESULTS!$A$2:$A$1001="Unmatched GL",ROW(RECON_RESULTS!$A$2:$A$1001)-1),172)))</f>
        <v/>
      </c>
      <c r="D378" s="11">
        <f>IF(B378="","",INDEX(RECON_RESULTS!$B$2:$B$1001,SMALL(IF(RECON_RESULTS!$A$2:$A$1001="Unmatched GL",ROW(RECON_RESULTS!$A$2:$A$1001)-1),172)))</f>
        <v/>
      </c>
      <c r="E378" s="16">
        <f>IF(B378="","",INDEX(RECON_RESULTS!$D$2:$D$1001,SMALL(IF(RECON_RESULTS!$A$2:$A$1001="Unmatched GL",ROW(RECON_RESULTS!$A$2:$A$1001)-1),172)))</f>
        <v/>
      </c>
      <c r="F378" s="11">
        <f>IF(B378="","",INDEX(RECON_RESULTS!$E$2:$E$1001,SMALL(IF(RECON_RESULTS!$A$2:$A$1001="Unmatched GL",ROW(RECON_RESULTS!$A$2:$A$1001)-1),172)))</f>
        <v/>
      </c>
      <c r="G378" s="11">
        <f>IF(B378="","",INDEX(RECON_RESULTS!$M$2:$M$1001,SMALL(IF(RECON_RESULTS!$A$2:$A$1001="Unmatched GL",ROW(RECON_RESULTS!$A$2:$A$1001)-1),172)))</f>
        <v/>
      </c>
      <c r="H378" s="11">
        <f>IF(B378="","",INDEX(RECON_RESULTS!$N$2:$N$1001,SMALL(IF(RECON_RESULTS!$A$2:$A$1001="Unmatched GL",ROW(RECON_RESULTS!$A$2:$A$1001)-1),172)))</f>
        <v/>
      </c>
      <c r="I378" s="11" t="inlineStr"/>
      <c r="J378" s="11" t="inlineStr"/>
      <c r="K378" s="11" t="inlineStr"/>
      <c r="L378" s="11" t="inlineStr"/>
    </row>
    <row r="379">
      <c r="B379" s="11">
        <f>IFERROR(INDEX(RECON_RESULTS!$A$2:$A$1001,SMALL(IF(RECON_RESULTS!$A$2:$A$1001="Unmatched GL",ROW(RECON_RESULTS!$A$2:$A$1001)-1),173)),"")</f>
        <v/>
      </c>
      <c r="C379" s="10">
        <f>IF(B379="","",INDEX(RECON_RESULTS!$C$2:$C$1001,SMALL(IF(RECON_RESULTS!$A$2:$A$1001="Unmatched GL",ROW(RECON_RESULTS!$A$2:$A$1001)-1),173)))</f>
        <v/>
      </c>
      <c r="D379" s="11">
        <f>IF(B379="","",INDEX(RECON_RESULTS!$B$2:$B$1001,SMALL(IF(RECON_RESULTS!$A$2:$A$1001="Unmatched GL",ROW(RECON_RESULTS!$A$2:$A$1001)-1),173)))</f>
        <v/>
      </c>
      <c r="E379" s="16">
        <f>IF(B379="","",INDEX(RECON_RESULTS!$D$2:$D$1001,SMALL(IF(RECON_RESULTS!$A$2:$A$1001="Unmatched GL",ROW(RECON_RESULTS!$A$2:$A$1001)-1),173)))</f>
        <v/>
      </c>
      <c r="F379" s="11">
        <f>IF(B379="","",INDEX(RECON_RESULTS!$E$2:$E$1001,SMALL(IF(RECON_RESULTS!$A$2:$A$1001="Unmatched GL",ROW(RECON_RESULTS!$A$2:$A$1001)-1),173)))</f>
        <v/>
      </c>
      <c r="G379" s="11">
        <f>IF(B379="","",INDEX(RECON_RESULTS!$M$2:$M$1001,SMALL(IF(RECON_RESULTS!$A$2:$A$1001="Unmatched GL",ROW(RECON_RESULTS!$A$2:$A$1001)-1),173)))</f>
        <v/>
      </c>
      <c r="H379" s="11">
        <f>IF(B379="","",INDEX(RECON_RESULTS!$N$2:$N$1001,SMALL(IF(RECON_RESULTS!$A$2:$A$1001="Unmatched GL",ROW(RECON_RESULTS!$A$2:$A$1001)-1),173)))</f>
        <v/>
      </c>
      <c r="I379" s="11" t="inlineStr"/>
      <c r="J379" s="11" t="inlineStr"/>
      <c r="K379" s="11" t="inlineStr"/>
      <c r="L379" s="11" t="inlineStr"/>
    </row>
    <row r="380">
      <c r="B380" s="11">
        <f>IFERROR(INDEX(RECON_RESULTS!$A$2:$A$1001,SMALL(IF(RECON_RESULTS!$A$2:$A$1001="Unmatched GL",ROW(RECON_RESULTS!$A$2:$A$1001)-1),174)),"")</f>
        <v/>
      </c>
      <c r="C380" s="10">
        <f>IF(B380="","",INDEX(RECON_RESULTS!$C$2:$C$1001,SMALL(IF(RECON_RESULTS!$A$2:$A$1001="Unmatched GL",ROW(RECON_RESULTS!$A$2:$A$1001)-1),174)))</f>
        <v/>
      </c>
      <c r="D380" s="11">
        <f>IF(B380="","",INDEX(RECON_RESULTS!$B$2:$B$1001,SMALL(IF(RECON_RESULTS!$A$2:$A$1001="Unmatched GL",ROW(RECON_RESULTS!$A$2:$A$1001)-1),174)))</f>
        <v/>
      </c>
      <c r="E380" s="16">
        <f>IF(B380="","",INDEX(RECON_RESULTS!$D$2:$D$1001,SMALL(IF(RECON_RESULTS!$A$2:$A$1001="Unmatched GL",ROW(RECON_RESULTS!$A$2:$A$1001)-1),174)))</f>
        <v/>
      </c>
      <c r="F380" s="11">
        <f>IF(B380="","",INDEX(RECON_RESULTS!$E$2:$E$1001,SMALL(IF(RECON_RESULTS!$A$2:$A$1001="Unmatched GL",ROW(RECON_RESULTS!$A$2:$A$1001)-1),174)))</f>
        <v/>
      </c>
      <c r="G380" s="11">
        <f>IF(B380="","",INDEX(RECON_RESULTS!$M$2:$M$1001,SMALL(IF(RECON_RESULTS!$A$2:$A$1001="Unmatched GL",ROW(RECON_RESULTS!$A$2:$A$1001)-1),174)))</f>
        <v/>
      </c>
      <c r="H380" s="11">
        <f>IF(B380="","",INDEX(RECON_RESULTS!$N$2:$N$1001,SMALL(IF(RECON_RESULTS!$A$2:$A$1001="Unmatched GL",ROW(RECON_RESULTS!$A$2:$A$1001)-1),174)))</f>
        <v/>
      </c>
      <c r="I380" s="11" t="inlineStr"/>
      <c r="J380" s="11" t="inlineStr"/>
      <c r="K380" s="11" t="inlineStr"/>
      <c r="L380" s="11" t="inlineStr"/>
    </row>
    <row r="381">
      <c r="B381" s="11">
        <f>IFERROR(INDEX(RECON_RESULTS!$A$2:$A$1001,SMALL(IF(RECON_RESULTS!$A$2:$A$1001="Unmatched GL",ROW(RECON_RESULTS!$A$2:$A$1001)-1),175)),"")</f>
        <v/>
      </c>
      <c r="C381" s="10">
        <f>IF(B381="","",INDEX(RECON_RESULTS!$C$2:$C$1001,SMALL(IF(RECON_RESULTS!$A$2:$A$1001="Unmatched GL",ROW(RECON_RESULTS!$A$2:$A$1001)-1),175)))</f>
        <v/>
      </c>
      <c r="D381" s="11">
        <f>IF(B381="","",INDEX(RECON_RESULTS!$B$2:$B$1001,SMALL(IF(RECON_RESULTS!$A$2:$A$1001="Unmatched GL",ROW(RECON_RESULTS!$A$2:$A$1001)-1),175)))</f>
        <v/>
      </c>
      <c r="E381" s="16">
        <f>IF(B381="","",INDEX(RECON_RESULTS!$D$2:$D$1001,SMALL(IF(RECON_RESULTS!$A$2:$A$1001="Unmatched GL",ROW(RECON_RESULTS!$A$2:$A$1001)-1),175)))</f>
        <v/>
      </c>
      <c r="F381" s="11">
        <f>IF(B381="","",INDEX(RECON_RESULTS!$E$2:$E$1001,SMALL(IF(RECON_RESULTS!$A$2:$A$1001="Unmatched GL",ROW(RECON_RESULTS!$A$2:$A$1001)-1),175)))</f>
        <v/>
      </c>
      <c r="G381" s="11">
        <f>IF(B381="","",INDEX(RECON_RESULTS!$M$2:$M$1001,SMALL(IF(RECON_RESULTS!$A$2:$A$1001="Unmatched GL",ROW(RECON_RESULTS!$A$2:$A$1001)-1),175)))</f>
        <v/>
      </c>
      <c r="H381" s="11">
        <f>IF(B381="","",INDEX(RECON_RESULTS!$N$2:$N$1001,SMALL(IF(RECON_RESULTS!$A$2:$A$1001="Unmatched GL",ROW(RECON_RESULTS!$A$2:$A$1001)-1),175)))</f>
        <v/>
      </c>
      <c r="I381" s="11" t="inlineStr"/>
      <c r="J381" s="11" t="inlineStr"/>
      <c r="K381" s="11" t="inlineStr"/>
      <c r="L381" s="11" t="inlineStr"/>
    </row>
    <row r="382">
      <c r="B382" s="11">
        <f>IFERROR(INDEX(RECON_RESULTS!$A$2:$A$1001,SMALL(IF(RECON_RESULTS!$A$2:$A$1001="Unmatched GL",ROW(RECON_RESULTS!$A$2:$A$1001)-1),176)),"")</f>
        <v/>
      </c>
      <c r="C382" s="10">
        <f>IF(B382="","",INDEX(RECON_RESULTS!$C$2:$C$1001,SMALL(IF(RECON_RESULTS!$A$2:$A$1001="Unmatched GL",ROW(RECON_RESULTS!$A$2:$A$1001)-1),176)))</f>
        <v/>
      </c>
      <c r="D382" s="11">
        <f>IF(B382="","",INDEX(RECON_RESULTS!$B$2:$B$1001,SMALL(IF(RECON_RESULTS!$A$2:$A$1001="Unmatched GL",ROW(RECON_RESULTS!$A$2:$A$1001)-1),176)))</f>
        <v/>
      </c>
      <c r="E382" s="16">
        <f>IF(B382="","",INDEX(RECON_RESULTS!$D$2:$D$1001,SMALL(IF(RECON_RESULTS!$A$2:$A$1001="Unmatched GL",ROW(RECON_RESULTS!$A$2:$A$1001)-1),176)))</f>
        <v/>
      </c>
      <c r="F382" s="11">
        <f>IF(B382="","",INDEX(RECON_RESULTS!$E$2:$E$1001,SMALL(IF(RECON_RESULTS!$A$2:$A$1001="Unmatched GL",ROW(RECON_RESULTS!$A$2:$A$1001)-1),176)))</f>
        <v/>
      </c>
      <c r="G382" s="11">
        <f>IF(B382="","",INDEX(RECON_RESULTS!$M$2:$M$1001,SMALL(IF(RECON_RESULTS!$A$2:$A$1001="Unmatched GL",ROW(RECON_RESULTS!$A$2:$A$1001)-1),176)))</f>
        <v/>
      </c>
      <c r="H382" s="11">
        <f>IF(B382="","",INDEX(RECON_RESULTS!$N$2:$N$1001,SMALL(IF(RECON_RESULTS!$A$2:$A$1001="Unmatched GL",ROW(RECON_RESULTS!$A$2:$A$1001)-1),176)))</f>
        <v/>
      </c>
      <c r="I382" s="11" t="inlineStr"/>
      <c r="J382" s="11" t="inlineStr"/>
      <c r="K382" s="11" t="inlineStr"/>
      <c r="L382" s="11" t="inlineStr"/>
    </row>
    <row r="383">
      <c r="B383" s="11">
        <f>IFERROR(INDEX(RECON_RESULTS!$A$2:$A$1001,SMALL(IF(RECON_RESULTS!$A$2:$A$1001="Unmatched GL",ROW(RECON_RESULTS!$A$2:$A$1001)-1),177)),"")</f>
        <v/>
      </c>
      <c r="C383" s="10">
        <f>IF(B383="","",INDEX(RECON_RESULTS!$C$2:$C$1001,SMALL(IF(RECON_RESULTS!$A$2:$A$1001="Unmatched GL",ROW(RECON_RESULTS!$A$2:$A$1001)-1),177)))</f>
        <v/>
      </c>
      <c r="D383" s="11">
        <f>IF(B383="","",INDEX(RECON_RESULTS!$B$2:$B$1001,SMALL(IF(RECON_RESULTS!$A$2:$A$1001="Unmatched GL",ROW(RECON_RESULTS!$A$2:$A$1001)-1),177)))</f>
        <v/>
      </c>
      <c r="E383" s="16">
        <f>IF(B383="","",INDEX(RECON_RESULTS!$D$2:$D$1001,SMALL(IF(RECON_RESULTS!$A$2:$A$1001="Unmatched GL",ROW(RECON_RESULTS!$A$2:$A$1001)-1),177)))</f>
        <v/>
      </c>
      <c r="F383" s="11">
        <f>IF(B383="","",INDEX(RECON_RESULTS!$E$2:$E$1001,SMALL(IF(RECON_RESULTS!$A$2:$A$1001="Unmatched GL",ROW(RECON_RESULTS!$A$2:$A$1001)-1),177)))</f>
        <v/>
      </c>
      <c r="G383" s="11">
        <f>IF(B383="","",INDEX(RECON_RESULTS!$M$2:$M$1001,SMALL(IF(RECON_RESULTS!$A$2:$A$1001="Unmatched GL",ROW(RECON_RESULTS!$A$2:$A$1001)-1),177)))</f>
        <v/>
      </c>
      <c r="H383" s="11">
        <f>IF(B383="","",INDEX(RECON_RESULTS!$N$2:$N$1001,SMALL(IF(RECON_RESULTS!$A$2:$A$1001="Unmatched GL",ROW(RECON_RESULTS!$A$2:$A$1001)-1),177)))</f>
        <v/>
      </c>
      <c r="I383" s="11" t="inlineStr"/>
      <c r="J383" s="11" t="inlineStr"/>
      <c r="K383" s="11" t="inlineStr"/>
      <c r="L383" s="11" t="inlineStr"/>
    </row>
    <row r="384">
      <c r="B384" s="11">
        <f>IFERROR(INDEX(RECON_RESULTS!$A$2:$A$1001,SMALL(IF(RECON_RESULTS!$A$2:$A$1001="Unmatched GL",ROW(RECON_RESULTS!$A$2:$A$1001)-1),178)),"")</f>
        <v/>
      </c>
      <c r="C384" s="10">
        <f>IF(B384="","",INDEX(RECON_RESULTS!$C$2:$C$1001,SMALL(IF(RECON_RESULTS!$A$2:$A$1001="Unmatched GL",ROW(RECON_RESULTS!$A$2:$A$1001)-1),178)))</f>
        <v/>
      </c>
      <c r="D384" s="11">
        <f>IF(B384="","",INDEX(RECON_RESULTS!$B$2:$B$1001,SMALL(IF(RECON_RESULTS!$A$2:$A$1001="Unmatched GL",ROW(RECON_RESULTS!$A$2:$A$1001)-1),178)))</f>
        <v/>
      </c>
      <c r="E384" s="16">
        <f>IF(B384="","",INDEX(RECON_RESULTS!$D$2:$D$1001,SMALL(IF(RECON_RESULTS!$A$2:$A$1001="Unmatched GL",ROW(RECON_RESULTS!$A$2:$A$1001)-1),178)))</f>
        <v/>
      </c>
      <c r="F384" s="11">
        <f>IF(B384="","",INDEX(RECON_RESULTS!$E$2:$E$1001,SMALL(IF(RECON_RESULTS!$A$2:$A$1001="Unmatched GL",ROW(RECON_RESULTS!$A$2:$A$1001)-1),178)))</f>
        <v/>
      </c>
      <c r="G384" s="11">
        <f>IF(B384="","",INDEX(RECON_RESULTS!$M$2:$M$1001,SMALL(IF(RECON_RESULTS!$A$2:$A$1001="Unmatched GL",ROW(RECON_RESULTS!$A$2:$A$1001)-1),178)))</f>
        <v/>
      </c>
      <c r="H384" s="11">
        <f>IF(B384="","",INDEX(RECON_RESULTS!$N$2:$N$1001,SMALL(IF(RECON_RESULTS!$A$2:$A$1001="Unmatched GL",ROW(RECON_RESULTS!$A$2:$A$1001)-1),178)))</f>
        <v/>
      </c>
      <c r="I384" s="11" t="inlineStr"/>
      <c r="J384" s="11" t="inlineStr"/>
      <c r="K384" s="11" t="inlineStr"/>
      <c r="L384" s="11" t="inlineStr"/>
    </row>
    <row r="385">
      <c r="B385" s="11">
        <f>IFERROR(INDEX(RECON_RESULTS!$A$2:$A$1001,SMALL(IF(RECON_RESULTS!$A$2:$A$1001="Unmatched GL",ROW(RECON_RESULTS!$A$2:$A$1001)-1),179)),"")</f>
        <v/>
      </c>
      <c r="C385" s="10">
        <f>IF(B385="","",INDEX(RECON_RESULTS!$C$2:$C$1001,SMALL(IF(RECON_RESULTS!$A$2:$A$1001="Unmatched GL",ROW(RECON_RESULTS!$A$2:$A$1001)-1),179)))</f>
        <v/>
      </c>
      <c r="D385" s="11">
        <f>IF(B385="","",INDEX(RECON_RESULTS!$B$2:$B$1001,SMALL(IF(RECON_RESULTS!$A$2:$A$1001="Unmatched GL",ROW(RECON_RESULTS!$A$2:$A$1001)-1),179)))</f>
        <v/>
      </c>
      <c r="E385" s="16">
        <f>IF(B385="","",INDEX(RECON_RESULTS!$D$2:$D$1001,SMALL(IF(RECON_RESULTS!$A$2:$A$1001="Unmatched GL",ROW(RECON_RESULTS!$A$2:$A$1001)-1),179)))</f>
        <v/>
      </c>
      <c r="F385" s="11">
        <f>IF(B385="","",INDEX(RECON_RESULTS!$E$2:$E$1001,SMALL(IF(RECON_RESULTS!$A$2:$A$1001="Unmatched GL",ROW(RECON_RESULTS!$A$2:$A$1001)-1),179)))</f>
        <v/>
      </c>
      <c r="G385" s="11">
        <f>IF(B385="","",INDEX(RECON_RESULTS!$M$2:$M$1001,SMALL(IF(RECON_RESULTS!$A$2:$A$1001="Unmatched GL",ROW(RECON_RESULTS!$A$2:$A$1001)-1),179)))</f>
        <v/>
      </c>
      <c r="H385" s="11">
        <f>IF(B385="","",INDEX(RECON_RESULTS!$N$2:$N$1001,SMALL(IF(RECON_RESULTS!$A$2:$A$1001="Unmatched GL",ROW(RECON_RESULTS!$A$2:$A$1001)-1),179)))</f>
        <v/>
      </c>
      <c r="I385" s="11" t="inlineStr"/>
      <c r="J385" s="11" t="inlineStr"/>
      <c r="K385" s="11" t="inlineStr"/>
      <c r="L385" s="11" t="inlineStr"/>
    </row>
    <row r="386">
      <c r="B386" s="11">
        <f>IFERROR(INDEX(RECON_RESULTS!$A$2:$A$1001,SMALL(IF(RECON_RESULTS!$A$2:$A$1001="Unmatched GL",ROW(RECON_RESULTS!$A$2:$A$1001)-1),180)),"")</f>
        <v/>
      </c>
      <c r="C386" s="10">
        <f>IF(B386="","",INDEX(RECON_RESULTS!$C$2:$C$1001,SMALL(IF(RECON_RESULTS!$A$2:$A$1001="Unmatched GL",ROW(RECON_RESULTS!$A$2:$A$1001)-1),180)))</f>
        <v/>
      </c>
      <c r="D386" s="11">
        <f>IF(B386="","",INDEX(RECON_RESULTS!$B$2:$B$1001,SMALL(IF(RECON_RESULTS!$A$2:$A$1001="Unmatched GL",ROW(RECON_RESULTS!$A$2:$A$1001)-1),180)))</f>
        <v/>
      </c>
      <c r="E386" s="16">
        <f>IF(B386="","",INDEX(RECON_RESULTS!$D$2:$D$1001,SMALL(IF(RECON_RESULTS!$A$2:$A$1001="Unmatched GL",ROW(RECON_RESULTS!$A$2:$A$1001)-1),180)))</f>
        <v/>
      </c>
      <c r="F386" s="11">
        <f>IF(B386="","",INDEX(RECON_RESULTS!$E$2:$E$1001,SMALL(IF(RECON_RESULTS!$A$2:$A$1001="Unmatched GL",ROW(RECON_RESULTS!$A$2:$A$1001)-1),180)))</f>
        <v/>
      </c>
      <c r="G386" s="11">
        <f>IF(B386="","",INDEX(RECON_RESULTS!$M$2:$M$1001,SMALL(IF(RECON_RESULTS!$A$2:$A$1001="Unmatched GL",ROW(RECON_RESULTS!$A$2:$A$1001)-1),180)))</f>
        <v/>
      </c>
      <c r="H386" s="11">
        <f>IF(B386="","",INDEX(RECON_RESULTS!$N$2:$N$1001,SMALL(IF(RECON_RESULTS!$A$2:$A$1001="Unmatched GL",ROW(RECON_RESULTS!$A$2:$A$1001)-1),180)))</f>
        <v/>
      </c>
      <c r="I386" s="11" t="inlineStr"/>
      <c r="J386" s="11" t="inlineStr"/>
      <c r="K386" s="11" t="inlineStr"/>
      <c r="L386" s="11" t="inlineStr"/>
    </row>
    <row r="387">
      <c r="B387" s="11">
        <f>IFERROR(INDEX(RECON_RESULTS!$A$2:$A$1001,SMALL(IF(RECON_RESULTS!$A$2:$A$1001="Unmatched GL",ROW(RECON_RESULTS!$A$2:$A$1001)-1),181)),"")</f>
        <v/>
      </c>
      <c r="C387" s="10">
        <f>IF(B387="","",INDEX(RECON_RESULTS!$C$2:$C$1001,SMALL(IF(RECON_RESULTS!$A$2:$A$1001="Unmatched GL",ROW(RECON_RESULTS!$A$2:$A$1001)-1),181)))</f>
        <v/>
      </c>
      <c r="D387" s="11">
        <f>IF(B387="","",INDEX(RECON_RESULTS!$B$2:$B$1001,SMALL(IF(RECON_RESULTS!$A$2:$A$1001="Unmatched GL",ROW(RECON_RESULTS!$A$2:$A$1001)-1),181)))</f>
        <v/>
      </c>
      <c r="E387" s="16">
        <f>IF(B387="","",INDEX(RECON_RESULTS!$D$2:$D$1001,SMALL(IF(RECON_RESULTS!$A$2:$A$1001="Unmatched GL",ROW(RECON_RESULTS!$A$2:$A$1001)-1),181)))</f>
        <v/>
      </c>
      <c r="F387" s="11">
        <f>IF(B387="","",INDEX(RECON_RESULTS!$E$2:$E$1001,SMALL(IF(RECON_RESULTS!$A$2:$A$1001="Unmatched GL",ROW(RECON_RESULTS!$A$2:$A$1001)-1),181)))</f>
        <v/>
      </c>
      <c r="G387" s="11">
        <f>IF(B387="","",INDEX(RECON_RESULTS!$M$2:$M$1001,SMALL(IF(RECON_RESULTS!$A$2:$A$1001="Unmatched GL",ROW(RECON_RESULTS!$A$2:$A$1001)-1),181)))</f>
        <v/>
      </c>
      <c r="H387" s="11">
        <f>IF(B387="","",INDEX(RECON_RESULTS!$N$2:$N$1001,SMALL(IF(RECON_RESULTS!$A$2:$A$1001="Unmatched GL",ROW(RECON_RESULTS!$A$2:$A$1001)-1),181)))</f>
        <v/>
      </c>
      <c r="I387" s="11" t="inlineStr"/>
      <c r="J387" s="11" t="inlineStr"/>
      <c r="K387" s="11" t="inlineStr"/>
      <c r="L387" s="11" t="inlineStr"/>
    </row>
    <row r="388">
      <c r="B388" s="11">
        <f>IFERROR(INDEX(RECON_RESULTS!$A$2:$A$1001,SMALL(IF(RECON_RESULTS!$A$2:$A$1001="Unmatched GL",ROW(RECON_RESULTS!$A$2:$A$1001)-1),182)),"")</f>
        <v/>
      </c>
      <c r="C388" s="10">
        <f>IF(B388="","",INDEX(RECON_RESULTS!$C$2:$C$1001,SMALL(IF(RECON_RESULTS!$A$2:$A$1001="Unmatched GL",ROW(RECON_RESULTS!$A$2:$A$1001)-1),182)))</f>
        <v/>
      </c>
      <c r="D388" s="11">
        <f>IF(B388="","",INDEX(RECON_RESULTS!$B$2:$B$1001,SMALL(IF(RECON_RESULTS!$A$2:$A$1001="Unmatched GL",ROW(RECON_RESULTS!$A$2:$A$1001)-1),182)))</f>
        <v/>
      </c>
      <c r="E388" s="16">
        <f>IF(B388="","",INDEX(RECON_RESULTS!$D$2:$D$1001,SMALL(IF(RECON_RESULTS!$A$2:$A$1001="Unmatched GL",ROW(RECON_RESULTS!$A$2:$A$1001)-1),182)))</f>
        <v/>
      </c>
      <c r="F388" s="11">
        <f>IF(B388="","",INDEX(RECON_RESULTS!$E$2:$E$1001,SMALL(IF(RECON_RESULTS!$A$2:$A$1001="Unmatched GL",ROW(RECON_RESULTS!$A$2:$A$1001)-1),182)))</f>
        <v/>
      </c>
      <c r="G388" s="11">
        <f>IF(B388="","",INDEX(RECON_RESULTS!$M$2:$M$1001,SMALL(IF(RECON_RESULTS!$A$2:$A$1001="Unmatched GL",ROW(RECON_RESULTS!$A$2:$A$1001)-1),182)))</f>
        <v/>
      </c>
      <c r="H388" s="11">
        <f>IF(B388="","",INDEX(RECON_RESULTS!$N$2:$N$1001,SMALL(IF(RECON_RESULTS!$A$2:$A$1001="Unmatched GL",ROW(RECON_RESULTS!$A$2:$A$1001)-1),182)))</f>
        <v/>
      </c>
      <c r="I388" s="11" t="inlineStr"/>
      <c r="J388" s="11" t="inlineStr"/>
      <c r="K388" s="11" t="inlineStr"/>
      <c r="L388" s="11" t="inlineStr"/>
    </row>
    <row r="389">
      <c r="B389" s="11">
        <f>IFERROR(INDEX(RECON_RESULTS!$A$2:$A$1001,SMALL(IF(RECON_RESULTS!$A$2:$A$1001="Unmatched GL",ROW(RECON_RESULTS!$A$2:$A$1001)-1),183)),"")</f>
        <v/>
      </c>
      <c r="C389" s="10">
        <f>IF(B389="","",INDEX(RECON_RESULTS!$C$2:$C$1001,SMALL(IF(RECON_RESULTS!$A$2:$A$1001="Unmatched GL",ROW(RECON_RESULTS!$A$2:$A$1001)-1),183)))</f>
        <v/>
      </c>
      <c r="D389" s="11">
        <f>IF(B389="","",INDEX(RECON_RESULTS!$B$2:$B$1001,SMALL(IF(RECON_RESULTS!$A$2:$A$1001="Unmatched GL",ROW(RECON_RESULTS!$A$2:$A$1001)-1),183)))</f>
        <v/>
      </c>
      <c r="E389" s="16">
        <f>IF(B389="","",INDEX(RECON_RESULTS!$D$2:$D$1001,SMALL(IF(RECON_RESULTS!$A$2:$A$1001="Unmatched GL",ROW(RECON_RESULTS!$A$2:$A$1001)-1),183)))</f>
        <v/>
      </c>
      <c r="F389" s="11">
        <f>IF(B389="","",INDEX(RECON_RESULTS!$E$2:$E$1001,SMALL(IF(RECON_RESULTS!$A$2:$A$1001="Unmatched GL",ROW(RECON_RESULTS!$A$2:$A$1001)-1),183)))</f>
        <v/>
      </c>
      <c r="G389" s="11">
        <f>IF(B389="","",INDEX(RECON_RESULTS!$M$2:$M$1001,SMALL(IF(RECON_RESULTS!$A$2:$A$1001="Unmatched GL",ROW(RECON_RESULTS!$A$2:$A$1001)-1),183)))</f>
        <v/>
      </c>
      <c r="H389" s="11">
        <f>IF(B389="","",INDEX(RECON_RESULTS!$N$2:$N$1001,SMALL(IF(RECON_RESULTS!$A$2:$A$1001="Unmatched GL",ROW(RECON_RESULTS!$A$2:$A$1001)-1),183)))</f>
        <v/>
      </c>
      <c r="I389" s="11" t="inlineStr"/>
      <c r="J389" s="11" t="inlineStr"/>
      <c r="K389" s="11" t="inlineStr"/>
      <c r="L389" s="11" t="inlineStr"/>
    </row>
    <row r="390">
      <c r="B390" s="11">
        <f>IFERROR(INDEX(RECON_RESULTS!$A$2:$A$1001,SMALL(IF(RECON_RESULTS!$A$2:$A$1001="Unmatched GL",ROW(RECON_RESULTS!$A$2:$A$1001)-1),184)),"")</f>
        <v/>
      </c>
      <c r="C390" s="10">
        <f>IF(B390="","",INDEX(RECON_RESULTS!$C$2:$C$1001,SMALL(IF(RECON_RESULTS!$A$2:$A$1001="Unmatched GL",ROW(RECON_RESULTS!$A$2:$A$1001)-1),184)))</f>
        <v/>
      </c>
      <c r="D390" s="11">
        <f>IF(B390="","",INDEX(RECON_RESULTS!$B$2:$B$1001,SMALL(IF(RECON_RESULTS!$A$2:$A$1001="Unmatched GL",ROW(RECON_RESULTS!$A$2:$A$1001)-1),184)))</f>
        <v/>
      </c>
      <c r="E390" s="16">
        <f>IF(B390="","",INDEX(RECON_RESULTS!$D$2:$D$1001,SMALL(IF(RECON_RESULTS!$A$2:$A$1001="Unmatched GL",ROW(RECON_RESULTS!$A$2:$A$1001)-1),184)))</f>
        <v/>
      </c>
      <c r="F390" s="11">
        <f>IF(B390="","",INDEX(RECON_RESULTS!$E$2:$E$1001,SMALL(IF(RECON_RESULTS!$A$2:$A$1001="Unmatched GL",ROW(RECON_RESULTS!$A$2:$A$1001)-1),184)))</f>
        <v/>
      </c>
      <c r="G390" s="11">
        <f>IF(B390="","",INDEX(RECON_RESULTS!$M$2:$M$1001,SMALL(IF(RECON_RESULTS!$A$2:$A$1001="Unmatched GL",ROW(RECON_RESULTS!$A$2:$A$1001)-1),184)))</f>
        <v/>
      </c>
      <c r="H390" s="11">
        <f>IF(B390="","",INDEX(RECON_RESULTS!$N$2:$N$1001,SMALL(IF(RECON_RESULTS!$A$2:$A$1001="Unmatched GL",ROW(RECON_RESULTS!$A$2:$A$1001)-1),184)))</f>
        <v/>
      </c>
      <c r="I390" s="11" t="inlineStr"/>
      <c r="J390" s="11" t="inlineStr"/>
      <c r="K390" s="11" t="inlineStr"/>
      <c r="L390" s="11" t="inlineStr"/>
    </row>
    <row r="391">
      <c r="B391" s="11">
        <f>IFERROR(INDEX(RECON_RESULTS!$A$2:$A$1001,SMALL(IF(RECON_RESULTS!$A$2:$A$1001="Unmatched GL",ROW(RECON_RESULTS!$A$2:$A$1001)-1),185)),"")</f>
        <v/>
      </c>
      <c r="C391" s="10">
        <f>IF(B391="","",INDEX(RECON_RESULTS!$C$2:$C$1001,SMALL(IF(RECON_RESULTS!$A$2:$A$1001="Unmatched GL",ROW(RECON_RESULTS!$A$2:$A$1001)-1),185)))</f>
        <v/>
      </c>
      <c r="D391" s="11">
        <f>IF(B391="","",INDEX(RECON_RESULTS!$B$2:$B$1001,SMALL(IF(RECON_RESULTS!$A$2:$A$1001="Unmatched GL",ROW(RECON_RESULTS!$A$2:$A$1001)-1),185)))</f>
        <v/>
      </c>
      <c r="E391" s="16">
        <f>IF(B391="","",INDEX(RECON_RESULTS!$D$2:$D$1001,SMALL(IF(RECON_RESULTS!$A$2:$A$1001="Unmatched GL",ROW(RECON_RESULTS!$A$2:$A$1001)-1),185)))</f>
        <v/>
      </c>
      <c r="F391" s="11">
        <f>IF(B391="","",INDEX(RECON_RESULTS!$E$2:$E$1001,SMALL(IF(RECON_RESULTS!$A$2:$A$1001="Unmatched GL",ROW(RECON_RESULTS!$A$2:$A$1001)-1),185)))</f>
        <v/>
      </c>
      <c r="G391" s="11">
        <f>IF(B391="","",INDEX(RECON_RESULTS!$M$2:$M$1001,SMALL(IF(RECON_RESULTS!$A$2:$A$1001="Unmatched GL",ROW(RECON_RESULTS!$A$2:$A$1001)-1),185)))</f>
        <v/>
      </c>
      <c r="H391" s="11">
        <f>IF(B391="","",INDEX(RECON_RESULTS!$N$2:$N$1001,SMALL(IF(RECON_RESULTS!$A$2:$A$1001="Unmatched GL",ROW(RECON_RESULTS!$A$2:$A$1001)-1),185)))</f>
        <v/>
      </c>
      <c r="I391" s="11" t="inlineStr"/>
      <c r="J391" s="11" t="inlineStr"/>
      <c r="K391" s="11" t="inlineStr"/>
      <c r="L391" s="11" t="inlineStr"/>
    </row>
    <row r="392">
      <c r="B392" s="11">
        <f>IFERROR(INDEX(RECON_RESULTS!$A$2:$A$1001,SMALL(IF(RECON_RESULTS!$A$2:$A$1001="Unmatched GL",ROW(RECON_RESULTS!$A$2:$A$1001)-1),186)),"")</f>
        <v/>
      </c>
      <c r="C392" s="10">
        <f>IF(B392="","",INDEX(RECON_RESULTS!$C$2:$C$1001,SMALL(IF(RECON_RESULTS!$A$2:$A$1001="Unmatched GL",ROW(RECON_RESULTS!$A$2:$A$1001)-1),186)))</f>
        <v/>
      </c>
      <c r="D392" s="11">
        <f>IF(B392="","",INDEX(RECON_RESULTS!$B$2:$B$1001,SMALL(IF(RECON_RESULTS!$A$2:$A$1001="Unmatched GL",ROW(RECON_RESULTS!$A$2:$A$1001)-1),186)))</f>
        <v/>
      </c>
      <c r="E392" s="16">
        <f>IF(B392="","",INDEX(RECON_RESULTS!$D$2:$D$1001,SMALL(IF(RECON_RESULTS!$A$2:$A$1001="Unmatched GL",ROW(RECON_RESULTS!$A$2:$A$1001)-1),186)))</f>
        <v/>
      </c>
      <c r="F392" s="11">
        <f>IF(B392="","",INDEX(RECON_RESULTS!$E$2:$E$1001,SMALL(IF(RECON_RESULTS!$A$2:$A$1001="Unmatched GL",ROW(RECON_RESULTS!$A$2:$A$1001)-1),186)))</f>
        <v/>
      </c>
      <c r="G392" s="11">
        <f>IF(B392="","",INDEX(RECON_RESULTS!$M$2:$M$1001,SMALL(IF(RECON_RESULTS!$A$2:$A$1001="Unmatched GL",ROW(RECON_RESULTS!$A$2:$A$1001)-1),186)))</f>
        <v/>
      </c>
      <c r="H392" s="11">
        <f>IF(B392="","",INDEX(RECON_RESULTS!$N$2:$N$1001,SMALL(IF(RECON_RESULTS!$A$2:$A$1001="Unmatched GL",ROW(RECON_RESULTS!$A$2:$A$1001)-1),186)))</f>
        <v/>
      </c>
      <c r="I392" s="11" t="inlineStr"/>
      <c r="J392" s="11" t="inlineStr"/>
      <c r="K392" s="11" t="inlineStr"/>
      <c r="L392" s="11" t="inlineStr"/>
    </row>
    <row r="393">
      <c r="B393" s="11">
        <f>IFERROR(INDEX(RECON_RESULTS!$A$2:$A$1001,SMALL(IF(RECON_RESULTS!$A$2:$A$1001="Unmatched GL",ROW(RECON_RESULTS!$A$2:$A$1001)-1),187)),"")</f>
        <v/>
      </c>
      <c r="C393" s="10">
        <f>IF(B393="","",INDEX(RECON_RESULTS!$C$2:$C$1001,SMALL(IF(RECON_RESULTS!$A$2:$A$1001="Unmatched GL",ROW(RECON_RESULTS!$A$2:$A$1001)-1),187)))</f>
        <v/>
      </c>
      <c r="D393" s="11">
        <f>IF(B393="","",INDEX(RECON_RESULTS!$B$2:$B$1001,SMALL(IF(RECON_RESULTS!$A$2:$A$1001="Unmatched GL",ROW(RECON_RESULTS!$A$2:$A$1001)-1),187)))</f>
        <v/>
      </c>
      <c r="E393" s="16">
        <f>IF(B393="","",INDEX(RECON_RESULTS!$D$2:$D$1001,SMALL(IF(RECON_RESULTS!$A$2:$A$1001="Unmatched GL",ROW(RECON_RESULTS!$A$2:$A$1001)-1),187)))</f>
        <v/>
      </c>
      <c r="F393" s="11">
        <f>IF(B393="","",INDEX(RECON_RESULTS!$E$2:$E$1001,SMALL(IF(RECON_RESULTS!$A$2:$A$1001="Unmatched GL",ROW(RECON_RESULTS!$A$2:$A$1001)-1),187)))</f>
        <v/>
      </c>
      <c r="G393" s="11">
        <f>IF(B393="","",INDEX(RECON_RESULTS!$M$2:$M$1001,SMALL(IF(RECON_RESULTS!$A$2:$A$1001="Unmatched GL",ROW(RECON_RESULTS!$A$2:$A$1001)-1),187)))</f>
        <v/>
      </c>
      <c r="H393" s="11">
        <f>IF(B393="","",INDEX(RECON_RESULTS!$N$2:$N$1001,SMALL(IF(RECON_RESULTS!$A$2:$A$1001="Unmatched GL",ROW(RECON_RESULTS!$A$2:$A$1001)-1),187)))</f>
        <v/>
      </c>
      <c r="I393" s="11" t="inlineStr"/>
      <c r="J393" s="11" t="inlineStr"/>
      <c r="K393" s="11" t="inlineStr"/>
      <c r="L393" s="11" t="inlineStr"/>
    </row>
    <row r="394">
      <c r="B394" s="11">
        <f>IFERROR(INDEX(RECON_RESULTS!$A$2:$A$1001,SMALL(IF(RECON_RESULTS!$A$2:$A$1001="Unmatched GL",ROW(RECON_RESULTS!$A$2:$A$1001)-1),188)),"")</f>
        <v/>
      </c>
      <c r="C394" s="10">
        <f>IF(B394="","",INDEX(RECON_RESULTS!$C$2:$C$1001,SMALL(IF(RECON_RESULTS!$A$2:$A$1001="Unmatched GL",ROW(RECON_RESULTS!$A$2:$A$1001)-1),188)))</f>
        <v/>
      </c>
      <c r="D394" s="11">
        <f>IF(B394="","",INDEX(RECON_RESULTS!$B$2:$B$1001,SMALL(IF(RECON_RESULTS!$A$2:$A$1001="Unmatched GL",ROW(RECON_RESULTS!$A$2:$A$1001)-1),188)))</f>
        <v/>
      </c>
      <c r="E394" s="16">
        <f>IF(B394="","",INDEX(RECON_RESULTS!$D$2:$D$1001,SMALL(IF(RECON_RESULTS!$A$2:$A$1001="Unmatched GL",ROW(RECON_RESULTS!$A$2:$A$1001)-1),188)))</f>
        <v/>
      </c>
      <c r="F394" s="11">
        <f>IF(B394="","",INDEX(RECON_RESULTS!$E$2:$E$1001,SMALL(IF(RECON_RESULTS!$A$2:$A$1001="Unmatched GL",ROW(RECON_RESULTS!$A$2:$A$1001)-1),188)))</f>
        <v/>
      </c>
      <c r="G394" s="11">
        <f>IF(B394="","",INDEX(RECON_RESULTS!$M$2:$M$1001,SMALL(IF(RECON_RESULTS!$A$2:$A$1001="Unmatched GL",ROW(RECON_RESULTS!$A$2:$A$1001)-1),188)))</f>
        <v/>
      </c>
      <c r="H394" s="11">
        <f>IF(B394="","",INDEX(RECON_RESULTS!$N$2:$N$1001,SMALL(IF(RECON_RESULTS!$A$2:$A$1001="Unmatched GL",ROW(RECON_RESULTS!$A$2:$A$1001)-1),188)))</f>
        <v/>
      </c>
      <c r="I394" s="11" t="inlineStr"/>
      <c r="J394" s="11" t="inlineStr"/>
      <c r="K394" s="11" t="inlineStr"/>
      <c r="L394" s="11" t="inlineStr"/>
    </row>
    <row r="395">
      <c r="B395" s="11">
        <f>IFERROR(INDEX(RECON_RESULTS!$A$2:$A$1001,SMALL(IF(RECON_RESULTS!$A$2:$A$1001="Unmatched GL",ROW(RECON_RESULTS!$A$2:$A$1001)-1),189)),"")</f>
        <v/>
      </c>
      <c r="C395" s="10">
        <f>IF(B395="","",INDEX(RECON_RESULTS!$C$2:$C$1001,SMALL(IF(RECON_RESULTS!$A$2:$A$1001="Unmatched GL",ROW(RECON_RESULTS!$A$2:$A$1001)-1),189)))</f>
        <v/>
      </c>
      <c r="D395" s="11">
        <f>IF(B395="","",INDEX(RECON_RESULTS!$B$2:$B$1001,SMALL(IF(RECON_RESULTS!$A$2:$A$1001="Unmatched GL",ROW(RECON_RESULTS!$A$2:$A$1001)-1),189)))</f>
        <v/>
      </c>
      <c r="E395" s="16">
        <f>IF(B395="","",INDEX(RECON_RESULTS!$D$2:$D$1001,SMALL(IF(RECON_RESULTS!$A$2:$A$1001="Unmatched GL",ROW(RECON_RESULTS!$A$2:$A$1001)-1),189)))</f>
        <v/>
      </c>
      <c r="F395" s="11">
        <f>IF(B395="","",INDEX(RECON_RESULTS!$E$2:$E$1001,SMALL(IF(RECON_RESULTS!$A$2:$A$1001="Unmatched GL",ROW(RECON_RESULTS!$A$2:$A$1001)-1),189)))</f>
        <v/>
      </c>
      <c r="G395" s="11">
        <f>IF(B395="","",INDEX(RECON_RESULTS!$M$2:$M$1001,SMALL(IF(RECON_RESULTS!$A$2:$A$1001="Unmatched GL",ROW(RECON_RESULTS!$A$2:$A$1001)-1),189)))</f>
        <v/>
      </c>
      <c r="H395" s="11">
        <f>IF(B395="","",INDEX(RECON_RESULTS!$N$2:$N$1001,SMALL(IF(RECON_RESULTS!$A$2:$A$1001="Unmatched GL",ROW(RECON_RESULTS!$A$2:$A$1001)-1),189)))</f>
        <v/>
      </c>
      <c r="I395" s="11" t="inlineStr"/>
      <c r="J395" s="11" t="inlineStr"/>
      <c r="K395" s="11" t="inlineStr"/>
      <c r="L395" s="11" t="inlineStr"/>
    </row>
    <row r="396">
      <c r="B396" s="11">
        <f>IFERROR(INDEX(RECON_RESULTS!$A$2:$A$1001,SMALL(IF(RECON_RESULTS!$A$2:$A$1001="Unmatched GL",ROW(RECON_RESULTS!$A$2:$A$1001)-1),190)),"")</f>
        <v/>
      </c>
      <c r="C396" s="10">
        <f>IF(B396="","",INDEX(RECON_RESULTS!$C$2:$C$1001,SMALL(IF(RECON_RESULTS!$A$2:$A$1001="Unmatched GL",ROW(RECON_RESULTS!$A$2:$A$1001)-1),190)))</f>
        <v/>
      </c>
      <c r="D396" s="11">
        <f>IF(B396="","",INDEX(RECON_RESULTS!$B$2:$B$1001,SMALL(IF(RECON_RESULTS!$A$2:$A$1001="Unmatched GL",ROW(RECON_RESULTS!$A$2:$A$1001)-1),190)))</f>
        <v/>
      </c>
      <c r="E396" s="16">
        <f>IF(B396="","",INDEX(RECON_RESULTS!$D$2:$D$1001,SMALL(IF(RECON_RESULTS!$A$2:$A$1001="Unmatched GL",ROW(RECON_RESULTS!$A$2:$A$1001)-1),190)))</f>
        <v/>
      </c>
      <c r="F396" s="11">
        <f>IF(B396="","",INDEX(RECON_RESULTS!$E$2:$E$1001,SMALL(IF(RECON_RESULTS!$A$2:$A$1001="Unmatched GL",ROW(RECON_RESULTS!$A$2:$A$1001)-1),190)))</f>
        <v/>
      </c>
      <c r="G396" s="11">
        <f>IF(B396="","",INDEX(RECON_RESULTS!$M$2:$M$1001,SMALL(IF(RECON_RESULTS!$A$2:$A$1001="Unmatched GL",ROW(RECON_RESULTS!$A$2:$A$1001)-1),190)))</f>
        <v/>
      </c>
      <c r="H396" s="11">
        <f>IF(B396="","",INDEX(RECON_RESULTS!$N$2:$N$1001,SMALL(IF(RECON_RESULTS!$A$2:$A$1001="Unmatched GL",ROW(RECON_RESULTS!$A$2:$A$1001)-1),190)))</f>
        <v/>
      </c>
      <c r="I396" s="11" t="inlineStr"/>
      <c r="J396" s="11" t="inlineStr"/>
      <c r="K396" s="11" t="inlineStr"/>
      <c r="L396" s="11" t="inlineStr"/>
    </row>
    <row r="397">
      <c r="B397" s="11">
        <f>IFERROR(INDEX(RECON_RESULTS!$A$2:$A$1001,SMALL(IF(RECON_RESULTS!$A$2:$A$1001="Unmatched GL",ROW(RECON_RESULTS!$A$2:$A$1001)-1),191)),"")</f>
        <v/>
      </c>
      <c r="C397" s="10">
        <f>IF(B397="","",INDEX(RECON_RESULTS!$C$2:$C$1001,SMALL(IF(RECON_RESULTS!$A$2:$A$1001="Unmatched GL",ROW(RECON_RESULTS!$A$2:$A$1001)-1),191)))</f>
        <v/>
      </c>
      <c r="D397" s="11">
        <f>IF(B397="","",INDEX(RECON_RESULTS!$B$2:$B$1001,SMALL(IF(RECON_RESULTS!$A$2:$A$1001="Unmatched GL",ROW(RECON_RESULTS!$A$2:$A$1001)-1),191)))</f>
        <v/>
      </c>
      <c r="E397" s="16">
        <f>IF(B397="","",INDEX(RECON_RESULTS!$D$2:$D$1001,SMALL(IF(RECON_RESULTS!$A$2:$A$1001="Unmatched GL",ROW(RECON_RESULTS!$A$2:$A$1001)-1),191)))</f>
        <v/>
      </c>
      <c r="F397" s="11">
        <f>IF(B397="","",INDEX(RECON_RESULTS!$E$2:$E$1001,SMALL(IF(RECON_RESULTS!$A$2:$A$1001="Unmatched GL",ROW(RECON_RESULTS!$A$2:$A$1001)-1),191)))</f>
        <v/>
      </c>
      <c r="G397" s="11">
        <f>IF(B397="","",INDEX(RECON_RESULTS!$M$2:$M$1001,SMALL(IF(RECON_RESULTS!$A$2:$A$1001="Unmatched GL",ROW(RECON_RESULTS!$A$2:$A$1001)-1),191)))</f>
        <v/>
      </c>
      <c r="H397" s="11">
        <f>IF(B397="","",INDEX(RECON_RESULTS!$N$2:$N$1001,SMALL(IF(RECON_RESULTS!$A$2:$A$1001="Unmatched GL",ROW(RECON_RESULTS!$A$2:$A$1001)-1),191)))</f>
        <v/>
      </c>
      <c r="I397" s="11" t="inlineStr"/>
      <c r="J397" s="11" t="inlineStr"/>
      <c r="K397" s="11" t="inlineStr"/>
      <c r="L397" s="11" t="inlineStr"/>
    </row>
    <row r="398">
      <c r="B398" s="11">
        <f>IFERROR(INDEX(RECON_RESULTS!$A$2:$A$1001,SMALL(IF(RECON_RESULTS!$A$2:$A$1001="Unmatched GL",ROW(RECON_RESULTS!$A$2:$A$1001)-1),192)),"")</f>
        <v/>
      </c>
      <c r="C398" s="10">
        <f>IF(B398="","",INDEX(RECON_RESULTS!$C$2:$C$1001,SMALL(IF(RECON_RESULTS!$A$2:$A$1001="Unmatched GL",ROW(RECON_RESULTS!$A$2:$A$1001)-1),192)))</f>
        <v/>
      </c>
      <c r="D398" s="11">
        <f>IF(B398="","",INDEX(RECON_RESULTS!$B$2:$B$1001,SMALL(IF(RECON_RESULTS!$A$2:$A$1001="Unmatched GL",ROW(RECON_RESULTS!$A$2:$A$1001)-1),192)))</f>
        <v/>
      </c>
      <c r="E398" s="16">
        <f>IF(B398="","",INDEX(RECON_RESULTS!$D$2:$D$1001,SMALL(IF(RECON_RESULTS!$A$2:$A$1001="Unmatched GL",ROW(RECON_RESULTS!$A$2:$A$1001)-1),192)))</f>
        <v/>
      </c>
      <c r="F398" s="11">
        <f>IF(B398="","",INDEX(RECON_RESULTS!$E$2:$E$1001,SMALL(IF(RECON_RESULTS!$A$2:$A$1001="Unmatched GL",ROW(RECON_RESULTS!$A$2:$A$1001)-1),192)))</f>
        <v/>
      </c>
      <c r="G398" s="11">
        <f>IF(B398="","",INDEX(RECON_RESULTS!$M$2:$M$1001,SMALL(IF(RECON_RESULTS!$A$2:$A$1001="Unmatched GL",ROW(RECON_RESULTS!$A$2:$A$1001)-1),192)))</f>
        <v/>
      </c>
      <c r="H398" s="11">
        <f>IF(B398="","",INDEX(RECON_RESULTS!$N$2:$N$1001,SMALL(IF(RECON_RESULTS!$A$2:$A$1001="Unmatched GL",ROW(RECON_RESULTS!$A$2:$A$1001)-1),192)))</f>
        <v/>
      </c>
      <c r="I398" s="11" t="inlineStr"/>
      <c r="J398" s="11" t="inlineStr"/>
      <c r="K398" s="11" t="inlineStr"/>
      <c r="L398" s="11" t="inlineStr"/>
    </row>
    <row r="399">
      <c r="B399" s="11">
        <f>IFERROR(INDEX(RECON_RESULTS!$A$2:$A$1001,SMALL(IF(RECON_RESULTS!$A$2:$A$1001="Unmatched GL",ROW(RECON_RESULTS!$A$2:$A$1001)-1),193)),"")</f>
        <v/>
      </c>
      <c r="C399" s="10">
        <f>IF(B399="","",INDEX(RECON_RESULTS!$C$2:$C$1001,SMALL(IF(RECON_RESULTS!$A$2:$A$1001="Unmatched GL",ROW(RECON_RESULTS!$A$2:$A$1001)-1),193)))</f>
        <v/>
      </c>
      <c r="D399" s="11">
        <f>IF(B399="","",INDEX(RECON_RESULTS!$B$2:$B$1001,SMALL(IF(RECON_RESULTS!$A$2:$A$1001="Unmatched GL",ROW(RECON_RESULTS!$A$2:$A$1001)-1),193)))</f>
        <v/>
      </c>
      <c r="E399" s="16">
        <f>IF(B399="","",INDEX(RECON_RESULTS!$D$2:$D$1001,SMALL(IF(RECON_RESULTS!$A$2:$A$1001="Unmatched GL",ROW(RECON_RESULTS!$A$2:$A$1001)-1),193)))</f>
        <v/>
      </c>
      <c r="F399" s="11">
        <f>IF(B399="","",INDEX(RECON_RESULTS!$E$2:$E$1001,SMALL(IF(RECON_RESULTS!$A$2:$A$1001="Unmatched GL",ROW(RECON_RESULTS!$A$2:$A$1001)-1),193)))</f>
        <v/>
      </c>
      <c r="G399" s="11">
        <f>IF(B399="","",INDEX(RECON_RESULTS!$M$2:$M$1001,SMALL(IF(RECON_RESULTS!$A$2:$A$1001="Unmatched GL",ROW(RECON_RESULTS!$A$2:$A$1001)-1),193)))</f>
        <v/>
      </c>
      <c r="H399" s="11">
        <f>IF(B399="","",INDEX(RECON_RESULTS!$N$2:$N$1001,SMALL(IF(RECON_RESULTS!$A$2:$A$1001="Unmatched GL",ROW(RECON_RESULTS!$A$2:$A$1001)-1),193)))</f>
        <v/>
      </c>
      <c r="I399" s="11" t="inlineStr"/>
      <c r="J399" s="11" t="inlineStr"/>
      <c r="K399" s="11" t="inlineStr"/>
      <c r="L399" s="11" t="inlineStr"/>
    </row>
    <row r="400">
      <c r="B400" s="11">
        <f>IFERROR(INDEX(RECON_RESULTS!$A$2:$A$1001,SMALL(IF(RECON_RESULTS!$A$2:$A$1001="Unmatched GL",ROW(RECON_RESULTS!$A$2:$A$1001)-1),194)),"")</f>
        <v/>
      </c>
      <c r="C400" s="10">
        <f>IF(B400="","",INDEX(RECON_RESULTS!$C$2:$C$1001,SMALL(IF(RECON_RESULTS!$A$2:$A$1001="Unmatched GL",ROW(RECON_RESULTS!$A$2:$A$1001)-1),194)))</f>
        <v/>
      </c>
      <c r="D400" s="11">
        <f>IF(B400="","",INDEX(RECON_RESULTS!$B$2:$B$1001,SMALL(IF(RECON_RESULTS!$A$2:$A$1001="Unmatched GL",ROW(RECON_RESULTS!$A$2:$A$1001)-1),194)))</f>
        <v/>
      </c>
      <c r="E400" s="16">
        <f>IF(B400="","",INDEX(RECON_RESULTS!$D$2:$D$1001,SMALL(IF(RECON_RESULTS!$A$2:$A$1001="Unmatched GL",ROW(RECON_RESULTS!$A$2:$A$1001)-1),194)))</f>
        <v/>
      </c>
      <c r="F400" s="11">
        <f>IF(B400="","",INDEX(RECON_RESULTS!$E$2:$E$1001,SMALL(IF(RECON_RESULTS!$A$2:$A$1001="Unmatched GL",ROW(RECON_RESULTS!$A$2:$A$1001)-1),194)))</f>
        <v/>
      </c>
      <c r="G400" s="11">
        <f>IF(B400="","",INDEX(RECON_RESULTS!$M$2:$M$1001,SMALL(IF(RECON_RESULTS!$A$2:$A$1001="Unmatched GL",ROW(RECON_RESULTS!$A$2:$A$1001)-1),194)))</f>
        <v/>
      </c>
      <c r="H400" s="11">
        <f>IF(B400="","",INDEX(RECON_RESULTS!$N$2:$N$1001,SMALL(IF(RECON_RESULTS!$A$2:$A$1001="Unmatched GL",ROW(RECON_RESULTS!$A$2:$A$1001)-1),194)))</f>
        <v/>
      </c>
      <c r="I400" s="11" t="inlineStr"/>
      <c r="J400" s="11" t="inlineStr"/>
      <c r="K400" s="11" t="inlineStr"/>
      <c r="L400" s="11" t="inlineStr"/>
    </row>
    <row r="401">
      <c r="B401" s="11">
        <f>IFERROR(INDEX(RECON_RESULTS!$A$2:$A$1001,SMALL(IF(RECON_RESULTS!$A$2:$A$1001="Unmatched GL",ROW(RECON_RESULTS!$A$2:$A$1001)-1),195)),"")</f>
        <v/>
      </c>
      <c r="C401" s="10">
        <f>IF(B401="","",INDEX(RECON_RESULTS!$C$2:$C$1001,SMALL(IF(RECON_RESULTS!$A$2:$A$1001="Unmatched GL",ROW(RECON_RESULTS!$A$2:$A$1001)-1),195)))</f>
        <v/>
      </c>
      <c r="D401" s="11">
        <f>IF(B401="","",INDEX(RECON_RESULTS!$B$2:$B$1001,SMALL(IF(RECON_RESULTS!$A$2:$A$1001="Unmatched GL",ROW(RECON_RESULTS!$A$2:$A$1001)-1),195)))</f>
        <v/>
      </c>
      <c r="E401" s="16">
        <f>IF(B401="","",INDEX(RECON_RESULTS!$D$2:$D$1001,SMALL(IF(RECON_RESULTS!$A$2:$A$1001="Unmatched GL",ROW(RECON_RESULTS!$A$2:$A$1001)-1),195)))</f>
        <v/>
      </c>
      <c r="F401" s="11">
        <f>IF(B401="","",INDEX(RECON_RESULTS!$E$2:$E$1001,SMALL(IF(RECON_RESULTS!$A$2:$A$1001="Unmatched GL",ROW(RECON_RESULTS!$A$2:$A$1001)-1),195)))</f>
        <v/>
      </c>
      <c r="G401" s="11">
        <f>IF(B401="","",INDEX(RECON_RESULTS!$M$2:$M$1001,SMALL(IF(RECON_RESULTS!$A$2:$A$1001="Unmatched GL",ROW(RECON_RESULTS!$A$2:$A$1001)-1),195)))</f>
        <v/>
      </c>
      <c r="H401" s="11">
        <f>IF(B401="","",INDEX(RECON_RESULTS!$N$2:$N$1001,SMALL(IF(RECON_RESULTS!$A$2:$A$1001="Unmatched GL",ROW(RECON_RESULTS!$A$2:$A$1001)-1),195)))</f>
        <v/>
      </c>
      <c r="I401" s="11" t="inlineStr"/>
      <c r="J401" s="11" t="inlineStr"/>
      <c r="K401" s="11" t="inlineStr"/>
      <c r="L401" s="11" t="inlineStr"/>
    </row>
    <row r="402">
      <c r="B402" s="11">
        <f>IFERROR(INDEX(RECON_RESULTS!$A$2:$A$1001,SMALL(IF(RECON_RESULTS!$A$2:$A$1001="Unmatched GL",ROW(RECON_RESULTS!$A$2:$A$1001)-1),196)),"")</f>
        <v/>
      </c>
      <c r="C402" s="10">
        <f>IF(B402="","",INDEX(RECON_RESULTS!$C$2:$C$1001,SMALL(IF(RECON_RESULTS!$A$2:$A$1001="Unmatched GL",ROW(RECON_RESULTS!$A$2:$A$1001)-1),196)))</f>
        <v/>
      </c>
      <c r="D402" s="11">
        <f>IF(B402="","",INDEX(RECON_RESULTS!$B$2:$B$1001,SMALL(IF(RECON_RESULTS!$A$2:$A$1001="Unmatched GL",ROW(RECON_RESULTS!$A$2:$A$1001)-1),196)))</f>
        <v/>
      </c>
      <c r="E402" s="16">
        <f>IF(B402="","",INDEX(RECON_RESULTS!$D$2:$D$1001,SMALL(IF(RECON_RESULTS!$A$2:$A$1001="Unmatched GL",ROW(RECON_RESULTS!$A$2:$A$1001)-1),196)))</f>
        <v/>
      </c>
      <c r="F402" s="11">
        <f>IF(B402="","",INDEX(RECON_RESULTS!$E$2:$E$1001,SMALL(IF(RECON_RESULTS!$A$2:$A$1001="Unmatched GL",ROW(RECON_RESULTS!$A$2:$A$1001)-1),196)))</f>
        <v/>
      </c>
      <c r="G402" s="11">
        <f>IF(B402="","",INDEX(RECON_RESULTS!$M$2:$M$1001,SMALL(IF(RECON_RESULTS!$A$2:$A$1001="Unmatched GL",ROW(RECON_RESULTS!$A$2:$A$1001)-1),196)))</f>
        <v/>
      </c>
      <c r="H402" s="11">
        <f>IF(B402="","",INDEX(RECON_RESULTS!$N$2:$N$1001,SMALL(IF(RECON_RESULTS!$A$2:$A$1001="Unmatched GL",ROW(RECON_RESULTS!$A$2:$A$1001)-1),196)))</f>
        <v/>
      </c>
      <c r="I402" s="11" t="inlineStr"/>
      <c r="J402" s="11" t="inlineStr"/>
      <c r="K402" s="11" t="inlineStr"/>
      <c r="L402" s="11" t="inlineStr"/>
    </row>
    <row r="403">
      <c r="B403" s="11">
        <f>IFERROR(INDEX(RECON_RESULTS!$A$2:$A$1001,SMALL(IF(RECON_RESULTS!$A$2:$A$1001="Unmatched GL",ROW(RECON_RESULTS!$A$2:$A$1001)-1),197)),"")</f>
        <v/>
      </c>
      <c r="C403" s="10">
        <f>IF(B403="","",INDEX(RECON_RESULTS!$C$2:$C$1001,SMALL(IF(RECON_RESULTS!$A$2:$A$1001="Unmatched GL",ROW(RECON_RESULTS!$A$2:$A$1001)-1),197)))</f>
        <v/>
      </c>
      <c r="D403" s="11">
        <f>IF(B403="","",INDEX(RECON_RESULTS!$B$2:$B$1001,SMALL(IF(RECON_RESULTS!$A$2:$A$1001="Unmatched GL",ROW(RECON_RESULTS!$A$2:$A$1001)-1),197)))</f>
        <v/>
      </c>
      <c r="E403" s="16">
        <f>IF(B403="","",INDEX(RECON_RESULTS!$D$2:$D$1001,SMALL(IF(RECON_RESULTS!$A$2:$A$1001="Unmatched GL",ROW(RECON_RESULTS!$A$2:$A$1001)-1),197)))</f>
        <v/>
      </c>
      <c r="F403" s="11">
        <f>IF(B403="","",INDEX(RECON_RESULTS!$E$2:$E$1001,SMALL(IF(RECON_RESULTS!$A$2:$A$1001="Unmatched GL",ROW(RECON_RESULTS!$A$2:$A$1001)-1),197)))</f>
        <v/>
      </c>
      <c r="G403" s="11">
        <f>IF(B403="","",INDEX(RECON_RESULTS!$M$2:$M$1001,SMALL(IF(RECON_RESULTS!$A$2:$A$1001="Unmatched GL",ROW(RECON_RESULTS!$A$2:$A$1001)-1),197)))</f>
        <v/>
      </c>
      <c r="H403" s="11">
        <f>IF(B403="","",INDEX(RECON_RESULTS!$N$2:$N$1001,SMALL(IF(RECON_RESULTS!$A$2:$A$1001="Unmatched GL",ROW(RECON_RESULTS!$A$2:$A$1001)-1),197)))</f>
        <v/>
      </c>
      <c r="I403" s="11" t="inlineStr"/>
      <c r="J403" s="11" t="inlineStr"/>
      <c r="K403" s="11" t="inlineStr"/>
      <c r="L403" s="11" t="inlineStr"/>
    </row>
    <row r="404">
      <c r="B404" s="11">
        <f>IFERROR(INDEX(RECON_RESULTS!$A$2:$A$1001,SMALL(IF(RECON_RESULTS!$A$2:$A$1001="Unmatched GL",ROW(RECON_RESULTS!$A$2:$A$1001)-1),198)),"")</f>
        <v/>
      </c>
      <c r="C404" s="10">
        <f>IF(B404="","",INDEX(RECON_RESULTS!$C$2:$C$1001,SMALL(IF(RECON_RESULTS!$A$2:$A$1001="Unmatched GL",ROW(RECON_RESULTS!$A$2:$A$1001)-1),198)))</f>
        <v/>
      </c>
      <c r="D404" s="11">
        <f>IF(B404="","",INDEX(RECON_RESULTS!$B$2:$B$1001,SMALL(IF(RECON_RESULTS!$A$2:$A$1001="Unmatched GL",ROW(RECON_RESULTS!$A$2:$A$1001)-1),198)))</f>
        <v/>
      </c>
      <c r="E404" s="16">
        <f>IF(B404="","",INDEX(RECON_RESULTS!$D$2:$D$1001,SMALL(IF(RECON_RESULTS!$A$2:$A$1001="Unmatched GL",ROW(RECON_RESULTS!$A$2:$A$1001)-1),198)))</f>
        <v/>
      </c>
      <c r="F404" s="11">
        <f>IF(B404="","",INDEX(RECON_RESULTS!$E$2:$E$1001,SMALL(IF(RECON_RESULTS!$A$2:$A$1001="Unmatched GL",ROW(RECON_RESULTS!$A$2:$A$1001)-1),198)))</f>
        <v/>
      </c>
      <c r="G404" s="11">
        <f>IF(B404="","",INDEX(RECON_RESULTS!$M$2:$M$1001,SMALL(IF(RECON_RESULTS!$A$2:$A$1001="Unmatched GL",ROW(RECON_RESULTS!$A$2:$A$1001)-1),198)))</f>
        <v/>
      </c>
      <c r="H404" s="11">
        <f>IF(B404="","",INDEX(RECON_RESULTS!$N$2:$N$1001,SMALL(IF(RECON_RESULTS!$A$2:$A$1001="Unmatched GL",ROW(RECON_RESULTS!$A$2:$A$1001)-1),198)))</f>
        <v/>
      </c>
      <c r="I404" s="11" t="inlineStr"/>
      <c r="J404" s="11" t="inlineStr"/>
      <c r="K404" s="11" t="inlineStr"/>
      <c r="L404" s="11" t="inlineStr"/>
    </row>
    <row r="405">
      <c r="B405" s="11">
        <f>IFERROR(INDEX(RECON_RESULTS!$A$2:$A$1001,SMALL(IF(RECON_RESULTS!$A$2:$A$1001="Unmatched GL",ROW(RECON_RESULTS!$A$2:$A$1001)-1),199)),"")</f>
        <v/>
      </c>
      <c r="C405" s="10">
        <f>IF(B405="","",INDEX(RECON_RESULTS!$C$2:$C$1001,SMALL(IF(RECON_RESULTS!$A$2:$A$1001="Unmatched GL",ROW(RECON_RESULTS!$A$2:$A$1001)-1),199)))</f>
        <v/>
      </c>
      <c r="D405" s="11">
        <f>IF(B405="","",INDEX(RECON_RESULTS!$B$2:$B$1001,SMALL(IF(RECON_RESULTS!$A$2:$A$1001="Unmatched GL",ROW(RECON_RESULTS!$A$2:$A$1001)-1),199)))</f>
        <v/>
      </c>
      <c r="E405" s="16">
        <f>IF(B405="","",INDEX(RECON_RESULTS!$D$2:$D$1001,SMALL(IF(RECON_RESULTS!$A$2:$A$1001="Unmatched GL",ROW(RECON_RESULTS!$A$2:$A$1001)-1),199)))</f>
        <v/>
      </c>
      <c r="F405" s="11">
        <f>IF(B405="","",INDEX(RECON_RESULTS!$E$2:$E$1001,SMALL(IF(RECON_RESULTS!$A$2:$A$1001="Unmatched GL",ROW(RECON_RESULTS!$A$2:$A$1001)-1),199)))</f>
        <v/>
      </c>
      <c r="G405" s="11">
        <f>IF(B405="","",INDEX(RECON_RESULTS!$M$2:$M$1001,SMALL(IF(RECON_RESULTS!$A$2:$A$1001="Unmatched GL",ROW(RECON_RESULTS!$A$2:$A$1001)-1),199)))</f>
        <v/>
      </c>
      <c r="H405" s="11">
        <f>IF(B405="","",INDEX(RECON_RESULTS!$N$2:$N$1001,SMALL(IF(RECON_RESULTS!$A$2:$A$1001="Unmatched GL",ROW(RECON_RESULTS!$A$2:$A$1001)-1),199)))</f>
        <v/>
      </c>
      <c r="I405" s="11" t="inlineStr"/>
      <c r="J405" s="11" t="inlineStr"/>
      <c r="K405" s="11" t="inlineStr"/>
      <c r="L405" s="11" t="inlineStr"/>
    </row>
    <row r="406">
      <c r="B406" s="11">
        <f>IFERROR(INDEX(RECON_RESULTS!$A$2:$A$1001,SMALL(IF(RECON_RESULTS!$A$2:$A$1001="Unmatched GL",ROW(RECON_RESULTS!$A$2:$A$1001)-1),200)),"")</f>
        <v/>
      </c>
      <c r="C406" s="10">
        <f>IF(B406="","",INDEX(RECON_RESULTS!$C$2:$C$1001,SMALL(IF(RECON_RESULTS!$A$2:$A$1001="Unmatched GL",ROW(RECON_RESULTS!$A$2:$A$1001)-1),200)))</f>
        <v/>
      </c>
      <c r="D406" s="11">
        <f>IF(B406="","",INDEX(RECON_RESULTS!$B$2:$B$1001,SMALL(IF(RECON_RESULTS!$A$2:$A$1001="Unmatched GL",ROW(RECON_RESULTS!$A$2:$A$1001)-1),200)))</f>
        <v/>
      </c>
      <c r="E406" s="16">
        <f>IF(B406="","",INDEX(RECON_RESULTS!$D$2:$D$1001,SMALL(IF(RECON_RESULTS!$A$2:$A$1001="Unmatched GL",ROW(RECON_RESULTS!$A$2:$A$1001)-1),200)))</f>
        <v/>
      </c>
      <c r="F406" s="11">
        <f>IF(B406="","",INDEX(RECON_RESULTS!$E$2:$E$1001,SMALL(IF(RECON_RESULTS!$A$2:$A$1001="Unmatched GL",ROW(RECON_RESULTS!$A$2:$A$1001)-1),200)))</f>
        <v/>
      </c>
      <c r="G406" s="11">
        <f>IF(B406="","",INDEX(RECON_RESULTS!$M$2:$M$1001,SMALL(IF(RECON_RESULTS!$A$2:$A$1001="Unmatched GL",ROW(RECON_RESULTS!$A$2:$A$1001)-1),200)))</f>
        <v/>
      </c>
      <c r="H406" s="11">
        <f>IF(B406="","",INDEX(RECON_RESULTS!$N$2:$N$1001,SMALL(IF(RECON_RESULTS!$A$2:$A$1001="Unmatched GL",ROW(RECON_RESULTS!$A$2:$A$1001)-1),200)))</f>
        <v/>
      </c>
      <c r="I406" s="11" t="inlineStr"/>
      <c r="J406" s="11" t="inlineStr"/>
      <c r="K406" s="11" t="inlineStr"/>
      <c r="L406" s="11" t="inlineStr"/>
    </row>
    <row r="409" ht="32" customHeight="1">
      <c r="B409" s="57" t="inlineStr">
        <is>
          <t>مطابقات قريبة تحتاج مراجعة — NEAR MATCHES FOR REVIEW</t>
        </is>
      </c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</row>
    <row r="410" ht="32" customHeight="1">
      <c r="A410" s="7" t="n"/>
      <c r="B410" s="7" t="inlineStr">
        <is>
          <t>الحالة
Status</t>
        </is>
      </c>
      <c r="C410" s="7" t="inlineStr">
        <is>
          <t>رقم القيد
GL JE</t>
        </is>
      </c>
      <c r="D410" s="7" t="inlineStr">
        <is>
          <t>تاريخ GL
GL Date</t>
        </is>
      </c>
      <c r="E410" s="7" t="inlineStr">
        <is>
          <t>مبلغ GL
GL Amount</t>
        </is>
      </c>
      <c r="F410" s="7" t="inlineStr">
        <is>
          <t>تاريخ البنك
Bank Date</t>
        </is>
      </c>
      <c r="G410" s="7" t="inlineStr">
        <is>
          <t>مبلغ البنك
Bank Amount</t>
        </is>
      </c>
      <c r="H410" s="7" t="inlineStr">
        <is>
          <t>الفرق
Difference</t>
        </is>
      </c>
      <c r="I410" s="7" t="inlineStr">
        <is>
          <t>الأيام
Days</t>
        </is>
      </c>
      <c r="J410" s="7" t="inlineStr">
        <is>
          <t>النسبة
Score</t>
        </is>
      </c>
      <c r="K410" s="7" t="inlineStr">
        <is>
          <t>حالة المراجعة
Review</t>
        </is>
      </c>
      <c r="L410" s="7" t="inlineStr">
        <is>
          <t>ملاحظات
Comments</t>
        </is>
      </c>
    </row>
    <row r="411">
      <c r="B411" s="11">
        <f>IFERROR(INDEX(RECON_RESULTS!$A$2:$A$1001,SMALL(IF(RECON_RESULTS!$A$2:$A$1001="Near Match",ROW(RECON_RESULTS!$A$2:$A$1001)-1),1)),"")</f>
        <v/>
      </c>
      <c r="C411" s="11">
        <f>IF(B411="","",INDEX(RECON_RESULTS!$B$2:$B$1001,SMALL(IF(RECON_RESULTS!$A$2:$A$1001="Near Match",ROW(RECON_RESULTS!$A$2:$A$1001)-1),1)))</f>
        <v/>
      </c>
      <c r="D411" s="10">
        <f>IF(B411="","",INDEX(RECON_RESULTS!$C$2:$C$1001,SMALL(IF(RECON_RESULTS!$A$2:$A$1001="Near Match",ROW(RECON_RESULTS!$A$2:$A$1001)-1),1)))</f>
        <v/>
      </c>
      <c r="E411" s="16">
        <f>IF(B411="","",INDEX(RECON_RESULTS!$D$2:$D$1001,SMALL(IF(RECON_RESULTS!$A$2:$A$1001="Near Match",ROW(RECON_RESULTS!$A$2:$A$1001)-1),1)))</f>
        <v/>
      </c>
      <c r="F411" s="10">
        <f>IF(B411="","",INDEX(RECON_RESULTS!$F$2:$F$1001,SMALL(IF(RECON_RESULTS!$A$2:$A$1001="Near Match",ROW(RECON_RESULTS!$A$2:$A$1001)-1),1)))</f>
        <v/>
      </c>
      <c r="G411" s="16">
        <f>IF(B411="","",INDEX(RECON_RESULTS!$I$2:$I$1001,SMALL(IF(RECON_RESULTS!$A$2:$A$1001="Near Match",ROW(RECON_RESULTS!$A$2:$A$1001)-1),1)))</f>
        <v/>
      </c>
      <c r="H411" s="12">
        <f>IF(B411="","",INDEX(RECON_RESULTS!$J$2:$J$1001,SMALL(IF(RECON_RESULTS!$A$2:$A$1001="Near Match",ROW(RECON_RESULTS!$A$2:$A$1001)-1),1)))</f>
        <v/>
      </c>
      <c r="I411" s="11">
        <f>IF(B411="","",INDEX(RECON_RESULTS!$K$2:$K$1001,SMALL(IF(RECON_RESULTS!$A$2:$A$1001="Near Match",ROW(RECON_RESULTS!$A$2:$A$1001)-1),1)))</f>
        <v/>
      </c>
      <c r="J411" s="17">
        <f>IF(B411="","",INDEX(RECON_RESULTS!$L$2:$L$1001,SMALL(IF(RECON_RESULTS!$A$2:$A$1001="Near Match",ROW(RECON_RESULTS!$A$2:$A$1001)-1),1)))</f>
        <v/>
      </c>
      <c r="K411" s="11" t="inlineStr"/>
      <c r="L411" s="11" t="inlineStr"/>
    </row>
    <row r="412">
      <c r="B412" s="11">
        <f>IFERROR(INDEX(RECON_RESULTS!$A$2:$A$1001,SMALL(IF(RECON_RESULTS!$A$2:$A$1001="Near Match",ROW(RECON_RESULTS!$A$2:$A$1001)-1),2)),"")</f>
        <v/>
      </c>
      <c r="C412" s="11">
        <f>IF(B412="","",INDEX(RECON_RESULTS!$B$2:$B$1001,SMALL(IF(RECON_RESULTS!$A$2:$A$1001="Near Match",ROW(RECON_RESULTS!$A$2:$A$1001)-1),2)))</f>
        <v/>
      </c>
      <c r="D412" s="10">
        <f>IF(B412="","",INDEX(RECON_RESULTS!$C$2:$C$1001,SMALL(IF(RECON_RESULTS!$A$2:$A$1001="Near Match",ROW(RECON_RESULTS!$A$2:$A$1001)-1),2)))</f>
        <v/>
      </c>
      <c r="E412" s="16">
        <f>IF(B412="","",INDEX(RECON_RESULTS!$D$2:$D$1001,SMALL(IF(RECON_RESULTS!$A$2:$A$1001="Near Match",ROW(RECON_RESULTS!$A$2:$A$1001)-1),2)))</f>
        <v/>
      </c>
      <c r="F412" s="10">
        <f>IF(B412="","",INDEX(RECON_RESULTS!$F$2:$F$1001,SMALL(IF(RECON_RESULTS!$A$2:$A$1001="Near Match",ROW(RECON_RESULTS!$A$2:$A$1001)-1),2)))</f>
        <v/>
      </c>
      <c r="G412" s="16">
        <f>IF(B412="","",INDEX(RECON_RESULTS!$I$2:$I$1001,SMALL(IF(RECON_RESULTS!$A$2:$A$1001="Near Match",ROW(RECON_RESULTS!$A$2:$A$1001)-1),2)))</f>
        <v/>
      </c>
      <c r="H412" s="12">
        <f>IF(B412="","",INDEX(RECON_RESULTS!$J$2:$J$1001,SMALL(IF(RECON_RESULTS!$A$2:$A$1001="Near Match",ROW(RECON_RESULTS!$A$2:$A$1001)-1),2)))</f>
        <v/>
      </c>
      <c r="I412" s="11">
        <f>IF(B412="","",INDEX(RECON_RESULTS!$K$2:$K$1001,SMALL(IF(RECON_RESULTS!$A$2:$A$1001="Near Match",ROW(RECON_RESULTS!$A$2:$A$1001)-1),2)))</f>
        <v/>
      </c>
      <c r="J412" s="17">
        <f>IF(B412="","",INDEX(RECON_RESULTS!$L$2:$L$1001,SMALL(IF(RECON_RESULTS!$A$2:$A$1001="Near Match",ROW(RECON_RESULTS!$A$2:$A$1001)-1),2)))</f>
        <v/>
      </c>
      <c r="K412" s="11" t="inlineStr"/>
      <c r="L412" s="11" t="inlineStr"/>
    </row>
    <row r="413">
      <c r="B413" s="11">
        <f>IFERROR(INDEX(RECON_RESULTS!$A$2:$A$1001,SMALL(IF(RECON_RESULTS!$A$2:$A$1001="Near Match",ROW(RECON_RESULTS!$A$2:$A$1001)-1),3)),"")</f>
        <v/>
      </c>
      <c r="C413" s="11">
        <f>IF(B413="","",INDEX(RECON_RESULTS!$B$2:$B$1001,SMALL(IF(RECON_RESULTS!$A$2:$A$1001="Near Match",ROW(RECON_RESULTS!$A$2:$A$1001)-1),3)))</f>
        <v/>
      </c>
      <c r="D413" s="10">
        <f>IF(B413="","",INDEX(RECON_RESULTS!$C$2:$C$1001,SMALL(IF(RECON_RESULTS!$A$2:$A$1001="Near Match",ROW(RECON_RESULTS!$A$2:$A$1001)-1),3)))</f>
        <v/>
      </c>
      <c r="E413" s="16">
        <f>IF(B413="","",INDEX(RECON_RESULTS!$D$2:$D$1001,SMALL(IF(RECON_RESULTS!$A$2:$A$1001="Near Match",ROW(RECON_RESULTS!$A$2:$A$1001)-1),3)))</f>
        <v/>
      </c>
      <c r="F413" s="10">
        <f>IF(B413="","",INDEX(RECON_RESULTS!$F$2:$F$1001,SMALL(IF(RECON_RESULTS!$A$2:$A$1001="Near Match",ROW(RECON_RESULTS!$A$2:$A$1001)-1),3)))</f>
        <v/>
      </c>
      <c r="G413" s="16">
        <f>IF(B413="","",INDEX(RECON_RESULTS!$I$2:$I$1001,SMALL(IF(RECON_RESULTS!$A$2:$A$1001="Near Match",ROW(RECON_RESULTS!$A$2:$A$1001)-1),3)))</f>
        <v/>
      </c>
      <c r="H413" s="12">
        <f>IF(B413="","",INDEX(RECON_RESULTS!$J$2:$J$1001,SMALL(IF(RECON_RESULTS!$A$2:$A$1001="Near Match",ROW(RECON_RESULTS!$A$2:$A$1001)-1),3)))</f>
        <v/>
      </c>
      <c r="I413" s="11">
        <f>IF(B413="","",INDEX(RECON_RESULTS!$K$2:$K$1001,SMALL(IF(RECON_RESULTS!$A$2:$A$1001="Near Match",ROW(RECON_RESULTS!$A$2:$A$1001)-1),3)))</f>
        <v/>
      </c>
      <c r="J413" s="17">
        <f>IF(B413="","",INDEX(RECON_RESULTS!$L$2:$L$1001,SMALL(IF(RECON_RESULTS!$A$2:$A$1001="Near Match",ROW(RECON_RESULTS!$A$2:$A$1001)-1),3)))</f>
        <v/>
      </c>
      <c r="K413" s="11" t="inlineStr"/>
      <c r="L413" s="11" t="inlineStr"/>
    </row>
    <row r="414">
      <c r="B414" s="11">
        <f>IFERROR(INDEX(RECON_RESULTS!$A$2:$A$1001,SMALL(IF(RECON_RESULTS!$A$2:$A$1001="Near Match",ROW(RECON_RESULTS!$A$2:$A$1001)-1),4)),"")</f>
        <v/>
      </c>
      <c r="C414" s="11">
        <f>IF(B414="","",INDEX(RECON_RESULTS!$B$2:$B$1001,SMALL(IF(RECON_RESULTS!$A$2:$A$1001="Near Match",ROW(RECON_RESULTS!$A$2:$A$1001)-1),4)))</f>
        <v/>
      </c>
      <c r="D414" s="10">
        <f>IF(B414="","",INDEX(RECON_RESULTS!$C$2:$C$1001,SMALL(IF(RECON_RESULTS!$A$2:$A$1001="Near Match",ROW(RECON_RESULTS!$A$2:$A$1001)-1),4)))</f>
        <v/>
      </c>
      <c r="E414" s="16">
        <f>IF(B414="","",INDEX(RECON_RESULTS!$D$2:$D$1001,SMALL(IF(RECON_RESULTS!$A$2:$A$1001="Near Match",ROW(RECON_RESULTS!$A$2:$A$1001)-1),4)))</f>
        <v/>
      </c>
      <c r="F414" s="10">
        <f>IF(B414="","",INDEX(RECON_RESULTS!$F$2:$F$1001,SMALL(IF(RECON_RESULTS!$A$2:$A$1001="Near Match",ROW(RECON_RESULTS!$A$2:$A$1001)-1),4)))</f>
        <v/>
      </c>
      <c r="G414" s="16">
        <f>IF(B414="","",INDEX(RECON_RESULTS!$I$2:$I$1001,SMALL(IF(RECON_RESULTS!$A$2:$A$1001="Near Match",ROW(RECON_RESULTS!$A$2:$A$1001)-1),4)))</f>
        <v/>
      </c>
      <c r="H414" s="12">
        <f>IF(B414="","",INDEX(RECON_RESULTS!$J$2:$J$1001,SMALL(IF(RECON_RESULTS!$A$2:$A$1001="Near Match",ROW(RECON_RESULTS!$A$2:$A$1001)-1),4)))</f>
        <v/>
      </c>
      <c r="I414" s="11">
        <f>IF(B414="","",INDEX(RECON_RESULTS!$K$2:$K$1001,SMALL(IF(RECON_RESULTS!$A$2:$A$1001="Near Match",ROW(RECON_RESULTS!$A$2:$A$1001)-1),4)))</f>
        <v/>
      </c>
      <c r="J414" s="17">
        <f>IF(B414="","",INDEX(RECON_RESULTS!$L$2:$L$1001,SMALL(IF(RECON_RESULTS!$A$2:$A$1001="Near Match",ROW(RECON_RESULTS!$A$2:$A$1001)-1),4)))</f>
        <v/>
      </c>
      <c r="K414" s="11" t="inlineStr"/>
      <c r="L414" s="11" t="inlineStr"/>
    </row>
    <row r="415">
      <c r="B415" s="11">
        <f>IFERROR(INDEX(RECON_RESULTS!$A$2:$A$1001,SMALL(IF(RECON_RESULTS!$A$2:$A$1001="Near Match",ROW(RECON_RESULTS!$A$2:$A$1001)-1),5)),"")</f>
        <v/>
      </c>
      <c r="C415" s="11">
        <f>IF(B415="","",INDEX(RECON_RESULTS!$B$2:$B$1001,SMALL(IF(RECON_RESULTS!$A$2:$A$1001="Near Match",ROW(RECON_RESULTS!$A$2:$A$1001)-1),5)))</f>
        <v/>
      </c>
      <c r="D415" s="10">
        <f>IF(B415="","",INDEX(RECON_RESULTS!$C$2:$C$1001,SMALL(IF(RECON_RESULTS!$A$2:$A$1001="Near Match",ROW(RECON_RESULTS!$A$2:$A$1001)-1),5)))</f>
        <v/>
      </c>
      <c r="E415" s="16">
        <f>IF(B415="","",INDEX(RECON_RESULTS!$D$2:$D$1001,SMALL(IF(RECON_RESULTS!$A$2:$A$1001="Near Match",ROW(RECON_RESULTS!$A$2:$A$1001)-1),5)))</f>
        <v/>
      </c>
      <c r="F415" s="10">
        <f>IF(B415="","",INDEX(RECON_RESULTS!$F$2:$F$1001,SMALL(IF(RECON_RESULTS!$A$2:$A$1001="Near Match",ROW(RECON_RESULTS!$A$2:$A$1001)-1),5)))</f>
        <v/>
      </c>
      <c r="G415" s="16">
        <f>IF(B415="","",INDEX(RECON_RESULTS!$I$2:$I$1001,SMALL(IF(RECON_RESULTS!$A$2:$A$1001="Near Match",ROW(RECON_RESULTS!$A$2:$A$1001)-1),5)))</f>
        <v/>
      </c>
      <c r="H415" s="12">
        <f>IF(B415="","",INDEX(RECON_RESULTS!$J$2:$J$1001,SMALL(IF(RECON_RESULTS!$A$2:$A$1001="Near Match",ROW(RECON_RESULTS!$A$2:$A$1001)-1),5)))</f>
        <v/>
      </c>
      <c r="I415" s="11">
        <f>IF(B415="","",INDEX(RECON_RESULTS!$K$2:$K$1001,SMALL(IF(RECON_RESULTS!$A$2:$A$1001="Near Match",ROW(RECON_RESULTS!$A$2:$A$1001)-1),5)))</f>
        <v/>
      </c>
      <c r="J415" s="17">
        <f>IF(B415="","",INDEX(RECON_RESULTS!$L$2:$L$1001,SMALL(IF(RECON_RESULTS!$A$2:$A$1001="Near Match",ROW(RECON_RESULTS!$A$2:$A$1001)-1),5)))</f>
        <v/>
      </c>
      <c r="K415" s="11" t="inlineStr"/>
      <c r="L415" s="11" t="inlineStr"/>
    </row>
    <row r="416">
      <c r="B416" s="11">
        <f>IFERROR(INDEX(RECON_RESULTS!$A$2:$A$1001,SMALL(IF(RECON_RESULTS!$A$2:$A$1001="Near Match",ROW(RECON_RESULTS!$A$2:$A$1001)-1),6)),"")</f>
        <v/>
      </c>
      <c r="C416" s="11">
        <f>IF(B416="","",INDEX(RECON_RESULTS!$B$2:$B$1001,SMALL(IF(RECON_RESULTS!$A$2:$A$1001="Near Match",ROW(RECON_RESULTS!$A$2:$A$1001)-1),6)))</f>
        <v/>
      </c>
      <c r="D416" s="10">
        <f>IF(B416="","",INDEX(RECON_RESULTS!$C$2:$C$1001,SMALL(IF(RECON_RESULTS!$A$2:$A$1001="Near Match",ROW(RECON_RESULTS!$A$2:$A$1001)-1),6)))</f>
        <v/>
      </c>
      <c r="E416" s="16">
        <f>IF(B416="","",INDEX(RECON_RESULTS!$D$2:$D$1001,SMALL(IF(RECON_RESULTS!$A$2:$A$1001="Near Match",ROW(RECON_RESULTS!$A$2:$A$1001)-1),6)))</f>
        <v/>
      </c>
      <c r="F416" s="10">
        <f>IF(B416="","",INDEX(RECON_RESULTS!$F$2:$F$1001,SMALL(IF(RECON_RESULTS!$A$2:$A$1001="Near Match",ROW(RECON_RESULTS!$A$2:$A$1001)-1),6)))</f>
        <v/>
      </c>
      <c r="G416" s="16">
        <f>IF(B416="","",INDEX(RECON_RESULTS!$I$2:$I$1001,SMALL(IF(RECON_RESULTS!$A$2:$A$1001="Near Match",ROW(RECON_RESULTS!$A$2:$A$1001)-1),6)))</f>
        <v/>
      </c>
      <c r="H416" s="12">
        <f>IF(B416="","",INDEX(RECON_RESULTS!$J$2:$J$1001,SMALL(IF(RECON_RESULTS!$A$2:$A$1001="Near Match",ROW(RECON_RESULTS!$A$2:$A$1001)-1),6)))</f>
        <v/>
      </c>
      <c r="I416" s="11">
        <f>IF(B416="","",INDEX(RECON_RESULTS!$K$2:$K$1001,SMALL(IF(RECON_RESULTS!$A$2:$A$1001="Near Match",ROW(RECON_RESULTS!$A$2:$A$1001)-1),6)))</f>
        <v/>
      </c>
      <c r="J416" s="17">
        <f>IF(B416="","",INDEX(RECON_RESULTS!$L$2:$L$1001,SMALL(IF(RECON_RESULTS!$A$2:$A$1001="Near Match",ROW(RECON_RESULTS!$A$2:$A$1001)-1),6)))</f>
        <v/>
      </c>
      <c r="K416" s="11" t="inlineStr"/>
      <c r="L416" s="11" t="inlineStr"/>
    </row>
    <row r="417">
      <c r="B417" s="11">
        <f>IFERROR(INDEX(RECON_RESULTS!$A$2:$A$1001,SMALL(IF(RECON_RESULTS!$A$2:$A$1001="Near Match",ROW(RECON_RESULTS!$A$2:$A$1001)-1),7)),"")</f>
        <v/>
      </c>
      <c r="C417" s="11">
        <f>IF(B417="","",INDEX(RECON_RESULTS!$B$2:$B$1001,SMALL(IF(RECON_RESULTS!$A$2:$A$1001="Near Match",ROW(RECON_RESULTS!$A$2:$A$1001)-1),7)))</f>
        <v/>
      </c>
      <c r="D417" s="10">
        <f>IF(B417="","",INDEX(RECON_RESULTS!$C$2:$C$1001,SMALL(IF(RECON_RESULTS!$A$2:$A$1001="Near Match",ROW(RECON_RESULTS!$A$2:$A$1001)-1),7)))</f>
        <v/>
      </c>
      <c r="E417" s="16">
        <f>IF(B417="","",INDEX(RECON_RESULTS!$D$2:$D$1001,SMALL(IF(RECON_RESULTS!$A$2:$A$1001="Near Match",ROW(RECON_RESULTS!$A$2:$A$1001)-1),7)))</f>
        <v/>
      </c>
      <c r="F417" s="10">
        <f>IF(B417="","",INDEX(RECON_RESULTS!$F$2:$F$1001,SMALL(IF(RECON_RESULTS!$A$2:$A$1001="Near Match",ROW(RECON_RESULTS!$A$2:$A$1001)-1),7)))</f>
        <v/>
      </c>
      <c r="G417" s="16">
        <f>IF(B417="","",INDEX(RECON_RESULTS!$I$2:$I$1001,SMALL(IF(RECON_RESULTS!$A$2:$A$1001="Near Match",ROW(RECON_RESULTS!$A$2:$A$1001)-1),7)))</f>
        <v/>
      </c>
      <c r="H417" s="12">
        <f>IF(B417="","",INDEX(RECON_RESULTS!$J$2:$J$1001,SMALL(IF(RECON_RESULTS!$A$2:$A$1001="Near Match",ROW(RECON_RESULTS!$A$2:$A$1001)-1),7)))</f>
        <v/>
      </c>
      <c r="I417" s="11">
        <f>IF(B417="","",INDEX(RECON_RESULTS!$K$2:$K$1001,SMALL(IF(RECON_RESULTS!$A$2:$A$1001="Near Match",ROW(RECON_RESULTS!$A$2:$A$1001)-1),7)))</f>
        <v/>
      </c>
      <c r="J417" s="17">
        <f>IF(B417="","",INDEX(RECON_RESULTS!$L$2:$L$1001,SMALL(IF(RECON_RESULTS!$A$2:$A$1001="Near Match",ROW(RECON_RESULTS!$A$2:$A$1001)-1),7)))</f>
        <v/>
      </c>
      <c r="K417" s="11" t="inlineStr"/>
      <c r="L417" s="11" t="inlineStr"/>
    </row>
    <row r="418">
      <c r="B418" s="11">
        <f>IFERROR(INDEX(RECON_RESULTS!$A$2:$A$1001,SMALL(IF(RECON_RESULTS!$A$2:$A$1001="Near Match",ROW(RECON_RESULTS!$A$2:$A$1001)-1),8)),"")</f>
        <v/>
      </c>
      <c r="C418" s="11">
        <f>IF(B418="","",INDEX(RECON_RESULTS!$B$2:$B$1001,SMALL(IF(RECON_RESULTS!$A$2:$A$1001="Near Match",ROW(RECON_RESULTS!$A$2:$A$1001)-1),8)))</f>
        <v/>
      </c>
      <c r="D418" s="10">
        <f>IF(B418="","",INDEX(RECON_RESULTS!$C$2:$C$1001,SMALL(IF(RECON_RESULTS!$A$2:$A$1001="Near Match",ROW(RECON_RESULTS!$A$2:$A$1001)-1),8)))</f>
        <v/>
      </c>
      <c r="E418" s="16">
        <f>IF(B418="","",INDEX(RECON_RESULTS!$D$2:$D$1001,SMALL(IF(RECON_RESULTS!$A$2:$A$1001="Near Match",ROW(RECON_RESULTS!$A$2:$A$1001)-1),8)))</f>
        <v/>
      </c>
      <c r="F418" s="10">
        <f>IF(B418="","",INDEX(RECON_RESULTS!$F$2:$F$1001,SMALL(IF(RECON_RESULTS!$A$2:$A$1001="Near Match",ROW(RECON_RESULTS!$A$2:$A$1001)-1),8)))</f>
        <v/>
      </c>
      <c r="G418" s="16">
        <f>IF(B418="","",INDEX(RECON_RESULTS!$I$2:$I$1001,SMALL(IF(RECON_RESULTS!$A$2:$A$1001="Near Match",ROW(RECON_RESULTS!$A$2:$A$1001)-1),8)))</f>
        <v/>
      </c>
      <c r="H418" s="12">
        <f>IF(B418="","",INDEX(RECON_RESULTS!$J$2:$J$1001,SMALL(IF(RECON_RESULTS!$A$2:$A$1001="Near Match",ROW(RECON_RESULTS!$A$2:$A$1001)-1),8)))</f>
        <v/>
      </c>
      <c r="I418" s="11">
        <f>IF(B418="","",INDEX(RECON_RESULTS!$K$2:$K$1001,SMALL(IF(RECON_RESULTS!$A$2:$A$1001="Near Match",ROW(RECON_RESULTS!$A$2:$A$1001)-1),8)))</f>
        <v/>
      </c>
      <c r="J418" s="17">
        <f>IF(B418="","",INDEX(RECON_RESULTS!$L$2:$L$1001,SMALL(IF(RECON_RESULTS!$A$2:$A$1001="Near Match",ROW(RECON_RESULTS!$A$2:$A$1001)-1),8)))</f>
        <v/>
      </c>
      <c r="K418" s="11" t="inlineStr"/>
      <c r="L418" s="11" t="inlineStr"/>
    </row>
    <row r="419">
      <c r="B419" s="11">
        <f>IFERROR(INDEX(RECON_RESULTS!$A$2:$A$1001,SMALL(IF(RECON_RESULTS!$A$2:$A$1001="Near Match",ROW(RECON_RESULTS!$A$2:$A$1001)-1),9)),"")</f>
        <v/>
      </c>
      <c r="C419" s="11">
        <f>IF(B419="","",INDEX(RECON_RESULTS!$B$2:$B$1001,SMALL(IF(RECON_RESULTS!$A$2:$A$1001="Near Match",ROW(RECON_RESULTS!$A$2:$A$1001)-1),9)))</f>
        <v/>
      </c>
      <c r="D419" s="10">
        <f>IF(B419="","",INDEX(RECON_RESULTS!$C$2:$C$1001,SMALL(IF(RECON_RESULTS!$A$2:$A$1001="Near Match",ROW(RECON_RESULTS!$A$2:$A$1001)-1),9)))</f>
        <v/>
      </c>
      <c r="E419" s="16">
        <f>IF(B419="","",INDEX(RECON_RESULTS!$D$2:$D$1001,SMALL(IF(RECON_RESULTS!$A$2:$A$1001="Near Match",ROW(RECON_RESULTS!$A$2:$A$1001)-1),9)))</f>
        <v/>
      </c>
      <c r="F419" s="10">
        <f>IF(B419="","",INDEX(RECON_RESULTS!$F$2:$F$1001,SMALL(IF(RECON_RESULTS!$A$2:$A$1001="Near Match",ROW(RECON_RESULTS!$A$2:$A$1001)-1),9)))</f>
        <v/>
      </c>
      <c r="G419" s="16">
        <f>IF(B419="","",INDEX(RECON_RESULTS!$I$2:$I$1001,SMALL(IF(RECON_RESULTS!$A$2:$A$1001="Near Match",ROW(RECON_RESULTS!$A$2:$A$1001)-1),9)))</f>
        <v/>
      </c>
      <c r="H419" s="12">
        <f>IF(B419="","",INDEX(RECON_RESULTS!$J$2:$J$1001,SMALL(IF(RECON_RESULTS!$A$2:$A$1001="Near Match",ROW(RECON_RESULTS!$A$2:$A$1001)-1),9)))</f>
        <v/>
      </c>
      <c r="I419" s="11">
        <f>IF(B419="","",INDEX(RECON_RESULTS!$K$2:$K$1001,SMALL(IF(RECON_RESULTS!$A$2:$A$1001="Near Match",ROW(RECON_RESULTS!$A$2:$A$1001)-1),9)))</f>
        <v/>
      </c>
      <c r="J419" s="17">
        <f>IF(B419="","",INDEX(RECON_RESULTS!$L$2:$L$1001,SMALL(IF(RECON_RESULTS!$A$2:$A$1001="Near Match",ROW(RECON_RESULTS!$A$2:$A$1001)-1),9)))</f>
        <v/>
      </c>
      <c r="K419" s="11" t="inlineStr"/>
      <c r="L419" s="11" t="inlineStr"/>
    </row>
    <row r="420">
      <c r="B420" s="11">
        <f>IFERROR(INDEX(RECON_RESULTS!$A$2:$A$1001,SMALL(IF(RECON_RESULTS!$A$2:$A$1001="Near Match",ROW(RECON_RESULTS!$A$2:$A$1001)-1),10)),"")</f>
        <v/>
      </c>
      <c r="C420" s="11">
        <f>IF(B420="","",INDEX(RECON_RESULTS!$B$2:$B$1001,SMALL(IF(RECON_RESULTS!$A$2:$A$1001="Near Match",ROW(RECON_RESULTS!$A$2:$A$1001)-1),10)))</f>
        <v/>
      </c>
      <c r="D420" s="10">
        <f>IF(B420="","",INDEX(RECON_RESULTS!$C$2:$C$1001,SMALL(IF(RECON_RESULTS!$A$2:$A$1001="Near Match",ROW(RECON_RESULTS!$A$2:$A$1001)-1),10)))</f>
        <v/>
      </c>
      <c r="E420" s="16">
        <f>IF(B420="","",INDEX(RECON_RESULTS!$D$2:$D$1001,SMALL(IF(RECON_RESULTS!$A$2:$A$1001="Near Match",ROW(RECON_RESULTS!$A$2:$A$1001)-1),10)))</f>
        <v/>
      </c>
      <c r="F420" s="10">
        <f>IF(B420="","",INDEX(RECON_RESULTS!$F$2:$F$1001,SMALL(IF(RECON_RESULTS!$A$2:$A$1001="Near Match",ROW(RECON_RESULTS!$A$2:$A$1001)-1),10)))</f>
        <v/>
      </c>
      <c r="G420" s="16">
        <f>IF(B420="","",INDEX(RECON_RESULTS!$I$2:$I$1001,SMALL(IF(RECON_RESULTS!$A$2:$A$1001="Near Match",ROW(RECON_RESULTS!$A$2:$A$1001)-1),10)))</f>
        <v/>
      </c>
      <c r="H420" s="12">
        <f>IF(B420="","",INDEX(RECON_RESULTS!$J$2:$J$1001,SMALL(IF(RECON_RESULTS!$A$2:$A$1001="Near Match",ROW(RECON_RESULTS!$A$2:$A$1001)-1),10)))</f>
        <v/>
      </c>
      <c r="I420" s="11">
        <f>IF(B420="","",INDEX(RECON_RESULTS!$K$2:$K$1001,SMALL(IF(RECON_RESULTS!$A$2:$A$1001="Near Match",ROW(RECON_RESULTS!$A$2:$A$1001)-1),10)))</f>
        <v/>
      </c>
      <c r="J420" s="17">
        <f>IF(B420="","",INDEX(RECON_RESULTS!$L$2:$L$1001,SMALL(IF(RECON_RESULTS!$A$2:$A$1001="Near Match",ROW(RECON_RESULTS!$A$2:$A$1001)-1),10)))</f>
        <v/>
      </c>
      <c r="K420" s="11" t="inlineStr"/>
      <c r="L420" s="11" t="inlineStr"/>
    </row>
    <row r="421">
      <c r="B421" s="11">
        <f>IFERROR(INDEX(RECON_RESULTS!$A$2:$A$1001,SMALL(IF(RECON_RESULTS!$A$2:$A$1001="Near Match",ROW(RECON_RESULTS!$A$2:$A$1001)-1),11)),"")</f>
        <v/>
      </c>
      <c r="C421" s="11">
        <f>IF(B421="","",INDEX(RECON_RESULTS!$B$2:$B$1001,SMALL(IF(RECON_RESULTS!$A$2:$A$1001="Near Match",ROW(RECON_RESULTS!$A$2:$A$1001)-1),11)))</f>
        <v/>
      </c>
      <c r="D421" s="10">
        <f>IF(B421="","",INDEX(RECON_RESULTS!$C$2:$C$1001,SMALL(IF(RECON_RESULTS!$A$2:$A$1001="Near Match",ROW(RECON_RESULTS!$A$2:$A$1001)-1),11)))</f>
        <v/>
      </c>
      <c r="E421" s="16">
        <f>IF(B421="","",INDEX(RECON_RESULTS!$D$2:$D$1001,SMALL(IF(RECON_RESULTS!$A$2:$A$1001="Near Match",ROW(RECON_RESULTS!$A$2:$A$1001)-1),11)))</f>
        <v/>
      </c>
      <c r="F421" s="10">
        <f>IF(B421="","",INDEX(RECON_RESULTS!$F$2:$F$1001,SMALL(IF(RECON_RESULTS!$A$2:$A$1001="Near Match",ROW(RECON_RESULTS!$A$2:$A$1001)-1),11)))</f>
        <v/>
      </c>
      <c r="G421" s="16">
        <f>IF(B421="","",INDEX(RECON_RESULTS!$I$2:$I$1001,SMALL(IF(RECON_RESULTS!$A$2:$A$1001="Near Match",ROW(RECON_RESULTS!$A$2:$A$1001)-1),11)))</f>
        <v/>
      </c>
      <c r="H421" s="12">
        <f>IF(B421="","",INDEX(RECON_RESULTS!$J$2:$J$1001,SMALL(IF(RECON_RESULTS!$A$2:$A$1001="Near Match",ROW(RECON_RESULTS!$A$2:$A$1001)-1),11)))</f>
        <v/>
      </c>
      <c r="I421" s="11">
        <f>IF(B421="","",INDEX(RECON_RESULTS!$K$2:$K$1001,SMALL(IF(RECON_RESULTS!$A$2:$A$1001="Near Match",ROW(RECON_RESULTS!$A$2:$A$1001)-1),11)))</f>
        <v/>
      </c>
      <c r="J421" s="17">
        <f>IF(B421="","",INDEX(RECON_RESULTS!$L$2:$L$1001,SMALL(IF(RECON_RESULTS!$A$2:$A$1001="Near Match",ROW(RECON_RESULTS!$A$2:$A$1001)-1),11)))</f>
        <v/>
      </c>
      <c r="K421" s="11" t="inlineStr"/>
      <c r="L421" s="11" t="inlineStr"/>
    </row>
    <row r="422">
      <c r="B422" s="11">
        <f>IFERROR(INDEX(RECON_RESULTS!$A$2:$A$1001,SMALL(IF(RECON_RESULTS!$A$2:$A$1001="Near Match",ROW(RECON_RESULTS!$A$2:$A$1001)-1),12)),"")</f>
        <v/>
      </c>
      <c r="C422" s="11">
        <f>IF(B422="","",INDEX(RECON_RESULTS!$B$2:$B$1001,SMALL(IF(RECON_RESULTS!$A$2:$A$1001="Near Match",ROW(RECON_RESULTS!$A$2:$A$1001)-1),12)))</f>
        <v/>
      </c>
      <c r="D422" s="10">
        <f>IF(B422="","",INDEX(RECON_RESULTS!$C$2:$C$1001,SMALL(IF(RECON_RESULTS!$A$2:$A$1001="Near Match",ROW(RECON_RESULTS!$A$2:$A$1001)-1),12)))</f>
        <v/>
      </c>
      <c r="E422" s="16">
        <f>IF(B422="","",INDEX(RECON_RESULTS!$D$2:$D$1001,SMALL(IF(RECON_RESULTS!$A$2:$A$1001="Near Match",ROW(RECON_RESULTS!$A$2:$A$1001)-1),12)))</f>
        <v/>
      </c>
      <c r="F422" s="10">
        <f>IF(B422="","",INDEX(RECON_RESULTS!$F$2:$F$1001,SMALL(IF(RECON_RESULTS!$A$2:$A$1001="Near Match",ROW(RECON_RESULTS!$A$2:$A$1001)-1),12)))</f>
        <v/>
      </c>
      <c r="G422" s="16">
        <f>IF(B422="","",INDEX(RECON_RESULTS!$I$2:$I$1001,SMALL(IF(RECON_RESULTS!$A$2:$A$1001="Near Match",ROW(RECON_RESULTS!$A$2:$A$1001)-1),12)))</f>
        <v/>
      </c>
      <c r="H422" s="12">
        <f>IF(B422="","",INDEX(RECON_RESULTS!$J$2:$J$1001,SMALL(IF(RECON_RESULTS!$A$2:$A$1001="Near Match",ROW(RECON_RESULTS!$A$2:$A$1001)-1),12)))</f>
        <v/>
      </c>
      <c r="I422" s="11">
        <f>IF(B422="","",INDEX(RECON_RESULTS!$K$2:$K$1001,SMALL(IF(RECON_RESULTS!$A$2:$A$1001="Near Match",ROW(RECON_RESULTS!$A$2:$A$1001)-1),12)))</f>
        <v/>
      </c>
      <c r="J422" s="17">
        <f>IF(B422="","",INDEX(RECON_RESULTS!$L$2:$L$1001,SMALL(IF(RECON_RESULTS!$A$2:$A$1001="Near Match",ROW(RECON_RESULTS!$A$2:$A$1001)-1),12)))</f>
        <v/>
      </c>
      <c r="K422" s="11" t="inlineStr"/>
      <c r="L422" s="11" t="inlineStr"/>
    </row>
    <row r="423">
      <c r="B423" s="11">
        <f>IFERROR(INDEX(RECON_RESULTS!$A$2:$A$1001,SMALL(IF(RECON_RESULTS!$A$2:$A$1001="Near Match",ROW(RECON_RESULTS!$A$2:$A$1001)-1),13)),"")</f>
        <v/>
      </c>
      <c r="C423" s="11">
        <f>IF(B423="","",INDEX(RECON_RESULTS!$B$2:$B$1001,SMALL(IF(RECON_RESULTS!$A$2:$A$1001="Near Match",ROW(RECON_RESULTS!$A$2:$A$1001)-1),13)))</f>
        <v/>
      </c>
      <c r="D423" s="10">
        <f>IF(B423="","",INDEX(RECON_RESULTS!$C$2:$C$1001,SMALL(IF(RECON_RESULTS!$A$2:$A$1001="Near Match",ROW(RECON_RESULTS!$A$2:$A$1001)-1),13)))</f>
        <v/>
      </c>
      <c r="E423" s="16">
        <f>IF(B423="","",INDEX(RECON_RESULTS!$D$2:$D$1001,SMALL(IF(RECON_RESULTS!$A$2:$A$1001="Near Match",ROW(RECON_RESULTS!$A$2:$A$1001)-1),13)))</f>
        <v/>
      </c>
      <c r="F423" s="10">
        <f>IF(B423="","",INDEX(RECON_RESULTS!$F$2:$F$1001,SMALL(IF(RECON_RESULTS!$A$2:$A$1001="Near Match",ROW(RECON_RESULTS!$A$2:$A$1001)-1),13)))</f>
        <v/>
      </c>
      <c r="G423" s="16">
        <f>IF(B423="","",INDEX(RECON_RESULTS!$I$2:$I$1001,SMALL(IF(RECON_RESULTS!$A$2:$A$1001="Near Match",ROW(RECON_RESULTS!$A$2:$A$1001)-1),13)))</f>
        <v/>
      </c>
      <c r="H423" s="12">
        <f>IF(B423="","",INDEX(RECON_RESULTS!$J$2:$J$1001,SMALL(IF(RECON_RESULTS!$A$2:$A$1001="Near Match",ROW(RECON_RESULTS!$A$2:$A$1001)-1),13)))</f>
        <v/>
      </c>
      <c r="I423" s="11">
        <f>IF(B423="","",INDEX(RECON_RESULTS!$K$2:$K$1001,SMALL(IF(RECON_RESULTS!$A$2:$A$1001="Near Match",ROW(RECON_RESULTS!$A$2:$A$1001)-1),13)))</f>
        <v/>
      </c>
      <c r="J423" s="17">
        <f>IF(B423="","",INDEX(RECON_RESULTS!$L$2:$L$1001,SMALL(IF(RECON_RESULTS!$A$2:$A$1001="Near Match",ROW(RECON_RESULTS!$A$2:$A$1001)-1),13)))</f>
        <v/>
      </c>
      <c r="K423" s="11" t="inlineStr"/>
      <c r="L423" s="11" t="inlineStr"/>
    </row>
    <row r="424">
      <c r="B424" s="11">
        <f>IFERROR(INDEX(RECON_RESULTS!$A$2:$A$1001,SMALL(IF(RECON_RESULTS!$A$2:$A$1001="Near Match",ROW(RECON_RESULTS!$A$2:$A$1001)-1),14)),"")</f>
        <v/>
      </c>
      <c r="C424" s="11">
        <f>IF(B424="","",INDEX(RECON_RESULTS!$B$2:$B$1001,SMALL(IF(RECON_RESULTS!$A$2:$A$1001="Near Match",ROW(RECON_RESULTS!$A$2:$A$1001)-1),14)))</f>
        <v/>
      </c>
      <c r="D424" s="10">
        <f>IF(B424="","",INDEX(RECON_RESULTS!$C$2:$C$1001,SMALL(IF(RECON_RESULTS!$A$2:$A$1001="Near Match",ROW(RECON_RESULTS!$A$2:$A$1001)-1),14)))</f>
        <v/>
      </c>
      <c r="E424" s="16">
        <f>IF(B424="","",INDEX(RECON_RESULTS!$D$2:$D$1001,SMALL(IF(RECON_RESULTS!$A$2:$A$1001="Near Match",ROW(RECON_RESULTS!$A$2:$A$1001)-1),14)))</f>
        <v/>
      </c>
      <c r="F424" s="10">
        <f>IF(B424="","",INDEX(RECON_RESULTS!$F$2:$F$1001,SMALL(IF(RECON_RESULTS!$A$2:$A$1001="Near Match",ROW(RECON_RESULTS!$A$2:$A$1001)-1),14)))</f>
        <v/>
      </c>
      <c r="G424" s="16">
        <f>IF(B424="","",INDEX(RECON_RESULTS!$I$2:$I$1001,SMALL(IF(RECON_RESULTS!$A$2:$A$1001="Near Match",ROW(RECON_RESULTS!$A$2:$A$1001)-1),14)))</f>
        <v/>
      </c>
      <c r="H424" s="12">
        <f>IF(B424="","",INDEX(RECON_RESULTS!$J$2:$J$1001,SMALL(IF(RECON_RESULTS!$A$2:$A$1001="Near Match",ROW(RECON_RESULTS!$A$2:$A$1001)-1),14)))</f>
        <v/>
      </c>
      <c r="I424" s="11">
        <f>IF(B424="","",INDEX(RECON_RESULTS!$K$2:$K$1001,SMALL(IF(RECON_RESULTS!$A$2:$A$1001="Near Match",ROW(RECON_RESULTS!$A$2:$A$1001)-1),14)))</f>
        <v/>
      </c>
      <c r="J424" s="17">
        <f>IF(B424="","",INDEX(RECON_RESULTS!$L$2:$L$1001,SMALL(IF(RECON_RESULTS!$A$2:$A$1001="Near Match",ROW(RECON_RESULTS!$A$2:$A$1001)-1),14)))</f>
        <v/>
      </c>
      <c r="K424" s="11" t="inlineStr"/>
      <c r="L424" s="11" t="inlineStr"/>
    </row>
    <row r="425">
      <c r="B425" s="11">
        <f>IFERROR(INDEX(RECON_RESULTS!$A$2:$A$1001,SMALL(IF(RECON_RESULTS!$A$2:$A$1001="Near Match",ROW(RECON_RESULTS!$A$2:$A$1001)-1),15)),"")</f>
        <v/>
      </c>
      <c r="C425" s="11">
        <f>IF(B425="","",INDEX(RECON_RESULTS!$B$2:$B$1001,SMALL(IF(RECON_RESULTS!$A$2:$A$1001="Near Match",ROW(RECON_RESULTS!$A$2:$A$1001)-1),15)))</f>
        <v/>
      </c>
      <c r="D425" s="10">
        <f>IF(B425="","",INDEX(RECON_RESULTS!$C$2:$C$1001,SMALL(IF(RECON_RESULTS!$A$2:$A$1001="Near Match",ROW(RECON_RESULTS!$A$2:$A$1001)-1),15)))</f>
        <v/>
      </c>
      <c r="E425" s="16">
        <f>IF(B425="","",INDEX(RECON_RESULTS!$D$2:$D$1001,SMALL(IF(RECON_RESULTS!$A$2:$A$1001="Near Match",ROW(RECON_RESULTS!$A$2:$A$1001)-1),15)))</f>
        <v/>
      </c>
      <c r="F425" s="10">
        <f>IF(B425="","",INDEX(RECON_RESULTS!$F$2:$F$1001,SMALL(IF(RECON_RESULTS!$A$2:$A$1001="Near Match",ROW(RECON_RESULTS!$A$2:$A$1001)-1),15)))</f>
        <v/>
      </c>
      <c r="G425" s="16">
        <f>IF(B425="","",INDEX(RECON_RESULTS!$I$2:$I$1001,SMALL(IF(RECON_RESULTS!$A$2:$A$1001="Near Match",ROW(RECON_RESULTS!$A$2:$A$1001)-1),15)))</f>
        <v/>
      </c>
      <c r="H425" s="12">
        <f>IF(B425="","",INDEX(RECON_RESULTS!$J$2:$J$1001,SMALL(IF(RECON_RESULTS!$A$2:$A$1001="Near Match",ROW(RECON_RESULTS!$A$2:$A$1001)-1),15)))</f>
        <v/>
      </c>
      <c r="I425" s="11">
        <f>IF(B425="","",INDEX(RECON_RESULTS!$K$2:$K$1001,SMALL(IF(RECON_RESULTS!$A$2:$A$1001="Near Match",ROW(RECON_RESULTS!$A$2:$A$1001)-1),15)))</f>
        <v/>
      </c>
      <c r="J425" s="17">
        <f>IF(B425="","",INDEX(RECON_RESULTS!$L$2:$L$1001,SMALL(IF(RECON_RESULTS!$A$2:$A$1001="Near Match",ROW(RECON_RESULTS!$A$2:$A$1001)-1),15)))</f>
        <v/>
      </c>
      <c r="K425" s="11" t="inlineStr"/>
      <c r="L425" s="11" t="inlineStr"/>
    </row>
    <row r="426">
      <c r="B426" s="11">
        <f>IFERROR(INDEX(RECON_RESULTS!$A$2:$A$1001,SMALL(IF(RECON_RESULTS!$A$2:$A$1001="Near Match",ROW(RECON_RESULTS!$A$2:$A$1001)-1),16)),"")</f>
        <v/>
      </c>
      <c r="C426" s="11">
        <f>IF(B426="","",INDEX(RECON_RESULTS!$B$2:$B$1001,SMALL(IF(RECON_RESULTS!$A$2:$A$1001="Near Match",ROW(RECON_RESULTS!$A$2:$A$1001)-1),16)))</f>
        <v/>
      </c>
      <c r="D426" s="10">
        <f>IF(B426="","",INDEX(RECON_RESULTS!$C$2:$C$1001,SMALL(IF(RECON_RESULTS!$A$2:$A$1001="Near Match",ROW(RECON_RESULTS!$A$2:$A$1001)-1),16)))</f>
        <v/>
      </c>
      <c r="E426" s="16">
        <f>IF(B426="","",INDEX(RECON_RESULTS!$D$2:$D$1001,SMALL(IF(RECON_RESULTS!$A$2:$A$1001="Near Match",ROW(RECON_RESULTS!$A$2:$A$1001)-1),16)))</f>
        <v/>
      </c>
      <c r="F426" s="10">
        <f>IF(B426="","",INDEX(RECON_RESULTS!$F$2:$F$1001,SMALL(IF(RECON_RESULTS!$A$2:$A$1001="Near Match",ROW(RECON_RESULTS!$A$2:$A$1001)-1),16)))</f>
        <v/>
      </c>
      <c r="G426" s="16">
        <f>IF(B426="","",INDEX(RECON_RESULTS!$I$2:$I$1001,SMALL(IF(RECON_RESULTS!$A$2:$A$1001="Near Match",ROW(RECON_RESULTS!$A$2:$A$1001)-1),16)))</f>
        <v/>
      </c>
      <c r="H426" s="12">
        <f>IF(B426="","",INDEX(RECON_RESULTS!$J$2:$J$1001,SMALL(IF(RECON_RESULTS!$A$2:$A$1001="Near Match",ROW(RECON_RESULTS!$A$2:$A$1001)-1),16)))</f>
        <v/>
      </c>
      <c r="I426" s="11">
        <f>IF(B426="","",INDEX(RECON_RESULTS!$K$2:$K$1001,SMALL(IF(RECON_RESULTS!$A$2:$A$1001="Near Match",ROW(RECON_RESULTS!$A$2:$A$1001)-1),16)))</f>
        <v/>
      </c>
      <c r="J426" s="17">
        <f>IF(B426="","",INDEX(RECON_RESULTS!$L$2:$L$1001,SMALL(IF(RECON_RESULTS!$A$2:$A$1001="Near Match",ROW(RECON_RESULTS!$A$2:$A$1001)-1),16)))</f>
        <v/>
      </c>
      <c r="K426" s="11" t="inlineStr"/>
      <c r="L426" s="11" t="inlineStr"/>
    </row>
    <row r="427">
      <c r="B427" s="11">
        <f>IFERROR(INDEX(RECON_RESULTS!$A$2:$A$1001,SMALL(IF(RECON_RESULTS!$A$2:$A$1001="Near Match",ROW(RECON_RESULTS!$A$2:$A$1001)-1),17)),"")</f>
        <v/>
      </c>
      <c r="C427" s="11">
        <f>IF(B427="","",INDEX(RECON_RESULTS!$B$2:$B$1001,SMALL(IF(RECON_RESULTS!$A$2:$A$1001="Near Match",ROW(RECON_RESULTS!$A$2:$A$1001)-1),17)))</f>
        <v/>
      </c>
      <c r="D427" s="10">
        <f>IF(B427="","",INDEX(RECON_RESULTS!$C$2:$C$1001,SMALL(IF(RECON_RESULTS!$A$2:$A$1001="Near Match",ROW(RECON_RESULTS!$A$2:$A$1001)-1),17)))</f>
        <v/>
      </c>
      <c r="E427" s="16">
        <f>IF(B427="","",INDEX(RECON_RESULTS!$D$2:$D$1001,SMALL(IF(RECON_RESULTS!$A$2:$A$1001="Near Match",ROW(RECON_RESULTS!$A$2:$A$1001)-1),17)))</f>
        <v/>
      </c>
      <c r="F427" s="10">
        <f>IF(B427="","",INDEX(RECON_RESULTS!$F$2:$F$1001,SMALL(IF(RECON_RESULTS!$A$2:$A$1001="Near Match",ROW(RECON_RESULTS!$A$2:$A$1001)-1),17)))</f>
        <v/>
      </c>
      <c r="G427" s="16">
        <f>IF(B427="","",INDEX(RECON_RESULTS!$I$2:$I$1001,SMALL(IF(RECON_RESULTS!$A$2:$A$1001="Near Match",ROW(RECON_RESULTS!$A$2:$A$1001)-1),17)))</f>
        <v/>
      </c>
      <c r="H427" s="12">
        <f>IF(B427="","",INDEX(RECON_RESULTS!$J$2:$J$1001,SMALL(IF(RECON_RESULTS!$A$2:$A$1001="Near Match",ROW(RECON_RESULTS!$A$2:$A$1001)-1),17)))</f>
        <v/>
      </c>
      <c r="I427" s="11">
        <f>IF(B427="","",INDEX(RECON_RESULTS!$K$2:$K$1001,SMALL(IF(RECON_RESULTS!$A$2:$A$1001="Near Match",ROW(RECON_RESULTS!$A$2:$A$1001)-1),17)))</f>
        <v/>
      </c>
      <c r="J427" s="17">
        <f>IF(B427="","",INDEX(RECON_RESULTS!$L$2:$L$1001,SMALL(IF(RECON_RESULTS!$A$2:$A$1001="Near Match",ROW(RECON_RESULTS!$A$2:$A$1001)-1),17)))</f>
        <v/>
      </c>
      <c r="K427" s="11" t="inlineStr"/>
      <c r="L427" s="11" t="inlineStr"/>
    </row>
    <row r="428">
      <c r="B428" s="11">
        <f>IFERROR(INDEX(RECON_RESULTS!$A$2:$A$1001,SMALL(IF(RECON_RESULTS!$A$2:$A$1001="Near Match",ROW(RECON_RESULTS!$A$2:$A$1001)-1),18)),"")</f>
        <v/>
      </c>
      <c r="C428" s="11">
        <f>IF(B428="","",INDEX(RECON_RESULTS!$B$2:$B$1001,SMALL(IF(RECON_RESULTS!$A$2:$A$1001="Near Match",ROW(RECON_RESULTS!$A$2:$A$1001)-1),18)))</f>
        <v/>
      </c>
      <c r="D428" s="10">
        <f>IF(B428="","",INDEX(RECON_RESULTS!$C$2:$C$1001,SMALL(IF(RECON_RESULTS!$A$2:$A$1001="Near Match",ROW(RECON_RESULTS!$A$2:$A$1001)-1),18)))</f>
        <v/>
      </c>
      <c r="E428" s="16">
        <f>IF(B428="","",INDEX(RECON_RESULTS!$D$2:$D$1001,SMALL(IF(RECON_RESULTS!$A$2:$A$1001="Near Match",ROW(RECON_RESULTS!$A$2:$A$1001)-1),18)))</f>
        <v/>
      </c>
      <c r="F428" s="10">
        <f>IF(B428="","",INDEX(RECON_RESULTS!$F$2:$F$1001,SMALL(IF(RECON_RESULTS!$A$2:$A$1001="Near Match",ROW(RECON_RESULTS!$A$2:$A$1001)-1),18)))</f>
        <v/>
      </c>
      <c r="G428" s="16">
        <f>IF(B428="","",INDEX(RECON_RESULTS!$I$2:$I$1001,SMALL(IF(RECON_RESULTS!$A$2:$A$1001="Near Match",ROW(RECON_RESULTS!$A$2:$A$1001)-1),18)))</f>
        <v/>
      </c>
      <c r="H428" s="12">
        <f>IF(B428="","",INDEX(RECON_RESULTS!$J$2:$J$1001,SMALL(IF(RECON_RESULTS!$A$2:$A$1001="Near Match",ROW(RECON_RESULTS!$A$2:$A$1001)-1),18)))</f>
        <v/>
      </c>
      <c r="I428" s="11">
        <f>IF(B428="","",INDEX(RECON_RESULTS!$K$2:$K$1001,SMALL(IF(RECON_RESULTS!$A$2:$A$1001="Near Match",ROW(RECON_RESULTS!$A$2:$A$1001)-1),18)))</f>
        <v/>
      </c>
      <c r="J428" s="17">
        <f>IF(B428="","",INDEX(RECON_RESULTS!$L$2:$L$1001,SMALL(IF(RECON_RESULTS!$A$2:$A$1001="Near Match",ROW(RECON_RESULTS!$A$2:$A$1001)-1),18)))</f>
        <v/>
      </c>
      <c r="K428" s="11" t="inlineStr"/>
      <c r="L428" s="11" t="inlineStr"/>
    </row>
    <row r="429">
      <c r="B429" s="11">
        <f>IFERROR(INDEX(RECON_RESULTS!$A$2:$A$1001,SMALL(IF(RECON_RESULTS!$A$2:$A$1001="Near Match",ROW(RECON_RESULTS!$A$2:$A$1001)-1),19)),"")</f>
        <v/>
      </c>
      <c r="C429" s="11">
        <f>IF(B429="","",INDEX(RECON_RESULTS!$B$2:$B$1001,SMALL(IF(RECON_RESULTS!$A$2:$A$1001="Near Match",ROW(RECON_RESULTS!$A$2:$A$1001)-1),19)))</f>
        <v/>
      </c>
      <c r="D429" s="10">
        <f>IF(B429="","",INDEX(RECON_RESULTS!$C$2:$C$1001,SMALL(IF(RECON_RESULTS!$A$2:$A$1001="Near Match",ROW(RECON_RESULTS!$A$2:$A$1001)-1),19)))</f>
        <v/>
      </c>
      <c r="E429" s="16">
        <f>IF(B429="","",INDEX(RECON_RESULTS!$D$2:$D$1001,SMALL(IF(RECON_RESULTS!$A$2:$A$1001="Near Match",ROW(RECON_RESULTS!$A$2:$A$1001)-1),19)))</f>
        <v/>
      </c>
      <c r="F429" s="10">
        <f>IF(B429="","",INDEX(RECON_RESULTS!$F$2:$F$1001,SMALL(IF(RECON_RESULTS!$A$2:$A$1001="Near Match",ROW(RECON_RESULTS!$A$2:$A$1001)-1),19)))</f>
        <v/>
      </c>
      <c r="G429" s="16">
        <f>IF(B429="","",INDEX(RECON_RESULTS!$I$2:$I$1001,SMALL(IF(RECON_RESULTS!$A$2:$A$1001="Near Match",ROW(RECON_RESULTS!$A$2:$A$1001)-1),19)))</f>
        <v/>
      </c>
      <c r="H429" s="12">
        <f>IF(B429="","",INDEX(RECON_RESULTS!$J$2:$J$1001,SMALL(IF(RECON_RESULTS!$A$2:$A$1001="Near Match",ROW(RECON_RESULTS!$A$2:$A$1001)-1),19)))</f>
        <v/>
      </c>
      <c r="I429" s="11">
        <f>IF(B429="","",INDEX(RECON_RESULTS!$K$2:$K$1001,SMALL(IF(RECON_RESULTS!$A$2:$A$1001="Near Match",ROW(RECON_RESULTS!$A$2:$A$1001)-1),19)))</f>
        <v/>
      </c>
      <c r="J429" s="17">
        <f>IF(B429="","",INDEX(RECON_RESULTS!$L$2:$L$1001,SMALL(IF(RECON_RESULTS!$A$2:$A$1001="Near Match",ROW(RECON_RESULTS!$A$2:$A$1001)-1),19)))</f>
        <v/>
      </c>
      <c r="K429" s="11" t="inlineStr"/>
      <c r="L429" s="11" t="inlineStr"/>
    </row>
    <row r="430">
      <c r="B430" s="11">
        <f>IFERROR(INDEX(RECON_RESULTS!$A$2:$A$1001,SMALL(IF(RECON_RESULTS!$A$2:$A$1001="Near Match",ROW(RECON_RESULTS!$A$2:$A$1001)-1),20)),"")</f>
        <v/>
      </c>
      <c r="C430" s="11">
        <f>IF(B430="","",INDEX(RECON_RESULTS!$B$2:$B$1001,SMALL(IF(RECON_RESULTS!$A$2:$A$1001="Near Match",ROW(RECON_RESULTS!$A$2:$A$1001)-1),20)))</f>
        <v/>
      </c>
      <c r="D430" s="10">
        <f>IF(B430="","",INDEX(RECON_RESULTS!$C$2:$C$1001,SMALL(IF(RECON_RESULTS!$A$2:$A$1001="Near Match",ROW(RECON_RESULTS!$A$2:$A$1001)-1),20)))</f>
        <v/>
      </c>
      <c r="E430" s="16">
        <f>IF(B430="","",INDEX(RECON_RESULTS!$D$2:$D$1001,SMALL(IF(RECON_RESULTS!$A$2:$A$1001="Near Match",ROW(RECON_RESULTS!$A$2:$A$1001)-1),20)))</f>
        <v/>
      </c>
      <c r="F430" s="10">
        <f>IF(B430="","",INDEX(RECON_RESULTS!$F$2:$F$1001,SMALL(IF(RECON_RESULTS!$A$2:$A$1001="Near Match",ROW(RECON_RESULTS!$A$2:$A$1001)-1),20)))</f>
        <v/>
      </c>
      <c r="G430" s="16">
        <f>IF(B430="","",INDEX(RECON_RESULTS!$I$2:$I$1001,SMALL(IF(RECON_RESULTS!$A$2:$A$1001="Near Match",ROW(RECON_RESULTS!$A$2:$A$1001)-1),20)))</f>
        <v/>
      </c>
      <c r="H430" s="12">
        <f>IF(B430="","",INDEX(RECON_RESULTS!$J$2:$J$1001,SMALL(IF(RECON_RESULTS!$A$2:$A$1001="Near Match",ROW(RECON_RESULTS!$A$2:$A$1001)-1),20)))</f>
        <v/>
      </c>
      <c r="I430" s="11">
        <f>IF(B430="","",INDEX(RECON_RESULTS!$K$2:$K$1001,SMALL(IF(RECON_RESULTS!$A$2:$A$1001="Near Match",ROW(RECON_RESULTS!$A$2:$A$1001)-1),20)))</f>
        <v/>
      </c>
      <c r="J430" s="17">
        <f>IF(B430="","",INDEX(RECON_RESULTS!$L$2:$L$1001,SMALL(IF(RECON_RESULTS!$A$2:$A$1001="Near Match",ROW(RECON_RESULTS!$A$2:$A$1001)-1),20)))</f>
        <v/>
      </c>
      <c r="K430" s="11" t="inlineStr"/>
      <c r="L430" s="11" t="inlineStr"/>
    </row>
    <row r="431">
      <c r="B431" s="11">
        <f>IFERROR(INDEX(RECON_RESULTS!$A$2:$A$1001,SMALL(IF(RECON_RESULTS!$A$2:$A$1001="Near Match",ROW(RECON_RESULTS!$A$2:$A$1001)-1),21)),"")</f>
        <v/>
      </c>
      <c r="C431" s="11">
        <f>IF(B431="","",INDEX(RECON_RESULTS!$B$2:$B$1001,SMALL(IF(RECON_RESULTS!$A$2:$A$1001="Near Match",ROW(RECON_RESULTS!$A$2:$A$1001)-1),21)))</f>
        <v/>
      </c>
      <c r="D431" s="10">
        <f>IF(B431="","",INDEX(RECON_RESULTS!$C$2:$C$1001,SMALL(IF(RECON_RESULTS!$A$2:$A$1001="Near Match",ROW(RECON_RESULTS!$A$2:$A$1001)-1),21)))</f>
        <v/>
      </c>
      <c r="E431" s="16">
        <f>IF(B431="","",INDEX(RECON_RESULTS!$D$2:$D$1001,SMALL(IF(RECON_RESULTS!$A$2:$A$1001="Near Match",ROW(RECON_RESULTS!$A$2:$A$1001)-1),21)))</f>
        <v/>
      </c>
      <c r="F431" s="10">
        <f>IF(B431="","",INDEX(RECON_RESULTS!$F$2:$F$1001,SMALL(IF(RECON_RESULTS!$A$2:$A$1001="Near Match",ROW(RECON_RESULTS!$A$2:$A$1001)-1),21)))</f>
        <v/>
      </c>
      <c r="G431" s="16">
        <f>IF(B431="","",INDEX(RECON_RESULTS!$I$2:$I$1001,SMALL(IF(RECON_RESULTS!$A$2:$A$1001="Near Match",ROW(RECON_RESULTS!$A$2:$A$1001)-1),21)))</f>
        <v/>
      </c>
      <c r="H431" s="12">
        <f>IF(B431="","",INDEX(RECON_RESULTS!$J$2:$J$1001,SMALL(IF(RECON_RESULTS!$A$2:$A$1001="Near Match",ROW(RECON_RESULTS!$A$2:$A$1001)-1),21)))</f>
        <v/>
      </c>
      <c r="I431" s="11">
        <f>IF(B431="","",INDEX(RECON_RESULTS!$K$2:$K$1001,SMALL(IF(RECON_RESULTS!$A$2:$A$1001="Near Match",ROW(RECON_RESULTS!$A$2:$A$1001)-1),21)))</f>
        <v/>
      </c>
      <c r="J431" s="17">
        <f>IF(B431="","",INDEX(RECON_RESULTS!$L$2:$L$1001,SMALL(IF(RECON_RESULTS!$A$2:$A$1001="Near Match",ROW(RECON_RESULTS!$A$2:$A$1001)-1),21)))</f>
        <v/>
      </c>
      <c r="K431" s="11" t="inlineStr"/>
      <c r="L431" s="11" t="inlineStr"/>
    </row>
    <row r="432">
      <c r="B432" s="11">
        <f>IFERROR(INDEX(RECON_RESULTS!$A$2:$A$1001,SMALL(IF(RECON_RESULTS!$A$2:$A$1001="Near Match",ROW(RECON_RESULTS!$A$2:$A$1001)-1),22)),"")</f>
        <v/>
      </c>
      <c r="C432" s="11">
        <f>IF(B432="","",INDEX(RECON_RESULTS!$B$2:$B$1001,SMALL(IF(RECON_RESULTS!$A$2:$A$1001="Near Match",ROW(RECON_RESULTS!$A$2:$A$1001)-1),22)))</f>
        <v/>
      </c>
      <c r="D432" s="10">
        <f>IF(B432="","",INDEX(RECON_RESULTS!$C$2:$C$1001,SMALL(IF(RECON_RESULTS!$A$2:$A$1001="Near Match",ROW(RECON_RESULTS!$A$2:$A$1001)-1),22)))</f>
        <v/>
      </c>
      <c r="E432" s="16">
        <f>IF(B432="","",INDEX(RECON_RESULTS!$D$2:$D$1001,SMALL(IF(RECON_RESULTS!$A$2:$A$1001="Near Match",ROW(RECON_RESULTS!$A$2:$A$1001)-1),22)))</f>
        <v/>
      </c>
      <c r="F432" s="10">
        <f>IF(B432="","",INDEX(RECON_RESULTS!$F$2:$F$1001,SMALL(IF(RECON_RESULTS!$A$2:$A$1001="Near Match",ROW(RECON_RESULTS!$A$2:$A$1001)-1),22)))</f>
        <v/>
      </c>
      <c r="G432" s="16">
        <f>IF(B432="","",INDEX(RECON_RESULTS!$I$2:$I$1001,SMALL(IF(RECON_RESULTS!$A$2:$A$1001="Near Match",ROW(RECON_RESULTS!$A$2:$A$1001)-1),22)))</f>
        <v/>
      </c>
      <c r="H432" s="12">
        <f>IF(B432="","",INDEX(RECON_RESULTS!$J$2:$J$1001,SMALL(IF(RECON_RESULTS!$A$2:$A$1001="Near Match",ROW(RECON_RESULTS!$A$2:$A$1001)-1),22)))</f>
        <v/>
      </c>
      <c r="I432" s="11">
        <f>IF(B432="","",INDEX(RECON_RESULTS!$K$2:$K$1001,SMALL(IF(RECON_RESULTS!$A$2:$A$1001="Near Match",ROW(RECON_RESULTS!$A$2:$A$1001)-1),22)))</f>
        <v/>
      </c>
      <c r="J432" s="17">
        <f>IF(B432="","",INDEX(RECON_RESULTS!$L$2:$L$1001,SMALL(IF(RECON_RESULTS!$A$2:$A$1001="Near Match",ROW(RECON_RESULTS!$A$2:$A$1001)-1),22)))</f>
        <v/>
      </c>
      <c r="K432" s="11" t="inlineStr"/>
      <c r="L432" s="11" t="inlineStr"/>
    </row>
    <row r="433">
      <c r="B433" s="11">
        <f>IFERROR(INDEX(RECON_RESULTS!$A$2:$A$1001,SMALL(IF(RECON_RESULTS!$A$2:$A$1001="Near Match",ROW(RECON_RESULTS!$A$2:$A$1001)-1),23)),"")</f>
        <v/>
      </c>
      <c r="C433" s="11">
        <f>IF(B433="","",INDEX(RECON_RESULTS!$B$2:$B$1001,SMALL(IF(RECON_RESULTS!$A$2:$A$1001="Near Match",ROW(RECON_RESULTS!$A$2:$A$1001)-1),23)))</f>
        <v/>
      </c>
      <c r="D433" s="10">
        <f>IF(B433="","",INDEX(RECON_RESULTS!$C$2:$C$1001,SMALL(IF(RECON_RESULTS!$A$2:$A$1001="Near Match",ROW(RECON_RESULTS!$A$2:$A$1001)-1),23)))</f>
        <v/>
      </c>
      <c r="E433" s="16">
        <f>IF(B433="","",INDEX(RECON_RESULTS!$D$2:$D$1001,SMALL(IF(RECON_RESULTS!$A$2:$A$1001="Near Match",ROW(RECON_RESULTS!$A$2:$A$1001)-1),23)))</f>
        <v/>
      </c>
      <c r="F433" s="10">
        <f>IF(B433="","",INDEX(RECON_RESULTS!$F$2:$F$1001,SMALL(IF(RECON_RESULTS!$A$2:$A$1001="Near Match",ROW(RECON_RESULTS!$A$2:$A$1001)-1),23)))</f>
        <v/>
      </c>
      <c r="G433" s="16">
        <f>IF(B433="","",INDEX(RECON_RESULTS!$I$2:$I$1001,SMALL(IF(RECON_RESULTS!$A$2:$A$1001="Near Match",ROW(RECON_RESULTS!$A$2:$A$1001)-1),23)))</f>
        <v/>
      </c>
      <c r="H433" s="12">
        <f>IF(B433="","",INDEX(RECON_RESULTS!$J$2:$J$1001,SMALL(IF(RECON_RESULTS!$A$2:$A$1001="Near Match",ROW(RECON_RESULTS!$A$2:$A$1001)-1),23)))</f>
        <v/>
      </c>
      <c r="I433" s="11">
        <f>IF(B433="","",INDEX(RECON_RESULTS!$K$2:$K$1001,SMALL(IF(RECON_RESULTS!$A$2:$A$1001="Near Match",ROW(RECON_RESULTS!$A$2:$A$1001)-1),23)))</f>
        <v/>
      </c>
      <c r="J433" s="17">
        <f>IF(B433="","",INDEX(RECON_RESULTS!$L$2:$L$1001,SMALL(IF(RECON_RESULTS!$A$2:$A$1001="Near Match",ROW(RECON_RESULTS!$A$2:$A$1001)-1),23)))</f>
        <v/>
      </c>
      <c r="K433" s="11" t="inlineStr"/>
      <c r="L433" s="11" t="inlineStr"/>
    </row>
    <row r="434">
      <c r="B434" s="11">
        <f>IFERROR(INDEX(RECON_RESULTS!$A$2:$A$1001,SMALL(IF(RECON_RESULTS!$A$2:$A$1001="Near Match",ROW(RECON_RESULTS!$A$2:$A$1001)-1),24)),"")</f>
        <v/>
      </c>
      <c r="C434" s="11">
        <f>IF(B434="","",INDEX(RECON_RESULTS!$B$2:$B$1001,SMALL(IF(RECON_RESULTS!$A$2:$A$1001="Near Match",ROW(RECON_RESULTS!$A$2:$A$1001)-1),24)))</f>
        <v/>
      </c>
      <c r="D434" s="10">
        <f>IF(B434="","",INDEX(RECON_RESULTS!$C$2:$C$1001,SMALL(IF(RECON_RESULTS!$A$2:$A$1001="Near Match",ROW(RECON_RESULTS!$A$2:$A$1001)-1),24)))</f>
        <v/>
      </c>
      <c r="E434" s="16">
        <f>IF(B434="","",INDEX(RECON_RESULTS!$D$2:$D$1001,SMALL(IF(RECON_RESULTS!$A$2:$A$1001="Near Match",ROW(RECON_RESULTS!$A$2:$A$1001)-1),24)))</f>
        <v/>
      </c>
      <c r="F434" s="10">
        <f>IF(B434="","",INDEX(RECON_RESULTS!$F$2:$F$1001,SMALL(IF(RECON_RESULTS!$A$2:$A$1001="Near Match",ROW(RECON_RESULTS!$A$2:$A$1001)-1),24)))</f>
        <v/>
      </c>
      <c r="G434" s="16">
        <f>IF(B434="","",INDEX(RECON_RESULTS!$I$2:$I$1001,SMALL(IF(RECON_RESULTS!$A$2:$A$1001="Near Match",ROW(RECON_RESULTS!$A$2:$A$1001)-1),24)))</f>
        <v/>
      </c>
      <c r="H434" s="12">
        <f>IF(B434="","",INDEX(RECON_RESULTS!$J$2:$J$1001,SMALL(IF(RECON_RESULTS!$A$2:$A$1001="Near Match",ROW(RECON_RESULTS!$A$2:$A$1001)-1),24)))</f>
        <v/>
      </c>
      <c r="I434" s="11">
        <f>IF(B434="","",INDEX(RECON_RESULTS!$K$2:$K$1001,SMALL(IF(RECON_RESULTS!$A$2:$A$1001="Near Match",ROW(RECON_RESULTS!$A$2:$A$1001)-1),24)))</f>
        <v/>
      </c>
      <c r="J434" s="17">
        <f>IF(B434="","",INDEX(RECON_RESULTS!$L$2:$L$1001,SMALL(IF(RECON_RESULTS!$A$2:$A$1001="Near Match",ROW(RECON_RESULTS!$A$2:$A$1001)-1),24)))</f>
        <v/>
      </c>
      <c r="K434" s="11" t="inlineStr"/>
      <c r="L434" s="11" t="inlineStr"/>
    </row>
    <row r="435">
      <c r="B435" s="11">
        <f>IFERROR(INDEX(RECON_RESULTS!$A$2:$A$1001,SMALL(IF(RECON_RESULTS!$A$2:$A$1001="Near Match",ROW(RECON_RESULTS!$A$2:$A$1001)-1),25)),"")</f>
        <v/>
      </c>
      <c r="C435" s="11">
        <f>IF(B435="","",INDEX(RECON_RESULTS!$B$2:$B$1001,SMALL(IF(RECON_RESULTS!$A$2:$A$1001="Near Match",ROW(RECON_RESULTS!$A$2:$A$1001)-1),25)))</f>
        <v/>
      </c>
      <c r="D435" s="10">
        <f>IF(B435="","",INDEX(RECON_RESULTS!$C$2:$C$1001,SMALL(IF(RECON_RESULTS!$A$2:$A$1001="Near Match",ROW(RECON_RESULTS!$A$2:$A$1001)-1),25)))</f>
        <v/>
      </c>
      <c r="E435" s="16">
        <f>IF(B435="","",INDEX(RECON_RESULTS!$D$2:$D$1001,SMALL(IF(RECON_RESULTS!$A$2:$A$1001="Near Match",ROW(RECON_RESULTS!$A$2:$A$1001)-1),25)))</f>
        <v/>
      </c>
      <c r="F435" s="10">
        <f>IF(B435="","",INDEX(RECON_RESULTS!$F$2:$F$1001,SMALL(IF(RECON_RESULTS!$A$2:$A$1001="Near Match",ROW(RECON_RESULTS!$A$2:$A$1001)-1),25)))</f>
        <v/>
      </c>
      <c r="G435" s="16">
        <f>IF(B435="","",INDEX(RECON_RESULTS!$I$2:$I$1001,SMALL(IF(RECON_RESULTS!$A$2:$A$1001="Near Match",ROW(RECON_RESULTS!$A$2:$A$1001)-1),25)))</f>
        <v/>
      </c>
      <c r="H435" s="12">
        <f>IF(B435="","",INDEX(RECON_RESULTS!$J$2:$J$1001,SMALL(IF(RECON_RESULTS!$A$2:$A$1001="Near Match",ROW(RECON_RESULTS!$A$2:$A$1001)-1),25)))</f>
        <v/>
      </c>
      <c r="I435" s="11">
        <f>IF(B435="","",INDEX(RECON_RESULTS!$K$2:$K$1001,SMALL(IF(RECON_RESULTS!$A$2:$A$1001="Near Match",ROW(RECON_RESULTS!$A$2:$A$1001)-1),25)))</f>
        <v/>
      </c>
      <c r="J435" s="17">
        <f>IF(B435="","",INDEX(RECON_RESULTS!$L$2:$L$1001,SMALL(IF(RECON_RESULTS!$A$2:$A$1001="Near Match",ROW(RECON_RESULTS!$A$2:$A$1001)-1),25)))</f>
        <v/>
      </c>
      <c r="K435" s="11" t="inlineStr"/>
      <c r="L435" s="11" t="inlineStr"/>
    </row>
    <row r="436">
      <c r="B436" s="11">
        <f>IFERROR(INDEX(RECON_RESULTS!$A$2:$A$1001,SMALL(IF(RECON_RESULTS!$A$2:$A$1001="Near Match",ROW(RECON_RESULTS!$A$2:$A$1001)-1),26)),"")</f>
        <v/>
      </c>
      <c r="C436" s="11">
        <f>IF(B436="","",INDEX(RECON_RESULTS!$B$2:$B$1001,SMALL(IF(RECON_RESULTS!$A$2:$A$1001="Near Match",ROW(RECON_RESULTS!$A$2:$A$1001)-1),26)))</f>
        <v/>
      </c>
      <c r="D436" s="10">
        <f>IF(B436="","",INDEX(RECON_RESULTS!$C$2:$C$1001,SMALL(IF(RECON_RESULTS!$A$2:$A$1001="Near Match",ROW(RECON_RESULTS!$A$2:$A$1001)-1),26)))</f>
        <v/>
      </c>
      <c r="E436" s="16">
        <f>IF(B436="","",INDEX(RECON_RESULTS!$D$2:$D$1001,SMALL(IF(RECON_RESULTS!$A$2:$A$1001="Near Match",ROW(RECON_RESULTS!$A$2:$A$1001)-1),26)))</f>
        <v/>
      </c>
      <c r="F436" s="10">
        <f>IF(B436="","",INDEX(RECON_RESULTS!$F$2:$F$1001,SMALL(IF(RECON_RESULTS!$A$2:$A$1001="Near Match",ROW(RECON_RESULTS!$A$2:$A$1001)-1),26)))</f>
        <v/>
      </c>
      <c r="G436" s="16">
        <f>IF(B436="","",INDEX(RECON_RESULTS!$I$2:$I$1001,SMALL(IF(RECON_RESULTS!$A$2:$A$1001="Near Match",ROW(RECON_RESULTS!$A$2:$A$1001)-1),26)))</f>
        <v/>
      </c>
      <c r="H436" s="12">
        <f>IF(B436="","",INDEX(RECON_RESULTS!$J$2:$J$1001,SMALL(IF(RECON_RESULTS!$A$2:$A$1001="Near Match",ROW(RECON_RESULTS!$A$2:$A$1001)-1),26)))</f>
        <v/>
      </c>
      <c r="I436" s="11">
        <f>IF(B436="","",INDEX(RECON_RESULTS!$K$2:$K$1001,SMALL(IF(RECON_RESULTS!$A$2:$A$1001="Near Match",ROW(RECON_RESULTS!$A$2:$A$1001)-1),26)))</f>
        <v/>
      </c>
      <c r="J436" s="17">
        <f>IF(B436="","",INDEX(RECON_RESULTS!$L$2:$L$1001,SMALL(IF(RECON_RESULTS!$A$2:$A$1001="Near Match",ROW(RECON_RESULTS!$A$2:$A$1001)-1),26)))</f>
        <v/>
      </c>
      <c r="K436" s="11" t="inlineStr"/>
      <c r="L436" s="11" t="inlineStr"/>
    </row>
    <row r="437">
      <c r="B437" s="11">
        <f>IFERROR(INDEX(RECON_RESULTS!$A$2:$A$1001,SMALL(IF(RECON_RESULTS!$A$2:$A$1001="Near Match",ROW(RECON_RESULTS!$A$2:$A$1001)-1),27)),"")</f>
        <v/>
      </c>
      <c r="C437" s="11">
        <f>IF(B437="","",INDEX(RECON_RESULTS!$B$2:$B$1001,SMALL(IF(RECON_RESULTS!$A$2:$A$1001="Near Match",ROW(RECON_RESULTS!$A$2:$A$1001)-1),27)))</f>
        <v/>
      </c>
      <c r="D437" s="10">
        <f>IF(B437="","",INDEX(RECON_RESULTS!$C$2:$C$1001,SMALL(IF(RECON_RESULTS!$A$2:$A$1001="Near Match",ROW(RECON_RESULTS!$A$2:$A$1001)-1),27)))</f>
        <v/>
      </c>
      <c r="E437" s="16">
        <f>IF(B437="","",INDEX(RECON_RESULTS!$D$2:$D$1001,SMALL(IF(RECON_RESULTS!$A$2:$A$1001="Near Match",ROW(RECON_RESULTS!$A$2:$A$1001)-1),27)))</f>
        <v/>
      </c>
      <c r="F437" s="10">
        <f>IF(B437="","",INDEX(RECON_RESULTS!$F$2:$F$1001,SMALL(IF(RECON_RESULTS!$A$2:$A$1001="Near Match",ROW(RECON_RESULTS!$A$2:$A$1001)-1),27)))</f>
        <v/>
      </c>
      <c r="G437" s="16">
        <f>IF(B437="","",INDEX(RECON_RESULTS!$I$2:$I$1001,SMALL(IF(RECON_RESULTS!$A$2:$A$1001="Near Match",ROW(RECON_RESULTS!$A$2:$A$1001)-1),27)))</f>
        <v/>
      </c>
      <c r="H437" s="12">
        <f>IF(B437="","",INDEX(RECON_RESULTS!$J$2:$J$1001,SMALL(IF(RECON_RESULTS!$A$2:$A$1001="Near Match",ROW(RECON_RESULTS!$A$2:$A$1001)-1),27)))</f>
        <v/>
      </c>
      <c r="I437" s="11">
        <f>IF(B437="","",INDEX(RECON_RESULTS!$K$2:$K$1001,SMALL(IF(RECON_RESULTS!$A$2:$A$1001="Near Match",ROW(RECON_RESULTS!$A$2:$A$1001)-1),27)))</f>
        <v/>
      </c>
      <c r="J437" s="17">
        <f>IF(B437="","",INDEX(RECON_RESULTS!$L$2:$L$1001,SMALL(IF(RECON_RESULTS!$A$2:$A$1001="Near Match",ROW(RECON_RESULTS!$A$2:$A$1001)-1),27)))</f>
        <v/>
      </c>
      <c r="K437" s="11" t="inlineStr"/>
      <c r="L437" s="11" t="inlineStr"/>
    </row>
    <row r="438">
      <c r="B438" s="11">
        <f>IFERROR(INDEX(RECON_RESULTS!$A$2:$A$1001,SMALL(IF(RECON_RESULTS!$A$2:$A$1001="Near Match",ROW(RECON_RESULTS!$A$2:$A$1001)-1),28)),"")</f>
        <v/>
      </c>
      <c r="C438" s="11">
        <f>IF(B438="","",INDEX(RECON_RESULTS!$B$2:$B$1001,SMALL(IF(RECON_RESULTS!$A$2:$A$1001="Near Match",ROW(RECON_RESULTS!$A$2:$A$1001)-1),28)))</f>
        <v/>
      </c>
      <c r="D438" s="10">
        <f>IF(B438="","",INDEX(RECON_RESULTS!$C$2:$C$1001,SMALL(IF(RECON_RESULTS!$A$2:$A$1001="Near Match",ROW(RECON_RESULTS!$A$2:$A$1001)-1),28)))</f>
        <v/>
      </c>
      <c r="E438" s="16">
        <f>IF(B438="","",INDEX(RECON_RESULTS!$D$2:$D$1001,SMALL(IF(RECON_RESULTS!$A$2:$A$1001="Near Match",ROW(RECON_RESULTS!$A$2:$A$1001)-1),28)))</f>
        <v/>
      </c>
      <c r="F438" s="10">
        <f>IF(B438="","",INDEX(RECON_RESULTS!$F$2:$F$1001,SMALL(IF(RECON_RESULTS!$A$2:$A$1001="Near Match",ROW(RECON_RESULTS!$A$2:$A$1001)-1),28)))</f>
        <v/>
      </c>
      <c r="G438" s="16">
        <f>IF(B438="","",INDEX(RECON_RESULTS!$I$2:$I$1001,SMALL(IF(RECON_RESULTS!$A$2:$A$1001="Near Match",ROW(RECON_RESULTS!$A$2:$A$1001)-1),28)))</f>
        <v/>
      </c>
      <c r="H438" s="12">
        <f>IF(B438="","",INDEX(RECON_RESULTS!$J$2:$J$1001,SMALL(IF(RECON_RESULTS!$A$2:$A$1001="Near Match",ROW(RECON_RESULTS!$A$2:$A$1001)-1),28)))</f>
        <v/>
      </c>
      <c r="I438" s="11">
        <f>IF(B438="","",INDEX(RECON_RESULTS!$K$2:$K$1001,SMALL(IF(RECON_RESULTS!$A$2:$A$1001="Near Match",ROW(RECON_RESULTS!$A$2:$A$1001)-1),28)))</f>
        <v/>
      </c>
      <c r="J438" s="17">
        <f>IF(B438="","",INDEX(RECON_RESULTS!$L$2:$L$1001,SMALL(IF(RECON_RESULTS!$A$2:$A$1001="Near Match",ROW(RECON_RESULTS!$A$2:$A$1001)-1),28)))</f>
        <v/>
      </c>
      <c r="K438" s="11" t="inlineStr"/>
      <c r="L438" s="11" t="inlineStr"/>
    </row>
    <row r="439">
      <c r="B439" s="11">
        <f>IFERROR(INDEX(RECON_RESULTS!$A$2:$A$1001,SMALL(IF(RECON_RESULTS!$A$2:$A$1001="Near Match",ROW(RECON_RESULTS!$A$2:$A$1001)-1),29)),"")</f>
        <v/>
      </c>
      <c r="C439" s="11">
        <f>IF(B439="","",INDEX(RECON_RESULTS!$B$2:$B$1001,SMALL(IF(RECON_RESULTS!$A$2:$A$1001="Near Match",ROW(RECON_RESULTS!$A$2:$A$1001)-1),29)))</f>
        <v/>
      </c>
      <c r="D439" s="10">
        <f>IF(B439="","",INDEX(RECON_RESULTS!$C$2:$C$1001,SMALL(IF(RECON_RESULTS!$A$2:$A$1001="Near Match",ROW(RECON_RESULTS!$A$2:$A$1001)-1),29)))</f>
        <v/>
      </c>
      <c r="E439" s="16">
        <f>IF(B439="","",INDEX(RECON_RESULTS!$D$2:$D$1001,SMALL(IF(RECON_RESULTS!$A$2:$A$1001="Near Match",ROW(RECON_RESULTS!$A$2:$A$1001)-1),29)))</f>
        <v/>
      </c>
      <c r="F439" s="10">
        <f>IF(B439="","",INDEX(RECON_RESULTS!$F$2:$F$1001,SMALL(IF(RECON_RESULTS!$A$2:$A$1001="Near Match",ROW(RECON_RESULTS!$A$2:$A$1001)-1),29)))</f>
        <v/>
      </c>
      <c r="G439" s="16">
        <f>IF(B439="","",INDEX(RECON_RESULTS!$I$2:$I$1001,SMALL(IF(RECON_RESULTS!$A$2:$A$1001="Near Match",ROW(RECON_RESULTS!$A$2:$A$1001)-1),29)))</f>
        <v/>
      </c>
      <c r="H439" s="12">
        <f>IF(B439="","",INDEX(RECON_RESULTS!$J$2:$J$1001,SMALL(IF(RECON_RESULTS!$A$2:$A$1001="Near Match",ROW(RECON_RESULTS!$A$2:$A$1001)-1),29)))</f>
        <v/>
      </c>
      <c r="I439" s="11">
        <f>IF(B439="","",INDEX(RECON_RESULTS!$K$2:$K$1001,SMALL(IF(RECON_RESULTS!$A$2:$A$1001="Near Match",ROW(RECON_RESULTS!$A$2:$A$1001)-1),29)))</f>
        <v/>
      </c>
      <c r="J439" s="17">
        <f>IF(B439="","",INDEX(RECON_RESULTS!$L$2:$L$1001,SMALL(IF(RECON_RESULTS!$A$2:$A$1001="Near Match",ROW(RECON_RESULTS!$A$2:$A$1001)-1),29)))</f>
        <v/>
      </c>
      <c r="K439" s="11" t="inlineStr"/>
      <c r="L439" s="11" t="inlineStr"/>
    </row>
    <row r="440">
      <c r="B440" s="11">
        <f>IFERROR(INDEX(RECON_RESULTS!$A$2:$A$1001,SMALL(IF(RECON_RESULTS!$A$2:$A$1001="Near Match",ROW(RECON_RESULTS!$A$2:$A$1001)-1),30)),"")</f>
        <v/>
      </c>
      <c r="C440" s="11">
        <f>IF(B440="","",INDEX(RECON_RESULTS!$B$2:$B$1001,SMALL(IF(RECON_RESULTS!$A$2:$A$1001="Near Match",ROW(RECON_RESULTS!$A$2:$A$1001)-1),30)))</f>
        <v/>
      </c>
      <c r="D440" s="10">
        <f>IF(B440="","",INDEX(RECON_RESULTS!$C$2:$C$1001,SMALL(IF(RECON_RESULTS!$A$2:$A$1001="Near Match",ROW(RECON_RESULTS!$A$2:$A$1001)-1),30)))</f>
        <v/>
      </c>
      <c r="E440" s="16">
        <f>IF(B440="","",INDEX(RECON_RESULTS!$D$2:$D$1001,SMALL(IF(RECON_RESULTS!$A$2:$A$1001="Near Match",ROW(RECON_RESULTS!$A$2:$A$1001)-1),30)))</f>
        <v/>
      </c>
      <c r="F440" s="10">
        <f>IF(B440="","",INDEX(RECON_RESULTS!$F$2:$F$1001,SMALL(IF(RECON_RESULTS!$A$2:$A$1001="Near Match",ROW(RECON_RESULTS!$A$2:$A$1001)-1),30)))</f>
        <v/>
      </c>
      <c r="G440" s="16">
        <f>IF(B440="","",INDEX(RECON_RESULTS!$I$2:$I$1001,SMALL(IF(RECON_RESULTS!$A$2:$A$1001="Near Match",ROW(RECON_RESULTS!$A$2:$A$1001)-1),30)))</f>
        <v/>
      </c>
      <c r="H440" s="12">
        <f>IF(B440="","",INDEX(RECON_RESULTS!$J$2:$J$1001,SMALL(IF(RECON_RESULTS!$A$2:$A$1001="Near Match",ROW(RECON_RESULTS!$A$2:$A$1001)-1),30)))</f>
        <v/>
      </c>
      <c r="I440" s="11">
        <f>IF(B440="","",INDEX(RECON_RESULTS!$K$2:$K$1001,SMALL(IF(RECON_RESULTS!$A$2:$A$1001="Near Match",ROW(RECON_RESULTS!$A$2:$A$1001)-1),30)))</f>
        <v/>
      </c>
      <c r="J440" s="17">
        <f>IF(B440="","",INDEX(RECON_RESULTS!$L$2:$L$1001,SMALL(IF(RECON_RESULTS!$A$2:$A$1001="Near Match",ROW(RECON_RESULTS!$A$2:$A$1001)-1),30)))</f>
        <v/>
      </c>
      <c r="K440" s="11" t="inlineStr"/>
      <c r="L440" s="11" t="inlineStr"/>
    </row>
    <row r="441">
      <c r="B441" s="11">
        <f>IFERROR(INDEX(RECON_RESULTS!$A$2:$A$1001,SMALL(IF(RECON_RESULTS!$A$2:$A$1001="Near Match",ROW(RECON_RESULTS!$A$2:$A$1001)-1),31)),"")</f>
        <v/>
      </c>
      <c r="C441" s="11">
        <f>IF(B441="","",INDEX(RECON_RESULTS!$B$2:$B$1001,SMALL(IF(RECON_RESULTS!$A$2:$A$1001="Near Match",ROW(RECON_RESULTS!$A$2:$A$1001)-1),31)))</f>
        <v/>
      </c>
      <c r="D441" s="10">
        <f>IF(B441="","",INDEX(RECON_RESULTS!$C$2:$C$1001,SMALL(IF(RECON_RESULTS!$A$2:$A$1001="Near Match",ROW(RECON_RESULTS!$A$2:$A$1001)-1),31)))</f>
        <v/>
      </c>
      <c r="E441" s="16">
        <f>IF(B441="","",INDEX(RECON_RESULTS!$D$2:$D$1001,SMALL(IF(RECON_RESULTS!$A$2:$A$1001="Near Match",ROW(RECON_RESULTS!$A$2:$A$1001)-1),31)))</f>
        <v/>
      </c>
      <c r="F441" s="10">
        <f>IF(B441="","",INDEX(RECON_RESULTS!$F$2:$F$1001,SMALL(IF(RECON_RESULTS!$A$2:$A$1001="Near Match",ROW(RECON_RESULTS!$A$2:$A$1001)-1),31)))</f>
        <v/>
      </c>
      <c r="G441" s="16">
        <f>IF(B441="","",INDEX(RECON_RESULTS!$I$2:$I$1001,SMALL(IF(RECON_RESULTS!$A$2:$A$1001="Near Match",ROW(RECON_RESULTS!$A$2:$A$1001)-1),31)))</f>
        <v/>
      </c>
      <c r="H441" s="12">
        <f>IF(B441="","",INDEX(RECON_RESULTS!$J$2:$J$1001,SMALL(IF(RECON_RESULTS!$A$2:$A$1001="Near Match",ROW(RECON_RESULTS!$A$2:$A$1001)-1),31)))</f>
        <v/>
      </c>
      <c r="I441" s="11">
        <f>IF(B441="","",INDEX(RECON_RESULTS!$K$2:$K$1001,SMALL(IF(RECON_RESULTS!$A$2:$A$1001="Near Match",ROW(RECON_RESULTS!$A$2:$A$1001)-1),31)))</f>
        <v/>
      </c>
      <c r="J441" s="17">
        <f>IF(B441="","",INDEX(RECON_RESULTS!$L$2:$L$1001,SMALL(IF(RECON_RESULTS!$A$2:$A$1001="Near Match",ROW(RECON_RESULTS!$A$2:$A$1001)-1),31)))</f>
        <v/>
      </c>
      <c r="K441" s="11" t="inlineStr"/>
      <c r="L441" s="11" t="inlineStr"/>
    </row>
    <row r="442">
      <c r="B442" s="11">
        <f>IFERROR(INDEX(RECON_RESULTS!$A$2:$A$1001,SMALL(IF(RECON_RESULTS!$A$2:$A$1001="Near Match",ROW(RECON_RESULTS!$A$2:$A$1001)-1),32)),"")</f>
        <v/>
      </c>
      <c r="C442" s="11">
        <f>IF(B442="","",INDEX(RECON_RESULTS!$B$2:$B$1001,SMALL(IF(RECON_RESULTS!$A$2:$A$1001="Near Match",ROW(RECON_RESULTS!$A$2:$A$1001)-1),32)))</f>
        <v/>
      </c>
      <c r="D442" s="10">
        <f>IF(B442="","",INDEX(RECON_RESULTS!$C$2:$C$1001,SMALL(IF(RECON_RESULTS!$A$2:$A$1001="Near Match",ROW(RECON_RESULTS!$A$2:$A$1001)-1),32)))</f>
        <v/>
      </c>
      <c r="E442" s="16">
        <f>IF(B442="","",INDEX(RECON_RESULTS!$D$2:$D$1001,SMALL(IF(RECON_RESULTS!$A$2:$A$1001="Near Match",ROW(RECON_RESULTS!$A$2:$A$1001)-1),32)))</f>
        <v/>
      </c>
      <c r="F442" s="10">
        <f>IF(B442="","",INDEX(RECON_RESULTS!$F$2:$F$1001,SMALL(IF(RECON_RESULTS!$A$2:$A$1001="Near Match",ROW(RECON_RESULTS!$A$2:$A$1001)-1),32)))</f>
        <v/>
      </c>
      <c r="G442" s="16">
        <f>IF(B442="","",INDEX(RECON_RESULTS!$I$2:$I$1001,SMALL(IF(RECON_RESULTS!$A$2:$A$1001="Near Match",ROW(RECON_RESULTS!$A$2:$A$1001)-1),32)))</f>
        <v/>
      </c>
      <c r="H442" s="12">
        <f>IF(B442="","",INDEX(RECON_RESULTS!$J$2:$J$1001,SMALL(IF(RECON_RESULTS!$A$2:$A$1001="Near Match",ROW(RECON_RESULTS!$A$2:$A$1001)-1),32)))</f>
        <v/>
      </c>
      <c r="I442" s="11">
        <f>IF(B442="","",INDEX(RECON_RESULTS!$K$2:$K$1001,SMALL(IF(RECON_RESULTS!$A$2:$A$1001="Near Match",ROW(RECON_RESULTS!$A$2:$A$1001)-1),32)))</f>
        <v/>
      </c>
      <c r="J442" s="17">
        <f>IF(B442="","",INDEX(RECON_RESULTS!$L$2:$L$1001,SMALL(IF(RECON_RESULTS!$A$2:$A$1001="Near Match",ROW(RECON_RESULTS!$A$2:$A$1001)-1),32)))</f>
        <v/>
      </c>
      <c r="K442" s="11" t="inlineStr"/>
      <c r="L442" s="11" t="inlineStr"/>
    </row>
    <row r="443">
      <c r="B443" s="11">
        <f>IFERROR(INDEX(RECON_RESULTS!$A$2:$A$1001,SMALL(IF(RECON_RESULTS!$A$2:$A$1001="Near Match",ROW(RECON_RESULTS!$A$2:$A$1001)-1),33)),"")</f>
        <v/>
      </c>
      <c r="C443" s="11">
        <f>IF(B443="","",INDEX(RECON_RESULTS!$B$2:$B$1001,SMALL(IF(RECON_RESULTS!$A$2:$A$1001="Near Match",ROW(RECON_RESULTS!$A$2:$A$1001)-1),33)))</f>
        <v/>
      </c>
      <c r="D443" s="10">
        <f>IF(B443="","",INDEX(RECON_RESULTS!$C$2:$C$1001,SMALL(IF(RECON_RESULTS!$A$2:$A$1001="Near Match",ROW(RECON_RESULTS!$A$2:$A$1001)-1),33)))</f>
        <v/>
      </c>
      <c r="E443" s="16">
        <f>IF(B443="","",INDEX(RECON_RESULTS!$D$2:$D$1001,SMALL(IF(RECON_RESULTS!$A$2:$A$1001="Near Match",ROW(RECON_RESULTS!$A$2:$A$1001)-1),33)))</f>
        <v/>
      </c>
      <c r="F443" s="10">
        <f>IF(B443="","",INDEX(RECON_RESULTS!$F$2:$F$1001,SMALL(IF(RECON_RESULTS!$A$2:$A$1001="Near Match",ROW(RECON_RESULTS!$A$2:$A$1001)-1),33)))</f>
        <v/>
      </c>
      <c r="G443" s="16">
        <f>IF(B443="","",INDEX(RECON_RESULTS!$I$2:$I$1001,SMALL(IF(RECON_RESULTS!$A$2:$A$1001="Near Match",ROW(RECON_RESULTS!$A$2:$A$1001)-1),33)))</f>
        <v/>
      </c>
      <c r="H443" s="12">
        <f>IF(B443="","",INDEX(RECON_RESULTS!$J$2:$J$1001,SMALL(IF(RECON_RESULTS!$A$2:$A$1001="Near Match",ROW(RECON_RESULTS!$A$2:$A$1001)-1),33)))</f>
        <v/>
      </c>
      <c r="I443" s="11">
        <f>IF(B443="","",INDEX(RECON_RESULTS!$K$2:$K$1001,SMALL(IF(RECON_RESULTS!$A$2:$A$1001="Near Match",ROW(RECON_RESULTS!$A$2:$A$1001)-1),33)))</f>
        <v/>
      </c>
      <c r="J443" s="17">
        <f>IF(B443="","",INDEX(RECON_RESULTS!$L$2:$L$1001,SMALL(IF(RECON_RESULTS!$A$2:$A$1001="Near Match",ROW(RECON_RESULTS!$A$2:$A$1001)-1),33)))</f>
        <v/>
      </c>
      <c r="K443" s="11" t="inlineStr"/>
      <c r="L443" s="11" t="inlineStr"/>
    </row>
    <row r="444">
      <c r="B444" s="11">
        <f>IFERROR(INDEX(RECON_RESULTS!$A$2:$A$1001,SMALL(IF(RECON_RESULTS!$A$2:$A$1001="Near Match",ROW(RECON_RESULTS!$A$2:$A$1001)-1),34)),"")</f>
        <v/>
      </c>
      <c r="C444" s="11">
        <f>IF(B444="","",INDEX(RECON_RESULTS!$B$2:$B$1001,SMALL(IF(RECON_RESULTS!$A$2:$A$1001="Near Match",ROW(RECON_RESULTS!$A$2:$A$1001)-1),34)))</f>
        <v/>
      </c>
      <c r="D444" s="10">
        <f>IF(B444="","",INDEX(RECON_RESULTS!$C$2:$C$1001,SMALL(IF(RECON_RESULTS!$A$2:$A$1001="Near Match",ROW(RECON_RESULTS!$A$2:$A$1001)-1),34)))</f>
        <v/>
      </c>
      <c r="E444" s="16">
        <f>IF(B444="","",INDEX(RECON_RESULTS!$D$2:$D$1001,SMALL(IF(RECON_RESULTS!$A$2:$A$1001="Near Match",ROW(RECON_RESULTS!$A$2:$A$1001)-1),34)))</f>
        <v/>
      </c>
      <c r="F444" s="10">
        <f>IF(B444="","",INDEX(RECON_RESULTS!$F$2:$F$1001,SMALL(IF(RECON_RESULTS!$A$2:$A$1001="Near Match",ROW(RECON_RESULTS!$A$2:$A$1001)-1),34)))</f>
        <v/>
      </c>
      <c r="G444" s="16">
        <f>IF(B444="","",INDEX(RECON_RESULTS!$I$2:$I$1001,SMALL(IF(RECON_RESULTS!$A$2:$A$1001="Near Match",ROW(RECON_RESULTS!$A$2:$A$1001)-1),34)))</f>
        <v/>
      </c>
      <c r="H444" s="12">
        <f>IF(B444="","",INDEX(RECON_RESULTS!$J$2:$J$1001,SMALL(IF(RECON_RESULTS!$A$2:$A$1001="Near Match",ROW(RECON_RESULTS!$A$2:$A$1001)-1),34)))</f>
        <v/>
      </c>
      <c r="I444" s="11">
        <f>IF(B444="","",INDEX(RECON_RESULTS!$K$2:$K$1001,SMALL(IF(RECON_RESULTS!$A$2:$A$1001="Near Match",ROW(RECON_RESULTS!$A$2:$A$1001)-1),34)))</f>
        <v/>
      </c>
      <c r="J444" s="17">
        <f>IF(B444="","",INDEX(RECON_RESULTS!$L$2:$L$1001,SMALL(IF(RECON_RESULTS!$A$2:$A$1001="Near Match",ROW(RECON_RESULTS!$A$2:$A$1001)-1),34)))</f>
        <v/>
      </c>
      <c r="K444" s="11" t="inlineStr"/>
      <c r="L444" s="11" t="inlineStr"/>
    </row>
    <row r="445">
      <c r="B445" s="11">
        <f>IFERROR(INDEX(RECON_RESULTS!$A$2:$A$1001,SMALL(IF(RECON_RESULTS!$A$2:$A$1001="Near Match",ROW(RECON_RESULTS!$A$2:$A$1001)-1),35)),"")</f>
        <v/>
      </c>
      <c r="C445" s="11">
        <f>IF(B445="","",INDEX(RECON_RESULTS!$B$2:$B$1001,SMALL(IF(RECON_RESULTS!$A$2:$A$1001="Near Match",ROW(RECON_RESULTS!$A$2:$A$1001)-1),35)))</f>
        <v/>
      </c>
      <c r="D445" s="10">
        <f>IF(B445="","",INDEX(RECON_RESULTS!$C$2:$C$1001,SMALL(IF(RECON_RESULTS!$A$2:$A$1001="Near Match",ROW(RECON_RESULTS!$A$2:$A$1001)-1),35)))</f>
        <v/>
      </c>
      <c r="E445" s="16">
        <f>IF(B445="","",INDEX(RECON_RESULTS!$D$2:$D$1001,SMALL(IF(RECON_RESULTS!$A$2:$A$1001="Near Match",ROW(RECON_RESULTS!$A$2:$A$1001)-1),35)))</f>
        <v/>
      </c>
      <c r="F445" s="10">
        <f>IF(B445="","",INDEX(RECON_RESULTS!$F$2:$F$1001,SMALL(IF(RECON_RESULTS!$A$2:$A$1001="Near Match",ROW(RECON_RESULTS!$A$2:$A$1001)-1),35)))</f>
        <v/>
      </c>
      <c r="G445" s="16">
        <f>IF(B445="","",INDEX(RECON_RESULTS!$I$2:$I$1001,SMALL(IF(RECON_RESULTS!$A$2:$A$1001="Near Match",ROW(RECON_RESULTS!$A$2:$A$1001)-1),35)))</f>
        <v/>
      </c>
      <c r="H445" s="12">
        <f>IF(B445="","",INDEX(RECON_RESULTS!$J$2:$J$1001,SMALL(IF(RECON_RESULTS!$A$2:$A$1001="Near Match",ROW(RECON_RESULTS!$A$2:$A$1001)-1),35)))</f>
        <v/>
      </c>
      <c r="I445" s="11">
        <f>IF(B445="","",INDEX(RECON_RESULTS!$K$2:$K$1001,SMALL(IF(RECON_RESULTS!$A$2:$A$1001="Near Match",ROW(RECON_RESULTS!$A$2:$A$1001)-1),35)))</f>
        <v/>
      </c>
      <c r="J445" s="17">
        <f>IF(B445="","",INDEX(RECON_RESULTS!$L$2:$L$1001,SMALL(IF(RECON_RESULTS!$A$2:$A$1001="Near Match",ROW(RECON_RESULTS!$A$2:$A$1001)-1),35)))</f>
        <v/>
      </c>
      <c r="K445" s="11" t="inlineStr"/>
      <c r="L445" s="11" t="inlineStr"/>
    </row>
    <row r="446">
      <c r="B446" s="11">
        <f>IFERROR(INDEX(RECON_RESULTS!$A$2:$A$1001,SMALL(IF(RECON_RESULTS!$A$2:$A$1001="Near Match",ROW(RECON_RESULTS!$A$2:$A$1001)-1),36)),"")</f>
        <v/>
      </c>
      <c r="C446" s="11">
        <f>IF(B446="","",INDEX(RECON_RESULTS!$B$2:$B$1001,SMALL(IF(RECON_RESULTS!$A$2:$A$1001="Near Match",ROW(RECON_RESULTS!$A$2:$A$1001)-1),36)))</f>
        <v/>
      </c>
      <c r="D446" s="10">
        <f>IF(B446="","",INDEX(RECON_RESULTS!$C$2:$C$1001,SMALL(IF(RECON_RESULTS!$A$2:$A$1001="Near Match",ROW(RECON_RESULTS!$A$2:$A$1001)-1),36)))</f>
        <v/>
      </c>
      <c r="E446" s="16">
        <f>IF(B446="","",INDEX(RECON_RESULTS!$D$2:$D$1001,SMALL(IF(RECON_RESULTS!$A$2:$A$1001="Near Match",ROW(RECON_RESULTS!$A$2:$A$1001)-1),36)))</f>
        <v/>
      </c>
      <c r="F446" s="10">
        <f>IF(B446="","",INDEX(RECON_RESULTS!$F$2:$F$1001,SMALL(IF(RECON_RESULTS!$A$2:$A$1001="Near Match",ROW(RECON_RESULTS!$A$2:$A$1001)-1),36)))</f>
        <v/>
      </c>
      <c r="G446" s="16">
        <f>IF(B446="","",INDEX(RECON_RESULTS!$I$2:$I$1001,SMALL(IF(RECON_RESULTS!$A$2:$A$1001="Near Match",ROW(RECON_RESULTS!$A$2:$A$1001)-1),36)))</f>
        <v/>
      </c>
      <c r="H446" s="12">
        <f>IF(B446="","",INDEX(RECON_RESULTS!$J$2:$J$1001,SMALL(IF(RECON_RESULTS!$A$2:$A$1001="Near Match",ROW(RECON_RESULTS!$A$2:$A$1001)-1),36)))</f>
        <v/>
      </c>
      <c r="I446" s="11">
        <f>IF(B446="","",INDEX(RECON_RESULTS!$K$2:$K$1001,SMALL(IF(RECON_RESULTS!$A$2:$A$1001="Near Match",ROW(RECON_RESULTS!$A$2:$A$1001)-1),36)))</f>
        <v/>
      </c>
      <c r="J446" s="17">
        <f>IF(B446="","",INDEX(RECON_RESULTS!$L$2:$L$1001,SMALL(IF(RECON_RESULTS!$A$2:$A$1001="Near Match",ROW(RECON_RESULTS!$A$2:$A$1001)-1),36)))</f>
        <v/>
      </c>
      <c r="K446" s="11" t="inlineStr"/>
      <c r="L446" s="11" t="inlineStr"/>
    </row>
    <row r="447">
      <c r="B447" s="11">
        <f>IFERROR(INDEX(RECON_RESULTS!$A$2:$A$1001,SMALL(IF(RECON_RESULTS!$A$2:$A$1001="Near Match",ROW(RECON_RESULTS!$A$2:$A$1001)-1),37)),"")</f>
        <v/>
      </c>
      <c r="C447" s="11">
        <f>IF(B447="","",INDEX(RECON_RESULTS!$B$2:$B$1001,SMALL(IF(RECON_RESULTS!$A$2:$A$1001="Near Match",ROW(RECON_RESULTS!$A$2:$A$1001)-1),37)))</f>
        <v/>
      </c>
      <c r="D447" s="10">
        <f>IF(B447="","",INDEX(RECON_RESULTS!$C$2:$C$1001,SMALL(IF(RECON_RESULTS!$A$2:$A$1001="Near Match",ROW(RECON_RESULTS!$A$2:$A$1001)-1),37)))</f>
        <v/>
      </c>
      <c r="E447" s="16">
        <f>IF(B447="","",INDEX(RECON_RESULTS!$D$2:$D$1001,SMALL(IF(RECON_RESULTS!$A$2:$A$1001="Near Match",ROW(RECON_RESULTS!$A$2:$A$1001)-1),37)))</f>
        <v/>
      </c>
      <c r="F447" s="10">
        <f>IF(B447="","",INDEX(RECON_RESULTS!$F$2:$F$1001,SMALL(IF(RECON_RESULTS!$A$2:$A$1001="Near Match",ROW(RECON_RESULTS!$A$2:$A$1001)-1),37)))</f>
        <v/>
      </c>
      <c r="G447" s="16">
        <f>IF(B447="","",INDEX(RECON_RESULTS!$I$2:$I$1001,SMALL(IF(RECON_RESULTS!$A$2:$A$1001="Near Match",ROW(RECON_RESULTS!$A$2:$A$1001)-1),37)))</f>
        <v/>
      </c>
      <c r="H447" s="12">
        <f>IF(B447="","",INDEX(RECON_RESULTS!$J$2:$J$1001,SMALL(IF(RECON_RESULTS!$A$2:$A$1001="Near Match",ROW(RECON_RESULTS!$A$2:$A$1001)-1),37)))</f>
        <v/>
      </c>
      <c r="I447" s="11">
        <f>IF(B447="","",INDEX(RECON_RESULTS!$K$2:$K$1001,SMALL(IF(RECON_RESULTS!$A$2:$A$1001="Near Match",ROW(RECON_RESULTS!$A$2:$A$1001)-1),37)))</f>
        <v/>
      </c>
      <c r="J447" s="17">
        <f>IF(B447="","",INDEX(RECON_RESULTS!$L$2:$L$1001,SMALL(IF(RECON_RESULTS!$A$2:$A$1001="Near Match",ROW(RECON_RESULTS!$A$2:$A$1001)-1),37)))</f>
        <v/>
      </c>
      <c r="K447" s="11" t="inlineStr"/>
      <c r="L447" s="11" t="inlineStr"/>
    </row>
    <row r="448">
      <c r="B448" s="11">
        <f>IFERROR(INDEX(RECON_RESULTS!$A$2:$A$1001,SMALL(IF(RECON_RESULTS!$A$2:$A$1001="Near Match",ROW(RECON_RESULTS!$A$2:$A$1001)-1),38)),"")</f>
        <v/>
      </c>
      <c r="C448" s="11">
        <f>IF(B448="","",INDEX(RECON_RESULTS!$B$2:$B$1001,SMALL(IF(RECON_RESULTS!$A$2:$A$1001="Near Match",ROW(RECON_RESULTS!$A$2:$A$1001)-1),38)))</f>
        <v/>
      </c>
      <c r="D448" s="10">
        <f>IF(B448="","",INDEX(RECON_RESULTS!$C$2:$C$1001,SMALL(IF(RECON_RESULTS!$A$2:$A$1001="Near Match",ROW(RECON_RESULTS!$A$2:$A$1001)-1),38)))</f>
        <v/>
      </c>
      <c r="E448" s="16">
        <f>IF(B448="","",INDEX(RECON_RESULTS!$D$2:$D$1001,SMALL(IF(RECON_RESULTS!$A$2:$A$1001="Near Match",ROW(RECON_RESULTS!$A$2:$A$1001)-1),38)))</f>
        <v/>
      </c>
      <c r="F448" s="10">
        <f>IF(B448="","",INDEX(RECON_RESULTS!$F$2:$F$1001,SMALL(IF(RECON_RESULTS!$A$2:$A$1001="Near Match",ROW(RECON_RESULTS!$A$2:$A$1001)-1),38)))</f>
        <v/>
      </c>
      <c r="G448" s="16">
        <f>IF(B448="","",INDEX(RECON_RESULTS!$I$2:$I$1001,SMALL(IF(RECON_RESULTS!$A$2:$A$1001="Near Match",ROW(RECON_RESULTS!$A$2:$A$1001)-1),38)))</f>
        <v/>
      </c>
      <c r="H448" s="12">
        <f>IF(B448="","",INDEX(RECON_RESULTS!$J$2:$J$1001,SMALL(IF(RECON_RESULTS!$A$2:$A$1001="Near Match",ROW(RECON_RESULTS!$A$2:$A$1001)-1),38)))</f>
        <v/>
      </c>
      <c r="I448" s="11">
        <f>IF(B448="","",INDEX(RECON_RESULTS!$K$2:$K$1001,SMALL(IF(RECON_RESULTS!$A$2:$A$1001="Near Match",ROW(RECON_RESULTS!$A$2:$A$1001)-1),38)))</f>
        <v/>
      </c>
      <c r="J448" s="17">
        <f>IF(B448="","",INDEX(RECON_RESULTS!$L$2:$L$1001,SMALL(IF(RECON_RESULTS!$A$2:$A$1001="Near Match",ROW(RECON_RESULTS!$A$2:$A$1001)-1),38)))</f>
        <v/>
      </c>
      <c r="K448" s="11" t="inlineStr"/>
      <c r="L448" s="11" t="inlineStr"/>
    </row>
    <row r="449">
      <c r="B449" s="11">
        <f>IFERROR(INDEX(RECON_RESULTS!$A$2:$A$1001,SMALL(IF(RECON_RESULTS!$A$2:$A$1001="Near Match",ROW(RECON_RESULTS!$A$2:$A$1001)-1),39)),"")</f>
        <v/>
      </c>
      <c r="C449" s="11">
        <f>IF(B449="","",INDEX(RECON_RESULTS!$B$2:$B$1001,SMALL(IF(RECON_RESULTS!$A$2:$A$1001="Near Match",ROW(RECON_RESULTS!$A$2:$A$1001)-1),39)))</f>
        <v/>
      </c>
      <c r="D449" s="10">
        <f>IF(B449="","",INDEX(RECON_RESULTS!$C$2:$C$1001,SMALL(IF(RECON_RESULTS!$A$2:$A$1001="Near Match",ROW(RECON_RESULTS!$A$2:$A$1001)-1),39)))</f>
        <v/>
      </c>
      <c r="E449" s="16">
        <f>IF(B449="","",INDEX(RECON_RESULTS!$D$2:$D$1001,SMALL(IF(RECON_RESULTS!$A$2:$A$1001="Near Match",ROW(RECON_RESULTS!$A$2:$A$1001)-1),39)))</f>
        <v/>
      </c>
      <c r="F449" s="10">
        <f>IF(B449="","",INDEX(RECON_RESULTS!$F$2:$F$1001,SMALL(IF(RECON_RESULTS!$A$2:$A$1001="Near Match",ROW(RECON_RESULTS!$A$2:$A$1001)-1),39)))</f>
        <v/>
      </c>
      <c r="G449" s="16">
        <f>IF(B449="","",INDEX(RECON_RESULTS!$I$2:$I$1001,SMALL(IF(RECON_RESULTS!$A$2:$A$1001="Near Match",ROW(RECON_RESULTS!$A$2:$A$1001)-1),39)))</f>
        <v/>
      </c>
      <c r="H449" s="12">
        <f>IF(B449="","",INDEX(RECON_RESULTS!$J$2:$J$1001,SMALL(IF(RECON_RESULTS!$A$2:$A$1001="Near Match",ROW(RECON_RESULTS!$A$2:$A$1001)-1),39)))</f>
        <v/>
      </c>
      <c r="I449" s="11">
        <f>IF(B449="","",INDEX(RECON_RESULTS!$K$2:$K$1001,SMALL(IF(RECON_RESULTS!$A$2:$A$1001="Near Match",ROW(RECON_RESULTS!$A$2:$A$1001)-1),39)))</f>
        <v/>
      </c>
      <c r="J449" s="17">
        <f>IF(B449="","",INDEX(RECON_RESULTS!$L$2:$L$1001,SMALL(IF(RECON_RESULTS!$A$2:$A$1001="Near Match",ROW(RECON_RESULTS!$A$2:$A$1001)-1),39)))</f>
        <v/>
      </c>
      <c r="K449" s="11" t="inlineStr"/>
      <c r="L449" s="11" t="inlineStr"/>
    </row>
    <row r="450">
      <c r="B450" s="11">
        <f>IFERROR(INDEX(RECON_RESULTS!$A$2:$A$1001,SMALL(IF(RECON_RESULTS!$A$2:$A$1001="Near Match",ROW(RECON_RESULTS!$A$2:$A$1001)-1),40)),"")</f>
        <v/>
      </c>
      <c r="C450" s="11">
        <f>IF(B450="","",INDEX(RECON_RESULTS!$B$2:$B$1001,SMALL(IF(RECON_RESULTS!$A$2:$A$1001="Near Match",ROW(RECON_RESULTS!$A$2:$A$1001)-1),40)))</f>
        <v/>
      </c>
      <c r="D450" s="10">
        <f>IF(B450="","",INDEX(RECON_RESULTS!$C$2:$C$1001,SMALL(IF(RECON_RESULTS!$A$2:$A$1001="Near Match",ROW(RECON_RESULTS!$A$2:$A$1001)-1),40)))</f>
        <v/>
      </c>
      <c r="E450" s="16">
        <f>IF(B450="","",INDEX(RECON_RESULTS!$D$2:$D$1001,SMALL(IF(RECON_RESULTS!$A$2:$A$1001="Near Match",ROW(RECON_RESULTS!$A$2:$A$1001)-1),40)))</f>
        <v/>
      </c>
      <c r="F450" s="10">
        <f>IF(B450="","",INDEX(RECON_RESULTS!$F$2:$F$1001,SMALL(IF(RECON_RESULTS!$A$2:$A$1001="Near Match",ROW(RECON_RESULTS!$A$2:$A$1001)-1),40)))</f>
        <v/>
      </c>
      <c r="G450" s="16">
        <f>IF(B450="","",INDEX(RECON_RESULTS!$I$2:$I$1001,SMALL(IF(RECON_RESULTS!$A$2:$A$1001="Near Match",ROW(RECON_RESULTS!$A$2:$A$1001)-1),40)))</f>
        <v/>
      </c>
      <c r="H450" s="12">
        <f>IF(B450="","",INDEX(RECON_RESULTS!$J$2:$J$1001,SMALL(IF(RECON_RESULTS!$A$2:$A$1001="Near Match",ROW(RECON_RESULTS!$A$2:$A$1001)-1),40)))</f>
        <v/>
      </c>
      <c r="I450" s="11">
        <f>IF(B450="","",INDEX(RECON_RESULTS!$K$2:$K$1001,SMALL(IF(RECON_RESULTS!$A$2:$A$1001="Near Match",ROW(RECON_RESULTS!$A$2:$A$1001)-1),40)))</f>
        <v/>
      </c>
      <c r="J450" s="17">
        <f>IF(B450="","",INDEX(RECON_RESULTS!$L$2:$L$1001,SMALL(IF(RECON_RESULTS!$A$2:$A$1001="Near Match",ROW(RECON_RESULTS!$A$2:$A$1001)-1),40)))</f>
        <v/>
      </c>
      <c r="K450" s="11" t="inlineStr"/>
      <c r="L450" s="11" t="inlineStr"/>
    </row>
    <row r="451">
      <c r="B451" s="11">
        <f>IFERROR(INDEX(RECON_RESULTS!$A$2:$A$1001,SMALL(IF(RECON_RESULTS!$A$2:$A$1001="Near Match",ROW(RECON_RESULTS!$A$2:$A$1001)-1),41)),"")</f>
        <v/>
      </c>
      <c r="C451" s="11">
        <f>IF(B451="","",INDEX(RECON_RESULTS!$B$2:$B$1001,SMALL(IF(RECON_RESULTS!$A$2:$A$1001="Near Match",ROW(RECON_RESULTS!$A$2:$A$1001)-1),41)))</f>
        <v/>
      </c>
      <c r="D451" s="10">
        <f>IF(B451="","",INDEX(RECON_RESULTS!$C$2:$C$1001,SMALL(IF(RECON_RESULTS!$A$2:$A$1001="Near Match",ROW(RECON_RESULTS!$A$2:$A$1001)-1),41)))</f>
        <v/>
      </c>
      <c r="E451" s="16">
        <f>IF(B451="","",INDEX(RECON_RESULTS!$D$2:$D$1001,SMALL(IF(RECON_RESULTS!$A$2:$A$1001="Near Match",ROW(RECON_RESULTS!$A$2:$A$1001)-1),41)))</f>
        <v/>
      </c>
      <c r="F451" s="10">
        <f>IF(B451="","",INDEX(RECON_RESULTS!$F$2:$F$1001,SMALL(IF(RECON_RESULTS!$A$2:$A$1001="Near Match",ROW(RECON_RESULTS!$A$2:$A$1001)-1),41)))</f>
        <v/>
      </c>
      <c r="G451" s="16">
        <f>IF(B451="","",INDEX(RECON_RESULTS!$I$2:$I$1001,SMALL(IF(RECON_RESULTS!$A$2:$A$1001="Near Match",ROW(RECON_RESULTS!$A$2:$A$1001)-1),41)))</f>
        <v/>
      </c>
      <c r="H451" s="12">
        <f>IF(B451="","",INDEX(RECON_RESULTS!$J$2:$J$1001,SMALL(IF(RECON_RESULTS!$A$2:$A$1001="Near Match",ROW(RECON_RESULTS!$A$2:$A$1001)-1),41)))</f>
        <v/>
      </c>
      <c r="I451" s="11">
        <f>IF(B451="","",INDEX(RECON_RESULTS!$K$2:$K$1001,SMALL(IF(RECON_RESULTS!$A$2:$A$1001="Near Match",ROW(RECON_RESULTS!$A$2:$A$1001)-1),41)))</f>
        <v/>
      </c>
      <c r="J451" s="17">
        <f>IF(B451="","",INDEX(RECON_RESULTS!$L$2:$L$1001,SMALL(IF(RECON_RESULTS!$A$2:$A$1001="Near Match",ROW(RECON_RESULTS!$A$2:$A$1001)-1),41)))</f>
        <v/>
      </c>
      <c r="K451" s="11" t="inlineStr"/>
      <c r="L451" s="11" t="inlineStr"/>
    </row>
    <row r="452">
      <c r="B452" s="11">
        <f>IFERROR(INDEX(RECON_RESULTS!$A$2:$A$1001,SMALL(IF(RECON_RESULTS!$A$2:$A$1001="Near Match",ROW(RECON_RESULTS!$A$2:$A$1001)-1),42)),"")</f>
        <v/>
      </c>
      <c r="C452" s="11">
        <f>IF(B452="","",INDEX(RECON_RESULTS!$B$2:$B$1001,SMALL(IF(RECON_RESULTS!$A$2:$A$1001="Near Match",ROW(RECON_RESULTS!$A$2:$A$1001)-1),42)))</f>
        <v/>
      </c>
      <c r="D452" s="10">
        <f>IF(B452="","",INDEX(RECON_RESULTS!$C$2:$C$1001,SMALL(IF(RECON_RESULTS!$A$2:$A$1001="Near Match",ROW(RECON_RESULTS!$A$2:$A$1001)-1),42)))</f>
        <v/>
      </c>
      <c r="E452" s="16">
        <f>IF(B452="","",INDEX(RECON_RESULTS!$D$2:$D$1001,SMALL(IF(RECON_RESULTS!$A$2:$A$1001="Near Match",ROW(RECON_RESULTS!$A$2:$A$1001)-1),42)))</f>
        <v/>
      </c>
      <c r="F452" s="10">
        <f>IF(B452="","",INDEX(RECON_RESULTS!$F$2:$F$1001,SMALL(IF(RECON_RESULTS!$A$2:$A$1001="Near Match",ROW(RECON_RESULTS!$A$2:$A$1001)-1),42)))</f>
        <v/>
      </c>
      <c r="G452" s="16">
        <f>IF(B452="","",INDEX(RECON_RESULTS!$I$2:$I$1001,SMALL(IF(RECON_RESULTS!$A$2:$A$1001="Near Match",ROW(RECON_RESULTS!$A$2:$A$1001)-1),42)))</f>
        <v/>
      </c>
      <c r="H452" s="12">
        <f>IF(B452="","",INDEX(RECON_RESULTS!$J$2:$J$1001,SMALL(IF(RECON_RESULTS!$A$2:$A$1001="Near Match",ROW(RECON_RESULTS!$A$2:$A$1001)-1),42)))</f>
        <v/>
      </c>
      <c r="I452" s="11">
        <f>IF(B452="","",INDEX(RECON_RESULTS!$K$2:$K$1001,SMALL(IF(RECON_RESULTS!$A$2:$A$1001="Near Match",ROW(RECON_RESULTS!$A$2:$A$1001)-1),42)))</f>
        <v/>
      </c>
      <c r="J452" s="17">
        <f>IF(B452="","",INDEX(RECON_RESULTS!$L$2:$L$1001,SMALL(IF(RECON_RESULTS!$A$2:$A$1001="Near Match",ROW(RECON_RESULTS!$A$2:$A$1001)-1),42)))</f>
        <v/>
      </c>
      <c r="K452" s="11" t="inlineStr"/>
      <c r="L452" s="11" t="inlineStr"/>
    </row>
    <row r="453">
      <c r="B453" s="11">
        <f>IFERROR(INDEX(RECON_RESULTS!$A$2:$A$1001,SMALL(IF(RECON_RESULTS!$A$2:$A$1001="Near Match",ROW(RECON_RESULTS!$A$2:$A$1001)-1),43)),"")</f>
        <v/>
      </c>
      <c r="C453" s="11">
        <f>IF(B453="","",INDEX(RECON_RESULTS!$B$2:$B$1001,SMALL(IF(RECON_RESULTS!$A$2:$A$1001="Near Match",ROW(RECON_RESULTS!$A$2:$A$1001)-1),43)))</f>
        <v/>
      </c>
      <c r="D453" s="10">
        <f>IF(B453="","",INDEX(RECON_RESULTS!$C$2:$C$1001,SMALL(IF(RECON_RESULTS!$A$2:$A$1001="Near Match",ROW(RECON_RESULTS!$A$2:$A$1001)-1),43)))</f>
        <v/>
      </c>
      <c r="E453" s="16">
        <f>IF(B453="","",INDEX(RECON_RESULTS!$D$2:$D$1001,SMALL(IF(RECON_RESULTS!$A$2:$A$1001="Near Match",ROW(RECON_RESULTS!$A$2:$A$1001)-1),43)))</f>
        <v/>
      </c>
      <c r="F453" s="10">
        <f>IF(B453="","",INDEX(RECON_RESULTS!$F$2:$F$1001,SMALL(IF(RECON_RESULTS!$A$2:$A$1001="Near Match",ROW(RECON_RESULTS!$A$2:$A$1001)-1),43)))</f>
        <v/>
      </c>
      <c r="G453" s="16">
        <f>IF(B453="","",INDEX(RECON_RESULTS!$I$2:$I$1001,SMALL(IF(RECON_RESULTS!$A$2:$A$1001="Near Match",ROW(RECON_RESULTS!$A$2:$A$1001)-1),43)))</f>
        <v/>
      </c>
      <c r="H453" s="12">
        <f>IF(B453="","",INDEX(RECON_RESULTS!$J$2:$J$1001,SMALL(IF(RECON_RESULTS!$A$2:$A$1001="Near Match",ROW(RECON_RESULTS!$A$2:$A$1001)-1),43)))</f>
        <v/>
      </c>
      <c r="I453" s="11">
        <f>IF(B453="","",INDEX(RECON_RESULTS!$K$2:$K$1001,SMALL(IF(RECON_RESULTS!$A$2:$A$1001="Near Match",ROW(RECON_RESULTS!$A$2:$A$1001)-1),43)))</f>
        <v/>
      </c>
      <c r="J453" s="17">
        <f>IF(B453="","",INDEX(RECON_RESULTS!$L$2:$L$1001,SMALL(IF(RECON_RESULTS!$A$2:$A$1001="Near Match",ROW(RECON_RESULTS!$A$2:$A$1001)-1),43)))</f>
        <v/>
      </c>
      <c r="K453" s="11" t="inlineStr"/>
      <c r="L453" s="11" t="inlineStr"/>
    </row>
    <row r="454">
      <c r="B454" s="11">
        <f>IFERROR(INDEX(RECON_RESULTS!$A$2:$A$1001,SMALL(IF(RECON_RESULTS!$A$2:$A$1001="Near Match",ROW(RECON_RESULTS!$A$2:$A$1001)-1),44)),"")</f>
        <v/>
      </c>
      <c r="C454" s="11">
        <f>IF(B454="","",INDEX(RECON_RESULTS!$B$2:$B$1001,SMALL(IF(RECON_RESULTS!$A$2:$A$1001="Near Match",ROW(RECON_RESULTS!$A$2:$A$1001)-1),44)))</f>
        <v/>
      </c>
      <c r="D454" s="10">
        <f>IF(B454="","",INDEX(RECON_RESULTS!$C$2:$C$1001,SMALL(IF(RECON_RESULTS!$A$2:$A$1001="Near Match",ROW(RECON_RESULTS!$A$2:$A$1001)-1),44)))</f>
        <v/>
      </c>
      <c r="E454" s="16">
        <f>IF(B454="","",INDEX(RECON_RESULTS!$D$2:$D$1001,SMALL(IF(RECON_RESULTS!$A$2:$A$1001="Near Match",ROW(RECON_RESULTS!$A$2:$A$1001)-1),44)))</f>
        <v/>
      </c>
      <c r="F454" s="10">
        <f>IF(B454="","",INDEX(RECON_RESULTS!$F$2:$F$1001,SMALL(IF(RECON_RESULTS!$A$2:$A$1001="Near Match",ROW(RECON_RESULTS!$A$2:$A$1001)-1),44)))</f>
        <v/>
      </c>
      <c r="G454" s="16">
        <f>IF(B454="","",INDEX(RECON_RESULTS!$I$2:$I$1001,SMALL(IF(RECON_RESULTS!$A$2:$A$1001="Near Match",ROW(RECON_RESULTS!$A$2:$A$1001)-1),44)))</f>
        <v/>
      </c>
      <c r="H454" s="12">
        <f>IF(B454="","",INDEX(RECON_RESULTS!$J$2:$J$1001,SMALL(IF(RECON_RESULTS!$A$2:$A$1001="Near Match",ROW(RECON_RESULTS!$A$2:$A$1001)-1),44)))</f>
        <v/>
      </c>
      <c r="I454" s="11">
        <f>IF(B454="","",INDEX(RECON_RESULTS!$K$2:$K$1001,SMALL(IF(RECON_RESULTS!$A$2:$A$1001="Near Match",ROW(RECON_RESULTS!$A$2:$A$1001)-1),44)))</f>
        <v/>
      </c>
      <c r="J454" s="17">
        <f>IF(B454="","",INDEX(RECON_RESULTS!$L$2:$L$1001,SMALL(IF(RECON_RESULTS!$A$2:$A$1001="Near Match",ROW(RECON_RESULTS!$A$2:$A$1001)-1),44)))</f>
        <v/>
      </c>
      <c r="K454" s="11" t="inlineStr"/>
      <c r="L454" s="11" t="inlineStr"/>
    </row>
    <row r="455">
      <c r="B455" s="11">
        <f>IFERROR(INDEX(RECON_RESULTS!$A$2:$A$1001,SMALL(IF(RECON_RESULTS!$A$2:$A$1001="Near Match",ROW(RECON_RESULTS!$A$2:$A$1001)-1),45)),"")</f>
        <v/>
      </c>
      <c r="C455" s="11">
        <f>IF(B455="","",INDEX(RECON_RESULTS!$B$2:$B$1001,SMALL(IF(RECON_RESULTS!$A$2:$A$1001="Near Match",ROW(RECON_RESULTS!$A$2:$A$1001)-1),45)))</f>
        <v/>
      </c>
      <c r="D455" s="10">
        <f>IF(B455="","",INDEX(RECON_RESULTS!$C$2:$C$1001,SMALL(IF(RECON_RESULTS!$A$2:$A$1001="Near Match",ROW(RECON_RESULTS!$A$2:$A$1001)-1),45)))</f>
        <v/>
      </c>
      <c r="E455" s="16">
        <f>IF(B455="","",INDEX(RECON_RESULTS!$D$2:$D$1001,SMALL(IF(RECON_RESULTS!$A$2:$A$1001="Near Match",ROW(RECON_RESULTS!$A$2:$A$1001)-1),45)))</f>
        <v/>
      </c>
      <c r="F455" s="10">
        <f>IF(B455="","",INDEX(RECON_RESULTS!$F$2:$F$1001,SMALL(IF(RECON_RESULTS!$A$2:$A$1001="Near Match",ROW(RECON_RESULTS!$A$2:$A$1001)-1),45)))</f>
        <v/>
      </c>
      <c r="G455" s="16">
        <f>IF(B455="","",INDEX(RECON_RESULTS!$I$2:$I$1001,SMALL(IF(RECON_RESULTS!$A$2:$A$1001="Near Match",ROW(RECON_RESULTS!$A$2:$A$1001)-1),45)))</f>
        <v/>
      </c>
      <c r="H455" s="12">
        <f>IF(B455="","",INDEX(RECON_RESULTS!$J$2:$J$1001,SMALL(IF(RECON_RESULTS!$A$2:$A$1001="Near Match",ROW(RECON_RESULTS!$A$2:$A$1001)-1),45)))</f>
        <v/>
      </c>
      <c r="I455" s="11">
        <f>IF(B455="","",INDEX(RECON_RESULTS!$K$2:$K$1001,SMALL(IF(RECON_RESULTS!$A$2:$A$1001="Near Match",ROW(RECON_RESULTS!$A$2:$A$1001)-1),45)))</f>
        <v/>
      </c>
      <c r="J455" s="17">
        <f>IF(B455="","",INDEX(RECON_RESULTS!$L$2:$L$1001,SMALL(IF(RECON_RESULTS!$A$2:$A$1001="Near Match",ROW(RECON_RESULTS!$A$2:$A$1001)-1),45)))</f>
        <v/>
      </c>
      <c r="K455" s="11" t="inlineStr"/>
      <c r="L455" s="11" t="inlineStr"/>
    </row>
    <row r="456">
      <c r="B456" s="11">
        <f>IFERROR(INDEX(RECON_RESULTS!$A$2:$A$1001,SMALL(IF(RECON_RESULTS!$A$2:$A$1001="Near Match",ROW(RECON_RESULTS!$A$2:$A$1001)-1),46)),"")</f>
        <v/>
      </c>
      <c r="C456" s="11">
        <f>IF(B456="","",INDEX(RECON_RESULTS!$B$2:$B$1001,SMALL(IF(RECON_RESULTS!$A$2:$A$1001="Near Match",ROW(RECON_RESULTS!$A$2:$A$1001)-1),46)))</f>
        <v/>
      </c>
      <c r="D456" s="10">
        <f>IF(B456="","",INDEX(RECON_RESULTS!$C$2:$C$1001,SMALL(IF(RECON_RESULTS!$A$2:$A$1001="Near Match",ROW(RECON_RESULTS!$A$2:$A$1001)-1),46)))</f>
        <v/>
      </c>
      <c r="E456" s="16">
        <f>IF(B456="","",INDEX(RECON_RESULTS!$D$2:$D$1001,SMALL(IF(RECON_RESULTS!$A$2:$A$1001="Near Match",ROW(RECON_RESULTS!$A$2:$A$1001)-1),46)))</f>
        <v/>
      </c>
      <c r="F456" s="10">
        <f>IF(B456="","",INDEX(RECON_RESULTS!$F$2:$F$1001,SMALL(IF(RECON_RESULTS!$A$2:$A$1001="Near Match",ROW(RECON_RESULTS!$A$2:$A$1001)-1),46)))</f>
        <v/>
      </c>
      <c r="G456" s="16">
        <f>IF(B456="","",INDEX(RECON_RESULTS!$I$2:$I$1001,SMALL(IF(RECON_RESULTS!$A$2:$A$1001="Near Match",ROW(RECON_RESULTS!$A$2:$A$1001)-1),46)))</f>
        <v/>
      </c>
      <c r="H456" s="12">
        <f>IF(B456="","",INDEX(RECON_RESULTS!$J$2:$J$1001,SMALL(IF(RECON_RESULTS!$A$2:$A$1001="Near Match",ROW(RECON_RESULTS!$A$2:$A$1001)-1),46)))</f>
        <v/>
      </c>
      <c r="I456" s="11">
        <f>IF(B456="","",INDEX(RECON_RESULTS!$K$2:$K$1001,SMALL(IF(RECON_RESULTS!$A$2:$A$1001="Near Match",ROW(RECON_RESULTS!$A$2:$A$1001)-1),46)))</f>
        <v/>
      </c>
      <c r="J456" s="17">
        <f>IF(B456="","",INDEX(RECON_RESULTS!$L$2:$L$1001,SMALL(IF(RECON_RESULTS!$A$2:$A$1001="Near Match",ROW(RECON_RESULTS!$A$2:$A$1001)-1),46)))</f>
        <v/>
      </c>
      <c r="K456" s="11" t="inlineStr"/>
      <c r="L456" s="11" t="inlineStr"/>
    </row>
    <row r="457">
      <c r="B457" s="11">
        <f>IFERROR(INDEX(RECON_RESULTS!$A$2:$A$1001,SMALL(IF(RECON_RESULTS!$A$2:$A$1001="Near Match",ROW(RECON_RESULTS!$A$2:$A$1001)-1),47)),"")</f>
        <v/>
      </c>
      <c r="C457" s="11">
        <f>IF(B457="","",INDEX(RECON_RESULTS!$B$2:$B$1001,SMALL(IF(RECON_RESULTS!$A$2:$A$1001="Near Match",ROW(RECON_RESULTS!$A$2:$A$1001)-1),47)))</f>
        <v/>
      </c>
      <c r="D457" s="10">
        <f>IF(B457="","",INDEX(RECON_RESULTS!$C$2:$C$1001,SMALL(IF(RECON_RESULTS!$A$2:$A$1001="Near Match",ROW(RECON_RESULTS!$A$2:$A$1001)-1),47)))</f>
        <v/>
      </c>
      <c r="E457" s="16">
        <f>IF(B457="","",INDEX(RECON_RESULTS!$D$2:$D$1001,SMALL(IF(RECON_RESULTS!$A$2:$A$1001="Near Match",ROW(RECON_RESULTS!$A$2:$A$1001)-1),47)))</f>
        <v/>
      </c>
      <c r="F457" s="10">
        <f>IF(B457="","",INDEX(RECON_RESULTS!$F$2:$F$1001,SMALL(IF(RECON_RESULTS!$A$2:$A$1001="Near Match",ROW(RECON_RESULTS!$A$2:$A$1001)-1),47)))</f>
        <v/>
      </c>
      <c r="G457" s="16">
        <f>IF(B457="","",INDEX(RECON_RESULTS!$I$2:$I$1001,SMALL(IF(RECON_RESULTS!$A$2:$A$1001="Near Match",ROW(RECON_RESULTS!$A$2:$A$1001)-1),47)))</f>
        <v/>
      </c>
      <c r="H457" s="12">
        <f>IF(B457="","",INDEX(RECON_RESULTS!$J$2:$J$1001,SMALL(IF(RECON_RESULTS!$A$2:$A$1001="Near Match",ROW(RECON_RESULTS!$A$2:$A$1001)-1),47)))</f>
        <v/>
      </c>
      <c r="I457" s="11">
        <f>IF(B457="","",INDEX(RECON_RESULTS!$K$2:$K$1001,SMALL(IF(RECON_RESULTS!$A$2:$A$1001="Near Match",ROW(RECON_RESULTS!$A$2:$A$1001)-1),47)))</f>
        <v/>
      </c>
      <c r="J457" s="17">
        <f>IF(B457="","",INDEX(RECON_RESULTS!$L$2:$L$1001,SMALL(IF(RECON_RESULTS!$A$2:$A$1001="Near Match",ROW(RECON_RESULTS!$A$2:$A$1001)-1),47)))</f>
        <v/>
      </c>
      <c r="K457" s="11" t="inlineStr"/>
      <c r="L457" s="11" t="inlineStr"/>
    </row>
    <row r="458">
      <c r="B458" s="11">
        <f>IFERROR(INDEX(RECON_RESULTS!$A$2:$A$1001,SMALL(IF(RECON_RESULTS!$A$2:$A$1001="Near Match",ROW(RECON_RESULTS!$A$2:$A$1001)-1),48)),"")</f>
        <v/>
      </c>
      <c r="C458" s="11">
        <f>IF(B458="","",INDEX(RECON_RESULTS!$B$2:$B$1001,SMALL(IF(RECON_RESULTS!$A$2:$A$1001="Near Match",ROW(RECON_RESULTS!$A$2:$A$1001)-1),48)))</f>
        <v/>
      </c>
      <c r="D458" s="10">
        <f>IF(B458="","",INDEX(RECON_RESULTS!$C$2:$C$1001,SMALL(IF(RECON_RESULTS!$A$2:$A$1001="Near Match",ROW(RECON_RESULTS!$A$2:$A$1001)-1),48)))</f>
        <v/>
      </c>
      <c r="E458" s="16">
        <f>IF(B458="","",INDEX(RECON_RESULTS!$D$2:$D$1001,SMALL(IF(RECON_RESULTS!$A$2:$A$1001="Near Match",ROW(RECON_RESULTS!$A$2:$A$1001)-1),48)))</f>
        <v/>
      </c>
      <c r="F458" s="10">
        <f>IF(B458="","",INDEX(RECON_RESULTS!$F$2:$F$1001,SMALL(IF(RECON_RESULTS!$A$2:$A$1001="Near Match",ROW(RECON_RESULTS!$A$2:$A$1001)-1),48)))</f>
        <v/>
      </c>
      <c r="G458" s="16">
        <f>IF(B458="","",INDEX(RECON_RESULTS!$I$2:$I$1001,SMALL(IF(RECON_RESULTS!$A$2:$A$1001="Near Match",ROW(RECON_RESULTS!$A$2:$A$1001)-1),48)))</f>
        <v/>
      </c>
      <c r="H458" s="12">
        <f>IF(B458="","",INDEX(RECON_RESULTS!$J$2:$J$1001,SMALL(IF(RECON_RESULTS!$A$2:$A$1001="Near Match",ROW(RECON_RESULTS!$A$2:$A$1001)-1),48)))</f>
        <v/>
      </c>
      <c r="I458" s="11">
        <f>IF(B458="","",INDEX(RECON_RESULTS!$K$2:$K$1001,SMALL(IF(RECON_RESULTS!$A$2:$A$1001="Near Match",ROW(RECON_RESULTS!$A$2:$A$1001)-1),48)))</f>
        <v/>
      </c>
      <c r="J458" s="17">
        <f>IF(B458="","",INDEX(RECON_RESULTS!$L$2:$L$1001,SMALL(IF(RECON_RESULTS!$A$2:$A$1001="Near Match",ROW(RECON_RESULTS!$A$2:$A$1001)-1),48)))</f>
        <v/>
      </c>
      <c r="K458" s="11" t="inlineStr"/>
      <c r="L458" s="11" t="inlineStr"/>
    </row>
    <row r="459">
      <c r="B459" s="11">
        <f>IFERROR(INDEX(RECON_RESULTS!$A$2:$A$1001,SMALL(IF(RECON_RESULTS!$A$2:$A$1001="Near Match",ROW(RECON_RESULTS!$A$2:$A$1001)-1),49)),"")</f>
        <v/>
      </c>
      <c r="C459" s="11">
        <f>IF(B459="","",INDEX(RECON_RESULTS!$B$2:$B$1001,SMALL(IF(RECON_RESULTS!$A$2:$A$1001="Near Match",ROW(RECON_RESULTS!$A$2:$A$1001)-1),49)))</f>
        <v/>
      </c>
      <c r="D459" s="10">
        <f>IF(B459="","",INDEX(RECON_RESULTS!$C$2:$C$1001,SMALL(IF(RECON_RESULTS!$A$2:$A$1001="Near Match",ROW(RECON_RESULTS!$A$2:$A$1001)-1),49)))</f>
        <v/>
      </c>
      <c r="E459" s="16">
        <f>IF(B459="","",INDEX(RECON_RESULTS!$D$2:$D$1001,SMALL(IF(RECON_RESULTS!$A$2:$A$1001="Near Match",ROW(RECON_RESULTS!$A$2:$A$1001)-1),49)))</f>
        <v/>
      </c>
      <c r="F459" s="10">
        <f>IF(B459="","",INDEX(RECON_RESULTS!$F$2:$F$1001,SMALL(IF(RECON_RESULTS!$A$2:$A$1001="Near Match",ROW(RECON_RESULTS!$A$2:$A$1001)-1),49)))</f>
        <v/>
      </c>
      <c r="G459" s="16">
        <f>IF(B459="","",INDEX(RECON_RESULTS!$I$2:$I$1001,SMALL(IF(RECON_RESULTS!$A$2:$A$1001="Near Match",ROW(RECON_RESULTS!$A$2:$A$1001)-1),49)))</f>
        <v/>
      </c>
      <c r="H459" s="12">
        <f>IF(B459="","",INDEX(RECON_RESULTS!$J$2:$J$1001,SMALL(IF(RECON_RESULTS!$A$2:$A$1001="Near Match",ROW(RECON_RESULTS!$A$2:$A$1001)-1),49)))</f>
        <v/>
      </c>
      <c r="I459" s="11">
        <f>IF(B459="","",INDEX(RECON_RESULTS!$K$2:$K$1001,SMALL(IF(RECON_RESULTS!$A$2:$A$1001="Near Match",ROW(RECON_RESULTS!$A$2:$A$1001)-1),49)))</f>
        <v/>
      </c>
      <c r="J459" s="17">
        <f>IF(B459="","",INDEX(RECON_RESULTS!$L$2:$L$1001,SMALL(IF(RECON_RESULTS!$A$2:$A$1001="Near Match",ROW(RECON_RESULTS!$A$2:$A$1001)-1),49)))</f>
        <v/>
      </c>
      <c r="K459" s="11" t="inlineStr"/>
      <c r="L459" s="11" t="inlineStr"/>
    </row>
    <row r="460">
      <c r="B460" s="11">
        <f>IFERROR(INDEX(RECON_RESULTS!$A$2:$A$1001,SMALL(IF(RECON_RESULTS!$A$2:$A$1001="Near Match",ROW(RECON_RESULTS!$A$2:$A$1001)-1),50)),"")</f>
        <v/>
      </c>
      <c r="C460" s="11">
        <f>IF(B460="","",INDEX(RECON_RESULTS!$B$2:$B$1001,SMALL(IF(RECON_RESULTS!$A$2:$A$1001="Near Match",ROW(RECON_RESULTS!$A$2:$A$1001)-1),50)))</f>
        <v/>
      </c>
      <c r="D460" s="10">
        <f>IF(B460="","",INDEX(RECON_RESULTS!$C$2:$C$1001,SMALL(IF(RECON_RESULTS!$A$2:$A$1001="Near Match",ROW(RECON_RESULTS!$A$2:$A$1001)-1),50)))</f>
        <v/>
      </c>
      <c r="E460" s="16">
        <f>IF(B460="","",INDEX(RECON_RESULTS!$D$2:$D$1001,SMALL(IF(RECON_RESULTS!$A$2:$A$1001="Near Match",ROW(RECON_RESULTS!$A$2:$A$1001)-1),50)))</f>
        <v/>
      </c>
      <c r="F460" s="10">
        <f>IF(B460="","",INDEX(RECON_RESULTS!$F$2:$F$1001,SMALL(IF(RECON_RESULTS!$A$2:$A$1001="Near Match",ROW(RECON_RESULTS!$A$2:$A$1001)-1),50)))</f>
        <v/>
      </c>
      <c r="G460" s="16">
        <f>IF(B460="","",INDEX(RECON_RESULTS!$I$2:$I$1001,SMALL(IF(RECON_RESULTS!$A$2:$A$1001="Near Match",ROW(RECON_RESULTS!$A$2:$A$1001)-1),50)))</f>
        <v/>
      </c>
      <c r="H460" s="12">
        <f>IF(B460="","",INDEX(RECON_RESULTS!$J$2:$J$1001,SMALL(IF(RECON_RESULTS!$A$2:$A$1001="Near Match",ROW(RECON_RESULTS!$A$2:$A$1001)-1),50)))</f>
        <v/>
      </c>
      <c r="I460" s="11">
        <f>IF(B460="","",INDEX(RECON_RESULTS!$K$2:$K$1001,SMALL(IF(RECON_RESULTS!$A$2:$A$1001="Near Match",ROW(RECON_RESULTS!$A$2:$A$1001)-1),50)))</f>
        <v/>
      </c>
      <c r="J460" s="17">
        <f>IF(B460="","",INDEX(RECON_RESULTS!$L$2:$L$1001,SMALL(IF(RECON_RESULTS!$A$2:$A$1001="Near Match",ROW(RECON_RESULTS!$A$2:$A$1001)-1),50)))</f>
        <v/>
      </c>
      <c r="K460" s="11" t="inlineStr"/>
      <c r="L460" s="11" t="inlineStr"/>
    </row>
    <row r="461">
      <c r="B461" s="11">
        <f>IFERROR(INDEX(RECON_RESULTS!$A$2:$A$1001,SMALL(IF(RECON_RESULTS!$A$2:$A$1001="Near Match",ROW(RECON_RESULTS!$A$2:$A$1001)-1),51)),"")</f>
        <v/>
      </c>
      <c r="C461" s="11">
        <f>IF(B461="","",INDEX(RECON_RESULTS!$B$2:$B$1001,SMALL(IF(RECON_RESULTS!$A$2:$A$1001="Near Match",ROW(RECON_RESULTS!$A$2:$A$1001)-1),51)))</f>
        <v/>
      </c>
      <c r="D461" s="10">
        <f>IF(B461="","",INDEX(RECON_RESULTS!$C$2:$C$1001,SMALL(IF(RECON_RESULTS!$A$2:$A$1001="Near Match",ROW(RECON_RESULTS!$A$2:$A$1001)-1),51)))</f>
        <v/>
      </c>
      <c r="E461" s="16">
        <f>IF(B461="","",INDEX(RECON_RESULTS!$D$2:$D$1001,SMALL(IF(RECON_RESULTS!$A$2:$A$1001="Near Match",ROW(RECON_RESULTS!$A$2:$A$1001)-1),51)))</f>
        <v/>
      </c>
      <c r="F461" s="10">
        <f>IF(B461="","",INDEX(RECON_RESULTS!$F$2:$F$1001,SMALL(IF(RECON_RESULTS!$A$2:$A$1001="Near Match",ROW(RECON_RESULTS!$A$2:$A$1001)-1),51)))</f>
        <v/>
      </c>
      <c r="G461" s="16">
        <f>IF(B461="","",INDEX(RECON_RESULTS!$I$2:$I$1001,SMALL(IF(RECON_RESULTS!$A$2:$A$1001="Near Match",ROW(RECON_RESULTS!$A$2:$A$1001)-1),51)))</f>
        <v/>
      </c>
      <c r="H461" s="12">
        <f>IF(B461="","",INDEX(RECON_RESULTS!$J$2:$J$1001,SMALL(IF(RECON_RESULTS!$A$2:$A$1001="Near Match",ROW(RECON_RESULTS!$A$2:$A$1001)-1),51)))</f>
        <v/>
      </c>
      <c r="I461" s="11">
        <f>IF(B461="","",INDEX(RECON_RESULTS!$K$2:$K$1001,SMALL(IF(RECON_RESULTS!$A$2:$A$1001="Near Match",ROW(RECON_RESULTS!$A$2:$A$1001)-1),51)))</f>
        <v/>
      </c>
      <c r="J461" s="17">
        <f>IF(B461="","",INDEX(RECON_RESULTS!$L$2:$L$1001,SMALL(IF(RECON_RESULTS!$A$2:$A$1001="Near Match",ROW(RECON_RESULTS!$A$2:$A$1001)-1),51)))</f>
        <v/>
      </c>
      <c r="K461" s="11" t="inlineStr"/>
      <c r="L461" s="11" t="inlineStr"/>
    </row>
    <row r="462">
      <c r="B462" s="11">
        <f>IFERROR(INDEX(RECON_RESULTS!$A$2:$A$1001,SMALL(IF(RECON_RESULTS!$A$2:$A$1001="Near Match",ROW(RECON_RESULTS!$A$2:$A$1001)-1),52)),"")</f>
        <v/>
      </c>
      <c r="C462" s="11">
        <f>IF(B462="","",INDEX(RECON_RESULTS!$B$2:$B$1001,SMALL(IF(RECON_RESULTS!$A$2:$A$1001="Near Match",ROW(RECON_RESULTS!$A$2:$A$1001)-1),52)))</f>
        <v/>
      </c>
      <c r="D462" s="10">
        <f>IF(B462="","",INDEX(RECON_RESULTS!$C$2:$C$1001,SMALL(IF(RECON_RESULTS!$A$2:$A$1001="Near Match",ROW(RECON_RESULTS!$A$2:$A$1001)-1),52)))</f>
        <v/>
      </c>
      <c r="E462" s="16">
        <f>IF(B462="","",INDEX(RECON_RESULTS!$D$2:$D$1001,SMALL(IF(RECON_RESULTS!$A$2:$A$1001="Near Match",ROW(RECON_RESULTS!$A$2:$A$1001)-1),52)))</f>
        <v/>
      </c>
      <c r="F462" s="10">
        <f>IF(B462="","",INDEX(RECON_RESULTS!$F$2:$F$1001,SMALL(IF(RECON_RESULTS!$A$2:$A$1001="Near Match",ROW(RECON_RESULTS!$A$2:$A$1001)-1),52)))</f>
        <v/>
      </c>
      <c r="G462" s="16">
        <f>IF(B462="","",INDEX(RECON_RESULTS!$I$2:$I$1001,SMALL(IF(RECON_RESULTS!$A$2:$A$1001="Near Match",ROW(RECON_RESULTS!$A$2:$A$1001)-1),52)))</f>
        <v/>
      </c>
      <c r="H462" s="12">
        <f>IF(B462="","",INDEX(RECON_RESULTS!$J$2:$J$1001,SMALL(IF(RECON_RESULTS!$A$2:$A$1001="Near Match",ROW(RECON_RESULTS!$A$2:$A$1001)-1),52)))</f>
        <v/>
      </c>
      <c r="I462" s="11">
        <f>IF(B462="","",INDEX(RECON_RESULTS!$K$2:$K$1001,SMALL(IF(RECON_RESULTS!$A$2:$A$1001="Near Match",ROW(RECON_RESULTS!$A$2:$A$1001)-1),52)))</f>
        <v/>
      </c>
      <c r="J462" s="17">
        <f>IF(B462="","",INDEX(RECON_RESULTS!$L$2:$L$1001,SMALL(IF(RECON_RESULTS!$A$2:$A$1001="Near Match",ROW(RECON_RESULTS!$A$2:$A$1001)-1),52)))</f>
        <v/>
      </c>
      <c r="K462" s="11" t="inlineStr"/>
      <c r="L462" s="11" t="inlineStr"/>
    </row>
    <row r="463">
      <c r="B463" s="11">
        <f>IFERROR(INDEX(RECON_RESULTS!$A$2:$A$1001,SMALL(IF(RECON_RESULTS!$A$2:$A$1001="Near Match",ROW(RECON_RESULTS!$A$2:$A$1001)-1),53)),"")</f>
        <v/>
      </c>
      <c r="C463" s="11">
        <f>IF(B463="","",INDEX(RECON_RESULTS!$B$2:$B$1001,SMALL(IF(RECON_RESULTS!$A$2:$A$1001="Near Match",ROW(RECON_RESULTS!$A$2:$A$1001)-1),53)))</f>
        <v/>
      </c>
      <c r="D463" s="10">
        <f>IF(B463="","",INDEX(RECON_RESULTS!$C$2:$C$1001,SMALL(IF(RECON_RESULTS!$A$2:$A$1001="Near Match",ROW(RECON_RESULTS!$A$2:$A$1001)-1),53)))</f>
        <v/>
      </c>
      <c r="E463" s="16">
        <f>IF(B463="","",INDEX(RECON_RESULTS!$D$2:$D$1001,SMALL(IF(RECON_RESULTS!$A$2:$A$1001="Near Match",ROW(RECON_RESULTS!$A$2:$A$1001)-1),53)))</f>
        <v/>
      </c>
      <c r="F463" s="10">
        <f>IF(B463="","",INDEX(RECON_RESULTS!$F$2:$F$1001,SMALL(IF(RECON_RESULTS!$A$2:$A$1001="Near Match",ROW(RECON_RESULTS!$A$2:$A$1001)-1),53)))</f>
        <v/>
      </c>
      <c r="G463" s="16">
        <f>IF(B463="","",INDEX(RECON_RESULTS!$I$2:$I$1001,SMALL(IF(RECON_RESULTS!$A$2:$A$1001="Near Match",ROW(RECON_RESULTS!$A$2:$A$1001)-1),53)))</f>
        <v/>
      </c>
      <c r="H463" s="12">
        <f>IF(B463="","",INDEX(RECON_RESULTS!$J$2:$J$1001,SMALL(IF(RECON_RESULTS!$A$2:$A$1001="Near Match",ROW(RECON_RESULTS!$A$2:$A$1001)-1),53)))</f>
        <v/>
      </c>
      <c r="I463" s="11">
        <f>IF(B463="","",INDEX(RECON_RESULTS!$K$2:$K$1001,SMALL(IF(RECON_RESULTS!$A$2:$A$1001="Near Match",ROW(RECON_RESULTS!$A$2:$A$1001)-1),53)))</f>
        <v/>
      </c>
      <c r="J463" s="17">
        <f>IF(B463="","",INDEX(RECON_RESULTS!$L$2:$L$1001,SMALL(IF(RECON_RESULTS!$A$2:$A$1001="Near Match",ROW(RECON_RESULTS!$A$2:$A$1001)-1),53)))</f>
        <v/>
      </c>
      <c r="K463" s="11" t="inlineStr"/>
      <c r="L463" s="11" t="inlineStr"/>
    </row>
    <row r="464">
      <c r="B464" s="11">
        <f>IFERROR(INDEX(RECON_RESULTS!$A$2:$A$1001,SMALL(IF(RECON_RESULTS!$A$2:$A$1001="Near Match",ROW(RECON_RESULTS!$A$2:$A$1001)-1),54)),"")</f>
        <v/>
      </c>
      <c r="C464" s="11">
        <f>IF(B464="","",INDEX(RECON_RESULTS!$B$2:$B$1001,SMALL(IF(RECON_RESULTS!$A$2:$A$1001="Near Match",ROW(RECON_RESULTS!$A$2:$A$1001)-1),54)))</f>
        <v/>
      </c>
      <c r="D464" s="10">
        <f>IF(B464="","",INDEX(RECON_RESULTS!$C$2:$C$1001,SMALL(IF(RECON_RESULTS!$A$2:$A$1001="Near Match",ROW(RECON_RESULTS!$A$2:$A$1001)-1),54)))</f>
        <v/>
      </c>
      <c r="E464" s="16">
        <f>IF(B464="","",INDEX(RECON_RESULTS!$D$2:$D$1001,SMALL(IF(RECON_RESULTS!$A$2:$A$1001="Near Match",ROW(RECON_RESULTS!$A$2:$A$1001)-1),54)))</f>
        <v/>
      </c>
      <c r="F464" s="10">
        <f>IF(B464="","",INDEX(RECON_RESULTS!$F$2:$F$1001,SMALL(IF(RECON_RESULTS!$A$2:$A$1001="Near Match",ROW(RECON_RESULTS!$A$2:$A$1001)-1),54)))</f>
        <v/>
      </c>
      <c r="G464" s="16">
        <f>IF(B464="","",INDEX(RECON_RESULTS!$I$2:$I$1001,SMALL(IF(RECON_RESULTS!$A$2:$A$1001="Near Match",ROW(RECON_RESULTS!$A$2:$A$1001)-1),54)))</f>
        <v/>
      </c>
      <c r="H464" s="12">
        <f>IF(B464="","",INDEX(RECON_RESULTS!$J$2:$J$1001,SMALL(IF(RECON_RESULTS!$A$2:$A$1001="Near Match",ROW(RECON_RESULTS!$A$2:$A$1001)-1),54)))</f>
        <v/>
      </c>
      <c r="I464" s="11">
        <f>IF(B464="","",INDEX(RECON_RESULTS!$K$2:$K$1001,SMALL(IF(RECON_RESULTS!$A$2:$A$1001="Near Match",ROW(RECON_RESULTS!$A$2:$A$1001)-1),54)))</f>
        <v/>
      </c>
      <c r="J464" s="17">
        <f>IF(B464="","",INDEX(RECON_RESULTS!$L$2:$L$1001,SMALL(IF(RECON_RESULTS!$A$2:$A$1001="Near Match",ROW(RECON_RESULTS!$A$2:$A$1001)-1),54)))</f>
        <v/>
      </c>
      <c r="K464" s="11" t="inlineStr"/>
      <c r="L464" s="11" t="inlineStr"/>
    </row>
    <row r="465">
      <c r="B465" s="11">
        <f>IFERROR(INDEX(RECON_RESULTS!$A$2:$A$1001,SMALL(IF(RECON_RESULTS!$A$2:$A$1001="Near Match",ROW(RECON_RESULTS!$A$2:$A$1001)-1),55)),"")</f>
        <v/>
      </c>
      <c r="C465" s="11">
        <f>IF(B465="","",INDEX(RECON_RESULTS!$B$2:$B$1001,SMALL(IF(RECON_RESULTS!$A$2:$A$1001="Near Match",ROW(RECON_RESULTS!$A$2:$A$1001)-1),55)))</f>
        <v/>
      </c>
      <c r="D465" s="10">
        <f>IF(B465="","",INDEX(RECON_RESULTS!$C$2:$C$1001,SMALL(IF(RECON_RESULTS!$A$2:$A$1001="Near Match",ROW(RECON_RESULTS!$A$2:$A$1001)-1),55)))</f>
        <v/>
      </c>
      <c r="E465" s="16">
        <f>IF(B465="","",INDEX(RECON_RESULTS!$D$2:$D$1001,SMALL(IF(RECON_RESULTS!$A$2:$A$1001="Near Match",ROW(RECON_RESULTS!$A$2:$A$1001)-1),55)))</f>
        <v/>
      </c>
      <c r="F465" s="10">
        <f>IF(B465="","",INDEX(RECON_RESULTS!$F$2:$F$1001,SMALL(IF(RECON_RESULTS!$A$2:$A$1001="Near Match",ROW(RECON_RESULTS!$A$2:$A$1001)-1),55)))</f>
        <v/>
      </c>
      <c r="G465" s="16">
        <f>IF(B465="","",INDEX(RECON_RESULTS!$I$2:$I$1001,SMALL(IF(RECON_RESULTS!$A$2:$A$1001="Near Match",ROW(RECON_RESULTS!$A$2:$A$1001)-1),55)))</f>
        <v/>
      </c>
      <c r="H465" s="12">
        <f>IF(B465="","",INDEX(RECON_RESULTS!$J$2:$J$1001,SMALL(IF(RECON_RESULTS!$A$2:$A$1001="Near Match",ROW(RECON_RESULTS!$A$2:$A$1001)-1),55)))</f>
        <v/>
      </c>
      <c r="I465" s="11">
        <f>IF(B465="","",INDEX(RECON_RESULTS!$K$2:$K$1001,SMALL(IF(RECON_RESULTS!$A$2:$A$1001="Near Match",ROW(RECON_RESULTS!$A$2:$A$1001)-1),55)))</f>
        <v/>
      </c>
      <c r="J465" s="17">
        <f>IF(B465="","",INDEX(RECON_RESULTS!$L$2:$L$1001,SMALL(IF(RECON_RESULTS!$A$2:$A$1001="Near Match",ROW(RECON_RESULTS!$A$2:$A$1001)-1),55)))</f>
        <v/>
      </c>
      <c r="K465" s="11" t="inlineStr"/>
      <c r="L465" s="11" t="inlineStr"/>
    </row>
    <row r="466">
      <c r="B466" s="11">
        <f>IFERROR(INDEX(RECON_RESULTS!$A$2:$A$1001,SMALL(IF(RECON_RESULTS!$A$2:$A$1001="Near Match",ROW(RECON_RESULTS!$A$2:$A$1001)-1),56)),"")</f>
        <v/>
      </c>
      <c r="C466" s="11">
        <f>IF(B466="","",INDEX(RECON_RESULTS!$B$2:$B$1001,SMALL(IF(RECON_RESULTS!$A$2:$A$1001="Near Match",ROW(RECON_RESULTS!$A$2:$A$1001)-1),56)))</f>
        <v/>
      </c>
      <c r="D466" s="10">
        <f>IF(B466="","",INDEX(RECON_RESULTS!$C$2:$C$1001,SMALL(IF(RECON_RESULTS!$A$2:$A$1001="Near Match",ROW(RECON_RESULTS!$A$2:$A$1001)-1),56)))</f>
        <v/>
      </c>
      <c r="E466" s="16">
        <f>IF(B466="","",INDEX(RECON_RESULTS!$D$2:$D$1001,SMALL(IF(RECON_RESULTS!$A$2:$A$1001="Near Match",ROW(RECON_RESULTS!$A$2:$A$1001)-1),56)))</f>
        <v/>
      </c>
      <c r="F466" s="10">
        <f>IF(B466="","",INDEX(RECON_RESULTS!$F$2:$F$1001,SMALL(IF(RECON_RESULTS!$A$2:$A$1001="Near Match",ROW(RECON_RESULTS!$A$2:$A$1001)-1),56)))</f>
        <v/>
      </c>
      <c r="G466" s="16">
        <f>IF(B466="","",INDEX(RECON_RESULTS!$I$2:$I$1001,SMALL(IF(RECON_RESULTS!$A$2:$A$1001="Near Match",ROW(RECON_RESULTS!$A$2:$A$1001)-1),56)))</f>
        <v/>
      </c>
      <c r="H466" s="12">
        <f>IF(B466="","",INDEX(RECON_RESULTS!$J$2:$J$1001,SMALL(IF(RECON_RESULTS!$A$2:$A$1001="Near Match",ROW(RECON_RESULTS!$A$2:$A$1001)-1),56)))</f>
        <v/>
      </c>
      <c r="I466" s="11">
        <f>IF(B466="","",INDEX(RECON_RESULTS!$K$2:$K$1001,SMALL(IF(RECON_RESULTS!$A$2:$A$1001="Near Match",ROW(RECON_RESULTS!$A$2:$A$1001)-1),56)))</f>
        <v/>
      </c>
      <c r="J466" s="17">
        <f>IF(B466="","",INDEX(RECON_RESULTS!$L$2:$L$1001,SMALL(IF(RECON_RESULTS!$A$2:$A$1001="Near Match",ROW(RECON_RESULTS!$A$2:$A$1001)-1),56)))</f>
        <v/>
      </c>
      <c r="K466" s="11" t="inlineStr"/>
      <c r="L466" s="11" t="inlineStr"/>
    </row>
    <row r="467">
      <c r="B467" s="11">
        <f>IFERROR(INDEX(RECON_RESULTS!$A$2:$A$1001,SMALL(IF(RECON_RESULTS!$A$2:$A$1001="Near Match",ROW(RECON_RESULTS!$A$2:$A$1001)-1),57)),"")</f>
        <v/>
      </c>
      <c r="C467" s="11">
        <f>IF(B467="","",INDEX(RECON_RESULTS!$B$2:$B$1001,SMALL(IF(RECON_RESULTS!$A$2:$A$1001="Near Match",ROW(RECON_RESULTS!$A$2:$A$1001)-1),57)))</f>
        <v/>
      </c>
      <c r="D467" s="10">
        <f>IF(B467="","",INDEX(RECON_RESULTS!$C$2:$C$1001,SMALL(IF(RECON_RESULTS!$A$2:$A$1001="Near Match",ROW(RECON_RESULTS!$A$2:$A$1001)-1),57)))</f>
        <v/>
      </c>
      <c r="E467" s="16">
        <f>IF(B467="","",INDEX(RECON_RESULTS!$D$2:$D$1001,SMALL(IF(RECON_RESULTS!$A$2:$A$1001="Near Match",ROW(RECON_RESULTS!$A$2:$A$1001)-1),57)))</f>
        <v/>
      </c>
      <c r="F467" s="10">
        <f>IF(B467="","",INDEX(RECON_RESULTS!$F$2:$F$1001,SMALL(IF(RECON_RESULTS!$A$2:$A$1001="Near Match",ROW(RECON_RESULTS!$A$2:$A$1001)-1),57)))</f>
        <v/>
      </c>
      <c r="G467" s="16">
        <f>IF(B467="","",INDEX(RECON_RESULTS!$I$2:$I$1001,SMALL(IF(RECON_RESULTS!$A$2:$A$1001="Near Match",ROW(RECON_RESULTS!$A$2:$A$1001)-1),57)))</f>
        <v/>
      </c>
      <c r="H467" s="12">
        <f>IF(B467="","",INDEX(RECON_RESULTS!$J$2:$J$1001,SMALL(IF(RECON_RESULTS!$A$2:$A$1001="Near Match",ROW(RECON_RESULTS!$A$2:$A$1001)-1),57)))</f>
        <v/>
      </c>
      <c r="I467" s="11">
        <f>IF(B467="","",INDEX(RECON_RESULTS!$K$2:$K$1001,SMALL(IF(RECON_RESULTS!$A$2:$A$1001="Near Match",ROW(RECON_RESULTS!$A$2:$A$1001)-1),57)))</f>
        <v/>
      </c>
      <c r="J467" s="17">
        <f>IF(B467="","",INDEX(RECON_RESULTS!$L$2:$L$1001,SMALL(IF(RECON_RESULTS!$A$2:$A$1001="Near Match",ROW(RECON_RESULTS!$A$2:$A$1001)-1),57)))</f>
        <v/>
      </c>
      <c r="K467" s="11" t="inlineStr"/>
      <c r="L467" s="11" t="inlineStr"/>
    </row>
    <row r="468">
      <c r="B468" s="11">
        <f>IFERROR(INDEX(RECON_RESULTS!$A$2:$A$1001,SMALL(IF(RECON_RESULTS!$A$2:$A$1001="Near Match",ROW(RECON_RESULTS!$A$2:$A$1001)-1),58)),"")</f>
        <v/>
      </c>
      <c r="C468" s="11">
        <f>IF(B468="","",INDEX(RECON_RESULTS!$B$2:$B$1001,SMALL(IF(RECON_RESULTS!$A$2:$A$1001="Near Match",ROW(RECON_RESULTS!$A$2:$A$1001)-1),58)))</f>
        <v/>
      </c>
      <c r="D468" s="10">
        <f>IF(B468="","",INDEX(RECON_RESULTS!$C$2:$C$1001,SMALL(IF(RECON_RESULTS!$A$2:$A$1001="Near Match",ROW(RECON_RESULTS!$A$2:$A$1001)-1),58)))</f>
        <v/>
      </c>
      <c r="E468" s="16">
        <f>IF(B468="","",INDEX(RECON_RESULTS!$D$2:$D$1001,SMALL(IF(RECON_RESULTS!$A$2:$A$1001="Near Match",ROW(RECON_RESULTS!$A$2:$A$1001)-1),58)))</f>
        <v/>
      </c>
      <c r="F468" s="10">
        <f>IF(B468="","",INDEX(RECON_RESULTS!$F$2:$F$1001,SMALL(IF(RECON_RESULTS!$A$2:$A$1001="Near Match",ROW(RECON_RESULTS!$A$2:$A$1001)-1),58)))</f>
        <v/>
      </c>
      <c r="G468" s="16">
        <f>IF(B468="","",INDEX(RECON_RESULTS!$I$2:$I$1001,SMALL(IF(RECON_RESULTS!$A$2:$A$1001="Near Match",ROW(RECON_RESULTS!$A$2:$A$1001)-1),58)))</f>
        <v/>
      </c>
      <c r="H468" s="12">
        <f>IF(B468="","",INDEX(RECON_RESULTS!$J$2:$J$1001,SMALL(IF(RECON_RESULTS!$A$2:$A$1001="Near Match",ROW(RECON_RESULTS!$A$2:$A$1001)-1),58)))</f>
        <v/>
      </c>
      <c r="I468" s="11">
        <f>IF(B468="","",INDEX(RECON_RESULTS!$K$2:$K$1001,SMALL(IF(RECON_RESULTS!$A$2:$A$1001="Near Match",ROW(RECON_RESULTS!$A$2:$A$1001)-1),58)))</f>
        <v/>
      </c>
      <c r="J468" s="17">
        <f>IF(B468="","",INDEX(RECON_RESULTS!$L$2:$L$1001,SMALL(IF(RECON_RESULTS!$A$2:$A$1001="Near Match",ROW(RECON_RESULTS!$A$2:$A$1001)-1),58)))</f>
        <v/>
      </c>
      <c r="K468" s="11" t="inlineStr"/>
      <c r="L468" s="11" t="inlineStr"/>
    </row>
    <row r="469">
      <c r="B469" s="11">
        <f>IFERROR(INDEX(RECON_RESULTS!$A$2:$A$1001,SMALL(IF(RECON_RESULTS!$A$2:$A$1001="Near Match",ROW(RECON_RESULTS!$A$2:$A$1001)-1),59)),"")</f>
        <v/>
      </c>
      <c r="C469" s="11">
        <f>IF(B469="","",INDEX(RECON_RESULTS!$B$2:$B$1001,SMALL(IF(RECON_RESULTS!$A$2:$A$1001="Near Match",ROW(RECON_RESULTS!$A$2:$A$1001)-1),59)))</f>
        <v/>
      </c>
      <c r="D469" s="10">
        <f>IF(B469="","",INDEX(RECON_RESULTS!$C$2:$C$1001,SMALL(IF(RECON_RESULTS!$A$2:$A$1001="Near Match",ROW(RECON_RESULTS!$A$2:$A$1001)-1),59)))</f>
        <v/>
      </c>
      <c r="E469" s="16">
        <f>IF(B469="","",INDEX(RECON_RESULTS!$D$2:$D$1001,SMALL(IF(RECON_RESULTS!$A$2:$A$1001="Near Match",ROW(RECON_RESULTS!$A$2:$A$1001)-1),59)))</f>
        <v/>
      </c>
      <c r="F469" s="10">
        <f>IF(B469="","",INDEX(RECON_RESULTS!$F$2:$F$1001,SMALL(IF(RECON_RESULTS!$A$2:$A$1001="Near Match",ROW(RECON_RESULTS!$A$2:$A$1001)-1),59)))</f>
        <v/>
      </c>
      <c r="G469" s="16">
        <f>IF(B469="","",INDEX(RECON_RESULTS!$I$2:$I$1001,SMALL(IF(RECON_RESULTS!$A$2:$A$1001="Near Match",ROW(RECON_RESULTS!$A$2:$A$1001)-1),59)))</f>
        <v/>
      </c>
      <c r="H469" s="12">
        <f>IF(B469="","",INDEX(RECON_RESULTS!$J$2:$J$1001,SMALL(IF(RECON_RESULTS!$A$2:$A$1001="Near Match",ROW(RECON_RESULTS!$A$2:$A$1001)-1),59)))</f>
        <v/>
      </c>
      <c r="I469" s="11">
        <f>IF(B469="","",INDEX(RECON_RESULTS!$K$2:$K$1001,SMALL(IF(RECON_RESULTS!$A$2:$A$1001="Near Match",ROW(RECON_RESULTS!$A$2:$A$1001)-1),59)))</f>
        <v/>
      </c>
      <c r="J469" s="17">
        <f>IF(B469="","",INDEX(RECON_RESULTS!$L$2:$L$1001,SMALL(IF(RECON_RESULTS!$A$2:$A$1001="Near Match",ROW(RECON_RESULTS!$A$2:$A$1001)-1),59)))</f>
        <v/>
      </c>
      <c r="K469" s="11" t="inlineStr"/>
      <c r="L469" s="11" t="inlineStr"/>
    </row>
    <row r="470">
      <c r="B470" s="11">
        <f>IFERROR(INDEX(RECON_RESULTS!$A$2:$A$1001,SMALL(IF(RECON_RESULTS!$A$2:$A$1001="Near Match",ROW(RECON_RESULTS!$A$2:$A$1001)-1),60)),"")</f>
        <v/>
      </c>
      <c r="C470" s="11">
        <f>IF(B470="","",INDEX(RECON_RESULTS!$B$2:$B$1001,SMALL(IF(RECON_RESULTS!$A$2:$A$1001="Near Match",ROW(RECON_RESULTS!$A$2:$A$1001)-1),60)))</f>
        <v/>
      </c>
      <c r="D470" s="10">
        <f>IF(B470="","",INDEX(RECON_RESULTS!$C$2:$C$1001,SMALL(IF(RECON_RESULTS!$A$2:$A$1001="Near Match",ROW(RECON_RESULTS!$A$2:$A$1001)-1),60)))</f>
        <v/>
      </c>
      <c r="E470" s="16">
        <f>IF(B470="","",INDEX(RECON_RESULTS!$D$2:$D$1001,SMALL(IF(RECON_RESULTS!$A$2:$A$1001="Near Match",ROW(RECON_RESULTS!$A$2:$A$1001)-1),60)))</f>
        <v/>
      </c>
      <c r="F470" s="10">
        <f>IF(B470="","",INDEX(RECON_RESULTS!$F$2:$F$1001,SMALL(IF(RECON_RESULTS!$A$2:$A$1001="Near Match",ROW(RECON_RESULTS!$A$2:$A$1001)-1),60)))</f>
        <v/>
      </c>
      <c r="G470" s="16">
        <f>IF(B470="","",INDEX(RECON_RESULTS!$I$2:$I$1001,SMALL(IF(RECON_RESULTS!$A$2:$A$1001="Near Match",ROW(RECON_RESULTS!$A$2:$A$1001)-1),60)))</f>
        <v/>
      </c>
      <c r="H470" s="12">
        <f>IF(B470="","",INDEX(RECON_RESULTS!$J$2:$J$1001,SMALL(IF(RECON_RESULTS!$A$2:$A$1001="Near Match",ROW(RECON_RESULTS!$A$2:$A$1001)-1),60)))</f>
        <v/>
      </c>
      <c r="I470" s="11">
        <f>IF(B470="","",INDEX(RECON_RESULTS!$K$2:$K$1001,SMALL(IF(RECON_RESULTS!$A$2:$A$1001="Near Match",ROW(RECON_RESULTS!$A$2:$A$1001)-1),60)))</f>
        <v/>
      </c>
      <c r="J470" s="17">
        <f>IF(B470="","",INDEX(RECON_RESULTS!$L$2:$L$1001,SMALL(IF(RECON_RESULTS!$A$2:$A$1001="Near Match",ROW(RECON_RESULTS!$A$2:$A$1001)-1),60)))</f>
        <v/>
      </c>
      <c r="K470" s="11" t="inlineStr"/>
      <c r="L470" s="11" t="inlineStr"/>
    </row>
    <row r="471">
      <c r="B471" s="11">
        <f>IFERROR(INDEX(RECON_RESULTS!$A$2:$A$1001,SMALL(IF(RECON_RESULTS!$A$2:$A$1001="Near Match",ROW(RECON_RESULTS!$A$2:$A$1001)-1),61)),"")</f>
        <v/>
      </c>
      <c r="C471" s="11">
        <f>IF(B471="","",INDEX(RECON_RESULTS!$B$2:$B$1001,SMALL(IF(RECON_RESULTS!$A$2:$A$1001="Near Match",ROW(RECON_RESULTS!$A$2:$A$1001)-1),61)))</f>
        <v/>
      </c>
      <c r="D471" s="10">
        <f>IF(B471="","",INDEX(RECON_RESULTS!$C$2:$C$1001,SMALL(IF(RECON_RESULTS!$A$2:$A$1001="Near Match",ROW(RECON_RESULTS!$A$2:$A$1001)-1),61)))</f>
        <v/>
      </c>
      <c r="E471" s="16">
        <f>IF(B471="","",INDEX(RECON_RESULTS!$D$2:$D$1001,SMALL(IF(RECON_RESULTS!$A$2:$A$1001="Near Match",ROW(RECON_RESULTS!$A$2:$A$1001)-1),61)))</f>
        <v/>
      </c>
      <c r="F471" s="10">
        <f>IF(B471="","",INDEX(RECON_RESULTS!$F$2:$F$1001,SMALL(IF(RECON_RESULTS!$A$2:$A$1001="Near Match",ROW(RECON_RESULTS!$A$2:$A$1001)-1),61)))</f>
        <v/>
      </c>
      <c r="G471" s="16">
        <f>IF(B471="","",INDEX(RECON_RESULTS!$I$2:$I$1001,SMALL(IF(RECON_RESULTS!$A$2:$A$1001="Near Match",ROW(RECON_RESULTS!$A$2:$A$1001)-1),61)))</f>
        <v/>
      </c>
      <c r="H471" s="12">
        <f>IF(B471="","",INDEX(RECON_RESULTS!$J$2:$J$1001,SMALL(IF(RECON_RESULTS!$A$2:$A$1001="Near Match",ROW(RECON_RESULTS!$A$2:$A$1001)-1),61)))</f>
        <v/>
      </c>
      <c r="I471" s="11">
        <f>IF(B471="","",INDEX(RECON_RESULTS!$K$2:$K$1001,SMALL(IF(RECON_RESULTS!$A$2:$A$1001="Near Match",ROW(RECON_RESULTS!$A$2:$A$1001)-1),61)))</f>
        <v/>
      </c>
      <c r="J471" s="17">
        <f>IF(B471="","",INDEX(RECON_RESULTS!$L$2:$L$1001,SMALL(IF(RECON_RESULTS!$A$2:$A$1001="Near Match",ROW(RECON_RESULTS!$A$2:$A$1001)-1),61)))</f>
        <v/>
      </c>
      <c r="K471" s="11" t="inlineStr"/>
      <c r="L471" s="11" t="inlineStr"/>
    </row>
    <row r="472">
      <c r="B472" s="11">
        <f>IFERROR(INDEX(RECON_RESULTS!$A$2:$A$1001,SMALL(IF(RECON_RESULTS!$A$2:$A$1001="Near Match",ROW(RECON_RESULTS!$A$2:$A$1001)-1),62)),"")</f>
        <v/>
      </c>
      <c r="C472" s="11">
        <f>IF(B472="","",INDEX(RECON_RESULTS!$B$2:$B$1001,SMALL(IF(RECON_RESULTS!$A$2:$A$1001="Near Match",ROW(RECON_RESULTS!$A$2:$A$1001)-1),62)))</f>
        <v/>
      </c>
      <c r="D472" s="10">
        <f>IF(B472="","",INDEX(RECON_RESULTS!$C$2:$C$1001,SMALL(IF(RECON_RESULTS!$A$2:$A$1001="Near Match",ROW(RECON_RESULTS!$A$2:$A$1001)-1),62)))</f>
        <v/>
      </c>
      <c r="E472" s="16">
        <f>IF(B472="","",INDEX(RECON_RESULTS!$D$2:$D$1001,SMALL(IF(RECON_RESULTS!$A$2:$A$1001="Near Match",ROW(RECON_RESULTS!$A$2:$A$1001)-1),62)))</f>
        <v/>
      </c>
      <c r="F472" s="10">
        <f>IF(B472="","",INDEX(RECON_RESULTS!$F$2:$F$1001,SMALL(IF(RECON_RESULTS!$A$2:$A$1001="Near Match",ROW(RECON_RESULTS!$A$2:$A$1001)-1),62)))</f>
        <v/>
      </c>
      <c r="G472" s="16">
        <f>IF(B472="","",INDEX(RECON_RESULTS!$I$2:$I$1001,SMALL(IF(RECON_RESULTS!$A$2:$A$1001="Near Match",ROW(RECON_RESULTS!$A$2:$A$1001)-1),62)))</f>
        <v/>
      </c>
      <c r="H472" s="12">
        <f>IF(B472="","",INDEX(RECON_RESULTS!$J$2:$J$1001,SMALL(IF(RECON_RESULTS!$A$2:$A$1001="Near Match",ROW(RECON_RESULTS!$A$2:$A$1001)-1),62)))</f>
        <v/>
      </c>
      <c r="I472" s="11">
        <f>IF(B472="","",INDEX(RECON_RESULTS!$K$2:$K$1001,SMALL(IF(RECON_RESULTS!$A$2:$A$1001="Near Match",ROW(RECON_RESULTS!$A$2:$A$1001)-1),62)))</f>
        <v/>
      </c>
      <c r="J472" s="17">
        <f>IF(B472="","",INDEX(RECON_RESULTS!$L$2:$L$1001,SMALL(IF(RECON_RESULTS!$A$2:$A$1001="Near Match",ROW(RECON_RESULTS!$A$2:$A$1001)-1),62)))</f>
        <v/>
      </c>
      <c r="K472" s="11" t="inlineStr"/>
      <c r="L472" s="11" t="inlineStr"/>
    </row>
    <row r="473">
      <c r="B473" s="11">
        <f>IFERROR(INDEX(RECON_RESULTS!$A$2:$A$1001,SMALL(IF(RECON_RESULTS!$A$2:$A$1001="Near Match",ROW(RECON_RESULTS!$A$2:$A$1001)-1),63)),"")</f>
        <v/>
      </c>
      <c r="C473" s="11">
        <f>IF(B473="","",INDEX(RECON_RESULTS!$B$2:$B$1001,SMALL(IF(RECON_RESULTS!$A$2:$A$1001="Near Match",ROW(RECON_RESULTS!$A$2:$A$1001)-1),63)))</f>
        <v/>
      </c>
      <c r="D473" s="10">
        <f>IF(B473="","",INDEX(RECON_RESULTS!$C$2:$C$1001,SMALL(IF(RECON_RESULTS!$A$2:$A$1001="Near Match",ROW(RECON_RESULTS!$A$2:$A$1001)-1),63)))</f>
        <v/>
      </c>
      <c r="E473" s="16">
        <f>IF(B473="","",INDEX(RECON_RESULTS!$D$2:$D$1001,SMALL(IF(RECON_RESULTS!$A$2:$A$1001="Near Match",ROW(RECON_RESULTS!$A$2:$A$1001)-1),63)))</f>
        <v/>
      </c>
      <c r="F473" s="10">
        <f>IF(B473="","",INDEX(RECON_RESULTS!$F$2:$F$1001,SMALL(IF(RECON_RESULTS!$A$2:$A$1001="Near Match",ROW(RECON_RESULTS!$A$2:$A$1001)-1),63)))</f>
        <v/>
      </c>
      <c r="G473" s="16">
        <f>IF(B473="","",INDEX(RECON_RESULTS!$I$2:$I$1001,SMALL(IF(RECON_RESULTS!$A$2:$A$1001="Near Match",ROW(RECON_RESULTS!$A$2:$A$1001)-1),63)))</f>
        <v/>
      </c>
      <c r="H473" s="12">
        <f>IF(B473="","",INDEX(RECON_RESULTS!$J$2:$J$1001,SMALL(IF(RECON_RESULTS!$A$2:$A$1001="Near Match",ROW(RECON_RESULTS!$A$2:$A$1001)-1),63)))</f>
        <v/>
      </c>
      <c r="I473" s="11">
        <f>IF(B473="","",INDEX(RECON_RESULTS!$K$2:$K$1001,SMALL(IF(RECON_RESULTS!$A$2:$A$1001="Near Match",ROW(RECON_RESULTS!$A$2:$A$1001)-1),63)))</f>
        <v/>
      </c>
      <c r="J473" s="17">
        <f>IF(B473="","",INDEX(RECON_RESULTS!$L$2:$L$1001,SMALL(IF(RECON_RESULTS!$A$2:$A$1001="Near Match",ROW(RECON_RESULTS!$A$2:$A$1001)-1),63)))</f>
        <v/>
      </c>
      <c r="K473" s="11" t="inlineStr"/>
      <c r="L473" s="11" t="inlineStr"/>
    </row>
    <row r="474">
      <c r="B474" s="11">
        <f>IFERROR(INDEX(RECON_RESULTS!$A$2:$A$1001,SMALL(IF(RECON_RESULTS!$A$2:$A$1001="Near Match",ROW(RECON_RESULTS!$A$2:$A$1001)-1),64)),"")</f>
        <v/>
      </c>
      <c r="C474" s="11">
        <f>IF(B474="","",INDEX(RECON_RESULTS!$B$2:$B$1001,SMALL(IF(RECON_RESULTS!$A$2:$A$1001="Near Match",ROW(RECON_RESULTS!$A$2:$A$1001)-1),64)))</f>
        <v/>
      </c>
      <c r="D474" s="10">
        <f>IF(B474="","",INDEX(RECON_RESULTS!$C$2:$C$1001,SMALL(IF(RECON_RESULTS!$A$2:$A$1001="Near Match",ROW(RECON_RESULTS!$A$2:$A$1001)-1),64)))</f>
        <v/>
      </c>
      <c r="E474" s="16">
        <f>IF(B474="","",INDEX(RECON_RESULTS!$D$2:$D$1001,SMALL(IF(RECON_RESULTS!$A$2:$A$1001="Near Match",ROW(RECON_RESULTS!$A$2:$A$1001)-1),64)))</f>
        <v/>
      </c>
      <c r="F474" s="10">
        <f>IF(B474="","",INDEX(RECON_RESULTS!$F$2:$F$1001,SMALL(IF(RECON_RESULTS!$A$2:$A$1001="Near Match",ROW(RECON_RESULTS!$A$2:$A$1001)-1),64)))</f>
        <v/>
      </c>
      <c r="G474" s="16">
        <f>IF(B474="","",INDEX(RECON_RESULTS!$I$2:$I$1001,SMALL(IF(RECON_RESULTS!$A$2:$A$1001="Near Match",ROW(RECON_RESULTS!$A$2:$A$1001)-1),64)))</f>
        <v/>
      </c>
      <c r="H474" s="12">
        <f>IF(B474="","",INDEX(RECON_RESULTS!$J$2:$J$1001,SMALL(IF(RECON_RESULTS!$A$2:$A$1001="Near Match",ROW(RECON_RESULTS!$A$2:$A$1001)-1),64)))</f>
        <v/>
      </c>
      <c r="I474" s="11">
        <f>IF(B474="","",INDEX(RECON_RESULTS!$K$2:$K$1001,SMALL(IF(RECON_RESULTS!$A$2:$A$1001="Near Match",ROW(RECON_RESULTS!$A$2:$A$1001)-1),64)))</f>
        <v/>
      </c>
      <c r="J474" s="17">
        <f>IF(B474="","",INDEX(RECON_RESULTS!$L$2:$L$1001,SMALL(IF(RECON_RESULTS!$A$2:$A$1001="Near Match",ROW(RECON_RESULTS!$A$2:$A$1001)-1),64)))</f>
        <v/>
      </c>
      <c r="K474" s="11" t="inlineStr"/>
      <c r="L474" s="11" t="inlineStr"/>
    </row>
    <row r="475">
      <c r="B475" s="11">
        <f>IFERROR(INDEX(RECON_RESULTS!$A$2:$A$1001,SMALL(IF(RECON_RESULTS!$A$2:$A$1001="Near Match",ROW(RECON_RESULTS!$A$2:$A$1001)-1),65)),"")</f>
        <v/>
      </c>
      <c r="C475" s="11">
        <f>IF(B475="","",INDEX(RECON_RESULTS!$B$2:$B$1001,SMALL(IF(RECON_RESULTS!$A$2:$A$1001="Near Match",ROW(RECON_RESULTS!$A$2:$A$1001)-1),65)))</f>
        <v/>
      </c>
      <c r="D475" s="10">
        <f>IF(B475="","",INDEX(RECON_RESULTS!$C$2:$C$1001,SMALL(IF(RECON_RESULTS!$A$2:$A$1001="Near Match",ROW(RECON_RESULTS!$A$2:$A$1001)-1),65)))</f>
        <v/>
      </c>
      <c r="E475" s="16">
        <f>IF(B475="","",INDEX(RECON_RESULTS!$D$2:$D$1001,SMALL(IF(RECON_RESULTS!$A$2:$A$1001="Near Match",ROW(RECON_RESULTS!$A$2:$A$1001)-1),65)))</f>
        <v/>
      </c>
      <c r="F475" s="10">
        <f>IF(B475="","",INDEX(RECON_RESULTS!$F$2:$F$1001,SMALL(IF(RECON_RESULTS!$A$2:$A$1001="Near Match",ROW(RECON_RESULTS!$A$2:$A$1001)-1),65)))</f>
        <v/>
      </c>
      <c r="G475" s="16">
        <f>IF(B475="","",INDEX(RECON_RESULTS!$I$2:$I$1001,SMALL(IF(RECON_RESULTS!$A$2:$A$1001="Near Match",ROW(RECON_RESULTS!$A$2:$A$1001)-1),65)))</f>
        <v/>
      </c>
      <c r="H475" s="12">
        <f>IF(B475="","",INDEX(RECON_RESULTS!$J$2:$J$1001,SMALL(IF(RECON_RESULTS!$A$2:$A$1001="Near Match",ROW(RECON_RESULTS!$A$2:$A$1001)-1),65)))</f>
        <v/>
      </c>
      <c r="I475" s="11">
        <f>IF(B475="","",INDEX(RECON_RESULTS!$K$2:$K$1001,SMALL(IF(RECON_RESULTS!$A$2:$A$1001="Near Match",ROW(RECON_RESULTS!$A$2:$A$1001)-1),65)))</f>
        <v/>
      </c>
      <c r="J475" s="17">
        <f>IF(B475="","",INDEX(RECON_RESULTS!$L$2:$L$1001,SMALL(IF(RECON_RESULTS!$A$2:$A$1001="Near Match",ROW(RECON_RESULTS!$A$2:$A$1001)-1),65)))</f>
        <v/>
      </c>
      <c r="K475" s="11" t="inlineStr"/>
      <c r="L475" s="11" t="inlineStr"/>
    </row>
    <row r="476">
      <c r="B476" s="11">
        <f>IFERROR(INDEX(RECON_RESULTS!$A$2:$A$1001,SMALL(IF(RECON_RESULTS!$A$2:$A$1001="Near Match",ROW(RECON_RESULTS!$A$2:$A$1001)-1),66)),"")</f>
        <v/>
      </c>
      <c r="C476" s="11">
        <f>IF(B476="","",INDEX(RECON_RESULTS!$B$2:$B$1001,SMALL(IF(RECON_RESULTS!$A$2:$A$1001="Near Match",ROW(RECON_RESULTS!$A$2:$A$1001)-1),66)))</f>
        <v/>
      </c>
      <c r="D476" s="10">
        <f>IF(B476="","",INDEX(RECON_RESULTS!$C$2:$C$1001,SMALL(IF(RECON_RESULTS!$A$2:$A$1001="Near Match",ROW(RECON_RESULTS!$A$2:$A$1001)-1),66)))</f>
        <v/>
      </c>
      <c r="E476" s="16">
        <f>IF(B476="","",INDEX(RECON_RESULTS!$D$2:$D$1001,SMALL(IF(RECON_RESULTS!$A$2:$A$1001="Near Match",ROW(RECON_RESULTS!$A$2:$A$1001)-1),66)))</f>
        <v/>
      </c>
      <c r="F476" s="10">
        <f>IF(B476="","",INDEX(RECON_RESULTS!$F$2:$F$1001,SMALL(IF(RECON_RESULTS!$A$2:$A$1001="Near Match",ROW(RECON_RESULTS!$A$2:$A$1001)-1),66)))</f>
        <v/>
      </c>
      <c r="G476" s="16">
        <f>IF(B476="","",INDEX(RECON_RESULTS!$I$2:$I$1001,SMALL(IF(RECON_RESULTS!$A$2:$A$1001="Near Match",ROW(RECON_RESULTS!$A$2:$A$1001)-1),66)))</f>
        <v/>
      </c>
      <c r="H476" s="12">
        <f>IF(B476="","",INDEX(RECON_RESULTS!$J$2:$J$1001,SMALL(IF(RECON_RESULTS!$A$2:$A$1001="Near Match",ROW(RECON_RESULTS!$A$2:$A$1001)-1),66)))</f>
        <v/>
      </c>
      <c r="I476" s="11">
        <f>IF(B476="","",INDEX(RECON_RESULTS!$K$2:$K$1001,SMALL(IF(RECON_RESULTS!$A$2:$A$1001="Near Match",ROW(RECON_RESULTS!$A$2:$A$1001)-1),66)))</f>
        <v/>
      </c>
      <c r="J476" s="17">
        <f>IF(B476="","",INDEX(RECON_RESULTS!$L$2:$L$1001,SMALL(IF(RECON_RESULTS!$A$2:$A$1001="Near Match",ROW(RECON_RESULTS!$A$2:$A$1001)-1),66)))</f>
        <v/>
      </c>
      <c r="K476" s="11" t="inlineStr"/>
      <c r="L476" s="11" t="inlineStr"/>
    </row>
    <row r="477">
      <c r="B477" s="11">
        <f>IFERROR(INDEX(RECON_RESULTS!$A$2:$A$1001,SMALL(IF(RECON_RESULTS!$A$2:$A$1001="Near Match",ROW(RECON_RESULTS!$A$2:$A$1001)-1),67)),"")</f>
        <v/>
      </c>
      <c r="C477" s="11">
        <f>IF(B477="","",INDEX(RECON_RESULTS!$B$2:$B$1001,SMALL(IF(RECON_RESULTS!$A$2:$A$1001="Near Match",ROW(RECON_RESULTS!$A$2:$A$1001)-1),67)))</f>
        <v/>
      </c>
      <c r="D477" s="10">
        <f>IF(B477="","",INDEX(RECON_RESULTS!$C$2:$C$1001,SMALL(IF(RECON_RESULTS!$A$2:$A$1001="Near Match",ROW(RECON_RESULTS!$A$2:$A$1001)-1),67)))</f>
        <v/>
      </c>
      <c r="E477" s="16">
        <f>IF(B477="","",INDEX(RECON_RESULTS!$D$2:$D$1001,SMALL(IF(RECON_RESULTS!$A$2:$A$1001="Near Match",ROW(RECON_RESULTS!$A$2:$A$1001)-1),67)))</f>
        <v/>
      </c>
      <c r="F477" s="10">
        <f>IF(B477="","",INDEX(RECON_RESULTS!$F$2:$F$1001,SMALL(IF(RECON_RESULTS!$A$2:$A$1001="Near Match",ROW(RECON_RESULTS!$A$2:$A$1001)-1),67)))</f>
        <v/>
      </c>
      <c r="G477" s="16">
        <f>IF(B477="","",INDEX(RECON_RESULTS!$I$2:$I$1001,SMALL(IF(RECON_RESULTS!$A$2:$A$1001="Near Match",ROW(RECON_RESULTS!$A$2:$A$1001)-1),67)))</f>
        <v/>
      </c>
      <c r="H477" s="12">
        <f>IF(B477="","",INDEX(RECON_RESULTS!$J$2:$J$1001,SMALL(IF(RECON_RESULTS!$A$2:$A$1001="Near Match",ROW(RECON_RESULTS!$A$2:$A$1001)-1),67)))</f>
        <v/>
      </c>
      <c r="I477" s="11">
        <f>IF(B477="","",INDEX(RECON_RESULTS!$K$2:$K$1001,SMALL(IF(RECON_RESULTS!$A$2:$A$1001="Near Match",ROW(RECON_RESULTS!$A$2:$A$1001)-1),67)))</f>
        <v/>
      </c>
      <c r="J477" s="17">
        <f>IF(B477="","",INDEX(RECON_RESULTS!$L$2:$L$1001,SMALL(IF(RECON_RESULTS!$A$2:$A$1001="Near Match",ROW(RECON_RESULTS!$A$2:$A$1001)-1),67)))</f>
        <v/>
      </c>
      <c r="K477" s="11" t="inlineStr"/>
      <c r="L477" s="11" t="inlineStr"/>
    </row>
    <row r="478">
      <c r="B478" s="11">
        <f>IFERROR(INDEX(RECON_RESULTS!$A$2:$A$1001,SMALL(IF(RECON_RESULTS!$A$2:$A$1001="Near Match",ROW(RECON_RESULTS!$A$2:$A$1001)-1),68)),"")</f>
        <v/>
      </c>
      <c r="C478" s="11">
        <f>IF(B478="","",INDEX(RECON_RESULTS!$B$2:$B$1001,SMALL(IF(RECON_RESULTS!$A$2:$A$1001="Near Match",ROW(RECON_RESULTS!$A$2:$A$1001)-1),68)))</f>
        <v/>
      </c>
      <c r="D478" s="10">
        <f>IF(B478="","",INDEX(RECON_RESULTS!$C$2:$C$1001,SMALL(IF(RECON_RESULTS!$A$2:$A$1001="Near Match",ROW(RECON_RESULTS!$A$2:$A$1001)-1),68)))</f>
        <v/>
      </c>
      <c r="E478" s="16">
        <f>IF(B478="","",INDEX(RECON_RESULTS!$D$2:$D$1001,SMALL(IF(RECON_RESULTS!$A$2:$A$1001="Near Match",ROW(RECON_RESULTS!$A$2:$A$1001)-1),68)))</f>
        <v/>
      </c>
      <c r="F478" s="10">
        <f>IF(B478="","",INDEX(RECON_RESULTS!$F$2:$F$1001,SMALL(IF(RECON_RESULTS!$A$2:$A$1001="Near Match",ROW(RECON_RESULTS!$A$2:$A$1001)-1),68)))</f>
        <v/>
      </c>
      <c r="G478" s="16">
        <f>IF(B478="","",INDEX(RECON_RESULTS!$I$2:$I$1001,SMALL(IF(RECON_RESULTS!$A$2:$A$1001="Near Match",ROW(RECON_RESULTS!$A$2:$A$1001)-1),68)))</f>
        <v/>
      </c>
      <c r="H478" s="12">
        <f>IF(B478="","",INDEX(RECON_RESULTS!$J$2:$J$1001,SMALL(IF(RECON_RESULTS!$A$2:$A$1001="Near Match",ROW(RECON_RESULTS!$A$2:$A$1001)-1),68)))</f>
        <v/>
      </c>
      <c r="I478" s="11">
        <f>IF(B478="","",INDEX(RECON_RESULTS!$K$2:$K$1001,SMALL(IF(RECON_RESULTS!$A$2:$A$1001="Near Match",ROW(RECON_RESULTS!$A$2:$A$1001)-1),68)))</f>
        <v/>
      </c>
      <c r="J478" s="17">
        <f>IF(B478="","",INDEX(RECON_RESULTS!$L$2:$L$1001,SMALL(IF(RECON_RESULTS!$A$2:$A$1001="Near Match",ROW(RECON_RESULTS!$A$2:$A$1001)-1),68)))</f>
        <v/>
      </c>
      <c r="K478" s="11" t="inlineStr"/>
      <c r="L478" s="11" t="inlineStr"/>
    </row>
    <row r="479">
      <c r="B479" s="11">
        <f>IFERROR(INDEX(RECON_RESULTS!$A$2:$A$1001,SMALL(IF(RECON_RESULTS!$A$2:$A$1001="Near Match",ROW(RECON_RESULTS!$A$2:$A$1001)-1),69)),"")</f>
        <v/>
      </c>
      <c r="C479" s="11">
        <f>IF(B479="","",INDEX(RECON_RESULTS!$B$2:$B$1001,SMALL(IF(RECON_RESULTS!$A$2:$A$1001="Near Match",ROW(RECON_RESULTS!$A$2:$A$1001)-1),69)))</f>
        <v/>
      </c>
      <c r="D479" s="10">
        <f>IF(B479="","",INDEX(RECON_RESULTS!$C$2:$C$1001,SMALL(IF(RECON_RESULTS!$A$2:$A$1001="Near Match",ROW(RECON_RESULTS!$A$2:$A$1001)-1),69)))</f>
        <v/>
      </c>
      <c r="E479" s="16">
        <f>IF(B479="","",INDEX(RECON_RESULTS!$D$2:$D$1001,SMALL(IF(RECON_RESULTS!$A$2:$A$1001="Near Match",ROW(RECON_RESULTS!$A$2:$A$1001)-1),69)))</f>
        <v/>
      </c>
      <c r="F479" s="10">
        <f>IF(B479="","",INDEX(RECON_RESULTS!$F$2:$F$1001,SMALL(IF(RECON_RESULTS!$A$2:$A$1001="Near Match",ROW(RECON_RESULTS!$A$2:$A$1001)-1),69)))</f>
        <v/>
      </c>
      <c r="G479" s="16">
        <f>IF(B479="","",INDEX(RECON_RESULTS!$I$2:$I$1001,SMALL(IF(RECON_RESULTS!$A$2:$A$1001="Near Match",ROW(RECON_RESULTS!$A$2:$A$1001)-1),69)))</f>
        <v/>
      </c>
      <c r="H479" s="12">
        <f>IF(B479="","",INDEX(RECON_RESULTS!$J$2:$J$1001,SMALL(IF(RECON_RESULTS!$A$2:$A$1001="Near Match",ROW(RECON_RESULTS!$A$2:$A$1001)-1),69)))</f>
        <v/>
      </c>
      <c r="I479" s="11">
        <f>IF(B479="","",INDEX(RECON_RESULTS!$K$2:$K$1001,SMALL(IF(RECON_RESULTS!$A$2:$A$1001="Near Match",ROW(RECON_RESULTS!$A$2:$A$1001)-1),69)))</f>
        <v/>
      </c>
      <c r="J479" s="17">
        <f>IF(B479="","",INDEX(RECON_RESULTS!$L$2:$L$1001,SMALL(IF(RECON_RESULTS!$A$2:$A$1001="Near Match",ROW(RECON_RESULTS!$A$2:$A$1001)-1),69)))</f>
        <v/>
      </c>
      <c r="K479" s="11" t="inlineStr"/>
      <c r="L479" s="11" t="inlineStr"/>
    </row>
    <row r="480">
      <c r="B480" s="11">
        <f>IFERROR(INDEX(RECON_RESULTS!$A$2:$A$1001,SMALL(IF(RECON_RESULTS!$A$2:$A$1001="Near Match",ROW(RECON_RESULTS!$A$2:$A$1001)-1),70)),"")</f>
        <v/>
      </c>
      <c r="C480" s="11">
        <f>IF(B480="","",INDEX(RECON_RESULTS!$B$2:$B$1001,SMALL(IF(RECON_RESULTS!$A$2:$A$1001="Near Match",ROW(RECON_RESULTS!$A$2:$A$1001)-1),70)))</f>
        <v/>
      </c>
      <c r="D480" s="10">
        <f>IF(B480="","",INDEX(RECON_RESULTS!$C$2:$C$1001,SMALL(IF(RECON_RESULTS!$A$2:$A$1001="Near Match",ROW(RECON_RESULTS!$A$2:$A$1001)-1),70)))</f>
        <v/>
      </c>
      <c r="E480" s="16">
        <f>IF(B480="","",INDEX(RECON_RESULTS!$D$2:$D$1001,SMALL(IF(RECON_RESULTS!$A$2:$A$1001="Near Match",ROW(RECON_RESULTS!$A$2:$A$1001)-1),70)))</f>
        <v/>
      </c>
      <c r="F480" s="10">
        <f>IF(B480="","",INDEX(RECON_RESULTS!$F$2:$F$1001,SMALL(IF(RECON_RESULTS!$A$2:$A$1001="Near Match",ROW(RECON_RESULTS!$A$2:$A$1001)-1),70)))</f>
        <v/>
      </c>
      <c r="G480" s="16">
        <f>IF(B480="","",INDEX(RECON_RESULTS!$I$2:$I$1001,SMALL(IF(RECON_RESULTS!$A$2:$A$1001="Near Match",ROW(RECON_RESULTS!$A$2:$A$1001)-1),70)))</f>
        <v/>
      </c>
      <c r="H480" s="12">
        <f>IF(B480="","",INDEX(RECON_RESULTS!$J$2:$J$1001,SMALL(IF(RECON_RESULTS!$A$2:$A$1001="Near Match",ROW(RECON_RESULTS!$A$2:$A$1001)-1),70)))</f>
        <v/>
      </c>
      <c r="I480" s="11">
        <f>IF(B480="","",INDEX(RECON_RESULTS!$K$2:$K$1001,SMALL(IF(RECON_RESULTS!$A$2:$A$1001="Near Match",ROW(RECON_RESULTS!$A$2:$A$1001)-1),70)))</f>
        <v/>
      </c>
      <c r="J480" s="17">
        <f>IF(B480="","",INDEX(RECON_RESULTS!$L$2:$L$1001,SMALL(IF(RECON_RESULTS!$A$2:$A$1001="Near Match",ROW(RECON_RESULTS!$A$2:$A$1001)-1),70)))</f>
        <v/>
      </c>
      <c r="K480" s="11" t="inlineStr"/>
      <c r="L480" s="11" t="inlineStr"/>
    </row>
    <row r="481">
      <c r="B481" s="11">
        <f>IFERROR(INDEX(RECON_RESULTS!$A$2:$A$1001,SMALL(IF(RECON_RESULTS!$A$2:$A$1001="Near Match",ROW(RECON_RESULTS!$A$2:$A$1001)-1),71)),"")</f>
        <v/>
      </c>
      <c r="C481" s="11">
        <f>IF(B481="","",INDEX(RECON_RESULTS!$B$2:$B$1001,SMALL(IF(RECON_RESULTS!$A$2:$A$1001="Near Match",ROW(RECON_RESULTS!$A$2:$A$1001)-1),71)))</f>
        <v/>
      </c>
      <c r="D481" s="10">
        <f>IF(B481="","",INDEX(RECON_RESULTS!$C$2:$C$1001,SMALL(IF(RECON_RESULTS!$A$2:$A$1001="Near Match",ROW(RECON_RESULTS!$A$2:$A$1001)-1),71)))</f>
        <v/>
      </c>
      <c r="E481" s="16">
        <f>IF(B481="","",INDEX(RECON_RESULTS!$D$2:$D$1001,SMALL(IF(RECON_RESULTS!$A$2:$A$1001="Near Match",ROW(RECON_RESULTS!$A$2:$A$1001)-1),71)))</f>
        <v/>
      </c>
      <c r="F481" s="10">
        <f>IF(B481="","",INDEX(RECON_RESULTS!$F$2:$F$1001,SMALL(IF(RECON_RESULTS!$A$2:$A$1001="Near Match",ROW(RECON_RESULTS!$A$2:$A$1001)-1),71)))</f>
        <v/>
      </c>
      <c r="G481" s="16">
        <f>IF(B481="","",INDEX(RECON_RESULTS!$I$2:$I$1001,SMALL(IF(RECON_RESULTS!$A$2:$A$1001="Near Match",ROW(RECON_RESULTS!$A$2:$A$1001)-1),71)))</f>
        <v/>
      </c>
      <c r="H481" s="12">
        <f>IF(B481="","",INDEX(RECON_RESULTS!$J$2:$J$1001,SMALL(IF(RECON_RESULTS!$A$2:$A$1001="Near Match",ROW(RECON_RESULTS!$A$2:$A$1001)-1),71)))</f>
        <v/>
      </c>
      <c r="I481" s="11">
        <f>IF(B481="","",INDEX(RECON_RESULTS!$K$2:$K$1001,SMALL(IF(RECON_RESULTS!$A$2:$A$1001="Near Match",ROW(RECON_RESULTS!$A$2:$A$1001)-1),71)))</f>
        <v/>
      </c>
      <c r="J481" s="17">
        <f>IF(B481="","",INDEX(RECON_RESULTS!$L$2:$L$1001,SMALL(IF(RECON_RESULTS!$A$2:$A$1001="Near Match",ROW(RECON_RESULTS!$A$2:$A$1001)-1),71)))</f>
        <v/>
      </c>
      <c r="K481" s="11" t="inlineStr"/>
      <c r="L481" s="11" t="inlineStr"/>
    </row>
    <row r="482">
      <c r="B482" s="11">
        <f>IFERROR(INDEX(RECON_RESULTS!$A$2:$A$1001,SMALL(IF(RECON_RESULTS!$A$2:$A$1001="Near Match",ROW(RECON_RESULTS!$A$2:$A$1001)-1),72)),"")</f>
        <v/>
      </c>
      <c r="C482" s="11">
        <f>IF(B482="","",INDEX(RECON_RESULTS!$B$2:$B$1001,SMALL(IF(RECON_RESULTS!$A$2:$A$1001="Near Match",ROW(RECON_RESULTS!$A$2:$A$1001)-1),72)))</f>
        <v/>
      </c>
      <c r="D482" s="10">
        <f>IF(B482="","",INDEX(RECON_RESULTS!$C$2:$C$1001,SMALL(IF(RECON_RESULTS!$A$2:$A$1001="Near Match",ROW(RECON_RESULTS!$A$2:$A$1001)-1),72)))</f>
        <v/>
      </c>
      <c r="E482" s="16">
        <f>IF(B482="","",INDEX(RECON_RESULTS!$D$2:$D$1001,SMALL(IF(RECON_RESULTS!$A$2:$A$1001="Near Match",ROW(RECON_RESULTS!$A$2:$A$1001)-1),72)))</f>
        <v/>
      </c>
      <c r="F482" s="10">
        <f>IF(B482="","",INDEX(RECON_RESULTS!$F$2:$F$1001,SMALL(IF(RECON_RESULTS!$A$2:$A$1001="Near Match",ROW(RECON_RESULTS!$A$2:$A$1001)-1),72)))</f>
        <v/>
      </c>
      <c r="G482" s="16">
        <f>IF(B482="","",INDEX(RECON_RESULTS!$I$2:$I$1001,SMALL(IF(RECON_RESULTS!$A$2:$A$1001="Near Match",ROW(RECON_RESULTS!$A$2:$A$1001)-1),72)))</f>
        <v/>
      </c>
      <c r="H482" s="12">
        <f>IF(B482="","",INDEX(RECON_RESULTS!$J$2:$J$1001,SMALL(IF(RECON_RESULTS!$A$2:$A$1001="Near Match",ROW(RECON_RESULTS!$A$2:$A$1001)-1),72)))</f>
        <v/>
      </c>
      <c r="I482" s="11">
        <f>IF(B482="","",INDEX(RECON_RESULTS!$K$2:$K$1001,SMALL(IF(RECON_RESULTS!$A$2:$A$1001="Near Match",ROW(RECON_RESULTS!$A$2:$A$1001)-1),72)))</f>
        <v/>
      </c>
      <c r="J482" s="17">
        <f>IF(B482="","",INDEX(RECON_RESULTS!$L$2:$L$1001,SMALL(IF(RECON_RESULTS!$A$2:$A$1001="Near Match",ROW(RECON_RESULTS!$A$2:$A$1001)-1),72)))</f>
        <v/>
      </c>
      <c r="K482" s="11" t="inlineStr"/>
      <c r="L482" s="11" t="inlineStr"/>
    </row>
    <row r="483">
      <c r="B483" s="11">
        <f>IFERROR(INDEX(RECON_RESULTS!$A$2:$A$1001,SMALL(IF(RECON_RESULTS!$A$2:$A$1001="Near Match",ROW(RECON_RESULTS!$A$2:$A$1001)-1),73)),"")</f>
        <v/>
      </c>
      <c r="C483" s="11">
        <f>IF(B483="","",INDEX(RECON_RESULTS!$B$2:$B$1001,SMALL(IF(RECON_RESULTS!$A$2:$A$1001="Near Match",ROW(RECON_RESULTS!$A$2:$A$1001)-1),73)))</f>
        <v/>
      </c>
      <c r="D483" s="10">
        <f>IF(B483="","",INDEX(RECON_RESULTS!$C$2:$C$1001,SMALL(IF(RECON_RESULTS!$A$2:$A$1001="Near Match",ROW(RECON_RESULTS!$A$2:$A$1001)-1),73)))</f>
        <v/>
      </c>
      <c r="E483" s="16">
        <f>IF(B483="","",INDEX(RECON_RESULTS!$D$2:$D$1001,SMALL(IF(RECON_RESULTS!$A$2:$A$1001="Near Match",ROW(RECON_RESULTS!$A$2:$A$1001)-1),73)))</f>
        <v/>
      </c>
      <c r="F483" s="10">
        <f>IF(B483="","",INDEX(RECON_RESULTS!$F$2:$F$1001,SMALL(IF(RECON_RESULTS!$A$2:$A$1001="Near Match",ROW(RECON_RESULTS!$A$2:$A$1001)-1),73)))</f>
        <v/>
      </c>
      <c r="G483" s="16">
        <f>IF(B483="","",INDEX(RECON_RESULTS!$I$2:$I$1001,SMALL(IF(RECON_RESULTS!$A$2:$A$1001="Near Match",ROW(RECON_RESULTS!$A$2:$A$1001)-1),73)))</f>
        <v/>
      </c>
      <c r="H483" s="12">
        <f>IF(B483="","",INDEX(RECON_RESULTS!$J$2:$J$1001,SMALL(IF(RECON_RESULTS!$A$2:$A$1001="Near Match",ROW(RECON_RESULTS!$A$2:$A$1001)-1),73)))</f>
        <v/>
      </c>
      <c r="I483" s="11">
        <f>IF(B483="","",INDEX(RECON_RESULTS!$K$2:$K$1001,SMALL(IF(RECON_RESULTS!$A$2:$A$1001="Near Match",ROW(RECON_RESULTS!$A$2:$A$1001)-1),73)))</f>
        <v/>
      </c>
      <c r="J483" s="17">
        <f>IF(B483="","",INDEX(RECON_RESULTS!$L$2:$L$1001,SMALL(IF(RECON_RESULTS!$A$2:$A$1001="Near Match",ROW(RECON_RESULTS!$A$2:$A$1001)-1),73)))</f>
        <v/>
      </c>
      <c r="K483" s="11" t="inlineStr"/>
      <c r="L483" s="11" t="inlineStr"/>
    </row>
    <row r="484">
      <c r="B484" s="11">
        <f>IFERROR(INDEX(RECON_RESULTS!$A$2:$A$1001,SMALL(IF(RECON_RESULTS!$A$2:$A$1001="Near Match",ROW(RECON_RESULTS!$A$2:$A$1001)-1),74)),"")</f>
        <v/>
      </c>
      <c r="C484" s="11">
        <f>IF(B484="","",INDEX(RECON_RESULTS!$B$2:$B$1001,SMALL(IF(RECON_RESULTS!$A$2:$A$1001="Near Match",ROW(RECON_RESULTS!$A$2:$A$1001)-1),74)))</f>
        <v/>
      </c>
      <c r="D484" s="10">
        <f>IF(B484="","",INDEX(RECON_RESULTS!$C$2:$C$1001,SMALL(IF(RECON_RESULTS!$A$2:$A$1001="Near Match",ROW(RECON_RESULTS!$A$2:$A$1001)-1),74)))</f>
        <v/>
      </c>
      <c r="E484" s="16">
        <f>IF(B484="","",INDEX(RECON_RESULTS!$D$2:$D$1001,SMALL(IF(RECON_RESULTS!$A$2:$A$1001="Near Match",ROW(RECON_RESULTS!$A$2:$A$1001)-1),74)))</f>
        <v/>
      </c>
      <c r="F484" s="10">
        <f>IF(B484="","",INDEX(RECON_RESULTS!$F$2:$F$1001,SMALL(IF(RECON_RESULTS!$A$2:$A$1001="Near Match",ROW(RECON_RESULTS!$A$2:$A$1001)-1),74)))</f>
        <v/>
      </c>
      <c r="G484" s="16">
        <f>IF(B484="","",INDEX(RECON_RESULTS!$I$2:$I$1001,SMALL(IF(RECON_RESULTS!$A$2:$A$1001="Near Match",ROW(RECON_RESULTS!$A$2:$A$1001)-1),74)))</f>
        <v/>
      </c>
      <c r="H484" s="12">
        <f>IF(B484="","",INDEX(RECON_RESULTS!$J$2:$J$1001,SMALL(IF(RECON_RESULTS!$A$2:$A$1001="Near Match",ROW(RECON_RESULTS!$A$2:$A$1001)-1),74)))</f>
        <v/>
      </c>
      <c r="I484" s="11">
        <f>IF(B484="","",INDEX(RECON_RESULTS!$K$2:$K$1001,SMALL(IF(RECON_RESULTS!$A$2:$A$1001="Near Match",ROW(RECON_RESULTS!$A$2:$A$1001)-1),74)))</f>
        <v/>
      </c>
      <c r="J484" s="17">
        <f>IF(B484="","",INDEX(RECON_RESULTS!$L$2:$L$1001,SMALL(IF(RECON_RESULTS!$A$2:$A$1001="Near Match",ROW(RECON_RESULTS!$A$2:$A$1001)-1),74)))</f>
        <v/>
      </c>
      <c r="K484" s="11" t="inlineStr"/>
      <c r="L484" s="11" t="inlineStr"/>
    </row>
    <row r="485">
      <c r="B485" s="11">
        <f>IFERROR(INDEX(RECON_RESULTS!$A$2:$A$1001,SMALL(IF(RECON_RESULTS!$A$2:$A$1001="Near Match",ROW(RECON_RESULTS!$A$2:$A$1001)-1),75)),"")</f>
        <v/>
      </c>
      <c r="C485" s="11">
        <f>IF(B485="","",INDEX(RECON_RESULTS!$B$2:$B$1001,SMALL(IF(RECON_RESULTS!$A$2:$A$1001="Near Match",ROW(RECON_RESULTS!$A$2:$A$1001)-1),75)))</f>
        <v/>
      </c>
      <c r="D485" s="10">
        <f>IF(B485="","",INDEX(RECON_RESULTS!$C$2:$C$1001,SMALL(IF(RECON_RESULTS!$A$2:$A$1001="Near Match",ROW(RECON_RESULTS!$A$2:$A$1001)-1),75)))</f>
        <v/>
      </c>
      <c r="E485" s="16">
        <f>IF(B485="","",INDEX(RECON_RESULTS!$D$2:$D$1001,SMALL(IF(RECON_RESULTS!$A$2:$A$1001="Near Match",ROW(RECON_RESULTS!$A$2:$A$1001)-1),75)))</f>
        <v/>
      </c>
      <c r="F485" s="10">
        <f>IF(B485="","",INDEX(RECON_RESULTS!$F$2:$F$1001,SMALL(IF(RECON_RESULTS!$A$2:$A$1001="Near Match",ROW(RECON_RESULTS!$A$2:$A$1001)-1),75)))</f>
        <v/>
      </c>
      <c r="G485" s="16">
        <f>IF(B485="","",INDEX(RECON_RESULTS!$I$2:$I$1001,SMALL(IF(RECON_RESULTS!$A$2:$A$1001="Near Match",ROW(RECON_RESULTS!$A$2:$A$1001)-1),75)))</f>
        <v/>
      </c>
      <c r="H485" s="12">
        <f>IF(B485="","",INDEX(RECON_RESULTS!$J$2:$J$1001,SMALL(IF(RECON_RESULTS!$A$2:$A$1001="Near Match",ROW(RECON_RESULTS!$A$2:$A$1001)-1),75)))</f>
        <v/>
      </c>
      <c r="I485" s="11">
        <f>IF(B485="","",INDEX(RECON_RESULTS!$K$2:$K$1001,SMALL(IF(RECON_RESULTS!$A$2:$A$1001="Near Match",ROW(RECON_RESULTS!$A$2:$A$1001)-1),75)))</f>
        <v/>
      </c>
      <c r="J485" s="17">
        <f>IF(B485="","",INDEX(RECON_RESULTS!$L$2:$L$1001,SMALL(IF(RECON_RESULTS!$A$2:$A$1001="Near Match",ROW(RECON_RESULTS!$A$2:$A$1001)-1),75)))</f>
        <v/>
      </c>
      <c r="K485" s="11" t="inlineStr"/>
      <c r="L485" s="11" t="inlineStr"/>
    </row>
    <row r="486">
      <c r="B486" s="11">
        <f>IFERROR(INDEX(RECON_RESULTS!$A$2:$A$1001,SMALL(IF(RECON_RESULTS!$A$2:$A$1001="Near Match",ROW(RECON_RESULTS!$A$2:$A$1001)-1),76)),"")</f>
        <v/>
      </c>
      <c r="C486" s="11">
        <f>IF(B486="","",INDEX(RECON_RESULTS!$B$2:$B$1001,SMALL(IF(RECON_RESULTS!$A$2:$A$1001="Near Match",ROW(RECON_RESULTS!$A$2:$A$1001)-1),76)))</f>
        <v/>
      </c>
      <c r="D486" s="10">
        <f>IF(B486="","",INDEX(RECON_RESULTS!$C$2:$C$1001,SMALL(IF(RECON_RESULTS!$A$2:$A$1001="Near Match",ROW(RECON_RESULTS!$A$2:$A$1001)-1),76)))</f>
        <v/>
      </c>
      <c r="E486" s="16">
        <f>IF(B486="","",INDEX(RECON_RESULTS!$D$2:$D$1001,SMALL(IF(RECON_RESULTS!$A$2:$A$1001="Near Match",ROW(RECON_RESULTS!$A$2:$A$1001)-1),76)))</f>
        <v/>
      </c>
      <c r="F486" s="10">
        <f>IF(B486="","",INDEX(RECON_RESULTS!$F$2:$F$1001,SMALL(IF(RECON_RESULTS!$A$2:$A$1001="Near Match",ROW(RECON_RESULTS!$A$2:$A$1001)-1),76)))</f>
        <v/>
      </c>
      <c r="G486" s="16">
        <f>IF(B486="","",INDEX(RECON_RESULTS!$I$2:$I$1001,SMALL(IF(RECON_RESULTS!$A$2:$A$1001="Near Match",ROW(RECON_RESULTS!$A$2:$A$1001)-1),76)))</f>
        <v/>
      </c>
      <c r="H486" s="12">
        <f>IF(B486="","",INDEX(RECON_RESULTS!$J$2:$J$1001,SMALL(IF(RECON_RESULTS!$A$2:$A$1001="Near Match",ROW(RECON_RESULTS!$A$2:$A$1001)-1),76)))</f>
        <v/>
      </c>
      <c r="I486" s="11">
        <f>IF(B486="","",INDEX(RECON_RESULTS!$K$2:$K$1001,SMALL(IF(RECON_RESULTS!$A$2:$A$1001="Near Match",ROW(RECON_RESULTS!$A$2:$A$1001)-1),76)))</f>
        <v/>
      </c>
      <c r="J486" s="17">
        <f>IF(B486="","",INDEX(RECON_RESULTS!$L$2:$L$1001,SMALL(IF(RECON_RESULTS!$A$2:$A$1001="Near Match",ROW(RECON_RESULTS!$A$2:$A$1001)-1),76)))</f>
        <v/>
      </c>
      <c r="K486" s="11" t="inlineStr"/>
      <c r="L486" s="11" t="inlineStr"/>
    </row>
    <row r="487">
      <c r="B487" s="11">
        <f>IFERROR(INDEX(RECON_RESULTS!$A$2:$A$1001,SMALL(IF(RECON_RESULTS!$A$2:$A$1001="Near Match",ROW(RECON_RESULTS!$A$2:$A$1001)-1),77)),"")</f>
        <v/>
      </c>
      <c r="C487" s="11">
        <f>IF(B487="","",INDEX(RECON_RESULTS!$B$2:$B$1001,SMALL(IF(RECON_RESULTS!$A$2:$A$1001="Near Match",ROW(RECON_RESULTS!$A$2:$A$1001)-1),77)))</f>
        <v/>
      </c>
      <c r="D487" s="10">
        <f>IF(B487="","",INDEX(RECON_RESULTS!$C$2:$C$1001,SMALL(IF(RECON_RESULTS!$A$2:$A$1001="Near Match",ROW(RECON_RESULTS!$A$2:$A$1001)-1),77)))</f>
        <v/>
      </c>
      <c r="E487" s="16">
        <f>IF(B487="","",INDEX(RECON_RESULTS!$D$2:$D$1001,SMALL(IF(RECON_RESULTS!$A$2:$A$1001="Near Match",ROW(RECON_RESULTS!$A$2:$A$1001)-1),77)))</f>
        <v/>
      </c>
      <c r="F487" s="10">
        <f>IF(B487="","",INDEX(RECON_RESULTS!$F$2:$F$1001,SMALL(IF(RECON_RESULTS!$A$2:$A$1001="Near Match",ROW(RECON_RESULTS!$A$2:$A$1001)-1),77)))</f>
        <v/>
      </c>
      <c r="G487" s="16">
        <f>IF(B487="","",INDEX(RECON_RESULTS!$I$2:$I$1001,SMALL(IF(RECON_RESULTS!$A$2:$A$1001="Near Match",ROW(RECON_RESULTS!$A$2:$A$1001)-1),77)))</f>
        <v/>
      </c>
      <c r="H487" s="12">
        <f>IF(B487="","",INDEX(RECON_RESULTS!$J$2:$J$1001,SMALL(IF(RECON_RESULTS!$A$2:$A$1001="Near Match",ROW(RECON_RESULTS!$A$2:$A$1001)-1),77)))</f>
        <v/>
      </c>
      <c r="I487" s="11">
        <f>IF(B487="","",INDEX(RECON_RESULTS!$K$2:$K$1001,SMALL(IF(RECON_RESULTS!$A$2:$A$1001="Near Match",ROW(RECON_RESULTS!$A$2:$A$1001)-1),77)))</f>
        <v/>
      </c>
      <c r="J487" s="17">
        <f>IF(B487="","",INDEX(RECON_RESULTS!$L$2:$L$1001,SMALL(IF(RECON_RESULTS!$A$2:$A$1001="Near Match",ROW(RECON_RESULTS!$A$2:$A$1001)-1),77)))</f>
        <v/>
      </c>
      <c r="K487" s="11" t="inlineStr"/>
      <c r="L487" s="11" t="inlineStr"/>
    </row>
    <row r="488">
      <c r="B488" s="11">
        <f>IFERROR(INDEX(RECON_RESULTS!$A$2:$A$1001,SMALL(IF(RECON_RESULTS!$A$2:$A$1001="Near Match",ROW(RECON_RESULTS!$A$2:$A$1001)-1),78)),"")</f>
        <v/>
      </c>
      <c r="C488" s="11">
        <f>IF(B488="","",INDEX(RECON_RESULTS!$B$2:$B$1001,SMALL(IF(RECON_RESULTS!$A$2:$A$1001="Near Match",ROW(RECON_RESULTS!$A$2:$A$1001)-1),78)))</f>
        <v/>
      </c>
      <c r="D488" s="10">
        <f>IF(B488="","",INDEX(RECON_RESULTS!$C$2:$C$1001,SMALL(IF(RECON_RESULTS!$A$2:$A$1001="Near Match",ROW(RECON_RESULTS!$A$2:$A$1001)-1),78)))</f>
        <v/>
      </c>
      <c r="E488" s="16">
        <f>IF(B488="","",INDEX(RECON_RESULTS!$D$2:$D$1001,SMALL(IF(RECON_RESULTS!$A$2:$A$1001="Near Match",ROW(RECON_RESULTS!$A$2:$A$1001)-1),78)))</f>
        <v/>
      </c>
      <c r="F488" s="10">
        <f>IF(B488="","",INDEX(RECON_RESULTS!$F$2:$F$1001,SMALL(IF(RECON_RESULTS!$A$2:$A$1001="Near Match",ROW(RECON_RESULTS!$A$2:$A$1001)-1),78)))</f>
        <v/>
      </c>
      <c r="G488" s="16">
        <f>IF(B488="","",INDEX(RECON_RESULTS!$I$2:$I$1001,SMALL(IF(RECON_RESULTS!$A$2:$A$1001="Near Match",ROW(RECON_RESULTS!$A$2:$A$1001)-1),78)))</f>
        <v/>
      </c>
      <c r="H488" s="12">
        <f>IF(B488="","",INDEX(RECON_RESULTS!$J$2:$J$1001,SMALL(IF(RECON_RESULTS!$A$2:$A$1001="Near Match",ROW(RECON_RESULTS!$A$2:$A$1001)-1),78)))</f>
        <v/>
      </c>
      <c r="I488" s="11">
        <f>IF(B488="","",INDEX(RECON_RESULTS!$K$2:$K$1001,SMALL(IF(RECON_RESULTS!$A$2:$A$1001="Near Match",ROW(RECON_RESULTS!$A$2:$A$1001)-1),78)))</f>
        <v/>
      </c>
      <c r="J488" s="17">
        <f>IF(B488="","",INDEX(RECON_RESULTS!$L$2:$L$1001,SMALL(IF(RECON_RESULTS!$A$2:$A$1001="Near Match",ROW(RECON_RESULTS!$A$2:$A$1001)-1),78)))</f>
        <v/>
      </c>
      <c r="K488" s="11" t="inlineStr"/>
      <c r="L488" s="11" t="inlineStr"/>
    </row>
    <row r="489">
      <c r="B489" s="11">
        <f>IFERROR(INDEX(RECON_RESULTS!$A$2:$A$1001,SMALL(IF(RECON_RESULTS!$A$2:$A$1001="Near Match",ROW(RECON_RESULTS!$A$2:$A$1001)-1),79)),"")</f>
        <v/>
      </c>
      <c r="C489" s="11">
        <f>IF(B489="","",INDEX(RECON_RESULTS!$B$2:$B$1001,SMALL(IF(RECON_RESULTS!$A$2:$A$1001="Near Match",ROW(RECON_RESULTS!$A$2:$A$1001)-1),79)))</f>
        <v/>
      </c>
      <c r="D489" s="10">
        <f>IF(B489="","",INDEX(RECON_RESULTS!$C$2:$C$1001,SMALL(IF(RECON_RESULTS!$A$2:$A$1001="Near Match",ROW(RECON_RESULTS!$A$2:$A$1001)-1),79)))</f>
        <v/>
      </c>
      <c r="E489" s="16">
        <f>IF(B489="","",INDEX(RECON_RESULTS!$D$2:$D$1001,SMALL(IF(RECON_RESULTS!$A$2:$A$1001="Near Match",ROW(RECON_RESULTS!$A$2:$A$1001)-1),79)))</f>
        <v/>
      </c>
      <c r="F489" s="10">
        <f>IF(B489="","",INDEX(RECON_RESULTS!$F$2:$F$1001,SMALL(IF(RECON_RESULTS!$A$2:$A$1001="Near Match",ROW(RECON_RESULTS!$A$2:$A$1001)-1),79)))</f>
        <v/>
      </c>
      <c r="G489" s="16">
        <f>IF(B489="","",INDEX(RECON_RESULTS!$I$2:$I$1001,SMALL(IF(RECON_RESULTS!$A$2:$A$1001="Near Match",ROW(RECON_RESULTS!$A$2:$A$1001)-1),79)))</f>
        <v/>
      </c>
      <c r="H489" s="12">
        <f>IF(B489="","",INDEX(RECON_RESULTS!$J$2:$J$1001,SMALL(IF(RECON_RESULTS!$A$2:$A$1001="Near Match",ROW(RECON_RESULTS!$A$2:$A$1001)-1),79)))</f>
        <v/>
      </c>
      <c r="I489" s="11">
        <f>IF(B489="","",INDEX(RECON_RESULTS!$K$2:$K$1001,SMALL(IF(RECON_RESULTS!$A$2:$A$1001="Near Match",ROW(RECON_RESULTS!$A$2:$A$1001)-1),79)))</f>
        <v/>
      </c>
      <c r="J489" s="17">
        <f>IF(B489="","",INDEX(RECON_RESULTS!$L$2:$L$1001,SMALL(IF(RECON_RESULTS!$A$2:$A$1001="Near Match",ROW(RECON_RESULTS!$A$2:$A$1001)-1),79)))</f>
        <v/>
      </c>
      <c r="K489" s="11" t="inlineStr"/>
      <c r="L489" s="11" t="inlineStr"/>
    </row>
    <row r="490">
      <c r="B490" s="11">
        <f>IFERROR(INDEX(RECON_RESULTS!$A$2:$A$1001,SMALL(IF(RECON_RESULTS!$A$2:$A$1001="Near Match",ROW(RECON_RESULTS!$A$2:$A$1001)-1),80)),"")</f>
        <v/>
      </c>
      <c r="C490" s="11">
        <f>IF(B490="","",INDEX(RECON_RESULTS!$B$2:$B$1001,SMALL(IF(RECON_RESULTS!$A$2:$A$1001="Near Match",ROW(RECON_RESULTS!$A$2:$A$1001)-1),80)))</f>
        <v/>
      </c>
      <c r="D490" s="10">
        <f>IF(B490="","",INDEX(RECON_RESULTS!$C$2:$C$1001,SMALL(IF(RECON_RESULTS!$A$2:$A$1001="Near Match",ROW(RECON_RESULTS!$A$2:$A$1001)-1),80)))</f>
        <v/>
      </c>
      <c r="E490" s="16">
        <f>IF(B490="","",INDEX(RECON_RESULTS!$D$2:$D$1001,SMALL(IF(RECON_RESULTS!$A$2:$A$1001="Near Match",ROW(RECON_RESULTS!$A$2:$A$1001)-1),80)))</f>
        <v/>
      </c>
      <c r="F490" s="10">
        <f>IF(B490="","",INDEX(RECON_RESULTS!$F$2:$F$1001,SMALL(IF(RECON_RESULTS!$A$2:$A$1001="Near Match",ROW(RECON_RESULTS!$A$2:$A$1001)-1),80)))</f>
        <v/>
      </c>
      <c r="G490" s="16">
        <f>IF(B490="","",INDEX(RECON_RESULTS!$I$2:$I$1001,SMALL(IF(RECON_RESULTS!$A$2:$A$1001="Near Match",ROW(RECON_RESULTS!$A$2:$A$1001)-1),80)))</f>
        <v/>
      </c>
      <c r="H490" s="12">
        <f>IF(B490="","",INDEX(RECON_RESULTS!$J$2:$J$1001,SMALL(IF(RECON_RESULTS!$A$2:$A$1001="Near Match",ROW(RECON_RESULTS!$A$2:$A$1001)-1),80)))</f>
        <v/>
      </c>
      <c r="I490" s="11">
        <f>IF(B490="","",INDEX(RECON_RESULTS!$K$2:$K$1001,SMALL(IF(RECON_RESULTS!$A$2:$A$1001="Near Match",ROW(RECON_RESULTS!$A$2:$A$1001)-1),80)))</f>
        <v/>
      </c>
      <c r="J490" s="17">
        <f>IF(B490="","",INDEX(RECON_RESULTS!$L$2:$L$1001,SMALL(IF(RECON_RESULTS!$A$2:$A$1001="Near Match",ROW(RECON_RESULTS!$A$2:$A$1001)-1),80)))</f>
        <v/>
      </c>
      <c r="K490" s="11" t="inlineStr"/>
      <c r="L490" s="11" t="inlineStr"/>
    </row>
    <row r="491">
      <c r="B491" s="11">
        <f>IFERROR(INDEX(RECON_RESULTS!$A$2:$A$1001,SMALL(IF(RECON_RESULTS!$A$2:$A$1001="Near Match",ROW(RECON_RESULTS!$A$2:$A$1001)-1),81)),"")</f>
        <v/>
      </c>
      <c r="C491" s="11">
        <f>IF(B491="","",INDEX(RECON_RESULTS!$B$2:$B$1001,SMALL(IF(RECON_RESULTS!$A$2:$A$1001="Near Match",ROW(RECON_RESULTS!$A$2:$A$1001)-1),81)))</f>
        <v/>
      </c>
      <c r="D491" s="10">
        <f>IF(B491="","",INDEX(RECON_RESULTS!$C$2:$C$1001,SMALL(IF(RECON_RESULTS!$A$2:$A$1001="Near Match",ROW(RECON_RESULTS!$A$2:$A$1001)-1),81)))</f>
        <v/>
      </c>
      <c r="E491" s="16">
        <f>IF(B491="","",INDEX(RECON_RESULTS!$D$2:$D$1001,SMALL(IF(RECON_RESULTS!$A$2:$A$1001="Near Match",ROW(RECON_RESULTS!$A$2:$A$1001)-1),81)))</f>
        <v/>
      </c>
      <c r="F491" s="10">
        <f>IF(B491="","",INDEX(RECON_RESULTS!$F$2:$F$1001,SMALL(IF(RECON_RESULTS!$A$2:$A$1001="Near Match",ROW(RECON_RESULTS!$A$2:$A$1001)-1),81)))</f>
        <v/>
      </c>
      <c r="G491" s="16">
        <f>IF(B491="","",INDEX(RECON_RESULTS!$I$2:$I$1001,SMALL(IF(RECON_RESULTS!$A$2:$A$1001="Near Match",ROW(RECON_RESULTS!$A$2:$A$1001)-1),81)))</f>
        <v/>
      </c>
      <c r="H491" s="12">
        <f>IF(B491="","",INDEX(RECON_RESULTS!$J$2:$J$1001,SMALL(IF(RECON_RESULTS!$A$2:$A$1001="Near Match",ROW(RECON_RESULTS!$A$2:$A$1001)-1),81)))</f>
        <v/>
      </c>
      <c r="I491" s="11">
        <f>IF(B491="","",INDEX(RECON_RESULTS!$K$2:$K$1001,SMALL(IF(RECON_RESULTS!$A$2:$A$1001="Near Match",ROW(RECON_RESULTS!$A$2:$A$1001)-1),81)))</f>
        <v/>
      </c>
      <c r="J491" s="17">
        <f>IF(B491="","",INDEX(RECON_RESULTS!$L$2:$L$1001,SMALL(IF(RECON_RESULTS!$A$2:$A$1001="Near Match",ROW(RECON_RESULTS!$A$2:$A$1001)-1),81)))</f>
        <v/>
      </c>
      <c r="K491" s="11" t="inlineStr"/>
      <c r="L491" s="11" t="inlineStr"/>
    </row>
    <row r="492">
      <c r="B492" s="11">
        <f>IFERROR(INDEX(RECON_RESULTS!$A$2:$A$1001,SMALL(IF(RECON_RESULTS!$A$2:$A$1001="Near Match",ROW(RECON_RESULTS!$A$2:$A$1001)-1),82)),"")</f>
        <v/>
      </c>
      <c r="C492" s="11">
        <f>IF(B492="","",INDEX(RECON_RESULTS!$B$2:$B$1001,SMALL(IF(RECON_RESULTS!$A$2:$A$1001="Near Match",ROW(RECON_RESULTS!$A$2:$A$1001)-1),82)))</f>
        <v/>
      </c>
      <c r="D492" s="10">
        <f>IF(B492="","",INDEX(RECON_RESULTS!$C$2:$C$1001,SMALL(IF(RECON_RESULTS!$A$2:$A$1001="Near Match",ROW(RECON_RESULTS!$A$2:$A$1001)-1),82)))</f>
        <v/>
      </c>
      <c r="E492" s="16">
        <f>IF(B492="","",INDEX(RECON_RESULTS!$D$2:$D$1001,SMALL(IF(RECON_RESULTS!$A$2:$A$1001="Near Match",ROW(RECON_RESULTS!$A$2:$A$1001)-1),82)))</f>
        <v/>
      </c>
      <c r="F492" s="10">
        <f>IF(B492="","",INDEX(RECON_RESULTS!$F$2:$F$1001,SMALL(IF(RECON_RESULTS!$A$2:$A$1001="Near Match",ROW(RECON_RESULTS!$A$2:$A$1001)-1),82)))</f>
        <v/>
      </c>
      <c r="G492" s="16">
        <f>IF(B492="","",INDEX(RECON_RESULTS!$I$2:$I$1001,SMALL(IF(RECON_RESULTS!$A$2:$A$1001="Near Match",ROW(RECON_RESULTS!$A$2:$A$1001)-1),82)))</f>
        <v/>
      </c>
      <c r="H492" s="12">
        <f>IF(B492="","",INDEX(RECON_RESULTS!$J$2:$J$1001,SMALL(IF(RECON_RESULTS!$A$2:$A$1001="Near Match",ROW(RECON_RESULTS!$A$2:$A$1001)-1),82)))</f>
        <v/>
      </c>
      <c r="I492" s="11">
        <f>IF(B492="","",INDEX(RECON_RESULTS!$K$2:$K$1001,SMALL(IF(RECON_RESULTS!$A$2:$A$1001="Near Match",ROW(RECON_RESULTS!$A$2:$A$1001)-1),82)))</f>
        <v/>
      </c>
      <c r="J492" s="17">
        <f>IF(B492="","",INDEX(RECON_RESULTS!$L$2:$L$1001,SMALL(IF(RECON_RESULTS!$A$2:$A$1001="Near Match",ROW(RECON_RESULTS!$A$2:$A$1001)-1),82)))</f>
        <v/>
      </c>
      <c r="K492" s="11" t="inlineStr"/>
      <c r="L492" s="11" t="inlineStr"/>
    </row>
    <row r="493">
      <c r="B493" s="11">
        <f>IFERROR(INDEX(RECON_RESULTS!$A$2:$A$1001,SMALL(IF(RECON_RESULTS!$A$2:$A$1001="Near Match",ROW(RECON_RESULTS!$A$2:$A$1001)-1),83)),"")</f>
        <v/>
      </c>
      <c r="C493" s="11">
        <f>IF(B493="","",INDEX(RECON_RESULTS!$B$2:$B$1001,SMALL(IF(RECON_RESULTS!$A$2:$A$1001="Near Match",ROW(RECON_RESULTS!$A$2:$A$1001)-1),83)))</f>
        <v/>
      </c>
      <c r="D493" s="10">
        <f>IF(B493="","",INDEX(RECON_RESULTS!$C$2:$C$1001,SMALL(IF(RECON_RESULTS!$A$2:$A$1001="Near Match",ROW(RECON_RESULTS!$A$2:$A$1001)-1),83)))</f>
        <v/>
      </c>
      <c r="E493" s="16">
        <f>IF(B493="","",INDEX(RECON_RESULTS!$D$2:$D$1001,SMALL(IF(RECON_RESULTS!$A$2:$A$1001="Near Match",ROW(RECON_RESULTS!$A$2:$A$1001)-1),83)))</f>
        <v/>
      </c>
      <c r="F493" s="10">
        <f>IF(B493="","",INDEX(RECON_RESULTS!$F$2:$F$1001,SMALL(IF(RECON_RESULTS!$A$2:$A$1001="Near Match",ROW(RECON_RESULTS!$A$2:$A$1001)-1),83)))</f>
        <v/>
      </c>
      <c r="G493" s="16">
        <f>IF(B493="","",INDEX(RECON_RESULTS!$I$2:$I$1001,SMALL(IF(RECON_RESULTS!$A$2:$A$1001="Near Match",ROW(RECON_RESULTS!$A$2:$A$1001)-1),83)))</f>
        <v/>
      </c>
      <c r="H493" s="12">
        <f>IF(B493="","",INDEX(RECON_RESULTS!$J$2:$J$1001,SMALL(IF(RECON_RESULTS!$A$2:$A$1001="Near Match",ROW(RECON_RESULTS!$A$2:$A$1001)-1),83)))</f>
        <v/>
      </c>
      <c r="I493" s="11">
        <f>IF(B493="","",INDEX(RECON_RESULTS!$K$2:$K$1001,SMALL(IF(RECON_RESULTS!$A$2:$A$1001="Near Match",ROW(RECON_RESULTS!$A$2:$A$1001)-1),83)))</f>
        <v/>
      </c>
      <c r="J493" s="17">
        <f>IF(B493="","",INDEX(RECON_RESULTS!$L$2:$L$1001,SMALL(IF(RECON_RESULTS!$A$2:$A$1001="Near Match",ROW(RECON_RESULTS!$A$2:$A$1001)-1),83)))</f>
        <v/>
      </c>
      <c r="K493" s="11" t="inlineStr"/>
      <c r="L493" s="11" t="inlineStr"/>
    </row>
    <row r="494">
      <c r="B494" s="11">
        <f>IFERROR(INDEX(RECON_RESULTS!$A$2:$A$1001,SMALL(IF(RECON_RESULTS!$A$2:$A$1001="Near Match",ROW(RECON_RESULTS!$A$2:$A$1001)-1),84)),"")</f>
        <v/>
      </c>
      <c r="C494" s="11">
        <f>IF(B494="","",INDEX(RECON_RESULTS!$B$2:$B$1001,SMALL(IF(RECON_RESULTS!$A$2:$A$1001="Near Match",ROW(RECON_RESULTS!$A$2:$A$1001)-1),84)))</f>
        <v/>
      </c>
      <c r="D494" s="10">
        <f>IF(B494="","",INDEX(RECON_RESULTS!$C$2:$C$1001,SMALL(IF(RECON_RESULTS!$A$2:$A$1001="Near Match",ROW(RECON_RESULTS!$A$2:$A$1001)-1),84)))</f>
        <v/>
      </c>
      <c r="E494" s="16">
        <f>IF(B494="","",INDEX(RECON_RESULTS!$D$2:$D$1001,SMALL(IF(RECON_RESULTS!$A$2:$A$1001="Near Match",ROW(RECON_RESULTS!$A$2:$A$1001)-1),84)))</f>
        <v/>
      </c>
      <c r="F494" s="10">
        <f>IF(B494="","",INDEX(RECON_RESULTS!$F$2:$F$1001,SMALL(IF(RECON_RESULTS!$A$2:$A$1001="Near Match",ROW(RECON_RESULTS!$A$2:$A$1001)-1),84)))</f>
        <v/>
      </c>
      <c r="G494" s="16">
        <f>IF(B494="","",INDEX(RECON_RESULTS!$I$2:$I$1001,SMALL(IF(RECON_RESULTS!$A$2:$A$1001="Near Match",ROW(RECON_RESULTS!$A$2:$A$1001)-1),84)))</f>
        <v/>
      </c>
      <c r="H494" s="12">
        <f>IF(B494="","",INDEX(RECON_RESULTS!$J$2:$J$1001,SMALL(IF(RECON_RESULTS!$A$2:$A$1001="Near Match",ROW(RECON_RESULTS!$A$2:$A$1001)-1),84)))</f>
        <v/>
      </c>
      <c r="I494" s="11">
        <f>IF(B494="","",INDEX(RECON_RESULTS!$K$2:$K$1001,SMALL(IF(RECON_RESULTS!$A$2:$A$1001="Near Match",ROW(RECON_RESULTS!$A$2:$A$1001)-1),84)))</f>
        <v/>
      </c>
      <c r="J494" s="17">
        <f>IF(B494="","",INDEX(RECON_RESULTS!$L$2:$L$1001,SMALL(IF(RECON_RESULTS!$A$2:$A$1001="Near Match",ROW(RECON_RESULTS!$A$2:$A$1001)-1),84)))</f>
        <v/>
      </c>
      <c r="K494" s="11" t="inlineStr"/>
      <c r="L494" s="11" t="inlineStr"/>
    </row>
    <row r="495">
      <c r="B495" s="11">
        <f>IFERROR(INDEX(RECON_RESULTS!$A$2:$A$1001,SMALL(IF(RECON_RESULTS!$A$2:$A$1001="Near Match",ROW(RECON_RESULTS!$A$2:$A$1001)-1),85)),"")</f>
        <v/>
      </c>
      <c r="C495" s="11">
        <f>IF(B495="","",INDEX(RECON_RESULTS!$B$2:$B$1001,SMALL(IF(RECON_RESULTS!$A$2:$A$1001="Near Match",ROW(RECON_RESULTS!$A$2:$A$1001)-1),85)))</f>
        <v/>
      </c>
      <c r="D495" s="10">
        <f>IF(B495="","",INDEX(RECON_RESULTS!$C$2:$C$1001,SMALL(IF(RECON_RESULTS!$A$2:$A$1001="Near Match",ROW(RECON_RESULTS!$A$2:$A$1001)-1),85)))</f>
        <v/>
      </c>
      <c r="E495" s="16">
        <f>IF(B495="","",INDEX(RECON_RESULTS!$D$2:$D$1001,SMALL(IF(RECON_RESULTS!$A$2:$A$1001="Near Match",ROW(RECON_RESULTS!$A$2:$A$1001)-1),85)))</f>
        <v/>
      </c>
      <c r="F495" s="10">
        <f>IF(B495="","",INDEX(RECON_RESULTS!$F$2:$F$1001,SMALL(IF(RECON_RESULTS!$A$2:$A$1001="Near Match",ROW(RECON_RESULTS!$A$2:$A$1001)-1),85)))</f>
        <v/>
      </c>
      <c r="G495" s="16">
        <f>IF(B495="","",INDEX(RECON_RESULTS!$I$2:$I$1001,SMALL(IF(RECON_RESULTS!$A$2:$A$1001="Near Match",ROW(RECON_RESULTS!$A$2:$A$1001)-1),85)))</f>
        <v/>
      </c>
      <c r="H495" s="12">
        <f>IF(B495="","",INDEX(RECON_RESULTS!$J$2:$J$1001,SMALL(IF(RECON_RESULTS!$A$2:$A$1001="Near Match",ROW(RECON_RESULTS!$A$2:$A$1001)-1),85)))</f>
        <v/>
      </c>
      <c r="I495" s="11">
        <f>IF(B495="","",INDEX(RECON_RESULTS!$K$2:$K$1001,SMALL(IF(RECON_RESULTS!$A$2:$A$1001="Near Match",ROW(RECON_RESULTS!$A$2:$A$1001)-1),85)))</f>
        <v/>
      </c>
      <c r="J495" s="17">
        <f>IF(B495="","",INDEX(RECON_RESULTS!$L$2:$L$1001,SMALL(IF(RECON_RESULTS!$A$2:$A$1001="Near Match",ROW(RECON_RESULTS!$A$2:$A$1001)-1),85)))</f>
        <v/>
      </c>
      <c r="K495" s="11" t="inlineStr"/>
      <c r="L495" s="11" t="inlineStr"/>
    </row>
    <row r="496">
      <c r="B496" s="11">
        <f>IFERROR(INDEX(RECON_RESULTS!$A$2:$A$1001,SMALL(IF(RECON_RESULTS!$A$2:$A$1001="Near Match",ROW(RECON_RESULTS!$A$2:$A$1001)-1),86)),"")</f>
        <v/>
      </c>
      <c r="C496" s="11">
        <f>IF(B496="","",INDEX(RECON_RESULTS!$B$2:$B$1001,SMALL(IF(RECON_RESULTS!$A$2:$A$1001="Near Match",ROW(RECON_RESULTS!$A$2:$A$1001)-1),86)))</f>
        <v/>
      </c>
      <c r="D496" s="10">
        <f>IF(B496="","",INDEX(RECON_RESULTS!$C$2:$C$1001,SMALL(IF(RECON_RESULTS!$A$2:$A$1001="Near Match",ROW(RECON_RESULTS!$A$2:$A$1001)-1),86)))</f>
        <v/>
      </c>
      <c r="E496" s="16">
        <f>IF(B496="","",INDEX(RECON_RESULTS!$D$2:$D$1001,SMALL(IF(RECON_RESULTS!$A$2:$A$1001="Near Match",ROW(RECON_RESULTS!$A$2:$A$1001)-1),86)))</f>
        <v/>
      </c>
      <c r="F496" s="10">
        <f>IF(B496="","",INDEX(RECON_RESULTS!$F$2:$F$1001,SMALL(IF(RECON_RESULTS!$A$2:$A$1001="Near Match",ROW(RECON_RESULTS!$A$2:$A$1001)-1),86)))</f>
        <v/>
      </c>
      <c r="G496" s="16">
        <f>IF(B496="","",INDEX(RECON_RESULTS!$I$2:$I$1001,SMALL(IF(RECON_RESULTS!$A$2:$A$1001="Near Match",ROW(RECON_RESULTS!$A$2:$A$1001)-1),86)))</f>
        <v/>
      </c>
      <c r="H496" s="12">
        <f>IF(B496="","",INDEX(RECON_RESULTS!$J$2:$J$1001,SMALL(IF(RECON_RESULTS!$A$2:$A$1001="Near Match",ROW(RECON_RESULTS!$A$2:$A$1001)-1),86)))</f>
        <v/>
      </c>
      <c r="I496" s="11">
        <f>IF(B496="","",INDEX(RECON_RESULTS!$K$2:$K$1001,SMALL(IF(RECON_RESULTS!$A$2:$A$1001="Near Match",ROW(RECON_RESULTS!$A$2:$A$1001)-1),86)))</f>
        <v/>
      </c>
      <c r="J496" s="17">
        <f>IF(B496="","",INDEX(RECON_RESULTS!$L$2:$L$1001,SMALL(IF(RECON_RESULTS!$A$2:$A$1001="Near Match",ROW(RECON_RESULTS!$A$2:$A$1001)-1),86)))</f>
        <v/>
      </c>
      <c r="K496" s="11" t="inlineStr"/>
      <c r="L496" s="11" t="inlineStr"/>
    </row>
    <row r="497">
      <c r="B497" s="11">
        <f>IFERROR(INDEX(RECON_RESULTS!$A$2:$A$1001,SMALL(IF(RECON_RESULTS!$A$2:$A$1001="Near Match",ROW(RECON_RESULTS!$A$2:$A$1001)-1),87)),"")</f>
        <v/>
      </c>
      <c r="C497" s="11">
        <f>IF(B497="","",INDEX(RECON_RESULTS!$B$2:$B$1001,SMALL(IF(RECON_RESULTS!$A$2:$A$1001="Near Match",ROW(RECON_RESULTS!$A$2:$A$1001)-1),87)))</f>
        <v/>
      </c>
      <c r="D497" s="10">
        <f>IF(B497="","",INDEX(RECON_RESULTS!$C$2:$C$1001,SMALL(IF(RECON_RESULTS!$A$2:$A$1001="Near Match",ROW(RECON_RESULTS!$A$2:$A$1001)-1),87)))</f>
        <v/>
      </c>
      <c r="E497" s="16">
        <f>IF(B497="","",INDEX(RECON_RESULTS!$D$2:$D$1001,SMALL(IF(RECON_RESULTS!$A$2:$A$1001="Near Match",ROW(RECON_RESULTS!$A$2:$A$1001)-1),87)))</f>
        <v/>
      </c>
      <c r="F497" s="10">
        <f>IF(B497="","",INDEX(RECON_RESULTS!$F$2:$F$1001,SMALL(IF(RECON_RESULTS!$A$2:$A$1001="Near Match",ROW(RECON_RESULTS!$A$2:$A$1001)-1),87)))</f>
        <v/>
      </c>
      <c r="G497" s="16">
        <f>IF(B497="","",INDEX(RECON_RESULTS!$I$2:$I$1001,SMALL(IF(RECON_RESULTS!$A$2:$A$1001="Near Match",ROW(RECON_RESULTS!$A$2:$A$1001)-1),87)))</f>
        <v/>
      </c>
      <c r="H497" s="12">
        <f>IF(B497="","",INDEX(RECON_RESULTS!$J$2:$J$1001,SMALL(IF(RECON_RESULTS!$A$2:$A$1001="Near Match",ROW(RECON_RESULTS!$A$2:$A$1001)-1),87)))</f>
        <v/>
      </c>
      <c r="I497" s="11">
        <f>IF(B497="","",INDEX(RECON_RESULTS!$K$2:$K$1001,SMALL(IF(RECON_RESULTS!$A$2:$A$1001="Near Match",ROW(RECON_RESULTS!$A$2:$A$1001)-1),87)))</f>
        <v/>
      </c>
      <c r="J497" s="17">
        <f>IF(B497="","",INDEX(RECON_RESULTS!$L$2:$L$1001,SMALL(IF(RECON_RESULTS!$A$2:$A$1001="Near Match",ROW(RECON_RESULTS!$A$2:$A$1001)-1),87)))</f>
        <v/>
      </c>
      <c r="K497" s="11" t="inlineStr"/>
      <c r="L497" s="11" t="inlineStr"/>
    </row>
    <row r="498">
      <c r="B498" s="11">
        <f>IFERROR(INDEX(RECON_RESULTS!$A$2:$A$1001,SMALL(IF(RECON_RESULTS!$A$2:$A$1001="Near Match",ROW(RECON_RESULTS!$A$2:$A$1001)-1),88)),"")</f>
        <v/>
      </c>
      <c r="C498" s="11">
        <f>IF(B498="","",INDEX(RECON_RESULTS!$B$2:$B$1001,SMALL(IF(RECON_RESULTS!$A$2:$A$1001="Near Match",ROW(RECON_RESULTS!$A$2:$A$1001)-1),88)))</f>
        <v/>
      </c>
      <c r="D498" s="10">
        <f>IF(B498="","",INDEX(RECON_RESULTS!$C$2:$C$1001,SMALL(IF(RECON_RESULTS!$A$2:$A$1001="Near Match",ROW(RECON_RESULTS!$A$2:$A$1001)-1),88)))</f>
        <v/>
      </c>
      <c r="E498" s="16">
        <f>IF(B498="","",INDEX(RECON_RESULTS!$D$2:$D$1001,SMALL(IF(RECON_RESULTS!$A$2:$A$1001="Near Match",ROW(RECON_RESULTS!$A$2:$A$1001)-1),88)))</f>
        <v/>
      </c>
      <c r="F498" s="10">
        <f>IF(B498="","",INDEX(RECON_RESULTS!$F$2:$F$1001,SMALL(IF(RECON_RESULTS!$A$2:$A$1001="Near Match",ROW(RECON_RESULTS!$A$2:$A$1001)-1),88)))</f>
        <v/>
      </c>
      <c r="G498" s="16">
        <f>IF(B498="","",INDEX(RECON_RESULTS!$I$2:$I$1001,SMALL(IF(RECON_RESULTS!$A$2:$A$1001="Near Match",ROW(RECON_RESULTS!$A$2:$A$1001)-1),88)))</f>
        <v/>
      </c>
      <c r="H498" s="12">
        <f>IF(B498="","",INDEX(RECON_RESULTS!$J$2:$J$1001,SMALL(IF(RECON_RESULTS!$A$2:$A$1001="Near Match",ROW(RECON_RESULTS!$A$2:$A$1001)-1),88)))</f>
        <v/>
      </c>
      <c r="I498" s="11">
        <f>IF(B498="","",INDEX(RECON_RESULTS!$K$2:$K$1001,SMALL(IF(RECON_RESULTS!$A$2:$A$1001="Near Match",ROW(RECON_RESULTS!$A$2:$A$1001)-1),88)))</f>
        <v/>
      </c>
      <c r="J498" s="17">
        <f>IF(B498="","",INDEX(RECON_RESULTS!$L$2:$L$1001,SMALL(IF(RECON_RESULTS!$A$2:$A$1001="Near Match",ROW(RECON_RESULTS!$A$2:$A$1001)-1),88)))</f>
        <v/>
      </c>
      <c r="K498" s="11" t="inlineStr"/>
      <c r="L498" s="11" t="inlineStr"/>
    </row>
    <row r="499">
      <c r="B499" s="11">
        <f>IFERROR(INDEX(RECON_RESULTS!$A$2:$A$1001,SMALL(IF(RECON_RESULTS!$A$2:$A$1001="Near Match",ROW(RECON_RESULTS!$A$2:$A$1001)-1),89)),"")</f>
        <v/>
      </c>
      <c r="C499" s="11">
        <f>IF(B499="","",INDEX(RECON_RESULTS!$B$2:$B$1001,SMALL(IF(RECON_RESULTS!$A$2:$A$1001="Near Match",ROW(RECON_RESULTS!$A$2:$A$1001)-1),89)))</f>
        <v/>
      </c>
      <c r="D499" s="10">
        <f>IF(B499="","",INDEX(RECON_RESULTS!$C$2:$C$1001,SMALL(IF(RECON_RESULTS!$A$2:$A$1001="Near Match",ROW(RECON_RESULTS!$A$2:$A$1001)-1),89)))</f>
        <v/>
      </c>
      <c r="E499" s="16">
        <f>IF(B499="","",INDEX(RECON_RESULTS!$D$2:$D$1001,SMALL(IF(RECON_RESULTS!$A$2:$A$1001="Near Match",ROW(RECON_RESULTS!$A$2:$A$1001)-1),89)))</f>
        <v/>
      </c>
      <c r="F499" s="10">
        <f>IF(B499="","",INDEX(RECON_RESULTS!$F$2:$F$1001,SMALL(IF(RECON_RESULTS!$A$2:$A$1001="Near Match",ROW(RECON_RESULTS!$A$2:$A$1001)-1),89)))</f>
        <v/>
      </c>
      <c r="G499" s="16">
        <f>IF(B499="","",INDEX(RECON_RESULTS!$I$2:$I$1001,SMALL(IF(RECON_RESULTS!$A$2:$A$1001="Near Match",ROW(RECON_RESULTS!$A$2:$A$1001)-1),89)))</f>
        <v/>
      </c>
      <c r="H499" s="12">
        <f>IF(B499="","",INDEX(RECON_RESULTS!$J$2:$J$1001,SMALL(IF(RECON_RESULTS!$A$2:$A$1001="Near Match",ROW(RECON_RESULTS!$A$2:$A$1001)-1),89)))</f>
        <v/>
      </c>
      <c r="I499" s="11">
        <f>IF(B499="","",INDEX(RECON_RESULTS!$K$2:$K$1001,SMALL(IF(RECON_RESULTS!$A$2:$A$1001="Near Match",ROW(RECON_RESULTS!$A$2:$A$1001)-1),89)))</f>
        <v/>
      </c>
      <c r="J499" s="17">
        <f>IF(B499="","",INDEX(RECON_RESULTS!$L$2:$L$1001,SMALL(IF(RECON_RESULTS!$A$2:$A$1001="Near Match",ROW(RECON_RESULTS!$A$2:$A$1001)-1),89)))</f>
        <v/>
      </c>
      <c r="K499" s="11" t="inlineStr"/>
      <c r="L499" s="11" t="inlineStr"/>
    </row>
    <row r="500">
      <c r="B500" s="11">
        <f>IFERROR(INDEX(RECON_RESULTS!$A$2:$A$1001,SMALL(IF(RECON_RESULTS!$A$2:$A$1001="Near Match",ROW(RECON_RESULTS!$A$2:$A$1001)-1),90)),"")</f>
        <v/>
      </c>
      <c r="C500" s="11">
        <f>IF(B500="","",INDEX(RECON_RESULTS!$B$2:$B$1001,SMALL(IF(RECON_RESULTS!$A$2:$A$1001="Near Match",ROW(RECON_RESULTS!$A$2:$A$1001)-1),90)))</f>
        <v/>
      </c>
      <c r="D500" s="10">
        <f>IF(B500="","",INDEX(RECON_RESULTS!$C$2:$C$1001,SMALL(IF(RECON_RESULTS!$A$2:$A$1001="Near Match",ROW(RECON_RESULTS!$A$2:$A$1001)-1),90)))</f>
        <v/>
      </c>
      <c r="E500" s="16">
        <f>IF(B500="","",INDEX(RECON_RESULTS!$D$2:$D$1001,SMALL(IF(RECON_RESULTS!$A$2:$A$1001="Near Match",ROW(RECON_RESULTS!$A$2:$A$1001)-1),90)))</f>
        <v/>
      </c>
      <c r="F500" s="10">
        <f>IF(B500="","",INDEX(RECON_RESULTS!$F$2:$F$1001,SMALL(IF(RECON_RESULTS!$A$2:$A$1001="Near Match",ROW(RECON_RESULTS!$A$2:$A$1001)-1),90)))</f>
        <v/>
      </c>
      <c r="G500" s="16">
        <f>IF(B500="","",INDEX(RECON_RESULTS!$I$2:$I$1001,SMALL(IF(RECON_RESULTS!$A$2:$A$1001="Near Match",ROW(RECON_RESULTS!$A$2:$A$1001)-1),90)))</f>
        <v/>
      </c>
      <c r="H500" s="12">
        <f>IF(B500="","",INDEX(RECON_RESULTS!$J$2:$J$1001,SMALL(IF(RECON_RESULTS!$A$2:$A$1001="Near Match",ROW(RECON_RESULTS!$A$2:$A$1001)-1),90)))</f>
        <v/>
      </c>
      <c r="I500" s="11">
        <f>IF(B500="","",INDEX(RECON_RESULTS!$K$2:$K$1001,SMALL(IF(RECON_RESULTS!$A$2:$A$1001="Near Match",ROW(RECON_RESULTS!$A$2:$A$1001)-1),90)))</f>
        <v/>
      </c>
      <c r="J500" s="17">
        <f>IF(B500="","",INDEX(RECON_RESULTS!$L$2:$L$1001,SMALL(IF(RECON_RESULTS!$A$2:$A$1001="Near Match",ROW(RECON_RESULTS!$A$2:$A$1001)-1),90)))</f>
        <v/>
      </c>
      <c r="K500" s="11" t="inlineStr"/>
      <c r="L500" s="11" t="inlineStr"/>
    </row>
    <row r="501">
      <c r="B501" s="11">
        <f>IFERROR(INDEX(RECON_RESULTS!$A$2:$A$1001,SMALL(IF(RECON_RESULTS!$A$2:$A$1001="Near Match",ROW(RECON_RESULTS!$A$2:$A$1001)-1),91)),"")</f>
        <v/>
      </c>
      <c r="C501" s="11">
        <f>IF(B501="","",INDEX(RECON_RESULTS!$B$2:$B$1001,SMALL(IF(RECON_RESULTS!$A$2:$A$1001="Near Match",ROW(RECON_RESULTS!$A$2:$A$1001)-1),91)))</f>
        <v/>
      </c>
      <c r="D501" s="10">
        <f>IF(B501="","",INDEX(RECON_RESULTS!$C$2:$C$1001,SMALL(IF(RECON_RESULTS!$A$2:$A$1001="Near Match",ROW(RECON_RESULTS!$A$2:$A$1001)-1),91)))</f>
        <v/>
      </c>
      <c r="E501" s="16">
        <f>IF(B501="","",INDEX(RECON_RESULTS!$D$2:$D$1001,SMALL(IF(RECON_RESULTS!$A$2:$A$1001="Near Match",ROW(RECON_RESULTS!$A$2:$A$1001)-1),91)))</f>
        <v/>
      </c>
      <c r="F501" s="10">
        <f>IF(B501="","",INDEX(RECON_RESULTS!$F$2:$F$1001,SMALL(IF(RECON_RESULTS!$A$2:$A$1001="Near Match",ROW(RECON_RESULTS!$A$2:$A$1001)-1),91)))</f>
        <v/>
      </c>
      <c r="G501" s="16">
        <f>IF(B501="","",INDEX(RECON_RESULTS!$I$2:$I$1001,SMALL(IF(RECON_RESULTS!$A$2:$A$1001="Near Match",ROW(RECON_RESULTS!$A$2:$A$1001)-1),91)))</f>
        <v/>
      </c>
      <c r="H501" s="12">
        <f>IF(B501="","",INDEX(RECON_RESULTS!$J$2:$J$1001,SMALL(IF(RECON_RESULTS!$A$2:$A$1001="Near Match",ROW(RECON_RESULTS!$A$2:$A$1001)-1),91)))</f>
        <v/>
      </c>
      <c r="I501" s="11">
        <f>IF(B501="","",INDEX(RECON_RESULTS!$K$2:$K$1001,SMALL(IF(RECON_RESULTS!$A$2:$A$1001="Near Match",ROW(RECON_RESULTS!$A$2:$A$1001)-1),91)))</f>
        <v/>
      </c>
      <c r="J501" s="17">
        <f>IF(B501="","",INDEX(RECON_RESULTS!$L$2:$L$1001,SMALL(IF(RECON_RESULTS!$A$2:$A$1001="Near Match",ROW(RECON_RESULTS!$A$2:$A$1001)-1),91)))</f>
        <v/>
      </c>
      <c r="K501" s="11" t="inlineStr"/>
      <c r="L501" s="11" t="inlineStr"/>
    </row>
    <row r="502">
      <c r="B502" s="11">
        <f>IFERROR(INDEX(RECON_RESULTS!$A$2:$A$1001,SMALL(IF(RECON_RESULTS!$A$2:$A$1001="Near Match",ROW(RECON_RESULTS!$A$2:$A$1001)-1),92)),"")</f>
        <v/>
      </c>
      <c r="C502" s="11">
        <f>IF(B502="","",INDEX(RECON_RESULTS!$B$2:$B$1001,SMALL(IF(RECON_RESULTS!$A$2:$A$1001="Near Match",ROW(RECON_RESULTS!$A$2:$A$1001)-1),92)))</f>
        <v/>
      </c>
      <c r="D502" s="10">
        <f>IF(B502="","",INDEX(RECON_RESULTS!$C$2:$C$1001,SMALL(IF(RECON_RESULTS!$A$2:$A$1001="Near Match",ROW(RECON_RESULTS!$A$2:$A$1001)-1),92)))</f>
        <v/>
      </c>
      <c r="E502" s="16">
        <f>IF(B502="","",INDEX(RECON_RESULTS!$D$2:$D$1001,SMALL(IF(RECON_RESULTS!$A$2:$A$1001="Near Match",ROW(RECON_RESULTS!$A$2:$A$1001)-1),92)))</f>
        <v/>
      </c>
      <c r="F502" s="10">
        <f>IF(B502="","",INDEX(RECON_RESULTS!$F$2:$F$1001,SMALL(IF(RECON_RESULTS!$A$2:$A$1001="Near Match",ROW(RECON_RESULTS!$A$2:$A$1001)-1),92)))</f>
        <v/>
      </c>
      <c r="G502" s="16">
        <f>IF(B502="","",INDEX(RECON_RESULTS!$I$2:$I$1001,SMALL(IF(RECON_RESULTS!$A$2:$A$1001="Near Match",ROW(RECON_RESULTS!$A$2:$A$1001)-1),92)))</f>
        <v/>
      </c>
      <c r="H502" s="12">
        <f>IF(B502="","",INDEX(RECON_RESULTS!$J$2:$J$1001,SMALL(IF(RECON_RESULTS!$A$2:$A$1001="Near Match",ROW(RECON_RESULTS!$A$2:$A$1001)-1),92)))</f>
        <v/>
      </c>
      <c r="I502" s="11">
        <f>IF(B502="","",INDEX(RECON_RESULTS!$K$2:$K$1001,SMALL(IF(RECON_RESULTS!$A$2:$A$1001="Near Match",ROW(RECON_RESULTS!$A$2:$A$1001)-1),92)))</f>
        <v/>
      </c>
      <c r="J502" s="17">
        <f>IF(B502="","",INDEX(RECON_RESULTS!$L$2:$L$1001,SMALL(IF(RECON_RESULTS!$A$2:$A$1001="Near Match",ROW(RECON_RESULTS!$A$2:$A$1001)-1),92)))</f>
        <v/>
      </c>
      <c r="K502" s="11" t="inlineStr"/>
      <c r="L502" s="11" t="inlineStr"/>
    </row>
    <row r="503">
      <c r="B503" s="11">
        <f>IFERROR(INDEX(RECON_RESULTS!$A$2:$A$1001,SMALL(IF(RECON_RESULTS!$A$2:$A$1001="Near Match",ROW(RECON_RESULTS!$A$2:$A$1001)-1),93)),"")</f>
        <v/>
      </c>
      <c r="C503" s="11">
        <f>IF(B503="","",INDEX(RECON_RESULTS!$B$2:$B$1001,SMALL(IF(RECON_RESULTS!$A$2:$A$1001="Near Match",ROW(RECON_RESULTS!$A$2:$A$1001)-1),93)))</f>
        <v/>
      </c>
      <c r="D503" s="10">
        <f>IF(B503="","",INDEX(RECON_RESULTS!$C$2:$C$1001,SMALL(IF(RECON_RESULTS!$A$2:$A$1001="Near Match",ROW(RECON_RESULTS!$A$2:$A$1001)-1),93)))</f>
        <v/>
      </c>
      <c r="E503" s="16">
        <f>IF(B503="","",INDEX(RECON_RESULTS!$D$2:$D$1001,SMALL(IF(RECON_RESULTS!$A$2:$A$1001="Near Match",ROW(RECON_RESULTS!$A$2:$A$1001)-1),93)))</f>
        <v/>
      </c>
      <c r="F503" s="10">
        <f>IF(B503="","",INDEX(RECON_RESULTS!$F$2:$F$1001,SMALL(IF(RECON_RESULTS!$A$2:$A$1001="Near Match",ROW(RECON_RESULTS!$A$2:$A$1001)-1),93)))</f>
        <v/>
      </c>
      <c r="G503" s="16">
        <f>IF(B503="","",INDEX(RECON_RESULTS!$I$2:$I$1001,SMALL(IF(RECON_RESULTS!$A$2:$A$1001="Near Match",ROW(RECON_RESULTS!$A$2:$A$1001)-1),93)))</f>
        <v/>
      </c>
      <c r="H503" s="12">
        <f>IF(B503="","",INDEX(RECON_RESULTS!$J$2:$J$1001,SMALL(IF(RECON_RESULTS!$A$2:$A$1001="Near Match",ROW(RECON_RESULTS!$A$2:$A$1001)-1),93)))</f>
        <v/>
      </c>
      <c r="I503" s="11">
        <f>IF(B503="","",INDEX(RECON_RESULTS!$K$2:$K$1001,SMALL(IF(RECON_RESULTS!$A$2:$A$1001="Near Match",ROW(RECON_RESULTS!$A$2:$A$1001)-1),93)))</f>
        <v/>
      </c>
      <c r="J503" s="17">
        <f>IF(B503="","",INDEX(RECON_RESULTS!$L$2:$L$1001,SMALL(IF(RECON_RESULTS!$A$2:$A$1001="Near Match",ROW(RECON_RESULTS!$A$2:$A$1001)-1),93)))</f>
        <v/>
      </c>
      <c r="K503" s="11" t="inlineStr"/>
      <c r="L503" s="11" t="inlineStr"/>
    </row>
    <row r="504">
      <c r="B504" s="11">
        <f>IFERROR(INDEX(RECON_RESULTS!$A$2:$A$1001,SMALL(IF(RECON_RESULTS!$A$2:$A$1001="Near Match",ROW(RECON_RESULTS!$A$2:$A$1001)-1),94)),"")</f>
        <v/>
      </c>
      <c r="C504" s="11">
        <f>IF(B504="","",INDEX(RECON_RESULTS!$B$2:$B$1001,SMALL(IF(RECON_RESULTS!$A$2:$A$1001="Near Match",ROW(RECON_RESULTS!$A$2:$A$1001)-1),94)))</f>
        <v/>
      </c>
      <c r="D504" s="10">
        <f>IF(B504="","",INDEX(RECON_RESULTS!$C$2:$C$1001,SMALL(IF(RECON_RESULTS!$A$2:$A$1001="Near Match",ROW(RECON_RESULTS!$A$2:$A$1001)-1),94)))</f>
        <v/>
      </c>
      <c r="E504" s="16">
        <f>IF(B504="","",INDEX(RECON_RESULTS!$D$2:$D$1001,SMALL(IF(RECON_RESULTS!$A$2:$A$1001="Near Match",ROW(RECON_RESULTS!$A$2:$A$1001)-1),94)))</f>
        <v/>
      </c>
      <c r="F504" s="10">
        <f>IF(B504="","",INDEX(RECON_RESULTS!$F$2:$F$1001,SMALL(IF(RECON_RESULTS!$A$2:$A$1001="Near Match",ROW(RECON_RESULTS!$A$2:$A$1001)-1),94)))</f>
        <v/>
      </c>
      <c r="G504" s="16">
        <f>IF(B504="","",INDEX(RECON_RESULTS!$I$2:$I$1001,SMALL(IF(RECON_RESULTS!$A$2:$A$1001="Near Match",ROW(RECON_RESULTS!$A$2:$A$1001)-1),94)))</f>
        <v/>
      </c>
      <c r="H504" s="12">
        <f>IF(B504="","",INDEX(RECON_RESULTS!$J$2:$J$1001,SMALL(IF(RECON_RESULTS!$A$2:$A$1001="Near Match",ROW(RECON_RESULTS!$A$2:$A$1001)-1),94)))</f>
        <v/>
      </c>
      <c r="I504" s="11">
        <f>IF(B504="","",INDEX(RECON_RESULTS!$K$2:$K$1001,SMALL(IF(RECON_RESULTS!$A$2:$A$1001="Near Match",ROW(RECON_RESULTS!$A$2:$A$1001)-1),94)))</f>
        <v/>
      </c>
      <c r="J504" s="17">
        <f>IF(B504="","",INDEX(RECON_RESULTS!$L$2:$L$1001,SMALL(IF(RECON_RESULTS!$A$2:$A$1001="Near Match",ROW(RECON_RESULTS!$A$2:$A$1001)-1),94)))</f>
        <v/>
      </c>
      <c r="K504" s="11" t="inlineStr"/>
      <c r="L504" s="11" t="inlineStr"/>
    </row>
    <row r="505">
      <c r="B505" s="11">
        <f>IFERROR(INDEX(RECON_RESULTS!$A$2:$A$1001,SMALL(IF(RECON_RESULTS!$A$2:$A$1001="Near Match",ROW(RECON_RESULTS!$A$2:$A$1001)-1),95)),"")</f>
        <v/>
      </c>
      <c r="C505" s="11">
        <f>IF(B505="","",INDEX(RECON_RESULTS!$B$2:$B$1001,SMALL(IF(RECON_RESULTS!$A$2:$A$1001="Near Match",ROW(RECON_RESULTS!$A$2:$A$1001)-1),95)))</f>
        <v/>
      </c>
      <c r="D505" s="10">
        <f>IF(B505="","",INDEX(RECON_RESULTS!$C$2:$C$1001,SMALL(IF(RECON_RESULTS!$A$2:$A$1001="Near Match",ROW(RECON_RESULTS!$A$2:$A$1001)-1),95)))</f>
        <v/>
      </c>
      <c r="E505" s="16">
        <f>IF(B505="","",INDEX(RECON_RESULTS!$D$2:$D$1001,SMALL(IF(RECON_RESULTS!$A$2:$A$1001="Near Match",ROW(RECON_RESULTS!$A$2:$A$1001)-1),95)))</f>
        <v/>
      </c>
      <c r="F505" s="10">
        <f>IF(B505="","",INDEX(RECON_RESULTS!$F$2:$F$1001,SMALL(IF(RECON_RESULTS!$A$2:$A$1001="Near Match",ROW(RECON_RESULTS!$A$2:$A$1001)-1),95)))</f>
        <v/>
      </c>
      <c r="G505" s="16">
        <f>IF(B505="","",INDEX(RECON_RESULTS!$I$2:$I$1001,SMALL(IF(RECON_RESULTS!$A$2:$A$1001="Near Match",ROW(RECON_RESULTS!$A$2:$A$1001)-1),95)))</f>
        <v/>
      </c>
      <c r="H505" s="12">
        <f>IF(B505="","",INDEX(RECON_RESULTS!$J$2:$J$1001,SMALL(IF(RECON_RESULTS!$A$2:$A$1001="Near Match",ROW(RECON_RESULTS!$A$2:$A$1001)-1),95)))</f>
        <v/>
      </c>
      <c r="I505" s="11">
        <f>IF(B505="","",INDEX(RECON_RESULTS!$K$2:$K$1001,SMALL(IF(RECON_RESULTS!$A$2:$A$1001="Near Match",ROW(RECON_RESULTS!$A$2:$A$1001)-1),95)))</f>
        <v/>
      </c>
      <c r="J505" s="17">
        <f>IF(B505="","",INDEX(RECON_RESULTS!$L$2:$L$1001,SMALL(IF(RECON_RESULTS!$A$2:$A$1001="Near Match",ROW(RECON_RESULTS!$A$2:$A$1001)-1),95)))</f>
        <v/>
      </c>
      <c r="K505" s="11" t="inlineStr"/>
      <c r="L505" s="11" t="inlineStr"/>
    </row>
    <row r="506">
      <c r="B506" s="11">
        <f>IFERROR(INDEX(RECON_RESULTS!$A$2:$A$1001,SMALL(IF(RECON_RESULTS!$A$2:$A$1001="Near Match",ROW(RECON_RESULTS!$A$2:$A$1001)-1),96)),"")</f>
        <v/>
      </c>
      <c r="C506" s="11">
        <f>IF(B506="","",INDEX(RECON_RESULTS!$B$2:$B$1001,SMALL(IF(RECON_RESULTS!$A$2:$A$1001="Near Match",ROW(RECON_RESULTS!$A$2:$A$1001)-1),96)))</f>
        <v/>
      </c>
      <c r="D506" s="10">
        <f>IF(B506="","",INDEX(RECON_RESULTS!$C$2:$C$1001,SMALL(IF(RECON_RESULTS!$A$2:$A$1001="Near Match",ROW(RECON_RESULTS!$A$2:$A$1001)-1),96)))</f>
        <v/>
      </c>
      <c r="E506" s="16">
        <f>IF(B506="","",INDEX(RECON_RESULTS!$D$2:$D$1001,SMALL(IF(RECON_RESULTS!$A$2:$A$1001="Near Match",ROW(RECON_RESULTS!$A$2:$A$1001)-1),96)))</f>
        <v/>
      </c>
      <c r="F506" s="10">
        <f>IF(B506="","",INDEX(RECON_RESULTS!$F$2:$F$1001,SMALL(IF(RECON_RESULTS!$A$2:$A$1001="Near Match",ROW(RECON_RESULTS!$A$2:$A$1001)-1),96)))</f>
        <v/>
      </c>
      <c r="G506" s="16">
        <f>IF(B506="","",INDEX(RECON_RESULTS!$I$2:$I$1001,SMALL(IF(RECON_RESULTS!$A$2:$A$1001="Near Match",ROW(RECON_RESULTS!$A$2:$A$1001)-1),96)))</f>
        <v/>
      </c>
      <c r="H506" s="12">
        <f>IF(B506="","",INDEX(RECON_RESULTS!$J$2:$J$1001,SMALL(IF(RECON_RESULTS!$A$2:$A$1001="Near Match",ROW(RECON_RESULTS!$A$2:$A$1001)-1),96)))</f>
        <v/>
      </c>
      <c r="I506" s="11">
        <f>IF(B506="","",INDEX(RECON_RESULTS!$K$2:$K$1001,SMALL(IF(RECON_RESULTS!$A$2:$A$1001="Near Match",ROW(RECON_RESULTS!$A$2:$A$1001)-1),96)))</f>
        <v/>
      </c>
      <c r="J506" s="17">
        <f>IF(B506="","",INDEX(RECON_RESULTS!$L$2:$L$1001,SMALL(IF(RECON_RESULTS!$A$2:$A$1001="Near Match",ROW(RECON_RESULTS!$A$2:$A$1001)-1),96)))</f>
        <v/>
      </c>
      <c r="K506" s="11" t="inlineStr"/>
      <c r="L506" s="11" t="inlineStr"/>
    </row>
    <row r="507">
      <c r="B507" s="11">
        <f>IFERROR(INDEX(RECON_RESULTS!$A$2:$A$1001,SMALL(IF(RECON_RESULTS!$A$2:$A$1001="Near Match",ROW(RECON_RESULTS!$A$2:$A$1001)-1),97)),"")</f>
        <v/>
      </c>
      <c r="C507" s="11">
        <f>IF(B507="","",INDEX(RECON_RESULTS!$B$2:$B$1001,SMALL(IF(RECON_RESULTS!$A$2:$A$1001="Near Match",ROW(RECON_RESULTS!$A$2:$A$1001)-1),97)))</f>
        <v/>
      </c>
      <c r="D507" s="10">
        <f>IF(B507="","",INDEX(RECON_RESULTS!$C$2:$C$1001,SMALL(IF(RECON_RESULTS!$A$2:$A$1001="Near Match",ROW(RECON_RESULTS!$A$2:$A$1001)-1),97)))</f>
        <v/>
      </c>
      <c r="E507" s="16">
        <f>IF(B507="","",INDEX(RECON_RESULTS!$D$2:$D$1001,SMALL(IF(RECON_RESULTS!$A$2:$A$1001="Near Match",ROW(RECON_RESULTS!$A$2:$A$1001)-1),97)))</f>
        <v/>
      </c>
      <c r="F507" s="10">
        <f>IF(B507="","",INDEX(RECON_RESULTS!$F$2:$F$1001,SMALL(IF(RECON_RESULTS!$A$2:$A$1001="Near Match",ROW(RECON_RESULTS!$A$2:$A$1001)-1),97)))</f>
        <v/>
      </c>
      <c r="G507" s="16">
        <f>IF(B507="","",INDEX(RECON_RESULTS!$I$2:$I$1001,SMALL(IF(RECON_RESULTS!$A$2:$A$1001="Near Match",ROW(RECON_RESULTS!$A$2:$A$1001)-1),97)))</f>
        <v/>
      </c>
      <c r="H507" s="12">
        <f>IF(B507="","",INDEX(RECON_RESULTS!$J$2:$J$1001,SMALL(IF(RECON_RESULTS!$A$2:$A$1001="Near Match",ROW(RECON_RESULTS!$A$2:$A$1001)-1),97)))</f>
        <v/>
      </c>
      <c r="I507" s="11">
        <f>IF(B507="","",INDEX(RECON_RESULTS!$K$2:$K$1001,SMALL(IF(RECON_RESULTS!$A$2:$A$1001="Near Match",ROW(RECON_RESULTS!$A$2:$A$1001)-1),97)))</f>
        <v/>
      </c>
      <c r="J507" s="17">
        <f>IF(B507="","",INDEX(RECON_RESULTS!$L$2:$L$1001,SMALL(IF(RECON_RESULTS!$A$2:$A$1001="Near Match",ROW(RECON_RESULTS!$A$2:$A$1001)-1),97)))</f>
        <v/>
      </c>
      <c r="K507" s="11" t="inlineStr"/>
      <c r="L507" s="11" t="inlineStr"/>
    </row>
    <row r="508">
      <c r="B508" s="11">
        <f>IFERROR(INDEX(RECON_RESULTS!$A$2:$A$1001,SMALL(IF(RECON_RESULTS!$A$2:$A$1001="Near Match",ROW(RECON_RESULTS!$A$2:$A$1001)-1),98)),"")</f>
        <v/>
      </c>
      <c r="C508" s="11">
        <f>IF(B508="","",INDEX(RECON_RESULTS!$B$2:$B$1001,SMALL(IF(RECON_RESULTS!$A$2:$A$1001="Near Match",ROW(RECON_RESULTS!$A$2:$A$1001)-1),98)))</f>
        <v/>
      </c>
      <c r="D508" s="10">
        <f>IF(B508="","",INDEX(RECON_RESULTS!$C$2:$C$1001,SMALL(IF(RECON_RESULTS!$A$2:$A$1001="Near Match",ROW(RECON_RESULTS!$A$2:$A$1001)-1),98)))</f>
        <v/>
      </c>
      <c r="E508" s="16">
        <f>IF(B508="","",INDEX(RECON_RESULTS!$D$2:$D$1001,SMALL(IF(RECON_RESULTS!$A$2:$A$1001="Near Match",ROW(RECON_RESULTS!$A$2:$A$1001)-1),98)))</f>
        <v/>
      </c>
      <c r="F508" s="10">
        <f>IF(B508="","",INDEX(RECON_RESULTS!$F$2:$F$1001,SMALL(IF(RECON_RESULTS!$A$2:$A$1001="Near Match",ROW(RECON_RESULTS!$A$2:$A$1001)-1),98)))</f>
        <v/>
      </c>
      <c r="G508" s="16">
        <f>IF(B508="","",INDEX(RECON_RESULTS!$I$2:$I$1001,SMALL(IF(RECON_RESULTS!$A$2:$A$1001="Near Match",ROW(RECON_RESULTS!$A$2:$A$1001)-1),98)))</f>
        <v/>
      </c>
      <c r="H508" s="12">
        <f>IF(B508="","",INDEX(RECON_RESULTS!$J$2:$J$1001,SMALL(IF(RECON_RESULTS!$A$2:$A$1001="Near Match",ROW(RECON_RESULTS!$A$2:$A$1001)-1),98)))</f>
        <v/>
      </c>
      <c r="I508" s="11">
        <f>IF(B508="","",INDEX(RECON_RESULTS!$K$2:$K$1001,SMALL(IF(RECON_RESULTS!$A$2:$A$1001="Near Match",ROW(RECON_RESULTS!$A$2:$A$1001)-1),98)))</f>
        <v/>
      </c>
      <c r="J508" s="17">
        <f>IF(B508="","",INDEX(RECON_RESULTS!$L$2:$L$1001,SMALL(IF(RECON_RESULTS!$A$2:$A$1001="Near Match",ROW(RECON_RESULTS!$A$2:$A$1001)-1),98)))</f>
        <v/>
      </c>
      <c r="K508" s="11" t="inlineStr"/>
      <c r="L508" s="11" t="inlineStr"/>
    </row>
    <row r="509">
      <c r="B509" s="11">
        <f>IFERROR(INDEX(RECON_RESULTS!$A$2:$A$1001,SMALL(IF(RECON_RESULTS!$A$2:$A$1001="Near Match",ROW(RECON_RESULTS!$A$2:$A$1001)-1),99)),"")</f>
        <v/>
      </c>
      <c r="C509" s="11">
        <f>IF(B509="","",INDEX(RECON_RESULTS!$B$2:$B$1001,SMALL(IF(RECON_RESULTS!$A$2:$A$1001="Near Match",ROW(RECON_RESULTS!$A$2:$A$1001)-1),99)))</f>
        <v/>
      </c>
      <c r="D509" s="10">
        <f>IF(B509="","",INDEX(RECON_RESULTS!$C$2:$C$1001,SMALL(IF(RECON_RESULTS!$A$2:$A$1001="Near Match",ROW(RECON_RESULTS!$A$2:$A$1001)-1),99)))</f>
        <v/>
      </c>
      <c r="E509" s="16">
        <f>IF(B509="","",INDEX(RECON_RESULTS!$D$2:$D$1001,SMALL(IF(RECON_RESULTS!$A$2:$A$1001="Near Match",ROW(RECON_RESULTS!$A$2:$A$1001)-1),99)))</f>
        <v/>
      </c>
      <c r="F509" s="10">
        <f>IF(B509="","",INDEX(RECON_RESULTS!$F$2:$F$1001,SMALL(IF(RECON_RESULTS!$A$2:$A$1001="Near Match",ROW(RECON_RESULTS!$A$2:$A$1001)-1),99)))</f>
        <v/>
      </c>
      <c r="G509" s="16">
        <f>IF(B509="","",INDEX(RECON_RESULTS!$I$2:$I$1001,SMALL(IF(RECON_RESULTS!$A$2:$A$1001="Near Match",ROW(RECON_RESULTS!$A$2:$A$1001)-1),99)))</f>
        <v/>
      </c>
      <c r="H509" s="12">
        <f>IF(B509="","",INDEX(RECON_RESULTS!$J$2:$J$1001,SMALL(IF(RECON_RESULTS!$A$2:$A$1001="Near Match",ROW(RECON_RESULTS!$A$2:$A$1001)-1),99)))</f>
        <v/>
      </c>
      <c r="I509" s="11">
        <f>IF(B509="","",INDEX(RECON_RESULTS!$K$2:$K$1001,SMALL(IF(RECON_RESULTS!$A$2:$A$1001="Near Match",ROW(RECON_RESULTS!$A$2:$A$1001)-1),99)))</f>
        <v/>
      </c>
      <c r="J509" s="17">
        <f>IF(B509="","",INDEX(RECON_RESULTS!$L$2:$L$1001,SMALL(IF(RECON_RESULTS!$A$2:$A$1001="Near Match",ROW(RECON_RESULTS!$A$2:$A$1001)-1),99)))</f>
        <v/>
      </c>
      <c r="K509" s="11" t="inlineStr"/>
      <c r="L509" s="11" t="inlineStr"/>
    </row>
    <row r="510">
      <c r="B510" s="11">
        <f>IFERROR(INDEX(RECON_RESULTS!$A$2:$A$1001,SMALL(IF(RECON_RESULTS!$A$2:$A$1001="Near Match",ROW(RECON_RESULTS!$A$2:$A$1001)-1),100)),"")</f>
        <v/>
      </c>
      <c r="C510" s="11">
        <f>IF(B510="","",INDEX(RECON_RESULTS!$B$2:$B$1001,SMALL(IF(RECON_RESULTS!$A$2:$A$1001="Near Match",ROW(RECON_RESULTS!$A$2:$A$1001)-1),100)))</f>
        <v/>
      </c>
      <c r="D510" s="10">
        <f>IF(B510="","",INDEX(RECON_RESULTS!$C$2:$C$1001,SMALL(IF(RECON_RESULTS!$A$2:$A$1001="Near Match",ROW(RECON_RESULTS!$A$2:$A$1001)-1),100)))</f>
        <v/>
      </c>
      <c r="E510" s="16">
        <f>IF(B510="","",INDEX(RECON_RESULTS!$D$2:$D$1001,SMALL(IF(RECON_RESULTS!$A$2:$A$1001="Near Match",ROW(RECON_RESULTS!$A$2:$A$1001)-1),100)))</f>
        <v/>
      </c>
      <c r="F510" s="10">
        <f>IF(B510="","",INDEX(RECON_RESULTS!$F$2:$F$1001,SMALL(IF(RECON_RESULTS!$A$2:$A$1001="Near Match",ROW(RECON_RESULTS!$A$2:$A$1001)-1),100)))</f>
        <v/>
      </c>
      <c r="G510" s="16">
        <f>IF(B510="","",INDEX(RECON_RESULTS!$I$2:$I$1001,SMALL(IF(RECON_RESULTS!$A$2:$A$1001="Near Match",ROW(RECON_RESULTS!$A$2:$A$1001)-1),100)))</f>
        <v/>
      </c>
      <c r="H510" s="12">
        <f>IF(B510="","",INDEX(RECON_RESULTS!$J$2:$J$1001,SMALL(IF(RECON_RESULTS!$A$2:$A$1001="Near Match",ROW(RECON_RESULTS!$A$2:$A$1001)-1),100)))</f>
        <v/>
      </c>
      <c r="I510" s="11">
        <f>IF(B510="","",INDEX(RECON_RESULTS!$K$2:$K$1001,SMALL(IF(RECON_RESULTS!$A$2:$A$1001="Near Match",ROW(RECON_RESULTS!$A$2:$A$1001)-1),100)))</f>
        <v/>
      </c>
      <c r="J510" s="17">
        <f>IF(B510="","",INDEX(RECON_RESULTS!$L$2:$L$1001,SMALL(IF(RECON_RESULTS!$A$2:$A$1001="Near Match",ROW(RECON_RESULTS!$A$2:$A$1001)-1),100)))</f>
        <v/>
      </c>
      <c r="K510" s="11" t="inlineStr"/>
      <c r="L510" s="11" t="inlineStr"/>
    </row>
    <row r="511">
      <c r="B511" s="11">
        <f>IFERROR(INDEX(RECON_RESULTS!$A$2:$A$1001,SMALL(IF(RECON_RESULTS!$A$2:$A$1001="Near Match",ROW(RECON_RESULTS!$A$2:$A$1001)-1),101)),"")</f>
        <v/>
      </c>
      <c r="C511" s="11">
        <f>IF(B511="","",INDEX(RECON_RESULTS!$B$2:$B$1001,SMALL(IF(RECON_RESULTS!$A$2:$A$1001="Near Match",ROW(RECON_RESULTS!$A$2:$A$1001)-1),101)))</f>
        <v/>
      </c>
      <c r="D511" s="10">
        <f>IF(B511="","",INDEX(RECON_RESULTS!$C$2:$C$1001,SMALL(IF(RECON_RESULTS!$A$2:$A$1001="Near Match",ROW(RECON_RESULTS!$A$2:$A$1001)-1),101)))</f>
        <v/>
      </c>
      <c r="E511" s="16">
        <f>IF(B511="","",INDEX(RECON_RESULTS!$D$2:$D$1001,SMALL(IF(RECON_RESULTS!$A$2:$A$1001="Near Match",ROW(RECON_RESULTS!$A$2:$A$1001)-1),101)))</f>
        <v/>
      </c>
      <c r="F511" s="10">
        <f>IF(B511="","",INDEX(RECON_RESULTS!$F$2:$F$1001,SMALL(IF(RECON_RESULTS!$A$2:$A$1001="Near Match",ROW(RECON_RESULTS!$A$2:$A$1001)-1),101)))</f>
        <v/>
      </c>
      <c r="G511" s="16">
        <f>IF(B511="","",INDEX(RECON_RESULTS!$I$2:$I$1001,SMALL(IF(RECON_RESULTS!$A$2:$A$1001="Near Match",ROW(RECON_RESULTS!$A$2:$A$1001)-1),101)))</f>
        <v/>
      </c>
      <c r="H511" s="12">
        <f>IF(B511="","",INDEX(RECON_RESULTS!$J$2:$J$1001,SMALL(IF(RECON_RESULTS!$A$2:$A$1001="Near Match",ROW(RECON_RESULTS!$A$2:$A$1001)-1),101)))</f>
        <v/>
      </c>
      <c r="I511" s="11">
        <f>IF(B511="","",INDEX(RECON_RESULTS!$K$2:$K$1001,SMALL(IF(RECON_RESULTS!$A$2:$A$1001="Near Match",ROW(RECON_RESULTS!$A$2:$A$1001)-1),101)))</f>
        <v/>
      </c>
      <c r="J511" s="17">
        <f>IF(B511="","",INDEX(RECON_RESULTS!$L$2:$L$1001,SMALL(IF(RECON_RESULTS!$A$2:$A$1001="Near Match",ROW(RECON_RESULTS!$A$2:$A$1001)-1),101)))</f>
        <v/>
      </c>
      <c r="K511" s="11" t="inlineStr"/>
      <c r="L511" s="11" t="inlineStr"/>
    </row>
    <row r="512">
      <c r="B512" s="11">
        <f>IFERROR(INDEX(RECON_RESULTS!$A$2:$A$1001,SMALL(IF(RECON_RESULTS!$A$2:$A$1001="Near Match",ROW(RECON_RESULTS!$A$2:$A$1001)-1),102)),"")</f>
        <v/>
      </c>
      <c r="C512" s="11">
        <f>IF(B512="","",INDEX(RECON_RESULTS!$B$2:$B$1001,SMALL(IF(RECON_RESULTS!$A$2:$A$1001="Near Match",ROW(RECON_RESULTS!$A$2:$A$1001)-1),102)))</f>
        <v/>
      </c>
      <c r="D512" s="10">
        <f>IF(B512="","",INDEX(RECON_RESULTS!$C$2:$C$1001,SMALL(IF(RECON_RESULTS!$A$2:$A$1001="Near Match",ROW(RECON_RESULTS!$A$2:$A$1001)-1),102)))</f>
        <v/>
      </c>
      <c r="E512" s="16">
        <f>IF(B512="","",INDEX(RECON_RESULTS!$D$2:$D$1001,SMALL(IF(RECON_RESULTS!$A$2:$A$1001="Near Match",ROW(RECON_RESULTS!$A$2:$A$1001)-1),102)))</f>
        <v/>
      </c>
      <c r="F512" s="10">
        <f>IF(B512="","",INDEX(RECON_RESULTS!$F$2:$F$1001,SMALL(IF(RECON_RESULTS!$A$2:$A$1001="Near Match",ROW(RECON_RESULTS!$A$2:$A$1001)-1),102)))</f>
        <v/>
      </c>
      <c r="G512" s="16">
        <f>IF(B512="","",INDEX(RECON_RESULTS!$I$2:$I$1001,SMALL(IF(RECON_RESULTS!$A$2:$A$1001="Near Match",ROW(RECON_RESULTS!$A$2:$A$1001)-1),102)))</f>
        <v/>
      </c>
      <c r="H512" s="12">
        <f>IF(B512="","",INDEX(RECON_RESULTS!$J$2:$J$1001,SMALL(IF(RECON_RESULTS!$A$2:$A$1001="Near Match",ROW(RECON_RESULTS!$A$2:$A$1001)-1),102)))</f>
        <v/>
      </c>
      <c r="I512" s="11">
        <f>IF(B512="","",INDEX(RECON_RESULTS!$K$2:$K$1001,SMALL(IF(RECON_RESULTS!$A$2:$A$1001="Near Match",ROW(RECON_RESULTS!$A$2:$A$1001)-1),102)))</f>
        <v/>
      </c>
      <c r="J512" s="17">
        <f>IF(B512="","",INDEX(RECON_RESULTS!$L$2:$L$1001,SMALL(IF(RECON_RESULTS!$A$2:$A$1001="Near Match",ROW(RECON_RESULTS!$A$2:$A$1001)-1),102)))</f>
        <v/>
      </c>
      <c r="K512" s="11" t="inlineStr"/>
      <c r="L512" s="11" t="inlineStr"/>
    </row>
    <row r="513">
      <c r="B513" s="11">
        <f>IFERROR(INDEX(RECON_RESULTS!$A$2:$A$1001,SMALL(IF(RECON_RESULTS!$A$2:$A$1001="Near Match",ROW(RECON_RESULTS!$A$2:$A$1001)-1),103)),"")</f>
        <v/>
      </c>
      <c r="C513" s="11">
        <f>IF(B513="","",INDEX(RECON_RESULTS!$B$2:$B$1001,SMALL(IF(RECON_RESULTS!$A$2:$A$1001="Near Match",ROW(RECON_RESULTS!$A$2:$A$1001)-1),103)))</f>
        <v/>
      </c>
      <c r="D513" s="10">
        <f>IF(B513="","",INDEX(RECON_RESULTS!$C$2:$C$1001,SMALL(IF(RECON_RESULTS!$A$2:$A$1001="Near Match",ROW(RECON_RESULTS!$A$2:$A$1001)-1),103)))</f>
        <v/>
      </c>
      <c r="E513" s="16">
        <f>IF(B513="","",INDEX(RECON_RESULTS!$D$2:$D$1001,SMALL(IF(RECON_RESULTS!$A$2:$A$1001="Near Match",ROW(RECON_RESULTS!$A$2:$A$1001)-1),103)))</f>
        <v/>
      </c>
      <c r="F513" s="10">
        <f>IF(B513="","",INDEX(RECON_RESULTS!$F$2:$F$1001,SMALL(IF(RECON_RESULTS!$A$2:$A$1001="Near Match",ROW(RECON_RESULTS!$A$2:$A$1001)-1),103)))</f>
        <v/>
      </c>
      <c r="G513" s="16">
        <f>IF(B513="","",INDEX(RECON_RESULTS!$I$2:$I$1001,SMALL(IF(RECON_RESULTS!$A$2:$A$1001="Near Match",ROW(RECON_RESULTS!$A$2:$A$1001)-1),103)))</f>
        <v/>
      </c>
      <c r="H513" s="12">
        <f>IF(B513="","",INDEX(RECON_RESULTS!$J$2:$J$1001,SMALL(IF(RECON_RESULTS!$A$2:$A$1001="Near Match",ROW(RECON_RESULTS!$A$2:$A$1001)-1),103)))</f>
        <v/>
      </c>
      <c r="I513" s="11">
        <f>IF(B513="","",INDEX(RECON_RESULTS!$K$2:$K$1001,SMALL(IF(RECON_RESULTS!$A$2:$A$1001="Near Match",ROW(RECON_RESULTS!$A$2:$A$1001)-1),103)))</f>
        <v/>
      </c>
      <c r="J513" s="17">
        <f>IF(B513="","",INDEX(RECON_RESULTS!$L$2:$L$1001,SMALL(IF(RECON_RESULTS!$A$2:$A$1001="Near Match",ROW(RECON_RESULTS!$A$2:$A$1001)-1),103)))</f>
        <v/>
      </c>
      <c r="K513" s="11" t="inlineStr"/>
      <c r="L513" s="11" t="inlineStr"/>
    </row>
    <row r="514">
      <c r="B514" s="11">
        <f>IFERROR(INDEX(RECON_RESULTS!$A$2:$A$1001,SMALL(IF(RECON_RESULTS!$A$2:$A$1001="Near Match",ROW(RECON_RESULTS!$A$2:$A$1001)-1),104)),"")</f>
        <v/>
      </c>
      <c r="C514" s="11">
        <f>IF(B514="","",INDEX(RECON_RESULTS!$B$2:$B$1001,SMALL(IF(RECON_RESULTS!$A$2:$A$1001="Near Match",ROW(RECON_RESULTS!$A$2:$A$1001)-1),104)))</f>
        <v/>
      </c>
      <c r="D514" s="10">
        <f>IF(B514="","",INDEX(RECON_RESULTS!$C$2:$C$1001,SMALL(IF(RECON_RESULTS!$A$2:$A$1001="Near Match",ROW(RECON_RESULTS!$A$2:$A$1001)-1),104)))</f>
        <v/>
      </c>
      <c r="E514" s="16">
        <f>IF(B514="","",INDEX(RECON_RESULTS!$D$2:$D$1001,SMALL(IF(RECON_RESULTS!$A$2:$A$1001="Near Match",ROW(RECON_RESULTS!$A$2:$A$1001)-1),104)))</f>
        <v/>
      </c>
      <c r="F514" s="10">
        <f>IF(B514="","",INDEX(RECON_RESULTS!$F$2:$F$1001,SMALL(IF(RECON_RESULTS!$A$2:$A$1001="Near Match",ROW(RECON_RESULTS!$A$2:$A$1001)-1),104)))</f>
        <v/>
      </c>
      <c r="G514" s="16">
        <f>IF(B514="","",INDEX(RECON_RESULTS!$I$2:$I$1001,SMALL(IF(RECON_RESULTS!$A$2:$A$1001="Near Match",ROW(RECON_RESULTS!$A$2:$A$1001)-1),104)))</f>
        <v/>
      </c>
      <c r="H514" s="12">
        <f>IF(B514="","",INDEX(RECON_RESULTS!$J$2:$J$1001,SMALL(IF(RECON_RESULTS!$A$2:$A$1001="Near Match",ROW(RECON_RESULTS!$A$2:$A$1001)-1),104)))</f>
        <v/>
      </c>
      <c r="I514" s="11">
        <f>IF(B514="","",INDEX(RECON_RESULTS!$K$2:$K$1001,SMALL(IF(RECON_RESULTS!$A$2:$A$1001="Near Match",ROW(RECON_RESULTS!$A$2:$A$1001)-1),104)))</f>
        <v/>
      </c>
      <c r="J514" s="17">
        <f>IF(B514="","",INDEX(RECON_RESULTS!$L$2:$L$1001,SMALL(IF(RECON_RESULTS!$A$2:$A$1001="Near Match",ROW(RECON_RESULTS!$A$2:$A$1001)-1),104)))</f>
        <v/>
      </c>
      <c r="K514" s="11" t="inlineStr"/>
      <c r="L514" s="11" t="inlineStr"/>
    </row>
    <row r="515">
      <c r="B515" s="11">
        <f>IFERROR(INDEX(RECON_RESULTS!$A$2:$A$1001,SMALL(IF(RECON_RESULTS!$A$2:$A$1001="Near Match",ROW(RECON_RESULTS!$A$2:$A$1001)-1),105)),"")</f>
        <v/>
      </c>
      <c r="C515" s="11">
        <f>IF(B515="","",INDEX(RECON_RESULTS!$B$2:$B$1001,SMALL(IF(RECON_RESULTS!$A$2:$A$1001="Near Match",ROW(RECON_RESULTS!$A$2:$A$1001)-1),105)))</f>
        <v/>
      </c>
      <c r="D515" s="10">
        <f>IF(B515="","",INDEX(RECON_RESULTS!$C$2:$C$1001,SMALL(IF(RECON_RESULTS!$A$2:$A$1001="Near Match",ROW(RECON_RESULTS!$A$2:$A$1001)-1),105)))</f>
        <v/>
      </c>
      <c r="E515" s="16">
        <f>IF(B515="","",INDEX(RECON_RESULTS!$D$2:$D$1001,SMALL(IF(RECON_RESULTS!$A$2:$A$1001="Near Match",ROW(RECON_RESULTS!$A$2:$A$1001)-1),105)))</f>
        <v/>
      </c>
      <c r="F515" s="10">
        <f>IF(B515="","",INDEX(RECON_RESULTS!$F$2:$F$1001,SMALL(IF(RECON_RESULTS!$A$2:$A$1001="Near Match",ROW(RECON_RESULTS!$A$2:$A$1001)-1),105)))</f>
        <v/>
      </c>
      <c r="G515" s="16">
        <f>IF(B515="","",INDEX(RECON_RESULTS!$I$2:$I$1001,SMALL(IF(RECON_RESULTS!$A$2:$A$1001="Near Match",ROW(RECON_RESULTS!$A$2:$A$1001)-1),105)))</f>
        <v/>
      </c>
      <c r="H515" s="12">
        <f>IF(B515="","",INDEX(RECON_RESULTS!$J$2:$J$1001,SMALL(IF(RECON_RESULTS!$A$2:$A$1001="Near Match",ROW(RECON_RESULTS!$A$2:$A$1001)-1),105)))</f>
        <v/>
      </c>
      <c r="I515" s="11">
        <f>IF(B515="","",INDEX(RECON_RESULTS!$K$2:$K$1001,SMALL(IF(RECON_RESULTS!$A$2:$A$1001="Near Match",ROW(RECON_RESULTS!$A$2:$A$1001)-1),105)))</f>
        <v/>
      </c>
      <c r="J515" s="17">
        <f>IF(B515="","",INDEX(RECON_RESULTS!$L$2:$L$1001,SMALL(IF(RECON_RESULTS!$A$2:$A$1001="Near Match",ROW(RECON_RESULTS!$A$2:$A$1001)-1),105)))</f>
        <v/>
      </c>
      <c r="K515" s="11" t="inlineStr"/>
      <c r="L515" s="11" t="inlineStr"/>
    </row>
    <row r="516">
      <c r="B516" s="11">
        <f>IFERROR(INDEX(RECON_RESULTS!$A$2:$A$1001,SMALL(IF(RECON_RESULTS!$A$2:$A$1001="Near Match",ROW(RECON_RESULTS!$A$2:$A$1001)-1),106)),"")</f>
        <v/>
      </c>
      <c r="C516" s="11">
        <f>IF(B516="","",INDEX(RECON_RESULTS!$B$2:$B$1001,SMALL(IF(RECON_RESULTS!$A$2:$A$1001="Near Match",ROW(RECON_RESULTS!$A$2:$A$1001)-1),106)))</f>
        <v/>
      </c>
      <c r="D516" s="10">
        <f>IF(B516="","",INDEX(RECON_RESULTS!$C$2:$C$1001,SMALL(IF(RECON_RESULTS!$A$2:$A$1001="Near Match",ROW(RECON_RESULTS!$A$2:$A$1001)-1),106)))</f>
        <v/>
      </c>
      <c r="E516" s="16">
        <f>IF(B516="","",INDEX(RECON_RESULTS!$D$2:$D$1001,SMALL(IF(RECON_RESULTS!$A$2:$A$1001="Near Match",ROW(RECON_RESULTS!$A$2:$A$1001)-1),106)))</f>
        <v/>
      </c>
      <c r="F516" s="10">
        <f>IF(B516="","",INDEX(RECON_RESULTS!$F$2:$F$1001,SMALL(IF(RECON_RESULTS!$A$2:$A$1001="Near Match",ROW(RECON_RESULTS!$A$2:$A$1001)-1),106)))</f>
        <v/>
      </c>
      <c r="G516" s="16">
        <f>IF(B516="","",INDEX(RECON_RESULTS!$I$2:$I$1001,SMALL(IF(RECON_RESULTS!$A$2:$A$1001="Near Match",ROW(RECON_RESULTS!$A$2:$A$1001)-1),106)))</f>
        <v/>
      </c>
      <c r="H516" s="12">
        <f>IF(B516="","",INDEX(RECON_RESULTS!$J$2:$J$1001,SMALL(IF(RECON_RESULTS!$A$2:$A$1001="Near Match",ROW(RECON_RESULTS!$A$2:$A$1001)-1),106)))</f>
        <v/>
      </c>
      <c r="I516" s="11">
        <f>IF(B516="","",INDEX(RECON_RESULTS!$K$2:$K$1001,SMALL(IF(RECON_RESULTS!$A$2:$A$1001="Near Match",ROW(RECON_RESULTS!$A$2:$A$1001)-1),106)))</f>
        <v/>
      </c>
      <c r="J516" s="17">
        <f>IF(B516="","",INDEX(RECON_RESULTS!$L$2:$L$1001,SMALL(IF(RECON_RESULTS!$A$2:$A$1001="Near Match",ROW(RECON_RESULTS!$A$2:$A$1001)-1),106)))</f>
        <v/>
      </c>
      <c r="K516" s="11" t="inlineStr"/>
      <c r="L516" s="11" t="inlineStr"/>
    </row>
    <row r="517">
      <c r="B517" s="11">
        <f>IFERROR(INDEX(RECON_RESULTS!$A$2:$A$1001,SMALL(IF(RECON_RESULTS!$A$2:$A$1001="Near Match",ROW(RECON_RESULTS!$A$2:$A$1001)-1),107)),"")</f>
        <v/>
      </c>
      <c r="C517" s="11">
        <f>IF(B517="","",INDEX(RECON_RESULTS!$B$2:$B$1001,SMALL(IF(RECON_RESULTS!$A$2:$A$1001="Near Match",ROW(RECON_RESULTS!$A$2:$A$1001)-1),107)))</f>
        <v/>
      </c>
      <c r="D517" s="10">
        <f>IF(B517="","",INDEX(RECON_RESULTS!$C$2:$C$1001,SMALL(IF(RECON_RESULTS!$A$2:$A$1001="Near Match",ROW(RECON_RESULTS!$A$2:$A$1001)-1),107)))</f>
        <v/>
      </c>
      <c r="E517" s="16">
        <f>IF(B517="","",INDEX(RECON_RESULTS!$D$2:$D$1001,SMALL(IF(RECON_RESULTS!$A$2:$A$1001="Near Match",ROW(RECON_RESULTS!$A$2:$A$1001)-1),107)))</f>
        <v/>
      </c>
      <c r="F517" s="10">
        <f>IF(B517="","",INDEX(RECON_RESULTS!$F$2:$F$1001,SMALL(IF(RECON_RESULTS!$A$2:$A$1001="Near Match",ROW(RECON_RESULTS!$A$2:$A$1001)-1),107)))</f>
        <v/>
      </c>
      <c r="G517" s="16">
        <f>IF(B517="","",INDEX(RECON_RESULTS!$I$2:$I$1001,SMALL(IF(RECON_RESULTS!$A$2:$A$1001="Near Match",ROW(RECON_RESULTS!$A$2:$A$1001)-1),107)))</f>
        <v/>
      </c>
      <c r="H517" s="12">
        <f>IF(B517="","",INDEX(RECON_RESULTS!$J$2:$J$1001,SMALL(IF(RECON_RESULTS!$A$2:$A$1001="Near Match",ROW(RECON_RESULTS!$A$2:$A$1001)-1),107)))</f>
        <v/>
      </c>
      <c r="I517" s="11">
        <f>IF(B517="","",INDEX(RECON_RESULTS!$K$2:$K$1001,SMALL(IF(RECON_RESULTS!$A$2:$A$1001="Near Match",ROW(RECON_RESULTS!$A$2:$A$1001)-1),107)))</f>
        <v/>
      </c>
      <c r="J517" s="17">
        <f>IF(B517="","",INDEX(RECON_RESULTS!$L$2:$L$1001,SMALL(IF(RECON_RESULTS!$A$2:$A$1001="Near Match",ROW(RECON_RESULTS!$A$2:$A$1001)-1),107)))</f>
        <v/>
      </c>
      <c r="K517" s="11" t="inlineStr"/>
      <c r="L517" s="11" t="inlineStr"/>
    </row>
    <row r="518">
      <c r="B518" s="11">
        <f>IFERROR(INDEX(RECON_RESULTS!$A$2:$A$1001,SMALL(IF(RECON_RESULTS!$A$2:$A$1001="Near Match",ROW(RECON_RESULTS!$A$2:$A$1001)-1),108)),"")</f>
        <v/>
      </c>
      <c r="C518" s="11">
        <f>IF(B518="","",INDEX(RECON_RESULTS!$B$2:$B$1001,SMALL(IF(RECON_RESULTS!$A$2:$A$1001="Near Match",ROW(RECON_RESULTS!$A$2:$A$1001)-1),108)))</f>
        <v/>
      </c>
      <c r="D518" s="10">
        <f>IF(B518="","",INDEX(RECON_RESULTS!$C$2:$C$1001,SMALL(IF(RECON_RESULTS!$A$2:$A$1001="Near Match",ROW(RECON_RESULTS!$A$2:$A$1001)-1),108)))</f>
        <v/>
      </c>
      <c r="E518" s="16">
        <f>IF(B518="","",INDEX(RECON_RESULTS!$D$2:$D$1001,SMALL(IF(RECON_RESULTS!$A$2:$A$1001="Near Match",ROW(RECON_RESULTS!$A$2:$A$1001)-1),108)))</f>
        <v/>
      </c>
      <c r="F518" s="10">
        <f>IF(B518="","",INDEX(RECON_RESULTS!$F$2:$F$1001,SMALL(IF(RECON_RESULTS!$A$2:$A$1001="Near Match",ROW(RECON_RESULTS!$A$2:$A$1001)-1),108)))</f>
        <v/>
      </c>
      <c r="G518" s="16">
        <f>IF(B518="","",INDEX(RECON_RESULTS!$I$2:$I$1001,SMALL(IF(RECON_RESULTS!$A$2:$A$1001="Near Match",ROW(RECON_RESULTS!$A$2:$A$1001)-1),108)))</f>
        <v/>
      </c>
      <c r="H518" s="12">
        <f>IF(B518="","",INDEX(RECON_RESULTS!$J$2:$J$1001,SMALL(IF(RECON_RESULTS!$A$2:$A$1001="Near Match",ROW(RECON_RESULTS!$A$2:$A$1001)-1),108)))</f>
        <v/>
      </c>
      <c r="I518" s="11">
        <f>IF(B518="","",INDEX(RECON_RESULTS!$K$2:$K$1001,SMALL(IF(RECON_RESULTS!$A$2:$A$1001="Near Match",ROW(RECON_RESULTS!$A$2:$A$1001)-1),108)))</f>
        <v/>
      </c>
      <c r="J518" s="17">
        <f>IF(B518="","",INDEX(RECON_RESULTS!$L$2:$L$1001,SMALL(IF(RECON_RESULTS!$A$2:$A$1001="Near Match",ROW(RECON_RESULTS!$A$2:$A$1001)-1),108)))</f>
        <v/>
      </c>
      <c r="K518" s="11" t="inlineStr"/>
      <c r="L518" s="11" t="inlineStr"/>
    </row>
    <row r="519">
      <c r="B519" s="11">
        <f>IFERROR(INDEX(RECON_RESULTS!$A$2:$A$1001,SMALL(IF(RECON_RESULTS!$A$2:$A$1001="Near Match",ROW(RECON_RESULTS!$A$2:$A$1001)-1),109)),"")</f>
        <v/>
      </c>
      <c r="C519" s="11">
        <f>IF(B519="","",INDEX(RECON_RESULTS!$B$2:$B$1001,SMALL(IF(RECON_RESULTS!$A$2:$A$1001="Near Match",ROW(RECON_RESULTS!$A$2:$A$1001)-1),109)))</f>
        <v/>
      </c>
      <c r="D519" s="10">
        <f>IF(B519="","",INDEX(RECON_RESULTS!$C$2:$C$1001,SMALL(IF(RECON_RESULTS!$A$2:$A$1001="Near Match",ROW(RECON_RESULTS!$A$2:$A$1001)-1),109)))</f>
        <v/>
      </c>
      <c r="E519" s="16">
        <f>IF(B519="","",INDEX(RECON_RESULTS!$D$2:$D$1001,SMALL(IF(RECON_RESULTS!$A$2:$A$1001="Near Match",ROW(RECON_RESULTS!$A$2:$A$1001)-1),109)))</f>
        <v/>
      </c>
      <c r="F519" s="10">
        <f>IF(B519="","",INDEX(RECON_RESULTS!$F$2:$F$1001,SMALL(IF(RECON_RESULTS!$A$2:$A$1001="Near Match",ROW(RECON_RESULTS!$A$2:$A$1001)-1),109)))</f>
        <v/>
      </c>
      <c r="G519" s="16">
        <f>IF(B519="","",INDEX(RECON_RESULTS!$I$2:$I$1001,SMALL(IF(RECON_RESULTS!$A$2:$A$1001="Near Match",ROW(RECON_RESULTS!$A$2:$A$1001)-1),109)))</f>
        <v/>
      </c>
      <c r="H519" s="12">
        <f>IF(B519="","",INDEX(RECON_RESULTS!$J$2:$J$1001,SMALL(IF(RECON_RESULTS!$A$2:$A$1001="Near Match",ROW(RECON_RESULTS!$A$2:$A$1001)-1),109)))</f>
        <v/>
      </c>
      <c r="I519" s="11">
        <f>IF(B519="","",INDEX(RECON_RESULTS!$K$2:$K$1001,SMALL(IF(RECON_RESULTS!$A$2:$A$1001="Near Match",ROW(RECON_RESULTS!$A$2:$A$1001)-1),109)))</f>
        <v/>
      </c>
      <c r="J519" s="17">
        <f>IF(B519="","",INDEX(RECON_RESULTS!$L$2:$L$1001,SMALL(IF(RECON_RESULTS!$A$2:$A$1001="Near Match",ROW(RECON_RESULTS!$A$2:$A$1001)-1),109)))</f>
        <v/>
      </c>
      <c r="K519" s="11" t="inlineStr"/>
      <c r="L519" s="11" t="inlineStr"/>
    </row>
    <row r="520">
      <c r="B520" s="11">
        <f>IFERROR(INDEX(RECON_RESULTS!$A$2:$A$1001,SMALL(IF(RECON_RESULTS!$A$2:$A$1001="Near Match",ROW(RECON_RESULTS!$A$2:$A$1001)-1),110)),"")</f>
        <v/>
      </c>
      <c r="C520" s="11">
        <f>IF(B520="","",INDEX(RECON_RESULTS!$B$2:$B$1001,SMALL(IF(RECON_RESULTS!$A$2:$A$1001="Near Match",ROW(RECON_RESULTS!$A$2:$A$1001)-1),110)))</f>
        <v/>
      </c>
      <c r="D520" s="10">
        <f>IF(B520="","",INDEX(RECON_RESULTS!$C$2:$C$1001,SMALL(IF(RECON_RESULTS!$A$2:$A$1001="Near Match",ROW(RECON_RESULTS!$A$2:$A$1001)-1),110)))</f>
        <v/>
      </c>
      <c r="E520" s="16">
        <f>IF(B520="","",INDEX(RECON_RESULTS!$D$2:$D$1001,SMALL(IF(RECON_RESULTS!$A$2:$A$1001="Near Match",ROW(RECON_RESULTS!$A$2:$A$1001)-1),110)))</f>
        <v/>
      </c>
      <c r="F520" s="10">
        <f>IF(B520="","",INDEX(RECON_RESULTS!$F$2:$F$1001,SMALL(IF(RECON_RESULTS!$A$2:$A$1001="Near Match",ROW(RECON_RESULTS!$A$2:$A$1001)-1),110)))</f>
        <v/>
      </c>
      <c r="G520" s="16">
        <f>IF(B520="","",INDEX(RECON_RESULTS!$I$2:$I$1001,SMALL(IF(RECON_RESULTS!$A$2:$A$1001="Near Match",ROW(RECON_RESULTS!$A$2:$A$1001)-1),110)))</f>
        <v/>
      </c>
      <c r="H520" s="12">
        <f>IF(B520="","",INDEX(RECON_RESULTS!$J$2:$J$1001,SMALL(IF(RECON_RESULTS!$A$2:$A$1001="Near Match",ROW(RECON_RESULTS!$A$2:$A$1001)-1),110)))</f>
        <v/>
      </c>
      <c r="I520" s="11">
        <f>IF(B520="","",INDEX(RECON_RESULTS!$K$2:$K$1001,SMALL(IF(RECON_RESULTS!$A$2:$A$1001="Near Match",ROW(RECON_RESULTS!$A$2:$A$1001)-1),110)))</f>
        <v/>
      </c>
      <c r="J520" s="17">
        <f>IF(B520="","",INDEX(RECON_RESULTS!$L$2:$L$1001,SMALL(IF(RECON_RESULTS!$A$2:$A$1001="Near Match",ROW(RECON_RESULTS!$A$2:$A$1001)-1),110)))</f>
        <v/>
      </c>
      <c r="K520" s="11" t="inlineStr"/>
      <c r="L520" s="11" t="inlineStr"/>
    </row>
    <row r="521">
      <c r="B521" s="11">
        <f>IFERROR(INDEX(RECON_RESULTS!$A$2:$A$1001,SMALL(IF(RECON_RESULTS!$A$2:$A$1001="Near Match",ROW(RECON_RESULTS!$A$2:$A$1001)-1),111)),"")</f>
        <v/>
      </c>
      <c r="C521" s="11">
        <f>IF(B521="","",INDEX(RECON_RESULTS!$B$2:$B$1001,SMALL(IF(RECON_RESULTS!$A$2:$A$1001="Near Match",ROW(RECON_RESULTS!$A$2:$A$1001)-1),111)))</f>
        <v/>
      </c>
      <c r="D521" s="10">
        <f>IF(B521="","",INDEX(RECON_RESULTS!$C$2:$C$1001,SMALL(IF(RECON_RESULTS!$A$2:$A$1001="Near Match",ROW(RECON_RESULTS!$A$2:$A$1001)-1),111)))</f>
        <v/>
      </c>
      <c r="E521" s="16">
        <f>IF(B521="","",INDEX(RECON_RESULTS!$D$2:$D$1001,SMALL(IF(RECON_RESULTS!$A$2:$A$1001="Near Match",ROW(RECON_RESULTS!$A$2:$A$1001)-1),111)))</f>
        <v/>
      </c>
      <c r="F521" s="10">
        <f>IF(B521="","",INDEX(RECON_RESULTS!$F$2:$F$1001,SMALL(IF(RECON_RESULTS!$A$2:$A$1001="Near Match",ROW(RECON_RESULTS!$A$2:$A$1001)-1),111)))</f>
        <v/>
      </c>
      <c r="G521" s="16">
        <f>IF(B521="","",INDEX(RECON_RESULTS!$I$2:$I$1001,SMALL(IF(RECON_RESULTS!$A$2:$A$1001="Near Match",ROW(RECON_RESULTS!$A$2:$A$1001)-1),111)))</f>
        <v/>
      </c>
      <c r="H521" s="12">
        <f>IF(B521="","",INDEX(RECON_RESULTS!$J$2:$J$1001,SMALL(IF(RECON_RESULTS!$A$2:$A$1001="Near Match",ROW(RECON_RESULTS!$A$2:$A$1001)-1),111)))</f>
        <v/>
      </c>
      <c r="I521" s="11">
        <f>IF(B521="","",INDEX(RECON_RESULTS!$K$2:$K$1001,SMALL(IF(RECON_RESULTS!$A$2:$A$1001="Near Match",ROW(RECON_RESULTS!$A$2:$A$1001)-1),111)))</f>
        <v/>
      </c>
      <c r="J521" s="17">
        <f>IF(B521="","",INDEX(RECON_RESULTS!$L$2:$L$1001,SMALL(IF(RECON_RESULTS!$A$2:$A$1001="Near Match",ROW(RECON_RESULTS!$A$2:$A$1001)-1),111)))</f>
        <v/>
      </c>
      <c r="K521" s="11" t="inlineStr"/>
      <c r="L521" s="11" t="inlineStr"/>
    </row>
    <row r="522">
      <c r="B522" s="11">
        <f>IFERROR(INDEX(RECON_RESULTS!$A$2:$A$1001,SMALL(IF(RECON_RESULTS!$A$2:$A$1001="Near Match",ROW(RECON_RESULTS!$A$2:$A$1001)-1),112)),"")</f>
        <v/>
      </c>
      <c r="C522" s="11">
        <f>IF(B522="","",INDEX(RECON_RESULTS!$B$2:$B$1001,SMALL(IF(RECON_RESULTS!$A$2:$A$1001="Near Match",ROW(RECON_RESULTS!$A$2:$A$1001)-1),112)))</f>
        <v/>
      </c>
      <c r="D522" s="10">
        <f>IF(B522="","",INDEX(RECON_RESULTS!$C$2:$C$1001,SMALL(IF(RECON_RESULTS!$A$2:$A$1001="Near Match",ROW(RECON_RESULTS!$A$2:$A$1001)-1),112)))</f>
        <v/>
      </c>
      <c r="E522" s="16">
        <f>IF(B522="","",INDEX(RECON_RESULTS!$D$2:$D$1001,SMALL(IF(RECON_RESULTS!$A$2:$A$1001="Near Match",ROW(RECON_RESULTS!$A$2:$A$1001)-1),112)))</f>
        <v/>
      </c>
      <c r="F522" s="10">
        <f>IF(B522="","",INDEX(RECON_RESULTS!$F$2:$F$1001,SMALL(IF(RECON_RESULTS!$A$2:$A$1001="Near Match",ROW(RECON_RESULTS!$A$2:$A$1001)-1),112)))</f>
        <v/>
      </c>
      <c r="G522" s="16">
        <f>IF(B522="","",INDEX(RECON_RESULTS!$I$2:$I$1001,SMALL(IF(RECON_RESULTS!$A$2:$A$1001="Near Match",ROW(RECON_RESULTS!$A$2:$A$1001)-1),112)))</f>
        <v/>
      </c>
      <c r="H522" s="12">
        <f>IF(B522="","",INDEX(RECON_RESULTS!$J$2:$J$1001,SMALL(IF(RECON_RESULTS!$A$2:$A$1001="Near Match",ROW(RECON_RESULTS!$A$2:$A$1001)-1),112)))</f>
        <v/>
      </c>
      <c r="I522" s="11">
        <f>IF(B522="","",INDEX(RECON_RESULTS!$K$2:$K$1001,SMALL(IF(RECON_RESULTS!$A$2:$A$1001="Near Match",ROW(RECON_RESULTS!$A$2:$A$1001)-1),112)))</f>
        <v/>
      </c>
      <c r="J522" s="17">
        <f>IF(B522="","",INDEX(RECON_RESULTS!$L$2:$L$1001,SMALL(IF(RECON_RESULTS!$A$2:$A$1001="Near Match",ROW(RECON_RESULTS!$A$2:$A$1001)-1),112)))</f>
        <v/>
      </c>
      <c r="K522" s="11" t="inlineStr"/>
      <c r="L522" s="11" t="inlineStr"/>
    </row>
    <row r="523">
      <c r="B523" s="11">
        <f>IFERROR(INDEX(RECON_RESULTS!$A$2:$A$1001,SMALL(IF(RECON_RESULTS!$A$2:$A$1001="Near Match",ROW(RECON_RESULTS!$A$2:$A$1001)-1),113)),"")</f>
        <v/>
      </c>
      <c r="C523" s="11">
        <f>IF(B523="","",INDEX(RECON_RESULTS!$B$2:$B$1001,SMALL(IF(RECON_RESULTS!$A$2:$A$1001="Near Match",ROW(RECON_RESULTS!$A$2:$A$1001)-1),113)))</f>
        <v/>
      </c>
      <c r="D523" s="10">
        <f>IF(B523="","",INDEX(RECON_RESULTS!$C$2:$C$1001,SMALL(IF(RECON_RESULTS!$A$2:$A$1001="Near Match",ROW(RECON_RESULTS!$A$2:$A$1001)-1),113)))</f>
        <v/>
      </c>
      <c r="E523" s="16">
        <f>IF(B523="","",INDEX(RECON_RESULTS!$D$2:$D$1001,SMALL(IF(RECON_RESULTS!$A$2:$A$1001="Near Match",ROW(RECON_RESULTS!$A$2:$A$1001)-1),113)))</f>
        <v/>
      </c>
      <c r="F523" s="10">
        <f>IF(B523="","",INDEX(RECON_RESULTS!$F$2:$F$1001,SMALL(IF(RECON_RESULTS!$A$2:$A$1001="Near Match",ROW(RECON_RESULTS!$A$2:$A$1001)-1),113)))</f>
        <v/>
      </c>
      <c r="G523" s="16">
        <f>IF(B523="","",INDEX(RECON_RESULTS!$I$2:$I$1001,SMALL(IF(RECON_RESULTS!$A$2:$A$1001="Near Match",ROW(RECON_RESULTS!$A$2:$A$1001)-1),113)))</f>
        <v/>
      </c>
      <c r="H523" s="12">
        <f>IF(B523="","",INDEX(RECON_RESULTS!$J$2:$J$1001,SMALL(IF(RECON_RESULTS!$A$2:$A$1001="Near Match",ROW(RECON_RESULTS!$A$2:$A$1001)-1),113)))</f>
        <v/>
      </c>
      <c r="I523" s="11">
        <f>IF(B523="","",INDEX(RECON_RESULTS!$K$2:$K$1001,SMALL(IF(RECON_RESULTS!$A$2:$A$1001="Near Match",ROW(RECON_RESULTS!$A$2:$A$1001)-1),113)))</f>
        <v/>
      </c>
      <c r="J523" s="17">
        <f>IF(B523="","",INDEX(RECON_RESULTS!$L$2:$L$1001,SMALL(IF(RECON_RESULTS!$A$2:$A$1001="Near Match",ROW(RECON_RESULTS!$A$2:$A$1001)-1),113)))</f>
        <v/>
      </c>
      <c r="K523" s="11" t="inlineStr"/>
      <c r="L523" s="11" t="inlineStr"/>
    </row>
    <row r="524">
      <c r="B524" s="11">
        <f>IFERROR(INDEX(RECON_RESULTS!$A$2:$A$1001,SMALL(IF(RECON_RESULTS!$A$2:$A$1001="Near Match",ROW(RECON_RESULTS!$A$2:$A$1001)-1),114)),"")</f>
        <v/>
      </c>
      <c r="C524" s="11">
        <f>IF(B524="","",INDEX(RECON_RESULTS!$B$2:$B$1001,SMALL(IF(RECON_RESULTS!$A$2:$A$1001="Near Match",ROW(RECON_RESULTS!$A$2:$A$1001)-1),114)))</f>
        <v/>
      </c>
      <c r="D524" s="10">
        <f>IF(B524="","",INDEX(RECON_RESULTS!$C$2:$C$1001,SMALL(IF(RECON_RESULTS!$A$2:$A$1001="Near Match",ROW(RECON_RESULTS!$A$2:$A$1001)-1),114)))</f>
        <v/>
      </c>
      <c r="E524" s="16">
        <f>IF(B524="","",INDEX(RECON_RESULTS!$D$2:$D$1001,SMALL(IF(RECON_RESULTS!$A$2:$A$1001="Near Match",ROW(RECON_RESULTS!$A$2:$A$1001)-1),114)))</f>
        <v/>
      </c>
      <c r="F524" s="10">
        <f>IF(B524="","",INDEX(RECON_RESULTS!$F$2:$F$1001,SMALL(IF(RECON_RESULTS!$A$2:$A$1001="Near Match",ROW(RECON_RESULTS!$A$2:$A$1001)-1),114)))</f>
        <v/>
      </c>
      <c r="G524" s="16">
        <f>IF(B524="","",INDEX(RECON_RESULTS!$I$2:$I$1001,SMALL(IF(RECON_RESULTS!$A$2:$A$1001="Near Match",ROW(RECON_RESULTS!$A$2:$A$1001)-1),114)))</f>
        <v/>
      </c>
      <c r="H524" s="12">
        <f>IF(B524="","",INDEX(RECON_RESULTS!$J$2:$J$1001,SMALL(IF(RECON_RESULTS!$A$2:$A$1001="Near Match",ROW(RECON_RESULTS!$A$2:$A$1001)-1),114)))</f>
        <v/>
      </c>
      <c r="I524" s="11">
        <f>IF(B524="","",INDEX(RECON_RESULTS!$K$2:$K$1001,SMALL(IF(RECON_RESULTS!$A$2:$A$1001="Near Match",ROW(RECON_RESULTS!$A$2:$A$1001)-1),114)))</f>
        <v/>
      </c>
      <c r="J524" s="17">
        <f>IF(B524="","",INDEX(RECON_RESULTS!$L$2:$L$1001,SMALL(IF(RECON_RESULTS!$A$2:$A$1001="Near Match",ROW(RECON_RESULTS!$A$2:$A$1001)-1),114)))</f>
        <v/>
      </c>
      <c r="K524" s="11" t="inlineStr"/>
      <c r="L524" s="11" t="inlineStr"/>
    </row>
    <row r="525">
      <c r="B525" s="11">
        <f>IFERROR(INDEX(RECON_RESULTS!$A$2:$A$1001,SMALL(IF(RECON_RESULTS!$A$2:$A$1001="Near Match",ROW(RECON_RESULTS!$A$2:$A$1001)-1),115)),"")</f>
        <v/>
      </c>
      <c r="C525" s="11">
        <f>IF(B525="","",INDEX(RECON_RESULTS!$B$2:$B$1001,SMALL(IF(RECON_RESULTS!$A$2:$A$1001="Near Match",ROW(RECON_RESULTS!$A$2:$A$1001)-1),115)))</f>
        <v/>
      </c>
      <c r="D525" s="10">
        <f>IF(B525="","",INDEX(RECON_RESULTS!$C$2:$C$1001,SMALL(IF(RECON_RESULTS!$A$2:$A$1001="Near Match",ROW(RECON_RESULTS!$A$2:$A$1001)-1),115)))</f>
        <v/>
      </c>
      <c r="E525" s="16">
        <f>IF(B525="","",INDEX(RECON_RESULTS!$D$2:$D$1001,SMALL(IF(RECON_RESULTS!$A$2:$A$1001="Near Match",ROW(RECON_RESULTS!$A$2:$A$1001)-1),115)))</f>
        <v/>
      </c>
      <c r="F525" s="10">
        <f>IF(B525="","",INDEX(RECON_RESULTS!$F$2:$F$1001,SMALL(IF(RECON_RESULTS!$A$2:$A$1001="Near Match",ROW(RECON_RESULTS!$A$2:$A$1001)-1),115)))</f>
        <v/>
      </c>
      <c r="G525" s="16">
        <f>IF(B525="","",INDEX(RECON_RESULTS!$I$2:$I$1001,SMALL(IF(RECON_RESULTS!$A$2:$A$1001="Near Match",ROW(RECON_RESULTS!$A$2:$A$1001)-1),115)))</f>
        <v/>
      </c>
      <c r="H525" s="12">
        <f>IF(B525="","",INDEX(RECON_RESULTS!$J$2:$J$1001,SMALL(IF(RECON_RESULTS!$A$2:$A$1001="Near Match",ROW(RECON_RESULTS!$A$2:$A$1001)-1),115)))</f>
        <v/>
      </c>
      <c r="I525" s="11">
        <f>IF(B525="","",INDEX(RECON_RESULTS!$K$2:$K$1001,SMALL(IF(RECON_RESULTS!$A$2:$A$1001="Near Match",ROW(RECON_RESULTS!$A$2:$A$1001)-1),115)))</f>
        <v/>
      </c>
      <c r="J525" s="17">
        <f>IF(B525="","",INDEX(RECON_RESULTS!$L$2:$L$1001,SMALL(IF(RECON_RESULTS!$A$2:$A$1001="Near Match",ROW(RECON_RESULTS!$A$2:$A$1001)-1),115)))</f>
        <v/>
      </c>
      <c r="K525" s="11" t="inlineStr"/>
      <c r="L525" s="11" t="inlineStr"/>
    </row>
    <row r="526">
      <c r="B526" s="11">
        <f>IFERROR(INDEX(RECON_RESULTS!$A$2:$A$1001,SMALL(IF(RECON_RESULTS!$A$2:$A$1001="Near Match",ROW(RECON_RESULTS!$A$2:$A$1001)-1),116)),"")</f>
        <v/>
      </c>
      <c r="C526" s="11">
        <f>IF(B526="","",INDEX(RECON_RESULTS!$B$2:$B$1001,SMALL(IF(RECON_RESULTS!$A$2:$A$1001="Near Match",ROW(RECON_RESULTS!$A$2:$A$1001)-1),116)))</f>
        <v/>
      </c>
      <c r="D526" s="10">
        <f>IF(B526="","",INDEX(RECON_RESULTS!$C$2:$C$1001,SMALL(IF(RECON_RESULTS!$A$2:$A$1001="Near Match",ROW(RECON_RESULTS!$A$2:$A$1001)-1),116)))</f>
        <v/>
      </c>
      <c r="E526" s="16">
        <f>IF(B526="","",INDEX(RECON_RESULTS!$D$2:$D$1001,SMALL(IF(RECON_RESULTS!$A$2:$A$1001="Near Match",ROW(RECON_RESULTS!$A$2:$A$1001)-1),116)))</f>
        <v/>
      </c>
      <c r="F526" s="10">
        <f>IF(B526="","",INDEX(RECON_RESULTS!$F$2:$F$1001,SMALL(IF(RECON_RESULTS!$A$2:$A$1001="Near Match",ROW(RECON_RESULTS!$A$2:$A$1001)-1),116)))</f>
        <v/>
      </c>
      <c r="G526" s="16">
        <f>IF(B526="","",INDEX(RECON_RESULTS!$I$2:$I$1001,SMALL(IF(RECON_RESULTS!$A$2:$A$1001="Near Match",ROW(RECON_RESULTS!$A$2:$A$1001)-1),116)))</f>
        <v/>
      </c>
      <c r="H526" s="12">
        <f>IF(B526="","",INDEX(RECON_RESULTS!$J$2:$J$1001,SMALL(IF(RECON_RESULTS!$A$2:$A$1001="Near Match",ROW(RECON_RESULTS!$A$2:$A$1001)-1),116)))</f>
        <v/>
      </c>
      <c r="I526" s="11">
        <f>IF(B526="","",INDEX(RECON_RESULTS!$K$2:$K$1001,SMALL(IF(RECON_RESULTS!$A$2:$A$1001="Near Match",ROW(RECON_RESULTS!$A$2:$A$1001)-1),116)))</f>
        <v/>
      </c>
      <c r="J526" s="17">
        <f>IF(B526="","",INDEX(RECON_RESULTS!$L$2:$L$1001,SMALL(IF(RECON_RESULTS!$A$2:$A$1001="Near Match",ROW(RECON_RESULTS!$A$2:$A$1001)-1),116)))</f>
        <v/>
      </c>
      <c r="K526" s="11" t="inlineStr"/>
      <c r="L526" s="11" t="inlineStr"/>
    </row>
    <row r="527">
      <c r="B527" s="11">
        <f>IFERROR(INDEX(RECON_RESULTS!$A$2:$A$1001,SMALL(IF(RECON_RESULTS!$A$2:$A$1001="Near Match",ROW(RECON_RESULTS!$A$2:$A$1001)-1),117)),"")</f>
        <v/>
      </c>
      <c r="C527" s="11">
        <f>IF(B527="","",INDEX(RECON_RESULTS!$B$2:$B$1001,SMALL(IF(RECON_RESULTS!$A$2:$A$1001="Near Match",ROW(RECON_RESULTS!$A$2:$A$1001)-1),117)))</f>
        <v/>
      </c>
      <c r="D527" s="10">
        <f>IF(B527="","",INDEX(RECON_RESULTS!$C$2:$C$1001,SMALL(IF(RECON_RESULTS!$A$2:$A$1001="Near Match",ROW(RECON_RESULTS!$A$2:$A$1001)-1),117)))</f>
        <v/>
      </c>
      <c r="E527" s="16">
        <f>IF(B527="","",INDEX(RECON_RESULTS!$D$2:$D$1001,SMALL(IF(RECON_RESULTS!$A$2:$A$1001="Near Match",ROW(RECON_RESULTS!$A$2:$A$1001)-1),117)))</f>
        <v/>
      </c>
      <c r="F527" s="10">
        <f>IF(B527="","",INDEX(RECON_RESULTS!$F$2:$F$1001,SMALL(IF(RECON_RESULTS!$A$2:$A$1001="Near Match",ROW(RECON_RESULTS!$A$2:$A$1001)-1),117)))</f>
        <v/>
      </c>
      <c r="G527" s="16">
        <f>IF(B527="","",INDEX(RECON_RESULTS!$I$2:$I$1001,SMALL(IF(RECON_RESULTS!$A$2:$A$1001="Near Match",ROW(RECON_RESULTS!$A$2:$A$1001)-1),117)))</f>
        <v/>
      </c>
      <c r="H527" s="12">
        <f>IF(B527="","",INDEX(RECON_RESULTS!$J$2:$J$1001,SMALL(IF(RECON_RESULTS!$A$2:$A$1001="Near Match",ROW(RECON_RESULTS!$A$2:$A$1001)-1),117)))</f>
        <v/>
      </c>
      <c r="I527" s="11">
        <f>IF(B527="","",INDEX(RECON_RESULTS!$K$2:$K$1001,SMALL(IF(RECON_RESULTS!$A$2:$A$1001="Near Match",ROW(RECON_RESULTS!$A$2:$A$1001)-1),117)))</f>
        <v/>
      </c>
      <c r="J527" s="17">
        <f>IF(B527="","",INDEX(RECON_RESULTS!$L$2:$L$1001,SMALL(IF(RECON_RESULTS!$A$2:$A$1001="Near Match",ROW(RECON_RESULTS!$A$2:$A$1001)-1),117)))</f>
        <v/>
      </c>
      <c r="K527" s="11" t="inlineStr"/>
      <c r="L527" s="11" t="inlineStr"/>
    </row>
    <row r="528">
      <c r="B528" s="11">
        <f>IFERROR(INDEX(RECON_RESULTS!$A$2:$A$1001,SMALL(IF(RECON_RESULTS!$A$2:$A$1001="Near Match",ROW(RECON_RESULTS!$A$2:$A$1001)-1),118)),"")</f>
        <v/>
      </c>
      <c r="C528" s="11">
        <f>IF(B528="","",INDEX(RECON_RESULTS!$B$2:$B$1001,SMALL(IF(RECON_RESULTS!$A$2:$A$1001="Near Match",ROW(RECON_RESULTS!$A$2:$A$1001)-1),118)))</f>
        <v/>
      </c>
      <c r="D528" s="10">
        <f>IF(B528="","",INDEX(RECON_RESULTS!$C$2:$C$1001,SMALL(IF(RECON_RESULTS!$A$2:$A$1001="Near Match",ROW(RECON_RESULTS!$A$2:$A$1001)-1),118)))</f>
        <v/>
      </c>
      <c r="E528" s="16">
        <f>IF(B528="","",INDEX(RECON_RESULTS!$D$2:$D$1001,SMALL(IF(RECON_RESULTS!$A$2:$A$1001="Near Match",ROW(RECON_RESULTS!$A$2:$A$1001)-1),118)))</f>
        <v/>
      </c>
      <c r="F528" s="10">
        <f>IF(B528="","",INDEX(RECON_RESULTS!$F$2:$F$1001,SMALL(IF(RECON_RESULTS!$A$2:$A$1001="Near Match",ROW(RECON_RESULTS!$A$2:$A$1001)-1),118)))</f>
        <v/>
      </c>
      <c r="G528" s="16">
        <f>IF(B528="","",INDEX(RECON_RESULTS!$I$2:$I$1001,SMALL(IF(RECON_RESULTS!$A$2:$A$1001="Near Match",ROW(RECON_RESULTS!$A$2:$A$1001)-1),118)))</f>
        <v/>
      </c>
      <c r="H528" s="12">
        <f>IF(B528="","",INDEX(RECON_RESULTS!$J$2:$J$1001,SMALL(IF(RECON_RESULTS!$A$2:$A$1001="Near Match",ROW(RECON_RESULTS!$A$2:$A$1001)-1),118)))</f>
        <v/>
      </c>
      <c r="I528" s="11">
        <f>IF(B528="","",INDEX(RECON_RESULTS!$K$2:$K$1001,SMALL(IF(RECON_RESULTS!$A$2:$A$1001="Near Match",ROW(RECON_RESULTS!$A$2:$A$1001)-1),118)))</f>
        <v/>
      </c>
      <c r="J528" s="17">
        <f>IF(B528="","",INDEX(RECON_RESULTS!$L$2:$L$1001,SMALL(IF(RECON_RESULTS!$A$2:$A$1001="Near Match",ROW(RECON_RESULTS!$A$2:$A$1001)-1),118)))</f>
        <v/>
      </c>
      <c r="K528" s="11" t="inlineStr"/>
      <c r="L528" s="11" t="inlineStr"/>
    </row>
    <row r="529">
      <c r="B529" s="11">
        <f>IFERROR(INDEX(RECON_RESULTS!$A$2:$A$1001,SMALL(IF(RECON_RESULTS!$A$2:$A$1001="Near Match",ROW(RECON_RESULTS!$A$2:$A$1001)-1),119)),"")</f>
        <v/>
      </c>
      <c r="C529" s="11">
        <f>IF(B529="","",INDEX(RECON_RESULTS!$B$2:$B$1001,SMALL(IF(RECON_RESULTS!$A$2:$A$1001="Near Match",ROW(RECON_RESULTS!$A$2:$A$1001)-1),119)))</f>
        <v/>
      </c>
      <c r="D529" s="10">
        <f>IF(B529="","",INDEX(RECON_RESULTS!$C$2:$C$1001,SMALL(IF(RECON_RESULTS!$A$2:$A$1001="Near Match",ROW(RECON_RESULTS!$A$2:$A$1001)-1),119)))</f>
        <v/>
      </c>
      <c r="E529" s="16">
        <f>IF(B529="","",INDEX(RECON_RESULTS!$D$2:$D$1001,SMALL(IF(RECON_RESULTS!$A$2:$A$1001="Near Match",ROW(RECON_RESULTS!$A$2:$A$1001)-1),119)))</f>
        <v/>
      </c>
      <c r="F529" s="10">
        <f>IF(B529="","",INDEX(RECON_RESULTS!$F$2:$F$1001,SMALL(IF(RECON_RESULTS!$A$2:$A$1001="Near Match",ROW(RECON_RESULTS!$A$2:$A$1001)-1),119)))</f>
        <v/>
      </c>
      <c r="G529" s="16">
        <f>IF(B529="","",INDEX(RECON_RESULTS!$I$2:$I$1001,SMALL(IF(RECON_RESULTS!$A$2:$A$1001="Near Match",ROW(RECON_RESULTS!$A$2:$A$1001)-1),119)))</f>
        <v/>
      </c>
      <c r="H529" s="12">
        <f>IF(B529="","",INDEX(RECON_RESULTS!$J$2:$J$1001,SMALL(IF(RECON_RESULTS!$A$2:$A$1001="Near Match",ROW(RECON_RESULTS!$A$2:$A$1001)-1),119)))</f>
        <v/>
      </c>
      <c r="I529" s="11">
        <f>IF(B529="","",INDEX(RECON_RESULTS!$K$2:$K$1001,SMALL(IF(RECON_RESULTS!$A$2:$A$1001="Near Match",ROW(RECON_RESULTS!$A$2:$A$1001)-1),119)))</f>
        <v/>
      </c>
      <c r="J529" s="17">
        <f>IF(B529="","",INDEX(RECON_RESULTS!$L$2:$L$1001,SMALL(IF(RECON_RESULTS!$A$2:$A$1001="Near Match",ROW(RECON_RESULTS!$A$2:$A$1001)-1),119)))</f>
        <v/>
      </c>
      <c r="K529" s="11" t="inlineStr"/>
      <c r="L529" s="11" t="inlineStr"/>
    </row>
    <row r="530">
      <c r="B530" s="11">
        <f>IFERROR(INDEX(RECON_RESULTS!$A$2:$A$1001,SMALL(IF(RECON_RESULTS!$A$2:$A$1001="Near Match",ROW(RECON_RESULTS!$A$2:$A$1001)-1),120)),"")</f>
        <v/>
      </c>
      <c r="C530" s="11">
        <f>IF(B530="","",INDEX(RECON_RESULTS!$B$2:$B$1001,SMALL(IF(RECON_RESULTS!$A$2:$A$1001="Near Match",ROW(RECON_RESULTS!$A$2:$A$1001)-1),120)))</f>
        <v/>
      </c>
      <c r="D530" s="10">
        <f>IF(B530="","",INDEX(RECON_RESULTS!$C$2:$C$1001,SMALL(IF(RECON_RESULTS!$A$2:$A$1001="Near Match",ROW(RECON_RESULTS!$A$2:$A$1001)-1),120)))</f>
        <v/>
      </c>
      <c r="E530" s="16">
        <f>IF(B530="","",INDEX(RECON_RESULTS!$D$2:$D$1001,SMALL(IF(RECON_RESULTS!$A$2:$A$1001="Near Match",ROW(RECON_RESULTS!$A$2:$A$1001)-1),120)))</f>
        <v/>
      </c>
      <c r="F530" s="10">
        <f>IF(B530="","",INDEX(RECON_RESULTS!$F$2:$F$1001,SMALL(IF(RECON_RESULTS!$A$2:$A$1001="Near Match",ROW(RECON_RESULTS!$A$2:$A$1001)-1),120)))</f>
        <v/>
      </c>
      <c r="G530" s="16">
        <f>IF(B530="","",INDEX(RECON_RESULTS!$I$2:$I$1001,SMALL(IF(RECON_RESULTS!$A$2:$A$1001="Near Match",ROW(RECON_RESULTS!$A$2:$A$1001)-1),120)))</f>
        <v/>
      </c>
      <c r="H530" s="12">
        <f>IF(B530="","",INDEX(RECON_RESULTS!$J$2:$J$1001,SMALL(IF(RECON_RESULTS!$A$2:$A$1001="Near Match",ROW(RECON_RESULTS!$A$2:$A$1001)-1),120)))</f>
        <v/>
      </c>
      <c r="I530" s="11">
        <f>IF(B530="","",INDEX(RECON_RESULTS!$K$2:$K$1001,SMALL(IF(RECON_RESULTS!$A$2:$A$1001="Near Match",ROW(RECON_RESULTS!$A$2:$A$1001)-1),120)))</f>
        <v/>
      </c>
      <c r="J530" s="17">
        <f>IF(B530="","",INDEX(RECON_RESULTS!$L$2:$L$1001,SMALL(IF(RECON_RESULTS!$A$2:$A$1001="Near Match",ROW(RECON_RESULTS!$A$2:$A$1001)-1),120)))</f>
        <v/>
      </c>
      <c r="K530" s="11" t="inlineStr"/>
      <c r="L530" s="11" t="inlineStr"/>
    </row>
    <row r="531">
      <c r="B531" s="11">
        <f>IFERROR(INDEX(RECON_RESULTS!$A$2:$A$1001,SMALL(IF(RECON_RESULTS!$A$2:$A$1001="Near Match",ROW(RECON_RESULTS!$A$2:$A$1001)-1),121)),"")</f>
        <v/>
      </c>
      <c r="C531" s="11">
        <f>IF(B531="","",INDEX(RECON_RESULTS!$B$2:$B$1001,SMALL(IF(RECON_RESULTS!$A$2:$A$1001="Near Match",ROW(RECON_RESULTS!$A$2:$A$1001)-1),121)))</f>
        <v/>
      </c>
      <c r="D531" s="10">
        <f>IF(B531="","",INDEX(RECON_RESULTS!$C$2:$C$1001,SMALL(IF(RECON_RESULTS!$A$2:$A$1001="Near Match",ROW(RECON_RESULTS!$A$2:$A$1001)-1),121)))</f>
        <v/>
      </c>
      <c r="E531" s="16">
        <f>IF(B531="","",INDEX(RECON_RESULTS!$D$2:$D$1001,SMALL(IF(RECON_RESULTS!$A$2:$A$1001="Near Match",ROW(RECON_RESULTS!$A$2:$A$1001)-1),121)))</f>
        <v/>
      </c>
      <c r="F531" s="10">
        <f>IF(B531="","",INDEX(RECON_RESULTS!$F$2:$F$1001,SMALL(IF(RECON_RESULTS!$A$2:$A$1001="Near Match",ROW(RECON_RESULTS!$A$2:$A$1001)-1),121)))</f>
        <v/>
      </c>
      <c r="G531" s="16">
        <f>IF(B531="","",INDEX(RECON_RESULTS!$I$2:$I$1001,SMALL(IF(RECON_RESULTS!$A$2:$A$1001="Near Match",ROW(RECON_RESULTS!$A$2:$A$1001)-1),121)))</f>
        <v/>
      </c>
      <c r="H531" s="12">
        <f>IF(B531="","",INDEX(RECON_RESULTS!$J$2:$J$1001,SMALL(IF(RECON_RESULTS!$A$2:$A$1001="Near Match",ROW(RECON_RESULTS!$A$2:$A$1001)-1),121)))</f>
        <v/>
      </c>
      <c r="I531" s="11">
        <f>IF(B531="","",INDEX(RECON_RESULTS!$K$2:$K$1001,SMALL(IF(RECON_RESULTS!$A$2:$A$1001="Near Match",ROW(RECON_RESULTS!$A$2:$A$1001)-1),121)))</f>
        <v/>
      </c>
      <c r="J531" s="17">
        <f>IF(B531="","",INDEX(RECON_RESULTS!$L$2:$L$1001,SMALL(IF(RECON_RESULTS!$A$2:$A$1001="Near Match",ROW(RECON_RESULTS!$A$2:$A$1001)-1),121)))</f>
        <v/>
      </c>
      <c r="K531" s="11" t="inlineStr"/>
      <c r="L531" s="11" t="inlineStr"/>
    </row>
    <row r="532">
      <c r="B532" s="11">
        <f>IFERROR(INDEX(RECON_RESULTS!$A$2:$A$1001,SMALL(IF(RECON_RESULTS!$A$2:$A$1001="Near Match",ROW(RECON_RESULTS!$A$2:$A$1001)-1),122)),"")</f>
        <v/>
      </c>
      <c r="C532" s="11">
        <f>IF(B532="","",INDEX(RECON_RESULTS!$B$2:$B$1001,SMALL(IF(RECON_RESULTS!$A$2:$A$1001="Near Match",ROW(RECON_RESULTS!$A$2:$A$1001)-1),122)))</f>
        <v/>
      </c>
      <c r="D532" s="10">
        <f>IF(B532="","",INDEX(RECON_RESULTS!$C$2:$C$1001,SMALL(IF(RECON_RESULTS!$A$2:$A$1001="Near Match",ROW(RECON_RESULTS!$A$2:$A$1001)-1),122)))</f>
        <v/>
      </c>
      <c r="E532" s="16">
        <f>IF(B532="","",INDEX(RECON_RESULTS!$D$2:$D$1001,SMALL(IF(RECON_RESULTS!$A$2:$A$1001="Near Match",ROW(RECON_RESULTS!$A$2:$A$1001)-1),122)))</f>
        <v/>
      </c>
      <c r="F532" s="10">
        <f>IF(B532="","",INDEX(RECON_RESULTS!$F$2:$F$1001,SMALL(IF(RECON_RESULTS!$A$2:$A$1001="Near Match",ROW(RECON_RESULTS!$A$2:$A$1001)-1),122)))</f>
        <v/>
      </c>
      <c r="G532" s="16">
        <f>IF(B532="","",INDEX(RECON_RESULTS!$I$2:$I$1001,SMALL(IF(RECON_RESULTS!$A$2:$A$1001="Near Match",ROW(RECON_RESULTS!$A$2:$A$1001)-1),122)))</f>
        <v/>
      </c>
      <c r="H532" s="12">
        <f>IF(B532="","",INDEX(RECON_RESULTS!$J$2:$J$1001,SMALL(IF(RECON_RESULTS!$A$2:$A$1001="Near Match",ROW(RECON_RESULTS!$A$2:$A$1001)-1),122)))</f>
        <v/>
      </c>
      <c r="I532" s="11">
        <f>IF(B532="","",INDEX(RECON_RESULTS!$K$2:$K$1001,SMALL(IF(RECON_RESULTS!$A$2:$A$1001="Near Match",ROW(RECON_RESULTS!$A$2:$A$1001)-1),122)))</f>
        <v/>
      </c>
      <c r="J532" s="17">
        <f>IF(B532="","",INDEX(RECON_RESULTS!$L$2:$L$1001,SMALL(IF(RECON_RESULTS!$A$2:$A$1001="Near Match",ROW(RECON_RESULTS!$A$2:$A$1001)-1),122)))</f>
        <v/>
      </c>
      <c r="K532" s="11" t="inlineStr"/>
      <c r="L532" s="11" t="inlineStr"/>
    </row>
    <row r="533">
      <c r="B533" s="11">
        <f>IFERROR(INDEX(RECON_RESULTS!$A$2:$A$1001,SMALL(IF(RECON_RESULTS!$A$2:$A$1001="Near Match",ROW(RECON_RESULTS!$A$2:$A$1001)-1),123)),"")</f>
        <v/>
      </c>
      <c r="C533" s="11">
        <f>IF(B533="","",INDEX(RECON_RESULTS!$B$2:$B$1001,SMALL(IF(RECON_RESULTS!$A$2:$A$1001="Near Match",ROW(RECON_RESULTS!$A$2:$A$1001)-1),123)))</f>
        <v/>
      </c>
      <c r="D533" s="10">
        <f>IF(B533="","",INDEX(RECON_RESULTS!$C$2:$C$1001,SMALL(IF(RECON_RESULTS!$A$2:$A$1001="Near Match",ROW(RECON_RESULTS!$A$2:$A$1001)-1),123)))</f>
        <v/>
      </c>
      <c r="E533" s="16">
        <f>IF(B533="","",INDEX(RECON_RESULTS!$D$2:$D$1001,SMALL(IF(RECON_RESULTS!$A$2:$A$1001="Near Match",ROW(RECON_RESULTS!$A$2:$A$1001)-1),123)))</f>
        <v/>
      </c>
      <c r="F533" s="10">
        <f>IF(B533="","",INDEX(RECON_RESULTS!$F$2:$F$1001,SMALL(IF(RECON_RESULTS!$A$2:$A$1001="Near Match",ROW(RECON_RESULTS!$A$2:$A$1001)-1),123)))</f>
        <v/>
      </c>
      <c r="G533" s="16">
        <f>IF(B533="","",INDEX(RECON_RESULTS!$I$2:$I$1001,SMALL(IF(RECON_RESULTS!$A$2:$A$1001="Near Match",ROW(RECON_RESULTS!$A$2:$A$1001)-1),123)))</f>
        <v/>
      </c>
      <c r="H533" s="12">
        <f>IF(B533="","",INDEX(RECON_RESULTS!$J$2:$J$1001,SMALL(IF(RECON_RESULTS!$A$2:$A$1001="Near Match",ROW(RECON_RESULTS!$A$2:$A$1001)-1),123)))</f>
        <v/>
      </c>
      <c r="I533" s="11">
        <f>IF(B533="","",INDEX(RECON_RESULTS!$K$2:$K$1001,SMALL(IF(RECON_RESULTS!$A$2:$A$1001="Near Match",ROW(RECON_RESULTS!$A$2:$A$1001)-1),123)))</f>
        <v/>
      </c>
      <c r="J533" s="17">
        <f>IF(B533="","",INDEX(RECON_RESULTS!$L$2:$L$1001,SMALL(IF(RECON_RESULTS!$A$2:$A$1001="Near Match",ROW(RECON_RESULTS!$A$2:$A$1001)-1),123)))</f>
        <v/>
      </c>
      <c r="K533" s="11" t="inlineStr"/>
      <c r="L533" s="11" t="inlineStr"/>
    </row>
    <row r="534">
      <c r="B534" s="11">
        <f>IFERROR(INDEX(RECON_RESULTS!$A$2:$A$1001,SMALL(IF(RECON_RESULTS!$A$2:$A$1001="Near Match",ROW(RECON_RESULTS!$A$2:$A$1001)-1),124)),"")</f>
        <v/>
      </c>
      <c r="C534" s="11">
        <f>IF(B534="","",INDEX(RECON_RESULTS!$B$2:$B$1001,SMALL(IF(RECON_RESULTS!$A$2:$A$1001="Near Match",ROW(RECON_RESULTS!$A$2:$A$1001)-1),124)))</f>
        <v/>
      </c>
      <c r="D534" s="10">
        <f>IF(B534="","",INDEX(RECON_RESULTS!$C$2:$C$1001,SMALL(IF(RECON_RESULTS!$A$2:$A$1001="Near Match",ROW(RECON_RESULTS!$A$2:$A$1001)-1),124)))</f>
        <v/>
      </c>
      <c r="E534" s="16">
        <f>IF(B534="","",INDEX(RECON_RESULTS!$D$2:$D$1001,SMALL(IF(RECON_RESULTS!$A$2:$A$1001="Near Match",ROW(RECON_RESULTS!$A$2:$A$1001)-1),124)))</f>
        <v/>
      </c>
      <c r="F534" s="10">
        <f>IF(B534="","",INDEX(RECON_RESULTS!$F$2:$F$1001,SMALL(IF(RECON_RESULTS!$A$2:$A$1001="Near Match",ROW(RECON_RESULTS!$A$2:$A$1001)-1),124)))</f>
        <v/>
      </c>
      <c r="G534" s="16">
        <f>IF(B534="","",INDEX(RECON_RESULTS!$I$2:$I$1001,SMALL(IF(RECON_RESULTS!$A$2:$A$1001="Near Match",ROW(RECON_RESULTS!$A$2:$A$1001)-1),124)))</f>
        <v/>
      </c>
      <c r="H534" s="12">
        <f>IF(B534="","",INDEX(RECON_RESULTS!$J$2:$J$1001,SMALL(IF(RECON_RESULTS!$A$2:$A$1001="Near Match",ROW(RECON_RESULTS!$A$2:$A$1001)-1),124)))</f>
        <v/>
      </c>
      <c r="I534" s="11">
        <f>IF(B534="","",INDEX(RECON_RESULTS!$K$2:$K$1001,SMALL(IF(RECON_RESULTS!$A$2:$A$1001="Near Match",ROW(RECON_RESULTS!$A$2:$A$1001)-1),124)))</f>
        <v/>
      </c>
      <c r="J534" s="17">
        <f>IF(B534="","",INDEX(RECON_RESULTS!$L$2:$L$1001,SMALL(IF(RECON_RESULTS!$A$2:$A$1001="Near Match",ROW(RECON_RESULTS!$A$2:$A$1001)-1),124)))</f>
        <v/>
      </c>
      <c r="K534" s="11" t="inlineStr"/>
      <c r="L534" s="11" t="inlineStr"/>
    </row>
    <row r="535">
      <c r="B535" s="11">
        <f>IFERROR(INDEX(RECON_RESULTS!$A$2:$A$1001,SMALL(IF(RECON_RESULTS!$A$2:$A$1001="Near Match",ROW(RECON_RESULTS!$A$2:$A$1001)-1),125)),"")</f>
        <v/>
      </c>
      <c r="C535" s="11">
        <f>IF(B535="","",INDEX(RECON_RESULTS!$B$2:$B$1001,SMALL(IF(RECON_RESULTS!$A$2:$A$1001="Near Match",ROW(RECON_RESULTS!$A$2:$A$1001)-1),125)))</f>
        <v/>
      </c>
      <c r="D535" s="10">
        <f>IF(B535="","",INDEX(RECON_RESULTS!$C$2:$C$1001,SMALL(IF(RECON_RESULTS!$A$2:$A$1001="Near Match",ROW(RECON_RESULTS!$A$2:$A$1001)-1),125)))</f>
        <v/>
      </c>
      <c r="E535" s="16">
        <f>IF(B535="","",INDEX(RECON_RESULTS!$D$2:$D$1001,SMALL(IF(RECON_RESULTS!$A$2:$A$1001="Near Match",ROW(RECON_RESULTS!$A$2:$A$1001)-1),125)))</f>
        <v/>
      </c>
      <c r="F535" s="10">
        <f>IF(B535="","",INDEX(RECON_RESULTS!$F$2:$F$1001,SMALL(IF(RECON_RESULTS!$A$2:$A$1001="Near Match",ROW(RECON_RESULTS!$A$2:$A$1001)-1),125)))</f>
        <v/>
      </c>
      <c r="G535" s="16">
        <f>IF(B535="","",INDEX(RECON_RESULTS!$I$2:$I$1001,SMALL(IF(RECON_RESULTS!$A$2:$A$1001="Near Match",ROW(RECON_RESULTS!$A$2:$A$1001)-1),125)))</f>
        <v/>
      </c>
      <c r="H535" s="12">
        <f>IF(B535="","",INDEX(RECON_RESULTS!$J$2:$J$1001,SMALL(IF(RECON_RESULTS!$A$2:$A$1001="Near Match",ROW(RECON_RESULTS!$A$2:$A$1001)-1),125)))</f>
        <v/>
      </c>
      <c r="I535" s="11">
        <f>IF(B535="","",INDEX(RECON_RESULTS!$K$2:$K$1001,SMALL(IF(RECON_RESULTS!$A$2:$A$1001="Near Match",ROW(RECON_RESULTS!$A$2:$A$1001)-1),125)))</f>
        <v/>
      </c>
      <c r="J535" s="17">
        <f>IF(B535="","",INDEX(RECON_RESULTS!$L$2:$L$1001,SMALL(IF(RECON_RESULTS!$A$2:$A$1001="Near Match",ROW(RECON_RESULTS!$A$2:$A$1001)-1),125)))</f>
        <v/>
      </c>
      <c r="K535" s="11" t="inlineStr"/>
      <c r="L535" s="11" t="inlineStr"/>
    </row>
    <row r="536">
      <c r="B536" s="11">
        <f>IFERROR(INDEX(RECON_RESULTS!$A$2:$A$1001,SMALL(IF(RECON_RESULTS!$A$2:$A$1001="Near Match",ROW(RECON_RESULTS!$A$2:$A$1001)-1),126)),"")</f>
        <v/>
      </c>
      <c r="C536" s="11">
        <f>IF(B536="","",INDEX(RECON_RESULTS!$B$2:$B$1001,SMALL(IF(RECON_RESULTS!$A$2:$A$1001="Near Match",ROW(RECON_RESULTS!$A$2:$A$1001)-1),126)))</f>
        <v/>
      </c>
      <c r="D536" s="10">
        <f>IF(B536="","",INDEX(RECON_RESULTS!$C$2:$C$1001,SMALL(IF(RECON_RESULTS!$A$2:$A$1001="Near Match",ROW(RECON_RESULTS!$A$2:$A$1001)-1),126)))</f>
        <v/>
      </c>
      <c r="E536" s="16">
        <f>IF(B536="","",INDEX(RECON_RESULTS!$D$2:$D$1001,SMALL(IF(RECON_RESULTS!$A$2:$A$1001="Near Match",ROW(RECON_RESULTS!$A$2:$A$1001)-1),126)))</f>
        <v/>
      </c>
      <c r="F536" s="10">
        <f>IF(B536="","",INDEX(RECON_RESULTS!$F$2:$F$1001,SMALL(IF(RECON_RESULTS!$A$2:$A$1001="Near Match",ROW(RECON_RESULTS!$A$2:$A$1001)-1),126)))</f>
        <v/>
      </c>
      <c r="G536" s="16">
        <f>IF(B536="","",INDEX(RECON_RESULTS!$I$2:$I$1001,SMALL(IF(RECON_RESULTS!$A$2:$A$1001="Near Match",ROW(RECON_RESULTS!$A$2:$A$1001)-1),126)))</f>
        <v/>
      </c>
      <c r="H536" s="12">
        <f>IF(B536="","",INDEX(RECON_RESULTS!$J$2:$J$1001,SMALL(IF(RECON_RESULTS!$A$2:$A$1001="Near Match",ROW(RECON_RESULTS!$A$2:$A$1001)-1),126)))</f>
        <v/>
      </c>
      <c r="I536" s="11">
        <f>IF(B536="","",INDEX(RECON_RESULTS!$K$2:$K$1001,SMALL(IF(RECON_RESULTS!$A$2:$A$1001="Near Match",ROW(RECON_RESULTS!$A$2:$A$1001)-1),126)))</f>
        <v/>
      </c>
      <c r="J536" s="17">
        <f>IF(B536="","",INDEX(RECON_RESULTS!$L$2:$L$1001,SMALL(IF(RECON_RESULTS!$A$2:$A$1001="Near Match",ROW(RECON_RESULTS!$A$2:$A$1001)-1),126)))</f>
        <v/>
      </c>
      <c r="K536" s="11" t="inlineStr"/>
      <c r="L536" s="11" t="inlineStr"/>
    </row>
    <row r="537">
      <c r="B537" s="11">
        <f>IFERROR(INDEX(RECON_RESULTS!$A$2:$A$1001,SMALL(IF(RECON_RESULTS!$A$2:$A$1001="Near Match",ROW(RECON_RESULTS!$A$2:$A$1001)-1),127)),"")</f>
        <v/>
      </c>
      <c r="C537" s="11">
        <f>IF(B537="","",INDEX(RECON_RESULTS!$B$2:$B$1001,SMALL(IF(RECON_RESULTS!$A$2:$A$1001="Near Match",ROW(RECON_RESULTS!$A$2:$A$1001)-1),127)))</f>
        <v/>
      </c>
      <c r="D537" s="10">
        <f>IF(B537="","",INDEX(RECON_RESULTS!$C$2:$C$1001,SMALL(IF(RECON_RESULTS!$A$2:$A$1001="Near Match",ROW(RECON_RESULTS!$A$2:$A$1001)-1),127)))</f>
        <v/>
      </c>
      <c r="E537" s="16">
        <f>IF(B537="","",INDEX(RECON_RESULTS!$D$2:$D$1001,SMALL(IF(RECON_RESULTS!$A$2:$A$1001="Near Match",ROW(RECON_RESULTS!$A$2:$A$1001)-1),127)))</f>
        <v/>
      </c>
      <c r="F537" s="10">
        <f>IF(B537="","",INDEX(RECON_RESULTS!$F$2:$F$1001,SMALL(IF(RECON_RESULTS!$A$2:$A$1001="Near Match",ROW(RECON_RESULTS!$A$2:$A$1001)-1),127)))</f>
        <v/>
      </c>
      <c r="G537" s="16">
        <f>IF(B537="","",INDEX(RECON_RESULTS!$I$2:$I$1001,SMALL(IF(RECON_RESULTS!$A$2:$A$1001="Near Match",ROW(RECON_RESULTS!$A$2:$A$1001)-1),127)))</f>
        <v/>
      </c>
      <c r="H537" s="12">
        <f>IF(B537="","",INDEX(RECON_RESULTS!$J$2:$J$1001,SMALL(IF(RECON_RESULTS!$A$2:$A$1001="Near Match",ROW(RECON_RESULTS!$A$2:$A$1001)-1),127)))</f>
        <v/>
      </c>
      <c r="I537" s="11">
        <f>IF(B537="","",INDEX(RECON_RESULTS!$K$2:$K$1001,SMALL(IF(RECON_RESULTS!$A$2:$A$1001="Near Match",ROW(RECON_RESULTS!$A$2:$A$1001)-1),127)))</f>
        <v/>
      </c>
      <c r="J537" s="17">
        <f>IF(B537="","",INDEX(RECON_RESULTS!$L$2:$L$1001,SMALL(IF(RECON_RESULTS!$A$2:$A$1001="Near Match",ROW(RECON_RESULTS!$A$2:$A$1001)-1),127)))</f>
        <v/>
      </c>
      <c r="K537" s="11" t="inlineStr"/>
      <c r="L537" s="11" t="inlineStr"/>
    </row>
    <row r="538">
      <c r="B538" s="11">
        <f>IFERROR(INDEX(RECON_RESULTS!$A$2:$A$1001,SMALL(IF(RECON_RESULTS!$A$2:$A$1001="Near Match",ROW(RECON_RESULTS!$A$2:$A$1001)-1),128)),"")</f>
        <v/>
      </c>
      <c r="C538" s="11">
        <f>IF(B538="","",INDEX(RECON_RESULTS!$B$2:$B$1001,SMALL(IF(RECON_RESULTS!$A$2:$A$1001="Near Match",ROW(RECON_RESULTS!$A$2:$A$1001)-1),128)))</f>
        <v/>
      </c>
      <c r="D538" s="10">
        <f>IF(B538="","",INDEX(RECON_RESULTS!$C$2:$C$1001,SMALL(IF(RECON_RESULTS!$A$2:$A$1001="Near Match",ROW(RECON_RESULTS!$A$2:$A$1001)-1),128)))</f>
        <v/>
      </c>
      <c r="E538" s="16">
        <f>IF(B538="","",INDEX(RECON_RESULTS!$D$2:$D$1001,SMALL(IF(RECON_RESULTS!$A$2:$A$1001="Near Match",ROW(RECON_RESULTS!$A$2:$A$1001)-1),128)))</f>
        <v/>
      </c>
      <c r="F538" s="10">
        <f>IF(B538="","",INDEX(RECON_RESULTS!$F$2:$F$1001,SMALL(IF(RECON_RESULTS!$A$2:$A$1001="Near Match",ROW(RECON_RESULTS!$A$2:$A$1001)-1),128)))</f>
        <v/>
      </c>
      <c r="G538" s="16">
        <f>IF(B538="","",INDEX(RECON_RESULTS!$I$2:$I$1001,SMALL(IF(RECON_RESULTS!$A$2:$A$1001="Near Match",ROW(RECON_RESULTS!$A$2:$A$1001)-1),128)))</f>
        <v/>
      </c>
      <c r="H538" s="12">
        <f>IF(B538="","",INDEX(RECON_RESULTS!$J$2:$J$1001,SMALL(IF(RECON_RESULTS!$A$2:$A$1001="Near Match",ROW(RECON_RESULTS!$A$2:$A$1001)-1),128)))</f>
        <v/>
      </c>
      <c r="I538" s="11">
        <f>IF(B538="","",INDEX(RECON_RESULTS!$K$2:$K$1001,SMALL(IF(RECON_RESULTS!$A$2:$A$1001="Near Match",ROW(RECON_RESULTS!$A$2:$A$1001)-1),128)))</f>
        <v/>
      </c>
      <c r="J538" s="17">
        <f>IF(B538="","",INDEX(RECON_RESULTS!$L$2:$L$1001,SMALL(IF(RECON_RESULTS!$A$2:$A$1001="Near Match",ROW(RECON_RESULTS!$A$2:$A$1001)-1),128)))</f>
        <v/>
      </c>
      <c r="K538" s="11" t="inlineStr"/>
      <c r="L538" s="11" t="inlineStr"/>
    </row>
    <row r="539">
      <c r="B539" s="11">
        <f>IFERROR(INDEX(RECON_RESULTS!$A$2:$A$1001,SMALL(IF(RECON_RESULTS!$A$2:$A$1001="Near Match",ROW(RECON_RESULTS!$A$2:$A$1001)-1),129)),"")</f>
        <v/>
      </c>
      <c r="C539" s="11">
        <f>IF(B539="","",INDEX(RECON_RESULTS!$B$2:$B$1001,SMALL(IF(RECON_RESULTS!$A$2:$A$1001="Near Match",ROW(RECON_RESULTS!$A$2:$A$1001)-1),129)))</f>
        <v/>
      </c>
      <c r="D539" s="10">
        <f>IF(B539="","",INDEX(RECON_RESULTS!$C$2:$C$1001,SMALL(IF(RECON_RESULTS!$A$2:$A$1001="Near Match",ROW(RECON_RESULTS!$A$2:$A$1001)-1),129)))</f>
        <v/>
      </c>
      <c r="E539" s="16">
        <f>IF(B539="","",INDEX(RECON_RESULTS!$D$2:$D$1001,SMALL(IF(RECON_RESULTS!$A$2:$A$1001="Near Match",ROW(RECON_RESULTS!$A$2:$A$1001)-1),129)))</f>
        <v/>
      </c>
      <c r="F539" s="10">
        <f>IF(B539="","",INDEX(RECON_RESULTS!$F$2:$F$1001,SMALL(IF(RECON_RESULTS!$A$2:$A$1001="Near Match",ROW(RECON_RESULTS!$A$2:$A$1001)-1),129)))</f>
        <v/>
      </c>
      <c r="G539" s="16">
        <f>IF(B539="","",INDEX(RECON_RESULTS!$I$2:$I$1001,SMALL(IF(RECON_RESULTS!$A$2:$A$1001="Near Match",ROW(RECON_RESULTS!$A$2:$A$1001)-1),129)))</f>
        <v/>
      </c>
      <c r="H539" s="12">
        <f>IF(B539="","",INDEX(RECON_RESULTS!$J$2:$J$1001,SMALL(IF(RECON_RESULTS!$A$2:$A$1001="Near Match",ROW(RECON_RESULTS!$A$2:$A$1001)-1),129)))</f>
        <v/>
      </c>
      <c r="I539" s="11">
        <f>IF(B539="","",INDEX(RECON_RESULTS!$K$2:$K$1001,SMALL(IF(RECON_RESULTS!$A$2:$A$1001="Near Match",ROW(RECON_RESULTS!$A$2:$A$1001)-1),129)))</f>
        <v/>
      </c>
      <c r="J539" s="17">
        <f>IF(B539="","",INDEX(RECON_RESULTS!$L$2:$L$1001,SMALL(IF(RECON_RESULTS!$A$2:$A$1001="Near Match",ROW(RECON_RESULTS!$A$2:$A$1001)-1),129)))</f>
        <v/>
      </c>
      <c r="K539" s="11" t="inlineStr"/>
      <c r="L539" s="11" t="inlineStr"/>
    </row>
    <row r="540">
      <c r="B540" s="11">
        <f>IFERROR(INDEX(RECON_RESULTS!$A$2:$A$1001,SMALL(IF(RECON_RESULTS!$A$2:$A$1001="Near Match",ROW(RECON_RESULTS!$A$2:$A$1001)-1),130)),"")</f>
        <v/>
      </c>
      <c r="C540" s="11">
        <f>IF(B540="","",INDEX(RECON_RESULTS!$B$2:$B$1001,SMALL(IF(RECON_RESULTS!$A$2:$A$1001="Near Match",ROW(RECON_RESULTS!$A$2:$A$1001)-1),130)))</f>
        <v/>
      </c>
      <c r="D540" s="10">
        <f>IF(B540="","",INDEX(RECON_RESULTS!$C$2:$C$1001,SMALL(IF(RECON_RESULTS!$A$2:$A$1001="Near Match",ROW(RECON_RESULTS!$A$2:$A$1001)-1),130)))</f>
        <v/>
      </c>
      <c r="E540" s="16">
        <f>IF(B540="","",INDEX(RECON_RESULTS!$D$2:$D$1001,SMALL(IF(RECON_RESULTS!$A$2:$A$1001="Near Match",ROW(RECON_RESULTS!$A$2:$A$1001)-1),130)))</f>
        <v/>
      </c>
      <c r="F540" s="10">
        <f>IF(B540="","",INDEX(RECON_RESULTS!$F$2:$F$1001,SMALL(IF(RECON_RESULTS!$A$2:$A$1001="Near Match",ROW(RECON_RESULTS!$A$2:$A$1001)-1),130)))</f>
        <v/>
      </c>
      <c r="G540" s="16">
        <f>IF(B540="","",INDEX(RECON_RESULTS!$I$2:$I$1001,SMALL(IF(RECON_RESULTS!$A$2:$A$1001="Near Match",ROW(RECON_RESULTS!$A$2:$A$1001)-1),130)))</f>
        <v/>
      </c>
      <c r="H540" s="12">
        <f>IF(B540="","",INDEX(RECON_RESULTS!$J$2:$J$1001,SMALL(IF(RECON_RESULTS!$A$2:$A$1001="Near Match",ROW(RECON_RESULTS!$A$2:$A$1001)-1),130)))</f>
        <v/>
      </c>
      <c r="I540" s="11">
        <f>IF(B540="","",INDEX(RECON_RESULTS!$K$2:$K$1001,SMALL(IF(RECON_RESULTS!$A$2:$A$1001="Near Match",ROW(RECON_RESULTS!$A$2:$A$1001)-1),130)))</f>
        <v/>
      </c>
      <c r="J540" s="17">
        <f>IF(B540="","",INDEX(RECON_RESULTS!$L$2:$L$1001,SMALL(IF(RECON_RESULTS!$A$2:$A$1001="Near Match",ROW(RECON_RESULTS!$A$2:$A$1001)-1),130)))</f>
        <v/>
      </c>
      <c r="K540" s="11" t="inlineStr"/>
      <c r="L540" s="11" t="inlineStr"/>
    </row>
    <row r="541">
      <c r="B541" s="11">
        <f>IFERROR(INDEX(RECON_RESULTS!$A$2:$A$1001,SMALL(IF(RECON_RESULTS!$A$2:$A$1001="Near Match",ROW(RECON_RESULTS!$A$2:$A$1001)-1),131)),"")</f>
        <v/>
      </c>
      <c r="C541" s="11">
        <f>IF(B541="","",INDEX(RECON_RESULTS!$B$2:$B$1001,SMALL(IF(RECON_RESULTS!$A$2:$A$1001="Near Match",ROW(RECON_RESULTS!$A$2:$A$1001)-1),131)))</f>
        <v/>
      </c>
      <c r="D541" s="10">
        <f>IF(B541="","",INDEX(RECON_RESULTS!$C$2:$C$1001,SMALL(IF(RECON_RESULTS!$A$2:$A$1001="Near Match",ROW(RECON_RESULTS!$A$2:$A$1001)-1),131)))</f>
        <v/>
      </c>
      <c r="E541" s="16">
        <f>IF(B541="","",INDEX(RECON_RESULTS!$D$2:$D$1001,SMALL(IF(RECON_RESULTS!$A$2:$A$1001="Near Match",ROW(RECON_RESULTS!$A$2:$A$1001)-1),131)))</f>
        <v/>
      </c>
      <c r="F541" s="10">
        <f>IF(B541="","",INDEX(RECON_RESULTS!$F$2:$F$1001,SMALL(IF(RECON_RESULTS!$A$2:$A$1001="Near Match",ROW(RECON_RESULTS!$A$2:$A$1001)-1),131)))</f>
        <v/>
      </c>
      <c r="G541" s="16">
        <f>IF(B541="","",INDEX(RECON_RESULTS!$I$2:$I$1001,SMALL(IF(RECON_RESULTS!$A$2:$A$1001="Near Match",ROW(RECON_RESULTS!$A$2:$A$1001)-1),131)))</f>
        <v/>
      </c>
      <c r="H541" s="12">
        <f>IF(B541="","",INDEX(RECON_RESULTS!$J$2:$J$1001,SMALL(IF(RECON_RESULTS!$A$2:$A$1001="Near Match",ROW(RECON_RESULTS!$A$2:$A$1001)-1),131)))</f>
        <v/>
      </c>
      <c r="I541" s="11">
        <f>IF(B541="","",INDEX(RECON_RESULTS!$K$2:$K$1001,SMALL(IF(RECON_RESULTS!$A$2:$A$1001="Near Match",ROW(RECON_RESULTS!$A$2:$A$1001)-1),131)))</f>
        <v/>
      </c>
      <c r="J541" s="17">
        <f>IF(B541="","",INDEX(RECON_RESULTS!$L$2:$L$1001,SMALL(IF(RECON_RESULTS!$A$2:$A$1001="Near Match",ROW(RECON_RESULTS!$A$2:$A$1001)-1),131)))</f>
        <v/>
      </c>
      <c r="K541" s="11" t="inlineStr"/>
      <c r="L541" s="11" t="inlineStr"/>
    </row>
    <row r="542">
      <c r="B542" s="11">
        <f>IFERROR(INDEX(RECON_RESULTS!$A$2:$A$1001,SMALL(IF(RECON_RESULTS!$A$2:$A$1001="Near Match",ROW(RECON_RESULTS!$A$2:$A$1001)-1),132)),"")</f>
        <v/>
      </c>
      <c r="C542" s="11">
        <f>IF(B542="","",INDEX(RECON_RESULTS!$B$2:$B$1001,SMALL(IF(RECON_RESULTS!$A$2:$A$1001="Near Match",ROW(RECON_RESULTS!$A$2:$A$1001)-1),132)))</f>
        <v/>
      </c>
      <c r="D542" s="10">
        <f>IF(B542="","",INDEX(RECON_RESULTS!$C$2:$C$1001,SMALL(IF(RECON_RESULTS!$A$2:$A$1001="Near Match",ROW(RECON_RESULTS!$A$2:$A$1001)-1),132)))</f>
        <v/>
      </c>
      <c r="E542" s="16">
        <f>IF(B542="","",INDEX(RECON_RESULTS!$D$2:$D$1001,SMALL(IF(RECON_RESULTS!$A$2:$A$1001="Near Match",ROW(RECON_RESULTS!$A$2:$A$1001)-1),132)))</f>
        <v/>
      </c>
      <c r="F542" s="10">
        <f>IF(B542="","",INDEX(RECON_RESULTS!$F$2:$F$1001,SMALL(IF(RECON_RESULTS!$A$2:$A$1001="Near Match",ROW(RECON_RESULTS!$A$2:$A$1001)-1),132)))</f>
        <v/>
      </c>
      <c r="G542" s="16">
        <f>IF(B542="","",INDEX(RECON_RESULTS!$I$2:$I$1001,SMALL(IF(RECON_RESULTS!$A$2:$A$1001="Near Match",ROW(RECON_RESULTS!$A$2:$A$1001)-1),132)))</f>
        <v/>
      </c>
      <c r="H542" s="12">
        <f>IF(B542="","",INDEX(RECON_RESULTS!$J$2:$J$1001,SMALL(IF(RECON_RESULTS!$A$2:$A$1001="Near Match",ROW(RECON_RESULTS!$A$2:$A$1001)-1),132)))</f>
        <v/>
      </c>
      <c r="I542" s="11">
        <f>IF(B542="","",INDEX(RECON_RESULTS!$K$2:$K$1001,SMALL(IF(RECON_RESULTS!$A$2:$A$1001="Near Match",ROW(RECON_RESULTS!$A$2:$A$1001)-1),132)))</f>
        <v/>
      </c>
      <c r="J542" s="17">
        <f>IF(B542="","",INDEX(RECON_RESULTS!$L$2:$L$1001,SMALL(IF(RECON_RESULTS!$A$2:$A$1001="Near Match",ROW(RECON_RESULTS!$A$2:$A$1001)-1),132)))</f>
        <v/>
      </c>
      <c r="K542" s="11" t="inlineStr"/>
      <c r="L542" s="11" t="inlineStr"/>
    </row>
    <row r="543">
      <c r="B543" s="11">
        <f>IFERROR(INDEX(RECON_RESULTS!$A$2:$A$1001,SMALL(IF(RECON_RESULTS!$A$2:$A$1001="Near Match",ROW(RECON_RESULTS!$A$2:$A$1001)-1),133)),"")</f>
        <v/>
      </c>
      <c r="C543" s="11">
        <f>IF(B543="","",INDEX(RECON_RESULTS!$B$2:$B$1001,SMALL(IF(RECON_RESULTS!$A$2:$A$1001="Near Match",ROW(RECON_RESULTS!$A$2:$A$1001)-1),133)))</f>
        <v/>
      </c>
      <c r="D543" s="10">
        <f>IF(B543="","",INDEX(RECON_RESULTS!$C$2:$C$1001,SMALL(IF(RECON_RESULTS!$A$2:$A$1001="Near Match",ROW(RECON_RESULTS!$A$2:$A$1001)-1),133)))</f>
        <v/>
      </c>
      <c r="E543" s="16">
        <f>IF(B543="","",INDEX(RECON_RESULTS!$D$2:$D$1001,SMALL(IF(RECON_RESULTS!$A$2:$A$1001="Near Match",ROW(RECON_RESULTS!$A$2:$A$1001)-1),133)))</f>
        <v/>
      </c>
      <c r="F543" s="10">
        <f>IF(B543="","",INDEX(RECON_RESULTS!$F$2:$F$1001,SMALL(IF(RECON_RESULTS!$A$2:$A$1001="Near Match",ROW(RECON_RESULTS!$A$2:$A$1001)-1),133)))</f>
        <v/>
      </c>
      <c r="G543" s="16">
        <f>IF(B543="","",INDEX(RECON_RESULTS!$I$2:$I$1001,SMALL(IF(RECON_RESULTS!$A$2:$A$1001="Near Match",ROW(RECON_RESULTS!$A$2:$A$1001)-1),133)))</f>
        <v/>
      </c>
      <c r="H543" s="12">
        <f>IF(B543="","",INDEX(RECON_RESULTS!$J$2:$J$1001,SMALL(IF(RECON_RESULTS!$A$2:$A$1001="Near Match",ROW(RECON_RESULTS!$A$2:$A$1001)-1),133)))</f>
        <v/>
      </c>
      <c r="I543" s="11">
        <f>IF(B543="","",INDEX(RECON_RESULTS!$K$2:$K$1001,SMALL(IF(RECON_RESULTS!$A$2:$A$1001="Near Match",ROW(RECON_RESULTS!$A$2:$A$1001)-1),133)))</f>
        <v/>
      </c>
      <c r="J543" s="17">
        <f>IF(B543="","",INDEX(RECON_RESULTS!$L$2:$L$1001,SMALL(IF(RECON_RESULTS!$A$2:$A$1001="Near Match",ROW(RECON_RESULTS!$A$2:$A$1001)-1),133)))</f>
        <v/>
      </c>
      <c r="K543" s="11" t="inlineStr"/>
      <c r="L543" s="11" t="inlineStr"/>
    </row>
    <row r="544">
      <c r="B544" s="11">
        <f>IFERROR(INDEX(RECON_RESULTS!$A$2:$A$1001,SMALL(IF(RECON_RESULTS!$A$2:$A$1001="Near Match",ROW(RECON_RESULTS!$A$2:$A$1001)-1),134)),"")</f>
        <v/>
      </c>
      <c r="C544" s="11">
        <f>IF(B544="","",INDEX(RECON_RESULTS!$B$2:$B$1001,SMALL(IF(RECON_RESULTS!$A$2:$A$1001="Near Match",ROW(RECON_RESULTS!$A$2:$A$1001)-1),134)))</f>
        <v/>
      </c>
      <c r="D544" s="10">
        <f>IF(B544="","",INDEX(RECON_RESULTS!$C$2:$C$1001,SMALL(IF(RECON_RESULTS!$A$2:$A$1001="Near Match",ROW(RECON_RESULTS!$A$2:$A$1001)-1),134)))</f>
        <v/>
      </c>
      <c r="E544" s="16">
        <f>IF(B544="","",INDEX(RECON_RESULTS!$D$2:$D$1001,SMALL(IF(RECON_RESULTS!$A$2:$A$1001="Near Match",ROW(RECON_RESULTS!$A$2:$A$1001)-1),134)))</f>
        <v/>
      </c>
      <c r="F544" s="10">
        <f>IF(B544="","",INDEX(RECON_RESULTS!$F$2:$F$1001,SMALL(IF(RECON_RESULTS!$A$2:$A$1001="Near Match",ROW(RECON_RESULTS!$A$2:$A$1001)-1),134)))</f>
        <v/>
      </c>
      <c r="G544" s="16">
        <f>IF(B544="","",INDEX(RECON_RESULTS!$I$2:$I$1001,SMALL(IF(RECON_RESULTS!$A$2:$A$1001="Near Match",ROW(RECON_RESULTS!$A$2:$A$1001)-1),134)))</f>
        <v/>
      </c>
      <c r="H544" s="12">
        <f>IF(B544="","",INDEX(RECON_RESULTS!$J$2:$J$1001,SMALL(IF(RECON_RESULTS!$A$2:$A$1001="Near Match",ROW(RECON_RESULTS!$A$2:$A$1001)-1),134)))</f>
        <v/>
      </c>
      <c r="I544" s="11">
        <f>IF(B544="","",INDEX(RECON_RESULTS!$K$2:$K$1001,SMALL(IF(RECON_RESULTS!$A$2:$A$1001="Near Match",ROW(RECON_RESULTS!$A$2:$A$1001)-1),134)))</f>
        <v/>
      </c>
      <c r="J544" s="17">
        <f>IF(B544="","",INDEX(RECON_RESULTS!$L$2:$L$1001,SMALL(IF(RECON_RESULTS!$A$2:$A$1001="Near Match",ROW(RECON_RESULTS!$A$2:$A$1001)-1),134)))</f>
        <v/>
      </c>
      <c r="K544" s="11" t="inlineStr"/>
      <c r="L544" s="11" t="inlineStr"/>
    </row>
    <row r="545">
      <c r="B545" s="11">
        <f>IFERROR(INDEX(RECON_RESULTS!$A$2:$A$1001,SMALL(IF(RECON_RESULTS!$A$2:$A$1001="Near Match",ROW(RECON_RESULTS!$A$2:$A$1001)-1),135)),"")</f>
        <v/>
      </c>
      <c r="C545" s="11">
        <f>IF(B545="","",INDEX(RECON_RESULTS!$B$2:$B$1001,SMALL(IF(RECON_RESULTS!$A$2:$A$1001="Near Match",ROW(RECON_RESULTS!$A$2:$A$1001)-1),135)))</f>
        <v/>
      </c>
      <c r="D545" s="10">
        <f>IF(B545="","",INDEX(RECON_RESULTS!$C$2:$C$1001,SMALL(IF(RECON_RESULTS!$A$2:$A$1001="Near Match",ROW(RECON_RESULTS!$A$2:$A$1001)-1),135)))</f>
        <v/>
      </c>
      <c r="E545" s="16">
        <f>IF(B545="","",INDEX(RECON_RESULTS!$D$2:$D$1001,SMALL(IF(RECON_RESULTS!$A$2:$A$1001="Near Match",ROW(RECON_RESULTS!$A$2:$A$1001)-1),135)))</f>
        <v/>
      </c>
      <c r="F545" s="10">
        <f>IF(B545="","",INDEX(RECON_RESULTS!$F$2:$F$1001,SMALL(IF(RECON_RESULTS!$A$2:$A$1001="Near Match",ROW(RECON_RESULTS!$A$2:$A$1001)-1),135)))</f>
        <v/>
      </c>
      <c r="G545" s="16">
        <f>IF(B545="","",INDEX(RECON_RESULTS!$I$2:$I$1001,SMALL(IF(RECON_RESULTS!$A$2:$A$1001="Near Match",ROW(RECON_RESULTS!$A$2:$A$1001)-1),135)))</f>
        <v/>
      </c>
      <c r="H545" s="12">
        <f>IF(B545="","",INDEX(RECON_RESULTS!$J$2:$J$1001,SMALL(IF(RECON_RESULTS!$A$2:$A$1001="Near Match",ROW(RECON_RESULTS!$A$2:$A$1001)-1),135)))</f>
        <v/>
      </c>
      <c r="I545" s="11">
        <f>IF(B545="","",INDEX(RECON_RESULTS!$K$2:$K$1001,SMALL(IF(RECON_RESULTS!$A$2:$A$1001="Near Match",ROW(RECON_RESULTS!$A$2:$A$1001)-1),135)))</f>
        <v/>
      </c>
      <c r="J545" s="17">
        <f>IF(B545="","",INDEX(RECON_RESULTS!$L$2:$L$1001,SMALL(IF(RECON_RESULTS!$A$2:$A$1001="Near Match",ROW(RECON_RESULTS!$A$2:$A$1001)-1),135)))</f>
        <v/>
      </c>
      <c r="K545" s="11" t="inlineStr"/>
      <c r="L545" s="11" t="inlineStr"/>
    </row>
    <row r="546">
      <c r="B546" s="11">
        <f>IFERROR(INDEX(RECON_RESULTS!$A$2:$A$1001,SMALL(IF(RECON_RESULTS!$A$2:$A$1001="Near Match",ROW(RECON_RESULTS!$A$2:$A$1001)-1),136)),"")</f>
        <v/>
      </c>
      <c r="C546" s="11">
        <f>IF(B546="","",INDEX(RECON_RESULTS!$B$2:$B$1001,SMALL(IF(RECON_RESULTS!$A$2:$A$1001="Near Match",ROW(RECON_RESULTS!$A$2:$A$1001)-1),136)))</f>
        <v/>
      </c>
      <c r="D546" s="10">
        <f>IF(B546="","",INDEX(RECON_RESULTS!$C$2:$C$1001,SMALL(IF(RECON_RESULTS!$A$2:$A$1001="Near Match",ROW(RECON_RESULTS!$A$2:$A$1001)-1),136)))</f>
        <v/>
      </c>
      <c r="E546" s="16">
        <f>IF(B546="","",INDEX(RECON_RESULTS!$D$2:$D$1001,SMALL(IF(RECON_RESULTS!$A$2:$A$1001="Near Match",ROW(RECON_RESULTS!$A$2:$A$1001)-1),136)))</f>
        <v/>
      </c>
      <c r="F546" s="10">
        <f>IF(B546="","",INDEX(RECON_RESULTS!$F$2:$F$1001,SMALL(IF(RECON_RESULTS!$A$2:$A$1001="Near Match",ROW(RECON_RESULTS!$A$2:$A$1001)-1),136)))</f>
        <v/>
      </c>
      <c r="G546" s="16">
        <f>IF(B546="","",INDEX(RECON_RESULTS!$I$2:$I$1001,SMALL(IF(RECON_RESULTS!$A$2:$A$1001="Near Match",ROW(RECON_RESULTS!$A$2:$A$1001)-1),136)))</f>
        <v/>
      </c>
      <c r="H546" s="12">
        <f>IF(B546="","",INDEX(RECON_RESULTS!$J$2:$J$1001,SMALL(IF(RECON_RESULTS!$A$2:$A$1001="Near Match",ROW(RECON_RESULTS!$A$2:$A$1001)-1),136)))</f>
        <v/>
      </c>
      <c r="I546" s="11">
        <f>IF(B546="","",INDEX(RECON_RESULTS!$K$2:$K$1001,SMALL(IF(RECON_RESULTS!$A$2:$A$1001="Near Match",ROW(RECON_RESULTS!$A$2:$A$1001)-1),136)))</f>
        <v/>
      </c>
      <c r="J546" s="17">
        <f>IF(B546="","",INDEX(RECON_RESULTS!$L$2:$L$1001,SMALL(IF(RECON_RESULTS!$A$2:$A$1001="Near Match",ROW(RECON_RESULTS!$A$2:$A$1001)-1),136)))</f>
        <v/>
      </c>
      <c r="K546" s="11" t="inlineStr"/>
      <c r="L546" s="11" t="inlineStr"/>
    </row>
    <row r="547">
      <c r="B547" s="11">
        <f>IFERROR(INDEX(RECON_RESULTS!$A$2:$A$1001,SMALL(IF(RECON_RESULTS!$A$2:$A$1001="Near Match",ROW(RECON_RESULTS!$A$2:$A$1001)-1),137)),"")</f>
        <v/>
      </c>
      <c r="C547" s="11">
        <f>IF(B547="","",INDEX(RECON_RESULTS!$B$2:$B$1001,SMALL(IF(RECON_RESULTS!$A$2:$A$1001="Near Match",ROW(RECON_RESULTS!$A$2:$A$1001)-1),137)))</f>
        <v/>
      </c>
      <c r="D547" s="10">
        <f>IF(B547="","",INDEX(RECON_RESULTS!$C$2:$C$1001,SMALL(IF(RECON_RESULTS!$A$2:$A$1001="Near Match",ROW(RECON_RESULTS!$A$2:$A$1001)-1),137)))</f>
        <v/>
      </c>
      <c r="E547" s="16">
        <f>IF(B547="","",INDEX(RECON_RESULTS!$D$2:$D$1001,SMALL(IF(RECON_RESULTS!$A$2:$A$1001="Near Match",ROW(RECON_RESULTS!$A$2:$A$1001)-1),137)))</f>
        <v/>
      </c>
      <c r="F547" s="10">
        <f>IF(B547="","",INDEX(RECON_RESULTS!$F$2:$F$1001,SMALL(IF(RECON_RESULTS!$A$2:$A$1001="Near Match",ROW(RECON_RESULTS!$A$2:$A$1001)-1),137)))</f>
        <v/>
      </c>
      <c r="G547" s="16">
        <f>IF(B547="","",INDEX(RECON_RESULTS!$I$2:$I$1001,SMALL(IF(RECON_RESULTS!$A$2:$A$1001="Near Match",ROW(RECON_RESULTS!$A$2:$A$1001)-1),137)))</f>
        <v/>
      </c>
      <c r="H547" s="12">
        <f>IF(B547="","",INDEX(RECON_RESULTS!$J$2:$J$1001,SMALL(IF(RECON_RESULTS!$A$2:$A$1001="Near Match",ROW(RECON_RESULTS!$A$2:$A$1001)-1),137)))</f>
        <v/>
      </c>
      <c r="I547" s="11">
        <f>IF(B547="","",INDEX(RECON_RESULTS!$K$2:$K$1001,SMALL(IF(RECON_RESULTS!$A$2:$A$1001="Near Match",ROW(RECON_RESULTS!$A$2:$A$1001)-1),137)))</f>
        <v/>
      </c>
      <c r="J547" s="17">
        <f>IF(B547="","",INDEX(RECON_RESULTS!$L$2:$L$1001,SMALL(IF(RECON_RESULTS!$A$2:$A$1001="Near Match",ROW(RECON_RESULTS!$A$2:$A$1001)-1),137)))</f>
        <v/>
      </c>
      <c r="K547" s="11" t="inlineStr"/>
      <c r="L547" s="11" t="inlineStr"/>
    </row>
    <row r="548">
      <c r="B548" s="11">
        <f>IFERROR(INDEX(RECON_RESULTS!$A$2:$A$1001,SMALL(IF(RECON_RESULTS!$A$2:$A$1001="Near Match",ROW(RECON_RESULTS!$A$2:$A$1001)-1),138)),"")</f>
        <v/>
      </c>
      <c r="C548" s="11">
        <f>IF(B548="","",INDEX(RECON_RESULTS!$B$2:$B$1001,SMALL(IF(RECON_RESULTS!$A$2:$A$1001="Near Match",ROW(RECON_RESULTS!$A$2:$A$1001)-1),138)))</f>
        <v/>
      </c>
      <c r="D548" s="10">
        <f>IF(B548="","",INDEX(RECON_RESULTS!$C$2:$C$1001,SMALL(IF(RECON_RESULTS!$A$2:$A$1001="Near Match",ROW(RECON_RESULTS!$A$2:$A$1001)-1),138)))</f>
        <v/>
      </c>
      <c r="E548" s="16">
        <f>IF(B548="","",INDEX(RECON_RESULTS!$D$2:$D$1001,SMALL(IF(RECON_RESULTS!$A$2:$A$1001="Near Match",ROW(RECON_RESULTS!$A$2:$A$1001)-1),138)))</f>
        <v/>
      </c>
      <c r="F548" s="10">
        <f>IF(B548="","",INDEX(RECON_RESULTS!$F$2:$F$1001,SMALL(IF(RECON_RESULTS!$A$2:$A$1001="Near Match",ROW(RECON_RESULTS!$A$2:$A$1001)-1),138)))</f>
        <v/>
      </c>
      <c r="G548" s="16">
        <f>IF(B548="","",INDEX(RECON_RESULTS!$I$2:$I$1001,SMALL(IF(RECON_RESULTS!$A$2:$A$1001="Near Match",ROW(RECON_RESULTS!$A$2:$A$1001)-1),138)))</f>
        <v/>
      </c>
      <c r="H548" s="12">
        <f>IF(B548="","",INDEX(RECON_RESULTS!$J$2:$J$1001,SMALL(IF(RECON_RESULTS!$A$2:$A$1001="Near Match",ROW(RECON_RESULTS!$A$2:$A$1001)-1),138)))</f>
        <v/>
      </c>
      <c r="I548" s="11">
        <f>IF(B548="","",INDEX(RECON_RESULTS!$K$2:$K$1001,SMALL(IF(RECON_RESULTS!$A$2:$A$1001="Near Match",ROW(RECON_RESULTS!$A$2:$A$1001)-1),138)))</f>
        <v/>
      </c>
      <c r="J548" s="17">
        <f>IF(B548="","",INDEX(RECON_RESULTS!$L$2:$L$1001,SMALL(IF(RECON_RESULTS!$A$2:$A$1001="Near Match",ROW(RECON_RESULTS!$A$2:$A$1001)-1),138)))</f>
        <v/>
      </c>
      <c r="K548" s="11" t="inlineStr"/>
      <c r="L548" s="11" t="inlineStr"/>
    </row>
    <row r="549">
      <c r="B549" s="11">
        <f>IFERROR(INDEX(RECON_RESULTS!$A$2:$A$1001,SMALL(IF(RECON_RESULTS!$A$2:$A$1001="Near Match",ROW(RECON_RESULTS!$A$2:$A$1001)-1),139)),"")</f>
        <v/>
      </c>
      <c r="C549" s="11">
        <f>IF(B549="","",INDEX(RECON_RESULTS!$B$2:$B$1001,SMALL(IF(RECON_RESULTS!$A$2:$A$1001="Near Match",ROW(RECON_RESULTS!$A$2:$A$1001)-1),139)))</f>
        <v/>
      </c>
      <c r="D549" s="10">
        <f>IF(B549="","",INDEX(RECON_RESULTS!$C$2:$C$1001,SMALL(IF(RECON_RESULTS!$A$2:$A$1001="Near Match",ROW(RECON_RESULTS!$A$2:$A$1001)-1),139)))</f>
        <v/>
      </c>
      <c r="E549" s="16">
        <f>IF(B549="","",INDEX(RECON_RESULTS!$D$2:$D$1001,SMALL(IF(RECON_RESULTS!$A$2:$A$1001="Near Match",ROW(RECON_RESULTS!$A$2:$A$1001)-1),139)))</f>
        <v/>
      </c>
      <c r="F549" s="10">
        <f>IF(B549="","",INDEX(RECON_RESULTS!$F$2:$F$1001,SMALL(IF(RECON_RESULTS!$A$2:$A$1001="Near Match",ROW(RECON_RESULTS!$A$2:$A$1001)-1),139)))</f>
        <v/>
      </c>
      <c r="G549" s="16">
        <f>IF(B549="","",INDEX(RECON_RESULTS!$I$2:$I$1001,SMALL(IF(RECON_RESULTS!$A$2:$A$1001="Near Match",ROW(RECON_RESULTS!$A$2:$A$1001)-1),139)))</f>
        <v/>
      </c>
      <c r="H549" s="12">
        <f>IF(B549="","",INDEX(RECON_RESULTS!$J$2:$J$1001,SMALL(IF(RECON_RESULTS!$A$2:$A$1001="Near Match",ROW(RECON_RESULTS!$A$2:$A$1001)-1),139)))</f>
        <v/>
      </c>
      <c r="I549" s="11">
        <f>IF(B549="","",INDEX(RECON_RESULTS!$K$2:$K$1001,SMALL(IF(RECON_RESULTS!$A$2:$A$1001="Near Match",ROW(RECON_RESULTS!$A$2:$A$1001)-1),139)))</f>
        <v/>
      </c>
      <c r="J549" s="17">
        <f>IF(B549="","",INDEX(RECON_RESULTS!$L$2:$L$1001,SMALL(IF(RECON_RESULTS!$A$2:$A$1001="Near Match",ROW(RECON_RESULTS!$A$2:$A$1001)-1),139)))</f>
        <v/>
      </c>
      <c r="K549" s="11" t="inlineStr"/>
      <c r="L549" s="11" t="inlineStr"/>
    </row>
    <row r="550">
      <c r="B550" s="11">
        <f>IFERROR(INDEX(RECON_RESULTS!$A$2:$A$1001,SMALL(IF(RECON_RESULTS!$A$2:$A$1001="Near Match",ROW(RECON_RESULTS!$A$2:$A$1001)-1),140)),"")</f>
        <v/>
      </c>
      <c r="C550" s="11">
        <f>IF(B550="","",INDEX(RECON_RESULTS!$B$2:$B$1001,SMALL(IF(RECON_RESULTS!$A$2:$A$1001="Near Match",ROW(RECON_RESULTS!$A$2:$A$1001)-1),140)))</f>
        <v/>
      </c>
      <c r="D550" s="10">
        <f>IF(B550="","",INDEX(RECON_RESULTS!$C$2:$C$1001,SMALL(IF(RECON_RESULTS!$A$2:$A$1001="Near Match",ROW(RECON_RESULTS!$A$2:$A$1001)-1),140)))</f>
        <v/>
      </c>
      <c r="E550" s="16">
        <f>IF(B550="","",INDEX(RECON_RESULTS!$D$2:$D$1001,SMALL(IF(RECON_RESULTS!$A$2:$A$1001="Near Match",ROW(RECON_RESULTS!$A$2:$A$1001)-1),140)))</f>
        <v/>
      </c>
      <c r="F550" s="10">
        <f>IF(B550="","",INDEX(RECON_RESULTS!$F$2:$F$1001,SMALL(IF(RECON_RESULTS!$A$2:$A$1001="Near Match",ROW(RECON_RESULTS!$A$2:$A$1001)-1),140)))</f>
        <v/>
      </c>
      <c r="G550" s="16">
        <f>IF(B550="","",INDEX(RECON_RESULTS!$I$2:$I$1001,SMALL(IF(RECON_RESULTS!$A$2:$A$1001="Near Match",ROW(RECON_RESULTS!$A$2:$A$1001)-1),140)))</f>
        <v/>
      </c>
      <c r="H550" s="12">
        <f>IF(B550="","",INDEX(RECON_RESULTS!$J$2:$J$1001,SMALL(IF(RECON_RESULTS!$A$2:$A$1001="Near Match",ROW(RECON_RESULTS!$A$2:$A$1001)-1),140)))</f>
        <v/>
      </c>
      <c r="I550" s="11">
        <f>IF(B550="","",INDEX(RECON_RESULTS!$K$2:$K$1001,SMALL(IF(RECON_RESULTS!$A$2:$A$1001="Near Match",ROW(RECON_RESULTS!$A$2:$A$1001)-1),140)))</f>
        <v/>
      </c>
      <c r="J550" s="17">
        <f>IF(B550="","",INDEX(RECON_RESULTS!$L$2:$L$1001,SMALL(IF(RECON_RESULTS!$A$2:$A$1001="Near Match",ROW(RECON_RESULTS!$A$2:$A$1001)-1),140)))</f>
        <v/>
      </c>
      <c r="K550" s="11" t="inlineStr"/>
      <c r="L550" s="11" t="inlineStr"/>
    </row>
    <row r="551">
      <c r="B551" s="11">
        <f>IFERROR(INDEX(RECON_RESULTS!$A$2:$A$1001,SMALL(IF(RECON_RESULTS!$A$2:$A$1001="Near Match",ROW(RECON_RESULTS!$A$2:$A$1001)-1),141)),"")</f>
        <v/>
      </c>
      <c r="C551" s="11">
        <f>IF(B551="","",INDEX(RECON_RESULTS!$B$2:$B$1001,SMALL(IF(RECON_RESULTS!$A$2:$A$1001="Near Match",ROW(RECON_RESULTS!$A$2:$A$1001)-1),141)))</f>
        <v/>
      </c>
      <c r="D551" s="10">
        <f>IF(B551="","",INDEX(RECON_RESULTS!$C$2:$C$1001,SMALL(IF(RECON_RESULTS!$A$2:$A$1001="Near Match",ROW(RECON_RESULTS!$A$2:$A$1001)-1),141)))</f>
        <v/>
      </c>
      <c r="E551" s="16">
        <f>IF(B551="","",INDEX(RECON_RESULTS!$D$2:$D$1001,SMALL(IF(RECON_RESULTS!$A$2:$A$1001="Near Match",ROW(RECON_RESULTS!$A$2:$A$1001)-1),141)))</f>
        <v/>
      </c>
      <c r="F551" s="10">
        <f>IF(B551="","",INDEX(RECON_RESULTS!$F$2:$F$1001,SMALL(IF(RECON_RESULTS!$A$2:$A$1001="Near Match",ROW(RECON_RESULTS!$A$2:$A$1001)-1),141)))</f>
        <v/>
      </c>
      <c r="G551" s="16">
        <f>IF(B551="","",INDEX(RECON_RESULTS!$I$2:$I$1001,SMALL(IF(RECON_RESULTS!$A$2:$A$1001="Near Match",ROW(RECON_RESULTS!$A$2:$A$1001)-1),141)))</f>
        <v/>
      </c>
      <c r="H551" s="12">
        <f>IF(B551="","",INDEX(RECON_RESULTS!$J$2:$J$1001,SMALL(IF(RECON_RESULTS!$A$2:$A$1001="Near Match",ROW(RECON_RESULTS!$A$2:$A$1001)-1),141)))</f>
        <v/>
      </c>
      <c r="I551" s="11">
        <f>IF(B551="","",INDEX(RECON_RESULTS!$K$2:$K$1001,SMALL(IF(RECON_RESULTS!$A$2:$A$1001="Near Match",ROW(RECON_RESULTS!$A$2:$A$1001)-1),141)))</f>
        <v/>
      </c>
      <c r="J551" s="17">
        <f>IF(B551="","",INDEX(RECON_RESULTS!$L$2:$L$1001,SMALL(IF(RECON_RESULTS!$A$2:$A$1001="Near Match",ROW(RECON_RESULTS!$A$2:$A$1001)-1),141)))</f>
        <v/>
      </c>
      <c r="K551" s="11" t="inlineStr"/>
      <c r="L551" s="11" t="inlineStr"/>
    </row>
    <row r="552">
      <c r="B552" s="11">
        <f>IFERROR(INDEX(RECON_RESULTS!$A$2:$A$1001,SMALL(IF(RECON_RESULTS!$A$2:$A$1001="Near Match",ROW(RECON_RESULTS!$A$2:$A$1001)-1),142)),"")</f>
        <v/>
      </c>
      <c r="C552" s="11">
        <f>IF(B552="","",INDEX(RECON_RESULTS!$B$2:$B$1001,SMALL(IF(RECON_RESULTS!$A$2:$A$1001="Near Match",ROW(RECON_RESULTS!$A$2:$A$1001)-1),142)))</f>
        <v/>
      </c>
      <c r="D552" s="10">
        <f>IF(B552="","",INDEX(RECON_RESULTS!$C$2:$C$1001,SMALL(IF(RECON_RESULTS!$A$2:$A$1001="Near Match",ROW(RECON_RESULTS!$A$2:$A$1001)-1),142)))</f>
        <v/>
      </c>
      <c r="E552" s="16">
        <f>IF(B552="","",INDEX(RECON_RESULTS!$D$2:$D$1001,SMALL(IF(RECON_RESULTS!$A$2:$A$1001="Near Match",ROW(RECON_RESULTS!$A$2:$A$1001)-1),142)))</f>
        <v/>
      </c>
      <c r="F552" s="10">
        <f>IF(B552="","",INDEX(RECON_RESULTS!$F$2:$F$1001,SMALL(IF(RECON_RESULTS!$A$2:$A$1001="Near Match",ROW(RECON_RESULTS!$A$2:$A$1001)-1),142)))</f>
        <v/>
      </c>
      <c r="G552" s="16">
        <f>IF(B552="","",INDEX(RECON_RESULTS!$I$2:$I$1001,SMALL(IF(RECON_RESULTS!$A$2:$A$1001="Near Match",ROW(RECON_RESULTS!$A$2:$A$1001)-1),142)))</f>
        <v/>
      </c>
      <c r="H552" s="12">
        <f>IF(B552="","",INDEX(RECON_RESULTS!$J$2:$J$1001,SMALL(IF(RECON_RESULTS!$A$2:$A$1001="Near Match",ROW(RECON_RESULTS!$A$2:$A$1001)-1),142)))</f>
        <v/>
      </c>
      <c r="I552" s="11">
        <f>IF(B552="","",INDEX(RECON_RESULTS!$K$2:$K$1001,SMALL(IF(RECON_RESULTS!$A$2:$A$1001="Near Match",ROW(RECON_RESULTS!$A$2:$A$1001)-1),142)))</f>
        <v/>
      </c>
      <c r="J552" s="17">
        <f>IF(B552="","",INDEX(RECON_RESULTS!$L$2:$L$1001,SMALL(IF(RECON_RESULTS!$A$2:$A$1001="Near Match",ROW(RECON_RESULTS!$A$2:$A$1001)-1),142)))</f>
        <v/>
      </c>
      <c r="K552" s="11" t="inlineStr"/>
      <c r="L552" s="11" t="inlineStr"/>
    </row>
    <row r="553">
      <c r="B553" s="11">
        <f>IFERROR(INDEX(RECON_RESULTS!$A$2:$A$1001,SMALL(IF(RECON_RESULTS!$A$2:$A$1001="Near Match",ROW(RECON_RESULTS!$A$2:$A$1001)-1),143)),"")</f>
        <v/>
      </c>
      <c r="C553" s="11">
        <f>IF(B553="","",INDEX(RECON_RESULTS!$B$2:$B$1001,SMALL(IF(RECON_RESULTS!$A$2:$A$1001="Near Match",ROW(RECON_RESULTS!$A$2:$A$1001)-1),143)))</f>
        <v/>
      </c>
      <c r="D553" s="10">
        <f>IF(B553="","",INDEX(RECON_RESULTS!$C$2:$C$1001,SMALL(IF(RECON_RESULTS!$A$2:$A$1001="Near Match",ROW(RECON_RESULTS!$A$2:$A$1001)-1),143)))</f>
        <v/>
      </c>
      <c r="E553" s="16">
        <f>IF(B553="","",INDEX(RECON_RESULTS!$D$2:$D$1001,SMALL(IF(RECON_RESULTS!$A$2:$A$1001="Near Match",ROW(RECON_RESULTS!$A$2:$A$1001)-1),143)))</f>
        <v/>
      </c>
      <c r="F553" s="10">
        <f>IF(B553="","",INDEX(RECON_RESULTS!$F$2:$F$1001,SMALL(IF(RECON_RESULTS!$A$2:$A$1001="Near Match",ROW(RECON_RESULTS!$A$2:$A$1001)-1),143)))</f>
        <v/>
      </c>
      <c r="G553" s="16">
        <f>IF(B553="","",INDEX(RECON_RESULTS!$I$2:$I$1001,SMALL(IF(RECON_RESULTS!$A$2:$A$1001="Near Match",ROW(RECON_RESULTS!$A$2:$A$1001)-1),143)))</f>
        <v/>
      </c>
      <c r="H553" s="12">
        <f>IF(B553="","",INDEX(RECON_RESULTS!$J$2:$J$1001,SMALL(IF(RECON_RESULTS!$A$2:$A$1001="Near Match",ROW(RECON_RESULTS!$A$2:$A$1001)-1),143)))</f>
        <v/>
      </c>
      <c r="I553" s="11">
        <f>IF(B553="","",INDEX(RECON_RESULTS!$K$2:$K$1001,SMALL(IF(RECON_RESULTS!$A$2:$A$1001="Near Match",ROW(RECON_RESULTS!$A$2:$A$1001)-1),143)))</f>
        <v/>
      </c>
      <c r="J553" s="17">
        <f>IF(B553="","",INDEX(RECON_RESULTS!$L$2:$L$1001,SMALL(IF(RECON_RESULTS!$A$2:$A$1001="Near Match",ROW(RECON_RESULTS!$A$2:$A$1001)-1),143)))</f>
        <v/>
      </c>
      <c r="K553" s="11" t="inlineStr"/>
      <c r="L553" s="11" t="inlineStr"/>
    </row>
    <row r="554">
      <c r="B554" s="11">
        <f>IFERROR(INDEX(RECON_RESULTS!$A$2:$A$1001,SMALL(IF(RECON_RESULTS!$A$2:$A$1001="Near Match",ROW(RECON_RESULTS!$A$2:$A$1001)-1),144)),"")</f>
        <v/>
      </c>
      <c r="C554" s="11">
        <f>IF(B554="","",INDEX(RECON_RESULTS!$B$2:$B$1001,SMALL(IF(RECON_RESULTS!$A$2:$A$1001="Near Match",ROW(RECON_RESULTS!$A$2:$A$1001)-1),144)))</f>
        <v/>
      </c>
      <c r="D554" s="10">
        <f>IF(B554="","",INDEX(RECON_RESULTS!$C$2:$C$1001,SMALL(IF(RECON_RESULTS!$A$2:$A$1001="Near Match",ROW(RECON_RESULTS!$A$2:$A$1001)-1),144)))</f>
        <v/>
      </c>
      <c r="E554" s="16">
        <f>IF(B554="","",INDEX(RECON_RESULTS!$D$2:$D$1001,SMALL(IF(RECON_RESULTS!$A$2:$A$1001="Near Match",ROW(RECON_RESULTS!$A$2:$A$1001)-1),144)))</f>
        <v/>
      </c>
      <c r="F554" s="10">
        <f>IF(B554="","",INDEX(RECON_RESULTS!$F$2:$F$1001,SMALL(IF(RECON_RESULTS!$A$2:$A$1001="Near Match",ROW(RECON_RESULTS!$A$2:$A$1001)-1),144)))</f>
        <v/>
      </c>
      <c r="G554" s="16">
        <f>IF(B554="","",INDEX(RECON_RESULTS!$I$2:$I$1001,SMALL(IF(RECON_RESULTS!$A$2:$A$1001="Near Match",ROW(RECON_RESULTS!$A$2:$A$1001)-1),144)))</f>
        <v/>
      </c>
      <c r="H554" s="12">
        <f>IF(B554="","",INDEX(RECON_RESULTS!$J$2:$J$1001,SMALL(IF(RECON_RESULTS!$A$2:$A$1001="Near Match",ROW(RECON_RESULTS!$A$2:$A$1001)-1),144)))</f>
        <v/>
      </c>
      <c r="I554" s="11">
        <f>IF(B554="","",INDEX(RECON_RESULTS!$K$2:$K$1001,SMALL(IF(RECON_RESULTS!$A$2:$A$1001="Near Match",ROW(RECON_RESULTS!$A$2:$A$1001)-1),144)))</f>
        <v/>
      </c>
      <c r="J554" s="17">
        <f>IF(B554="","",INDEX(RECON_RESULTS!$L$2:$L$1001,SMALL(IF(RECON_RESULTS!$A$2:$A$1001="Near Match",ROW(RECON_RESULTS!$A$2:$A$1001)-1),144)))</f>
        <v/>
      </c>
      <c r="K554" s="11" t="inlineStr"/>
      <c r="L554" s="11" t="inlineStr"/>
    </row>
    <row r="555">
      <c r="B555" s="11">
        <f>IFERROR(INDEX(RECON_RESULTS!$A$2:$A$1001,SMALL(IF(RECON_RESULTS!$A$2:$A$1001="Near Match",ROW(RECON_RESULTS!$A$2:$A$1001)-1),145)),"")</f>
        <v/>
      </c>
      <c r="C555" s="11">
        <f>IF(B555="","",INDEX(RECON_RESULTS!$B$2:$B$1001,SMALL(IF(RECON_RESULTS!$A$2:$A$1001="Near Match",ROW(RECON_RESULTS!$A$2:$A$1001)-1),145)))</f>
        <v/>
      </c>
      <c r="D555" s="10">
        <f>IF(B555="","",INDEX(RECON_RESULTS!$C$2:$C$1001,SMALL(IF(RECON_RESULTS!$A$2:$A$1001="Near Match",ROW(RECON_RESULTS!$A$2:$A$1001)-1),145)))</f>
        <v/>
      </c>
      <c r="E555" s="16">
        <f>IF(B555="","",INDEX(RECON_RESULTS!$D$2:$D$1001,SMALL(IF(RECON_RESULTS!$A$2:$A$1001="Near Match",ROW(RECON_RESULTS!$A$2:$A$1001)-1),145)))</f>
        <v/>
      </c>
      <c r="F555" s="10">
        <f>IF(B555="","",INDEX(RECON_RESULTS!$F$2:$F$1001,SMALL(IF(RECON_RESULTS!$A$2:$A$1001="Near Match",ROW(RECON_RESULTS!$A$2:$A$1001)-1),145)))</f>
        <v/>
      </c>
      <c r="G555" s="16">
        <f>IF(B555="","",INDEX(RECON_RESULTS!$I$2:$I$1001,SMALL(IF(RECON_RESULTS!$A$2:$A$1001="Near Match",ROW(RECON_RESULTS!$A$2:$A$1001)-1),145)))</f>
        <v/>
      </c>
      <c r="H555" s="12">
        <f>IF(B555="","",INDEX(RECON_RESULTS!$J$2:$J$1001,SMALL(IF(RECON_RESULTS!$A$2:$A$1001="Near Match",ROW(RECON_RESULTS!$A$2:$A$1001)-1),145)))</f>
        <v/>
      </c>
      <c r="I555" s="11">
        <f>IF(B555="","",INDEX(RECON_RESULTS!$K$2:$K$1001,SMALL(IF(RECON_RESULTS!$A$2:$A$1001="Near Match",ROW(RECON_RESULTS!$A$2:$A$1001)-1),145)))</f>
        <v/>
      </c>
      <c r="J555" s="17">
        <f>IF(B555="","",INDEX(RECON_RESULTS!$L$2:$L$1001,SMALL(IF(RECON_RESULTS!$A$2:$A$1001="Near Match",ROW(RECON_RESULTS!$A$2:$A$1001)-1),145)))</f>
        <v/>
      </c>
      <c r="K555" s="11" t="inlineStr"/>
      <c r="L555" s="11" t="inlineStr"/>
    </row>
    <row r="556">
      <c r="B556" s="11">
        <f>IFERROR(INDEX(RECON_RESULTS!$A$2:$A$1001,SMALL(IF(RECON_RESULTS!$A$2:$A$1001="Near Match",ROW(RECON_RESULTS!$A$2:$A$1001)-1),146)),"")</f>
        <v/>
      </c>
      <c r="C556" s="11">
        <f>IF(B556="","",INDEX(RECON_RESULTS!$B$2:$B$1001,SMALL(IF(RECON_RESULTS!$A$2:$A$1001="Near Match",ROW(RECON_RESULTS!$A$2:$A$1001)-1),146)))</f>
        <v/>
      </c>
      <c r="D556" s="10">
        <f>IF(B556="","",INDEX(RECON_RESULTS!$C$2:$C$1001,SMALL(IF(RECON_RESULTS!$A$2:$A$1001="Near Match",ROW(RECON_RESULTS!$A$2:$A$1001)-1),146)))</f>
        <v/>
      </c>
      <c r="E556" s="16">
        <f>IF(B556="","",INDEX(RECON_RESULTS!$D$2:$D$1001,SMALL(IF(RECON_RESULTS!$A$2:$A$1001="Near Match",ROW(RECON_RESULTS!$A$2:$A$1001)-1),146)))</f>
        <v/>
      </c>
      <c r="F556" s="10">
        <f>IF(B556="","",INDEX(RECON_RESULTS!$F$2:$F$1001,SMALL(IF(RECON_RESULTS!$A$2:$A$1001="Near Match",ROW(RECON_RESULTS!$A$2:$A$1001)-1),146)))</f>
        <v/>
      </c>
      <c r="G556" s="16">
        <f>IF(B556="","",INDEX(RECON_RESULTS!$I$2:$I$1001,SMALL(IF(RECON_RESULTS!$A$2:$A$1001="Near Match",ROW(RECON_RESULTS!$A$2:$A$1001)-1),146)))</f>
        <v/>
      </c>
      <c r="H556" s="12">
        <f>IF(B556="","",INDEX(RECON_RESULTS!$J$2:$J$1001,SMALL(IF(RECON_RESULTS!$A$2:$A$1001="Near Match",ROW(RECON_RESULTS!$A$2:$A$1001)-1),146)))</f>
        <v/>
      </c>
      <c r="I556" s="11">
        <f>IF(B556="","",INDEX(RECON_RESULTS!$K$2:$K$1001,SMALL(IF(RECON_RESULTS!$A$2:$A$1001="Near Match",ROW(RECON_RESULTS!$A$2:$A$1001)-1),146)))</f>
        <v/>
      </c>
      <c r="J556" s="17">
        <f>IF(B556="","",INDEX(RECON_RESULTS!$L$2:$L$1001,SMALL(IF(RECON_RESULTS!$A$2:$A$1001="Near Match",ROW(RECON_RESULTS!$A$2:$A$1001)-1),146)))</f>
        <v/>
      </c>
      <c r="K556" s="11" t="inlineStr"/>
      <c r="L556" s="11" t="inlineStr"/>
    </row>
    <row r="557">
      <c r="B557" s="11">
        <f>IFERROR(INDEX(RECON_RESULTS!$A$2:$A$1001,SMALL(IF(RECON_RESULTS!$A$2:$A$1001="Near Match",ROW(RECON_RESULTS!$A$2:$A$1001)-1),147)),"")</f>
        <v/>
      </c>
      <c r="C557" s="11">
        <f>IF(B557="","",INDEX(RECON_RESULTS!$B$2:$B$1001,SMALL(IF(RECON_RESULTS!$A$2:$A$1001="Near Match",ROW(RECON_RESULTS!$A$2:$A$1001)-1),147)))</f>
        <v/>
      </c>
      <c r="D557" s="10">
        <f>IF(B557="","",INDEX(RECON_RESULTS!$C$2:$C$1001,SMALL(IF(RECON_RESULTS!$A$2:$A$1001="Near Match",ROW(RECON_RESULTS!$A$2:$A$1001)-1),147)))</f>
        <v/>
      </c>
      <c r="E557" s="16">
        <f>IF(B557="","",INDEX(RECON_RESULTS!$D$2:$D$1001,SMALL(IF(RECON_RESULTS!$A$2:$A$1001="Near Match",ROW(RECON_RESULTS!$A$2:$A$1001)-1),147)))</f>
        <v/>
      </c>
      <c r="F557" s="10">
        <f>IF(B557="","",INDEX(RECON_RESULTS!$F$2:$F$1001,SMALL(IF(RECON_RESULTS!$A$2:$A$1001="Near Match",ROW(RECON_RESULTS!$A$2:$A$1001)-1),147)))</f>
        <v/>
      </c>
      <c r="G557" s="16">
        <f>IF(B557="","",INDEX(RECON_RESULTS!$I$2:$I$1001,SMALL(IF(RECON_RESULTS!$A$2:$A$1001="Near Match",ROW(RECON_RESULTS!$A$2:$A$1001)-1),147)))</f>
        <v/>
      </c>
      <c r="H557" s="12">
        <f>IF(B557="","",INDEX(RECON_RESULTS!$J$2:$J$1001,SMALL(IF(RECON_RESULTS!$A$2:$A$1001="Near Match",ROW(RECON_RESULTS!$A$2:$A$1001)-1),147)))</f>
        <v/>
      </c>
      <c r="I557" s="11">
        <f>IF(B557="","",INDEX(RECON_RESULTS!$K$2:$K$1001,SMALL(IF(RECON_RESULTS!$A$2:$A$1001="Near Match",ROW(RECON_RESULTS!$A$2:$A$1001)-1),147)))</f>
        <v/>
      </c>
      <c r="J557" s="17">
        <f>IF(B557="","",INDEX(RECON_RESULTS!$L$2:$L$1001,SMALL(IF(RECON_RESULTS!$A$2:$A$1001="Near Match",ROW(RECON_RESULTS!$A$2:$A$1001)-1),147)))</f>
        <v/>
      </c>
      <c r="K557" s="11" t="inlineStr"/>
      <c r="L557" s="11" t="inlineStr"/>
    </row>
    <row r="558">
      <c r="B558" s="11">
        <f>IFERROR(INDEX(RECON_RESULTS!$A$2:$A$1001,SMALL(IF(RECON_RESULTS!$A$2:$A$1001="Near Match",ROW(RECON_RESULTS!$A$2:$A$1001)-1),148)),"")</f>
        <v/>
      </c>
      <c r="C558" s="11">
        <f>IF(B558="","",INDEX(RECON_RESULTS!$B$2:$B$1001,SMALL(IF(RECON_RESULTS!$A$2:$A$1001="Near Match",ROW(RECON_RESULTS!$A$2:$A$1001)-1),148)))</f>
        <v/>
      </c>
      <c r="D558" s="10">
        <f>IF(B558="","",INDEX(RECON_RESULTS!$C$2:$C$1001,SMALL(IF(RECON_RESULTS!$A$2:$A$1001="Near Match",ROW(RECON_RESULTS!$A$2:$A$1001)-1),148)))</f>
        <v/>
      </c>
      <c r="E558" s="16">
        <f>IF(B558="","",INDEX(RECON_RESULTS!$D$2:$D$1001,SMALL(IF(RECON_RESULTS!$A$2:$A$1001="Near Match",ROW(RECON_RESULTS!$A$2:$A$1001)-1),148)))</f>
        <v/>
      </c>
      <c r="F558" s="10">
        <f>IF(B558="","",INDEX(RECON_RESULTS!$F$2:$F$1001,SMALL(IF(RECON_RESULTS!$A$2:$A$1001="Near Match",ROW(RECON_RESULTS!$A$2:$A$1001)-1),148)))</f>
        <v/>
      </c>
      <c r="G558" s="16">
        <f>IF(B558="","",INDEX(RECON_RESULTS!$I$2:$I$1001,SMALL(IF(RECON_RESULTS!$A$2:$A$1001="Near Match",ROW(RECON_RESULTS!$A$2:$A$1001)-1),148)))</f>
        <v/>
      </c>
      <c r="H558" s="12">
        <f>IF(B558="","",INDEX(RECON_RESULTS!$J$2:$J$1001,SMALL(IF(RECON_RESULTS!$A$2:$A$1001="Near Match",ROW(RECON_RESULTS!$A$2:$A$1001)-1),148)))</f>
        <v/>
      </c>
      <c r="I558" s="11">
        <f>IF(B558="","",INDEX(RECON_RESULTS!$K$2:$K$1001,SMALL(IF(RECON_RESULTS!$A$2:$A$1001="Near Match",ROW(RECON_RESULTS!$A$2:$A$1001)-1),148)))</f>
        <v/>
      </c>
      <c r="J558" s="17">
        <f>IF(B558="","",INDEX(RECON_RESULTS!$L$2:$L$1001,SMALL(IF(RECON_RESULTS!$A$2:$A$1001="Near Match",ROW(RECON_RESULTS!$A$2:$A$1001)-1),148)))</f>
        <v/>
      </c>
      <c r="K558" s="11" t="inlineStr"/>
      <c r="L558" s="11" t="inlineStr"/>
    </row>
    <row r="559">
      <c r="B559" s="11">
        <f>IFERROR(INDEX(RECON_RESULTS!$A$2:$A$1001,SMALL(IF(RECON_RESULTS!$A$2:$A$1001="Near Match",ROW(RECON_RESULTS!$A$2:$A$1001)-1),149)),"")</f>
        <v/>
      </c>
      <c r="C559" s="11">
        <f>IF(B559="","",INDEX(RECON_RESULTS!$B$2:$B$1001,SMALL(IF(RECON_RESULTS!$A$2:$A$1001="Near Match",ROW(RECON_RESULTS!$A$2:$A$1001)-1),149)))</f>
        <v/>
      </c>
      <c r="D559" s="10">
        <f>IF(B559="","",INDEX(RECON_RESULTS!$C$2:$C$1001,SMALL(IF(RECON_RESULTS!$A$2:$A$1001="Near Match",ROW(RECON_RESULTS!$A$2:$A$1001)-1),149)))</f>
        <v/>
      </c>
      <c r="E559" s="16">
        <f>IF(B559="","",INDEX(RECON_RESULTS!$D$2:$D$1001,SMALL(IF(RECON_RESULTS!$A$2:$A$1001="Near Match",ROW(RECON_RESULTS!$A$2:$A$1001)-1),149)))</f>
        <v/>
      </c>
      <c r="F559" s="10">
        <f>IF(B559="","",INDEX(RECON_RESULTS!$F$2:$F$1001,SMALL(IF(RECON_RESULTS!$A$2:$A$1001="Near Match",ROW(RECON_RESULTS!$A$2:$A$1001)-1),149)))</f>
        <v/>
      </c>
      <c r="G559" s="16">
        <f>IF(B559="","",INDEX(RECON_RESULTS!$I$2:$I$1001,SMALL(IF(RECON_RESULTS!$A$2:$A$1001="Near Match",ROW(RECON_RESULTS!$A$2:$A$1001)-1),149)))</f>
        <v/>
      </c>
      <c r="H559" s="12">
        <f>IF(B559="","",INDEX(RECON_RESULTS!$J$2:$J$1001,SMALL(IF(RECON_RESULTS!$A$2:$A$1001="Near Match",ROW(RECON_RESULTS!$A$2:$A$1001)-1),149)))</f>
        <v/>
      </c>
      <c r="I559" s="11">
        <f>IF(B559="","",INDEX(RECON_RESULTS!$K$2:$K$1001,SMALL(IF(RECON_RESULTS!$A$2:$A$1001="Near Match",ROW(RECON_RESULTS!$A$2:$A$1001)-1),149)))</f>
        <v/>
      </c>
      <c r="J559" s="17">
        <f>IF(B559="","",INDEX(RECON_RESULTS!$L$2:$L$1001,SMALL(IF(RECON_RESULTS!$A$2:$A$1001="Near Match",ROW(RECON_RESULTS!$A$2:$A$1001)-1),149)))</f>
        <v/>
      </c>
      <c r="K559" s="11" t="inlineStr"/>
      <c r="L559" s="11" t="inlineStr"/>
    </row>
    <row r="560">
      <c r="B560" s="11">
        <f>IFERROR(INDEX(RECON_RESULTS!$A$2:$A$1001,SMALL(IF(RECON_RESULTS!$A$2:$A$1001="Near Match",ROW(RECON_RESULTS!$A$2:$A$1001)-1),150)),"")</f>
        <v/>
      </c>
      <c r="C560" s="11">
        <f>IF(B560="","",INDEX(RECON_RESULTS!$B$2:$B$1001,SMALL(IF(RECON_RESULTS!$A$2:$A$1001="Near Match",ROW(RECON_RESULTS!$A$2:$A$1001)-1),150)))</f>
        <v/>
      </c>
      <c r="D560" s="10">
        <f>IF(B560="","",INDEX(RECON_RESULTS!$C$2:$C$1001,SMALL(IF(RECON_RESULTS!$A$2:$A$1001="Near Match",ROW(RECON_RESULTS!$A$2:$A$1001)-1),150)))</f>
        <v/>
      </c>
      <c r="E560" s="16">
        <f>IF(B560="","",INDEX(RECON_RESULTS!$D$2:$D$1001,SMALL(IF(RECON_RESULTS!$A$2:$A$1001="Near Match",ROW(RECON_RESULTS!$A$2:$A$1001)-1),150)))</f>
        <v/>
      </c>
      <c r="F560" s="10">
        <f>IF(B560="","",INDEX(RECON_RESULTS!$F$2:$F$1001,SMALL(IF(RECON_RESULTS!$A$2:$A$1001="Near Match",ROW(RECON_RESULTS!$A$2:$A$1001)-1),150)))</f>
        <v/>
      </c>
      <c r="G560" s="16">
        <f>IF(B560="","",INDEX(RECON_RESULTS!$I$2:$I$1001,SMALL(IF(RECON_RESULTS!$A$2:$A$1001="Near Match",ROW(RECON_RESULTS!$A$2:$A$1001)-1),150)))</f>
        <v/>
      </c>
      <c r="H560" s="12">
        <f>IF(B560="","",INDEX(RECON_RESULTS!$J$2:$J$1001,SMALL(IF(RECON_RESULTS!$A$2:$A$1001="Near Match",ROW(RECON_RESULTS!$A$2:$A$1001)-1),150)))</f>
        <v/>
      </c>
      <c r="I560" s="11">
        <f>IF(B560="","",INDEX(RECON_RESULTS!$K$2:$K$1001,SMALL(IF(RECON_RESULTS!$A$2:$A$1001="Near Match",ROW(RECON_RESULTS!$A$2:$A$1001)-1),150)))</f>
        <v/>
      </c>
      <c r="J560" s="17">
        <f>IF(B560="","",INDEX(RECON_RESULTS!$L$2:$L$1001,SMALL(IF(RECON_RESULTS!$A$2:$A$1001="Near Match",ROW(RECON_RESULTS!$A$2:$A$1001)-1),150)))</f>
        <v/>
      </c>
      <c r="K560" s="11" t="inlineStr"/>
      <c r="L560" s="11" t="inlineStr"/>
    </row>
    <row r="561">
      <c r="B561" s="11">
        <f>IFERROR(INDEX(RECON_RESULTS!$A$2:$A$1001,SMALL(IF(RECON_RESULTS!$A$2:$A$1001="Near Match",ROW(RECON_RESULTS!$A$2:$A$1001)-1),151)),"")</f>
        <v/>
      </c>
      <c r="C561" s="11">
        <f>IF(B561="","",INDEX(RECON_RESULTS!$B$2:$B$1001,SMALL(IF(RECON_RESULTS!$A$2:$A$1001="Near Match",ROW(RECON_RESULTS!$A$2:$A$1001)-1),151)))</f>
        <v/>
      </c>
      <c r="D561" s="10">
        <f>IF(B561="","",INDEX(RECON_RESULTS!$C$2:$C$1001,SMALL(IF(RECON_RESULTS!$A$2:$A$1001="Near Match",ROW(RECON_RESULTS!$A$2:$A$1001)-1),151)))</f>
        <v/>
      </c>
      <c r="E561" s="16">
        <f>IF(B561="","",INDEX(RECON_RESULTS!$D$2:$D$1001,SMALL(IF(RECON_RESULTS!$A$2:$A$1001="Near Match",ROW(RECON_RESULTS!$A$2:$A$1001)-1),151)))</f>
        <v/>
      </c>
      <c r="F561" s="10">
        <f>IF(B561="","",INDEX(RECON_RESULTS!$F$2:$F$1001,SMALL(IF(RECON_RESULTS!$A$2:$A$1001="Near Match",ROW(RECON_RESULTS!$A$2:$A$1001)-1),151)))</f>
        <v/>
      </c>
      <c r="G561" s="16">
        <f>IF(B561="","",INDEX(RECON_RESULTS!$I$2:$I$1001,SMALL(IF(RECON_RESULTS!$A$2:$A$1001="Near Match",ROW(RECON_RESULTS!$A$2:$A$1001)-1),151)))</f>
        <v/>
      </c>
      <c r="H561" s="12">
        <f>IF(B561="","",INDEX(RECON_RESULTS!$J$2:$J$1001,SMALL(IF(RECON_RESULTS!$A$2:$A$1001="Near Match",ROW(RECON_RESULTS!$A$2:$A$1001)-1),151)))</f>
        <v/>
      </c>
      <c r="I561" s="11">
        <f>IF(B561="","",INDEX(RECON_RESULTS!$K$2:$K$1001,SMALL(IF(RECON_RESULTS!$A$2:$A$1001="Near Match",ROW(RECON_RESULTS!$A$2:$A$1001)-1),151)))</f>
        <v/>
      </c>
      <c r="J561" s="17">
        <f>IF(B561="","",INDEX(RECON_RESULTS!$L$2:$L$1001,SMALL(IF(RECON_RESULTS!$A$2:$A$1001="Near Match",ROW(RECON_RESULTS!$A$2:$A$1001)-1),151)))</f>
        <v/>
      </c>
      <c r="K561" s="11" t="inlineStr"/>
      <c r="L561" s="11" t="inlineStr"/>
    </row>
    <row r="562">
      <c r="B562" s="11">
        <f>IFERROR(INDEX(RECON_RESULTS!$A$2:$A$1001,SMALL(IF(RECON_RESULTS!$A$2:$A$1001="Near Match",ROW(RECON_RESULTS!$A$2:$A$1001)-1),152)),"")</f>
        <v/>
      </c>
      <c r="C562" s="11">
        <f>IF(B562="","",INDEX(RECON_RESULTS!$B$2:$B$1001,SMALL(IF(RECON_RESULTS!$A$2:$A$1001="Near Match",ROW(RECON_RESULTS!$A$2:$A$1001)-1),152)))</f>
        <v/>
      </c>
      <c r="D562" s="10">
        <f>IF(B562="","",INDEX(RECON_RESULTS!$C$2:$C$1001,SMALL(IF(RECON_RESULTS!$A$2:$A$1001="Near Match",ROW(RECON_RESULTS!$A$2:$A$1001)-1),152)))</f>
        <v/>
      </c>
      <c r="E562" s="16">
        <f>IF(B562="","",INDEX(RECON_RESULTS!$D$2:$D$1001,SMALL(IF(RECON_RESULTS!$A$2:$A$1001="Near Match",ROW(RECON_RESULTS!$A$2:$A$1001)-1),152)))</f>
        <v/>
      </c>
      <c r="F562" s="10">
        <f>IF(B562="","",INDEX(RECON_RESULTS!$F$2:$F$1001,SMALL(IF(RECON_RESULTS!$A$2:$A$1001="Near Match",ROW(RECON_RESULTS!$A$2:$A$1001)-1),152)))</f>
        <v/>
      </c>
      <c r="G562" s="16">
        <f>IF(B562="","",INDEX(RECON_RESULTS!$I$2:$I$1001,SMALL(IF(RECON_RESULTS!$A$2:$A$1001="Near Match",ROW(RECON_RESULTS!$A$2:$A$1001)-1),152)))</f>
        <v/>
      </c>
      <c r="H562" s="12">
        <f>IF(B562="","",INDEX(RECON_RESULTS!$J$2:$J$1001,SMALL(IF(RECON_RESULTS!$A$2:$A$1001="Near Match",ROW(RECON_RESULTS!$A$2:$A$1001)-1),152)))</f>
        <v/>
      </c>
      <c r="I562" s="11">
        <f>IF(B562="","",INDEX(RECON_RESULTS!$K$2:$K$1001,SMALL(IF(RECON_RESULTS!$A$2:$A$1001="Near Match",ROW(RECON_RESULTS!$A$2:$A$1001)-1),152)))</f>
        <v/>
      </c>
      <c r="J562" s="17">
        <f>IF(B562="","",INDEX(RECON_RESULTS!$L$2:$L$1001,SMALL(IF(RECON_RESULTS!$A$2:$A$1001="Near Match",ROW(RECON_RESULTS!$A$2:$A$1001)-1),152)))</f>
        <v/>
      </c>
      <c r="K562" s="11" t="inlineStr"/>
      <c r="L562" s="11" t="inlineStr"/>
    </row>
    <row r="563">
      <c r="B563" s="11">
        <f>IFERROR(INDEX(RECON_RESULTS!$A$2:$A$1001,SMALL(IF(RECON_RESULTS!$A$2:$A$1001="Near Match",ROW(RECON_RESULTS!$A$2:$A$1001)-1),153)),"")</f>
        <v/>
      </c>
      <c r="C563" s="11">
        <f>IF(B563="","",INDEX(RECON_RESULTS!$B$2:$B$1001,SMALL(IF(RECON_RESULTS!$A$2:$A$1001="Near Match",ROW(RECON_RESULTS!$A$2:$A$1001)-1),153)))</f>
        <v/>
      </c>
      <c r="D563" s="10">
        <f>IF(B563="","",INDEX(RECON_RESULTS!$C$2:$C$1001,SMALL(IF(RECON_RESULTS!$A$2:$A$1001="Near Match",ROW(RECON_RESULTS!$A$2:$A$1001)-1),153)))</f>
        <v/>
      </c>
      <c r="E563" s="16">
        <f>IF(B563="","",INDEX(RECON_RESULTS!$D$2:$D$1001,SMALL(IF(RECON_RESULTS!$A$2:$A$1001="Near Match",ROW(RECON_RESULTS!$A$2:$A$1001)-1),153)))</f>
        <v/>
      </c>
      <c r="F563" s="10">
        <f>IF(B563="","",INDEX(RECON_RESULTS!$F$2:$F$1001,SMALL(IF(RECON_RESULTS!$A$2:$A$1001="Near Match",ROW(RECON_RESULTS!$A$2:$A$1001)-1),153)))</f>
        <v/>
      </c>
      <c r="G563" s="16">
        <f>IF(B563="","",INDEX(RECON_RESULTS!$I$2:$I$1001,SMALL(IF(RECON_RESULTS!$A$2:$A$1001="Near Match",ROW(RECON_RESULTS!$A$2:$A$1001)-1),153)))</f>
        <v/>
      </c>
      <c r="H563" s="12">
        <f>IF(B563="","",INDEX(RECON_RESULTS!$J$2:$J$1001,SMALL(IF(RECON_RESULTS!$A$2:$A$1001="Near Match",ROW(RECON_RESULTS!$A$2:$A$1001)-1),153)))</f>
        <v/>
      </c>
      <c r="I563" s="11">
        <f>IF(B563="","",INDEX(RECON_RESULTS!$K$2:$K$1001,SMALL(IF(RECON_RESULTS!$A$2:$A$1001="Near Match",ROW(RECON_RESULTS!$A$2:$A$1001)-1),153)))</f>
        <v/>
      </c>
      <c r="J563" s="17">
        <f>IF(B563="","",INDEX(RECON_RESULTS!$L$2:$L$1001,SMALL(IF(RECON_RESULTS!$A$2:$A$1001="Near Match",ROW(RECON_RESULTS!$A$2:$A$1001)-1),153)))</f>
        <v/>
      </c>
      <c r="K563" s="11" t="inlineStr"/>
      <c r="L563" s="11" t="inlineStr"/>
    </row>
    <row r="564">
      <c r="B564" s="11">
        <f>IFERROR(INDEX(RECON_RESULTS!$A$2:$A$1001,SMALL(IF(RECON_RESULTS!$A$2:$A$1001="Near Match",ROW(RECON_RESULTS!$A$2:$A$1001)-1),154)),"")</f>
        <v/>
      </c>
      <c r="C564" s="11">
        <f>IF(B564="","",INDEX(RECON_RESULTS!$B$2:$B$1001,SMALL(IF(RECON_RESULTS!$A$2:$A$1001="Near Match",ROW(RECON_RESULTS!$A$2:$A$1001)-1),154)))</f>
        <v/>
      </c>
      <c r="D564" s="10">
        <f>IF(B564="","",INDEX(RECON_RESULTS!$C$2:$C$1001,SMALL(IF(RECON_RESULTS!$A$2:$A$1001="Near Match",ROW(RECON_RESULTS!$A$2:$A$1001)-1),154)))</f>
        <v/>
      </c>
      <c r="E564" s="16">
        <f>IF(B564="","",INDEX(RECON_RESULTS!$D$2:$D$1001,SMALL(IF(RECON_RESULTS!$A$2:$A$1001="Near Match",ROW(RECON_RESULTS!$A$2:$A$1001)-1),154)))</f>
        <v/>
      </c>
      <c r="F564" s="10">
        <f>IF(B564="","",INDEX(RECON_RESULTS!$F$2:$F$1001,SMALL(IF(RECON_RESULTS!$A$2:$A$1001="Near Match",ROW(RECON_RESULTS!$A$2:$A$1001)-1),154)))</f>
        <v/>
      </c>
      <c r="G564" s="16">
        <f>IF(B564="","",INDEX(RECON_RESULTS!$I$2:$I$1001,SMALL(IF(RECON_RESULTS!$A$2:$A$1001="Near Match",ROW(RECON_RESULTS!$A$2:$A$1001)-1),154)))</f>
        <v/>
      </c>
      <c r="H564" s="12">
        <f>IF(B564="","",INDEX(RECON_RESULTS!$J$2:$J$1001,SMALL(IF(RECON_RESULTS!$A$2:$A$1001="Near Match",ROW(RECON_RESULTS!$A$2:$A$1001)-1),154)))</f>
        <v/>
      </c>
      <c r="I564" s="11">
        <f>IF(B564="","",INDEX(RECON_RESULTS!$K$2:$K$1001,SMALL(IF(RECON_RESULTS!$A$2:$A$1001="Near Match",ROW(RECON_RESULTS!$A$2:$A$1001)-1),154)))</f>
        <v/>
      </c>
      <c r="J564" s="17">
        <f>IF(B564="","",INDEX(RECON_RESULTS!$L$2:$L$1001,SMALL(IF(RECON_RESULTS!$A$2:$A$1001="Near Match",ROW(RECON_RESULTS!$A$2:$A$1001)-1),154)))</f>
        <v/>
      </c>
      <c r="K564" s="11" t="inlineStr"/>
      <c r="L564" s="11" t="inlineStr"/>
    </row>
    <row r="565">
      <c r="B565" s="11">
        <f>IFERROR(INDEX(RECON_RESULTS!$A$2:$A$1001,SMALL(IF(RECON_RESULTS!$A$2:$A$1001="Near Match",ROW(RECON_RESULTS!$A$2:$A$1001)-1),155)),"")</f>
        <v/>
      </c>
      <c r="C565" s="11">
        <f>IF(B565="","",INDEX(RECON_RESULTS!$B$2:$B$1001,SMALL(IF(RECON_RESULTS!$A$2:$A$1001="Near Match",ROW(RECON_RESULTS!$A$2:$A$1001)-1),155)))</f>
        <v/>
      </c>
      <c r="D565" s="10">
        <f>IF(B565="","",INDEX(RECON_RESULTS!$C$2:$C$1001,SMALL(IF(RECON_RESULTS!$A$2:$A$1001="Near Match",ROW(RECON_RESULTS!$A$2:$A$1001)-1),155)))</f>
        <v/>
      </c>
      <c r="E565" s="16">
        <f>IF(B565="","",INDEX(RECON_RESULTS!$D$2:$D$1001,SMALL(IF(RECON_RESULTS!$A$2:$A$1001="Near Match",ROW(RECON_RESULTS!$A$2:$A$1001)-1),155)))</f>
        <v/>
      </c>
      <c r="F565" s="10">
        <f>IF(B565="","",INDEX(RECON_RESULTS!$F$2:$F$1001,SMALL(IF(RECON_RESULTS!$A$2:$A$1001="Near Match",ROW(RECON_RESULTS!$A$2:$A$1001)-1),155)))</f>
        <v/>
      </c>
      <c r="G565" s="16">
        <f>IF(B565="","",INDEX(RECON_RESULTS!$I$2:$I$1001,SMALL(IF(RECON_RESULTS!$A$2:$A$1001="Near Match",ROW(RECON_RESULTS!$A$2:$A$1001)-1),155)))</f>
        <v/>
      </c>
      <c r="H565" s="12">
        <f>IF(B565="","",INDEX(RECON_RESULTS!$J$2:$J$1001,SMALL(IF(RECON_RESULTS!$A$2:$A$1001="Near Match",ROW(RECON_RESULTS!$A$2:$A$1001)-1),155)))</f>
        <v/>
      </c>
      <c r="I565" s="11">
        <f>IF(B565="","",INDEX(RECON_RESULTS!$K$2:$K$1001,SMALL(IF(RECON_RESULTS!$A$2:$A$1001="Near Match",ROW(RECON_RESULTS!$A$2:$A$1001)-1),155)))</f>
        <v/>
      </c>
      <c r="J565" s="17">
        <f>IF(B565="","",INDEX(RECON_RESULTS!$L$2:$L$1001,SMALL(IF(RECON_RESULTS!$A$2:$A$1001="Near Match",ROW(RECON_RESULTS!$A$2:$A$1001)-1),155)))</f>
        <v/>
      </c>
      <c r="K565" s="11" t="inlineStr"/>
      <c r="L565" s="11" t="inlineStr"/>
    </row>
    <row r="566">
      <c r="B566" s="11">
        <f>IFERROR(INDEX(RECON_RESULTS!$A$2:$A$1001,SMALL(IF(RECON_RESULTS!$A$2:$A$1001="Near Match",ROW(RECON_RESULTS!$A$2:$A$1001)-1),156)),"")</f>
        <v/>
      </c>
      <c r="C566" s="11">
        <f>IF(B566="","",INDEX(RECON_RESULTS!$B$2:$B$1001,SMALL(IF(RECON_RESULTS!$A$2:$A$1001="Near Match",ROW(RECON_RESULTS!$A$2:$A$1001)-1),156)))</f>
        <v/>
      </c>
      <c r="D566" s="10">
        <f>IF(B566="","",INDEX(RECON_RESULTS!$C$2:$C$1001,SMALL(IF(RECON_RESULTS!$A$2:$A$1001="Near Match",ROW(RECON_RESULTS!$A$2:$A$1001)-1),156)))</f>
        <v/>
      </c>
      <c r="E566" s="16">
        <f>IF(B566="","",INDEX(RECON_RESULTS!$D$2:$D$1001,SMALL(IF(RECON_RESULTS!$A$2:$A$1001="Near Match",ROW(RECON_RESULTS!$A$2:$A$1001)-1),156)))</f>
        <v/>
      </c>
      <c r="F566" s="10">
        <f>IF(B566="","",INDEX(RECON_RESULTS!$F$2:$F$1001,SMALL(IF(RECON_RESULTS!$A$2:$A$1001="Near Match",ROW(RECON_RESULTS!$A$2:$A$1001)-1),156)))</f>
        <v/>
      </c>
      <c r="G566" s="16">
        <f>IF(B566="","",INDEX(RECON_RESULTS!$I$2:$I$1001,SMALL(IF(RECON_RESULTS!$A$2:$A$1001="Near Match",ROW(RECON_RESULTS!$A$2:$A$1001)-1),156)))</f>
        <v/>
      </c>
      <c r="H566" s="12">
        <f>IF(B566="","",INDEX(RECON_RESULTS!$J$2:$J$1001,SMALL(IF(RECON_RESULTS!$A$2:$A$1001="Near Match",ROW(RECON_RESULTS!$A$2:$A$1001)-1),156)))</f>
        <v/>
      </c>
      <c r="I566" s="11">
        <f>IF(B566="","",INDEX(RECON_RESULTS!$K$2:$K$1001,SMALL(IF(RECON_RESULTS!$A$2:$A$1001="Near Match",ROW(RECON_RESULTS!$A$2:$A$1001)-1),156)))</f>
        <v/>
      </c>
      <c r="J566" s="17">
        <f>IF(B566="","",INDEX(RECON_RESULTS!$L$2:$L$1001,SMALL(IF(RECON_RESULTS!$A$2:$A$1001="Near Match",ROW(RECON_RESULTS!$A$2:$A$1001)-1),156)))</f>
        <v/>
      </c>
      <c r="K566" s="11" t="inlineStr"/>
      <c r="L566" s="11" t="inlineStr"/>
    </row>
    <row r="567">
      <c r="B567" s="11">
        <f>IFERROR(INDEX(RECON_RESULTS!$A$2:$A$1001,SMALL(IF(RECON_RESULTS!$A$2:$A$1001="Near Match",ROW(RECON_RESULTS!$A$2:$A$1001)-1),157)),"")</f>
        <v/>
      </c>
      <c r="C567" s="11">
        <f>IF(B567="","",INDEX(RECON_RESULTS!$B$2:$B$1001,SMALL(IF(RECON_RESULTS!$A$2:$A$1001="Near Match",ROW(RECON_RESULTS!$A$2:$A$1001)-1),157)))</f>
        <v/>
      </c>
      <c r="D567" s="10">
        <f>IF(B567="","",INDEX(RECON_RESULTS!$C$2:$C$1001,SMALL(IF(RECON_RESULTS!$A$2:$A$1001="Near Match",ROW(RECON_RESULTS!$A$2:$A$1001)-1),157)))</f>
        <v/>
      </c>
      <c r="E567" s="16">
        <f>IF(B567="","",INDEX(RECON_RESULTS!$D$2:$D$1001,SMALL(IF(RECON_RESULTS!$A$2:$A$1001="Near Match",ROW(RECON_RESULTS!$A$2:$A$1001)-1),157)))</f>
        <v/>
      </c>
      <c r="F567" s="10">
        <f>IF(B567="","",INDEX(RECON_RESULTS!$F$2:$F$1001,SMALL(IF(RECON_RESULTS!$A$2:$A$1001="Near Match",ROW(RECON_RESULTS!$A$2:$A$1001)-1),157)))</f>
        <v/>
      </c>
      <c r="G567" s="16">
        <f>IF(B567="","",INDEX(RECON_RESULTS!$I$2:$I$1001,SMALL(IF(RECON_RESULTS!$A$2:$A$1001="Near Match",ROW(RECON_RESULTS!$A$2:$A$1001)-1),157)))</f>
        <v/>
      </c>
      <c r="H567" s="12">
        <f>IF(B567="","",INDEX(RECON_RESULTS!$J$2:$J$1001,SMALL(IF(RECON_RESULTS!$A$2:$A$1001="Near Match",ROW(RECON_RESULTS!$A$2:$A$1001)-1),157)))</f>
        <v/>
      </c>
      <c r="I567" s="11">
        <f>IF(B567="","",INDEX(RECON_RESULTS!$K$2:$K$1001,SMALL(IF(RECON_RESULTS!$A$2:$A$1001="Near Match",ROW(RECON_RESULTS!$A$2:$A$1001)-1),157)))</f>
        <v/>
      </c>
      <c r="J567" s="17">
        <f>IF(B567="","",INDEX(RECON_RESULTS!$L$2:$L$1001,SMALL(IF(RECON_RESULTS!$A$2:$A$1001="Near Match",ROW(RECON_RESULTS!$A$2:$A$1001)-1),157)))</f>
        <v/>
      </c>
      <c r="K567" s="11" t="inlineStr"/>
      <c r="L567" s="11" t="inlineStr"/>
    </row>
    <row r="568">
      <c r="B568" s="11">
        <f>IFERROR(INDEX(RECON_RESULTS!$A$2:$A$1001,SMALL(IF(RECON_RESULTS!$A$2:$A$1001="Near Match",ROW(RECON_RESULTS!$A$2:$A$1001)-1),158)),"")</f>
        <v/>
      </c>
      <c r="C568" s="11">
        <f>IF(B568="","",INDEX(RECON_RESULTS!$B$2:$B$1001,SMALL(IF(RECON_RESULTS!$A$2:$A$1001="Near Match",ROW(RECON_RESULTS!$A$2:$A$1001)-1),158)))</f>
        <v/>
      </c>
      <c r="D568" s="10">
        <f>IF(B568="","",INDEX(RECON_RESULTS!$C$2:$C$1001,SMALL(IF(RECON_RESULTS!$A$2:$A$1001="Near Match",ROW(RECON_RESULTS!$A$2:$A$1001)-1),158)))</f>
        <v/>
      </c>
      <c r="E568" s="16">
        <f>IF(B568="","",INDEX(RECON_RESULTS!$D$2:$D$1001,SMALL(IF(RECON_RESULTS!$A$2:$A$1001="Near Match",ROW(RECON_RESULTS!$A$2:$A$1001)-1),158)))</f>
        <v/>
      </c>
      <c r="F568" s="10">
        <f>IF(B568="","",INDEX(RECON_RESULTS!$F$2:$F$1001,SMALL(IF(RECON_RESULTS!$A$2:$A$1001="Near Match",ROW(RECON_RESULTS!$A$2:$A$1001)-1),158)))</f>
        <v/>
      </c>
      <c r="G568" s="16">
        <f>IF(B568="","",INDEX(RECON_RESULTS!$I$2:$I$1001,SMALL(IF(RECON_RESULTS!$A$2:$A$1001="Near Match",ROW(RECON_RESULTS!$A$2:$A$1001)-1),158)))</f>
        <v/>
      </c>
      <c r="H568" s="12">
        <f>IF(B568="","",INDEX(RECON_RESULTS!$J$2:$J$1001,SMALL(IF(RECON_RESULTS!$A$2:$A$1001="Near Match",ROW(RECON_RESULTS!$A$2:$A$1001)-1),158)))</f>
        <v/>
      </c>
      <c r="I568" s="11">
        <f>IF(B568="","",INDEX(RECON_RESULTS!$K$2:$K$1001,SMALL(IF(RECON_RESULTS!$A$2:$A$1001="Near Match",ROW(RECON_RESULTS!$A$2:$A$1001)-1),158)))</f>
        <v/>
      </c>
      <c r="J568" s="17">
        <f>IF(B568="","",INDEX(RECON_RESULTS!$L$2:$L$1001,SMALL(IF(RECON_RESULTS!$A$2:$A$1001="Near Match",ROW(RECON_RESULTS!$A$2:$A$1001)-1),158)))</f>
        <v/>
      </c>
      <c r="K568" s="11" t="inlineStr"/>
      <c r="L568" s="11" t="inlineStr"/>
    </row>
    <row r="569">
      <c r="B569" s="11">
        <f>IFERROR(INDEX(RECON_RESULTS!$A$2:$A$1001,SMALL(IF(RECON_RESULTS!$A$2:$A$1001="Near Match",ROW(RECON_RESULTS!$A$2:$A$1001)-1),159)),"")</f>
        <v/>
      </c>
      <c r="C569" s="11">
        <f>IF(B569="","",INDEX(RECON_RESULTS!$B$2:$B$1001,SMALL(IF(RECON_RESULTS!$A$2:$A$1001="Near Match",ROW(RECON_RESULTS!$A$2:$A$1001)-1),159)))</f>
        <v/>
      </c>
      <c r="D569" s="10">
        <f>IF(B569="","",INDEX(RECON_RESULTS!$C$2:$C$1001,SMALL(IF(RECON_RESULTS!$A$2:$A$1001="Near Match",ROW(RECON_RESULTS!$A$2:$A$1001)-1),159)))</f>
        <v/>
      </c>
      <c r="E569" s="16">
        <f>IF(B569="","",INDEX(RECON_RESULTS!$D$2:$D$1001,SMALL(IF(RECON_RESULTS!$A$2:$A$1001="Near Match",ROW(RECON_RESULTS!$A$2:$A$1001)-1),159)))</f>
        <v/>
      </c>
      <c r="F569" s="10">
        <f>IF(B569="","",INDEX(RECON_RESULTS!$F$2:$F$1001,SMALL(IF(RECON_RESULTS!$A$2:$A$1001="Near Match",ROW(RECON_RESULTS!$A$2:$A$1001)-1),159)))</f>
        <v/>
      </c>
      <c r="G569" s="16">
        <f>IF(B569="","",INDEX(RECON_RESULTS!$I$2:$I$1001,SMALL(IF(RECON_RESULTS!$A$2:$A$1001="Near Match",ROW(RECON_RESULTS!$A$2:$A$1001)-1),159)))</f>
        <v/>
      </c>
      <c r="H569" s="12">
        <f>IF(B569="","",INDEX(RECON_RESULTS!$J$2:$J$1001,SMALL(IF(RECON_RESULTS!$A$2:$A$1001="Near Match",ROW(RECON_RESULTS!$A$2:$A$1001)-1),159)))</f>
        <v/>
      </c>
      <c r="I569" s="11">
        <f>IF(B569="","",INDEX(RECON_RESULTS!$K$2:$K$1001,SMALL(IF(RECON_RESULTS!$A$2:$A$1001="Near Match",ROW(RECON_RESULTS!$A$2:$A$1001)-1),159)))</f>
        <v/>
      </c>
      <c r="J569" s="17">
        <f>IF(B569="","",INDEX(RECON_RESULTS!$L$2:$L$1001,SMALL(IF(RECON_RESULTS!$A$2:$A$1001="Near Match",ROW(RECON_RESULTS!$A$2:$A$1001)-1),159)))</f>
        <v/>
      </c>
      <c r="K569" s="11" t="inlineStr"/>
      <c r="L569" s="11" t="inlineStr"/>
    </row>
    <row r="570">
      <c r="B570" s="11">
        <f>IFERROR(INDEX(RECON_RESULTS!$A$2:$A$1001,SMALL(IF(RECON_RESULTS!$A$2:$A$1001="Near Match",ROW(RECON_RESULTS!$A$2:$A$1001)-1),160)),"")</f>
        <v/>
      </c>
      <c r="C570" s="11">
        <f>IF(B570="","",INDEX(RECON_RESULTS!$B$2:$B$1001,SMALL(IF(RECON_RESULTS!$A$2:$A$1001="Near Match",ROW(RECON_RESULTS!$A$2:$A$1001)-1),160)))</f>
        <v/>
      </c>
      <c r="D570" s="10">
        <f>IF(B570="","",INDEX(RECON_RESULTS!$C$2:$C$1001,SMALL(IF(RECON_RESULTS!$A$2:$A$1001="Near Match",ROW(RECON_RESULTS!$A$2:$A$1001)-1),160)))</f>
        <v/>
      </c>
      <c r="E570" s="16">
        <f>IF(B570="","",INDEX(RECON_RESULTS!$D$2:$D$1001,SMALL(IF(RECON_RESULTS!$A$2:$A$1001="Near Match",ROW(RECON_RESULTS!$A$2:$A$1001)-1),160)))</f>
        <v/>
      </c>
      <c r="F570" s="10">
        <f>IF(B570="","",INDEX(RECON_RESULTS!$F$2:$F$1001,SMALL(IF(RECON_RESULTS!$A$2:$A$1001="Near Match",ROW(RECON_RESULTS!$A$2:$A$1001)-1),160)))</f>
        <v/>
      </c>
      <c r="G570" s="16">
        <f>IF(B570="","",INDEX(RECON_RESULTS!$I$2:$I$1001,SMALL(IF(RECON_RESULTS!$A$2:$A$1001="Near Match",ROW(RECON_RESULTS!$A$2:$A$1001)-1),160)))</f>
        <v/>
      </c>
      <c r="H570" s="12">
        <f>IF(B570="","",INDEX(RECON_RESULTS!$J$2:$J$1001,SMALL(IF(RECON_RESULTS!$A$2:$A$1001="Near Match",ROW(RECON_RESULTS!$A$2:$A$1001)-1),160)))</f>
        <v/>
      </c>
      <c r="I570" s="11">
        <f>IF(B570="","",INDEX(RECON_RESULTS!$K$2:$K$1001,SMALL(IF(RECON_RESULTS!$A$2:$A$1001="Near Match",ROW(RECON_RESULTS!$A$2:$A$1001)-1),160)))</f>
        <v/>
      </c>
      <c r="J570" s="17">
        <f>IF(B570="","",INDEX(RECON_RESULTS!$L$2:$L$1001,SMALL(IF(RECON_RESULTS!$A$2:$A$1001="Near Match",ROW(RECON_RESULTS!$A$2:$A$1001)-1),160)))</f>
        <v/>
      </c>
      <c r="K570" s="11" t="inlineStr"/>
      <c r="L570" s="11" t="inlineStr"/>
    </row>
    <row r="571">
      <c r="B571" s="11">
        <f>IFERROR(INDEX(RECON_RESULTS!$A$2:$A$1001,SMALL(IF(RECON_RESULTS!$A$2:$A$1001="Near Match",ROW(RECON_RESULTS!$A$2:$A$1001)-1),161)),"")</f>
        <v/>
      </c>
      <c r="C571" s="11">
        <f>IF(B571="","",INDEX(RECON_RESULTS!$B$2:$B$1001,SMALL(IF(RECON_RESULTS!$A$2:$A$1001="Near Match",ROW(RECON_RESULTS!$A$2:$A$1001)-1),161)))</f>
        <v/>
      </c>
      <c r="D571" s="10">
        <f>IF(B571="","",INDEX(RECON_RESULTS!$C$2:$C$1001,SMALL(IF(RECON_RESULTS!$A$2:$A$1001="Near Match",ROW(RECON_RESULTS!$A$2:$A$1001)-1),161)))</f>
        <v/>
      </c>
      <c r="E571" s="16">
        <f>IF(B571="","",INDEX(RECON_RESULTS!$D$2:$D$1001,SMALL(IF(RECON_RESULTS!$A$2:$A$1001="Near Match",ROW(RECON_RESULTS!$A$2:$A$1001)-1),161)))</f>
        <v/>
      </c>
      <c r="F571" s="10">
        <f>IF(B571="","",INDEX(RECON_RESULTS!$F$2:$F$1001,SMALL(IF(RECON_RESULTS!$A$2:$A$1001="Near Match",ROW(RECON_RESULTS!$A$2:$A$1001)-1),161)))</f>
        <v/>
      </c>
      <c r="G571" s="16">
        <f>IF(B571="","",INDEX(RECON_RESULTS!$I$2:$I$1001,SMALL(IF(RECON_RESULTS!$A$2:$A$1001="Near Match",ROW(RECON_RESULTS!$A$2:$A$1001)-1),161)))</f>
        <v/>
      </c>
      <c r="H571" s="12">
        <f>IF(B571="","",INDEX(RECON_RESULTS!$J$2:$J$1001,SMALL(IF(RECON_RESULTS!$A$2:$A$1001="Near Match",ROW(RECON_RESULTS!$A$2:$A$1001)-1),161)))</f>
        <v/>
      </c>
      <c r="I571" s="11">
        <f>IF(B571="","",INDEX(RECON_RESULTS!$K$2:$K$1001,SMALL(IF(RECON_RESULTS!$A$2:$A$1001="Near Match",ROW(RECON_RESULTS!$A$2:$A$1001)-1),161)))</f>
        <v/>
      </c>
      <c r="J571" s="17">
        <f>IF(B571="","",INDEX(RECON_RESULTS!$L$2:$L$1001,SMALL(IF(RECON_RESULTS!$A$2:$A$1001="Near Match",ROW(RECON_RESULTS!$A$2:$A$1001)-1),161)))</f>
        <v/>
      </c>
      <c r="K571" s="11" t="inlineStr"/>
      <c r="L571" s="11" t="inlineStr"/>
    </row>
    <row r="572">
      <c r="B572" s="11">
        <f>IFERROR(INDEX(RECON_RESULTS!$A$2:$A$1001,SMALL(IF(RECON_RESULTS!$A$2:$A$1001="Near Match",ROW(RECON_RESULTS!$A$2:$A$1001)-1),162)),"")</f>
        <v/>
      </c>
      <c r="C572" s="11">
        <f>IF(B572="","",INDEX(RECON_RESULTS!$B$2:$B$1001,SMALL(IF(RECON_RESULTS!$A$2:$A$1001="Near Match",ROW(RECON_RESULTS!$A$2:$A$1001)-1),162)))</f>
        <v/>
      </c>
      <c r="D572" s="10">
        <f>IF(B572="","",INDEX(RECON_RESULTS!$C$2:$C$1001,SMALL(IF(RECON_RESULTS!$A$2:$A$1001="Near Match",ROW(RECON_RESULTS!$A$2:$A$1001)-1),162)))</f>
        <v/>
      </c>
      <c r="E572" s="16">
        <f>IF(B572="","",INDEX(RECON_RESULTS!$D$2:$D$1001,SMALL(IF(RECON_RESULTS!$A$2:$A$1001="Near Match",ROW(RECON_RESULTS!$A$2:$A$1001)-1),162)))</f>
        <v/>
      </c>
      <c r="F572" s="10">
        <f>IF(B572="","",INDEX(RECON_RESULTS!$F$2:$F$1001,SMALL(IF(RECON_RESULTS!$A$2:$A$1001="Near Match",ROW(RECON_RESULTS!$A$2:$A$1001)-1),162)))</f>
        <v/>
      </c>
      <c r="G572" s="16">
        <f>IF(B572="","",INDEX(RECON_RESULTS!$I$2:$I$1001,SMALL(IF(RECON_RESULTS!$A$2:$A$1001="Near Match",ROW(RECON_RESULTS!$A$2:$A$1001)-1),162)))</f>
        <v/>
      </c>
      <c r="H572" s="12">
        <f>IF(B572="","",INDEX(RECON_RESULTS!$J$2:$J$1001,SMALL(IF(RECON_RESULTS!$A$2:$A$1001="Near Match",ROW(RECON_RESULTS!$A$2:$A$1001)-1),162)))</f>
        <v/>
      </c>
      <c r="I572" s="11">
        <f>IF(B572="","",INDEX(RECON_RESULTS!$K$2:$K$1001,SMALL(IF(RECON_RESULTS!$A$2:$A$1001="Near Match",ROW(RECON_RESULTS!$A$2:$A$1001)-1),162)))</f>
        <v/>
      </c>
      <c r="J572" s="17">
        <f>IF(B572="","",INDEX(RECON_RESULTS!$L$2:$L$1001,SMALL(IF(RECON_RESULTS!$A$2:$A$1001="Near Match",ROW(RECON_RESULTS!$A$2:$A$1001)-1),162)))</f>
        <v/>
      </c>
      <c r="K572" s="11" t="inlineStr"/>
      <c r="L572" s="11" t="inlineStr"/>
    </row>
    <row r="573">
      <c r="B573" s="11">
        <f>IFERROR(INDEX(RECON_RESULTS!$A$2:$A$1001,SMALL(IF(RECON_RESULTS!$A$2:$A$1001="Near Match",ROW(RECON_RESULTS!$A$2:$A$1001)-1),163)),"")</f>
        <v/>
      </c>
      <c r="C573" s="11">
        <f>IF(B573="","",INDEX(RECON_RESULTS!$B$2:$B$1001,SMALL(IF(RECON_RESULTS!$A$2:$A$1001="Near Match",ROW(RECON_RESULTS!$A$2:$A$1001)-1),163)))</f>
        <v/>
      </c>
      <c r="D573" s="10">
        <f>IF(B573="","",INDEX(RECON_RESULTS!$C$2:$C$1001,SMALL(IF(RECON_RESULTS!$A$2:$A$1001="Near Match",ROW(RECON_RESULTS!$A$2:$A$1001)-1),163)))</f>
        <v/>
      </c>
      <c r="E573" s="16">
        <f>IF(B573="","",INDEX(RECON_RESULTS!$D$2:$D$1001,SMALL(IF(RECON_RESULTS!$A$2:$A$1001="Near Match",ROW(RECON_RESULTS!$A$2:$A$1001)-1),163)))</f>
        <v/>
      </c>
      <c r="F573" s="10">
        <f>IF(B573="","",INDEX(RECON_RESULTS!$F$2:$F$1001,SMALL(IF(RECON_RESULTS!$A$2:$A$1001="Near Match",ROW(RECON_RESULTS!$A$2:$A$1001)-1),163)))</f>
        <v/>
      </c>
      <c r="G573" s="16">
        <f>IF(B573="","",INDEX(RECON_RESULTS!$I$2:$I$1001,SMALL(IF(RECON_RESULTS!$A$2:$A$1001="Near Match",ROW(RECON_RESULTS!$A$2:$A$1001)-1),163)))</f>
        <v/>
      </c>
      <c r="H573" s="12">
        <f>IF(B573="","",INDEX(RECON_RESULTS!$J$2:$J$1001,SMALL(IF(RECON_RESULTS!$A$2:$A$1001="Near Match",ROW(RECON_RESULTS!$A$2:$A$1001)-1),163)))</f>
        <v/>
      </c>
      <c r="I573" s="11">
        <f>IF(B573="","",INDEX(RECON_RESULTS!$K$2:$K$1001,SMALL(IF(RECON_RESULTS!$A$2:$A$1001="Near Match",ROW(RECON_RESULTS!$A$2:$A$1001)-1),163)))</f>
        <v/>
      </c>
      <c r="J573" s="17">
        <f>IF(B573="","",INDEX(RECON_RESULTS!$L$2:$L$1001,SMALL(IF(RECON_RESULTS!$A$2:$A$1001="Near Match",ROW(RECON_RESULTS!$A$2:$A$1001)-1),163)))</f>
        <v/>
      </c>
      <c r="K573" s="11" t="inlineStr"/>
      <c r="L573" s="11" t="inlineStr"/>
    </row>
    <row r="574">
      <c r="B574" s="11">
        <f>IFERROR(INDEX(RECON_RESULTS!$A$2:$A$1001,SMALL(IF(RECON_RESULTS!$A$2:$A$1001="Near Match",ROW(RECON_RESULTS!$A$2:$A$1001)-1),164)),"")</f>
        <v/>
      </c>
      <c r="C574" s="11">
        <f>IF(B574="","",INDEX(RECON_RESULTS!$B$2:$B$1001,SMALL(IF(RECON_RESULTS!$A$2:$A$1001="Near Match",ROW(RECON_RESULTS!$A$2:$A$1001)-1),164)))</f>
        <v/>
      </c>
      <c r="D574" s="10">
        <f>IF(B574="","",INDEX(RECON_RESULTS!$C$2:$C$1001,SMALL(IF(RECON_RESULTS!$A$2:$A$1001="Near Match",ROW(RECON_RESULTS!$A$2:$A$1001)-1),164)))</f>
        <v/>
      </c>
      <c r="E574" s="16">
        <f>IF(B574="","",INDEX(RECON_RESULTS!$D$2:$D$1001,SMALL(IF(RECON_RESULTS!$A$2:$A$1001="Near Match",ROW(RECON_RESULTS!$A$2:$A$1001)-1),164)))</f>
        <v/>
      </c>
      <c r="F574" s="10">
        <f>IF(B574="","",INDEX(RECON_RESULTS!$F$2:$F$1001,SMALL(IF(RECON_RESULTS!$A$2:$A$1001="Near Match",ROW(RECON_RESULTS!$A$2:$A$1001)-1),164)))</f>
        <v/>
      </c>
      <c r="G574" s="16">
        <f>IF(B574="","",INDEX(RECON_RESULTS!$I$2:$I$1001,SMALL(IF(RECON_RESULTS!$A$2:$A$1001="Near Match",ROW(RECON_RESULTS!$A$2:$A$1001)-1),164)))</f>
        <v/>
      </c>
      <c r="H574" s="12">
        <f>IF(B574="","",INDEX(RECON_RESULTS!$J$2:$J$1001,SMALL(IF(RECON_RESULTS!$A$2:$A$1001="Near Match",ROW(RECON_RESULTS!$A$2:$A$1001)-1),164)))</f>
        <v/>
      </c>
      <c r="I574" s="11">
        <f>IF(B574="","",INDEX(RECON_RESULTS!$K$2:$K$1001,SMALL(IF(RECON_RESULTS!$A$2:$A$1001="Near Match",ROW(RECON_RESULTS!$A$2:$A$1001)-1),164)))</f>
        <v/>
      </c>
      <c r="J574" s="17">
        <f>IF(B574="","",INDEX(RECON_RESULTS!$L$2:$L$1001,SMALL(IF(RECON_RESULTS!$A$2:$A$1001="Near Match",ROW(RECON_RESULTS!$A$2:$A$1001)-1),164)))</f>
        <v/>
      </c>
      <c r="K574" s="11" t="inlineStr"/>
      <c r="L574" s="11" t="inlineStr"/>
    </row>
    <row r="575">
      <c r="B575" s="11">
        <f>IFERROR(INDEX(RECON_RESULTS!$A$2:$A$1001,SMALL(IF(RECON_RESULTS!$A$2:$A$1001="Near Match",ROW(RECON_RESULTS!$A$2:$A$1001)-1),165)),"")</f>
        <v/>
      </c>
      <c r="C575" s="11">
        <f>IF(B575="","",INDEX(RECON_RESULTS!$B$2:$B$1001,SMALL(IF(RECON_RESULTS!$A$2:$A$1001="Near Match",ROW(RECON_RESULTS!$A$2:$A$1001)-1),165)))</f>
        <v/>
      </c>
      <c r="D575" s="10">
        <f>IF(B575="","",INDEX(RECON_RESULTS!$C$2:$C$1001,SMALL(IF(RECON_RESULTS!$A$2:$A$1001="Near Match",ROW(RECON_RESULTS!$A$2:$A$1001)-1),165)))</f>
        <v/>
      </c>
      <c r="E575" s="16">
        <f>IF(B575="","",INDEX(RECON_RESULTS!$D$2:$D$1001,SMALL(IF(RECON_RESULTS!$A$2:$A$1001="Near Match",ROW(RECON_RESULTS!$A$2:$A$1001)-1),165)))</f>
        <v/>
      </c>
      <c r="F575" s="10">
        <f>IF(B575="","",INDEX(RECON_RESULTS!$F$2:$F$1001,SMALL(IF(RECON_RESULTS!$A$2:$A$1001="Near Match",ROW(RECON_RESULTS!$A$2:$A$1001)-1),165)))</f>
        <v/>
      </c>
      <c r="G575" s="16">
        <f>IF(B575="","",INDEX(RECON_RESULTS!$I$2:$I$1001,SMALL(IF(RECON_RESULTS!$A$2:$A$1001="Near Match",ROW(RECON_RESULTS!$A$2:$A$1001)-1),165)))</f>
        <v/>
      </c>
      <c r="H575" s="12">
        <f>IF(B575="","",INDEX(RECON_RESULTS!$J$2:$J$1001,SMALL(IF(RECON_RESULTS!$A$2:$A$1001="Near Match",ROW(RECON_RESULTS!$A$2:$A$1001)-1),165)))</f>
        <v/>
      </c>
      <c r="I575" s="11">
        <f>IF(B575="","",INDEX(RECON_RESULTS!$K$2:$K$1001,SMALL(IF(RECON_RESULTS!$A$2:$A$1001="Near Match",ROW(RECON_RESULTS!$A$2:$A$1001)-1),165)))</f>
        <v/>
      </c>
      <c r="J575" s="17">
        <f>IF(B575="","",INDEX(RECON_RESULTS!$L$2:$L$1001,SMALL(IF(RECON_RESULTS!$A$2:$A$1001="Near Match",ROW(RECON_RESULTS!$A$2:$A$1001)-1),165)))</f>
        <v/>
      </c>
      <c r="K575" s="11" t="inlineStr"/>
      <c r="L575" s="11" t="inlineStr"/>
    </row>
    <row r="576">
      <c r="B576" s="11">
        <f>IFERROR(INDEX(RECON_RESULTS!$A$2:$A$1001,SMALL(IF(RECON_RESULTS!$A$2:$A$1001="Near Match",ROW(RECON_RESULTS!$A$2:$A$1001)-1),166)),"")</f>
        <v/>
      </c>
      <c r="C576" s="11">
        <f>IF(B576="","",INDEX(RECON_RESULTS!$B$2:$B$1001,SMALL(IF(RECON_RESULTS!$A$2:$A$1001="Near Match",ROW(RECON_RESULTS!$A$2:$A$1001)-1),166)))</f>
        <v/>
      </c>
      <c r="D576" s="10">
        <f>IF(B576="","",INDEX(RECON_RESULTS!$C$2:$C$1001,SMALL(IF(RECON_RESULTS!$A$2:$A$1001="Near Match",ROW(RECON_RESULTS!$A$2:$A$1001)-1),166)))</f>
        <v/>
      </c>
      <c r="E576" s="16">
        <f>IF(B576="","",INDEX(RECON_RESULTS!$D$2:$D$1001,SMALL(IF(RECON_RESULTS!$A$2:$A$1001="Near Match",ROW(RECON_RESULTS!$A$2:$A$1001)-1),166)))</f>
        <v/>
      </c>
      <c r="F576" s="10">
        <f>IF(B576="","",INDEX(RECON_RESULTS!$F$2:$F$1001,SMALL(IF(RECON_RESULTS!$A$2:$A$1001="Near Match",ROW(RECON_RESULTS!$A$2:$A$1001)-1),166)))</f>
        <v/>
      </c>
      <c r="G576" s="16">
        <f>IF(B576="","",INDEX(RECON_RESULTS!$I$2:$I$1001,SMALL(IF(RECON_RESULTS!$A$2:$A$1001="Near Match",ROW(RECON_RESULTS!$A$2:$A$1001)-1),166)))</f>
        <v/>
      </c>
      <c r="H576" s="12">
        <f>IF(B576="","",INDEX(RECON_RESULTS!$J$2:$J$1001,SMALL(IF(RECON_RESULTS!$A$2:$A$1001="Near Match",ROW(RECON_RESULTS!$A$2:$A$1001)-1),166)))</f>
        <v/>
      </c>
      <c r="I576" s="11">
        <f>IF(B576="","",INDEX(RECON_RESULTS!$K$2:$K$1001,SMALL(IF(RECON_RESULTS!$A$2:$A$1001="Near Match",ROW(RECON_RESULTS!$A$2:$A$1001)-1),166)))</f>
        <v/>
      </c>
      <c r="J576" s="17">
        <f>IF(B576="","",INDEX(RECON_RESULTS!$L$2:$L$1001,SMALL(IF(RECON_RESULTS!$A$2:$A$1001="Near Match",ROW(RECON_RESULTS!$A$2:$A$1001)-1),166)))</f>
        <v/>
      </c>
      <c r="K576" s="11" t="inlineStr"/>
      <c r="L576" s="11" t="inlineStr"/>
    </row>
    <row r="577">
      <c r="B577" s="11">
        <f>IFERROR(INDEX(RECON_RESULTS!$A$2:$A$1001,SMALL(IF(RECON_RESULTS!$A$2:$A$1001="Near Match",ROW(RECON_RESULTS!$A$2:$A$1001)-1),167)),"")</f>
        <v/>
      </c>
      <c r="C577" s="11">
        <f>IF(B577="","",INDEX(RECON_RESULTS!$B$2:$B$1001,SMALL(IF(RECON_RESULTS!$A$2:$A$1001="Near Match",ROW(RECON_RESULTS!$A$2:$A$1001)-1),167)))</f>
        <v/>
      </c>
      <c r="D577" s="10">
        <f>IF(B577="","",INDEX(RECON_RESULTS!$C$2:$C$1001,SMALL(IF(RECON_RESULTS!$A$2:$A$1001="Near Match",ROW(RECON_RESULTS!$A$2:$A$1001)-1),167)))</f>
        <v/>
      </c>
      <c r="E577" s="16">
        <f>IF(B577="","",INDEX(RECON_RESULTS!$D$2:$D$1001,SMALL(IF(RECON_RESULTS!$A$2:$A$1001="Near Match",ROW(RECON_RESULTS!$A$2:$A$1001)-1),167)))</f>
        <v/>
      </c>
      <c r="F577" s="10">
        <f>IF(B577="","",INDEX(RECON_RESULTS!$F$2:$F$1001,SMALL(IF(RECON_RESULTS!$A$2:$A$1001="Near Match",ROW(RECON_RESULTS!$A$2:$A$1001)-1),167)))</f>
        <v/>
      </c>
      <c r="G577" s="16">
        <f>IF(B577="","",INDEX(RECON_RESULTS!$I$2:$I$1001,SMALL(IF(RECON_RESULTS!$A$2:$A$1001="Near Match",ROW(RECON_RESULTS!$A$2:$A$1001)-1),167)))</f>
        <v/>
      </c>
      <c r="H577" s="12">
        <f>IF(B577="","",INDEX(RECON_RESULTS!$J$2:$J$1001,SMALL(IF(RECON_RESULTS!$A$2:$A$1001="Near Match",ROW(RECON_RESULTS!$A$2:$A$1001)-1),167)))</f>
        <v/>
      </c>
      <c r="I577" s="11">
        <f>IF(B577="","",INDEX(RECON_RESULTS!$K$2:$K$1001,SMALL(IF(RECON_RESULTS!$A$2:$A$1001="Near Match",ROW(RECON_RESULTS!$A$2:$A$1001)-1),167)))</f>
        <v/>
      </c>
      <c r="J577" s="17">
        <f>IF(B577="","",INDEX(RECON_RESULTS!$L$2:$L$1001,SMALL(IF(RECON_RESULTS!$A$2:$A$1001="Near Match",ROW(RECON_RESULTS!$A$2:$A$1001)-1),167)))</f>
        <v/>
      </c>
      <c r="K577" s="11" t="inlineStr"/>
      <c r="L577" s="11" t="inlineStr"/>
    </row>
    <row r="578">
      <c r="B578" s="11">
        <f>IFERROR(INDEX(RECON_RESULTS!$A$2:$A$1001,SMALL(IF(RECON_RESULTS!$A$2:$A$1001="Near Match",ROW(RECON_RESULTS!$A$2:$A$1001)-1),168)),"")</f>
        <v/>
      </c>
      <c r="C578" s="11">
        <f>IF(B578="","",INDEX(RECON_RESULTS!$B$2:$B$1001,SMALL(IF(RECON_RESULTS!$A$2:$A$1001="Near Match",ROW(RECON_RESULTS!$A$2:$A$1001)-1),168)))</f>
        <v/>
      </c>
      <c r="D578" s="10">
        <f>IF(B578="","",INDEX(RECON_RESULTS!$C$2:$C$1001,SMALL(IF(RECON_RESULTS!$A$2:$A$1001="Near Match",ROW(RECON_RESULTS!$A$2:$A$1001)-1),168)))</f>
        <v/>
      </c>
      <c r="E578" s="16">
        <f>IF(B578="","",INDEX(RECON_RESULTS!$D$2:$D$1001,SMALL(IF(RECON_RESULTS!$A$2:$A$1001="Near Match",ROW(RECON_RESULTS!$A$2:$A$1001)-1),168)))</f>
        <v/>
      </c>
      <c r="F578" s="10">
        <f>IF(B578="","",INDEX(RECON_RESULTS!$F$2:$F$1001,SMALL(IF(RECON_RESULTS!$A$2:$A$1001="Near Match",ROW(RECON_RESULTS!$A$2:$A$1001)-1),168)))</f>
        <v/>
      </c>
      <c r="G578" s="16">
        <f>IF(B578="","",INDEX(RECON_RESULTS!$I$2:$I$1001,SMALL(IF(RECON_RESULTS!$A$2:$A$1001="Near Match",ROW(RECON_RESULTS!$A$2:$A$1001)-1),168)))</f>
        <v/>
      </c>
      <c r="H578" s="12">
        <f>IF(B578="","",INDEX(RECON_RESULTS!$J$2:$J$1001,SMALL(IF(RECON_RESULTS!$A$2:$A$1001="Near Match",ROW(RECON_RESULTS!$A$2:$A$1001)-1),168)))</f>
        <v/>
      </c>
      <c r="I578" s="11">
        <f>IF(B578="","",INDEX(RECON_RESULTS!$K$2:$K$1001,SMALL(IF(RECON_RESULTS!$A$2:$A$1001="Near Match",ROW(RECON_RESULTS!$A$2:$A$1001)-1),168)))</f>
        <v/>
      </c>
      <c r="J578" s="17">
        <f>IF(B578="","",INDEX(RECON_RESULTS!$L$2:$L$1001,SMALL(IF(RECON_RESULTS!$A$2:$A$1001="Near Match",ROW(RECON_RESULTS!$A$2:$A$1001)-1),168)))</f>
        <v/>
      </c>
      <c r="K578" s="11" t="inlineStr"/>
      <c r="L578" s="11" t="inlineStr"/>
    </row>
    <row r="579">
      <c r="B579" s="11">
        <f>IFERROR(INDEX(RECON_RESULTS!$A$2:$A$1001,SMALL(IF(RECON_RESULTS!$A$2:$A$1001="Near Match",ROW(RECON_RESULTS!$A$2:$A$1001)-1),169)),"")</f>
        <v/>
      </c>
      <c r="C579" s="11">
        <f>IF(B579="","",INDEX(RECON_RESULTS!$B$2:$B$1001,SMALL(IF(RECON_RESULTS!$A$2:$A$1001="Near Match",ROW(RECON_RESULTS!$A$2:$A$1001)-1),169)))</f>
        <v/>
      </c>
      <c r="D579" s="10">
        <f>IF(B579="","",INDEX(RECON_RESULTS!$C$2:$C$1001,SMALL(IF(RECON_RESULTS!$A$2:$A$1001="Near Match",ROW(RECON_RESULTS!$A$2:$A$1001)-1),169)))</f>
        <v/>
      </c>
      <c r="E579" s="16">
        <f>IF(B579="","",INDEX(RECON_RESULTS!$D$2:$D$1001,SMALL(IF(RECON_RESULTS!$A$2:$A$1001="Near Match",ROW(RECON_RESULTS!$A$2:$A$1001)-1),169)))</f>
        <v/>
      </c>
      <c r="F579" s="10">
        <f>IF(B579="","",INDEX(RECON_RESULTS!$F$2:$F$1001,SMALL(IF(RECON_RESULTS!$A$2:$A$1001="Near Match",ROW(RECON_RESULTS!$A$2:$A$1001)-1),169)))</f>
        <v/>
      </c>
      <c r="G579" s="16">
        <f>IF(B579="","",INDEX(RECON_RESULTS!$I$2:$I$1001,SMALL(IF(RECON_RESULTS!$A$2:$A$1001="Near Match",ROW(RECON_RESULTS!$A$2:$A$1001)-1),169)))</f>
        <v/>
      </c>
      <c r="H579" s="12">
        <f>IF(B579="","",INDEX(RECON_RESULTS!$J$2:$J$1001,SMALL(IF(RECON_RESULTS!$A$2:$A$1001="Near Match",ROW(RECON_RESULTS!$A$2:$A$1001)-1),169)))</f>
        <v/>
      </c>
      <c r="I579" s="11">
        <f>IF(B579="","",INDEX(RECON_RESULTS!$K$2:$K$1001,SMALL(IF(RECON_RESULTS!$A$2:$A$1001="Near Match",ROW(RECON_RESULTS!$A$2:$A$1001)-1),169)))</f>
        <v/>
      </c>
      <c r="J579" s="17">
        <f>IF(B579="","",INDEX(RECON_RESULTS!$L$2:$L$1001,SMALL(IF(RECON_RESULTS!$A$2:$A$1001="Near Match",ROW(RECON_RESULTS!$A$2:$A$1001)-1),169)))</f>
        <v/>
      </c>
      <c r="K579" s="11" t="inlineStr"/>
      <c r="L579" s="11" t="inlineStr"/>
    </row>
    <row r="580">
      <c r="B580" s="11">
        <f>IFERROR(INDEX(RECON_RESULTS!$A$2:$A$1001,SMALL(IF(RECON_RESULTS!$A$2:$A$1001="Near Match",ROW(RECON_RESULTS!$A$2:$A$1001)-1),170)),"")</f>
        <v/>
      </c>
      <c r="C580" s="11">
        <f>IF(B580="","",INDEX(RECON_RESULTS!$B$2:$B$1001,SMALL(IF(RECON_RESULTS!$A$2:$A$1001="Near Match",ROW(RECON_RESULTS!$A$2:$A$1001)-1),170)))</f>
        <v/>
      </c>
      <c r="D580" s="10">
        <f>IF(B580="","",INDEX(RECON_RESULTS!$C$2:$C$1001,SMALL(IF(RECON_RESULTS!$A$2:$A$1001="Near Match",ROW(RECON_RESULTS!$A$2:$A$1001)-1),170)))</f>
        <v/>
      </c>
      <c r="E580" s="16">
        <f>IF(B580="","",INDEX(RECON_RESULTS!$D$2:$D$1001,SMALL(IF(RECON_RESULTS!$A$2:$A$1001="Near Match",ROW(RECON_RESULTS!$A$2:$A$1001)-1),170)))</f>
        <v/>
      </c>
      <c r="F580" s="10">
        <f>IF(B580="","",INDEX(RECON_RESULTS!$F$2:$F$1001,SMALL(IF(RECON_RESULTS!$A$2:$A$1001="Near Match",ROW(RECON_RESULTS!$A$2:$A$1001)-1),170)))</f>
        <v/>
      </c>
      <c r="G580" s="16">
        <f>IF(B580="","",INDEX(RECON_RESULTS!$I$2:$I$1001,SMALL(IF(RECON_RESULTS!$A$2:$A$1001="Near Match",ROW(RECON_RESULTS!$A$2:$A$1001)-1),170)))</f>
        <v/>
      </c>
      <c r="H580" s="12">
        <f>IF(B580="","",INDEX(RECON_RESULTS!$J$2:$J$1001,SMALL(IF(RECON_RESULTS!$A$2:$A$1001="Near Match",ROW(RECON_RESULTS!$A$2:$A$1001)-1),170)))</f>
        <v/>
      </c>
      <c r="I580" s="11">
        <f>IF(B580="","",INDEX(RECON_RESULTS!$K$2:$K$1001,SMALL(IF(RECON_RESULTS!$A$2:$A$1001="Near Match",ROW(RECON_RESULTS!$A$2:$A$1001)-1),170)))</f>
        <v/>
      </c>
      <c r="J580" s="17">
        <f>IF(B580="","",INDEX(RECON_RESULTS!$L$2:$L$1001,SMALL(IF(RECON_RESULTS!$A$2:$A$1001="Near Match",ROW(RECON_RESULTS!$A$2:$A$1001)-1),170)))</f>
        <v/>
      </c>
      <c r="K580" s="11" t="inlineStr"/>
      <c r="L580" s="11" t="inlineStr"/>
    </row>
    <row r="581">
      <c r="B581" s="11">
        <f>IFERROR(INDEX(RECON_RESULTS!$A$2:$A$1001,SMALL(IF(RECON_RESULTS!$A$2:$A$1001="Near Match",ROW(RECON_RESULTS!$A$2:$A$1001)-1),171)),"")</f>
        <v/>
      </c>
      <c r="C581" s="11">
        <f>IF(B581="","",INDEX(RECON_RESULTS!$B$2:$B$1001,SMALL(IF(RECON_RESULTS!$A$2:$A$1001="Near Match",ROW(RECON_RESULTS!$A$2:$A$1001)-1),171)))</f>
        <v/>
      </c>
      <c r="D581" s="10">
        <f>IF(B581="","",INDEX(RECON_RESULTS!$C$2:$C$1001,SMALL(IF(RECON_RESULTS!$A$2:$A$1001="Near Match",ROW(RECON_RESULTS!$A$2:$A$1001)-1),171)))</f>
        <v/>
      </c>
      <c r="E581" s="16">
        <f>IF(B581="","",INDEX(RECON_RESULTS!$D$2:$D$1001,SMALL(IF(RECON_RESULTS!$A$2:$A$1001="Near Match",ROW(RECON_RESULTS!$A$2:$A$1001)-1),171)))</f>
        <v/>
      </c>
      <c r="F581" s="10">
        <f>IF(B581="","",INDEX(RECON_RESULTS!$F$2:$F$1001,SMALL(IF(RECON_RESULTS!$A$2:$A$1001="Near Match",ROW(RECON_RESULTS!$A$2:$A$1001)-1),171)))</f>
        <v/>
      </c>
      <c r="G581" s="16">
        <f>IF(B581="","",INDEX(RECON_RESULTS!$I$2:$I$1001,SMALL(IF(RECON_RESULTS!$A$2:$A$1001="Near Match",ROW(RECON_RESULTS!$A$2:$A$1001)-1),171)))</f>
        <v/>
      </c>
      <c r="H581" s="12">
        <f>IF(B581="","",INDEX(RECON_RESULTS!$J$2:$J$1001,SMALL(IF(RECON_RESULTS!$A$2:$A$1001="Near Match",ROW(RECON_RESULTS!$A$2:$A$1001)-1),171)))</f>
        <v/>
      </c>
      <c r="I581" s="11">
        <f>IF(B581="","",INDEX(RECON_RESULTS!$K$2:$K$1001,SMALL(IF(RECON_RESULTS!$A$2:$A$1001="Near Match",ROW(RECON_RESULTS!$A$2:$A$1001)-1),171)))</f>
        <v/>
      </c>
      <c r="J581" s="17">
        <f>IF(B581="","",INDEX(RECON_RESULTS!$L$2:$L$1001,SMALL(IF(RECON_RESULTS!$A$2:$A$1001="Near Match",ROW(RECON_RESULTS!$A$2:$A$1001)-1),171)))</f>
        <v/>
      </c>
      <c r="K581" s="11" t="inlineStr"/>
      <c r="L581" s="11" t="inlineStr"/>
    </row>
    <row r="582">
      <c r="B582" s="11">
        <f>IFERROR(INDEX(RECON_RESULTS!$A$2:$A$1001,SMALL(IF(RECON_RESULTS!$A$2:$A$1001="Near Match",ROW(RECON_RESULTS!$A$2:$A$1001)-1),172)),"")</f>
        <v/>
      </c>
      <c r="C582" s="11">
        <f>IF(B582="","",INDEX(RECON_RESULTS!$B$2:$B$1001,SMALL(IF(RECON_RESULTS!$A$2:$A$1001="Near Match",ROW(RECON_RESULTS!$A$2:$A$1001)-1),172)))</f>
        <v/>
      </c>
      <c r="D582" s="10">
        <f>IF(B582="","",INDEX(RECON_RESULTS!$C$2:$C$1001,SMALL(IF(RECON_RESULTS!$A$2:$A$1001="Near Match",ROW(RECON_RESULTS!$A$2:$A$1001)-1),172)))</f>
        <v/>
      </c>
      <c r="E582" s="16">
        <f>IF(B582="","",INDEX(RECON_RESULTS!$D$2:$D$1001,SMALL(IF(RECON_RESULTS!$A$2:$A$1001="Near Match",ROW(RECON_RESULTS!$A$2:$A$1001)-1),172)))</f>
        <v/>
      </c>
      <c r="F582" s="10">
        <f>IF(B582="","",INDEX(RECON_RESULTS!$F$2:$F$1001,SMALL(IF(RECON_RESULTS!$A$2:$A$1001="Near Match",ROW(RECON_RESULTS!$A$2:$A$1001)-1),172)))</f>
        <v/>
      </c>
      <c r="G582" s="16">
        <f>IF(B582="","",INDEX(RECON_RESULTS!$I$2:$I$1001,SMALL(IF(RECON_RESULTS!$A$2:$A$1001="Near Match",ROW(RECON_RESULTS!$A$2:$A$1001)-1),172)))</f>
        <v/>
      </c>
      <c r="H582" s="12">
        <f>IF(B582="","",INDEX(RECON_RESULTS!$J$2:$J$1001,SMALL(IF(RECON_RESULTS!$A$2:$A$1001="Near Match",ROW(RECON_RESULTS!$A$2:$A$1001)-1),172)))</f>
        <v/>
      </c>
      <c r="I582" s="11">
        <f>IF(B582="","",INDEX(RECON_RESULTS!$K$2:$K$1001,SMALL(IF(RECON_RESULTS!$A$2:$A$1001="Near Match",ROW(RECON_RESULTS!$A$2:$A$1001)-1),172)))</f>
        <v/>
      </c>
      <c r="J582" s="17">
        <f>IF(B582="","",INDEX(RECON_RESULTS!$L$2:$L$1001,SMALL(IF(RECON_RESULTS!$A$2:$A$1001="Near Match",ROW(RECON_RESULTS!$A$2:$A$1001)-1),172)))</f>
        <v/>
      </c>
      <c r="K582" s="11" t="inlineStr"/>
      <c r="L582" s="11" t="inlineStr"/>
    </row>
    <row r="583">
      <c r="B583" s="11">
        <f>IFERROR(INDEX(RECON_RESULTS!$A$2:$A$1001,SMALL(IF(RECON_RESULTS!$A$2:$A$1001="Near Match",ROW(RECON_RESULTS!$A$2:$A$1001)-1),173)),"")</f>
        <v/>
      </c>
      <c r="C583" s="11">
        <f>IF(B583="","",INDEX(RECON_RESULTS!$B$2:$B$1001,SMALL(IF(RECON_RESULTS!$A$2:$A$1001="Near Match",ROW(RECON_RESULTS!$A$2:$A$1001)-1),173)))</f>
        <v/>
      </c>
      <c r="D583" s="10">
        <f>IF(B583="","",INDEX(RECON_RESULTS!$C$2:$C$1001,SMALL(IF(RECON_RESULTS!$A$2:$A$1001="Near Match",ROW(RECON_RESULTS!$A$2:$A$1001)-1),173)))</f>
        <v/>
      </c>
      <c r="E583" s="16">
        <f>IF(B583="","",INDEX(RECON_RESULTS!$D$2:$D$1001,SMALL(IF(RECON_RESULTS!$A$2:$A$1001="Near Match",ROW(RECON_RESULTS!$A$2:$A$1001)-1),173)))</f>
        <v/>
      </c>
      <c r="F583" s="10">
        <f>IF(B583="","",INDEX(RECON_RESULTS!$F$2:$F$1001,SMALL(IF(RECON_RESULTS!$A$2:$A$1001="Near Match",ROW(RECON_RESULTS!$A$2:$A$1001)-1),173)))</f>
        <v/>
      </c>
      <c r="G583" s="16">
        <f>IF(B583="","",INDEX(RECON_RESULTS!$I$2:$I$1001,SMALL(IF(RECON_RESULTS!$A$2:$A$1001="Near Match",ROW(RECON_RESULTS!$A$2:$A$1001)-1),173)))</f>
        <v/>
      </c>
      <c r="H583" s="12">
        <f>IF(B583="","",INDEX(RECON_RESULTS!$J$2:$J$1001,SMALL(IF(RECON_RESULTS!$A$2:$A$1001="Near Match",ROW(RECON_RESULTS!$A$2:$A$1001)-1),173)))</f>
        <v/>
      </c>
      <c r="I583" s="11">
        <f>IF(B583="","",INDEX(RECON_RESULTS!$K$2:$K$1001,SMALL(IF(RECON_RESULTS!$A$2:$A$1001="Near Match",ROW(RECON_RESULTS!$A$2:$A$1001)-1),173)))</f>
        <v/>
      </c>
      <c r="J583" s="17">
        <f>IF(B583="","",INDEX(RECON_RESULTS!$L$2:$L$1001,SMALL(IF(RECON_RESULTS!$A$2:$A$1001="Near Match",ROW(RECON_RESULTS!$A$2:$A$1001)-1),173)))</f>
        <v/>
      </c>
      <c r="K583" s="11" t="inlineStr"/>
      <c r="L583" s="11" t="inlineStr"/>
    </row>
    <row r="584">
      <c r="B584" s="11">
        <f>IFERROR(INDEX(RECON_RESULTS!$A$2:$A$1001,SMALL(IF(RECON_RESULTS!$A$2:$A$1001="Near Match",ROW(RECON_RESULTS!$A$2:$A$1001)-1),174)),"")</f>
        <v/>
      </c>
      <c r="C584" s="11">
        <f>IF(B584="","",INDEX(RECON_RESULTS!$B$2:$B$1001,SMALL(IF(RECON_RESULTS!$A$2:$A$1001="Near Match",ROW(RECON_RESULTS!$A$2:$A$1001)-1),174)))</f>
        <v/>
      </c>
      <c r="D584" s="10">
        <f>IF(B584="","",INDEX(RECON_RESULTS!$C$2:$C$1001,SMALL(IF(RECON_RESULTS!$A$2:$A$1001="Near Match",ROW(RECON_RESULTS!$A$2:$A$1001)-1),174)))</f>
        <v/>
      </c>
      <c r="E584" s="16">
        <f>IF(B584="","",INDEX(RECON_RESULTS!$D$2:$D$1001,SMALL(IF(RECON_RESULTS!$A$2:$A$1001="Near Match",ROW(RECON_RESULTS!$A$2:$A$1001)-1),174)))</f>
        <v/>
      </c>
      <c r="F584" s="10">
        <f>IF(B584="","",INDEX(RECON_RESULTS!$F$2:$F$1001,SMALL(IF(RECON_RESULTS!$A$2:$A$1001="Near Match",ROW(RECON_RESULTS!$A$2:$A$1001)-1),174)))</f>
        <v/>
      </c>
      <c r="G584" s="16">
        <f>IF(B584="","",INDEX(RECON_RESULTS!$I$2:$I$1001,SMALL(IF(RECON_RESULTS!$A$2:$A$1001="Near Match",ROW(RECON_RESULTS!$A$2:$A$1001)-1),174)))</f>
        <v/>
      </c>
      <c r="H584" s="12">
        <f>IF(B584="","",INDEX(RECON_RESULTS!$J$2:$J$1001,SMALL(IF(RECON_RESULTS!$A$2:$A$1001="Near Match",ROW(RECON_RESULTS!$A$2:$A$1001)-1),174)))</f>
        <v/>
      </c>
      <c r="I584" s="11">
        <f>IF(B584="","",INDEX(RECON_RESULTS!$K$2:$K$1001,SMALL(IF(RECON_RESULTS!$A$2:$A$1001="Near Match",ROW(RECON_RESULTS!$A$2:$A$1001)-1),174)))</f>
        <v/>
      </c>
      <c r="J584" s="17">
        <f>IF(B584="","",INDEX(RECON_RESULTS!$L$2:$L$1001,SMALL(IF(RECON_RESULTS!$A$2:$A$1001="Near Match",ROW(RECON_RESULTS!$A$2:$A$1001)-1),174)))</f>
        <v/>
      </c>
      <c r="K584" s="11" t="inlineStr"/>
      <c r="L584" s="11" t="inlineStr"/>
    </row>
    <row r="585">
      <c r="B585" s="11">
        <f>IFERROR(INDEX(RECON_RESULTS!$A$2:$A$1001,SMALL(IF(RECON_RESULTS!$A$2:$A$1001="Near Match",ROW(RECON_RESULTS!$A$2:$A$1001)-1),175)),"")</f>
        <v/>
      </c>
      <c r="C585" s="11">
        <f>IF(B585="","",INDEX(RECON_RESULTS!$B$2:$B$1001,SMALL(IF(RECON_RESULTS!$A$2:$A$1001="Near Match",ROW(RECON_RESULTS!$A$2:$A$1001)-1),175)))</f>
        <v/>
      </c>
      <c r="D585" s="10">
        <f>IF(B585="","",INDEX(RECON_RESULTS!$C$2:$C$1001,SMALL(IF(RECON_RESULTS!$A$2:$A$1001="Near Match",ROW(RECON_RESULTS!$A$2:$A$1001)-1),175)))</f>
        <v/>
      </c>
      <c r="E585" s="16">
        <f>IF(B585="","",INDEX(RECON_RESULTS!$D$2:$D$1001,SMALL(IF(RECON_RESULTS!$A$2:$A$1001="Near Match",ROW(RECON_RESULTS!$A$2:$A$1001)-1),175)))</f>
        <v/>
      </c>
      <c r="F585" s="10">
        <f>IF(B585="","",INDEX(RECON_RESULTS!$F$2:$F$1001,SMALL(IF(RECON_RESULTS!$A$2:$A$1001="Near Match",ROW(RECON_RESULTS!$A$2:$A$1001)-1),175)))</f>
        <v/>
      </c>
      <c r="G585" s="16">
        <f>IF(B585="","",INDEX(RECON_RESULTS!$I$2:$I$1001,SMALL(IF(RECON_RESULTS!$A$2:$A$1001="Near Match",ROW(RECON_RESULTS!$A$2:$A$1001)-1),175)))</f>
        <v/>
      </c>
      <c r="H585" s="12">
        <f>IF(B585="","",INDEX(RECON_RESULTS!$J$2:$J$1001,SMALL(IF(RECON_RESULTS!$A$2:$A$1001="Near Match",ROW(RECON_RESULTS!$A$2:$A$1001)-1),175)))</f>
        <v/>
      </c>
      <c r="I585" s="11">
        <f>IF(B585="","",INDEX(RECON_RESULTS!$K$2:$K$1001,SMALL(IF(RECON_RESULTS!$A$2:$A$1001="Near Match",ROW(RECON_RESULTS!$A$2:$A$1001)-1),175)))</f>
        <v/>
      </c>
      <c r="J585" s="17">
        <f>IF(B585="","",INDEX(RECON_RESULTS!$L$2:$L$1001,SMALL(IF(RECON_RESULTS!$A$2:$A$1001="Near Match",ROW(RECON_RESULTS!$A$2:$A$1001)-1),175)))</f>
        <v/>
      </c>
      <c r="K585" s="11" t="inlineStr"/>
      <c r="L585" s="11" t="inlineStr"/>
    </row>
    <row r="586">
      <c r="B586" s="11">
        <f>IFERROR(INDEX(RECON_RESULTS!$A$2:$A$1001,SMALL(IF(RECON_RESULTS!$A$2:$A$1001="Near Match",ROW(RECON_RESULTS!$A$2:$A$1001)-1),176)),"")</f>
        <v/>
      </c>
      <c r="C586" s="11">
        <f>IF(B586="","",INDEX(RECON_RESULTS!$B$2:$B$1001,SMALL(IF(RECON_RESULTS!$A$2:$A$1001="Near Match",ROW(RECON_RESULTS!$A$2:$A$1001)-1),176)))</f>
        <v/>
      </c>
      <c r="D586" s="10">
        <f>IF(B586="","",INDEX(RECON_RESULTS!$C$2:$C$1001,SMALL(IF(RECON_RESULTS!$A$2:$A$1001="Near Match",ROW(RECON_RESULTS!$A$2:$A$1001)-1),176)))</f>
        <v/>
      </c>
      <c r="E586" s="16">
        <f>IF(B586="","",INDEX(RECON_RESULTS!$D$2:$D$1001,SMALL(IF(RECON_RESULTS!$A$2:$A$1001="Near Match",ROW(RECON_RESULTS!$A$2:$A$1001)-1),176)))</f>
        <v/>
      </c>
      <c r="F586" s="10">
        <f>IF(B586="","",INDEX(RECON_RESULTS!$F$2:$F$1001,SMALL(IF(RECON_RESULTS!$A$2:$A$1001="Near Match",ROW(RECON_RESULTS!$A$2:$A$1001)-1),176)))</f>
        <v/>
      </c>
      <c r="G586" s="16">
        <f>IF(B586="","",INDEX(RECON_RESULTS!$I$2:$I$1001,SMALL(IF(RECON_RESULTS!$A$2:$A$1001="Near Match",ROW(RECON_RESULTS!$A$2:$A$1001)-1),176)))</f>
        <v/>
      </c>
      <c r="H586" s="12">
        <f>IF(B586="","",INDEX(RECON_RESULTS!$J$2:$J$1001,SMALL(IF(RECON_RESULTS!$A$2:$A$1001="Near Match",ROW(RECON_RESULTS!$A$2:$A$1001)-1),176)))</f>
        <v/>
      </c>
      <c r="I586" s="11">
        <f>IF(B586="","",INDEX(RECON_RESULTS!$K$2:$K$1001,SMALL(IF(RECON_RESULTS!$A$2:$A$1001="Near Match",ROW(RECON_RESULTS!$A$2:$A$1001)-1),176)))</f>
        <v/>
      </c>
      <c r="J586" s="17">
        <f>IF(B586="","",INDEX(RECON_RESULTS!$L$2:$L$1001,SMALL(IF(RECON_RESULTS!$A$2:$A$1001="Near Match",ROW(RECON_RESULTS!$A$2:$A$1001)-1),176)))</f>
        <v/>
      </c>
      <c r="K586" s="11" t="inlineStr"/>
      <c r="L586" s="11" t="inlineStr"/>
    </row>
    <row r="587">
      <c r="B587" s="11">
        <f>IFERROR(INDEX(RECON_RESULTS!$A$2:$A$1001,SMALL(IF(RECON_RESULTS!$A$2:$A$1001="Near Match",ROW(RECON_RESULTS!$A$2:$A$1001)-1),177)),"")</f>
        <v/>
      </c>
      <c r="C587" s="11">
        <f>IF(B587="","",INDEX(RECON_RESULTS!$B$2:$B$1001,SMALL(IF(RECON_RESULTS!$A$2:$A$1001="Near Match",ROW(RECON_RESULTS!$A$2:$A$1001)-1),177)))</f>
        <v/>
      </c>
      <c r="D587" s="10">
        <f>IF(B587="","",INDEX(RECON_RESULTS!$C$2:$C$1001,SMALL(IF(RECON_RESULTS!$A$2:$A$1001="Near Match",ROW(RECON_RESULTS!$A$2:$A$1001)-1),177)))</f>
        <v/>
      </c>
      <c r="E587" s="16">
        <f>IF(B587="","",INDEX(RECON_RESULTS!$D$2:$D$1001,SMALL(IF(RECON_RESULTS!$A$2:$A$1001="Near Match",ROW(RECON_RESULTS!$A$2:$A$1001)-1),177)))</f>
        <v/>
      </c>
      <c r="F587" s="10">
        <f>IF(B587="","",INDEX(RECON_RESULTS!$F$2:$F$1001,SMALL(IF(RECON_RESULTS!$A$2:$A$1001="Near Match",ROW(RECON_RESULTS!$A$2:$A$1001)-1),177)))</f>
        <v/>
      </c>
      <c r="G587" s="16">
        <f>IF(B587="","",INDEX(RECON_RESULTS!$I$2:$I$1001,SMALL(IF(RECON_RESULTS!$A$2:$A$1001="Near Match",ROW(RECON_RESULTS!$A$2:$A$1001)-1),177)))</f>
        <v/>
      </c>
      <c r="H587" s="12">
        <f>IF(B587="","",INDEX(RECON_RESULTS!$J$2:$J$1001,SMALL(IF(RECON_RESULTS!$A$2:$A$1001="Near Match",ROW(RECON_RESULTS!$A$2:$A$1001)-1),177)))</f>
        <v/>
      </c>
      <c r="I587" s="11">
        <f>IF(B587="","",INDEX(RECON_RESULTS!$K$2:$K$1001,SMALL(IF(RECON_RESULTS!$A$2:$A$1001="Near Match",ROW(RECON_RESULTS!$A$2:$A$1001)-1),177)))</f>
        <v/>
      </c>
      <c r="J587" s="17">
        <f>IF(B587="","",INDEX(RECON_RESULTS!$L$2:$L$1001,SMALL(IF(RECON_RESULTS!$A$2:$A$1001="Near Match",ROW(RECON_RESULTS!$A$2:$A$1001)-1),177)))</f>
        <v/>
      </c>
      <c r="K587" s="11" t="inlineStr"/>
      <c r="L587" s="11" t="inlineStr"/>
    </row>
    <row r="588">
      <c r="B588" s="11">
        <f>IFERROR(INDEX(RECON_RESULTS!$A$2:$A$1001,SMALL(IF(RECON_RESULTS!$A$2:$A$1001="Near Match",ROW(RECON_RESULTS!$A$2:$A$1001)-1),178)),"")</f>
        <v/>
      </c>
      <c r="C588" s="11">
        <f>IF(B588="","",INDEX(RECON_RESULTS!$B$2:$B$1001,SMALL(IF(RECON_RESULTS!$A$2:$A$1001="Near Match",ROW(RECON_RESULTS!$A$2:$A$1001)-1),178)))</f>
        <v/>
      </c>
      <c r="D588" s="10">
        <f>IF(B588="","",INDEX(RECON_RESULTS!$C$2:$C$1001,SMALL(IF(RECON_RESULTS!$A$2:$A$1001="Near Match",ROW(RECON_RESULTS!$A$2:$A$1001)-1),178)))</f>
        <v/>
      </c>
      <c r="E588" s="16">
        <f>IF(B588="","",INDEX(RECON_RESULTS!$D$2:$D$1001,SMALL(IF(RECON_RESULTS!$A$2:$A$1001="Near Match",ROW(RECON_RESULTS!$A$2:$A$1001)-1),178)))</f>
        <v/>
      </c>
      <c r="F588" s="10">
        <f>IF(B588="","",INDEX(RECON_RESULTS!$F$2:$F$1001,SMALL(IF(RECON_RESULTS!$A$2:$A$1001="Near Match",ROW(RECON_RESULTS!$A$2:$A$1001)-1),178)))</f>
        <v/>
      </c>
      <c r="G588" s="16">
        <f>IF(B588="","",INDEX(RECON_RESULTS!$I$2:$I$1001,SMALL(IF(RECON_RESULTS!$A$2:$A$1001="Near Match",ROW(RECON_RESULTS!$A$2:$A$1001)-1),178)))</f>
        <v/>
      </c>
      <c r="H588" s="12">
        <f>IF(B588="","",INDEX(RECON_RESULTS!$J$2:$J$1001,SMALL(IF(RECON_RESULTS!$A$2:$A$1001="Near Match",ROW(RECON_RESULTS!$A$2:$A$1001)-1),178)))</f>
        <v/>
      </c>
      <c r="I588" s="11">
        <f>IF(B588="","",INDEX(RECON_RESULTS!$K$2:$K$1001,SMALL(IF(RECON_RESULTS!$A$2:$A$1001="Near Match",ROW(RECON_RESULTS!$A$2:$A$1001)-1),178)))</f>
        <v/>
      </c>
      <c r="J588" s="17">
        <f>IF(B588="","",INDEX(RECON_RESULTS!$L$2:$L$1001,SMALL(IF(RECON_RESULTS!$A$2:$A$1001="Near Match",ROW(RECON_RESULTS!$A$2:$A$1001)-1),178)))</f>
        <v/>
      </c>
      <c r="K588" s="11" t="inlineStr"/>
      <c r="L588" s="11" t="inlineStr"/>
    </row>
    <row r="589">
      <c r="B589" s="11">
        <f>IFERROR(INDEX(RECON_RESULTS!$A$2:$A$1001,SMALL(IF(RECON_RESULTS!$A$2:$A$1001="Near Match",ROW(RECON_RESULTS!$A$2:$A$1001)-1),179)),"")</f>
        <v/>
      </c>
      <c r="C589" s="11">
        <f>IF(B589="","",INDEX(RECON_RESULTS!$B$2:$B$1001,SMALL(IF(RECON_RESULTS!$A$2:$A$1001="Near Match",ROW(RECON_RESULTS!$A$2:$A$1001)-1),179)))</f>
        <v/>
      </c>
      <c r="D589" s="10">
        <f>IF(B589="","",INDEX(RECON_RESULTS!$C$2:$C$1001,SMALL(IF(RECON_RESULTS!$A$2:$A$1001="Near Match",ROW(RECON_RESULTS!$A$2:$A$1001)-1),179)))</f>
        <v/>
      </c>
      <c r="E589" s="16">
        <f>IF(B589="","",INDEX(RECON_RESULTS!$D$2:$D$1001,SMALL(IF(RECON_RESULTS!$A$2:$A$1001="Near Match",ROW(RECON_RESULTS!$A$2:$A$1001)-1),179)))</f>
        <v/>
      </c>
      <c r="F589" s="10">
        <f>IF(B589="","",INDEX(RECON_RESULTS!$F$2:$F$1001,SMALL(IF(RECON_RESULTS!$A$2:$A$1001="Near Match",ROW(RECON_RESULTS!$A$2:$A$1001)-1),179)))</f>
        <v/>
      </c>
      <c r="G589" s="16">
        <f>IF(B589="","",INDEX(RECON_RESULTS!$I$2:$I$1001,SMALL(IF(RECON_RESULTS!$A$2:$A$1001="Near Match",ROW(RECON_RESULTS!$A$2:$A$1001)-1),179)))</f>
        <v/>
      </c>
      <c r="H589" s="12">
        <f>IF(B589="","",INDEX(RECON_RESULTS!$J$2:$J$1001,SMALL(IF(RECON_RESULTS!$A$2:$A$1001="Near Match",ROW(RECON_RESULTS!$A$2:$A$1001)-1),179)))</f>
        <v/>
      </c>
      <c r="I589" s="11">
        <f>IF(B589="","",INDEX(RECON_RESULTS!$K$2:$K$1001,SMALL(IF(RECON_RESULTS!$A$2:$A$1001="Near Match",ROW(RECON_RESULTS!$A$2:$A$1001)-1),179)))</f>
        <v/>
      </c>
      <c r="J589" s="17">
        <f>IF(B589="","",INDEX(RECON_RESULTS!$L$2:$L$1001,SMALL(IF(RECON_RESULTS!$A$2:$A$1001="Near Match",ROW(RECON_RESULTS!$A$2:$A$1001)-1),179)))</f>
        <v/>
      </c>
      <c r="K589" s="11" t="inlineStr"/>
      <c r="L589" s="11" t="inlineStr"/>
    </row>
    <row r="590">
      <c r="B590" s="11">
        <f>IFERROR(INDEX(RECON_RESULTS!$A$2:$A$1001,SMALL(IF(RECON_RESULTS!$A$2:$A$1001="Near Match",ROW(RECON_RESULTS!$A$2:$A$1001)-1),180)),"")</f>
        <v/>
      </c>
      <c r="C590" s="11">
        <f>IF(B590="","",INDEX(RECON_RESULTS!$B$2:$B$1001,SMALL(IF(RECON_RESULTS!$A$2:$A$1001="Near Match",ROW(RECON_RESULTS!$A$2:$A$1001)-1),180)))</f>
        <v/>
      </c>
      <c r="D590" s="10">
        <f>IF(B590="","",INDEX(RECON_RESULTS!$C$2:$C$1001,SMALL(IF(RECON_RESULTS!$A$2:$A$1001="Near Match",ROW(RECON_RESULTS!$A$2:$A$1001)-1),180)))</f>
        <v/>
      </c>
      <c r="E590" s="16">
        <f>IF(B590="","",INDEX(RECON_RESULTS!$D$2:$D$1001,SMALL(IF(RECON_RESULTS!$A$2:$A$1001="Near Match",ROW(RECON_RESULTS!$A$2:$A$1001)-1),180)))</f>
        <v/>
      </c>
      <c r="F590" s="10">
        <f>IF(B590="","",INDEX(RECON_RESULTS!$F$2:$F$1001,SMALL(IF(RECON_RESULTS!$A$2:$A$1001="Near Match",ROW(RECON_RESULTS!$A$2:$A$1001)-1),180)))</f>
        <v/>
      </c>
      <c r="G590" s="16">
        <f>IF(B590="","",INDEX(RECON_RESULTS!$I$2:$I$1001,SMALL(IF(RECON_RESULTS!$A$2:$A$1001="Near Match",ROW(RECON_RESULTS!$A$2:$A$1001)-1),180)))</f>
        <v/>
      </c>
      <c r="H590" s="12">
        <f>IF(B590="","",INDEX(RECON_RESULTS!$J$2:$J$1001,SMALL(IF(RECON_RESULTS!$A$2:$A$1001="Near Match",ROW(RECON_RESULTS!$A$2:$A$1001)-1),180)))</f>
        <v/>
      </c>
      <c r="I590" s="11">
        <f>IF(B590="","",INDEX(RECON_RESULTS!$K$2:$K$1001,SMALL(IF(RECON_RESULTS!$A$2:$A$1001="Near Match",ROW(RECON_RESULTS!$A$2:$A$1001)-1),180)))</f>
        <v/>
      </c>
      <c r="J590" s="17">
        <f>IF(B590="","",INDEX(RECON_RESULTS!$L$2:$L$1001,SMALL(IF(RECON_RESULTS!$A$2:$A$1001="Near Match",ROW(RECON_RESULTS!$A$2:$A$1001)-1),180)))</f>
        <v/>
      </c>
      <c r="K590" s="11" t="inlineStr"/>
      <c r="L590" s="11" t="inlineStr"/>
    </row>
    <row r="591">
      <c r="B591" s="11">
        <f>IFERROR(INDEX(RECON_RESULTS!$A$2:$A$1001,SMALL(IF(RECON_RESULTS!$A$2:$A$1001="Near Match",ROW(RECON_RESULTS!$A$2:$A$1001)-1),181)),"")</f>
        <v/>
      </c>
      <c r="C591" s="11">
        <f>IF(B591="","",INDEX(RECON_RESULTS!$B$2:$B$1001,SMALL(IF(RECON_RESULTS!$A$2:$A$1001="Near Match",ROW(RECON_RESULTS!$A$2:$A$1001)-1),181)))</f>
        <v/>
      </c>
      <c r="D591" s="10">
        <f>IF(B591="","",INDEX(RECON_RESULTS!$C$2:$C$1001,SMALL(IF(RECON_RESULTS!$A$2:$A$1001="Near Match",ROW(RECON_RESULTS!$A$2:$A$1001)-1),181)))</f>
        <v/>
      </c>
      <c r="E591" s="16">
        <f>IF(B591="","",INDEX(RECON_RESULTS!$D$2:$D$1001,SMALL(IF(RECON_RESULTS!$A$2:$A$1001="Near Match",ROW(RECON_RESULTS!$A$2:$A$1001)-1),181)))</f>
        <v/>
      </c>
      <c r="F591" s="10">
        <f>IF(B591="","",INDEX(RECON_RESULTS!$F$2:$F$1001,SMALL(IF(RECON_RESULTS!$A$2:$A$1001="Near Match",ROW(RECON_RESULTS!$A$2:$A$1001)-1),181)))</f>
        <v/>
      </c>
      <c r="G591" s="16">
        <f>IF(B591="","",INDEX(RECON_RESULTS!$I$2:$I$1001,SMALL(IF(RECON_RESULTS!$A$2:$A$1001="Near Match",ROW(RECON_RESULTS!$A$2:$A$1001)-1),181)))</f>
        <v/>
      </c>
      <c r="H591" s="12">
        <f>IF(B591="","",INDEX(RECON_RESULTS!$J$2:$J$1001,SMALL(IF(RECON_RESULTS!$A$2:$A$1001="Near Match",ROW(RECON_RESULTS!$A$2:$A$1001)-1),181)))</f>
        <v/>
      </c>
      <c r="I591" s="11">
        <f>IF(B591="","",INDEX(RECON_RESULTS!$K$2:$K$1001,SMALL(IF(RECON_RESULTS!$A$2:$A$1001="Near Match",ROW(RECON_RESULTS!$A$2:$A$1001)-1),181)))</f>
        <v/>
      </c>
      <c r="J591" s="17">
        <f>IF(B591="","",INDEX(RECON_RESULTS!$L$2:$L$1001,SMALL(IF(RECON_RESULTS!$A$2:$A$1001="Near Match",ROW(RECON_RESULTS!$A$2:$A$1001)-1),181)))</f>
        <v/>
      </c>
      <c r="K591" s="11" t="inlineStr"/>
      <c r="L591" s="11" t="inlineStr"/>
    </row>
    <row r="592">
      <c r="B592" s="11">
        <f>IFERROR(INDEX(RECON_RESULTS!$A$2:$A$1001,SMALL(IF(RECON_RESULTS!$A$2:$A$1001="Near Match",ROW(RECON_RESULTS!$A$2:$A$1001)-1),182)),"")</f>
        <v/>
      </c>
      <c r="C592" s="11">
        <f>IF(B592="","",INDEX(RECON_RESULTS!$B$2:$B$1001,SMALL(IF(RECON_RESULTS!$A$2:$A$1001="Near Match",ROW(RECON_RESULTS!$A$2:$A$1001)-1),182)))</f>
        <v/>
      </c>
      <c r="D592" s="10">
        <f>IF(B592="","",INDEX(RECON_RESULTS!$C$2:$C$1001,SMALL(IF(RECON_RESULTS!$A$2:$A$1001="Near Match",ROW(RECON_RESULTS!$A$2:$A$1001)-1),182)))</f>
        <v/>
      </c>
      <c r="E592" s="16">
        <f>IF(B592="","",INDEX(RECON_RESULTS!$D$2:$D$1001,SMALL(IF(RECON_RESULTS!$A$2:$A$1001="Near Match",ROW(RECON_RESULTS!$A$2:$A$1001)-1),182)))</f>
        <v/>
      </c>
      <c r="F592" s="10">
        <f>IF(B592="","",INDEX(RECON_RESULTS!$F$2:$F$1001,SMALL(IF(RECON_RESULTS!$A$2:$A$1001="Near Match",ROW(RECON_RESULTS!$A$2:$A$1001)-1),182)))</f>
        <v/>
      </c>
      <c r="G592" s="16">
        <f>IF(B592="","",INDEX(RECON_RESULTS!$I$2:$I$1001,SMALL(IF(RECON_RESULTS!$A$2:$A$1001="Near Match",ROW(RECON_RESULTS!$A$2:$A$1001)-1),182)))</f>
        <v/>
      </c>
      <c r="H592" s="12">
        <f>IF(B592="","",INDEX(RECON_RESULTS!$J$2:$J$1001,SMALL(IF(RECON_RESULTS!$A$2:$A$1001="Near Match",ROW(RECON_RESULTS!$A$2:$A$1001)-1),182)))</f>
        <v/>
      </c>
      <c r="I592" s="11">
        <f>IF(B592="","",INDEX(RECON_RESULTS!$K$2:$K$1001,SMALL(IF(RECON_RESULTS!$A$2:$A$1001="Near Match",ROW(RECON_RESULTS!$A$2:$A$1001)-1),182)))</f>
        <v/>
      </c>
      <c r="J592" s="17">
        <f>IF(B592="","",INDEX(RECON_RESULTS!$L$2:$L$1001,SMALL(IF(RECON_RESULTS!$A$2:$A$1001="Near Match",ROW(RECON_RESULTS!$A$2:$A$1001)-1),182)))</f>
        <v/>
      </c>
      <c r="K592" s="11" t="inlineStr"/>
      <c r="L592" s="11" t="inlineStr"/>
    </row>
    <row r="593">
      <c r="B593" s="11">
        <f>IFERROR(INDEX(RECON_RESULTS!$A$2:$A$1001,SMALL(IF(RECON_RESULTS!$A$2:$A$1001="Near Match",ROW(RECON_RESULTS!$A$2:$A$1001)-1),183)),"")</f>
        <v/>
      </c>
      <c r="C593" s="11">
        <f>IF(B593="","",INDEX(RECON_RESULTS!$B$2:$B$1001,SMALL(IF(RECON_RESULTS!$A$2:$A$1001="Near Match",ROW(RECON_RESULTS!$A$2:$A$1001)-1),183)))</f>
        <v/>
      </c>
      <c r="D593" s="10">
        <f>IF(B593="","",INDEX(RECON_RESULTS!$C$2:$C$1001,SMALL(IF(RECON_RESULTS!$A$2:$A$1001="Near Match",ROW(RECON_RESULTS!$A$2:$A$1001)-1),183)))</f>
        <v/>
      </c>
      <c r="E593" s="16">
        <f>IF(B593="","",INDEX(RECON_RESULTS!$D$2:$D$1001,SMALL(IF(RECON_RESULTS!$A$2:$A$1001="Near Match",ROW(RECON_RESULTS!$A$2:$A$1001)-1),183)))</f>
        <v/>
      </c>
      <c r="F593" s="10">
        <f>IF(B593="","",INDEX(RECON_RESULTS!$F$2:$F$1001,SMALL(IF(RECON_RESULTS!$A$2:$A$1001="Near Match",ROW(RECON_RESULTS!$A$2:$A$1001)-1),183)))</f>
        <v/>
      </c>
      <c r="G593" s="16">
        <f>IF(B593="","",INDEX(RECON_RESULTS!$I$2:$I$1001,SMALL(IF(RECON_RESULTS!$A$2:$A$1001="Near Match",ROW(RECON_RESULTS!$A$2:$A$1001)-1),183)))</f>
        <v/>
      </c>
      <c r="H593" s="12">
        <f>IF(B593="","",INDEX(RECON_RESULTS!$J$2:$J$1001,SMALL(IF(RECON_RESULTS!$A$2:$A$1001="Near Match",ROW(RECON_RESULTS!$A$2:$A$1001)-1),183)))</f>
        <v/>
      </c>
      <c r="I593" s="11">
        <f>IF(B593="","",INDEX(RECON_RESULTS!$K$2:$K$1001,SMALL(IF(RECON_RESULTS!$A$2:$A$1001="Near Match",ROW(RECON_RESULTS!$A$2:$A$1001)-1),183)))</f>
        <v/>
      </c>
      <c r="J593" s="17">
        <f>IF(B593="","",INDEX(RECON_RESULTS!$L$2:$L$1001,SMALL(IF(RECON_RESULTS!$A$2:$A$1001="Near Match",ROW(RECON_RESULTS!$A$2:$A$1001)-1),183)))</f>
        <v/>
      </c>
      <c r="K593" s="11" t="inlineStr"/>
      <c r="L593" s="11" t="inlineStr"/>
    </row>
    <row r="594">
      <c r="B594" s="11">
        <f>IFERROR(INDEX(RECON_RESULTS!$A$2:$A$1001,SMALL(IF(RECON_RESULTS!$A$2:$A$1001="Near Match",ROW(RECON_RESULTS!$A$2:$A$1001)-1),184)),"")</f>
        <v/>
      </c>
      <c r="C594" s="11">
        <f>IF(B594="","",INDEX(RECON_RESULTS!$B$2:$B$1001,SMALL(IF(RECON_RESULTS!$A$2:$A$1001="Near Match",ROW(RECON_RESULTS!$A$2:$A$1001)-1),184)))</f>
        <v/>
      </c>
      <c r="D594" s="10">
        <f>IF(B594="","",INDEX(RECON_RESULTS!$C$2:$C$1001,SMALL(IF(RECON_RESULTS!$A$2:$A$1001="Near Match",ROW(RECON_RESULTS!$A$2:$A$1001)-1),184)))</f>
        <v/>
      </c>
      <c r="E594" s="16">
        <f>IF(B594="","",INDEX(RECON_RESULTS!$D$2:$D$1001,SMALL(IF(RECON_RESULTS!$A$2:$A$1001="Near Match",ROW(RECON_RESULTS!$A$2:$A$1001)-1),184)))</f>
        <v/>
      </c>
      <c r="F594" s="10">
        <f>IF(B594="","",INDEX(RECON_RESULTS!$F$2:$F$1001,SMALL(IF(RECON_RESULTS!$A$2:$A$1001="Near Match",ROW(RECON_RESULTS!$A$2:$A$1001)-1),184)))</f>
        <v/>
      </c>
      <c r="G594" s="16">
        <f>IF(B594="","",INDEX(RECON_RESULTS!$I$2:$I$1001,SMALL(IF(RECON_RESULTS!$A$2:$A$1001="Near Match",ROW(RECON_RESULTS!$A$2:$A$1001)-1),184)))</f>
        <v/>
      </c>
      <c r="H594" s="12">
        <f>IF(B594="","",INDEX(RECON_RESULTS!$J$2:$J$1001,SMALL(IF(RECON_RESULTS!$A$2:$A$1001="Near Match",ROW(RECON_RESULTS!$A$2:$A$1001)-1),184)))</f>
        <v/>
      </c>
      <c r="I594" s="11">
        <f>IF(B594="","",INDEX(RECON_RESULTS!$K$2:$K$1001,SMALL(IF(RECON_RESULTS!$A$2:$A$1001="Near Match",ROW(RECON_RESULTS!$A$2:$A$1001)-1),184)))</f>
        <v/>
      </c>
      <c r="J594" s="17">
        <f>IF(B594="","",INDEX(RECON_RESULTS!$L$2:$L$1001,SMALL(IF(RECON_RESULTS!$A$2:$A$1001="Near Match",ROW(RECON_RESULTS!$A$2:$A$1001)-1),184)))</f>
        <v/>
      </c>
      <c r="K594" s="11" t="inlineStr"/>
      <c r="L594" s="11" t="inlineStr"/>
    </row>
    <row r="595">
      <c r="B595" s="11">
        <f>IFERROR(INDEX(RECON_RESULTS!$A$2:$A$1001,SMALL(IF(RECON_RESULTS!$A$2:$A$1001="Near Match",ROW(RECON_RESULTS!$A$2:$A$1001)-1),185)),"")</f>
        <v/>
      </c>
      <c r="C595" s="11">
        <f>IF(B595="","",INDEX(RECON_RESULTS!$B$2:$B$1001,SMALL(IF(RECON_RESULTS!$A$2:$A$1001="Near Match",ROW(RECON_RESULTS!$A$2:$A$1001)-1),185)))</f>
        <v/>
      </c>
      <c r="D595" s="10">
        <f>IF(B595="","",INDEX(RECON_RESULTS!$C$2:$C$1001,SMALL(IF(RECON_RESULTS!$A$2:$A$1001="Near Match",ROW(RECON_RESULTS!$A$2:$A$1001)-1),185)))</f>
        <v/>
      </c>
      <c r="E595" s="16">
        <f>IF(B595="","",INDEX(RECON_RESULTS!$D$2:$D$1001,SMALL(IF(RECON_RESULTS!$A$2:$A$1001="Near Match",ROW(RECON_RESULTS!$A$2:$A$1001)-1),185)))</f>
        <v/>
      </c>
      <c r="F595" s="10">
        <f>IF(B595="","",INDEX(RECON_RESULTS!$F$2:$F$1001,SMALL(IF(RECON_RESULTS!$A$2:$A$1001="Near Match",ROW(RECON_RESULTS!$A$2:$A$1001)-1),185)))</f>
        <v/>
      </c>
      <c r="G595" s="16">
        <f>IF(B595="","",INDEX(RECON_RESULTS!$I$2:$I$1001,SMALL(IF(RECON_RESULTS!$A$2:$A$1001="Near Match",ROW(RECON_RESULTS!$A$2:$A$1001)-1),185)))</f>
        <v/>
      </c>
      <c r="H595" s="12">
        <f>IF(B595="","",INDEX(RECON_RESULTS!$J$2:$J$1001,SMALL(IF(RECON_RESULTS!$A$2:$A$1001="Near Match",ROW(RECON_RESULTS!$A$2:$A$1001)-1),185)))</f>
        <v/>
      </c>
      <c r="I595" s="11">
        <f>IF(B595="","",INDEX(RECON_RESULTS!$K$2:$K$1001,SMALL(IF(RECON_RESULTS!$A$2:$A$1001="Near Match",ROW(RECON_RESULTS!$A$2:$A$1001)-1),185)))</f>
        <v/>
      </c>
      <c r="J595" s="17">
        <f>IF(B595="","",INDEX(RECON_RESULTS!$L$2:$L$1001,SMALL(IF(RECON_RESULTS!$A$2:$A$1001="Near Match",ROW(RECON_RESULTS!$A$2:$A$1001)-1),185)))</f>
        <v/>
      </c>
      <c r="K595" s="11" t="inlineStr"/>
      <c r="L595" s="11" t="inlineStr"/>
    </row>
    <row r="596">
      <c r="B596" s="11">
        <f>IFERROR(INDEX(RECON_RESULTS!$A$2:$A$1001,SMALL(IF(RECON_RESULTS!$A$2:$A$1001="Near Match",ROW(RECON_RESULTS!$A$2:$A$1001)-1),186)),"")</f>
        <v/>
      </c>
      <c r="C596" s="11">
        <f>IF(B596="","",INDEX(RECON_RESULTS!$B$2:$B$1001,SMALL(IF(RECON_RESULTS!$A$2:$A$1001="Near Match",ROW(RECON_RESULTS!$A$2:$A$1001)-1),186)))</f>
        <v/>
      </c>
      <c r="D596" s="10">
        <f>IF(B596="","",INDEX(RECON_RESULTS!$C$2:$C$1001,SMALL(IF(RECON_RESULTS!$A$2:$A$1001="Near Match",ROW(RECON_RESULTS!$A$2:$A$1001)-1),186)))</f>
        <v/>
      </c>
      <c r="E596" s="16">
        <f>IF(B596="","",INDEX(RECON_RESULTS!$D$2:$D$1001,SMALL(IF(RECON_RESULTS!$A$2:$A$1001="Near Match",ROW(RECON_RESULTS!$A$2:$A$1001)-1),186)))</f>
        <v/>
      </c>
      <c r="F596" s="10">
        <f>IF(B596="","",INDEX(RECON_RESULTS!$F$2:$F$1001,SMALL(IF(RECON_RESULTS!$A$2:$A$1001="Near Match",ROW(RECON_RESULTS!$A$2:$A$1001)-1),186)))</f>
        <v/>
      </c>
      <c r="G596" s="16">
        <f>IF(B596="","",INDEX(RECON_RESULTS!$I$2:$I$1001,SMALL(IF(RECON_RESULTS!$A$2:$A$1001="Near Match",ROW(RECON_RESULTS!$A$2:$A$1001)-1),186)))</f>
        <v/>
      </c>
      <c r="H596" s="12">
        <f>IF(B596="","",INDEX(RECON_RESULTS!$J$2:$J$1001,SMALL(IF(RECON_RESULTS!$A$2:$A$1001="Near Match",ROW(RECON_RESULTS!$A$2:$A$1001)-1),186)))</f>
        <v/>
      </c>
      <c r="I596" s="11">
        <f>IF(B596="","",INDEX(RECON_RESULTS!$K$2:$K$1001,SMALL(IF(RECON_RESULTS!$A$2:$A$1001="Near Match",ROW(RECON_RESULTS!$A$2:$A$1001)-1),186)))</f>
        <v/>
      </c>
      <c r="J596" s="17">
        <f>IF(B596="","",INDEX(RECON_RESULTS!$L$2:$L$1001,SMALL(IF(RECON_RESULTS!$A$2:$A$1001="Near Match",ROW(RECON_RESULTS!$A$2:$A$1001)-1),186)))</f>
        <v/>
      </c>
      <c r="K596" s="11" t="inlineStr"/>
      <c r="L596" s="11" t="inlineStr"/>
    </row>
    <row r="597">
      <c r="B597" s="11">
        <f>IFERROR(INDEX(RECON_RESULTS!$A$2:$A$1001,SMALL(IF(RECON_RESULTS!$A$2:$A$1001="Near Match",ROW(RECON_RESULTS!$A$2:$A$1001)-1),187)),"")</f>
        <v/>
      </c>
      <c r="C597" s="11">
        <f>IF(B597="","",INDEX(RECON_RESULTS!$B$2:$B$1001,SMALL(IF(RECON_RESULTS!$A$2:$A$1001="Near Match",ROW(RECON_RESULTS!$A$2:$A$1001)-1),187)))</f>
        <v/>
      </c>
      <c r="D597" s="10">
        <f>IF(B597="","",INDEX(RECON_RESULTS!$C$2:$C$1001,SMALL(IF(RECON_RESULTS!$A$2:$A$1001="Near Match",ROW(RECON_RESULTS!$A$2:$A$1001)-1),187)))</f>
        <v/>
      </c>
      <c r="E597" s="16">
        <f>IF(B597="","",INDEX(RECON_RESULTS!$D$2:$D$1001,SMALL(IF(RECON_RESULTS!$A$2:$A$1001="Near Match",ROW(RECON_RESULTS!$A$2:$A$1001)-1),187)))</f>
        <v/>
      </c>
      <c r="F597" s="10">
        <f>IF(B597="","",INDEX(RECON_RESULTS!$F$2:$F$1001,SMALL(IF(RECON_RESULTS!$A$2:$A$1001="Near Match",ROW(RECON_RESULTS!$A$2:$A$1001)-1),187)))</f>
        <v/>
      </c>
      <c r="G597" s="16">
        <f>IF(B597="","",INDEX(RECON_RESULTS!$I$2:$I$1001,SMALL(IF(RECON_RESULTS!$A$2:$A$1001="Near Match",ROW(RECON_RESULTS!$A$2:$A$1001)-1),187)))</f>
        <v/>
      </c>
      <c r="H597" s="12">
        <f>IF(B597="","",INDEX(RECON_RESULTS!$J$2:$J$1001,SMALL(IF(RECON_RESULTS!$A$2:$A$1001="Near Match",ROW(RECON_RESULTS!$A$2:$A$1001)-1),187)))</f>
        <v/>
      </c>
      <c r="I597" s="11">
        <f>IF(B597="","",INDEX(RECON_RESULTS!$K$2:$K$1001,SMALL(IF(RECON_RESULTS!$A$2:$A$1001="Near Match",ROW(RECON_RESULTS!$A$2:$A$1001)-1),187)))</f>
        <v/>
      </c>
      <c r="J597" s="17">
        <f>IF(B597="","",INDEX(RECON_RESULTS!$L$2:$L$1001,SMALL(IF(RECON_RESULTS!$A$2:$A$1001="Near Match",ROW(RECON_RESULTS!$A$2:$A$1001)-1),187)))</f>
        <v/>
      </c>
      <c r="K597" s="11" t="inlineStr"/>
      <c r="L597" s="11" t="inlineStr"/>
    </row>
    <row r="598">
      <c r="B598" s="11">
        <f>IFERROR(INDEX(RECON_RESULTS!$A$2:$A$1001,SMALL(IF(RECON_RESULTS!$A$2:$A$1001="Near Match",ROW(RECON_RESULTS!$A$2:$A$1001)-1),188)),"")</f>
        <v/>
      </c>
      <c r="C598" s="11">
        <f>IF(B598="","",INDEX(RECON_RESULTS!$B$2:$B$1001,SMALL(IF(RECON_RESULTS!$A$2:$A$1001="Near Match",ROW(RECON_RESULTS!$A$2:$A$1001)-1),188)))</f>
        <v/>
      </c>
      <c r="D598" s="10">
        <f>IF(B598="","",INDEX(RECON_RESULTS!$C$2:$C$1001,SMALL(IF(RECON_RESULTS!$A$2:$A$1001="Near Match",ROW(RECON_RESULTS!$A$2:$A$1001)-1),188)))</f>
        <v/>
      </c>
      <c r="E598" s="16">
        <f>IF(B598="","",INDEX(RECON_RESULTS!$D$2:$D$1001,SMALL(IF(RECON_RESULTS!$A$2:$A$1001="Near Match",ROW(RECON_RESULTS!$A$2:$A$1001)-1),188)))</f>
        <v/>
      </c>
      <c r="F598" s="10">
        <f>IF(B598="","",INDEX(RECON_RESULTS!$F$2:$F$1001,SMALL(IF(RECON_RESULTS!$A$2:$A$1001="Near Match",ROW(RECON_RESULTS!$A$2:$A$1001)-1),188)))</f>
        <v/>
      </c>
      <c r="G598" s="16">
        <f>IF(B598="","",INDEX(RECON_RESULTS!$I$2:$I$1001,SMALL(IF(RECON_RESULTS!$A$2:$A$1001="Near Match",ROW(RECON_RESULTS!$A$2:$A$1001)-1),188)))</f>
        <v/>
      </c>
      <c r="H598" s="12">
        <f>IF(B598="","",INDEX(RECON_RESULTS!$J$2:$J$1001,SMALL(IF(RECON_RESULTS!$A$2:$A$1001="Near Match",ROW(RECON_RESULTS!$A$2:$A$1001)-1),188)))</f>
        <v/>
      </c>
      <c r="I598" s="11">
        <f>IF(B598="","",INDEX(RECON_RESULTS!$K$2:$K$1001,SMALL(IF(RECON_RESULTS!$A$2:$A$1001="Near Match",ROW(RECON_RESULTS!$A$2:$A$1001)-1),188)))</f>
        <v/>
      </c>
      <c r="J598" s="17">
        <f>IF(B598="","",INDEX(RECON_RESULTS!$L$2:$L$1001,SMALL(IF(RECON_RESULTS!$A$2:$A$1001="Near Match",ROW(RECON_RESULTS!$A$2:$A$1001)-1),188)))</f>
        <v/>
      </c>
      <c r="K598" s="11" t="inlineStr"/>
      <c r="L598" s="11" t="inlineStr"/>
    </row>
    <row r="599">
      <c r="B599" s="11">
        <f>IFERROR(INDEX(RECON_RESULTS!$A$2:$A$1001,SMALL(IF(RECON_RESULTS!$A$2:$A$1001="Near Match",ROW(RECON_RESULTS!$A$2:$A$1001)-1),189)),"")</f>
        <v/>
      </c>
      <c r="C599" s="11">
        <f>IF(B599="","",INDEX(RECON_RESULTS!$B$2:$B$1001,SMALL(IF(RECON_RESULTS!$A$2:$A$1001="Near Match",ROW(RECON_RESULTS!$A$2:$A$1001)-1),189)))</f>
        <v/>
      </c>
      <c r="D599" s="10">
        <f>IF(B599="","",INDEX(RECON_RESULTS!$C$2:$C$1001,SMALL(IF(RECON_RESULTS!$A$2:$A$1001="Near Match",ROW(RECON_RESULTS!$A$2:$A$1001)-1),189)))</f>
        <v/>
      </c>
      <c r="E599" s="16">
        <f>IF(B599="","",INDEX(RECON_RESULTS!$D$2:$D$1001,SMALL(IF(RECON_RESULTS!$A$2:$A$1001="Near Match",ROW(RECON_RESULTS!$A$2:$A$1001)-1),189)))</f>
        <v/>
      </c>
      <c r="F599" s="10">
        <f>IF(B599="","",INDEX(RECON_RESULTS!$F$2:$F$1001,SMALL(IF(RECON_RESULTS!$A$2:$A$1001="Near Match",ROW(RECON_RESULTS!$A$2:$A$1001)-1),189)))</f>
        <v/>
      </c>
      <c r="G599" s="16">
        <f>IF(B599="","",INDEX(RECON_RESULTS!$I$2:$I$1001,SMALL(IF(RECON_RESULTS!$A$2:$A$1001="Near Match",ROW(RECON_RESULTS!$A$2:$A$1001)-1),189)))</f>
        <v/>
      </c>
      <c r="H599" s="12">
        <f>IF(B599="","",INDEX(RECON_RESULTS!$J$2:$J$1001,SMALL(IF(RECON_RESULTS!$A$2:$A$1001="Near Match",ROW(RECON_RESULTS!$A$2:$A$1001)-1),189)))</f>
        <v/>
      </c>
      <c r="I599" s="11">
        <f>IF(B599="","",INDEX(RECON_RESULTS!$K$2:$K$1001,SMALL(IF(RECON_RESULTS!$A$2:$A$1001="Near Match",ROW(RECON_RESULTS!$A$2:$A$1001)-1),189)))</f>
        <v/>
      </c>
      <c r="J599" s="17">
        <f>IF(B599="","",INDEX(RECON_RESULTS!$L$2:$L$1001,SMALL(IF(RECON_RESULTS!$A$2:$A$1001="Near Match",ROW(RECON_RESULTS!$A$2:$A$1001)-1),189)))</f>
        <v/>
      </c>
      <c r="K599" s="11" t="inlineStr"/>
      <c r="L599" s="11" t="inlineStr"/>
    </row>
    <row r="600">
      <c r="B600" s="11">
        <f>IFERROR(INDEX(RECON_RESULTS!$A$2:$A$1001,SMALL(IF(RECON_RESULTS!$A$2:$A$1001="Near Match",ROW(RECON_RESULTS!$A$2:$A$1001)-1),190)),"")</f>
        <v/>
      </c>
      <c r="C600" s="11">
        <f>IF(B600="","",INDEX(RECON_RESULTS!$B$2:$B$1001,SMALL(IF(RECON_RESULTS!$A$2:$A$1001="Near Match",ROW(RECON_RESULTS!$A$2:$A$1001)-1),190)))</f>
        <v/>
      </c>
      <c r="D600" s="10">
        <f>IF(B600="","",INDEX(RECON_RESULTS!$C$2:$C$1001,SMALL(IF(RECON_RESULTS!$A$2:$A$1001="Near Match",ROW(RECON_RESULTS!$A$2:$A$1001)-1),190)))</f>
        <v/>
      </c>
      <c r="E600" s="16">
        <f>IF(B600="","",INDEX(RECON_RESULTS!$D$2:$D$1001,SMALL(IF(RECON_RESULTS!$A$2:$A$1001="Near Match",ROW(RECON_RESULTS!$A$2:$A$1001)-1),190)))</f>
        <v/>
      </c>
      <c r="F600" s="10">
        <f>IF(B600="","",INDEX(RECON_RESULTS!$F$2:$F$1001,SMALL(IF(RECON_RESULTS!$A$2:$A$1001="Near Match",ROW(RECON_RESULTS!$A$2:$A$1001)-1),190)))</f>
        <v/>
      </c>
      <c r="G600" s="16">
        <f>IF(B600="","",INDEX(RECON_RESULTS!$I$2:$I$1001,SMALL(IF(RECON_RESULTS!$A$2:$A$1001="Near Match",ROW(RECON_RESULTS!$A$2:$A$1001)-1),190)))</f>
        <v/>
      </c>
      <c r="H600" s="12">
        <f>IF(B600="","",INDEX(RECON_RESULTS!$J$2:$J$1001,SMALL(IF(RECON_RESULTS!$A$2:$A$1001="Near Match",ROW(RECON_RESULTS!$A$2:$A$1001)-1),190)))</f>
        <v/>
      </c>
      <c r="I600" s="11">
        <f>IF(B600="","",INDEX(RECON_RESULTS!$K$2:$K$1001,SMALL(IF(RECON_RESULTS!$A$2:$A$1001="Near Match",ROW(RECON_RESULTS!$A$2:$A$1001)-1),190)))</f>
        <v/>
      </c>
      <c r="J600" s="17">
        <f>IF(B600="","",INDEX(RECON_RESULTS!$L$2:$L$1001,SMALL(IF(RECON_RESULTS!$A$2:$A$1001="Near Match",ROW(RECON_RESULTS!$A$2:$A$1001)-1),190)))</f>
        <v/>
      </c>
      <c r="K600" s="11" t="inlineStr"/>
      <c r="L600" s="11" t="inlineStr"/>
    </row>
    <row r="601">
      <c r="B601" s="11">
        <f>IFERROR(INDEX(RECON_RESULTS!$A$2:$A$1001,SMALL(IF(RECON_RESULTS!$A$2:$A$1001="Near Match",ROW(RECON_RESULTS!$A$2:$A$1001)-1),191)),"")</f>
        <v/>
      </c>
      <c r="C601" s="11">
        <f>IF(B601="","",INDEX(RECON_RESULTS!$B$2:$B$1001,SMALL(IF(RECON_RESULTS!$A$2:$A$1001="Near Match",ROW(RECON_RESULTS!$A$2:$A$1001)-1),191)))</f>
        <v/>
      </c>
      <c r="D601" s="10">
        <f>IF(B601="","",INDEX(RECON_RESULTS!$C$2:$C$1001,SMALL(IF(RECON_RESULTS!$A$2:$A$1001="Near Match",ROW(RECON_RESULTS!$A$2:$A$1001)-1),191)))</f>
        <v/>
      </c>
      <c r="E601" s="16">
        <f>IF(B601="","",INDEX(RECON_RESULTS!$D$2:$D$1001,SMALL(IF(RECON_RESULTS!$A$2:$A$1001="Near Match",ROW(RECON_RESULTS!$A$2:$A$1001)-1),191)))</f>
        <v/>
      </c>
      <c r="F601" s="10">
        <f>IF(B601="","",INDEX(RECON_RESULTS!$F$2:$F$1001,SMALL(IF(RECON_RESULTS!$A$2:$A$1001="Near Match",ROW(RECON_RESULTS!$A$2:$A$1001)-1),191)))</f>
        <v/>
      </c>
      <c r="G601" s="16">
        <f>IF(B601="","",INDEX(RECON_RESULTS!$I$2:$I$1001,SMALL(IF(RECON_RESULTS!$A$2:$A$1001="Near Match",ROW(RECON_RESULTS!$A$2:$A$1001)-1),191)))</f>
        <v/>
      </c>
      <c r="H601" s="12">
        <f>IF(B601="","",INDEX(RECON_RESULTS!$J$2:$J$1001,SMALL(IF(RECON_RESULTS!$A$2:$A$1001="Near Match",ROW(RECON_RESULTS!$A$2:$A$1001)-1),191)))</f>
        <v/>
      </c>
      <c r="I601" s="11">
        <f>IF(B601="","",INDEX(RECON_RESULTS!$K$2:$K$1001,SMALL(IF(RECON_RESULTS!$A$2:$A$1001="Near Match",ROW(RECON_RESULTS!$A$2:$A$1001)-1),191)))</f>
        <v/>
      </c>
      <c r="J601" s="17">
        <f>IF(B601="","",INDEX(RECON_RESULTS!$L$2:$L$1001,SMALL(IF(RECON_RESULTS!$A$2:$A$1001="Near Match",ROW(RECON_RESULTS!$A$2:$A$1001)-1),191)))</f>
        <v/>
      </c>
      <c r="K601" s="11" t="inlineStr"/>
      <c r="L601" s="11" t="inlineStr"/>
    </row>
    <row r="602">
      <c r="B602" s="11">
        <f>IFERROR(INDEX(RECON_RESULTS!$A$2:$A$1001,SMALL(IF(RECON_RESULTS!$A$2:$A$1001="Near Match",ROW(RECON_RESULTS!$A$2:$A$1001)-1),192)),"")</f>
        <v/>
      </c>
      <c r="C602" s="11">
        <f>IF(B602="","",INDEX(RECON_RESULTS!$B$2:$B$1001,SMALL(IF(RECON_RESULTS!$A$2:$A$1001="Near Match",ROW(RECON_RESULTS!$A$2:$A$1001)-1),192)))</f>
        <v/>
      </c>
      <c r="D602" s="10">
        <f>IF(B602="","",INDEX(RECON_RESULTS!$C$2:$C$1001,SMALL(IF(RECON_RESULTS!$A$2:$A$1001="Near Match",ROW(RECON_RESULTS!$A$2:$A$1001)-1),192)))</f>
        <v/>
      </c>
      <c r="E602" s="16">
        <f>IF(B602="","",INDEX(RECON_RESULTS!$D$2:$D$1001,SMALL(IF(RECON_RESULTS!$A$2:$A$1001="Near Match",ROW(RECON_RESULTS!$A$2:$A$1001)-1),192)))</f>
        <v/>
      </c>
      <c r="F602" s="10">
        <f>IF(B602="","",INDEX(RECON_RESULTS!$F$2:$F$1001,SMALL(IF(RECON_RESULTS!$A$2:$A$1001="Near Match",ROW(RECON_RESULTS!$A$2:$A$1001)-1),192)))</f>
        <v/>
      </c>
      <c r="G602" s="16">
        <f>IF(B602="","",INDEX(RECON_RESULTS!$I$2:$I$1001,SMALL(IF(RECON_RESULTS!$A$2:$A$1001="Near Match",ROW(RECON_RESULTS!$A$2:$A$1001)-1),192)))</f>
        <v/>
      </c>
      <c r="H602" s="12">
        <f>IF(B602="","",INDEX(RECON_RESULTS!$J$2:$J$1001,SMALL(IF(RECON_RESULTS!$A$2:$A$1001="Near Match",ROW(RECON_RESULTS!$A$2:$A$1001)-1),192)))</f>
        <v/>
      </c>
      <c r="I602" s="11">
        <f>IF(B602="","",INDEX(RECON_RESULTS!$K$2:$K$1001,SMALL(IF(RECON_RESULTS!$A$2:$A$1001="Near Match",ROW(RECON_RESULTS!$A$2:$A$1001)-1),192)))</f>
        <v/>
      </c>
      <c r="J602" s="17">
        <f>IF(B602="","",INDEX(RECON_RESULTS!$L$2:$L$1001,SMALL(IF(RECON_RESULTS!$A$2:$A$1001="Near Match",ROW(RECON_RESULTS!$A$2:$A$1001)-1),192)))</f>
        <v/>
      </c>
      <c r="K602" s="11" t="inlineStr"/>
      <c r="L602" s="11" t="inlineStr"/>
    </row>
    <row r="603">
      <c r="B603" s="11">
        <f>IFERROR(INDEX(RECON_RESULTS!$A$2:$A$1001,SMALL(IF(RECON_RESULTS!$A$2:$A$1001="Near Match",ROW(RECON_RESULTS!$A$2:$A$1001)-1),193)),"")</f>
        <v/>
      </c>
      <c r="C603" s="11">
        <f>IF(B603="","",INDEX(RECON_RESULTS!$B$2:$B$1001,SMALL(IF(RECON_RESULTS!$A$2:$A$1001="Near Match",ROW(RECON_RESULTS!$A$2:$A$1001)-1),193)))</f>
        <v/>
      </c>
      <c r="D603" s="10">
        <f>IF(B603="","",INDEX(RECON_RESULTS!$C$2:$C$1001,SMALL(IF(RECON_RESULTS!$A$2:$A$1001="Near Match",ROW(RECON_RESULTS!$A$2:$A$1001)-1),193)))</f>
        <v/>
      </c>
      <c r="E603" s="16">
        <f>IF(B603="","",INDEX(RECON_RESULTS!$D$2:$D$1001,SMALL(IF(RECON_RESULTS!$A$2:$A$1001="Near Match",ROW(RECON_RESULTS!$A$2:$A$1001)-1),193)))</f>
        <v/>
      </c>
      <c r="F603" s="10">
        <f>IF(B603="","",INDEX(RECON_RESULTS!$F$2:$F$1001,SMALL(IF(RECON_RESULTS!$A$2:$A$1001="Near Match",ROW(RECON_RESULTS!$A$2:$A$1001)-1),193)))</f>
        <v/>
      </c>
      <c r="G603" s="16">
        <f>IF(B603="","",INDEX(RECON_RESULTS!$I$2:$I$1001,SMALL(IF(RECON_RESULTS!$A$2:$A$1001="Near Match",ROW(RECON_RESULTS!$A$2:$A$1001)-1),193)))</f>
        <v/>
      </c>
      <c r="H603" s="12">
        <f>IF(B603="","",INDEX(RECON_RESULTS!$J$2:$J$1001,SMALL(IF(RECON_RESULTS!$A$2:$A$1001="Near Match",ROW(RECON_RESULTS!$A$2:$A$1001)-1),193)))</f>
        <v/>
      </c>
      <c r="I603" s="11">
        <f>IF(B603="","",INDEX(RECON_RESULTS!$K$2:$K$1001,SMALL(IF(RECON_RESULTS!$A$2:$A$1001="Near Match",ROW(RECON_RESULTS!$A$2:$A$1001)-1),193)))</f>
        <v/>
      </c>
      <c r="J603" s="17">
        <f>IF(B603="","",INDEX(RECON_RESULTS!$L$2:$L$1001,SMALL(IF(RECON_RESULTS!$A$2:$A$1001="Near Match",ROW(RECON_RESULTS!$A$2:$A$1001)-1),193)))</f>
        <v/>
      </c>
      <c r="K603" s="11" t="inlineStr"/>
      <c r="L603" s="11" t="inlineStr"/>
    </row>
    <row r="604">
      <c r="B604" s="11">
        <f>IFERROR(INDEX(RECON_RESULTS!$A$2:$A$1001,SMALL(IF(RECON_RESULTS!$A$2:$A$1001="Near Match",ROW(RECON_RESULTS!$A$2:$A$1001)-1),194)),"")</f>
        <v/>
      </c>
      <c r="C604" s="11">
        <f>IF(B604="","",INDEX(RECON_RESULTS!$B$2:$B$1001,SMALL(IF(RECON_RESULTS!$A$2:$A$1001="Near Match",ROW(RECON_RESULTS!$A$2:$A$1001)-1),194)))</f>
        <v/>
      </c>
      <c r="D604" s="10">
        <f>IF(B604="","",INDEX(RECON_RESULTS!$C$2:$C$1001,SMALL(IF(RECON_RESULTS!$A$2:$A$1001="Near Match",ROW(RECON_RESULTS!$A$2:$A$1001)-1),194)))</f>
        <v/>
      </c>
      <c r="E604" s="16">
        <f>IF(B604="","",INDEX(RECON_RESULTS!$D$2:$D$1001,SMALL(IF(RECON_RESULTS!$A$2:$A$1001="Near Match",ROW(RECON_RESULTS!$A$2:$A$1001)-1),194)))</f>
        <v/>
      </c>
      <c r="F604" s="10">
        <f>IF(B604="","",INDEX(RECON_RESULTS!$F$2:$F$1001,SMALL(IF(RECON_RESULTS!$A$2:$A$1001="Near Match",ROW(RECON_RESULTS!$A$2:$A$1001)-1),194)))</f>
        <v/>
      </c>
      <c r="G604" s="16">
        <f>IF(B604="","",INDEX(RECON_RESULTS!$I$2:$I$1001,SMALL(IF(RECON_RESULTS!$A$2:$A$1001="Near Match",ROW(RECON_RESULTS!$A$2:$A$1001)-1),194)))</f>
        <v/>
      </c>
      <c r="H604" s="12">
        <f>IF(B604="","",INDEX(RECON_RESULTS!$J$2:$J$1001,SMALL(IF(RECON_RESULTS!$A$2:$A$1001="Near Match",ROW(RECON_RESULTS!$A$2:$A$1001)-1),194)))</f>
        <v/>
      </c>
      <c r="I604" s="11">
        <f>IF(B604="","",INDEX(RECON_RESULTS!$K$2:$K$1001,SMALL(IF(RECON_RESULTS!$A$2:$A$1001="Near Match",ROW(RECON_RESULTS!$A$2:$A$1001)-1),194)))</f>
        <v/>
      </c>
      <c r="J604" s="17">
        <f>IF(B604="","",INDEX(RECON_RESULTS!$L$2:$L$1001,SMALL(IF(RECON_RESULTS!$A$2:$A$1001="Near Match",ROW(RECON_RESULTS!$A$2:$A$1001)-1),194)))</f>
        <v/>
      </c>
      <c r="K604" s="11" t="inlineStr"/>
      <c r="L604" s="11" t="inlineStr"/>
    </row>
    <row r="605">
      <c r="B605" s="11">
        <f>IFERROR(INDEX(RECON_RESULTS!$A$2:$A$1001,SMALL(IF(RECON_RESULTS!$A$2:$A$1001="Near Match",ROW(RECON_RESULTS!$A$2:$A$1001)-1),195)),"")</f>
        <v/>
      </c>
      <c r="C605" s="11">
        <f>IF(B605="","",INDEX(RECON_RESULTS!$B$2:$B$1001,SMALL(IF(RECON_RESULTS!$A$2:$A$1001="Near Match",ROW(RECON_RESULTS!$A$2:$A$1001)-1),195)))</f>
        <v/>
      </c>
      <c r="D605" s="10">
        <f>IF(B605="","",INDEX(RECON_RESULTS!$C$2:$C$1001,SMALL(IF(RECON_RESULTS!$A$2:$A$1001="Near Match",ROW(RECON_RESULTS!$A$2:$A$1001)-1),195)))</f>
        <v/>
      </c>
      <c r="E605" s="16">
        <f>IF(B605="","",INDEX(RECON_RESULTS!$D$2:$D$1001,SMALL(IF(RECON_RESULTS!$A$2:$A$1001="Near Match",ROW(RECON_RESULTS!$A$2:$A$1001)-1),195)))</f>
        <v/>
      </c>
      <c r="F605" s="10">
        <f>IF(B605="","",INDEX(RECON_RESULTS!$F$2:$F$1001,SMALL(IF(RECON_RESULTS!$A$2:$A$1001="Near Match",ROW(RECON_RESULTS!$A$2:$A$1001)-1),195)))</f>
        <v/>
      </c>
      <c r="G605" s="16">
        <f>IF(B605="","",INDEX(RECON_RESULTS!$I$2:$I$1001,SMALL(IF(RECON_RESULTS!$A$2:$A$1001="Near Match",ROW(RECON_RESULTS!$A$2:$A$1001)-1),195)))</f>
        <v/>
      </c>
      <c r="H605" s="12">
        <f>IF(B605="","",INDEX(RECON_RESULTS!$J$2:$J$1001,SMALL(IF(RECON_RESULTS!$A$2:$A$1001="Near Match",ROW(RECON_RESULTS!$A$2:$A$1001)-1),195)))</f>
        <v/>
      </c>
      <c r="I605" s="11">
        <f>IF(B605="","",INDEX(RECON_RESULTS!$K$2:$K$1001,SMALL(IF(RECON_RESULTS!$A$2:$A$1001="Near Match",ROW(RECON_RESULTS!$A$2:$A$1001)-1),195)))</f>
        <v/>
      </c>
      <c r="J605" s="17">
        <f>IF(B605="","",INDEX(RECON_RESULTS!$L$2:$L$1001,SMALL(IF(RECON_RESULTS!$A$2:$A$1001="Near Match",ROW(RECON_RESULTS!$A$2:$A$1001)-1),195)))</f>
        <v/>
      </c>
      <c r="K605" s="11" t="inlineStr"/>
      <c r="L605" s="11" t="inlineStr"/>
    </row>
    <row r="606">
      <c r="B606" s="11">
        <f>IFERROR(INDEX(RECON_RESULTS!$A$2:$A$1001,SMALL(IF(RECON_RESULTS!$A$2:$A$1001="Near Match",ROW(RECON_RESULTS!$A$2:$A$1001)-1),196)),"")</f>
        <v/>
      </c>
      <c r="C606" s="11">
        <f>IF(B606="","",INDEX(RECON_RESULTS!$B$2:$B$1001,SMALL(IF(RECON_RESULTS!$A$2:$A$1001="Near Match",ROW(RECON_RESULTS!$A$2:$A$1001)-1),196)))</f>
        <v/>
      </c>
      <c r="D606" s="10">
        <f>IF(B606="","",INDEX(RECON_RESULTS!$C$2:$C$1001,SMALL(IF(RECON_RESULTS!$A$2:$A$1001="Near Match",ROW(RECON_RESULTS!$A$2:$A$1001)-1),196)))</f>
        <v/>
      </c>
      <c r="E606" s="16">
        <f>IF(B606="","",INDEX(RECON_RESULTS!$D$2:$D$1001,SMALL(IF(RECON_RESULTS!$A$2:$A$1001="Near Match",ROW(RECON_RESULTS!$A$2:$A$1001)-1),196)))</f>
        <v/>
      </c>
      <c r="F606" s="10">
        <f>IF(B606="","",INDEX(RECON_RESULTS!$F$2:$F$1001,SMALL(IF(RECON_RESULTS!$A$2:$A$1001="Near Match",ROW(RECON_RESULTS!$A$2:$A$1001)-1),196)))</f>
        <v/>
      </c>
      <c r="G606" s="16">
        <f>IF(B606="","",INDEX(RECON_RESULTS!$I$2:$I$1001,SMALL(IF(RECON_RESULTS!$A$2:$A$1001="Near Match",ROW(RECON_RESULTS!$A$2:$A$1001)-1),196)))</f>
        <v/>
      </c>
      <c r="H606" s="12">
        <f>IF(B606="","",INDEX(RECON_RESULTS!$J$2:$J$1001,SMALL(IF(RECON_RESULTS!$A$2:$A$1001="Near Match",ROW(RECON_RESULTS!$A$2:$A$1001)-1),196)))</f>
        <v/>
      </c>
      <c r="I606" s="11">
        <f>IF(B606="","",INDEX(RECON_RESULTS!$K$2:$K$1001,SMALL(IF(RECON_RESULTS!$A$2:$A$1001="Near Match",ROW(RECON_RESULTS!$A$2:$A$1001)-1),196)))</f>
        <v/>
      </c>
      <c r="J606" s="17">
        <f>IF(B606="","",INDEX(RECON_RESULTS!$L$2:$L$1001,SMALL(IF(RECON_RESULTS!$A$2:$A$1001="Near Match",ROW(RECON_RESULTS!$A$2:$A$1001)-1),196)))</f>
        <v/>
      </c>
      <c r="K606" s="11" t="inlineStr"/>
      <c r="L606" s="11" t="inlineStr"/>
    </row>
    <row r="607">
      <c r="B607" s="11">
        <f>IFERROR(INDEX(RECON_RESULTS!$A$2:$A$1001,SMALL(IF(RECON_RESULTS!$A$2:$A$1001="Near Match",ROW(RECON_RESULTS!$A$2:$A$1001)-1),197)),"")</f>
        <v/>
      </c>
      <c r="C607" s="11">
        <f>IF(B607="","",INDEX(RECON_RESULTS!$B$2:$B$1001,SMALL(IF(RECON_RESULTS!$A$2:$A$1001="Near Match",ROW(RECON_RESULTS!$A$2:$A$1001)-1),197)))</f>
        <v/>
      </c>
      <c r="D607" s="10">
        <f>IF(B607="","",INDEX(RECON_RESULTS!$C$2:$C$1001,SMALL(IF(RECON_RESULTS!$A$2:$A$1001="Near Match",ROW(RECON_RESULTS!$A$2:$A$1001)-1),197)))</f>
        <v/>
      </c>
      <c r="E607" s="16">
        <f>IF(B607="","",INDEX(RECON_RESULTS!$D$2:$D$1001,SMALL(IF(RECON_RESULTS!$A$2:$A$1001="Near Match",ROW(RECON_RESULTS!$A$2:$A$1001)-1),197)))</f>
        <v/>
      </c>
      <c r="F607" s="10">
        <f>IF(B607="","",INDEX(RECON_RESULTS!$F$2:$F$1001,SMALL(IF(RECON_RESULTS!$A$2:$A$1001="Near Match",ROW(RECON_RESULTS!$A$2:$A$1001)-1),197)))</f>
        <v/>
      </c>
      <c r="G607" s="16">
        <f>IF(B607="","",INDEX(RECON_RESULTS!$I$2:$I$1001,SMALL(IF(RECON_RESULTS!$A$2:$A$1001="Near Match",ROW(RECON_RESULTS!$A$2:$A$1001)-1),197)))</f>
        <v/>
      </c>
      <c r="H607" s="12">
        <f>IF(B607="","",INDEX(RECON_RESULTS!$J$2:$J$1001,SMALL(IF(RECON_RESULTS!$A$2:$A$1001="Near Match",ROW(RECON_RESULTS!$A$2:$A$1001)-1),197)))</f>
        <v/>
      </c>
      <c r="I607" s="11">
        <f>IF(B607="","",INDEX(RECON_RESULTS!$K$2:$K$1001,SMALL(IF(RECON_RESULTS!$A$2:$A$1001="Near Match",ROW(RECON_RESULTS!$A$2:$A$1001)-1),197)))</f>
        <v/>
      </c>
      <c r="J607" s="17">
        <f>IF(B607="","",INDEX(RECON_RESULTS!$L$2:$L$1001,SMALL(IF(RECON_RESULTS!$A$2:$A$1001="Near Match",ROW(RECON_RESULTS!$A$2:$A$1001)-1),197)))</f>
        <v/>
      </c>
      <c r="K607" s="11" t="inlineStr"/>
      <c r="L607" s="11" t="inlineStr"/>
    </row>
    <row r="608">
      <c r="B608" s="11">
        <f>IFERROR(INDEX(RECON_RESULTS!$A$2:$A$1001,SMALL(IF(RECON_RESULTS!$A$2:$A$1001="Near Match",ROW(RECON_RESULTS!$A$2:$A$1001)-1),198)),"")</f>
        <v/>
      </c>
      <c r="C608" s="11">
        <f>IF(B608="","",INDEX(RECON_RESULTS!$B$2:$B$1001,SMALL(IF(RECON_RESULTS!$A$2:$A$1001="Near Match",ROW(RECON_RESULTS!$A$2:$A$1001)-1),198)))</f>
        <v/>
      </c>
      <c r="D608" s="10">
        <f>IF(B608="","",INDEX(RECON_RESULTS!$C$2:$C$1001,SMALL(IF(RECON_RESULTS!$A$2:$A$1001="Near Match",ROW(RECON_RESULTS!$A$2:$A$1001)-1),198)))</f>
        <v/>
      </c>
      <c r="E608" s="16">
        <f>IF(B608="","",INDEX(RECON_RESULTS!$D$2:$D$1001,SMALL(IF(RECON_RESULTS!$A$2:$A$1001="Near Match",ROW(RECON_RESULTS!$A$2:$A$1001)-1),198)))</f>
        <v/>
      </c>
      <c r="F608" s="10">
        <f>IF(B608="","",INDEX(RECON_RESULTS!$F$2:$F$1001,SMALL(IF(RECON_RESULTS!$A$2:$A$1001="Near Match",ROW(RECON_RESULTS!$A$2:$A$1001)-1),198)))</f>
        <v/>
      </c>
      <c r="G608" s="16">
        <f>IF(B608="","",INDEX(RECON_RESULTS!$I$2:$I$1001,SMALL(IF(RECON_RESULTS!$A$2:$A$1001="Near Match",ROW(RECON_RESULTS!$A$2:$A$1001)-1),198)))</f>
        <v/>
      </c>
      <c r="H608" s="12">
        <f>IF(B608="","",INDEX(RECON_RESULTS!$J$2:$J$1001,SMALL(IF(RECON_RESULTS!$A$2:$A$1001="Near Match",ROW(RECON_RESULTS!$A$2:$A$1001)-1),198)))</f>
        <v/>
      </c>
      <c r="I608" s="11">
        <f>IF(B608="","",INDEX(RECON_RESULTS!$K$2:$K$1001,SMALL(IF(RECON_RESULTS!$A$2:$A$1001="Near Match",ROW(RECON_RESULTS!$A$2:$A$1001)-1),198)))</f>
        <v/>
      </c>
      <c r="J608" s="17">
        <f>IF(B608="","",INDEX(RECON_RESULTS!$L$2:$L$1001,SMALL(IF(RECON_RESULTS!$A$2:$A$1001="Near Match",ROW(RECON_RESULTS!$A$2:$A$1001)-1),198)))</f>
        <v/>
      </c>
      <c r="K608" s="11" t="inlineStr"/>
      <c r="L608" s="11" t="inlineStr"/>
    </row>
    <row r="609">
      <c r="B609" s="11">
        <f>IFERROR(INDEX(RECON_RESULTS!$A$2:$A$1001,SMALL(IF(RECON_RESULTS!$A$2:$A$1001="Near Match",ROW(RECON_RESULTS!$A$2:$A$1001)-1),199)),"")</f>
        <v/>
      </c>
      <c r="C609" s="11">
        <f>IF(B609="","",INDEX(RECON_RESULTS!$B$2:$B$1001,SMALL(IF(RECON_RESULTS!$A$2:$A$1001="Near Match",ROW(RECON_RESULTS!$A$2:$A$1001)-1),199)))</f>
        <v/>
      </c>
      <c r="D609" s="10">
        <f>IF(B609="","",INDEX(RECON_RESULTS!$C$2:$C$1001,SMALL(IF(RECON_RESULTS!$A$2:$A$1001="Near Match",ROW(RECON_RESULTS!$A$2:$A$1001)-1),199)))</f>
        <v/>
      </c>
      <c r="E609" s="16">
        <f>IF(B609="","",INDEX(RECON_RESULTS!$D$2:$D$1001,SMALL(IF(RECON_RESULTS!$A$2:$A$1001="Near Match",ROW(RECON_RESULTS!$A$2:$A$1001)-1),199)))</f>
        <v/>
      </c>
      <c r="F609" s="10">
        <f>IF(B609="","",INDEX(RECON_RESULTS!$F$2:$F$1001,SMALL(IF(RECON_RESULTS!$A$2:$A$1001="Near Match",ROW(RECON_RESULTS!$A$2:$A$1001)-1),199)))</f>
        <v/>
      </c>
      <c r="G609" s="16">
        <f>IF(B609="","",INDEX(RECON_RESULTS!$I$2:$I$1001,SMALL(IF(RECON_RESULTS!$A$2:$A$1001="Near Match",ROW(RECON_RESULTS!$A$2:$A$1001)-1),199)))</f>
        <v/>
      </c>
      <c r="H609" s="12">
        <f>IF(B609="","",INDEX(RECON_RESULTS!$J$2:$J$1001,SMALL(IF(RECON_RESULTS!$A$2:$A$1001="Near Match",ROW(RECON_RESULTS!$A$2:$A$1001)-1),199)))</f>
        <v/>
      </c>
      <c r="I609" s="11">
        <f>IF(B609="","",INDEX(RECON_RESULTS!$K$2:$K$1001,SMALL(IF(RECON_RESULTS!$A$2:$A$1001="Near Match",ROW(RECON_RESULTS!$A$2:$A$1001)-1),199)))</f>
        <v/>
      </c>
      <c r="J609" s="17">
        <f>IF(B609="","",INDEX(RECON_RESULTS!$L$2:$L$1001,SMALL(IF(RECON_RESULTS!$A$2:$A$1001="Near Match",ROW(RECON_RESULTS!$A$2:$A$1001)-1),199)))</f>
        <v/>
      </c>
      <c r="K609" s="11" t="inlineStr"/>
      <c r="L609" s="11" t="inlineStr"/>
    </row>
    <row r="610">
      <c r="B610" s="11">
        <f>IFERROR(INDEX(RECON_RESULTS!$A$2:$A$1001,SMALL(IF(RECON_RESULTS!$A$2:$A$1001="Near Match",ROW(RECON_RESULTS!$A$2:$A$1001)-1),200)),"")</f>
        <v/>
      </c>
      <c r="C610" s="11">
        <f>IF(B610="","",INDEX(RECON_RESULTS!$B$2:$B$1001,SMALL(IF(RECON_RESULTS!$A$2:$A$1001="Near Match",ROW(RECON_RESULTS!$A$2:$A$1001)-1),200)))</f>
        <v/>
      </c>
      <c r="D610" s="10">
        <f>IF(B610="","",INDEX(RECON_RESULTS!$C$2:$C$1001,SMALL(IF(RECON_RESULTS!$A$2:$A$1001="Near Match",ROW(RECON_RESULTS!$A$2:$A$1001)-1),200)))</f>
        <v/>
      </c>
      <c r="E610" s="16">
        <f>IF(B610="","",INDEX(RECON_RESULTS!$D$2:$D$1001,SMALL(IF(RECON_RESULTS!$A$2:$A$1001="Near Match",ROW(RECON_RESULTS!$A$2:$A$1001)-1),200)))</f>
        <v/>
      </c>
      <c r="F610" s="10">
        <f>IF(B610="","",INDEX(RECON_RESULTS!$F$2:$F$1001,SMALL(IF(RECON_RESULTS!$A$2:$A$1001="Near Match",ROW(RECON_RESULTS!$A$2:$A$1001)-1),200)))</f>
        <v/>
      </c>
      <c r="G610" s="16">
        <f>IF(B610="","",INDEX(RECON_RESULTS!$I$2:$I$1001,SMALL(IF(RECON_RESULTS!$A$2:$A$1001="Near Match",ROW(RECON_RESULTS!$A$2:$A$1001)-1),200)))</f>
        <v/>
      </c>
      <c r="H610" s="12">
        <f>IF(B610="","",INDEX(RECON_RESULTS!$J$2:$J$1001,SMALL(IF(RECON_RESULTS!$A$2:$A$1001="Near Match",ROW(RECON_RESULTS!$A$2:$A$1001)-1),200)))</f>
        <v/>
      </c>
      <c r="I610" s="11">
        <f>IF(B610="","",INDEX(RECON_RESULTS!$K$2:$K$1001,SMALL(IF(RECON_RESULTS!$A$2:$A$1001="Near Match",ROW(RECON_RESULTS!$A$2:$A$1001)-1),200)))</f>
        <v/>
      </c>
      <c r="J610" s="17">
        <f>IF(B610="","",INDEX(RECON_RESULTS!$L$2:$L$1001,SMALL(IF(RECON_RESULTS!$A$2:$A$1001="Near Match",ROW(RECON_RESULTS!$A$2:$A$1001)-1),200)))</f>
        <v/>
      </c>
      <c r="K610" s="11" t="inlineStr"/>
      <c r="L610" s="11" t="inlineStr"/>
    </row>
  </sheetData>
  <mergeCells count="3">
    <mergeCell ref="B409:L409"/>
    <mergeCell ref="B205:L205"/>
    <mergeCell ref="B1:L1"/>
  </mergeCells>
  <dataValidations count="2">
    <dataValidation sqref="J3:J202" showDropDown="0" showInputMessage="0" showErrorMessage="0" allowBlank="1" error="اختر حالة المراجعة" prompt="اختر حالة المراجعة" type="list">
      <formula1>"Pending,Reviewed,Resolved,Escalated"</formula1>
    </dataValidation>
    <dataValidation sqref="K3:K20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D5C3A"/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0" customWidth="1" min="3" max="3"/>
    <col width="30" customWidth="1" min="4" max="4"/>
  </cols>
  <sheetData>
    <row r="2">
      <c r="B2" s="58" t="inlineStr">
        <is>
          <t>تصدير التقارير — EXPORT &amp; REPORTS</t>
        </is>
      </c>
    </row>
    <row r="4">
      <c r="B4" s="59" t="inlineStr">
        <is>
          <t>لتصدير النتائج:</t>
        </is>
      </c>
    </row>
    <row r="5">
      <c r="B5" s="60" t="inlineStr">
        <is>
          <t>1. كل النتائج: انسخ جدول tbl_ReconResults من ورقة RECON_RESULTS والصقه في ملف جديد.</t>
        </is>
      </c>
    </row>
    <row r="6">
      <c r="B6" s="60" t="inlineStr">
        <is>
          <t>2. المطابقات فقط: استخدم الفلتر في RECON_RESULTS واختر Status = Matched.</t>
        </is>
      </c>
    </row>
    <row r="7">
      <c r="B7" s="60" t="inlineStr">
        <is>
          <t>3. الاستثناءات فقط: استخدم الفلتر واختر Near Match + Unmatched GL + Unmatched Bank.</t>
        </is>
      </c>
    </row>
    <row r="8">
      <c r="B8" s="60" t="inlineStr">
        <is>
          <t>4. أو استخدم الجداول المعدة أدناه.</t>
        </is>
      </c>
    </row>
    <row r="10">
      <c r="B10" s="58" t="inlineStr">
        <is>
          <t>ملخص الجلسة — SESSION SUMMARY</t>
        </is>
      </c>
    </row>
    <row r="12">
      <c r="B12" s="61" t="inlineStr">
        <is>
          <t>البند — Item</t>
        </is>
      </c>
      <c r="C12" s="61" t="inlineStr">
        <is>
          <t>العدد — Count</t>
        </is>
      </c>
    </row>
    <row r="13">
      <c r="B13" s="62" t="inlineStr">
        <is>
          <t>مطابق — Matched</t>
        </is>
      </c>
      <c r="C13" s="63">
        <f>COUNTIF(MATCH_ENGINE!N$2:N$1001,"Matched")</f>
        <v/>
      </c>
    </row>
    <row r="14">
      <c r="B14" s="62" t="inlineStr">
        <is>
          <t>قريب — Near Match</t>
        </is>
      </c>
      <c r="C14" s="64">
        <f>COUNTIF(MATCH_ENGINE!N$2:N$1001,"Near Match")</f>
        <v/>
      </c>
    </row>
    <row r="15">
      <c r="B15" s="62" t="inlineStr">
        <is>
          <t>GL غير مطابق — Unmatched GL</t>
        </is>
      </c>
      <c r="C15" s="65">
        <f>COUNTIF(MATCH_ENGINE!N$2:N$1001,"Unmatched GL")</f>
        <v/>
      </c>
    </row>
    <row r="16">
      <c r="B16" s="62" t="inlineStr">
        <is>
          <t>بنك غير مطابق — Unmatched Bank</t>
        </is>
      </c>
      <c r="C16" s="66">
        <f>COUNTIFS(BANK_CLEAN!A$2:A$1001,"&lt;&gt;",BANK_CLEAN!L$2:L$1001,"")-COUNTIF(BANK_CLEAN!A$2:A$1001,"")</f>
        <v/>
      </c>
    </row>
    <row r="17">
      <c r="B17" s="62" t="inlineStr">
        <is>
          <t>الإجمالي — Total</t>
        </is>
      </c>
      <c r="C17" s="67">
        <f>COUNTA(MATCH_ENGINE!A$2:A$1001)-COUNTIF(MATCH_ENGINE!A$2:A$1001,"")</f>
        <v/>
      </c>
    </row>
    <row r="20">
      <c r="B20" s="68" t="inlineStr">
        <is>
          <t>ملاحظة: لتصدير CSV تلقائياً، يمكن إضافة ماكرو VBA اختياري. راجع ملف المشروع للتفاصيل.</t>
        </is>
      </c>
    </row>
  </sheetData>
  <mergeCells count="1"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2026-03-17T20:41:54Z</dcterms:created>
  <dcterms:modified xsi:type="dcterms:W3CDTF">2026-03-17T20:41:56Z</dcterms:modified>
</cp:coreProperties>
</file>